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2"/>
  </bookViews>
  <sheets>
    <sheet name="Contents" sheetId="3" state="visible" r:id="rId3"/>
    <sheet name="Manifest" sheetId="2" state="visible" r:id="rId2"/>
    <sheet name="Matched_Data" sheetId="1" state="visible" r:id="rId1"/>
  </sheets>
</workbook>
</file>

<file path=xl/sharedStrings.xml><?xml version="1.0" encoding="utf-8"?>
<sst xmlns="http://schemas.openxmlformats.org/spreadsheetml/2006/main" count="327" uniqueCount="327">
  <si>
    <t xml:space="preserve">PatientID</t>
  </si>
  <si>
    <t xml:space="preserve">PatientName</t>
  </si>
  <si>
    <t xml:space="preserve">EyeID</t>
  </si>
  <si>
    <t xml:space="preserve">Eye</t>
  </si>
  <si>
    <t xml:space="preserve">SurgeryNumber</t>
  </si>
  <si>
    <t xml:space="preserve">Cohort</t>
  </si>
  <si>
    <t xml:space="preserve">Procedure</t>
  </si>
  <si>
    <t xml:space="preserve">Surgeon</t>
  </si>
  <si>
    <t xml:space="preserve">Age_Years</t>
  </si>
  <si>
    <t xml:space="preserve">Sex</t>
  </si>
  <si>
    <t xml:space="preserve">Smoker</t>
  </si>
  <si>
    <t xml:space="preserve">Preop_Sphere_D</t>
  </si>
  <si>
    <t xml:space="preserve">Preop_Cylinder_D</t>
  </si>
  <si>
    <t xml:space="preserve">Preop_Axis_Deg</t>
  </si>
  <si>
    <t xml:space="preserve">Preop_SEQ_D</t>
  </si>
  <si>
    <t xml:space="preserve">Preop_UDVA_logMAR</t>
  </si>
  <si>
    <t xml:space="preserve">Preop_CDVA_logMAR</t>
  </si>
  <si>
    <t xml:space="preserve">Preop_Pachymetry_um</t>
  </si>
  <si>
    <t xml:space="preserve">Preop_Mean_K_D</t>
  </si>
  <si>
    <t xml:space="preserve">Preop_DryEye_Grade</t>
  </si>
  <si>
    <t xml:space="preserve">Optical_Zone_mm</t>
  </si>
  <si>
    <t xml:space="preserve">Ablation_Depth_um</t>
  </si>
  <si>
    <t xml:space="preserve">FollowUp_Days</t>
  </si>
  <si>
    <t xml:space="preserve">Postop_Sphere_D</t>
  </si>
  <si>
    <t xml:space="preserve">Postop_Cylinder_D</t>
  </si>
  <si>
    <t xml:space="preserve">Postop_Axis_Deg</t>
  </si>
  <si>
    <t xml:space="preserve">Postop_SEQ_D</t>
  </si>
  <si>
    <t xml:space="preserve">Postop_UDVA_logMAR</t>
  </si>
  <si>
    <t xml:space="preserve">Postop_CDVA_logMAR</t>
  </si>
  <si>
    <t xml:space="preserve">Postop_Haze_Grade</t>
  </si>
  <si>
    <t xml:space="preserve">Patient_Satisfaction_1to5</t>
  </si>
  <si>
    <t xml:space="preserve">DryEye_Symptoms</t>
  </si>
  <si>
    <t xml:space="preserve">Retreatment_Required</t>
  </si>
  <si>
    <t xml:space="preserve">Complication_Type</t>
  </si>
  <si>
    <t xml:space="preserve">Cylinder_Notation</t>
  </si>
  <si>
    <t xml:space="preserve">Visit1_Days_PostOp</t>
  </si>
  <si>
    <t xml:space="preserve">Visit1_Sphere_D</t>
  </si>
  <si>
    <t xml:space="preserve">Visit1_Cylinder_D</t>
  </si>
  <si>
    <t xml:space="preserve">Visit1_Axis_Deg</t>
  </si>
  <si>
    <t xml:space="preserve">Visit1_SEQ_D</t>
  </si>
  <si>
    <t xml:space="preserve">Visit2_Days_PostOp</t>
  </si>
  <si>
    <t xml:space="preserve">Visit2_Sphere_D</t>
  </si>
  <si>
    <t xml:space="preserve">Visit2_Cylinder_D</t>
  </si>
  <si>
    <t xml:space="preserve">Visit2_Axis_Deg</t>
  </si>
  <si>
    <t xml:space="preserve">Visit3_Days_PostOp</t>
  </si>
  <si>
    <t xml:space="preserve">Visit3_Sphere_D</t>
  </si>
  <si>
    <t xml:space="preserve">Visit3_Cylinder_D</t>
  </si>
  <si>
    <t xml:space="preserve">Visit3_Axis_Deg</t>
  </si>
  <si>
    <t xml:space="preserve">Visit3_SEQ_D</t>
  </si>
  <si>
    <t xml:space="preserve">Visit4_Days_PostOp</t>
  </si>
  <si>
    <t xml:space="preserve">Visit4_Sphere_D</t>
  </si>
  <si>
    <t xml:space="preserve">Visit4_Cylinder_D</t>
  </si>
  <si>
    <t xml:space="preserve">Visit4_Axis_Deg</t>
  </si>
  <si>
    <t xml:space="preserve">Visit5_Days_PostOp</t>
  </si>
  <si>
    <t xml:space="preserve">Visit5_Sphere_D</t>
  </si>
  <si>
    <t xml:space="preserve">Visit5_Cylinder_D</t>
  </si>
  <si>
    <t xml:space="preserve">Visit5_Axis_Deg</t>
  </si>
  <si>
    <t xml:space="preserve">GroupLabel</t>
  </si>
  <si>
    <t xml:space="preserve">distance</t>
  </si>
  <si>
    <t xml:space="preserve">weights</t>
  </si>
  <si>
    <t xml:space="preserve">subclass</t>
  </si>
  <si>
    <t xml:space="preserve">Pairing</t>
  </si>
  <si>
    <t xml:space="preserve">P0004</t>
  </si>
  <si>
    <t xml:space="preserve">Lina Levin</t>
  </si>
  <si>
    <t xml:space="preserve">P0004-OD</t>
  </si>
  <si>
    <t xml:space="preserve">OD</t>
  </si>
  <si>
    <t xml:space="preserve">Diabetes</t>
  </si>
  <si>
    <t xml:space="preserve">PRK</t>
  </si>
  <si>
    <t xml:space="preserve">Surgeon B</t>
  </si>
  <si>
    <t xml:space="preserve">M</t>
  </si>
  <si>
    <t xml:space="preserve">Yes</t>
  </si>
  <si>
    <t xml:space="preserve">No</t>
  </si>
  <si>
    <t xml:space="preserve">None</t>
  </si>
  <si>
    <t xml:space="preserve">minus</t>
  </si>
  <si>
    <t xml:space="preserve">Diabetes_vs_Control</t>
  </si>
  <si>
    <t xml:space="preserve">P0005</t>
  </si>
  <si>
    <t xml:space="preserve">Ari Naor</t>
  </si>
  <si>
    <t xml:space="preserve">P0005-OS</t>
  </si>
  <si>
    <t xml:space="preserve">OS</t>
  </si>
  <si>
    <t xml:space="preserve">Control</t>
  </si>
  <si>
    <t xml:space="preserve">F</t>
  </si>
  <si>
    <t xml:space="preserve">P0012</t>
  </si>
  <si>
    <t xml:space="preserve">Ronen Peretz</t>
  </si>
  <si>
    <t xml:space="preserve">P0012-OS</t>
  </si>
  <si>
    <t xml:space="preserve">P0013</t>
  </si>
  <si>
    <t xml:space="preserve">Ronen Porat</t>
  </si>
  <si>
    <t xml:space="preserve">P0013-OS</t>
  </si>
  <si>
    <t xml:space="preserve">Surgeon C</t>
  </si>
  <si>
    <t xml:space="preserve">plus</t>
  </si>
  <si>
    <t xml:space="preserve">P0031</t>
  </si>
  <si>
    <t xml:space="preserve">Ari Shani</t>
  </si>
  <si>
    <t xml:space="preserve">P0031-OD</t>
  </si>
  <si>
    <t xml:space="preserve">P0031-OS</t>
  </si>
  <si>
    <t xml:space="preserve">P0034</t>
  </si>
  <si>
    <t xml:space="preserve">Lina Golan</t>
  </si>
  <si>
    <t xml:space="preserve">P0034-OD</t>
  </si>
  <si>
    <t xml:space="preserve">P0034-OS</t>
  </si>
  <si>
    <t xml:space="preserve">P0042</t>
  </si>
  <si>
    <t xml:space="preserve">Sara Shani</t>
  </si>
  <si>
    <t xml:space="preserve">P0042-OS</t>
  </si>
  <si>
    <t xml:space="preserve">Surgeon A</t>
  </si>
  <si>
    <t xml:space="preserve">P0047</t>
  </si>
  <si>
    <t xml:space="preserve">Yusuf Shani</t>
  </si>
  <si>
    <t xml:space="preserve">P0047-OD</t>
  </si>
  <si>
    <t xml:space="preserve">P0053</t>
  </si>
  <si>
    <t xml:space="preserve">Orly Porat</t>
  </si>
  <si>
    <t xml:space="preserve">P0053-OD</t>
  </si>
  <si>
    <t xml:space="preserve">P0059</t>
  </si>
  <si>
    <t xml:space="preserve">Lina Maimon</t>
  </si>
  <si>
    <t xml:space="preserve">P0059-OD</t>
  </si>
  <si>
    <t xml:space="preserve">P0062</t>
  </si>
  <si>
    <t xml:space="preserve">Nadav Weiss</t>
  </si>
  <si>
    <t xml:space="preserve">P0062-OD</t>
  </si>
  <si>
    <t xml:space="preserve">Epithelial defect</t>
  </si>
  <si>
    <t xml:space="preserve">P0071</t>
  </si>
  <si>
    <t xml:space="preserve">Ethan Barak</t>
  </si>
  <si>
    <t xml:space="preserve">P0071-OS</t>
  </si>
  <si>
    <t xml:space="preserve">P0093</t>
  </si>
  <si>
    <t xml:space="preserve">Ethan Peretz</t>
  </si>
  <si>
    <t xml:space="preserve">P0093-OD</t>
  </si>
  <si>
    <t xml:space="preserve">P0093-OS</t>
  </si>
  <si>
    <t xml:space="preserve">P0094</t>
  </si>
  <si>
    <t xml:space="preserve">Shira Barak</t>
  </si>
  <si>
    <t xml:space="preserve">P0094-OD</t>
  </si>
  <si>
    <t xml:space="preserve">Corneal haze</t>
  </si>
  <si>
    <t xml:space="preserve">P0094-OS</t>
  </si>
  <si>
    <t xml:space="preserve">P0095</t>
  </si>
  <si>
    <t xml:space="preserve">Noa Barak</t>
  </si>
  <si>
    <t xml:space="preserve">P0095-OD</t>
  </si>
  <si>
    <t xml:space="preserve">P0095-OS</t>
  </si>
  <si>
    <t xml:space="preserve">P0103</t>
  </si>
  <si>
    <t xml:space="preserve">Jonah Harari</t>
  </si>
  <si>
    <t xml:space="preserve">P0103-OD</t>
  </si>
  <si>
    <t xml:space="preserve">P0109</t>
  </si>
  <si>
    <t xml:space="preserve">Daniel Iluz</t>
  </si>
  <si>
    <t xml:space="preserve">P0109-OS</t>
  </si>
  <si>
    <t xml:space="preserve">P0114</t>
  </si>
  <si>
    <t xml:space="preserve">Rivka Maimon</t>
  </si>
  <si>
    <t xml:space="preserve">P0114-OS</t>
  </si>
  <si>
    <t xml:space="preserve">P0124</t>
  </si>
  <si>
    <t xml:space="preserve">Dana Farkash</t>
  </si>
  <si>
    <t xml:space="preserve">P0124-OD</t>
  </si>
  <si>
    <t xml:space="preserve">P0125</t>
  </si>
  <si>
    <t xml:space="preserve">Efrat Cohen</t>
  </si>
  <si>
    <t xml:space="preserve">P0125-OD</t>
  </si>
  <si>
    <t xml:space="preserve">P0125-OS</t>
  </si>
  <si>
    <t xml:space="preserve">P0127</t>
  </si>
  <si>
    <t xml:space="preserve">Sara Lavi</t>
  </si>
  <si>
    <t xml:space="preserve">P0127-OS</t>
  </si>
  <si>
    <t xml:space="preserve">P0140</t>
  </si>
  <si>
    <t xml:space="preserve">Hannah Harari</t>
  </si>
  <si>
    <t xml:space="preserve">P0140-OD</t>
  </si>
  <si>
    <t xml:space="preserve">P0140-OS</t>
  </si>
  <si>
    <t xml:space="preserve">P0147</t>
  </si>
  <si>
    <t xml:space="preserve">Talia Cohen</t>
  </si>
  <si>
    <t xml:space="preserve">P0147-OS</t>
  </si>
  <si>
    <t xml:space="preserve">P0148</t>
  </si>
  <si>
    <t xml:space="preserve">Orly Peretz</t>
  </si>
  <si>
    <t xml:space="preserve">P0148-OD</t>
  </si>
  <si>
    <t xml:space="preserve">P0157</t>
  </si>
  <si>
    <t xml:space="preserve">Lina Haddad</t>
  </si>
  <si>
    <t xml:space="preserve">P0157-OD</t>
  </si>
  <si>
    <t xml:space="preserve">P0159</t>
  </si>
  <si>
    <t xml:space="preserve">Dana Shani</t>
  </si>
  <si>
    <t xml:space="preserve">P0159-OD</t>
  </si>
  <si>
    <t xml:space="preserve">P0159-OS</t>
  </si>
  <si>
    <t xml:space="preserve">P0166</t>
  </si>
  <si>
    <t xml:space="preserve">Noa Tzur</t>
  </si>
  <si>
    <t xml:space="preserve">P0166-OD</t>
  </si>
  <si>
    <t xml:space="preserve">P0166-OS</t>
  </si>
  <si>
    <t xml:space="preserve">P0171</t>
  </si>
  <si>
    <t xml:space="preserve">Talia Farkash</t>
  </si>
  <si>
    <t xml:space="preserve">P0171-OD</t>
  </si>
  <si>
    <t xml:space="preserve">P0171-OS</t>
  </si>
  <si>
    <t xml:space="preserve">P0176</t>
  </si>
  <si>
    <t xml:space="preserve">Ethan Nasser</t>
  </si>
  <si>
    <t xml:space="preserve">P0176-OS</t>
  </si>
  <si>
    <t xml:space="preserve">P0196</t>
  </si>
  <si>
    <t xml:space="preserve">Omar Haddad</t>
  </si>
  <si>
    <t xml:space="preserve">P0196-OS</t>
  </si>
  <si>
    <t xml:space="preserve">P0198</t>
  </si>
  <si>
    <t xml:space="preserve">Adam Jaber</t>
  </si>
  <si>
    <t xml:space="preserve">P0198-OS</t>
  </si>
  <si>
    <t xml:space="preserve">P0201</t>
  </si>
  <si>
    <t xml:space="preserve">Gideon Aviram</t>
  </si>
  <si>
    <t xml:space="preserve">P0201-OD</t>
  </si>
  <si>
    <t xml:space="preserve">P0205</t>
  </si>
  <si>
    <t xml:space="preserve">Tamar Farkash</t>
  </si>
  <si>
    <t xml:space="preserve">P0205-OS</t>
  </si>
  <si>
    <t xml:space="preserve">P0218</t>
  </si>
  <si>
    <t xml:space="preserve">Ari Sasson</t>
  </si>
  <si>
    <t xml:space="preserve">P0218-OS</t>
  </si>
  <si>
    <t xml:space="preserve">P0222</t>
  </si>
  <si>
    <t xml:space="preserve">Hannah Naor</t>
  </si>
  <si>
    <t xml:space="preserve">P0222-OD</t>
  </si>
  <si>
    <t xml:space="preserve">P0226</t>
  </si>
  <si>
    <t xml:space="preserve">Tamar Regev</t>
  </si>
  <si>
    <t xml:space="preserve">P0226-OD</t>
  </si>
  <si>
    <t xml:space="preserve">P0231</t>
  </si>
  <si>
    <t xml:space="preserve">Shira Elbaz</t>
  </si>
  <si>
    <t xml:space="preserve">P0231-OD</t>
  </si>
  <si>
    <t xml:space="preserve">P0231-OS</t>
  </si>
  <si>
    <t xml:space="preserve">P0244</t>
  </si>
  <si>
    <t xml:space="preserve">Tamar Levin</t>
  </si>
  <si>
    <t xml:space="preserve">P0244-OD</t>
  </si>
  <si>
    <t xml:space="preserve">P0244-OS</t>
  </si>
  <si>
    <t xml:space="preserve">P0262</t>
  </si>
  <si>
    <t xml:space="preserve">Maya Harari</t>
  </si>
  <si>
    <t xml:space="preserve">P0262-OD</t>
  </si>
  <si>
    <t xml:space="preserve">P0262-OS</t>
  </si>
  <si>
    <t xml:space="preserve">P0270</t>
  </si>
  <si>
    <t xml:space="preserve">Lina Iluz</t>
  </si>
  <si>
    <t xml:space="preserve">P0270-OD</t>
  </si>
  <si>
    <t xml:space="preserve">P0270-OS</t>
  </si>
  <si>
    <t xml:space="preserve">P0274</t>
  </si>
  <si>
    <t xml:space="preserve">Yael Shani</t>
  </si>
  <si>
    <t xml:space="preserve">P0274-OS</t>
  </si>
  <si>
    <t xml:space="preserve">P0280</t>
  </si>
  <si>
    <t xml:space="preserve">Tamar Lavi</t>
  </si>
  <si>
    <t xml:space="preserve">P0280-OD</t>
  </si>
  <si>
    <t xml:space="preserve">P0280-OS</t>
  </si>
  <si>
    <t xml:space="preserve">P0281</t>
  </si>
  <si>
    <t xml:space="preserve">Shira Peretz</t>
  </si>
  <si>
    <t xml:space="preserve">P0281-OS</t>
  </si>
  <si>
    <t xml:space="preserve">P0283</t>
  </si>
  <si>
    <t xml:space="preserve">Tomer Lavi</t>
  </si>
  <si>
    <t xml:space="preserve">P0283-OD</t>
  </si>
  <si>
    <t xml:space="preserve">P0283-OS</t>
  </si>
  <si>
    <t xml:space="preserve">P0284</t>
  </si>
  <si>
    <t xml:space="preserve">Ilan Haddad</t>
  </si>
  <si>
    <t xml:space="preserve">P0284-OS</t>
  </si>
  <si>
    <t xml:space="preserve">P0287</t>
  </si>
  <si>
    <t xml:space="preserve">Orly Maimon</t>
  </si>
  <si>
    <t xml:space="preserve">P0287-OD</t>
  </si>
  <si>
    <t xml:space="preserve">P0291</t>
  </si>
  <si>
    <t xml:space="preserve">Talia Lavi</t>
  </si>
  <si>
    <t xml:space="preserve">P0291-OS</t>
  </si>
  <si>
    <t xml:space="preserve">P0296</t>
  </si>
  <si>
    <t xml:space="preserve">Hannah Porat</t>
  </si>
  <si>
    <t xml:space="preserve">P0296-OD</t>
  </si>
  <si>
    <t xml:space="preserve">P0297</t>
  </si>
  <si>
    <t xml:space="preserve">Tamar Porat</t>
  </si>
  <si>
    <t xml:space="preserve">P0297-OD</t>
  </si>
  <si>
    <t xml:space="preserve">P0297-OS</t>
  </si>
  <si>
    <t xml:space="preserve">P0298</t>
  </si>
  <si>
    <t xml:space="preserve">Yusuf Ohayon</t>
  </si>
  <si>
    <t xml:space="preserve">P0298-OS</t>
  </si>
  <si>
    <t xml:space="preserve">P0307</t>
  </si>
  <si>
    <t xml:space="preserve">Ethan Dagan</t>
  </si>
  <si>
    <t xml:space="preserve">P0307-OD</t>
  </si>
  <si>
    <t xml:space="preserve">P0307-OS</t>
  </si>
  <si>
    <t xml:space="preserve">P0308</t>
  </si>
  <si>
    <t xml:space="preserve">Ari Regev</t>
  </si>
  <si>
    <t xml:space="preserve">P0308-OS</t>
  </si>
  <si>
    <t xml:space="preserve">P0315</t>
  </si>
  <si>
    <t xml:space="preserve">Eli Zohar</t>
  </si>
  <si>
    <t xml:space="preserve">P0315-OD</t>
  </si>
  <si>
    <t xml:space="preserve">P0320</t>
  </si>
  <si>
    <t xml:space="preserve">Aviva Iluz</t>
  </si>
  <si>
    <t xml:space="preserve">P0320-OD</t>
  </si>
  <si>
    <t xml:space="preserve">Setting</t>
  </si>
  <si>
    <t xml:space="preserve">Value</t>
  </si>
  <si>
    <t xml:space="preserve">StandardEyes version</t>
  </si>
  <si>
    <t xml:space="preserve">not recorded (run from the command line)</t>
  </si>
  <si>
    <t xml:space="preserve">Build</t>
  </si>
  <si>
    <t xml:space="preserve">R version</t>
  </si>
  <si>
    <t xml:space="preserve">R version 4.5.2 (2025-10-31 ucrt)</t>
  </si>
  <si>
    <t xml:space="preserve">MatchIt</t>
  </si>
  <si>
    <t xml:space="preserve">4.7.2</t>
  </si>
  <si>
    <t xml:space="preserve">cobalt</t>
  </si>
  <si>
    <t xml:space="preserve">4.6.1</t>
  </si>
  <si>
    <t xml:space="preserve">geepack</t>
  </si>
  <si>
    <t xml:space="preserve">1.3.13</t>
  </si>
  <si>
    <t xml:space="preserve">ggplot2</t>
  </si>
  <si>
    <t xml:space="preserve">4.0.1</t>
  </si>
  <si>
    <t xml:space="preserve">openxlsx</t>
  </si>
  <si>
    <t xml:space="preserve">4.2.8.1</t>
  </si>
  <si>
    <t xml:space="preserve">Run time</t>
  </si>
  <si>
    <t xml:space="preserve">2026-10-02 22:38:44</t>
  </si>
  <si>
    <t xml:space="preserve">Input file</t>
  </si>
  <si>
    <t xml:space="preserve">Example_Refractive_Dataset.xlsx</t>
  </si>
  <si>
    <t xml:space="preserve">Sheet</t>
  </si>
  <si>
    <t xml:space="preserve">sheet 1 ('Surgeries')</t>
  </si>
  <si>
    <t xml:space="preserve">Input MD5 checksum</t>
  </si>
  <si>
    <t xml:space="preserve">90362219da759c9a1c04ef170ffca4ec</t>
  </si>
  <si>
    <t xml:space="preserve">Run / subset</t>
  </si>
  <si>
    <t xml:space="preserve">PRK: Procedure in {PRK}</t>
  </si>
  <si>
    <t xml:space="preserve">Matched rows (stacked over pairings)</t>
  </si>
  <si>
    <t xml:space="preserve">72 rows; 72 distinct eyes (a reference eye matched in several pairings is listed once per pairing)</t>
  </si>
  <si>
    <t xml:space="preserve">Patient ID</t>
  </si>
  <si>
    <t xml:space="preserve">'PatientID'</t>
  </si>
  <si>
    <t xml:space="preserve">Pairings (matched rows per group)</t>
  </si>
  <si>
    <t xml:space="preserve">Diabetes_vs_Control: Control = 45, Diabetes = 27</t>
  </si>
  <si>
    <t xml:space="preserve">Groups (distinct eyes)</t>
  </si>
  <si>
    <t xml:space="preserve">Control = 45; Diabetes = 27</t>
  </si>
  <si>
    <t xml:space="preserve">Reference group</t>
  </si>
  <si>
    <t xml:space="preserve">Filter rules</t>
  </si>
  <si>
    <t xml:space="preserve">4</t>
  </si>
  <si>
    <t xml:space="preserve">VA notation</t>
  </si>
  <si>
    <t xml:space="preserve">decimal (1.0 = 20/20)</t>
  </si>
  <si>
    <t xml:space="preserve">LogMAR conversion</t>
  </si>
  <si>
    <t xml:space="preserve">on: Preop_UDVA, Preop_CDVA, Postop_UDVA, Postop_CDVA</t>
  </si>
  <si>
    <t xml:space="preserve">Matching</t>
  </si>
  <si>
    <t xml:space="preserve">nearest-neighbour on the propensity score (MatchIt)</t>
  </si>
  <si>
    <t xml:space="preserve">Matching settings</t>
  </si>
  <si>
    <t xml:space="preserve">method nearest, distance logit, ratio 2, replacement off, caliper 0.2 (SD of the propensity score), order largest, seed 20250601</t>
  </si>
  <si>
    <t xml:space="preserve">Matching weights</t>
  </si>
  <si>
    <t xml:space="preserve">non-unit (0.833-1.67); used in the matched tables and in the matched GEE / regression (working correlation: independence (weighted))</t>
  </si>
  <si>
    <t xml:space="preserve">GEE stage</t>
  </si>
  <si>
    <t xml:space="preserve">both</t>
  </si>
  <si>
    <t xml:space="preserve">GEE adjustment covariates</t>
  </si>
  <si>
    <t xml:space="preserve">Age_Years, Preop_SEQ_D</t>
  </si>
  <si>
    <t xml:space="preserve">GEE columns in summary tables</t>
  </si>
  <si>
    <t xml:space="preserve">main GEE, in the unmatched and matched summary tables</t>
  </si>
  <si>
    <t xml:space="preserve">Regression</t>
  </si>
  <si>
    <t xml:space="preserve">on</t>
  </si>
  <si>
    <t xml:space="preserve">Minus-cyl standardization</t>
  </si>
  <si>
    <t xml:space="preserve">Astigmatism test</t>
  </si>
  <si>
    <t xml:space="preserve">robust (20%-trimmed mean vectors, pooled winsorized covariance; cluster bootstrap over patients B = 999, seed 20250601)</t>
  </si>
  <si>
    <t xml:space="preserve">Random seeds</t>
  </si>
  <si>
    <t xml:space="preserve">bootstrap and Monte-Carlo exact tests 20250601; matching 20250601 (fixed, set locally; identical settings give identical results)</t>
  </si>
  <si>
    <t xml:space="preserve">Full name</t>
  </si>
  <si>
    <t xml:space="preserve">Description</t>
  </si>
  <si>
    <t xml:space="preserve">Manifest</t>
  </si>
  <si>
    <t xml:space="preserve">Versions, input checksum and settings of this run.</t>
  </si>
  <si>
    <t xml:space="preserve">Matched_Data</t>
  </si>
  <si>
    <t xml:space="preserve">Matched rows of every pairing (MatchIt distance, weights, subclass; 'Pairing' names the comparison).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</si>
</sst>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3" displayName="Table3" ref="A1:BJ73" totalsRowCount="0" totalsRowShown="0">
  <autoFilter ref="A1:BJ73"/>
  <tableColumns count="62">
    <tableColumn id="1" name="PatientID"/>
    <tableColumn id="2" name="PatientName"/>
    <tableColumn id="3" name="EyeID"/>
    <tableColumn id="4" name="Eye"/>
    <tableColumn id="5" name="SurgeryNumber"/>
    <tableColumn id="6" name="Cohort"/>
    <tableColumn id="7" name="Procedure"/>
    <tableColumn id="8" name="Surgeon"/>
    <tableColumn id="9" name="Age_Years"/>
    <tableColumn id="10" name="Sex"/>
    <tableColumn id="11" name="Smoker"/>
    <tableColumn id="12" name="Preop_Sphere_D"/>
    <tableColumn id="13" name="Preop_Cylinder_D"/>
    <tableColumn id="14" name="Preop_Axis_Deg"/>
    <tableColumn id="15" name="Preop_SEQ_D"/>
    <tableColumn id="16" name="Preop_UDVA_logMAR"/>
    <tableColumn id="17" name="Preop_CDVA_logMAR"/>
    <tableColumn id="18" name="Preop_Pachymetry_um"/>
    <tableColumn id="19" name="Preop_Mean_K_D"/>
    <tableColumn id="20" name="Preop_DryEye_Grade"/>
    <tableColumn id="21" name="Optical_Zone_mm"/>
    <tableColumn id="22" name="Ablation_Depth_um"/>
    <tableColumn id="23" name="FollowUp_Days"/>
    <tableColumn id="24" name="Postop_Sphere_D"/>
    <tableColumn id="25" name="Postop_Cylinder_D"/>
    <tableColumn id="26" name="Postop_Axis_Deg"/>
    <tableColumn id="27" name="Postop_SEQ_D"/>
    <tableColumn id="28" name="Postop_UDVA_logMAR"/>
    <tableColumn id="29" name="Postop_CDVA_logMAR"/>
    <tableColumn id="30" name="Postop_Haze_Grade"/>
    <tableColumn id="31" name="Patient_Satisfaction_1to5"/>
    <tableColumn id="32" name="DryEye_Symptoms"/>
    <tableColumn id="33" name="Retreatment_Required"/>
    <tableColumn id="34" name="Complication_Type"/>
    <tableColumn id="35" name="Cylinder_Notation"/>
    <tableColumn id="36" name="Visit1_Days_PostOp"/>
    <tableColumn id="37" name="Visit1_Sphere_D"/>
    <tableColumn id="38" name="Visit1_Cylinder_D"/>
    <tableColumn id="39" name="Visit1_Axis_Deg"/>
    <tableColumn id="40" name="Visit1_SEQ_D"/>
    <tableColumn id="41" name="Visit2_Days_PostOp"/>
    <tableColumn id="42" name="Visit2_Sphere_D"/>
    <tableColumn id="43" name="Visit2_Cylinder_D"/>
    <tableColumn id="44" name="Visit2_Axis_Deg"/>
    <tableColumn id="45" name="Visit3_Days_PostOp"/>
    <tableColumn id="46" name="Visit3_Sphere_D"/>
    <tableColumn id="47" name="Visit3_Cylinder_D"/>
    <tableColumn id="48" name="Visit3_Axis_Deg"/>
    <tableColumn id="49" name="Visit3_SEQ_D"/>
    <tableColumn id="50" name="Visit4_Days_PostOp"/>
    <tableColumn id="51" name="Visit4_Sphere_D"/>
    <tableColumn id="52" name="Visit4_Cylinder_D"/>
    <tableColumn id="53" name="Visit4_Axis_Deg"/>
    <tableColumn id="54" name="Visit5_Days_PostOp"/>
    <tableColumn id="55" name="Visit5_Sphere_D"/>
    <tableColumn id="56" name="Visit5_Cylinder_D"/>
    <tableColumn id="57" name="Visit5_Axis_Deg"/>
    <tableColumn id="58" name="GroupLabel"/>
    <tableColumn id="59" name="distance"/>
    <tableColumn id="60" name="weights"/>
    <tableColumn id="61" name="subclass"/>
    <tableColumn id="62" name="Pairing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Relationship Id="rId3" Type="http://schemas.openxmlformats.org/officeDocument/2006/relationships/table" Target="../tables/table3.xml"/></Relationships>
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
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
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</row>
    <row r="2">
      <c r="A2" t="s">
        <v>62</v>
      </c>
      <c r="B2" t="s">
        <v>63</v>
      </c>
      <c r="C2" t="s">
        <v>64</v>
      </c>
      <c r="D2" t="s">
        <v>65</v>
      </c>
      <c r="E2" t="n">
        <v>1</v>
      </c>
      <c r="F2" t="s">
        <v>66</v>
      </c>
      <c r="G2" t="s">
        <v>67</v>
      </c>
      <c r="H2" t="s">
        <v>68</v>
      </c>
      <c r="I2" t="n">
        <v>36</v>
      </c>
      <c r="J2" t="s">
        <v>69</v>
      </c>
      <c r="K2" t="s">
        <v>70</v>
      </c>
      <c r="L2" t="n">
        <v>-1.25</v>
      </c>
      <c r="M2" t="n">
        <v>-1.25</v>
      </c>
      <c r="N2" t="n">
        <v>174</v>
      </c>
      <c r="O2" t="n">
        <v>-1.84085205294412</v>
      </c>
      <c r="P2" t="n">
        <v>0.823908740944319</v>
      </c>
      <c r="Q2" t="n">
        <v>-0.0530784434834197</v>
      </c>
      <c r="R2" t="n">
        <v>564</v>
      </c>
      <c r="S2" t="n">
        <v>43.37</v>
      </c>
      <c r="T2" t="n">
        <v>0</v>
      </c>
      <c r="U2" t="n">
        <v>6.74</v>
      </c>
      <c r="V2" t="n">
        <v>32</v>
      </c>
      <c r="W2" t="n">
        <v>368</v>
      </c>
      <c r="X2" t="n">
        <v>-0.5</v>
      </c>
      <c r="Y2" t="n">
        <v>-0.25</v>
      </c>
      <c r="Z2" t="n">
        <v>162</v>
      </c>
      <c r="AA2" t="n">
        <v>-0.5</v>
      </c>
      <c r="AB2" t="n">
        <v>0.0506099933550872</v>
      </c>
      <c r="AC2" t="n">
        <v>-0.0718820073061254</v>
      </c>
      <c r="AD2" t="n">
        <v>0</v>
      </c>
      <c r="AE2" t="n">
        <v>5</v>
      </c>
      <c r="AF2" t="s">
        <v>70</v>
      </c>
      <c r="AG2" t="s">
        <v>71</v>
      </c>
      <c r="AH2" t="s">
        <v>72</v>
      </c>
      <c r="AI2" t="s">
        <v>73</v>
      </c>
      <c r="AJ2" t="n">
        <v>40</v>
      </c>
      <c r="AK2" t="n">
        <v>0</v>
      </c>
      <c r="AL2" t="n">
        <v>-0.5</v>
      </c>
      <c r="AM2" t="n">
        <v>53</v>
      </c>
      <c r="AN2" t="n">
        <v>-0.25</v>
      </c>
      <c r="AO2" t="n">
        <v>96</v>
      </c>
      <c r="AP2" t="n">
        <v>-0.5</v>
      </c>
      <c r="AQ2" t="n">
        <v>-0.25</v>
      </c>
      <c r="AR2" t="n">
        <v>8</v>
      </c>
      <c r="AS2" t="n">
        <v>171</v>
      </c>
      <c r="AT2" t="n">
        <v>-0.5</v>
      </c>
      <c r="AU2" t="n">
        <v>-0.25</v>
      </c>
      <c r="AV2" t="n">
        <v>88</v>
      </c>
      <c r="AW2" t="n">
        <v>-0.625</v>
      </c>
      <c r="AX2"/>
      <c r="AY2"/>
      <c r="AZ2"/>
      <c r="BA2"/>
      <c r="BB2"/>
      <c r="BC2"/>
      <c r="BD2"/>
      <c r="BE2"/>
      <c r="BF2" t="s">
        <v>66</v>
      </c>
      <c r="BG2" t="n">
        <v>0.205082820323883</v>
      </c>
      <c r="BH2" t="n">
        <v>1</v>
      </c>
      <c r="BI2" t="n">
        <v>1</v>
      </c>
      <c r="BJ2" t="s">
        <v>74</v>
      </c>
    </row>
    <row r="3">
      <c r="A3" t="s">
        <v>75</v>
      </c>
      <c r="B3" t="s">
        <v>76</v>
      </c>
      <c r="C3" t="s">
        <v>77</v>
      </c>
      <c r="D3" t="s">
        <v>78</v>
      </c>
      <c r="E3" t="n">
        <v>1</v>
      </c>
      <c r="F3" t="s">
        <v>79</v>
      </c>
      <c r="G3" t="s">
        <v>67</v>
      </c>
      <c r="H3" t="s">
        <v>68</v>
      </c>
      <c r="I3" t="n">
        <v>40</v>
      </c>
      <c r="J3" t="s">
        <v>80</v>
      </c>
      <c r="K3" t="s">
        <v>71</v>
      </c>
      <c r="L3" t="n">
        <v>-2.75</v>
      </c>
      <c r="M3" t="n">
        <v>-1.5</v>
      </c>
      <c r="N3" t="n">
        <v>161</v>
      </c>
      <c r="O3" t="n">
        <v>-3.41830678952939</v>
      </c>
      <c r="P3" t="n">
        <v>1.04575749056068</v>
      </c>
      <c r="Q3" t="n">
        <v>-0.0170333392987804</v>
      </c>
      <c r="R3" t="n">
        <v>516</v>
      </c>
      <c r="S3" t="n">
        <v>46.19</v>
      </c>
      <c r="T3" t="n">
        <v>0</v>
      </c>
      <c r="U3" t="n">
        <v>6.41</v>
      </c>
      <c r="V3" t="n">
        <v>63</v>
      </c>
      <c r="W3" t="n">
        <v>128</v>
      </c>
      <c r="X3" t="n">
        <v>0</v>
      </c>
      <c r="Y3" t="n">
        <v>-0.25</v>
      </c>
      <c r="Z3" t="n">
        <v>167</v>
      </c>
      <c r="AA3" t="n">
        <v>0</v>
      </c>
      <c r="AB3" t="n">
        <v>-0.0128372247051722</v>
      </c>
      <c r="AC3" t="n">
        <v>-0.00432137378264258</v>
      </c>
      <c r="AD3" t="n">
        <v>1</v>
      </c>
      <c r="AE3" t="n">
        <v>4</v>
      </c>
      <c r="AF3" t="s">
        <v>71</v>
      </c>
      <c r="AG3" t="s">
        <v>71</v>
      </c>
      <c r="AH3" t="s">
        <v>72</v>
      </c>
      <c r="AI3" t="s">
        <v>73</v>
      </c>
      <c r="AJ3" t="n">
        <v>29</v>
      </c>
      <c r="AK3" t="n">
        <v>0.25</v>
      </c>
      <c r="AL3" t="n">
        <v>-0.25</v>
      </c>
      <c r="AM3" t="n">
        <v>168</v>
      </c>
      <c r="AN3" t="n">
        <v>0.125</v>
      </c>
      <c r="AO3" t="n">
        <v>86</v>
      </c>
      <c r="AP3" t="n">
        <v>0.25</v>
      </c>
      <c r="AQ3" t="n">
        <v>-0.25</v>
      </c>
      <c r="AR3" t="n">
        <v>97</v>
      </c>
      <c r="AS3" t="n">
        <v>185</v>
      </c>
      <c r="AT3" t="n">
        <v>0.25</v>
      </c>
      <c r="AU3" t="n">
        <v>-0.25</v>
      </c>
      <c r="AV3" t="n">
        <v>41</v>
      </c>
      <c r="AW3" t="n">
        <v>0.125</v>
      </c>
      <c r="AX3"/>
      <c r="AY3"/>
      <c r="AZ3"/>
      <c r="BA3"/>
      <c r="BB3"/>
      <c r="BC3"/>
      <c r="BD3"/>
      <c r="BE3"/>
      <c r="BF3" t="s">
        <v>79</v>
      </c>
      <c r="BG3" t="n">
        <v>0.650428140263933</v>
      </c>
      <c r="BH3" t="n">
        <v>1.66666666666667</v>
      </c>
      <c r="BI3" t="n">
        <v>18</v>
      </c>
      <c r="BJ3" t="s">
        <v>74</v>
      </c>
    </row>
    <row r="4">
      <c r="A4" t="s">
        <v>81</v>
      </c>
      <c r="B4" t="s">
        <v>82</v>
      </c>
      <c r="C4" t="s">
        <v>83</v>
      </c>
      <c r="D4" t="s">
        <v>78</v>
      </c>
      <c r="E4" t="n">
        <v>1</v>
      </c>
      <c r="F4" t="s">
        <v>79</v>
      </c>
      <c r="G4" t="s">
        <v>67</v>
      </c>
      <c r="H4" t="s">
        <v>68</v>
      </c>
      <c r="I4" t="n">
        <v>31</v>
      </c>
      <c r="J4" t="s">
        <v>80</v>
      </c>
      <c r="K4" t="s">
        <v>70</v>
      </c>
      <c r="L4" t="n">
        <v>-5.25</v>
      </c>
      <c r="M4" t="n">
        <v>-1.25</v>
      </c>
      <c r="N4" t="n">
        <v>79</v>
      </c>
      <c r="O4" t="n">
        <v>-5.79799414857442</v>
      </c>
      <c r="P4" t="n">
        <v>1.22184874961636</v>
      </c>
      <c r="Q4" t="n">
        <v>0.0222763947111523</v>
      </c>
      <c r="R4" t="n">
        <v>552</v>
      </c>
      <c r="S4" t="n">
        <v>43.3</v>
      </c>
      <c r="T4" t="n">
        <v>2</v>
      </c>
      <c r="U4" t="n">
        <v>6.31</v>
      </c>
      <c r="V4" t="n">
        <v>97</v>
      </c>
      <c r="W4" t="n">
        <v>129</v>
      </c>
      <c r="X4" t="n">
        <v>0</v>
      </c>
      <c r="Y4" t="n">
        <v>-0.75</v>
      </c>
      <c r="Z4" t="n">
        <v>64</v>
      </c>
      <c r="AA4" t="n">
        <v>-0.25</v>
      </c>
      <c r="AB4" t="n">
        <v>0.0457574905606751</v>
      </c>
      <c r="AC4" t="n">
        <v>-0.00432137378264258</v>
      </c>
      <c r="AD4" t="n">
        <v>0</v>
      </c>
      <c r="AE4" t="n">
        <v>5</v>
      </c>
      <c r="AF4" t="s">
        <v>71</v>
      </c>
      <c r="AG4" t="s">
        <v>71</v>
      </c>
      <c r="AH4" t="s">
        <v>72</v>
      </c>
      <c r="AI4" t="s">
        <v>73</v>
      </c>
      <c r="AJ4" t="n">
        <v>19</v>
      </c>
      <c r="AK4" t="n">
        <v>0.25</v>
      </c>
      <c r="AL4" t="n">
        <v>-0.25</v>
      </c>
      <c r="AM4" t="n">
        <v>141</v>
      </c>
      <c r="AN4" t="n">
        <v>0.125</v>
      </c>
      <c r="AO4" t="n">
        <v>76</v>
      </c>
      <c r="AP4" t="n">
        <v>-0.25</v>
      </c>
      <c r="AQ4" t="n">
        <v>-0.25</v>
      </c>
      <c r="AR4" t="n">
        <v>115</v>
      </c>
      <c r="AS4" t="n">
        <v>186</v>
      </c>
      <c r="AT4" t="n">
        <v>-0.25</v>
      </c>
      <c r="AU4" t="n">
        <v>0</v>
      </c>
      <c r="AV4" t="n">
        <v>36</v>
      </c>
      <c r="AW4" t="n">
        <v>-0.25</v>
      </c>
      <c r="AX4" t="n">
        <v>379</v>
      </c>
      <c r="AY4" t="n">
        <v>-0.5</v>
      </c>
      <c r="AZ4" t="n">
        <v>-0.25</v>
      </c>
      <c r="BA4" t="n">
        <v>139</v>
      </c>
      <c r="BB4" t="n">
        <v>743</v>
      </c>
      <c r="BC4" t="n">
        <v>0.25</v>
      </c>
      <c r="BD4" t="n">
        <v>-0.5</v>
      </c>
      <c r="BE4" t="n">
        <v>146</v>
      </c>
      <c r="BF4" t="s">
        <v>79</v>
      </c>
      <c r="BG4" t="n">
        <v>0.120048066572995</v>
      </c>
      <c r="BH4" t="n">
        <v>0.833333333333333</v>
      </c>
      <c r="BI4" t="n">
        <v>16</v>
      </c>
      <c r="BJ4" t="s">
        <v>74</v>
      </c>
    </row>
    <row r="5">
      <c r="A5" t="s">
        <v>84</v>
      </c>
      <c r="B5" t="s">
        <v>85</v>
      </c>
      <c r="C5" t="s">
        <v>86</v>
      </c>
      <c r="D5" t="s">
        <v>78</v>
      </c>
      <c r="E5" t="n">
        <v>1</v>
      </c>
      <c r="F5" t="s">
        <v>66</v>
      </c>
      <c r="G5" t="s">
        <v>67</v>
      </c>
      <c r="H5" t="s">
        <v>87</v>
      </c>
      <c r="I5" t="n">
        <v>40</v>
      </c>
      <c r="J5" t="s">
        <v>80</v>
      </c>
      <c r="K5" t="s">
        <v>70</v>
      </c>
      <c r="L5" t="n">
        <v>-3</v>
      </c>
      <c r="M5" t="n">
        <v>-0.25</v>
      </c>
      <c r="N5" t="n">
        <v>99</v>
      </c>
      <c r="O5" t="n">
        <v>-3.11868066755212</v>
      </c>
      <c r="P5" t="n">
        <v>0.920818753952375</v>
      </c>
      <c r="Q5" t="n">
        <v>-0.00860017176191757</v>
      </c>
      <c r="R5" t="n">
        <v>518</v>
      </c>
      <c r="S5" t="n">
        <v>42.64</v>
      </c>
      <c r="T5" t="n">
        <v>0</v>
      </c>
      <c r="U5" t="n">
        <v>6.49</v>
      </c>
      <c r="V5" t="n">
        <v>41</v>
      </c>
      <c r="W5" t="n">
        <v>262</v>
      </c>
      <c r="X5" t="n">
        <v>0.5</v>
      </c>
      <c r="Y5" t="n">
        <v>-0.25</v>
      </c>
      <c r="Z5" t="n">
        <v>87</v>
      </c>
      <c r="AA5" t="n">
        <v>0.25</v>
      </c>
      <c r="AB5" t="n">
        <v>-0.0170333392987804</v>
      </c>
      <c r="AC5" t="n">
        <v>-0.0128372247051722</v>
      </c>
      <c r="AD5" t="n">
        <v>1</v>
      </c>
      <c r="AE5" t="n">
        <v>4</v>
      </c>
      <c r="AF5" t="s">
        <v>70</v>
      </c>
      <c r="AG5" t="s">
        <v>70</v>
      </c>
      <c r="AH5" t="s">
        <v>72</v>
      </c>
      <c r="AI5" t="s">
        <v>88</v>
      </c>
      <c r="AJ5" t="n">
        <v>41</v>
      </c>
      <c r="AK5" t="n">
        <v>0.5</v>
      </c>
      <c r="AL5" t="n">
        <v>-0.5</v>
      </c>
      <c r="AM5" t="n">
        <v>143</v>
      </c>
      <c r="AN5" t="n">
        <v>0.25</v>
      </c>
      <c r="AO5" t="n">
        <v>96</v>
      </c>
      <c r="AP5" t="n">
        <v>0.75</v>
      </c>
      <c r="AQ5" t="n">
        <v>-0.5</v>
      </c>
      <c r="AR5" t="n">
        <v>76</v>
      </c>
      <c r="AS5" t="n">
        <v>170</v>
      </c>
      <c r="AT5" t="n">
        <v>0.5</v>
      </c>
      <c r="AU5" t="n">
        <v>-0.25</v>
      </c>
      <c r="AV5" t="n">
        <v>17</v>
      </c>
      <c r="AW5" t="n">
        <v>0.375</v>
      </c>
      <c r="AX5" t="n">
        <v>379</v>
      </c>
      <c r="AY5" t="n">
        <v>0</v>
      </c>
      <c r="AZ5" t="n">
        <v>-0.25</v>
      </c>
      <c r="BA5" t="n">
        <v>66</v>
      </c>
      <c r="BB5"/>
      <c r="BC5"/>
      <c r="BD5"/>
      <c r="BE5"/>
      <c r="BF5" t="s">
        <v>66</v>
      </c>
      <c r="BG5" t="n">
        <v>0.678851741802814</v>
      </c>
      <c r="BH5" t="n">
        <v>1</v>
      </c>
      <c r="BI5" t="n">
        <v>2</v>
      </c>
      <c r="BJ5" t="s">
        <v>74</v>
      </c>
    </row>
    <row r="6">
      <c r="A6" t="s">
        <v>89</v>
      </c>
      <c r="B6" t="s">
        <v>90</v>
      </c>
      <c r="C6" t="s">
        <v>91</v>
      </c>
      <c r="D6" t="s">
        <v>65</v>
      </c>
      <c r="E6" t="n">
        <v>1</v>
      </c>
      <c r="F6" t="s">
        <v>79</v>
      </c>
      <c r="G6" t="s">
        <v>67</v>
      </c>
      <c r="H6" t="s">
        <v>68</v>
      </c>
      <c r="I6" t="n">
        <v>40</v>
      </c>
      <c r="J6" t="s">
        <v>80</v>
      </c>
      <c r="K6" t="s">
        <v>70</v>
      </c>
      <c r="L6" t="n">
        <v>-5.25</v>
      </c>
      <c r="M6" t="n">
        <v>0</v>
      </c>
      <c r="N6" t="n">
        <v>3</v>
      </c>
      <c r="O6" t="n">
        <v>-5.35502802230465</v>
      </c>
      <c r="P6" t="n">
        <v>1.22184874961636</v>
      </c>
      <c r="Q6" t="n">
        <v>-0.0170333392987804</v>
      </c>
      <c r="R6" t="n">
        <v>578</v>
      </c>
      <c r="S6" t="n">
        <v>45.33</v>
      </c>
      <c r="T6" t="n">
        <v>0</v>
      </c>
      <c r="U6" t="n">
        <v>6.82</v>
      </c>
      <c r="V6" t="n">
        <v>78</v>
      </c>
      <c r="W6" t="n">
        <v>125</v>
      </c>
      <c r="X6" t="n">
        <v>0.25</v>
      </c>
      <c r="Y6" t="n">
        <v>-0.5</v>
      </c>
      <c r="Z6" t="n">
        <v>91</v>
      </c>
      <c r="AA6" t="n">
        <v>0</v>
      </c>
      <c r="AB6" t="n">
        <v>0.0409586076789064</v>
      </c>
      <c r="AC6" t="n">
        <v>-0.0170333392987804</v>
      </c>
      <c r="AD6" t="n">
        <v>1</v>
      </c>
      <c r="AE6" t="n">
        <v>5</v>
      </c>
      <c r="AF6" t="s">
        <v>70</v>
      </c>
      <c r="AG6" t="s">
        <v>71</v>
      </c>
      <c r="AH6" t="s">
        <v>72</v>
      </c>
      <c r="AI6" t="s">
        <v>88</v>
      </c>
      <c r="AJ6" t="n">
        <v>18</v>
      </c>
      <c r="AK6" t="n">
        <v>0.25</v>
      </c>
      <c r="AL6" t="n">
        <v>-0.25</v>
      </c>
      <c r="AM6" t="n">
        <v>51</v>
      </c>
      <c r="AN6" t="n">
        <v>0.125</v>
      </c>
      <c r="AO6" t="n">
        <v>90</v>
      </c>
      <c r="AP6" t="n">
        <v>0</v>
      </c>
      <c r="AQ6" t="n">
        <v>0</v>
      </c>
      <c r="AR6" t="n">
        <v>65</v>
      </c>
      <c r="AS6" t="n">
        <v>183</v>
      </c>
      <c r="AT6" t="n">
        <v>0.25</v>
      </c>
      <c r="AU6" t="n">
        <v>-0.5</v>
      </c>
      <c r="AV6" t="n">
        <v>103</v>
      </c>
      <c r="AW6" t="n">
        <v>0</v>
      </c>
      <c r="AX6" t="n">
        <v>376</v>
      </c>
      <c r="AY6" t="n">
        <v>0.25</v>
      </c>
      <c r="AZ6" t="n">
        <v>-0.25</v>
      </c>
      <c r="BA6" t="n">
        <v>103</v>
      </c>
      <c r="BB6" t="n">
        <v>726</v>
      </c>
      <c r="BC6" t="n">
        <v>0</v>
      </c>
      <c r="BD6" t="n">
        <v>0</v>
      </c>
      <c r="BE6" t="n">
        <v>138</v>
      </c>
      <c r="BF6" t="s">
        <v>79</v>
      </c>
      <c r="BG6" t="n">
        <v>0.348782694353507</v>
      </c>
      <c r="BH6" t="n">
        <v>0.833333333333333</v>
      </c>
      <c r="BI6" t="n">
        <v>25</v>
      </c>
      <c r="BJ6" t="s">
        <v>74</v>
      </c>
    </row>
    <row r="7">
      <c r="A7" t="s">
        <v>89</v>
      </c>
      <c r="B7" t="s">
        <v>90</v>
      </c>
      <c r="C7" t="s">
        <v>92</v>
      </c>
      <c r="D7" t="s">
        <v>78</v>
      </c>
      <c r="E7" t="n">
        <v>1</v>
      </c>
      <c r="F7" t="s">
        <v>79</v>
      </c>
      <c r="G7" t="s">
        <v>67</v>
      </c>
      <c r="H7" t="s">
        <v>68</v>
      </c>
      <c r="I7" t="n">
        <v>40</v>
      </c>
      <c r="J7" t="s">
        <v>80</v>
      </c>
      <c r="K7" t="s">
        <v>70</v>
      </c>
      <c r="L7" t="n">
        <v>-5.75</v>
      </c>
      <c r="M7" t="n">
        <v>-1.25</v>
      </c>
      <c r="N7" t="n">
        <v>100</v>
      </c>
      <c r="O7" t="n">
        <v>-6.31583909056481</v>
      </c>
      <c r="P7" t="n">
        <v>1.30102999566398</v>
      </c>
      <c r="Q7" t="n">
        <v>-0.0530784434834197</v>
      </c>
      <c r="R7" t="n">
        <v>516</v>
      </c>
      <c r="S7" t="n">
        <v>42.7</v>
      </c>
      <c r="T7" t="n">
        <v>2</v>
      </c>
      <c r="U7" t="n">
        <v>6.77</v>
      </c>
      <c r="V7" t="n">
        <v>92</v>
      </c>
      <c r="W7" t="n">
        <v>115</v>
      </c>
      <c r="X7" t="n">
        <v>0</v>
      </c>
      <c r="Y7" t="n">
        <v>-0.25</v>
      </c>
      <c r="Z7" t="n">
        <v>103</v>
      </c>
      <c r="AA7" t="n">
        <v>0</v>
      </c>
      <c r="AB7" t="n">
        <v>-0.0718820073061254</v>
      </c>
      <c r="AC7" t="n">
        <v>-0.0644579892269184</v>
      </c>
      <c r="AD7" t="n">
        <v>1</v>
      </c>
      <c r="AE7" t="n">
        <v>4</v>
      </c>
      <c r="AF7" t="s">
        <v>71</v>
      </c>
      <c r="AG7" t="s">
        <v>71</v>
      </c>
      <c r="AH7" t="s">
        <v>72</v>
      </c>
      <c r="AI7" t="s">
        <v>73</v>
      </c>
      <c r="AJ7" t="n">
        <v>37</v>
      </c>
      <c r="AK7" t="n">
        <v>0</v>
      </c>
      <c r="AL7" t="n">
        <v>0</v>
      </c>
      <c r="AM7" t="n">
        <v>23</v>
      </c>
      <c r="AN7" t="n">
        <v>0</v>
      </c>
      <c r="AO7" t="n">
        <v>86</v>
      </c>
      <c r="AP7" t="n">
        <v>0</v>
      </c>
      <c r="AQ7" t="n">
        <v>0</v>
      </c>
      <c r="AR7" t="n">
        <v>1</v>
      </c>
      <c r="AS7" t="n">
        <v>175</v>
      </c>
      <c r="AT7" t="n">
        <v>0.25</v>
      </c>
      <c r="AU7" t="n">
        <v>-0.25</v>
      </c>
      <c r="AV7" t="n">
        <v>28</v>
      </c>
      <c r="AW7" t="n">
        <v>0.125</v>
      </c>
      <c r="AX7" t="n">
        <v>364</v>
      </c>
      <c r="AY7" t="n">
        <v>0.25</v>
      </c>
      <c r="AZ7" t="n">
        <v>-0.25</v>
      </c>
      <c r="BA7" t="n">
        <v>57</v>
      </c>
      <c r="BB7"/>
      <c r="BC7"/>
      <c r="BD7"/>
      <c r="BE7"/>
      <c r="BF7" t="s">
        <v>79</v>
      </c>
      <c r="BG7" t="n">
        <v>0.705078492878182</v>
      </c>
      <c r="BH7" t="n">
        <v>0.833333333333333</v>
      </c>
      <c r="BI7" t="n">
        <v>19</v>
      </c>
      <c r="BJ7" t="s">
        <v>74</v>
      </c>
    </row>
    <row r="8">
      <c r="A8" t="s">
        <v>93</v>
      </c>
      <c r="B8" t="s">
        <v>94</v>
      </c>
      <c r="C8" t="s">
        <v>95</v>
      </c>
      <c r="D8" t="s">
        <v>65</v>
      </c>
      <c r="E8" t="n">
        <v>1</v>
      </c>
      <c r="F8" t="s">
        <v>66</v>
      </c>
      <c r="G8" t="s">
        <v>67</v>
      </c>
      <c r="H8" t="s">
        <v>87</v>
      </c>
      <c r="I8" t="n">
        <v>32</v>
      </c>
      <c r="J8" t="s">
        <v>80</v>
      </c>
      <c r="K8" t="s">
        <v>71</v>
      </c>
      <c r="L8" t="n">
        <v>-5</v>
      </c>
      <c r="M8" t="n">
        <v>-0.25</v>
      </c>
      <c r="N8" t="n">
        <v>94</v>
      </c>
      <c r="O8" t="n">
        <v>-5.20975314560473</v>
      </c>
      <c r="P8" t="n">
        <v>1.22184874961636</v>
      </c>
      <c r="Q8" t="n">
        <v>0.0457574905606751</v>
      </c>
      <c r="R8" t="n">
        <v>500</v>
      </c>
      <c r="S8" t="n">
        <v>41.64</v>
      </c>
      <c r="T8" t="n">
        <v>0</v>
      </c>
      <c r="U8" t="n">
        <v>6.43</v>
      </c>
      <c r="V8" t="n">
        <v>85</v>
      </c>
      <c r="W8" t="n">
        <v>179</v>
      </c>
      <c r="X8" t="n">
        <v>-1</v>
      </c>
      <c r="Y8" t="n">
        <v>0</v>
      </c>
      <c r="Z8" t="n">
        <v>70</v>
      </c>
      <c r="AA8" t="n">
        <v>-1</v>
      </c>
      <c r="AB8" t="n">
        <v>0.161150909262745</v>
      </c>
      <c r="AC8" t="n">
        <v>0.0315170514460649</v>
      </c>
      <c r="AD8" t="n">
        <v>0</v>
      </c>
      <c r="AE8" t="n">
        <v>4</v>
      </c>
      <c r="AF8" t="s">
        <v>71</v>
      </c>
      <c r="AG8" t="s">
        <v>71</v>
      </c>
      <c r="AH8" t="s">
        <v>72</v>
      </c>
      <c r="AI8" t="s">
        <v>73</v>
      </c>
      <c r="AJ8" t="n">
        <v>18</v>
      </c>
      <c r="AK8" t="n">
        <v>-0.5</v>
      </c>
      <c r="AL8" t="n">
        <v>-0.25</v>
      </c>
      <c r="AM8" t="n">
        <v>150</v>
      </c>
      <c r="AN8" t="n">
        <v>-0.625</v>
      </c>
      <c r="AO8" t="n">
        <v>104</v>
      </c>
      <c r="AP8" t="n">
        <v>-0.75</v>
      </c>
      <c r="AQ8" t="n">
        <v>-0.25</v>
      </c>
      <c r="AR8" t="n">
        <v>113</v>
      </c>
      <c r="AS8" t="n">
        <v>187</v>
      </c>
      <c r="AT8" t="n">
        <v>-1</v>
      </c>
      <c r="AU8" t="n">
        <v>-0.25</v>
      </c>
      <c r="AV8" t="n">
        <v>96</v>
      </c>
      <c r="AW8" t="n">
        <v>-1.125</v>
      </c>
      <c r="AX8" t="n">
        <v>355</v>
      </c>
      <c r="AY8" t="n">
        <v>-1</v>
      </c>
      <c r="AZ8" t="n">
        <v>-0.25</v>
      </c>
      <c r="BA8" t="n">
        <v>137</v>
      </c>
      <c r="BB8" t="n">
        <v>721</v>
      </c>
      <c r="BC8" t="n">
        <v>-1.5</v>
      </c>
      <c r="BD8" t="n">
        <v>0</v>
      </c>
      <c r="BE8" t="n">
        <v>37</v>
      </c>
      <c r="BF8" t="s">
        <v>66</v>
      </c>
      <c r="BG8" t="n">
        <v>0.322707238313788</v>
      </c>
      <c r="BH8" t="n">
        <v>1</v>
      </c>
      <c r="BI8" t="n">
        <v>3</v>
      </c>
      <c r="BJ8" t="s">
        <v>74</v>
      </c>
    </row>
    <row r="9">
      <c r="A9" t="s">
        <v>93</v>
      </c>
      <c r="B9" t="s">
        <v>94</v>
      </c>
      <c r="C9" t="s">
        <v>96</v>
      </c>
      <c r="D9" t="s">
        <v>78</v>
      </c>
      <c r="E9" t="n">
        <v>1</v>
      </c>
      <c r="F9" t="s">
        <v>66</v>
      </c>
      <c r="G9" t="s">
        <v>67</v>
      </c>
      <c r="H9" t="s">
        <v>87</v>
      </c>
      <c r="I9" t="n">
        <v>32</v>
      </c>
      <c r="J9" t="s">
        <v>80</v>
      </c>
      <c r="K9" t="s">
        <v>71</v>
      </c>
      <c r="L9" t="n">
        <v>-2</v>
      </c>
      <c r="M9" t="n">
        <v>-1.25</v>
      </c>
      <c r="N9" t="n">
        <v>96</v>
      </c>
      <c r="O9" t="n">
        <v>-2.66313250294429</v>
      </c>
      <c r="P9" t="n">
        <v>0.920818753952375</v>
      </c>
      <c r="Q9" t="n">
        <v>-0.0253058652647703</v>
      </c>
      <c r="R9" t="n">
        <v>547</v>
      </c>
      <c r="S9" t="n">
        <v>44.21</v>
      </c>
      <c r="T9" t="n">
        <v>1</v>
      </c>
      <c r="U9" t="n">
        <v>6.15</v>
      </c>
      <c r="V9" t="n">
        <v>40</v>
      </c>
      <c r="W9" t="n">
        <v>171</v>
      </c>
      <c r="X9" t="n">
        <v>0.25</v>
      </c>
      <c r="Y9" t="n">
        <v>0</v>
      </c>
      <c r="Z9" t="n">
        <v>99</v>
      </c>
      <c r="AA9" t="n">
        <v>0.25</v>
      </c>
      <c r="AB9" t="n">
        <v>0.0362121726544447</v>
      </c>
      <c r="AC9" t="n">
        <v>-0.0293837776852097</v>
      </c>
      <c r="AD9" t="n">
        <v>0</v>
      </c>
      <c r="AE9" t="n">
        <v>4</v>
      </c>
      <c r="AF9" t="s">
        <v>71</v>
      </c>
      <c r="AG9" t="s">
        <v>71</v>
      </c>
      <c r="AH9" t="s">
        <v>72</v>
      </c>
      <c r="AI9" t="s">
        <v>73</v>
      </c>
      <c r="AJ9" t="n">
        <v>43</v>
      </c>
      <c r="AK9" t="n">
        <v>0.5</v>
      </c>
      <c r="AL9" t="n">
        <v>-0.25</v>
      </c>
      <c r="AM9" t="n">
        <v>142</v>
      </c>
      <c r="AN9" t="n">
        <v>0.375</v>
      </c>
      <c r="AO9" t="n">
        <v>80</v>
      </c>
      <c r="AP9" t="n">
        <v>0</v>
      </c>
      <c r="AQ9" t="n">
        <v>0</v>
      </c>
      <c r="AR9" t="n">
        <v>80</v>
      </c>
      <c r="AS9" t="n">
        <v>189</v>
      </c>
      <c r="AT9" t="n">
        <v>0.25</v>
      </c>
      <c r="AU9" t="n">
        <v>0</v>
      </c>
      <c r="AV9" t="n">
        <v>28</v>
      </c>
      <c r="AW9" t="n">
        <v>0.25</v>
      </c>
      <c r="AX9" t="n">
        <v>361</v>
      </c>
      <c r="AY9" t="n">
        <v>0.25</v>
      </c>
      <c r="AZ9" t="n">
        <v>-0.25</v>
      </c>
      <c r="BA9" t="n">
        <v>162</v>
      </c>
      <c r="BB9" t="n">
        <v>732</v>
      </c>
      <c r="BC9" t="n">
        <v>-0.25</v>
      </c>
      <c r="BD9" t="n">
        <v>0</v>
      </c>
      <c r="BE9" t="n">
        <v>25</v>
      </c>
      <c r="BF9" t="s">
        <v>66</v>
      </c>
      <c r="BG9" t="n">
        <v>0.133570876268496</v>
      </c>
      <c r="BH9" t="n">
        <v>1</v>
      </c>
      <c r="BI9" t="n">
        <v>4</v>
      </c>
      <c r="BJ9" t="s">
        <v>74</v>
      </c>
    </row>
    <row r="10">
      <c r="A10" t="s">
        <v>97</v>
      </c>
      <c r="B10" t="s">
        <v>98</v>
      </c>
      <c r="C10" t="s">
        <v>99</v>
      </c>
      <c r="D10" t="s">
        <v>78</v>
      </c>
      <c r="E10" t="n">
        <v>1</v>
      </c>
      <c r="F10" t="s">
        <v>66</v>
      </c>
      <c r="G10" t="s">
        <v>67</v>
      </c>
      <c r="H10" t="s">
        <v>100</v>
      </c>
      <c r="I10" t="n">
        <v>36</v>
      </c>
      <c r="J10" t="s">
        <v>80</v>
      </c>
      <c r="K10" t="s">
        <v>71</v>
      </c>
      <c r="L10" t="n">
        <v>-0.5</v>
      </c>
      <c r="M10" t="n">
        <v>-0.5</v>
      </c>
      <c r="N10" t="n">
        <v>24</v>
      </c>
      <c r="O10" t="n">
        <v>-0.774212708125761</v>
      </c>
      <c r="P10" t="n">
        <v>0.744727494896694</v>
      </c>
      <c r="Q10" t="n">
        <v>0.0132282657337552</v>
      </c>
      <c r="R10" t="n">
        <v>551</v>
      </c>
      <c r="S10" t="n">
        <v>40.61</v>
      </c>
      <c r="T10" t="n">
        <v>0</v>
      </c>
      <c r="U10" t="n">
        <v>6.18</v>
      </c>
      <c r="V10" t="n">
        <v>20</v>
      </c>
      <c r="W10" t="n">
        <v>111</v>
      </c>
      <c r="X10" t="n">
        <v>0</v>
      </c>
      <c r="Y10" t="n">
        <v>0</v>
      </c>
      <c r="Z10" t="n">
        <v>17</v>
      </c>
      <c r="AA10" t="n">
        <v>0</v>
      </c>
      <c r="AB10" t="n">
        <v>0.10790539730952</v>
      </c>
      <c r="AC10" t="n">
        <v>0.0362121726544447</v>
      </c>
      <c r="AD10" t="n">
        <v>0</v>
      </c>
      <c r="AE10" t="n">
        <v>5</v>
      </c>
      <c r="AF10" t="s">
        <v>71</v>
      </c>
      <c r="AG10" t="s">
        <v>71</v>
      </c>
      <c r="AH10" t="s">
        <v>72</v>
      </c>
      <c r="AI10" t="s">
        <v>73</v>
      </c>
      <c r="AJ10" t="n">
        <v>42</v>
      </c>
      <c r="AK10" t="n">
        <v>0.25</v>
      </c>
      <c r="AL10" t="n">
        <v>-0.25</v>
      </c>
      <c r="AM10" t="n">
        <v>177</v>
      </c>
      <c r="AN10" t="n">
        <v>0.125</v>
      </c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 t="s">
        <v>66</v>
      </c>
      <c r="BG10" t="n">
        <v>0.234514456859668</v>
      </c>
      <c r="BH10" t="n">
        <v>1</v>
      </c>
      <c r="BI10" t="n">
        <v>5</v>
      </c>
      <c r="BJ10" t="s">
        <v>74</v>
      </c>
    </row>
    <row r="11">
      <c r="A11" t="s">
        <v>101</v>
      </c>
      <c r="B11" t="s">
        <v>102</v>
      </c>
      <c r="C11" t="s">
        <v>103</v>
      </c>
      <c r="D11" t="s">
        <v>65</v>
      </c>
      <c r="E11" t="n">
        <v>1</v>
      </c>
      <c r="F11" t="s">
        <v>79</v>
      </c>
      <c r="G11" t="s">
        <v>67</v>
      </c>
      <c r="H11" t="s">
        <v>68</v>
      </c>
      <c r="I11" t="n">
        <v>35</v>
      </c>
      <c r="J11" t="s">
        <v>69</v>
      </c>
      <c r="K11" t="s">
        <v>71</v>
      </c>
      <c r="L11" t="n">
        <v>-4.75</v>
      </c>
      <c r="M11" t="n">
        <v>-0.25</v>
      </c>
      <c r="N11" t="n">
        <v>172</v>
      </c>
      <c r="O11" t="n">
        <v>-4.9389177431937</v>
      </c>
      <c r="P11" t="n">
        <v>1.30102999566398</v>
      </c>
      <c r="Q11" t="n">
        <v>-0.0334237554869497</v>
      </c>
      <c r="R11" t="n">
        <v>509</v>
      </c>
      <c r="S11" t="n">
        <v>44.21</v>
      </c>
      <c r="T11" t="n">
        <v>1</v>
      </c>
      <c r="U11" t="n">
        <v>6.26</v>
      </c>
      <c r="V11" t="n">
        <v>69</v>
      </c>
      <c r="W11" t="n">
        <v>123</v>
      </c>
      <c r="X11" t="n">
        <v>0.5</v>
      </c>
      <c r="Y11" t="n">
        <v>-0.25</v>
      </c>
      <c r="Z11" t="n">
        <v>15</v>
      </c>
      <c r="AA11" t="n">
        <v>0.25</v>
      </c>
      <c r="AB11" t="n">
        <v>-0.0606978403536116</v>
      </c>
      <c r="AC11" t="n">
        <v>-0.0170333392987804</v>
      </c>
      <c r="AD11" t="n">
        <v>0</v>
      </c>
      <c r="AE11" t="n">
        <v>4</v>
      </c>
      <c r="AF11" t="s">
        <v>71</v>
      </c>
      <c r="AG11" t="s">
        <v>71</v>
      </c>
      <c r="AH11" t="s">
        <v>72</v>
      </c>
      <c r="AI11" t="s">
        <v>88</v>
      </c>
      <c r="AJ11" t="n">
        <v>33</v>
      </c>
      <c r="AK11" t="n">
        <v>0.5</v>
      </c>
      <c r="AL11" t="n">
        <v>-0.25</v>
      </c>
      <c r="AM11" t="n">
        <v>166</v>
      </c>
      <c r="AN11" t="n">
        <v>0.375</v>
      </c>
      <c r="AO11" t="n">
        <v>97</v>
      </c>
      <c r="AP11" t="n">
        <v>0.5</v>
      </c>
      <c r="AQ11" t="n">
        <v>-0.25</v>
      </c>
      <c r="AR11" t="n">
        <v>80</v>
      </c>
      <c r="AS11"/>
      <c r="AT11"/>
      <c r="AU11"/>
      <c r="AV11"/>
      <c r="AW11"/>
      <c r="AX11"/>
      <c r="AY11"/>
      <c r="AZ11"/>
      <c r="BA11"/>
      <c r="BB11"/>
      <c r="BC11"/>
      <c r="BD11"/>
      <c r="BE11"/>
      <c r="BF11" t="s">
        <v>79</v>
      </c>
      <c r="BG11" t="n">
        <v>0.381012104840685</v>
      </c>
      <c r="BH11" t="n">
        <v>0.833333333333333</v>
      </c>
      <c r="BI11" t="n">
        <v>9</v>
      </c>
      <c r="BJ11" t="s">
        <v>74</v>
      </c>
    </row>
    <row r="12">
      <c r="A12" t="s">
        <v>104</v>
      </c>
      <c r="B12" t="s">
        <v>105</v>
      </c>
      <c r="C12" t="s">
        <v>106</v>
      </c>
      <c r="D12" t="s">
        <v>65</v>
      </c>
      <c r="E12" t="n">
        <v>1</v>
      </c>
      <c r="F12" t="s">
        <v>79</v>
      </c>
      <c r="G12" t="s">
        <v>67</v>
      </c>
      <c r="H12" t="s">
        <v>68</v>
      </c>
      <c r="I12" t="n">
        <v>37</v>
      </c>
      <c r="J12" t="s">
        <v>80</v>
      </c>
      <c r="K12" t="s">
        <v>71</v>
      </c>
      <c r="L12" t="n">
        <v>-3.25</v>
      </c>
      <c r="M12" t="n">
        <v>-1.25</v>
      </c>
      <c r="N12" t="n">
        <v>84</v>
      </c>
      <c r="O12" t="n">
        <v>-3.9934692861115</v>
      </c>
      <c r="P12" t="n">
        <v>1.15490195998574</v>
      </c>
      <c r="Q12" t="n">
        <v>-0.0253058652647703</v>
      </c>
      <c r="R12" t="n">
        <v>525</v>
      </c>
      <c r="S12" t="n">
        <v>39.98</v>
      </c>
      <c r="T12" t="n">
        <v>1</v>
      </c>
      <c r="U12" t="n">
        <v>6.37</v>
      </c>
      <c r="V12" t="n">
        <v>55</v>
      </c>
      <c r="W12" t="n">
        <v>114</v>
      </c>
      <c r="X12" t="n">
        <v>0.5</v>
      </c>
      <c r="Y12" t="n">
        <v>-0.25</v>
      </c>
      <c r="Z12" t="n">
        <v>62</v>
      </c>
      <c r="AA12" t="n">
        <v>0.5</v>
      </c>
      <c r="AB12" t="n">
        <v>0.0222763947111523</v>
      </c>
      <c r="AC12" t="n">
        <v>-0.0253058652647703</v>
      </c>
      <c r="AD12" t="n">
        <v>0</v>
      </c>
      <c r="AE12" t="n">
        <v>5</v>
      </c>
      <c r="AF12" t="s">
        <v>71</v>
      </c>
      <c r="AG12" t="s">
        <v>71</v>
      </c>
      <c r="AH12" t="s">
        <v>72</v>
      </c>
      <c r="AI12" t="s">
        <v>73</v>
      </c>
      <c r="AJ12" t="n">
        <v>36</v>
      </c>
      <c r="AK12" t="n">
        <v>0.75</v>
      </c>
      <c r="AL12" t="n">
        <v>-0.25</v>
      </c>
      <c r="AM12" t="n">
        <v>129</v>
      </c>
      <c r="AN12" t="n">
        <v>0.625</v>
      </c>
      <c r="AO12" t="n">
        <v>101</v>
      </c>
      <c r="AP12" t="n">
        <v>0.75</v>
      </c>
      <c r="AQ12" t="n">
        <v>-0.5</v>
      </c>
      <c r="AR12" t="n">
        <v>138</v>
      </c>
      <c r="AS12" t="n">
        <v>190</v>
      </c>
      <c r="AT12" t="n">
        <v>0.75</v>
      </c>
      <c r="AU12" t="n">
        <v>0</v>
      </c>
      <c r="AV12" t="n">
        <v>24</v>
      </c>
      <c r="AW12" t="n">
        <v>0.75</v>
      </c>
      <c r="AX12" t="n">
        <v>361</v>
      </c>
      <c r="AY12" t="n">
        <v>0.75</v>
      </c>
      <c r="AZ12" t="n">
        <v>-0.25</v>
      </c>
      <c r="BA12" t="n">
        <v>175</v>
      </c>
      <c r="BB12" t="n">
        <v>736</v>
      </c>
      <c r="BC12" t="n">
        <v>0.75</v>
      </c>
      <c r="BD12" t="n">
        <v>-0.25</v>
      </c>
      <c r="BE12" t="n">
        <v>86</v>
      </c>
      <c r="BF12" t="s">
        <v>79</v>
      </c>
      <c r="BG12" t="n">
        <v>0.415431978940834</v>
      </c>
      <c r="BH12" t="n">
        <v>0.833333333333333</v>
      </c>
      <c r="BI12" t="n">
        <v>6</v>
      </c>
      <c r="BJ12" t="s">
        <v>74</v>
      </c>
    </row>
    <row r="13">
      <c r="A13" t="s">
        <v>107</v>
      </c>
      <c r="B13" t="s">
        <v>108</v>
      </c>
      <c r="C13" t="s">
        <v>109</v>
      </c>
      <c r="D13" t="s">
        <v>65</v>
      </c>
      <c r="E13" t="n">
        <v>1</v>
      </c>
      <c r="F13" t="s">
        <v>79</v>
      </c>
      <c r="G13" t="s">
        <v>67</v>
      </c>
      <c r="H13" t="s">
        <v>68</v>
      </c>
      <c r="I13" t="n">
        <v>35</v>
      </c>
      <c r="J13" t="s">
        <v>69</v>
      </c>
      <c r="K13" t="s">
        <v>71</v>
      </c>
      <c r="L13" t="n">
        <v>-1</v>
      </c>
      <c r="M13" t="n">
        <v>-0.5</v>
      </c>
      <c r="N13" t="n">
        <v>80</v>
      </c>
      <c r="O13" t="n">
        <v>-1.29397592220237</v>
      </c>
      <c r="P13" t="n">
        <v>0.853871964321762</v>
      </c>
      <c r="Q13" t="n">
        <v>-0.0128372247051722</v>
      </c>
      <c r="R13" t="n">
        <v>523</v>
      </c>
      <c r="S13" t="n">
        <v>45.97</v>
      </c>
      <c r="T13" t="n">
        <v>3</v>
      </c>
      <c r="U13" t="n">
        <v>6.57</v>
      </c>
      <c r="V13" t="n">
        <v>28</v>
      </c>
      <c r="W13" t="n">
        <v>132</v>
      </c>
      <c r="X13" t="n">
        <v>0</v>
      </c>
      <c r="Y13" t="n">
        <v>0</v>
      </c>
      <c r="Z13" t="n">
        <v>11</v>
      </c>
      <c r="AA13" t="n">
        <v>0</v>
      </c>
      <c r="AB13" t="n">
        <v>-0.0334237554869497</v>
      </c>
      <c r="AC13" t="n">
        <v>-0.0253058652647703</v>
      </c>
      <c r="AD13" t="n">
        <v>1</v>
      </c>
      <c r="AE13" t="n">
        <v>4</v>
      </c>
      <c r="AF13" t="s">
        <v>71</v>
      </c>
      <c r="AG13" t="s">
        <v>71</v>
      </c>
      <c r="AH13" t="s">
        <v>72</v>
      </c>
      <c r="AI13" t="s">
        <v>88</v>
      </c>
      <c r="AJ13" t="n">
        <v>39</v>
      </c>
      <c r="AK13" t="n">
        <v>0.25</v>
      </c>
      <c r="AL13" t="n">
        <v>-0.5</v>
      </c>
      <c r="AM13" t="n">
        <v>66</v>
      </c>
      <c r="AN13" t="n">
        <v>0</v>
      </c>
      <c r="AO13" t="n">
        <v>99</v>
      </c>
      <c r="AP13" t="n">
        <v>0.25</v>
      </c>
      <c r="AQ13" t="n">
        <v>-0.25</v>
      </c>
      <c r="AR13" t="n">
        <v>34</v>
      </c>
      <c r="AS13" t="n">
        <v>186</v>
      </c>
      <c r="AT13" t="n">
        <v>0.25</v>
      </c>
      <c r="AU13" t="n">
        <v>-0.25</v>
      </c>
      <c r="AV13" t="n">
        <v>106</v>
      </c>
      <c r="AW13" t="n">
        <v>0.125</v>
      </c>
      <c r="AX13" t="n">
        <v>354</v>
      </c>
      <c r="AY13" t="n">
        <v>-0.25</v>
      </c>
      <c r="AZ13" t="n">
        <v>0</v>
      </c>
      <c r="BA13" t="n">
        <v>75</v>
      </c>
      <c r="BB13" t="n">
        <v>716</v>
      </c>
      <c r="BC13" t="n">
        <v>0</v>
      </c>
      <c r="BD13" t="n">
        <v>0</v>
      </c>
      <c r="BE13" t="n">
        <v>85</v>
      </c>
      <c r="BF13" t="s">
        <v>79</v>
      </c>
      <c r="BG13" t="n">
        <v>0.29671954092439</v>
      </c>
      <c r="BH13" t="n">
        <v>0.833333333333333</v>
      </c>
      <c r="BI13" t="n">
        <v>7</v>
      </c>
      <c r="BJ13" t="s">
        <v>74</v>
      </c>
    </row>
    <row r="14">
      <c r="A14" t="s">
        <v>110</v>
      </c>
      <c r="B14" t="s">
        <v>111</v>
      </c>
      <c r="C14" t="s">
        <v>112</v>
      </c>
      <c r="D14" t="s">
        <v>65</v>
      </c>
      <c r="E14" t="n">
        <v>1</v>
      </c>
      <c r="F14" t="s">
        <v>79</v>
      </c>
      <c r="G14" t="s">
        <v>67</v>
      </c>
      <c r="H14" t="s">
        <v>68</v>
      </c>
      <c r="I14" t="n">
        <v>34</v>
      </c>
      <c r="J14" t="s">
        <v>80</v>
      </c>
      <c r="K14" t="s">
        <v>71</v>
      </c>
      <c r="L14" t="n">
        <v>-0.5</v>
      </c>
      <c r="M14" t="n">
        <v>-0.75</v>
      </c>
      <c r="N14" t="n">
        <v>7</v>
      </c>
      <c r="O14" t="n">
        <v>-0.75</v>
      </c>
      <c r="P14" t="n">
        <v>0.795880017344075</v>
      </c>
      <c r="Q14" t="n">
        <v>0.00877392430750515</v>
      </c>
      <c r="R14" t="n">
        <v>534</v>
      </c>
      <c r="S14" t="n">
        <v>42.76</v>
      </c>
      <c r="T14" t="n">
        <v>0</v>
      </c>
      <c r="U14" t="n">
        <v>6.31</v>
      </c>
      <c r="V14" t="n">
        <v>20</v>
      </c>
      <c r="W14" t="n">
        <v>120</v>
      </c>
      <c r="X14" t="n">
        <v>0</v>
      </c>
      <c r="Y14" t="n">
        <v>-0.25</v>
      </c>
      <c r="Z14" t="n">
        <v>24</v>
      </c>
      <c r="AA14" t="n">
        <v>0</v>
      </c>
      <c r="AB14" t="n">
        <v>-0.0334237554869497</v>
      </c>
      <c r="AC14" t="n">
        <v>-0.00860017176191757</v>
      </c>
      <c r="AD14" t="n">
        <v>0</v>
      </c>
      <c r="AE14" t="n">
        <v>3</v>
      </c>
      <c r="AF14" t="s">
        <v>71</v>
      </c>
      <c r="AG14" t="s">
        <v>71</v>
      </c>
      <c r="AH14" t="s">
        <v>113</v>
      </c>
      <c r="AI14" t="s">
        <v>73</v>
      </c>
      <c r="AJ14" t="n">
        <v>33</v>
      </c>
      <c r="AK14" t="n">
        <v>0.25</v>
      </c>
      <c r="AL14" t="n">
        <v>-0.25</v>
      </c>
      <c r="AM14" t="n">
        <v>97</v>
      </c>
      <c r="AN14" t="n">
        <v>0.125</v>
      </c>
      <c r="AO14" t="n">
        <v>101</v>
      </c>
      <c r="AP14" t="n">
        <v>0</v>
      </c>
      <c r="AQ14" t="n">
        <v>0</v>
      </c>
      <c r="AR14" t="n">
        <v>55</v>
      </c>
      <c r="AS14" t="n">
        <v>171</v>
      </c>
      <c r="AT14" t="n">
        <v>0.25</v>
      </c>
      <c r="AU14" t="n">
        <v>0</v>
      </c>
      <c r="AV14" t="n">
        <v>12</v>
      </c>
      <c r="AW14" t="n">
        <v>0.25</v>
      </c>
      <c r="AX14" t="n">
        <v>379</v>
      </c>
      <c r="AY14" t="n">
        <v>0</v>
      </c>
      <c r="AZ14" t="n">
        <v>-0.25</v>
      </c>
      <c r="BA14" t="n">
        <v>71</v>
      </c>
      <c r="BB14" t="n">
        <v>726</v>
      </c>
      <c r="BC14" t="n">
        <v>0.25</v>
      </c>
      <c r="BD14" t="n">
        <v>-0.25</v>
      </c>
      <c r="BE14" t="n">
        <v>90</v>
      </c>
      <c r="BF14" t="s">
        <v>79</v>
      </c>
      <c r="BG14" t="n">
        <v>0.20282719201356</v>
      </c>
      <c r="BH14" t="n">
        <v>0.833333333333333</v>
      </c>
      <c r="BI14" t="n">
        <v>1</v>
      </c>
      <c r="BJ14" t="s">
        <v>74</v>
      </c>
    </row>
    <row r="15">
      <c r="A15" t="s">
        <v>114</v>
      </c>
      <c r="B15" t="s">
        <v>115</v>
      </c>
      <c r="C15" t="s">
        <v>116</v>
      </c>
      <c r="D15" t="s">
        <v>78</v>
      </c>
      <c r="E15" t="n">
        <v>1</v>
      </c>
      <c r="F15" t="s">
        <v>79</v>
      </c>
      <c r="G15" t="s">
        <v>67</v>
      </c>
      <c r="H15" t="s">
        <v>68</v>
      </c>
      <c r="I15" t="n">
        <v>34</v>
      </c>
      <c r="J15" t="s">
        <v>80</v>
      </c>
      <c r="K15" t="s">
        <v>71</v>
      </c>
      <c r="L15" t="n">
        <v>-1.25</v>
      </c>
      <c r="M15" t="n">
        <v>-0.75</v>
      </c>
      <c r="N15" t="n">
        <v>99</v>
      </c>
      <c r="O15" t="n">
        <v>-1.57955262847717</v>
      </c>
      <c r="P15" t="n">
        <v>0.886056647693163</v>
      </c>
      <c r="Q15" t="n">
        <v>-0.0253058652647703</v>
      </c>
      <c r="R15" t="n">
        <v>565</v>
      </c>
      <c r="S15" t="n">
        <v>43.16</v>
      </c>
      <c r="T15" t="n">
        <v>2</v>
      </c>
      <c r="U15" t="n">
        <v>6.96</v>
      </c>
      <c r="V15" t="n">
        <v>30</v>
      </c>
      <c r="W15" t="n">
        <v>365</v>
      </c>
      <c r="X15" t="n">
        <v>-0.5</v>
      </c>
      <c r="Y15" t="n">
        <v>-0.25</v>
      </c>
      <c r="Z15" t="n">
        <v>75</v>
      </c>
      <c r="AA15" t="n">
        <v>-0.5</v>
      </c>
      <c r="AB15" t="n">
        <v>-0.0530784434834197</v>
      </c>
      <c r="AC15" t="n">
        <v>-0.0211892990699381</v>
      </c>
      <c r="AD15" t="n">
        <v>0</v>
      </c>
      <c r="AE15"/>
      <c r="AF15" t="s">
        <v>70</v>
      </c>
      <c r="AG15" t="s">
        <v>71</v>
      </c>
      <c r="AH15" t="s">
        <v>72</v>
      </c>
      <c r="AI15" t="s">
        <v>73</v>
      </c>
      <c r="AJ15" t="n">
        <v>36</v>
      </c>
      <c r="AK15" t="n">
        <v>-0.25</v>
      </c>
      <c r="AL15" t="n">
        <v>0</v>
      </c>
      <c r="AM15" t="n">
        <v>165</v>
      </c>
      <c r="AN15" t="n">
        <v>-0.25</v>
      </c>
      <c r="AO15" t="n">
        <v>77</v>
      </c>
      <c r="AP15" t="n">
        <v>-0.25</v>
      </c>
      <c r="AQ15" t="n">
        <v>-0.25</v>
      </c>
      <c r="AR15" t="n">
        <v>16</v>
      </c>
      <c r="AS15" t="n">
        <v>179</v>
      </c>
      <c r="AT15" t="n">
        <v>-0.25</v>
      </c>
      <c r="AU15" t="n">
        <v>0</v>
      </c>
      <c r="AV15" t="n">
        <v>140</v>
      </c>
      <c r="AW15" t="n">
        <v>-0.25</v>
      </c>
      <c r="AX15" t="n">
        <v>370</v>
      </c>
      <c r="AY15" t="n">
        <v>-0.25</v>
      </c>
      <c r="AZ15" t="n">
        <v>-0.25</v>
      </c>
      <c r="BA15" t="n">
        <v>57</v>
      </c>
      <c r="BB15"/>
      <c r="BC15"/>
      <c r="BD15"/>
      <c r="BE15"/>
      <c r="BF15" t="s">
        <v>79</v>
      </c>
      <c r="BG15" t="n">
        <v>0.115848756132216</v>
      </c>
      <c r="BH15" t="n">
        <v>0.833333333333333</v>
      </c>
      <c r="BI15" t="n">
        <v>13</v>
      </c>
      <c r="BJ15" t="s">
        <v>74</v>
      </c>
    </row>
    <row r="16">
      <c r="A16" t="s">
        <v>117</v>
      </c>
      <c r="B16" t="s">
        <v>118</v>
      </c>
      <c r="C16" t="s">
        <v>119</v>
      </c>
      <c r="D16" t="s">
        <v>65</v>
      </c>
      <c r="E16" t="n">
        <v>1</v>
      </c>
      <c r="F16" t="s">
        <v>79</v>
      </c>
      <c r="G16" t="s">
        <v>67</v>
      </c>
      <c r="H16" t="s">
        <v>100</v>
      </c>
      <c r="I16" t="n">
        <v>42</v>
      </c>
      <c r="J16" t="s">
        <v>69</v>
      </c>
      <c r="K16" t="s">
        <v>71</v>
      </c>
      <c r="L16" t="n">
        <v>-6.5</v>
      </c>
      <c r="M16" t="n">
        <v>-0.25</v>
      </c>
      <c r="N16" t="n">
        <v>138</v>
      </c>
      <c r="O16" t="n">
        <v>-6.63224255732276</v>
      </c>
      <c r="P16" t="n">
        <v>1.22184874961636</v>
      </c>
      <c r="Q16" t="n">
        <v>0.0177287669604316</v>
      </c>
      <c r="R16" t="n">
        <v>551</v>
      </c>
      <c r="S16" t="n">
        <v>42.74</v>
      </c>
      <c r="T16" t="n">
        <v>0</v>
      </c>
      <c r="U16" t="n">
        <v>6.29</v>
      </c>
      <c r="V16" t="n">
        <v>105</v>
      </c>
      <c r="W16" t="n">
        <v>178</v>
      </c>
      <c r="X16" t="n">
        <v>0.25</v>
      </c>
      <c r="Y16" t="n">
        <v>0</v>
      </c>
      <c r="Z16" t="n">
        <v>131</v>
      </c>
      <c r="AA16" t="n">
        <v>0.25</v>
      </c>
      <c r="AB16" t="n">
        <v>0.0268721464003014</v>
      </c>
      <c r="AC16" t="n">
        <v>-0.00432137378264258</v>
      </c>
      <c r="AD16" t="n">
        <v>0</v>
      </c>
      <c r="AE16" t="n">
        <v>4</v>
      </c>
      <c r="AF16" t="s">
        <v>71</v>
      </c>
      <c r="AG16" t="s">
        <v>71</v>
      </c>
      <c r="AH16" t="s">
        <v>72</v>
      </c>
      <c r="AI16" t="s">
        <v>73</v>
      </c>
      <c r="AJ16" t="n">
        <v>26</v>
      </c>
      <c r="AK16" t="n">
        <v>0.5</v>
      </c>
      <c r="AL16" t="n">
        <v>0</v>
      </c>
      <c r="AM16" t="n">
        <v>25</v>
      </c>
      <c r="AN16" t="n">
        <v>0.5</v>
      </c>
      <c r="AO16" t="n">
        <v>78</v>
      </c>
      <c r="AP16" t="n">
        <v>0.5</v>
      </c>
      <c r="AQ16" t="n">
        <v>-0.25</v>
      </c>
      <c r="AR16" t="n">
        <v>175</v>
      </c>
      <c r="AS16"/>
      <c r="AT16"/>
      <c r="AU16"/>
      <c r="AV16"/>
      <c r="AW16"/>
      <c r="AX16"/>
      <c r="AY16"/>
      <c r="AZ16"/>
      <c r="BA16"/>
      <c r="BB16"/>
      <c r="BC16"/>
      <c r="BD16"/>
      <c r="BE16"/>
      <c r="BF16" t="s">
        <v>79</v>
      </c>
      <c r="BG16" t="n">
        <v>0.686552291382437</v>
      </c>
      <c r="BH16" t="n">
        <v>1.66666666666667</v>
      </c>
      <c r="BI16" t="n">
        <v>2</v>
      </c>
      <c r="BJ16" t="s">
        <v>74</v>
      </c>
    </row>
    <row r="17">
      <c r="A17" t="s">
        <v>117</v>
      </c>
      <c r="B17" t="s">
        <v>118</v>
      </c>
      <c r="C17" t="s">
        <v>120</v>
      </c>
      <c r="D17" t="s">
        <v>78</v>
      </c>
      <c r="E17" t="n">
        <v>1</v>
      </c>
      <c r="F17" t="s">
        <v>79</v>
      </c>
      <c r="G17" t="s">
        <v>67</v>
      </c>
      <c r="H17" t="s">
        <v>100</v>
      </c>
      <c r="I17" t="n">
        <v>42</v>
      </c>
      <c r="J17" t="s">
        <v>69</v>
      </c>
      <c r="K17" t="s">
        <v>71</v>
      </c>
      <c r="L17" t="n">
        <v>-7</v>
      </c>
      <c r="M17" t="n">
        <v>-0.25</v>
      </c>
      <c r="N17" t="n">
        <v>80</v>
      </c>
      <c r="O17" t="n">
        <v>-7.16994215304974</v>
      </c>
      <c r="P17" t="n">
        <v>1.39794000867204</v>
      </c>
      <c r="Q17" t="n">
        <v>0.0362121726544447</v>
      </c>
      <c r="R17" t="n">
        <v>533</v>
      </c>
      <c r="S17" t="n">
        <v>44.35</v>
      </c>
      <c r="T17" t="n">
        <v>1</v>
      </c>
      <c r="U17" t="n">
        <v>6.32</v>
      </c>
      <c r="V17" t="n">
        <v>96</v>
      </c>
      <c r="W17" t="n">
        <v>354</v>
      </c>
      <c r="X17" t="n">
        <v>0.5</v>
      </c>
      <c r="Y17" t="n">
        <v>-0.25</v>
      </c>
      <c r="Z17" t="n">
        <v>56</v>
      </c>
      <c r="AA17" t="n">
        <v>0.5</v>
      </c>
      <c r="AB17" t="n">
        <v>0.0506099933550872</v>
      </c>
      <c r="AC17" t="n">
        <v>0.0457574905606751</v>
      </c>
      <c r="AD17" t="n">
        <v>1</v>
      </c>
      <c r="AE17" t="n">
        <v>5</v>
      </c>
      <c r="AF17" t="s">
        <v>71</v>
      </c>
      <c r="AG17" t="s">
        <v>70</v>
      </c>
      <c r="AH17" t="s">
        <v>72</v>
      </c>
      <c r="AI17" t="s">
        <v>88</v>
      </c>
      <c r="AJ17" t="n">
        <v>33</v>
      </c>
      <c r="AK17" t="n">
        <v>1</v>
      </c>
      <c r="AL17" t="n">
        <v>-0.5</v>
      </c>
      <c r="AM17" t="n">
        <v>89</v>
      </c>
      <c r="AN17" t="n">
        <v>0.75</v>
      </c>
      <c r="AO17" t="n">
        <v>76</v>
      </c>
      <c r="AP17" t="n">
        <v>0.75</v>
      </c>
      <c r="AQ17" t="n">
        <v>-0.25</v>
      </c>
      <c r="AR17" t="n">
        <v>44</v>
      </c>
      <c r="AS17" t="n">
        <v>185</v>
      </c>
      <c r="AT17" t="n">
        <v>0.75</v>
      </c>
      <c r="AU17" t="n">
        <v>-0.25</v>
      </c>
      <c r="AV17" t="n">
        <v>21</v>
      </c>
      <c r="AW17" t="n">
        <v>0.625</v>
      </c>
      <c r="AX17" t="n">
        <v>370</v>
      </c>
      <c r="AY17" t="n">
        <v>0.5</v>
      </c>
      <c r="AZ17" t="n">
        <v>0</v>
      </c>
      <c r="BA17" t="n">
        <v>68</v>
      </c>
      <c r="BB17" t="n">
        <v>726</v>
      </c>
      <c r="BC17" t="n">
        <v>0.5</v>
      </c>
      <c r="BD17" t="n">
        <v>0</v>
      </c>
      <c r="BE17" t="n">
        <v>97</v>
      </c>
      <c r="BF17" t="s">
        <v>79</v>
      </c>
      <c r="BG17" t="n">
        <v>0.7267066943553</v>
      </c>
      <c r="BH17" t="n">
        <v>0.833333333333333</v>
      </c>
      <c r="BI17" t="n">
        <v>19</v>
      </c>
      <c r="BJ17" t="s">
        <v>74</v>
      </c>
    </row>
    <row r="18">
      <c r="A18" t="s">
        <v>121</v>
      </c>
      <c r="B18" t="s">
        <v>122</v>
      </c>
      <c r="C18" t="s">
        <v>123</v>
      </c>
      <c r="D18" t="s">
        <v>65</v>
      </c>
      <c r="E18" t="n">
        <v>1</v>
      </c>
      <c r="F18" t="s">
        <v>66</v>
      </c>
      <c r="G18" t="s">
        <v>67</v>
      </c>
      <c r="H18" t="s">
        <v>87</v>
      </c>
      <c r="I18" t="n">
        <v>38</v>
      </c>
      <c r="J18" t="s">
        <v>80</v>
      </c>
      <c r="K18" t="s">
        <v>71</v>
      </c>
      <c r="L18" t="n">
        <v>-1.75</v>
      </c>
      <c r="M18" t="n">
        <v>-1.25</v>
      </c>
      <c r="N18" t="n">
        <v>179</v>
      </c>
      <c r="O18" t="n">
        <v>-2.44469384667907</v>
      </c>
      <c r="P18" t="n">
        <v>0.920818753952375</v>
      </c>
      <c r="Q18" t="n">
        <v>0</v>
      </c>
      <c r="R18" t="n">
        <v>540</v>
      </c>
      <c r="S18" t="n">
        <v>43.58</v>
      </c>
      <c r="T18" t="n">
        <v>3</v>
      </c>
      <c r="U18" t="n">
        <v>6.64</v>
      </c>
      <c r="V18" t="n">
        <v>34</v>
      </c>
      <c r="W18" t="n">
        <v>354</v>
      </c>
      <c r="X18" t="n">
        <v>0.25</v>
      </c>
      <c r="Y18" t="n">
        <v>0</v>
      </c>
      <c r="Z18" t="n">
        <v>155</v>
      </c>
      <c r="AA18" t="n">
        <v>0.25</v>
      </c>
      <c r="AB18" t="n">
        <v>0.0268721464003014</v>
      </c>
      <c r="AC18" t="n">
        <v>-0.0170333392987804</v>
      </c>
      <c r="AD18" t="n">
        <v>0</v>
      </c>
      <c r="AE18" t="n">
        <v>4</v>
      </c>
      <c r="AF18" t="s">
        <v>71</v>
      </c>
      <c r="AG18" t="s">
        <v>71</v>
      </c>
      <c r="AH18" t="s">
        <v>124</v>
      </c>
      <c r="AI18" t="s">
        <v>73</v>
      </c>
      <c r="AJ18" t="n">
        <v>35</v>
      </c>
      <c r="AK18" t="n">
        <v>0.75</v>
      </c>
      <c r="AL18" t="n">
        <v>-0.75</v>
      </c>
      <c r="AM18" t="n">
        <v>47</v>
      </c>
      <c r="AN18" t="n">
        <v>0.375</v>
      </c>
      <c r="AO18" t="n">
        <v>78</v>
      </c>
      <c r="AP18" t="n">
        <v>0.25</v>
      </c>
      <c r="AQ18" t="n">
        <v>-0.25</v>
      </c>
      <c r="AR18" t="n">
        <v>58</v>
      </c>
      <c r="AS18" t="n">
        <v>181</v>
      </c>
      <c r="AT18" t="n">
        <v>0.5</v>
      </c>
      <c r="AU18" t="n">
        <v>-0.25</v>
      </c>
      <c r="AV18" t="n">
        <v>22</v>
      </c>
      <c r="AW18" t="n">
        <v>0.375</v>
      </c>
      <c r="AX18" t="n">
        <v>371</v>
      </c>
      <c r="AY18" t="n">
        <v>0</v>
      </c>
      <c r="AZ18" t="n">
        <v>0</v>
      </c>
      <c r="BA18" t="n">
        <v>39</v>
      </c>
      <c r="BB18" t="n">
        <v>732</v>
      </c>
      <c r="BC18" t="n">
        <v>0</v>
      </c>
      <c r="BD18" t="n">
        <v>-0.25</v>
      </c>
      <c r="BE18" t="n">
        <v>164</v>
      </c>
      <c r="BF18" t="s">
        <v>66</v>
      </c>
      <c r="BG18" t="n">
        <v>0.404311481484162</v>
      </c>
      <c r="BH18" t="n">
        <v>1</v>
      </c>
      <c r="BI18" t="n">
        <v>6</v>
      </c>
      <c r="BJ18" t="s">
        <v>74</v>
      </c>
    </row>
    <row r="19">
      <c r="A19" t="s">
        <v>121</v>
      </c>
      <c r="B19" t="s">
        <v>122</v>
      </c>
      <c r="C19" t="s">
        <v>125</v>
      </c>
      <c r="D19" t="s">
        <v>78</v>
      </c>
      <c r="E19" t="n">
        <v>1</v>
      </c>
      <c r="F19" t="s">
        <v>66</v>
      </c>
      <c r="G19" t="s">
        <v>67</v>
      </c>
      <c r="H19" t="s">
        <v>87</v>
      </c>
      <c r="I19" t="n">
        <v>38</v>
      </c>
      <c r="J19" t="s">
        <v>80</v>
      </c>
      <c r="K19" t="s">
        <v>71</v>
      </c>
      <c r="L19" t="n">
        <v>-3.25</v>
      </c>
      <c r="M19" t="n">
        <v>-0.25</v>
      </c>
      <c r="N19" t="n">
        <v>11</v>
      </c>
      <c r="O19" t="n">
        <v>-3.40639995215217</v>
      </c>
      <c r="P19" t="n">
        <v>1.04575749056068</v>
      </c>
      <c r="Q19" t="n">
        <v>0.0315170514460649</v>
      </c>
      <c r="R19" t="n">
        <v>557</v>
      </c>
      <c r="S19" t="n">
        <v>43.65</v>
      </c>
      <c r="T19" t="n">
        <v>2</v>
      </c>
      <c r="U19" t="n">
        <v>5.92</v>
      </c>
      <c r="V19" t="n">
        <v>48</v>
      </c>
      <c r="W19" t="n">
        <v>272</v>
      </c>
      <c r="X19" t="n">
        <v>0.5</v>
      </c>
      <c r="Y19" t="n">
        <v>-0.25</v>
      </c>
      <c r="Z19" t="n">
        <v>169</v>
      </c>
      <c r="AA19" t="n">
        <v>0.25</v>
      </c>
      <c r="AB19" t="n">
        <v>0.0409586076789064</v>
      </c>
      <c r="AC19" t="n">
        <v>0.0362121726544447</v>
      </c>
      <c r="AD19" t="n">
        <v>0</v>
      </c>
      <c r="AE19" t="n">
        <v>3</v>
      </c>
      <c r="AF19" t="s">
        <v>70</v>
      </c>
      <c r="AG19" t="s">
        <v>71</v>
      </c>
      <c r="AH19" t="s">
        <v>124</v>
      </c>
      <c r="AI19" t="s">
        <v>73</v>
      </c>
      <c r="AJ19" t="n">
        <v>35</v>
      </c>
      <c r="AK19" t="n">
        <v>0.5</v>
      </c>
      <c r="AL19" t="n">
        <v>-0.25</v>
      </c>
      <c r="AM19" t="n">
        <v>37</v>
      </c>
      <c r="AN19" t="n">
        <v>0.375</v>
      </c>
      <c r="AO19" t="n">
        <v>76</v>
      </c>
      <c r="AP19" t="n">
        <v>0.5</v>
      </c>
      <c r="AQ19" t="n">
        <v>-0.25</v>
      </c>
      <c r="AR19" t="n">
        <v>171</v>
      </c>
      <c r="AS19" t="n">
        <v>184</v>
      </c>
      <c r="AT19" t="n">
        <v>0.5</v>
      </c>
      <c r="AU19" t="n">
        <v>-0.25</v>
      </c>
      <c r="AV19" t="n">
        <v>70</v>
      </c>
      <c r="AW19" t="n">
        <v>0.375</v>
      </c>
      <c r="AX19" t="n">
        <v>365</v>
      </c>
      <c r="AY19" t="n">
        <v>0.25</v>
      </c>
      <c r="AZ19" t="n">
        <v>-0.5</v>
      </c>
      <c r="BA19" t="n">
        <v>33</v>
      </c>
      <c r="BB19" t="n">
        <v>722</v>
      </c>
      <c r="BC19" t="n">
        <v>0</v>
      </c>
      <c r="BD19" t="n">
        <v>-0.25</v>
      </c>
      <c r="BE19" t="n">
        <v>104</v>
      </c>
      <c r="BF19" t="s">
        <v>66</v>
      </c>
      <c r="BG19" t="n">
        <v>0.316522036740165</v>
      </c>
      <c r="BH19" t="n">
        <v>1</v>
      </c>
      <c r="BI19" t="n">
        <v>7</v>
      </c>
      <c r="BJ19" t="s">
        <v>74</v>
      </c>
    </row>
    <row r="20">
      <c r="A20" t="s">
        <v>126</v>
      </c>
      <c r="B20" t="s">
        <v>127</v>
      </c>
      <c r="C20" t="s">
        <v>128</v>
      </c>
      <c r="D20" t="s">
        <v>65</v>
      </c>
      <c r="E20" t="n">
        <v>1</v>
      </c>
      <c r="F20" t="s">
        <v>79</v>
      </c>
      <c r="G20" t="s">
        <v>67</v>
      </c>
      <c r="H20" t="s">
        <v>87</v>
      </c>
      <c r="I20" t="n">
        <v>37</v>
      </c>
      <c r="J20" t="s">
        <v>69</v>
      </c>
      <c r="K20" t="s">
        <v>71</v>
      </c>
      <c r="L20" t="n">
        <v>-5.75</v>
      </c>
      <c r="M20" t="n">
        <v>-0.25</v>
      </c>
      <c r="N20" t="n">
        <v>20</v>
      </c>
      <c r="O20" t="n">
        <v>-5.85468349409035</v>
      </c>
      <c r="P20" t="n">
        <v>1.22184874961636</v>
      </c>
      <c r="Q20" t="n">
        <v>0</v>
      </c>
      <c r="R20" t="n">
        <v>568</v>
      </c>
      <c r="S20" t="n">
        <v>41.6</v>
      </c>
      <c r="T20" t="n">
        <v>1</v>
      </c>
      <c r="U20" t="n">
        <v>6.71</v>
      </c>
      <c r="V20" t="n">
        <v>86</v>
      </c>
      <c r="W20" t="n">
        <v>370</v>
      </c>
      <c r="X20" t="n">
        <v>0.5</v>
      </c>
      <c r="Y20" t="n">
        <v>-0.25</v>
      </c>
      <c r="Z20" t="n">
        <v>25</v>
      </c>
      <c r="AA20" t="n">
        <v>0.25</v>
      </c>
      <c r="AB20" t="n">
        <v>0.0506099933550872</v>
      </c>
      <c r="AC20" t="n">
        <v>0.00877392430750515</v>
      </c>
      <c r="AD20" t="n">
        <v>0</v>
      </c>
      <c r="AE20" t="n">
        <v>5</v>
      </c>
      <c r="AF20" t="s">
        <v>71</v>
      </c>
      <c r="AG20" t="s">
        <v>71</v>
      </c>
      <c r="AH20" t="s">
        <v>72</v>
      </c>
      <c r="AI20" t="s">
        <v>73</v>
      </c>
      <c r="AJ20" t="n">
        <v>16</v>
      </c>
      <c r="AK20" t="n">
        <v>0.5</v>
      </c>
      <c r="AL20" t="n">
        <v>-0.25</v>
      </c>
      <c r="AM20" t="n">
        <v>159</v>
      </c>
      <c r="AN20" t="n">
        <v>0.375</v>
      </c>
      <c r="AO20" t="n">
        <v>95</v>
      </c>
      <c r="AP20" t="n">
        <v>0.5</v>
      </c>
      <c r="AQ20" t="n">
        <v>-0.5</v>
      </c>
      <c r="AR20" t="n">
        <v>122</v>
      </c>
      <c r="AS20" t="n">
        <v>186</v>
      </c>
      <c r="AT20" t="n">
        <v>0.5</v>
      </c>
      <c r="AU20" t="n">
        <v>-0.25</v>
      </c>
      <c r="AV20" t="n">
        <v>43</v>
      </c>
      <c r="AW20" t="n">
        <v>0.375</v>
      </c>
      <c r="AX20" t="n">
        <v>352</v>
      </c>
      <c r="AY20" t="n">
        <v>0.5</v>
      </c>
      <c r="AZ20" t="n">
        <v>-0.25</v>
      </c>
      <c r="BA20" t="n">
        <v>125</v>
      </c>
      <c r="BB20" t="n">
        <v>732</v>
      </c>
      <c r="BC20" t="n">
        <v>0.5</v>
      </c>
      <c r="BD20" t="n">
        <v>-0.5</v>
      </c>
      <c r="BE20" t="n">
        <v>67</v>
      </c>
      <c r="BF20" t="s">
        <v>79</v>
      </c>
      <c r="BG20" t="n">
        <v>0.277455896126525</v>
      </c>
      <c r="BH20" t="n">
        <v>0.833333333333333</v>
      </c>
      <c r="BI20" t="n">
        <v>3</v>
      </c>
      <c r="BJ20" t="s">
        <v>74</v>
      </c>
    </row>
    <row r="21">
      <c r="A21" t="s">
        <v>126</v>
      </c>
      <c r="B21" t="s">
        <v>127</v>
      </c>
      <c r="C21" t="s">
        <v>129</v>
      </c>
      <c r="D21" t="s">
        <v>78</v>
      </c>
      <c r="E21" t="n">
        <v>1</v>
      </c>
      <c r="F21" t="s">
        <v>79</v>
      </c>
      <c r="G21" t="s">
        <v>67</v>
      </c>
      <c r="H21" t="s">
        <v>87</v>
      </c>
      <c r="I21" t="n">
        <v>37</v>
      </c>
      <c r="J21" t="s">
        <v>69</v>
      </c>
      <c r="K21" t="s">
        <v>71</v>
      </c>
      <c r="L21" t="n">
        <v>-3.75</v>
      </c>
      <c r="M21" t="n">
        <v>-0.5</v>
      </c>
      <c r="N21" t="n">
        <v>85</v>
      </c>
      <c r="O21" t="n">
        <v>-3.91482418006668</v>
      </c>
      <c r="P21" t="n">
        <v>0.958607314841775</v>
      </c>
      <c r="Q21" t="n">
        <v>0.0132282657337552</v>
      </c>
      <c r="R21" t="n">
        <v>572</v>
      </c>
      <c r="S21" t="n">
        <v>46.06</v>
      </c>
      <c r="T21" t="n">
        <v>2</v>
      </c>
      <c r="U21" t="n">
        <v>6.42</v>
      </c>
      <c r="V21" t="n">
        <v>62</v>
      </c>
      <c r="W21" t="n">
        <v>174</v>
      </c>
      <c r="X21" t="n">
        <v>0.5</v>
      </c>
      <c r="Y21" t="n">
        <v>-0.25</v>
      </c>
      <c r="Z21" t="n">
        <v>78</v>
      </c>
      <c r="AA21" t="n">
        <v>0.25</v>
      </c>
      <c r="AB21" t="n">
        <v>0.0177287669604316</v>
      </c>
      <c r="AC21" t="n">
        <v>-0.00860017176191757</v>
      </c>
      <c r="AD21" t="n">
        <v>1</v>
      </c>
      <c r="AE21" t="n">
        <v>4</v>
      </c>
      <c r="AF21" t="s">
        <v>71</v>
      </c>
      <c r="AG21" t="s">
        <v>71</v>
      </c>
      <c r="AH21" t="s">
        <v>124</v>
      </c>
      <c r="AI21" t="s">
        <v>73</v>
      </c>
      <c r="AJ21" t="n">
        <v>16</v>
      </c>
      <c r="AK21" t="n">
        <v>0.5</v>
      </c>
      <c r="AL21" t="n">
        <v>-0.5</v>
      </c>
      <c r="AM21" t="n">
        <v>43</v>
      </c>
      <c r="AN21" t="n">
        <v>0.25</v>
      </c>
      <c r="AO21" t="n">
        <v>100</v>
      </c>
      <c r="AP21" t="n">
        <v>0.5</v>
      </c>
      <c r="AQ21" t="n">
        <v>-0.5</v>
      </c>
      <c r="AR21" t="n">
        <v>144</v>
      </c>
      <c r="AS21" t="n">
        <v>168</v>
      </c>
      <c r="AT21" t="n">
        <v>0.25</v>
      </c>
      <c r="AU21" t="n">
        <v>-0.25</v>
      </c>
      <c r="AV21" t="n">
        <v>45</v>
      </c>
      <c r="AW21" t="n">
        <v>0.125</v>
      </c>
      <c r="AX21" t="n">
        <v>360</v>
      </c>
      <c r="AY21" t="n">
        <v>0.5</v>
      </c>
      <c r="AZ21" t="n">
        <v>0</v>
      </c>
      <c r="BA21" t="n">
        <v>14</v>
      </c>
      <c r="BB21" t="n">
        <v>727</v>
      </c>
      <c r="BC21" t="n">
        <v>0.5</v>
      </c>
      <c r="BD21" t="n">
        <v>0</v>
      </c>
      <c r="BE21" t="n">
        <v>48</v>
      </c>
      <c r="BF21" t="s">
        <v>79</v>
      </c>
      <c r="BG21" t="n">
        <v>0.263245133310632</v>
      </c>
      <c r="BH21" t="n">
        <v>0.833333333333333</v>
      </c>
      <c r="BI21" t="n">
        <v>8</v>
      </c>
      <c r="BJ21" t="s">
        <v>74</v>
      </c>
    </row>
    <row r="22">
      <c r="A22" t="s">
        <v>130</v>
      </c>
      <c r="B22" t="s">
        <v>131</v>
      </c>
      <c r="C22" t="s">
        <v>132</v>
      </c>
      <c r="D22" t="s">
        <v>65</v>
      </c>
      <c r="E22" t="n">
        <v>1</v>
      </c>
      <c r="F22" t="s">
        <v>79</v>
      </c>
      <c r="G22" t="s">
        <v>67</v>
      </c>
      <c r="H22" t="s">
        <v>100</v>
      </c>
      <c r="I22" t="n">
        <v>31</v>
      </c>
      <c r="J22" t="s">
        <v>80</v>
      </c>
      <c r="K22" t="s">
        <v>71</v>
      </c>
      <c r="L22" t="n">
        <v>-5.75</v>
      </c>
      <c r="M22" t="n">
        <v>-0.5</v>
      </c>
      <c r="N22" t="n">
        <v>95</v>
      </c>
      <c r="O22" t="n">
        <v>-5.95771223250913</v>
      </c>
      <c r="P22" t="n">
        <v>1.22184874961636</v>
      </c>
      <c r="Q22" t="n">
        <v>0.0132282657337552</v>
      </c>
      <c r="R22" t="n">
        <v>520</v>
      </c>
      <c r="S22" t="n">
        <v>44.63</v>
      </c>
      <c r="T22" t="n">
        <v>0</v>
      </c>
      <c r="U22" t="n">
        <v>6.73</v>
      </c>
      <c r="V22" t="n">
        <v>84</v>
      </c>
      <c r="W22" t="n">
        <v>108</v>
      </c>
      <c r="X22" t="n">
        <v>0</v>
      </c>
      <c r="Y22" t="n">
        <v>-0.25</v>
      </c>
      <c r="Z22" t="n">
        <v>89</v>
      </c>
      <c r="AA22" t="n">
        <v>-0.25</v>
      </c>
      <c r="AB22" t="n">
        <v>-0.00860017176191757</v>
      </c>
      <c r="AC22" t="n">
        <v>0.00436480540245009</v>
      </c>
      <c r="AD22" t="n">
        <v>0</v>
      </c>
      <c r="AE22" t="n">
        <v>4</v>
      </c>
      <c r="AF22" t="s">
        <v>71</v>
      </c>
      <c r="AG22" t="s">
        <v>71</v>
      </c>
      <c r="AH22" t="s">
        <v>72</v>
      </c>
      <c r="AI22" t="s">
        <v>73</v>
      </c>
      <c r="AJ22" t="n">
        <v>40</v>
      </c>
      <c r="AK22" t="n">
        <v>0</v>
      </c>
      <c r="AL22" t="n">
        <v>-0.25</v>
      </c>
      <c r="AM22" t="n">
        <v>78</v>
      </c>
      <c r="AN22" t="n">
        <v>-0.125</v>
      </c>
      <c r="AO22" t="n">
        <v>78</v>
      </c>
      <c r="AP22" t="n">
        <v>-0.25</v>
      </c>
      <c r="AQ22" t="n">
        <v>-0.25</v>
      </c>
      <c r="AR22" t="n">
        <v>93</v>
      </c>
      <c r="AS22" t="n">
        <v>184</v>
      </c>
      <c r="AT22" t="n">
        <v>0</v>
      </c>
      <c r="AU22" t="n">
        <v>-0.25</v>
      </c>
      <c r="AV22" t="n">
        <v>95</v>
      </c>
      <c r="AW22" t="n">
        <v>-0.125</v>
      </c>
      <c r="AX22" t="n">
        <v>374</v>
      </c>
      <c r="AY22" t="n">
        <v>-0.25</v>
      </c>
      <c r="AZ22" t="n">
        <v>0</v>
      </c>
      <c r="BA22" t="n">
        <v>99</v>
      </c>
      <c r="BB22" t="n">
        <v>740</v>
      </c>
      <c r="BC22" t="n">
        <v>-0.25</v>
      </c>
      <c r="BD22" t="n">
        <v>-0.25</v>
      </c>
      <c r="BE22" t="n">
        <v>78</v>
      </c>
      <c r="BF22" t="s">
        <v>79</v>
      </c>
      <c r="BG22" t="n">
        <v>0.226838956356111</v>
      </c>
      <c r="BH22" t="n">
        <v>0.833333333333333</v>
      </c>
      <c r="BI22" t="n">
        <v>27</v>
      </c>
      <c r="BJ22" t="s">
        <v>74</v>
      </c>
    </row>
    <row r="23">
      <c r="A23" t="s">
        <v>133</v>
      </c>
      <c r="B23" t="s">
        <v>134</v>
      </c>
      <c r="C23" t="s">
        <v>135</v>
      </c>
      <c r="D23" t="s">
        <v>78</v>
      </c>
      <c r="E23" t="n">
        <v>1</v>
      </c>
      <c r="F23" t="s">
        <v>66</v>
      </c>
      <c r="G23" t="s">
        <v>67</v>
      </c>
      <c r="H23" t="s">
        <v>100</v>
      </c>
      <c r="I23" t="n">
        <v>34</v>
      </c>
      <c r="J23" t="s">
        <v>80</v>
      </c>
      <c r="K23" t="s">
        <v>71</v>
      </c>
      <c r="L23" t="n">
        <v>-8</v>
      </c>
      <c r="M23" t="n">
        <v>-0.5</v>
      </c>
      <c r="N23" t="n">
        <v>89</v>
      </c>
      <c r="O23" t="n">
        <v>-8.31171061143636</v>
      </c>
      <c r="P23" t="n">
        <v>1.69897000433602</v>
      </c>
      <c r="Q23" t="n">
        <v>-0.0293837776852097</v>
      </c>
      <c r="R23" t="n">
        <v>521</v>
      </c>
      <c r="S23" t="n">
        <v>42.12</v>
      </c>
      <c r="T23" t="n">
        <v>0</v>
      </c>
      <c r="U23" t="n">
        <v>6.03</v>
      </c>
      <c r="V23" t="n">
        <v>133</v>
      </c>
      <c r="W23" t="n">
        <v>190</v>
      </c>
      <c r="X23" t="n">
        <v>0</v>
      </c>
      <c r="Y23" t="n">
        <v>-0.5</v>
      </c>
      <c r="Z23" t="n">
        <v>109</v>
      </c>
      <c r="AA23" t="n">
        <v>-0.25</v>
      </c>
      <c r="AB23" t="n">
        <v>-0.0374264979406237</v>
      </c>
      <c r="AC23" t="n">
        <v>-0.0569048513364726</v>
      </c>
      <c r="AD23" t="n">
        <v>0</v>
      </c>
      <c r="AE23" t="n">
        <v>5</v>
      </c>
      <c r="AF23" t="s">
        <v>70</v>
      </c>
      <c r="AG23" t="s">
        <v>71</v>
      </c>
      <c r="AH23" t="s">
        <v>72</v>
      </c>
      <c r="AI23" t="s">
        <v>73</v>
      </c>
      <c r="AJ23" t="n">
        <v>19</v>
      </c>
      <c r="AK23" t="n">
        <v>0.25</v>
      </c>
      <c r="AL23" t="n">
        <v>-0.5</v>
      </c>
      <c r="AM23" t="n">
        <v>113</v>
      </c>
      <c r="AN23" t="n">
        <v>0</v>
      </c>
      <c r="AO23" t="n">
        <v>91</v>
      </c>
      <c r="AP23" t="n">
        <v>0</v>
      </c>
      <c r="AQ23" t="n">
        <v>-0.25</v>
      </c>
      <c r="AR23" t="n">
        <v>168</v>
      </c>
      <c r="AS23" t="n">
        <v>193</v>
      </c>
      <c r="AT23" t="n">
        <v>-0.25</v>
      </c>
      <c r="AU23" t="n">
        <v>-0.25</v>
      </c>
      <c r="AV23" t="n">
        <v>18</v>
      </c>
      <c r="AW23" t="n">
        <v>-0.375</v>
      </c>
      <c r="AX23" t="n">
        <v>357</v>
      </c>
      <c r="AY23" t="n">
        <v>-0.5</v>
      </c>
      <c r="AZ23" t="n">
        <v>0</v>
      </c>
      <c r="BA23" t="n">
        <v>169</v>
      </c>
      <c r="BB23" t="n">
        <v>742</v>
      </c>
      <c r="BC23" t="n">
        <v>-0.75</v>
      </c>
      <c r="BD23" t="n">
        <v>-0.25</v>
      </c>
      <c r="BE23" t="n">
        <v>17</v>
      </c>
      <c r="BF23" t="s">
        <v>66</v>
      </c>
      <c r="BG23" t="n">
        <v>0.289394029409838</v>
      </c>
      <c r="BH23" t="n">
        <v>1</v>
      </c>
      <c r="BI23" t="n">
        <v>8</v>
      </c>
      <c r="BJ23" t="s">
        <v>74</v>
      </c>
    </row>
    <row r="24">
      <c r="A24" t="s">
        <v>136</v>
      </c>
      <c r="B24" t="s">
        <v>137</v>
      </c>
      <c r="C24" t="s">
        <v>138</v>
      </c>
      <c r="D24" t="s">
        <v>78</v>
      </c>
      <c r="E24" t="n">
        <v>1</v>
      </c>
      <c r="F24" t="s">
        <v>79</v>
      </c>
      <c r="G24" t="s">
        <v>67</v>
      </c>
      <c r="H24" t="s">
        <v>100</v>
      </c>
      <c r="I24" t="n">
        <v>34</v>
      </c>
      <c r="J24" t="s">
        <v>69</v>
      </c>
      <c r="K24" t="s">
        <v>70</v>
      </c>
      <c r="L24" t="n">
        <v>-4.25</v>
      </c>
      <c r="M24" t="n">
        <v>-0.75</v>
      </c>
      <c r="N24" t="n">
        <v>174</v>
      </c>
      <c r="O24" t="n">
        <v>-4.7289936432231</v>
      </c>
      <c r="P24" t="n">
        <v>1.15490195998574</v>
      </c>
      <c r="Q24" t="n">
        <v>-0.0293837776852097</v>
      </c>
      <c r="R24" t="n">
        <v>517</v>
      </c>
      <c r="S24" t="n">
        <v>44.02</v>
      </c>
      <c r="T24" t="n">
        <v>0</v>
      </c>
      <c r="U24" t="n">
        <v>6.15</v>
      </c>
      <c r="V24" t="n">
        <v>77</v>
      </c>
      <c r="W24" t="n">
        <v>113</v>
      </c>
      <c r="X24" t="n">
        <v>0</v>
      </c>
      <c r="Y24" t="n">
        <v>-0.25</v>
      </c>
      <c r="Z24" t="n">
        <v>32</v>
      </c>
      <c r="AA24" t="n">
        <v>0</v>
      </c>
      <c r="AB24" t="n">
        <v>-0.0969100130080564</v>
      </c>
      <c r="AC24" t="n">
        <v>-0.0492180226701817</v>
      </c>
      <c r="AD24" t="n">
        <v>2</v>
      </c>
      <c r="AE24" t="n">
        <v>3</v>
      </c>
      <c r="AF24" t="s">
        <v>71</v>
      </c>
      <c r="AG24" t="s">
        <v>71</v>
      </c>
      <c r="AH24" t="s">
        <v>72</v>
      </c>
      <c r="AI24" t="s">
        <v>73</v>
      </c>
      <c r="AJ24" t="n">
        <v>22</v>
      </c>
      <c r="AK24" t="n">
        <v>0.25</v>
      </c>
      <c r="AL24" t="n">
        <v>-0.25</v>
      </c>
      <c r="AM24" t="n">
        <v>75</v>
      </c>
      <c r="AN24" t="n">
        <v>0.125</v>
      </c>
      <c r="AO24" t="n">
        <v>92</v>
      </c>
      <c r="AP24" t="n">
        <v>0.25</v>
      </c>
      <c r="AQ24" t="n">
        <v>0</v>
      </c>
      <c r="AR24" t="n">
        <v>97</v>
      </c>
      <c r="AS24" t="n">
        <v>192</v>
      </c>
      <c r="AT24" t="n">
        <v>0</v>
      </c>
      <c r="AU24" t="n">
        <v>-0.25</v>
      </c>
      <c r="AV24" t="n">
        <v>169</v>
      </c>
      <c r="AW24" t="n">
        <v>-0.125</v>
      </c>
      <c r="AX24" t="n">
        <v>365</v>
      </c>
      <c r="AY24" t="n">
        <v>0.25</v>
      </c>
      <c r="AZ24" t="n">
        <v>-0.25</v>
      </c>
      <c r="BA24" t="n">
        <v>150</v>
      </c>
      <c r="BB24"/>
      <c r="BC24"/>
      <c r="BD24"/>
      <c r="BE24"/>
      <c r="BF24" t="s">
        <v>79</v>
      </c>
      <c r="BG24" t="n">
        <v>0.341372063173318</v>
      </c>
      <c r="BH24" t="n">
        <v>0.833333333333333</v>
      </c>
      <c r="BI24" t="n">
        <v>25</v>
      </c>
      <c r="BJ24" t="s">
        <v>74</v>
      </c>
    </row>
    <row r="25">
      <c r="A25" t="s">
        <v>139</v>
      </c>
      <c r="B25" t="s">
        <v>140</v>
      </c>
      <c r="C25" t="s">
        <v>141</v>
      </c>
      <c r="D25" t="s">
        <v>65</v>
      </c>
      <c r="E25" t="n">
        <v>1</v>
      </c>
      <c r="F25" t="s">
        <v>66</v>
      </c>
      <c r="G25" t="s">
        <v>67</v>
      </c>
      <c r="H25" t="s">
        <v>68</v>
      </c>
      <c r="I25" t="n">
        <v>35</v>
      </c>
      <c r="J25" t="s">
        <v>80</v>
      </c>
      <c r="K25" t="s">
        <v>71</v>
      </c>
      <c r="L25" t="n">
        <v>-4.75</v>
      </c>
      <c r="M25" t="n">
        <v>-1</v>
      </c>
      <c r="N25" t="n">
        <v>180</v>
      </c>
      <c r="O25" t="n">
        <v>-5.27934402654044</v>
      </c>
      <c r="P25" t="n">
        <v>1.22184874961636</v>
      </c>
      <c r="Q25" t="n">
        <v>0.0268721464003014</v>
      </c>
      <c r="R25" t="n">
        <v>520</v>
      </c>
      <c r="S25" t="n">
        <v>42.4</v>
      </c>
      <c r="T25" t="n">
        <v>0</v>
      </c>
      <c r="U25" t="n">
        <v>6.87</v>
      </c>
      <c r="V25" t="n">
        <v>81</v>
      </c>
      <c r="W25" t="n">
        <v>130</v>
      </c>
      <c r="X25" t="n">
        <v>0</v>
      </c>
      <c r="Y25" t="n">
        <v>-0.25</v>
      </c>
      <c r="Z25" t="n">
        <v>13</v>
      </c>
      <c r="AA25" t="n">
        <v>0</v>
      </c>
      <c r="AB25" t="n">
        <v>0.0604807473813815</v>
      </c>
      <c r="AC25" t="n">
        <v>0.0315170514460649</v>
      </c>
      <c r="AD25" t="n">
        <v>0</v>
      </c>
      <c r="AE25" t="n">
        <v>4</v>
      </c>
      <c r="AF25" t="s">
        <v>70</v>
      </c>
      <c r="AG25" t="s">
        <v>71</v>
      </c>
      <c r="AH25" t="s">
        <v>113</v>
      </c>
      <c r="AI25" t="s">
        <v>88</v>
      </c>
      <c r="AJ25" t="n">
        <v>26</v>
      </c>
      <c r="AK25" t="n">
        <v>0</v>
      </c>
      <c r="AL25" t="n">
        <v>0</v>
      </c>
      <c r="AM25" t="n">
        <v>38</v>
      </c>
      <c r="AN25" t="n">
        <v>0</v>
      </c>
      <c r="AO25" t="n">
        <v>80</v>
      </c>
      <c r="AP25" t="n">
        <v>0</v>
      </c>
      <c r="AQ25" t="n">
        <v>0</v>
      </c>
      <c r="AR25" t="n">
        <v>94</v>
      </c>
      <c r="AS25" t="n">
        <v>186</v>
      </c>
      <c r="AT25" t="n">
        <v>0.25</v>
      </c>
      <c r="AU25" t="n">
        <v>-0.5</v>
      </c>
      <c r="AV25" t="n">
        <v>178</v>
      </c>
      <c r="AW25" t="n">
        <v>0</v>
      </c>
      <c r="AX25" t="n">
        <v>374</v>
      </c>
      <c r="AY25" t="n">
        <v>-0.25</v>
      </c>
      <c r="AZ25" t="n">
        <v>-0.5</v>
      </c>
      <c r="BA25" t="n">
        <v>11</v>
      </c>
      <c r="BB25" t="n">
        <v>738</v>
      </c>
      <c r="BC25" t="n">
        <v>-0.25</v>
      </c>
      <c r="BD25" t="n">
        <v>0</v>
      </c>
      <c r="BE25" t="n">
        <v>140</v>
      </c>
      <c r="BF25" t="s">
        <v>66</v>
      </c>
      <c r="BG25" t="n">
        <v>0.381223655551824</v>
      </c>
      <c r="BH25" t="n">
        <v>1</v>
      </c>
      <c r="BI25" t="n">
        <v>9</v>
      </c>
      <c r="BJ25" t="s">
        <v>74</v>
      </c>
    </row>
    <row r="26">
      <c r="A26" t="s">
        <v>142</v>
      </c>
      <c r="B26" t="s">
        <v>143</v>
      </c>
      <c r="C26" t="s">
        <v>144</v>
      </c>
      <c r="D26" t="s">
        <v>65</v>
      </c>
      <c r="E26" t="n">
        <v>1</v>
      </c>
      <c r="F26" t="s">
        <v>79</v>
      </c>
      <c r="G26" t="s">
        <v>67</v>
      </c>
      <c r="H26" t="s">
        <v>100</v>
      </c>
      <c r="I26" t="n">
        <v>34</v>
      </c>
      <c r="J26" t="s">
        <v>69</v>
      </c>
      <c r="K26" t="s">
        <v>70</v>
      </c>
      <c r="L26" t="n">
        <v>-5</v>
      </c>
      <c r="M26" t="n">
        <v>-0.5</v>
      </c>
      <c r="N26" t="n">
        <v>86</v>
      </c>
      <c r="O26" t="n">
        <v>-5.26052581096108</v>
      </c>
      <c r="P26" t="n">
        <v>1.30102999566398</v>
      </c>
      <c r="Q26" t="n">
        <v>-0.00432137378264258</v>
      </c>
      <c r="R26" t="n">
        <v>532</v>
      </c>
      <c r="S26" t="n">
        <v>43.33</v>
      </c>
      <c r="T26" t="n">
        <v>0</v>
      </c>
      <c r="U26" t="n">
        <v>6.61</v>
      </c>
      <c r="V26" t="n">
        <v>76</v>
      </c>
      <c r="W26" t="n">
        <v>276</v>
      </c>
      <c r="X26" t="n">
        <v>-0.5</v>
      </c>
      <c r="Y26" t="n">
        <v>0</v>
      </c>
      <c r="Z26" t="n">
        <v>85</v>
      </c>
      <c r="AA26" t="n">
        <v>-0.5</v>
      </c>
      <c r="AB26" t="n">
        <v>0.0655015487564323</v>
      </c>
      <c r="AC26" t="n">
        <v>-0.0128372247051722</v>
      </c>
      <c r="AD26" t="n">
        <v>2</v>
      </c>
      <c r="AE26" t="n">
        <v>4</v>
      </c>
      <c r="AF26" t="s">
        <v>71</v>
      </c>
      <c r="AG26" t="s">
        <v>71</v>
      </c>
      <c r="AH26" t="s">
        <v>72</v>
      </c>
      <c r="AI26" t="s">
        <v>73</v>
      </c>
      <c r="AJ26" t="n">
        <v>29</v>
      </c>
      <c r="AK26" t="n">
        <v>-0.5</v>
      </c>
      <c r="AL26" t="n">
        <v>-0.25</v>
      </c>
      <c r="AM26" t="n">
        <v>8</v>
      </c>
      <c r="AN26" t="n">
        <v>-0.625</v>
      </c>
      <c r="AO26" t="n">
        <v>102</v>
      </c>
      <c r="AP26" t="n">
        <v>-0.25</v>
      </c>
      <c r="AQ26" t="n">
        <v>-0.25</v>
      </c>
      <c r="AR26" t="n">
        <v>38</v>
      </c>
      <c r="AS26"/>
      <c r="AT26"/>
      <c r="AU26"/>
      <c r="AV26"/>
      <c r="AW26"/>
      <c r="AX26"/>
      <c r="AY26"/>
      <c r="AZ26"/>
      <c r="BA26"/>
      <c r="BB26"/>
      <c r="BC26"/>
      <c r="BD26"/>
      <c r="BE26"/>
      <c r="BF26" t="s">
        <v>79</v>
      </c>
      <c r="BG26" t="n">
        <v>0.240378122727756</v>
      </c>
      <c r="BH26" t="n">
        <v>0.833333333333333</v>
      </c>
      <c r="BI26" t="n">
        <v>27</v>
      </c>
      <c r="BJ26" t="s">
        <v>74</v>
      </c>
    </row>
    <row r="27">
      <c r="A27" t="s">
        <v>142</v>
      </c>
      <c r="B27" t="s">
        <v>143</v>
      </c>
      <c r="C27" t="s">
        <v>145</v>
      </c>
      <c r="D27" t="s">
        <v>78</v>
      </c>
      <c r="E27" t="n">
        <v>1</v>
      </c>
      <c r="F27" t="s">
        <v>79</v>
      </c>
      <c r="G27" t="s">
        <v>67</v>
      </c>
      <c r="H27" t="s">
        <v>100</v>
      </c>
      <c r="I27" t="n">
        <v>34</v>
      </c>
      <c r="J27" t="s">
        <v>69</v>
      </c>
      <c r="K27" t="s">
        <v>70</v>
      </c>
      <c r="L27" t="n">
        <v>-4</v>
      </c>
      <c r="M27" t="n">
        <v>0</v>
      </c>
      <c r="N27" t="n">
        <v>99</v>
      </c>
      <c r="O27" t="n">
        <v>-4.07088847660316</v>
      </c>
      <c r="P27" t="n">
        <v>1.22184874961636</v>
      </c>
      <c r="Q27" t="n">
        <v>-0.0413926851582251</v>
      </c>
      <c r="R27" t="n">
        <v>483</v>
      </c>
      <c r="S27" t="n">
        <v>41.95</v>
      </c>
      <c r="T27" t="n">
        <v>2</v>
      </c>
      <c r="U27" t="n">
        <v>6.5</v>
      </c>
      <c r="V27" t="n">
        <v>58</v>
      </c>
      <c r="W27" t="n">
        <v>119</v>
      </c>
      <c r="X27" t="n">
        <v>0</v>
      </c>
      <c r="Y27" t="n">
        <v>-0.25</v>
      </c>
      <c r="Z27" t="n">
        <v>111</v>
      </c>
      <c r="AA27" t="n">
        <v>0</v>
      </c>
      <c r="AB27" t="n">
        <v>-0.0755469613925307</v>
      </c>
      <c r="AC27" t="n">
        <v>-0.0644579892269184</v>
      </c>
      <c r="AD27" t="n">
        <v>0</v>
      </c>
      <c r="AE27" t="n">
        <v>3</v>
      </c>
      <c r="AF27" t="s">
        <v>70</v>
      </c>
      <c r="AG27" t="s">
        <v>71</v>
      </c>
      <c r="AH27" t="s">
        <v>72</v>
      </c>
      <c r="AI27" t="s">
        <v>73</v>
      </c>
      <c r="AJ27" t="n">
        <v>24</v>
      </c>
      <c r="AK27" t="n">
        <v>0.25</v>
      </c>
      <c r="AL27" t="n">
        <v>-0.25</v>
      </c>
      <c r="AM27" t="n">
        <v>8</v>
      </c>
      <c r="AN27" t="n">
        <v>0.125</v>
      </c>
      <c r="AO27" t="n">
        <v>83</v>
      </c>
      <c r="AP27" t="n">
        <v>0</v>
      </c>
      <c r="AQ27" t="n">
        <v>-0.25</v>
      </c>
      <c r="AR27" t="n">
        <v>8</v>
      </c>
      <c r="AS27" t="n">
        <v>180</v>
      </c>
      <c r="AT27" t="n">
        <v>0.25</v>
      </c>
      <c r="AU27" t="n">
        <v>-0.5</v>
      </c>
      <c r="AV27" t="n">
        <v>135</v>
      </c>
      <c r="AW27" t="n">
        <v>0</v>
      </c>
      <c r="AX27"/>
      <c r="AY27"/>
      <c r="AZ27"/>
      <c r="BA27"/>
      <c r="BB27"/>
      <c r="BC27"/>
      <c r="BD27"/>
      <c r="BE27"/>
      <c r="BF27" t="s">
        <v>79</v>
      </c>
      <c r="BG27" t="n">
        <v>0.450835780714273</v>
      </c>
      <c r="BH27" t="n">
        <v>0.833333333333333</v>
      </c>
      <c r="BI27" t="n">
        <v>17</v>
      </c>
      <c r="BJ27" t="s">
        <v>74</v>
      </c>
    </row>
    <row r="28">
      <c r="A28" t="s">
        <v>146</v>
      </c>
      <c r="B28" t="s">
        <v>147</v>
      </c>
      <c r="C28" t="s">
        <v>148</v>
      </c>
      <c r="D28" t="s">
        <v>78</v>
      </c>
      <c r="E28" t="n">
        <v>1</v>
      </c>
      <c r="F28" t="s">
        <v>66</v>
      </c>
      <c r="G28" t="s">
        <v>67</v>
      </c>
      <c r="H28" t="s">
        <v>68</v>
      </c>
      <c r="I28" t="n">
        <v>44</v>
      </c>
      <c r="J28" t="s">
        <v>69</v>
      </c>
      <c r="K28" t="s">
        <v>71</v>
      </c>
      <c r="L28" t="n">
        <v>-6</v>
      </c>
      <c r="M28" t="n">
        <v>-1.25</v>
      </c>
      <c r="N28" t="n">
        <v>179</v>
      </c>
      <c r="O28" t="n">
        <v>-6.58747925200237</v>
      </c>
      <c r="P28" t="n">
        <v>1.30102999566398</v>
      </c>
      <c r="Q28" t="n">
        <v>0.0268721464003014</v>
      </c>
      <c r="R28" t="n">
        <v>541</v>
      </c>
      <c r="S28" t="n">
        <v>45.31</v>
      </c>
      <c r="T28" t="n">
        <v>0</v>
      </c>
      <c r="U28" t="n">
        <v>7.25</v>
      </c>
      <c r="V28" t="n">
        <v>100</v>
      </c>
      <c r="W28" t="n">
        <v>260</v>
      </c>
      <c r="X28" t="n">
        <v>-0.5</v>
      </c>
      <c r="Y28" t="n">
        <v>0</v>
      </c>
      <c r="Z28" t="n">
        <v>12</v>
      </c>
      <c r="AA28" t="n">
        <v>-0.5</v>
      </c>
      <c r="AB28" t="n">
        <v>0.0969100130080564</v>
      </c>
      <c r="AC28" t="n">
        <v>0.0132282657337552</v>
      </c>
      <c r="AD28" t="n">
        <v>0</v>
      </c>
      <c r="AE28" t="n">
        <v>4</v>
      </c>
      <c r="AF28" t="s">
        <v>71</v>
      </c>
      <c r="AG28" t="s">
        <v>71</v>
      </c>
      <c r="AH28" t="s">
        <v>124</v>
      </c>
      <c r="AI28" t="s">
        <v>73</v>
      </c>
      <c r="AJ28" t="n">
        <v>20</v>
      </c>
      <c r="AK28" t="n">
        <v>-0.25</v>
      </c>
      <c r="AL28" t="n">
        <v>0</v>
      </c>
      <c r="AM28" t="n">
        <v>83</v>
      </c>
      <c r="AN28" t="n">
        <v>-0.25</v>
      </c>
      <c r="AO28" t="n">
        <v>79</v>
      </c>
      <c r="AP28" t="n">
        <v>-0.25</v>
      </c>
      <c r="AQ28" t="n">
        <v>-0.25</v>
      </c>
      <c r="AR28" t="n">
        <v>50</v>
      </c>
      <c r="AS28" t="n">
        <v>188</v>
      </c>
      <c r="AT28" t="n">
        <v>-0.5</v>
      </c>
      <c r="AU28" t="n">
        <v>0</v>
      </c>
      <c r="AV28" t="n">
        <v>144</v>
      </c>
      <c r="AW28" t="n">
        <v>-0.5</v>
      </c>
      <c r="AX28" t="n">
        <v>374</v>
      </c>
      <c r="AY28" t="n">
        <v>-0.75</v>
      </c>
      <c r="AZ28" t="n">
        <v>-0.25</v>
      </c>
      <c r="BA28" t="n">
        <v>12</v>
      </c>
      <c r="BB28" t="n">
        <v>725</v>
      </c>
      <c r="BC28" t="n">
        <v>-0.75</v>
      </c>
      <c r="BD28" t="n">
        <v>-0.25</v>
      </c>
      <c r="BE28" t="n">
        <v>27</v>
      </c>
      <c r="BF28" t="s">
        <v>66</v>
      </c>
      <c r="BG28" t="n">
        <v>0.785700332867971</v>
      </c>
      <c r="BH28" t="n">
        <v>1</v>
      </c>
      <c r="BI28" t="n">
        <v>10</v>
      </c>
      <c r="BJ28" t="s">
        <v>74</v>
      </c>
    </row>
    <row r="29">
      <c r="A29" t="s">
        <v>149</v>
      </c>
      <c r="B29" t="s">
        <v>150</v>
      </c>
      <c r="C29" t="s">
        <v>151</v>
      </c>
      <c r="D29" t="s">
        <v>65</v>
      </c>
      <c r="E29" t="n">
        <v>1</v>
      </c>
      <c r="F29" t="s">
        <v>66</v>
      </c>
      <c r="G29" t="s">
        <v>67</v>
      </c>
      <c r="H29" t="s">
        <v>100</v>
      </c>
      <c r="I29" t="n">
        <v>40</v>
      </c>
      <c r="J29" t="s">
        <v>80</v>
      </c>
      <c r="K29" t="s">
        <v>71</v>
      </c>
      <c r="L29" t="n">
        <v>-6.25</v>
      </c>
      <c r="M29" t="n">
        <v>-0.75</v>
      </c>
      <c r="N29" t="n">
        <v>13</v>
      </c>
      <c r="O29" t="n">
        <v>-6.62917740358944</v>
      </c>
      <c r="P29" t="n">
        <v>1.52287874528034</v>
      </c>
      <c r="Q29" t="n">
        <v>0.0268721464003014</v>
      </c>
      <c r="R29" t="n">
        <v>525</v>
      </c>
      <c r="S29" t="n">
        <v>41.65</v>
      </c>
      <c r="T29" t="n">
        <v>1</v>
      </c>
      <c r="U29" t="n">
        <v>6.73</v>
      </c>
      <c r="V29" t="n">
        <v>97</v>
      </c>
      <c r="W29" t="n">
        <v>263</v>
      </c>
      <c r="X29" t="n">
        <v>0</v>
      </c>
      <c r="Y29" t="n">
        <v>0</v>
      </c>
      <c r="Z29" t="n">
        <v>9</v>
      </c>
      <c r="AA29" t="n">
        <v>0</v>
      </c>
      <c r="AB29" t="n">
        <v>0.0409586076789064</v>
      </c>
      <c r="AC29" t="n">
        <v>0.0268721464003014</v>
      </c>
      <c r="AD29" t="n">
        <v>0</v>
      </c>
      <c r="AE29" t="n">
        <v>3</v>
      </c>
      <c r="AF29" t="s">
        <v>70</v>
      </c>
      <c r="AG29" t="s">
        <v>71</v>
      </c>
      <c r="AH29" t="s">
        <v>72</v>
      </c>
      <c r="AI29" t="s">
        <v>73</v>
      </c>
      <c r="AJ29" t="n">
        <v>21</v>
      </c>
      <c r="AK29" t="n">
        <v>0</v>
      </c>
      <c r="AL29" t="n">
        <v>0</v>
      </c>
      <c r="AM29" t="n">
        <v>50</v>
      </c>
      <c r="AN29" t="n">
        <v>0</v>
      </c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 t="s">
        <v>66</v>
      </c>
      <c r="BG29" t="n">
        <v>0.575297599095384</v>
      </c>
      <c r="BH29" t="n">
        <v>1</v>
      </c>
      <c r="BI29" t="n">
        <v>11</v>
      </c>
      <c r="BJ29" t="s">
        <v>74</v>
      </c>
    </row>
    <row r="30">
      <c r="A30" t="s">
        <v>149</v>
      </c>
      <c r="B30" t="s">
        <v>150</v>
      </c>
      <c r="C30" t="s">
        <v>152</v>
      </c>
      <c r="D30" t="s">
        <v>78</v>
      </c>
      <c r="E30" t="n">
        <v>1</v>
      </c>
      <c r="F30" t="s">
        <v>66</v>
      </c>
      <c r="G30" t="s">
        <v>67</v>
      </c>
      <c r="H30" t="s">
        <v>100</v>
      </c>
      <c r="I30" t="n">
        <v>40</v>
      </c>
      <c r="J30" t="s">
        <v>80</v>
      </c>
      <c r="K30" t="s">
        <v>71</v>
      </c>
      <c r="L30" t="n">
        <v>-4.75</v>
      </c>
      <c r="M30" t="n">
        <v>0</v>
      </c>
      <c r="N30" t="n">
        <v>158</v>
      </c>
      <c r="O30" t="n">
        <v>-4.78502171752689</v>
      </c>
      <c r="P30" t="n">
        <v>1.15490195998574</v>
      </c>
      <c r="Q30" t="n">
        <v>-0.00432137378264258</v>
      </c>
      <c r="R30" t="n">
        <v>534</v>
      </c>
      <c r="S30" t="n">
        <v>45.85</v>
      </c>
      <c r="T30" t="n">
        <v>2</v>
      </c>
      <c r="U30" t="n">
        <v>6.09</v>
      </c>
      <c r="V30" t="n">
        <v>57</v>
      </c>
      <c r="W30" t="n">
        <v>112</v>
      </c>
      <c r="X30" t="n">
        <v>0</v>
      </c>
      <c r="Y30" t="n">
        <v>-0.25</v>
      </c>
      <c r="Z30" t="n">
        <v>5</v>
      </c>
      <c r="AA30" t="n">
        <v>-0.25</v>
      </c>
      <c r="AB30" t="n">
        <v>0.00436480540245009</v>
      </c>
      <c r="AC30" t="n">
        <v>-0.0211892990699381</v>
      </c>
      <c r="AD30" t="n">
        <v>0</v>
      </c>
      <c r="AE30" t="n">
        <v>3</v>
      </c>
      <c r="AF30" t="s">
        <v>71</v>
      </c>
      <c r="AG30" t="s">
        <v>71</v>
      </c>
      <c r="AH30" t="s">
        <v>72</v>
      </c>
      <c r="AI30" t="s">
        <v>73</v>
      </c>
      <c r="AJ30" t="n">
        <v>39</v>
      </c>
      <c r="AK30" t="n">
        <v>0</v>
      </c>
      <c r="AL30" t="n">
        <v>0</v>
      </c>
      <c r="AM30" t="n">
        <v>79</v>
      </c>
      <c r="AN30" t="n">
        <v>0</v>
      </c>
      <c r="AO30" t="n">
        <v>94</v>
      </c>
      <c r="AP30" t="n">
        <v>0</v>
      </c>
      <c r="AQ30" t="n">
        <v>-0.25</v>
      </c>
      <c r="AR30" t="n">
        <v>13</v>
      </c>
      <c r="AS30" t="n">
        <v>191</v>
      </c>
      <c r="AT30" t="n">
        <v>-0.25</v>
      </c>
      <c r="AU30" t="n">
        <v>-0.25</v>
      </c>
      <c r="AV30" t="n">
        <v>2</v>
      </c>
      <c r="AW30" t="n">
        <v>-0.375</v>
      </c>
      <c r="AX30" t="n">
        <v>374</v>
      </c>
      <c r="AY30" t="n">
        <v>-0.5</v>
      </c>
      <c r="AZ30" t="n">
        <v>-0.25</v>
      </c>
      <c r="BA30" t="n">
        <v>42</v>
      </c>
      <c r="BB30" t="n">
        <v>739</v>
      </c>
      <c r="BC30" t="n">
        <v>-0.5</v>
      </c>
      <c r="BD30" t="n">
        <v>-0.25</v>
      </c>
      <c r="BE30" t="n">
        <v>151</v>
      </c>
      <c r="BF30" t="s">
        <v>66</v>
      </c>
      <c r="BG30" t="n">
        <v>0.587802318204832</v>
      </c>
      <c r="BH30" t="n">
        <v>1</v>
      </c>
      <c r="BI30" t="n">
        <v>12</v>
      </c>
      <c r="BJ30" t="s">
        <v>74</v>
      </c>
    </row>
    <row r="31">
      <c r="A31" t="s">
        <v>153</v>
      </c>
      <c r="B31" t="s">
        <v>154</v>
      </c>
      <c r="C31" t="s">
        <v>155</v>
      </c>
      <c r="D31" t="s">
        <v>78</v>
      </c>
      <c r="E31" t="n">
        <v>1</v>
      </c>
      <c r="F31" t="s">
        <v>79</v>
      </c>
      <c r="G31" t="s">
        <v>67</v>
      </c>
      <c r="H31" t="s">
        <v>100</v>
      </c>
      <c r="I31" t="n">
        <v>40</v>
      </c>
      <c r="J31" t="s">
        <v>69</v>
      </c>
      <c r="K31" t="s">
        <v>70</v>
      </c>
      <c r="L31" t="n">
        <v>-4.25</v>
      </c>
      <c r="M31" t="n">
        <v>-1.5</v>
      </c>
      <c r="N31" t="n">
        <v>175</v>
      </c>
      <c r="O31" t="n">
        <v>-4.96205917964935</v>
      </c>
      <c r="P31" t="n">
        <v>1.09691001300806</v>
      </c>
      <c r="Q31" t="n">
        <v>-0.0170333392987804</v>
      </c>
      <c r="R31" t="n">
        <v>552</v>
      </c>
      <c r="S31" t="n">
        <v>44.76</v>
      </c>
      <c r="T31" t="n">
        <v>0</v>
      </c>
      <c r="U31" t="n">
        <v>6.92</v>
      </c>
      <c r="V31" t="n">
        <v>82</v>
      </c>
      <c r="W31" t="n">
        <v>263</v>
      </c>
      <c r="X31" t="n">
        <v>0</v>
      </c>
      <c r="Y31" t="n">
        <v>0</v>
      </c>
      <c r="Z31" t="n">
        <v>99</v>
      </c>
      <c r="AA31" t="n">
        <v>0</v>
      </c>
      <c r="AB31" t="n">
        <v>-0.00432137378264258</v>
      </c>
      <c r="AC31" t="n">
        <v>-0.00432137378264258</v>
      </c>
      <c r="AD31" t="n">
        <v>1</v>
      </c>
      <c r="AE31" t="n">
        <v>2</v>
      </c>
      <c r="AF31" t="s">
        <v>71</v>
      </c>
      <c r="AG31" t="s">
        <v>71</v>
      </c>
      <c r="AH31" t="s">
        <v>72</v>
      </c>
      <c r="AI31" t="s">
        <v>88</v>
      </c>
      <c r="AJ31" t="n">
        <v>38</v>
      </c>
      <c r="AK31" t="n">
        <v>0</v>
      </c>
      <c r="AL31" t="n">
        <v>-0.25</v>
      </c>
      <c r="AM31" t="n">
        <v>98</v>
      </c>
      <c r="AN31" t="n">
        <v>-0.125</v>
      </c>
      <c r="AO31" t="n">
        <v>84</v>
      </c>
      <c r="AP31" t="n">
        <v>0.25</v>
      </c>
      <c r="AQ31" t="n">
        <v>0</v>
      </c>
      <c r="AR31" t="n">
        <v>171</v>
      </c>
      <c r="AS31"/>
      <c r="AT31"/>
      <c r="AU31"/>
      <c r="AV31"/>
      <c r="AW31"/>
      <c r="AX31"/>
      <c r="AY31"/>
      <c r="AZ31"/>
      <c r="BA31"/>
      <c r="BB31"/>
      <c r="BC31"/>
      <c r="BD31"/>
      <c r="BE31"/>
      <c r="BF31" t="s">
        <v>79</v>
      </c>
      <c r="BG31" t="n">
        <v>0.527875305210155</v>
      </c>
      <c r="BH31" t="n">
        <v>1.66666666666667</v>
      </c>
      <c r="BI31" t="n">
        <v>11</v>
      </c>
      <c r="BJ31" t="s">
        <v>74</v>
      </c>
    </row>
    <row r="32">
      <c r="A32" t="s">
        <v>156</v>
      </c>
      <c r="B32" t="s">
        <v>157</v>
      </c>
      <c r="C32" t="s">
        <v>158</v>
      </c>
      <c r="D32" t="s">
        <v>65</v>
      </c>
      <c r="E32" t="n">
        <v>1</v>
      </c>
      <c r="F32" t="s">
        <v>79</v>
      </c>
      <c r="G32" t="s">
        <v>67</v>
      </c>
      <c r="H32" t="s">
        <v>100</v>
      </c>
      <c r="I32" t="n">
        <v>42</v>
      </c>
      <c r="J32" t="s">
        <v>69</v>
      </c>
      <c r="K32" t="s">
        <v>70</v>
      </c>
      <c r="L32" t="n">
        <v>-5.25</v>
      </c>
      <c r="M32" t="n">
        <v>-0.75</v>
      </c>
      <c r="N32" t="n">
        <v>173</v>
      </c>
      <c r="O32" t="n">
        <v>-5.54734567262579</v>
      </c>
      <c r="P32" t="n">
        <v>1.22184874961636</v>
      </c>
      <c r="Q32" t="n">
        <v>-0.0492180226701817</v>
      </c>
      <c r="R32" t="n">
        <v>561</v>
      </c>
      <c r="S32" t="n">
        <v>45.91</v>
      </c>
      <c r="T32" t="n">
        <v>1</v>
      </c>
      <c r="U32" t="n">
        <v>6.45</v>
      </c>
      <c r="V32" t="n">
        <v>71</v>
      </c>
      <c r="W32" t="n">
        <v>267</v>
      </c>
      <c r="X32" t="n">
        <v>1</v>
      </c>
      <c r="Y32" t="n">
        <v>-0.25</v>
      </c>
      <c r="Z32" t="n">
        <v>162</v>
      </c>
      <c r="AA32" t="n">
        <v>0.75</v>
      </c>
      <c r="AB32" t="n">
        <v>-0.0170333392987804</v>
      </c>
      <c r="AC32" t="n">
        <v>-0.0374264979406237</v>
      </c>
      <c r="AD32" t="n">
        <v>2</v>
      </c>
      <c r="AE32" t="n">
        <v>4</v>
      </c>
      <c r="AF32" t="s">
        <v>71</v>
      </c>
      <c r="AG32" t="s">
        <v>71</v>
      </c>
      <c r="AH32" t="s">
        <v>72</v>
      </c>
      <c r="AI32" t="s">
        <v>73</v>
      </c>
      <c r="AJ32" t="n">
        <v>25</v>
      </c>
      <c r="AK32" t="n">
        <v>1</v>
      </c>
      <c r="AL32" t="n">
        <v>-0.25</v>
      </c>
      <c r="AM32" t="n">
        <v>87</v>
      </c>
      <c r="AN32" t="n">
        <v>0.875</v>
      </c>
      <c r="AO32" t="n">
        <v>88</v>
      </c>
      <c r="AP32" t="n">
        <v>1</v>
      </c>
      <c r="AQ32" t="n">
        <v>-0.25</v>
      </c>
      <c r="AR32" t="n">
        <v>78</v>
      </c>
      <c r="AS32" t="n">
        <v>180</v>
      </c>
      <c r="AT32" t="n">
        <v>0.75</v>
      </c>
      <c r="AU32" t="n">
        <v>0</v>
      </c>
      <c r="AV32" t="n">
        <v>176</v>
      </c>
      <c r="AW32" t="n">
        <v>0.75</v>
      </c>
      <c r="AX32"/>
      <c r="AY32"/>
      <c r="AZ32"/>
      <c r="BA32"/>
      <c r="BB32"/>
      <c r="BC32"/>
      <c r="BD32"/>
      <c r="BE32"/>
      <c r="BF32" t="s">
        <v>79</v>
      </c>
      <c r="BG32" t="n">
        <v>0.567421622357674</v>
      </c>
      <c r="BH32" t="n">
        <v>1.66666666666667</v>
      </c>
      <c r="BI32" t="n">
        <v>12</v>
      </c>
      <c r="BJ32" t="s">
        <v>74</v>
      </c>
    </row>
    <row r="33">
      <c r="A33" t="s">
        <v>159</v>
      </c>
      <c r="B33" t="s">
        <v>160</v>
      </c>
      <c r="C33" t="s">
        <v>161</v>
      </c>
      <c r="D33" t="s">
        <v>65</v>
      </c>
      <c r="E33" t="n">
        <v>1</v>
      </c>
      <c r="F33" t="s">
        <v>66</v>
      </c>
      <c r="G33" t="s">
        <v>67</v>
      </c>
      <c r="H33" t="s">
        <v>100</v>
      </c>
      <c r="I33" t="n">
        <v>31</v>
      </c>
      <c r="J33" t="s">
        <v>80</v>
      </c>
      <c r="K33" t="s">
        <v>71</v>
      </c>
      <c r="L33" t="n">
        <v>-4.25</v>
      </c>
      <c r="M33" t="n">
        <v>-0.25</v>
      </c>
      <c r="N33" t="n">
        <v>10</v>
      </c>
      <c r="O33" t="n">
        <v>-4.45673022179801</v>
      </c>
      <c r="P33" t="n">
        <v>0.958607314841775</v>
      </c>
      <c r="Q33" t="n">
        <v>0.0268721464003014</v>
      </c>
      <c r="R33" t="n">
        <v>561</v>
      </c>
      <c r="S33" t="n">
        <v>42.78</v>
      </c>
      <c r="T33" t="n">
        <v>0</v>
      </c>
      <c r="U33" t="n">
        <v>6.25</v>
      </c>
      <c r="V33" t="n">
        <v>56</v>
      </c>
      <c r="W33" t="n">
        <v>92</v>
      </c>
      <c r="X33" t="n">
        <v>-0.5</v>
      </c>
      <c r="Y33" t="n">
        <v>-0.25</v>
      </c>
      <c r="Z33" t="n">
        <v>172</v>
      </c>
      <c r="AA33" t="n">
        <v>-0.5</v>
      </c>
      <c r="AB33" t="n">
        <v>0.113509274827518</v>
      </c>
      <c r="AC33" t="n">
        <v>0.0268721464003014</v>
      </c>
      <c r="AD33" t="n">
        <v>2</v>
      </c>
      <c r="AE33" t="n">
        <v>3</v>
      </c>
      <c r="AF33" t="s">
        <v>71</v>
      </c>
      <c r="AG33" t="s">
        <v>71</v>
      </c>
      <c r="AH33" t="s">
        <v>72</v>
      </c>
      <c r="AI33" t="s">
        <v>88</v>
      </c>
      <c r="AJ33" t="n">
        <v>32</v>
      </c>
      <c r="AK33" t="n">
        <v>-0.25</v>
      </c>
      <c r="AL33" t="n">
        <v>-0.25</v>
      </c>
      <c r="AM33" t="n">
        <v>152</v>
      </c>
      <c r="AN33" t="n">
        <v>-0.375</v>
      </c>
      <c r="AO33" t="n">
        <v>90</v>
      </c>
      <c r="AP33" t="n">
        <v>-0.25</v>
      </c>
      <c r="AQ33" t="n">
        <v>-0.25</v>
      </c>
      <c r="AR33" t="n">
        <v>81</v>
      </c>
      <c r="AS33" t="n">
        <v>175</v>
      </c>
      <c r="AT33" t="n">
        <v>-0.25</v>
      </c>
      <c r="AU33" t="n">
        <v>-0.25</v>
      </c>
      <c r="AV33" t="n">
        <v>11</v>
      </c>
      <c r="AW33" t="n">
        <v>-0.375</v>
      </c>
      <c r="AX33" t="n">
        <v>352</v>
      </c>
      <c r="AY33" t="n">
        <v>-0.5</v>
      </c>
      <c r="AZ33" t="n">
        <v>0</v>
      </c>
      <c r="BA33" t="n">
        <v>57</v>
      </c>
      <c r="BB33"/>
      <c r="BC33"/>
      <c r="BD33"/>
      <c r="BE33"/>
      <c r="BF33" t="s">
        <v>66</v>
      </c>
      <c r="BG33" t="n">
        <v>0.11722819355871</v>
      </c>
      <c r="BH33" t="n">
        <v>1</v>
      </c>
      <c r="BI33" t="n">
        <v>13</v>
      </c>
      <c r="BJ33" t="s">
        <v>74</v>
      </c>
    </row>
    <row r="34">
      <c r="A34" t="s">
        <v>162</v>
      </c>
      <c r="B34" t="s">
        <v>163</v>
      </c>
      <c r="C34" t="s">
        <v>164</v>
      </c>
      <c r="D34" t="s">
        <v>65</v>
      </c>
      <c r="E34" t="n">
        <v>1</v>
      </c>
      <c r="F34" t="s">
        <v>79</v>
      </c>
      <c r="G34" t="s">
        <v>67</v>
      </c>
      <c r="H34" t="s">
        <v>68</v>
      </c>
      <c r="I34" t="n">
        <v>37</v>
      </c>
      <c r="J34" t="s">
        <v>69</v>
      </c>
      <c r="K34" t="s">
        <v>70</v>
      </c>
      <c r="L34" t="n">
        <v>-3.75</v>
      </c>
      <c r="M34" t="n">
        <v>-1</v>
      </c>
      <c r="N34" t="n">
        <v>13</v>
      </c>
      <c r="O34" t="n">
        <v>-4.33674606404432</v>
      </c>
      <c r="P34" t="n">
        <v>1.15490195998574</v>
      </c>
      <c r="Q34" t="n">
        <v>-0.0413926851582251</v>
      </c>
      <c r="R34" t="n">
        <v>544</v>
      </c>
      <c r="S34" t="n">
        <v>43.32</v>
      </c>
      <c r="T34" t="n">
        <v>0</v>
      </c>
      <c r="U34" t="n">
        <v>6.66</v>
      </c>
      <c r="V34" t="n">
        <v>58</v>
      </c>
      <c r="W34" t="n">
        <v>267</v>
      </c>
      <c r="X34" t="n">
        <v>0</v>
      </c>
      <c r="Y34" t="n">
        <v>-0.25</v>
      </c>
      <c r="Z34" t="n">
        <v>16</v>
      </c>
      <c r="AA34" t="n">
        <v>0</v>
      </c>
      <c r="AB34" t="n">
        <v>-0.00432137378264258</v>
      </c>
      <c r="AC34" t="n">
        <v>-0.0211892990699381</v>
      </c>
      <c r="AD34" t="n">
        <v>2</v>
      </c>
      <c r="AE34" t="n">
        <v>5</v>
      </c>
      <c r="AF34" t="s">
        <v>71</v>
      </c>
      <c r="AG34" t="s">
        <v>71</v>
      </c>
      <c r="AH34" t="s">
        <v>124</v>
      </c>
      <c r="AI34" t="s">
        <v>73</v>
      </c>
      <c r="AJ34" t="n">
        <v>20</v>
      </c>
      <c r="AK34" t="n">
        <v>0.5</v>
      </c>
      <c r="AL34" t="n">
        <v>-0.5</v>
      </c>
      <c r="AM34" t="n">
        <v>173</v>
      </c>
      <c r="AN34" t="n">
        <v>0.25</v>
      </c>
      <c r="AO34" t="n">
        <v>86</v>
      </c>
      <c r="AP34" t="n">
        <v>0.25</v>
      </c>
      <c r="AQ34" t="n">
        <v>-0.25</v>
      </c>
      <c r="AR34" t="n">
        <v>86</v>
      </c>
      <c r="AS34" t="n">
        <v>188</v>
      </c>
      <c r="AT34" t="n">
        <v>0</v>
      </c>
      <c r="AU34" t="n">
        <v>-0.25</v>
      </c>
      <c r="AV34" t="n">
        <v>22</v>
      </c>
      <c r="AW34" t="n">
        <v>-0.125</v>
      </c>
      <c r="AX34" t="n">
        <v>352</v>
      </c>
      <c r="AY34" t="n">
        <v>-0.25</v>
      </c>
      <c r="AZ34" t="n">
        <v>0</v>
      </c>
      <c r="BA34" t="n">
        <v>74</v>
      </c>
      <c r="BB34" t="n">
        <v>717</v>
      </c>
      <c r="BC34" t="n">
        <v>-0.25</v>
      </c>
      <c r="BD34" t="n">
        <v>-0.25</v>
      </c>
      <c r="BE34" t="n">
        <v>149</v>
      </c>
      <c r="BF34" t="s">
        <v>79</v>
      </c>
      <c r="BG34" t="n">
        <v>0.33615725740646</v>
      </c>
      <c r="BH34" t="n">
        <v>1.66666666666667</v>
      </c>
      <c r="BI34" t="n">
        <v>26</v>
      </c>
      <c r="BJ34" t="s">
        <v>74</v>
      </c>
    </row>
    <row r="35">
      <c r="A35" t="s">
        <v>162</v>
      </c>
      <c r="B35" t="s">
        <v>163</v>
      </c>
      <c r="C35" t="s">
        <v>165</v>
      </c>
      <c r="D35" t="s">
        <v>78</v>
      </c>
      <c r="E35" t="n">
        <v>1</v>
      </c>
      <c r="F35" t="s">
        <v>79</v>
      </c>
      <c r="G35" t="s">
        <v>67</v>
      </c>
      <c r="H35" t="s">
        <v>68</v>
      </c>
      <c r="I35" t="n">
        <v>37</v>
      </c>
      <c r="J35" t="s">
        <v>69</v>
      </c>
      <c r="K35" t="s">
        <v>70</v>
      </c>
      <c r="L35" t="n">
        <v>-4.25</v>
      </c>
      <c r="M35" t="n">
        <v>0</v>
      </c>
      <c r="N35" t="n">
        <v>95</v>
      </c>
      <c r="O35" t="n">
        <v>-4.14146379679994</v>
      </c>
      <c r="P35" t="n">
        <v>1.09691001300806</v>
      </c>
      <c r="Q35" t="n">
        <v>0</v>
      </c>
      <c r="R35" t="n">
        <v>564</v>
      </c>
      <c r="S35" t="n">
        <v>43.87</v>
      </c>
      <c r="T35" t="n">
        <v>0</v>
      </c>
      <c r="U35" t="n">
        <v>6.37</v>
      </c>
      <c r="V35" t="n">
        <v>63</v>
      </c>
      <c r="W35" t="n">
        <v>115</v>
      </c>
      <c r="X35" t="n">
        <v>0.25</v>
      </c>
      <c r="Y35" t="n">
        <v>0</v>
      </c>
      <c r="Z35" t="n">
        <v>114</v>
      </c>
      <c r="AA35" t="n">
        <v>0.25</v>
      </c>
      <c r="AB35" t="n">
        <v>0.00436480540245009</v>
      </c>
      <c r="AC35" t="n">
        <v>0.00436480540245009</v>
      </c>
      <c r="AD35" t="n">
        <v>2</v>
      </c>
      <c r="AE35" t="n">
        <v>5</v>
      </c>
      <c r="AF35" t="s">
        <v>71</v>
      </c>
      <c r="AG35" t="s">
        <v>71</v>
      </c>
      <c r="AH35" t="s">
        <v>72</v>
      </c>
      <c r="AI35" t="s">
        <v>88</v>
      </c>
      <c r="AJ35" t="n">
        <v>18</v>
      </c>
      <c r="AK35" t="n">
        <v>0.5</v>
      </c>
      <c r="AL35" t="n">
        <v>-0.25</v>
      </c>
      <c r="AM35" t="n">
        <v>166</v>
      </c>
      <c r="AN35" t="n">
        <v>0.375</v>
      </c>
      <c r="AO35" t="n">
        <v>88</v>
      </c>
      <c r="AP35" t="n">
        <v>0.25</v>
      </c>
      <c r="AQ35" t="n">
        <v>-0.25</v>
      </c>
      <c r="AR35" t="n">
        <v>75</v>
      </c>
      <c r="AS35" t="n">
        <v>172</v>
      </c>
      <c r="AT35" t="n">
        <v>0.5</v>
      </c>
      <c r="AU35" t="n">
        <v>-0.25</v>
      </c>
      <c r="AV35" t="n">
        <v>18</v>
      </c>
      <c r="AW35" t="n">
        <v>0.375</v>
      </c>
      <c r="AX35" t="n">
        <v>372</v>
      </c>
      <c r="AY35" t="n">
        <v>0.5</v>
      </c>
      <c r="AZ35" t="n">
        <v>-0.5</v>
      </c>
      <c r="BA35" t="n">
        <v>26</v>
      </c>
      <c r="BB35" t="n">
        <v>724</v>
      </c>
      <c r="BC35" t="n">
        <v>0.5</v>
      </c>
      <c r="BD35" t="n">
        <v>-0.5</v>
      </c>
      <c r="BE35" t="n">
        <v>41</v>
      </c>
      <c r="BF35" t="s">
        <v>79</v>
      </c>
      <c r="BG35" t="n">
        <v>0.255913721759502</v>
      </c>
      <c r="BH35" t="n">
        <v>0.833333333333333</v>
      </c>
      <c r="BI35" t="n">
        <v>24</v>
      </c>
      <c r="BJ35" t="s">
        <v>74</v>
      </c>
    </row>
    <row r="36">
      <c r="A36" t="s">
        <v>166</v>
      </c>
      <c r="B36" t="s">
        <v>167</v>
      </c>
      <c r="C36" t="s">
        <v>168</v>
      </c>
      <c r="D36" t="s">
        <v>65</v>
      </c>
      <c r="E36" t="n">
        <v>1</v>
      </c>
      <c r="F36" t="s">
        <v>79</v>
      </c>
      <c r="G36" t="s">
        <v>67</v>
      </c>
      <c r="H36" t="s">
        <v>68</v>
      </c>
      <c r="I36" t="n">
        <v>32</v>
      </c>
      <c r="J36" t="s">
        <v>80</v>
      </c>
      <c r="K36" t="s">
        <v>71</v>
      </c>
      <c r="L36" t="n">
        <v>-2.25</v>
      </c>
      <c r="M36" t="n">
        <v>-0.5</v>
      </c>
      <c r="N36" t="n">
        <v>86</v>
      </c>
      <c r="O36" t="n">
        <v>-2.44480897835325</v>
      </c>
      <c r="P36" t="n">
        <v>0.795880017344075</v>
      </c>
      <c r="Q36" t="n">
        <v>-0.00860017176191757</v>
      </c>
      <c r="R36" t="n">
        <v>548</v>
      </c>
      <c r="S36" t="n">
        <v>42.67</v>
      </c>
      <c r="T36" t="n">
        <v>0</v>
      </c>
      <c r="U36" t="n">
        <v>6.41</v>
      </c>
      <c r="V36" t="n">
        <v>28</v>
      </c>
      <c r="W36" t="n">
        <v>101</v>
      </c>
      <c r="X36" t="n">
        <v>0</v>
      </c>
      <c r="Y36" t="n">
        <v>-0.25</v>
      </c>
      <c r="Z36" t="n">
        <v>118</v>
      </c>
      <c r="AA36" t="n">
        <v>0</v>
      </c>
      <c r="AB36" t="n">
        <v>-0.0170333392987804</v>
      </c>
      <c r="AC36" t="n">
        <v>-0.0128372247051722</v>
      </c>
      <c r="AD36" t="n">
        <v>0</v>
      </c>
      <c r="AE36" t="n">
        <v>5</v>
      </c>
      <c r="AF36" t="s">
        <v>71</v>
      </c>
      <c r="AG36" t="s">
        <v>71</v>
      </c>
      <c r="AH36" t="s">
        <v>72</v>
      </c>
      <c r="AI36" t="s">
        <v>73</v>
      </c>
      <c r="AJ36" t="n">
        <v>37</v>
      </c>
      <c r="AK36" t="n">
        <v>0.5</v>
      </c>
      <c r="AL36" t="n">
        <v>-0.5</v>
      </c>
      <c r="AM36" t="n">
        <v>42</v>
      </c>
      <c r="AN36" t="n">
        <v>0.25</v>
      </c>
      <c r="AO36" t="n">
        <v>77</v>
      </c>
      <c r="AP36" t="n">
        <v>0.25</v>
      </c>
      <c r="AQ36" t="n">
        <v>0</v>
      </c>
      <c r="AR36" t="n">
        <v>62</v>
      </c>
      <c r="AS36" t="n">
        <v>191</v>
      </c>
      <c r="AT36" t="n">
        <v>0</v>
      </c>
      <c r="AU36" t="n">
        <v>-0.25</v>
      </c>
      <c r="AV36" t="n">
        <v>40</v>
      </c>
      <c r="AW36" t="n">
        <v>-0.125</v>
      </c>
      <c r="AX36"/>
      <c r="AY36"/>
      <c r="AZ36"/>
      <c r="BA36"/>
      <c r="BB36"/>
      <c r="BC36"/>
      <c r="BD36"/>
      <c r="BE36"/>
      <c r="BF36" t="s">
        <v>79</v>
      </c>
      <c r="BG36" t="n">
        <v>0.154716059366093</v>
      </c>
      <c r="BH36" t="n">
        <v>0.833333333333333</v>
      </c>
      <c r="BI36" t="n">
        <v>14</v>
      </c>
      <c r="BJ36" t="s">
        <v>74</v>
      </c>
    </row>
    <row r="37">
      <c r="A37" t="s">
        <v>166</v>
      </c>
      <c r="B37" t="s">
        <v>167</v>
      </c>
      <c r="C37" t="s">
        <v>169</v>
      </c>
      <c r="D37" t="s">
        <v>78</v>
      </c>
      <c r="E37" t="n">
        <v>1</v>
      </c>
      <c r="F37" t="s">
        <v>79</v>
      </c>
      <c r="G37" t="s">
        <v>67</v>
      </c>
      <c r="H37" t="s">
        <v>68</v>
      </c>
      <c r="I37" t="n">
        <v>32</v>
      </c>
      <c r="J37" t="s">
        <v>80</v>
      </c>
      <c r="K37" t="s">
        <v>71</v>
      </c>
      <c r="L37" t="n">
        <v>-5.5</v>
      </c>
      <c r="M37" t="n">
        <v>-0.25</v>
      </c>
      <c r="N37" t="n">
        <v>157</v>
      </c>
      <c r="O37" t="n">
        <v>-5.67735212428595</v>
      </c>
      <c r="P37" t="n">
        <v>1.15490195998574</v>
      </c>
      <c r="Q37" t="n">
        <v>0.00877392430750515</v>
      </c>
      <c r="R37" t="n">
        <v>509</v>
      </c>
      <c r="S37" t="n">
        <v>44.8</v>
      </c>
      <c r="T37" t="n">
        <v>0</v>
      </c>
      <c r="U37" t="n">
        <v>6.02</v>
      </c>
      <c r="V37" t="n">
        <v>85</v>
      </c>
      <c r="W37" t="n">
        <v>99</v>
      </c>
      <c r="X37" t="n">
        <v>0.25</v>
      </c>
      <c r="Y37" t="n">
        <v>0</v>
      </c>
      <c r="Z37" t="n">
        <v>156</v>
      </c>
      <c r="AA37" t="n">
        <v>0.25</v>
      </c>
      <c r="AB37" t="n">
        <v>0.0457574905606751</v>
      </c>
      <c r="AC37" t="n">
        <v>0.0222763947111523</v>
      </c>
      <c r="AD37" t="n">
        <v>0</v>
      </c>
      <c r="AE37" t="n">
        <v>5</v>
      </c>
      <c r="AF37" t="s">
        <v>71</v>
      </c>
      <c r="AG37" t="s">
        <v>71</v>
      </c>
      <c r="AH37" t="s">
        <v>72</v>
      </c>
      <c r="AI37" t="s">
        <v>73</v>
      </c>
      <c r="AJ37" t="n">
        <v>42</v>
      </c>
      <c r="AK37" t="n">
        <v>0.5</v>
      </c>
      <c r="AL37" t="n">
        <v>-0.25</v>
      </c>
      <c r="AM37" t="n">
        <v>71</v>
      </c>
      <c r="AN37" t="n">
        <v>0.375</v>
      </c>
      <c r="AO37" t="n">
        <v>94</v>
      </c>
      <c r="AP37" t="n">
        <v>0.5</v>
      </c>
      <c r="AQ37" t="n">
        <v>-0.25</v>
      </c>
      <c r="AR37" t="n">
        <v>45</v>
      </c>
      <c r="AS37" t="n">
        <v>188</v>
      </c>
      <c r="AT37" t="n">
        <v>0.5</v>
      </c>
      <c r="AU37" t="n">
        <v>-0.5</v>
      </c>
      <c r="AV37" t="n">
        <v>100</v>
      </c>
      <c r="AW37" t="n">
        <v>0.25</v>
      </c>
      <c r="AX37" t="n">
        <v>378</v>
      </c>
      <c r="AY37" t="n">
        <v>0.25</v>
      </c>
      <c r="AZ37" t="n">
        <v>0</v>
      </c>
      <c r="BA37" t="n">
        <v>150</v>
      </c>
      <c r="BB37" t="n">
        <v>738</v>
      </c>
      <c r="BC37" t="n">
        <v>-0.25</v>
      </c>
      <c r="BD37" t="n">
        <v>0</v>
      </c>
      <c r="BE37" t="n">
        <v>61</v>
      </c>
      <c r="BF37" t="s">
        <v>79</v>
      </c>
      <c r="BG37" t="n">
        <v>0.334853039297172</v>
      </c>
      <c r="BH37" t="n">
        <v>0.833333333333333</v>
      </c>
      <c r="BI37" t="n">
        <v>22</v>
      </c>
      <c r="BJ37" t="s">
        <v>74</v>
      </c>
    </row>
    <row r="38">
      <c r="A38" t="s">
        <v>170</v>
      </c>
      <c r="B38" t="s">
        <v>171</v>
      </c>
      <c r="C38" t="s">
        <v>172</v>
      </c>
      <c r="D38" t="s">
        <v>65</v>
      </c>
      <c r="E38" t="n">
        <v>1</v>
      </c>
      <c r="F38" t="s">
        <v>66</v>
      </c>
      <c r="G38" t="s">
        <v>67</v>
      </c>
      <c r="H38" t="s">
        <v>68</v>
      </c>
      <c r="I38" t="n">
        <v>28</v>
      </c>
      <c r="J38" t="s">
        <v>80</v>
      </c>
      <c r="K38" t="s">
        <v>71</v>
      </c>
      <c r="L38" t="n">
        <v>-6.75</v>
      </c>
      <c r="M38" t="n">
        <v>0</v>
      </c>
      <c r="N38" t="n">
        <v>84</v>
      </c>
      <c r="O38" t="n">
        <v>-6.83029262037264</v>
      </c>
      <c r="P38" t="n">
        <v>1.39794000867204</v>
      </c>
      <c r="Q38" t="n">
        <v>0.0409586076789064</v>
      </c>
      <c r="R38" t="n">
        <v>502</v>
      </c>
      <c r="S38" t="n">
        <v>43.02</v>
      </c>
      <c r="T38" t="n">
        <v>1</v>
      </c>
      <c r="U38" t="n">
        <v>6.29</v>
      </c>
      <c r="V38" t="n">
        <v>89</v>
      </c>
      <c r="W38" t="n">
        <v>267</v>
      </c>
      <c r="X38" t="n">
        <v>0</v>
      </c>
      <c r="Y38" t="n">
        <v>-0.25</v>
      </c>
      <c r="Z38" t="n">
        <v>161</v>
      </c>
      <c r="AA38" t="n">
        <v>0</v>
      </c>
      <c r="AB38" t="n">
        <v>0.102372908709559</v>
      </c>
      <c r="AC38" t="n">
        <v>0.0555173278498314</v>
      </c>
      <c r="AD38" t="n">
        <v>0</v>
      </c>
      <c r="AE38" t="n">
        <v>4</v>
      </c>
      <c r="AF38" t="s">
        <v>71</v>
      </c>
      <c r="AG38" t="s">
        <v>71</v>
      </c>
      <c r="AH38" t="s">
        <v>72</v>
      </c>
      <c r="AI38" t="s">
        <v>88</v>
      </c>
      <c r="AJ38" t="n">
        <v>36</v>
      </c>
      <c r="AK38" t="n">
        <v>0</v>
      </c>
      <c r="AL38" t="n">
        <v>0</v>
      </c>
      <c r="AM38" t="n">
        <v>104</v>
      </c>
      <c r="AN38" t="n">
        <v>0</v>
      </c>
      <c r="AO38" t="n">
        <v>90</v>
      </c>
      <c r="AP38" t="n">
        <v>0.25</v>
      </c>
      <c r="AQ38" t="n">
        <v>-0.5</v>
      </c>
      <c r="AR38" t="n">
        <v>24</v>
      </c>
      <c r="AS38" t="n">
        <v>182</v>
      </c>
      <c r="AT38" t="n">
        <v>0</v>
      </c>
      <c r="AU38" t="n">
        <v>0</v>
      </c>
      <c r="AV38" t="n">
        <v>40</v>
      </c>
      <c r="AW38" t="n">
        <v>0</v>
      </c>
      <c r="AX38" t="n">
        <v>368</v>
      </c>
      <c r="AY38" t="n">
        <v>0</v>
      </c>
      <c r="AZ38" t="n">
        <v>-0.25</v>
      </c>
      <c r="BA38" t="n">
        <v>38</v>
      </c>
      <c r="BB38" t="n">
        <v>721</v>
      </c>
      <c r="BC38" t="n">
        <v>-0.5</v>
      </c>
      <c r="BD38" t="n">
        <v>0</v>
      </c>
      <c r="BE38" t="n">
        <v>37</v>
      </c>
      <c r="BF38" t="s">
        <v>66</v>
      </c>
      <c r="BG38" t="n">
        <v>0.163190805953366</v>
      </c>
      <c r="BH38" t="n">
        <v>1</v>
      </c>
      <c r="BI38" t="n">
        <v>14</v>
      </c>
      <c r="BJ38" t="s">
        <v>74</v>
      </c>
    </row>
    <row r="39">
      <c r="A39" t="s">
        <v>170</v>
      </c>
      <c r="B39" t="s">
        <v>171</v>
      </c>
      <c r="C39" t="s">
        <v>173</v>
      </c>
      <c r="D39" t="s">
        <v>78</v>
      </c>
      <c r="E39" t="n">
        <v>1</v>
      </c>
      <c r="F39" t="s">
        <v>66</v>
      </c>
      <c r="G39" t="s">
        <v>67</v>
      </c>
      <c r="H39" t="s">
        <v>68</v>
      </c>
      <c r="I39" t="n">
        <v>28</v>
      </c>
      <c r="J39" t="s">
        <v>80</v>
      </c>
      <c r="K39" t="s">
        <v>71</v>
      </c>
      <c r="L39" t="n">
        <v>-3.25</v>
      </c>
      <c r="M39" t="n">
        <v>-1</v>
      </c>
      <c r="N39" t="n">
        <v>176</v>
      </c>
      <c r="O39" t="n">
        <v>-3.82905521476663</v>
      </c>
      <c r="P39" t="n">
        <v>0.958607314841775</v>
      </c>
      <c r="Q39" t="n">
        <v>0.00877392430750515</v>
      </c>
      <c r="R39" t="n">
        <v>532</v>
      </c>
      <c r="S39" t="n">
        <v>45.95</v>
      </c>
      <c r="T39" t="n">
        <v>0</v>
      </c>
      <c r="U39" t="n">
        <v>6.56</v>
      </c>
      <c r="V39" t="n">
        <v>66</v>
      </c>
      <c r="W39" t="n">
        <v>183</v>
      </c>
      <c r="X39" t="n">
        <v>-0.5</v>
      </c>
      <c r="Y39" t="n">
        <v>-0.25</v>
      </c>
      <c r="Z39" t="n">
        <v>31</v>
      </c>
      <c r="AA39" t="n">
        <v>-0.5</v>
      </c>
      <c r="AB39" t="n">
        <v>0.0969100130080564</v>
      </c>
      <c r="AC39" t="n">
        <v>0.0222763947111523</v>
      </c>
      <c r="AD39" t="n">
        <v>0</v>
      </c>
      <c r="AE39" t="n">
        <v>2</v>
      </c>
      <c r="AF39" t="s">
        <v>70</v>
      </c>
      <c r="AG39" t="s">
        <v>71</v>
      </c>
      <c r="AH39" t="s">
        <v>72</v>
      </c>
      <c r="AI39" t="s">
        <v>88</v>
      </c>
      <c r="AJ39" t="n">
        <v>24</v>
      </c>
      <c r="AK39" t="n">
        <v>-0.5</v>
      </c>
      <c r="AL39" t="n">
        <v>-0.25</v>
      </c>
      <c r="AM39" t="n">
        <v>63</v>
      </c>
      <c r="AN39" t="n">
        <v>-0.625</v>
      </c>
      <c r="AO39" t="n">
        <v>100</v>
      </c>
      <c r="AP39" t="n">
        <v>-0.5</v>
      </c>
      <c r="AQ39" t="n">
        <v>0</v>
      </c>
      <c r="AR39" t="n">
        <v>6</v>
      </c>
      <c r="AS39" t="n">
        <v>177</v>
      </c>
      <c r="AT39" t="n">
        <v>-0.5</v>
      </c>
      <c r="AU39" t="n">
        <v>-0.25</v>
      </c>
      <c r="AV39" t="n">
        <v>108</v>
      </c>
      <c r="AW39" t="n">
        <v>-0.625</v>
      </c>
      <c r="AX39" t="n">
        <v>353</v>
      </c>
      <c r="AY39" t="n">
        <v>-0.5</v>
      </c>
      <c r="AZ39" t="n">
        <v>0</v>
      </c>
      <c r="BA39" t="n">
        <v>62</v>
      </c>
      <c r="BB39" t="n">
        <v>717</v>
      </c>
      <c r="BC39" t="n">
        <v>-0.75</v>
      </c>
      <c r="BD39" t="n">
        <v>-0.25</v>
      </c>
      <c r="BE39" t="n">
        <v>16</v>
      </c>
      <c r="BF39" t="s">
        <v>66</v>
      </c>
      <c r="BG39" t="n">
        <v>0.0979789995879234</v>
      </c>
      <c r="BH39" t="n">
        <v>1</v>
      </c>
      <c r="BI39" t="n">
        <v>15</v>
      </c>
      <c r="BJ39" t="s">
        <v>74</v>
      </c>
    </row>
    <row r="40">
      <c r="A40" t="s">
        <v>174</v>
      </c>
      <c r="B40" t="s">
        <v>175</v>
      </c>
      <c r="C40" t="s">
        <v>176</v>
      </c>
      <c r="D40" t="s">
        <v>78</v>
      </c>
      <c r="E40" t="n">
        <v>1</v>
      </c>
      <c r="F40" t="s">
        <v>66</v>
      </c>
      <c r="G40" t="s">
        <v>67</v>
      </c>
      <c r="H40" t="s">
        <v>100</v>
      </c>
      <c r="I40" t="n">
        <v>36</v>
      </c>
      <c r="J40" t="s">
        <v>80</v>
      </c>
      <c r="K40" t="s">
        <v>71</v>
      </c>
      <c r="L40" t="n">
        <v>-0.75</v>
      </c>
      <c r="M40" t="n">
        <v>-0.75</v>
      </c>
      <c r="N40" t="n">
        <v>103</v>
      </c>
      <c r="O40" t="n">
        <v>-1.18846499879196</v>
      </c>
      <c r="P40" t="n">
        <v>0.698970004336019</v>
      </c>
      <c r="Q40" t="n">
        <v>-0.0170333392987804</v>
      </c>
      <c r="R40" t="n">
        <v>592</v>
      </c>
      <c r="S40" t="n">
        <v>43.98</v>
      </c>
      <c r="T40" t="n">
        <v>1</v>
      </c>
      <c r="U40" t="n">
        <v>6.47</v>
      </c>
      <c r="V40" t="n">
        <v>28</v>
      </c>
      <c r="W40" t="n">
        <v>129</v>
      </c>
      <c r="X40" t="n">
        <v>0</v>
      </c>
      <c r="Y40" t="n">
        <v>0</v>
      </c>
      <c r="Z40" t="n">
        <v>88</v>
      </c>
      <c r="AA40" t="n">
        <v>0</v>
      </c>
      <c r="AB40" t="n">
        <v>0.0604807473813815</v>
      </c>
      <c r="AC40" t="n">
        <v>0</v>
      </c>
      <c r="AD40" t="n">
        <v>0</v>
      </c>
      <c r="AE40" t="n">
        <v>4</v>
      </c>
      <c r="AF40" t="s">
        <v>71</v>
      </c>
      <c r="AG40" t="s">
        <v>71</v>
      </c>
      <c r="AH40" t="s">
        <v>113</v>
      </c>
      <c r="AI40" t="s">
        <v>73</v>
      </c>
      <c r="AJ40" t="n">
        <v>38</v>
      </c>
      <c r="AK40" t="n">
        <v>0</v>
      </c>
      <c r="AL40" t="n">
        <v>0</v>
      </c>
      <c r="AM40" t="n">
        <v>155</v>
      </c>
      <c r="AN40" t="n">
        <v>0</v>
      </c>
      <c r="AO40" t="n">
        <v>103</v>
      </c>
      <c r="AP40" t="n">
        <v>0</v>
      </c>
      <c r="AQ40" t="n">
        <v>0</v>
      </c>
      <c r="AR40" t="n">
        <v>39</v>
      </c>
      <c r="AS40" t="n">
        <v>192</v>
      </c>
      <c r="AT40" t="n">
        <v>0.25</v>
      </c>
      <c r="AU40" t="n">
        <v>-0.25</v>
      </c>
      <c r="AV40" t="n">
        <v>4</v>
      </c>
      <c r="AW40" t="n">
        <v>0.125</v>
      </c>
      <c r="AX40" t="n">
        <v>352</v>
      </c>
      <c r="AY40" t="n">
        <v>0.25</v>
      </c>
      <c r="AZ40" t="n">
        <v>-0.5</v>
      </c>
      <c r="BA40" t="n">
        <v>34</v>
      </c>
      <c r="BB40" t="n">
        <v>744</v>
      </c>
      <c r="BC40" t="n">
        <v>-0.5</v>
      </c>
      <c r="BD40" t="n">
        <v>0</v>
      </c>
      <c r="BE40" t="n">
        <v>122</v>
      </c>
      <c r="BF40" t="s">
        <v>66</v>
      </c>
      <c r="BG40" t="n">
        <v>0.129170945621388</v>
      </c>
      <c r="BH40" t="n">
        <v>1</v>
      </c>
      <c r="BI40" t="n">
        <v>16</v>
      </c>
      <c r="BJ40" t="s">
        <v>74</v>
      </c>
    </row>
    <row r="41">
      <c r="A41" t="s">
        <v>177</v>
      </c>
      <c r="B41" t="s">
        <v>178</v>
      </c>
      <c r="C41" t="s">
        <v>179</v>
      </c>
      <c r="D41" t="s">
        <v>78</v>
      </c>
      <c r="E41" t="n">
        <v>1</v>
      </c>
      <c r="F41" t="s">
        <v>66</v>
      </c>
      <c r="G41" t="s">
        <v>67</v>
      </c>
      <c r="H41" t="s">
        <v>68</v>
      </c>
      <c r="I41" t="n">
        <v>39</v>
      </c>
      <c r="J41" t="s">
        <v>69</v>
      </c>
      <c r="K41" t="s">
        <v>71</v>
      </c>
      <c r="L41" t="n">
        <v>-3.75</v>
      </c>
      <c r="M41" t="n">
        <v>-0.5</v>
      </c>
      <c r="N41" t="n">
        <v>167</v>
      </c>
      <c r="O41" t="n">
        <v>-4.05955129163042</v>
      </c>
      <c r="P41" t="n">
        <v>1.04575749056068</v>
      </c>
      <c r="Q41" t="n">
        <v>-0.00432137378264258</v>
      </c>
      <c r="R41" t="n">
        <v>547</v>
      </c>
      <c r="S41" t="n">
        <v>44</v>
      </c>
      <c r="T41" t="n">
        <v>3</v>
      </c>
      <c r="U41" t="n">
        <v>6.31</v>
      </c>
      <c r="V41" t="n">
        <v>62</v>
      </c>
      <c r="W41" t="n">
        <v>97</v>
      </c>
      <c r="X41" t="n">
        <v>-0.25</v>
      </c>
      <c r="Y41" t="n">
        <v>0</v>
      </c>
      <c r="Z41" t="n">
        <v>64</v>
      </c>
      <c r="AA41" t="n">
        <v>-0.25</v>
      </c>
      <c r="AB41" t="n">
        <v>0.0177287669604316</v>
      </c>
      <c r="AC41" t="n">
        <v>0</v>
      </c>
      <c r="AD41" t="n">
        <v>0</v>
      </c>
      <c r="AE41" t="n">
        <v>5</v>
      </c>
      <c r="AF41" t="s">
        <v>70</v>
      </c>
      <c r="AG41" t="s">
        <v>71</v>
      </c>
      <c r="AH41" t="s">
        <v>72</v>
      </c>
      <c r="AI41" t="s">
        <v>88</v>
      </c>
      <c r="AJ41" t="n">
        <v>30</v>
      </c>
      <c r="AK41" t="n">
        <v>0</v>
      </c>
      <c r="AL41" t="n">
        <v>-0.25</v>
      </c>
      <c r="AM41" t="n">
        <v>165</v>
      </c>
      <c r="AN41" t="n">
        <v>-0.125</v>
      </c>
      <c r="AO41" t="n">
        <v>80</v>
      </c>
      <c r="AP41" t="n">
        <v>0</v>
      </c>
      <c r="AQ41" t="n">
        <v>-0.25</v>
      </c>
      <c r="AR41" t="n">
        <v>20</v>
      </c>
      <c r="AS41" t="n">
        <v>176</v>
      </c>
      <c r="AT41" t="n">
        <v>-0.25</v>
      </c>
      <c r="AU41" t="n">
        <v>-0.25</v>
      </c>
      <c r="AV41" t="n">
        <v>119</v>
      </c>
      <c r="AW41" t="n">
        <v>-0.375</v>
      </c>
      <c r="AX41" t="n">
        <v>358</v>
      </c>
      <c r="AY41" t="n">
        <v>-0.25</v>
      </c>
      <c r="AZ41" t="n">
        <v>-0.25</v>
      </c>
      <c r="BA41" t="n">
        <v>146</v>
      </c>
      <c r="BB41" t="n">
        <v>721</v>
      </c>
      <c r="BC41" t="n">
        <v>-0.5</v>
      </c>
      <c r="BD41" t="n">
        <v>-0.25</v>
      </c>
      <c r="BE41" t="n">
        <v>159</v>
      </c>
      <c r="BF41" t="s">
        <v>66</v>
      </c>
      <c r="BG41" t="n">
        <v>0.464839687173658</v>
      </c>
      <c r="BH41" t="n">
        <v>1</v>
      </c>
      <c r="BI41" t="n">
        <v>17</v>
      </c>
      <c r="BJ41" t="s">
        <v>74</v>
      </c>
    </row>
    <row r="42">
      <c r="A42" t="s">
        <v>180</v>
      </c>
      <c r="B42" t="s">
        <v>181</v>
      </c>
      <c r="C42" t="s">
        <v>182</v>
      </c>
      <c r="D42" t="s">
        <v>78</v>
      </c>
      <c r="E42" t="n">
        <v>1</v>
      </c>
      <c r="F42" t="s">
        <v>66</v>
      </c>
      <c r="G42" t="s">
        <v>67</v>
      </c>
      <c r="H42" t="s">
        <v>68</v>
      </c>
      <c r="I42" t="n">
        <v>44</v>
      </c>
      <c r="J42" t="s">
        <v>80</v>
      </c>
      <c r="K42" t="s">
        <v>71</v>
      </c>
      <c r="L42" t="n">
        <v>-1.25</v>
      </c>
      <c r="M42" t="n">
        <v>0</v>
      </c>
      <c r="N42" t="n">
        <v>178</v>
      </c>
      <c r="O42" t="n">
        <v>-1.27413926406168</v>
      </c>
      <c r="P42" t="n">
        <v>0.795880017344075</v>
      </c>
      <c r="Q42" t="n">
        <v>-0.00432137378264258</v>
      </c>
      <c r="R42" t="n">
        <v>552</v>
      </c>
      <c r="S42" t="n">
        <v>44.24</v>
      </c>
      <c r="T42" t="n">
        <v>2</v>
      </c>
      <c r="U42" t="n">
        <v>6.44</v>
      </c>
      <c r="V42" t="n">
        <v>20</v>
      </c>
      <c r="W42" t="n">
        <v>361</v>
      </c>
      <c r="X42" t="n">
        <v>0.5</v>
      </c>
      <c r="Y42" t="n">
        <v>-0.25</v>
      </c>
      <c r="Z42" t="n">
        <v>41</v>
      </c>
      <c r="AA42" t="n">
        <v>0.5</v>
      </c>
      <c r="AB42" t="n">
        <v>0.136677139879544</v>
      </c>
      <c r="AC42" t="n">
        <v>0.0177287669604316</v>
      </c>
      <c r="AD42" t="n">
        <v>1</v>
      </c>
      <c r="AE42" t="n">
        <v>3</v>
      </c>
      <c r="AF42" t="s">
        <v>70</v>
      </c>
      <c r="AG42" t="s">
        <v>71</v>
      </c>
      <c r="AH42" t="s">
        <v>72</v>
      </c>
      <c r="AI42" t="s">
        <v>73</v>
      </c>
      <c r="AJ42" t="n">
        <v>27</v>
      </c>
      <c r="AK42" t="n">
        <v>0.75</v>
      </c>
      <c r="AL42" t="n">
        <v>-0.25</v>
      </c>
      <c r="AM42" t="n">
        <v>87</v>
      </c>
      <c r="AN42" t="n">
        <v>0.625</v>
      </c>
      <c r="AO42" t="n">
        <v>99</v>
      </c>
      <c r="AP42" t="n">
        <v>0.75</v>
      </c>
      <c r="AQ42" t="n">
        <v>-0.5</v>
      </c>
      <c r="AR42" t="n">
        <v>82</v>
      </c>
      <c r="AS42" t="n">
        <v>175</v>
      </c>
      <c r="AT42" t="n">
        <v>0.75</v>
      </c>
      <c r="AU42" t="n">
        <v>-0.25</v>
      </c>
      <c r="AV42" t="n">
        <v>31</v>
      </c>
      <c r="AW42" t="n">
        <v>0.625</v>
      </c>
      <c r="AX42" t="n">
        <v>352</v>
      </c>
      <c r="AY42" t="n">
        <v>0.25</v>
      </c>
      <c r="AZ42" t="n">
        <v>-0.25</v>
      </c>
      <c r="BA42" t="n">
        <v>1</v>
      </c>
      <c r="BB42" t="n">
        <v>722</v>
      </c>
      <c r="BC42" t="n">
        <v>0.5</v>
      </c>
      <c r="BD42" t="n">
        <v>-0.25</v>
      </c>
      <c r="BE42" t="n">
        <v>156</v>
      </c>
      <c r="BF42" t="s">
        <v>66</v>
      </c>
      <c r="BG42" t="n">
        <v>0.660497141889582</v>
      </c>
      <c r="BH42" t="n">
        <v>1</v>
      </c>
      <c r="BI42" t="n">
        <v>18</v>
      </c>
      <c r="BJ42" t="s">
        <v>74</v>
      </c>
    </row>
    <row r="43">
      <c r="A43" t="s">
        <v>183</v>
      </c>
      <c r="B43" t="s">
        <v>184</v>
      </c>
      <c r="C43" t="s">
        <v>185</v>
      </c>
      <c r="D43" t="s">
        <v>65</v>
      </c>
      <c r="E43" t="n">
        <v>1</v>
      </c>
      <c r="F43" t="s">
        <v>79</v>
      </c>
      <c r="G43" t="s">
        <v>67</v>
      </c>
      <c r="H43" t="s">
        <v>100</v>
      </c>
      <c r="I43" t="n">
        <v>33</v>
      </c>
      <c r="J43" t="s">
        <v>69</v>
      </c>
      <c r="K43" t="s">
        <v>71</v>
      </c>
      <c r="L43" t="n">
        <v>-3.25</v>
      </c>
      <c r="M43" t="n">
        <v>-1.25</v>
      </c>
      <c r="N43" t="n">
        <v>162</v>
      </c>
      <c r="O43" t="n">
        <v>-3.84602803860112</v>
      </c>
      <c r="P43" t="n">
        <v>1.09691001300806</v>
      </c>
      <c r="Q43" t="n">
        <v>-0.00860017176191757</v>
      </c>
      <c r="R43" t="n">
        <v>527</v>
      </c>
      <c r="S43" t="n">
        <v>41.86</v>
      </c>
      <c r="T43" t="n">
        <v>0</v>
      </c>
      <c r="U43" t="n">
        <v>6.78</v>
      </c>
      <c r="V43" t="n">
        <v>52</v>
      </c>
      <c r="W43" t="n">
        <v>280</v>
      </c>
      <c r="X43" t="n">
        <v>0.5</v>
      </c>
      <c r="Y43" t="n">
        <v>-0.25</v>
      </c>
      <c r="Z43" t="n">
        <v>148</v>
      </c>
      <c r="AA43" t="n">
        <v>0.25</v>
      </c>
      <c r="AB43" t="n">
        <v>-0.0293837776852097</v>
      </c>
      <c r="AC43" t="n">
        <v>-0.0334237554869497</v>
      </c>
      <c r="AD43" t="n">
        <v>2</v>
      </c>
      <c r="AE43" t="n">
        <v>5</v>
      </c>
      <c r="AF43" t="s">
        <v>71</v>
      </c>
      <c r="AG43" t="s">
        <v>71</v>
      </c>
      <c r="AH43" t="s">
        <v>72</v>
      </c>
      <c r="AI43" t="s">
        <v>73</v>
      </c>
      <c r="AJ43" t="n">
        <v>39</v>
      </c>
      <c r="AK43" t="n">
        <v>0.75</v>
      </c>
      <c r="AL43" t="n">
        <v>-0.5</v>
      </c>
      <c r="AM43" t="n">
        <v>88</v>
      </c>
      <c r="AN43" t="n">
        <v>0.5</v>
      </c>
      <c r="AO43" t="n">
        <v>103</v>
      </c>
      <c r="AP43" t="n">
        <v>0.25</v>
      </c>
      <c r="AQ43" t="n">
        <v>-0.25</v>
      </c>
      <c r="AR43" t="n">
        <v>63</v>
      </c>
      <c r="AS43" t="n">
        <v>169</v>
      </c>
      <c r="AT43" t="n">
        <v>0.5</v>
      </c>
      <c r="AU43" t="n">
        <v>-0.25</v>
      </c>
      <c r="AV43" t="n">
        <v>177</v>
      </c>
      <c r="AW43" t="n">
        <v>0.375</v>
      </c>
      <c r="AX43" t="n">
        <v>375</v>
      </c>
      <c r="AY43" t="n">
        <v>0</v>
      </c>
      <c r="AZ43" t="n">
        <v>-0.25</v>
      </c>
      <c r="BA43" t="n">
        <v>76</v>
      </c>
      <c r="BB43" t="n">
        <v>740</v>
      </c>
      <c r="BC43" t="n">
        <v>0</v>
      </c>
      <c r="BD43" t="n">
        <v>-0.25</v>
      </c>
      <c r="BE43" t="n">
        <v>33</v>
      </c>
      <c r="BF43" t="s">
        <v>79</v>
      </c>
      <c r="BG43" t="n">
        <v>0.226202795561719</v>
      </c>
      <c r="BH43" t="n">
        <v>0.833333333333333</v>
      </c>
      <c r="BI43" t="n">
        <v>5</v>
      </c>
      <c r="BJ43" t="s">
        <v>74</v>
      </c>
    </row>
    <row r="44">
      <c r="A44" t="s">
        <v>186</v>
      </c>
      <c r="B44" t="s">
        <v>187</v>
      </c>
      <c r="C44" t="s">
        <v>188</v>
      </c>
      <c r="D44" t="s">
        <v>78</v>
      </c>
      <c r="E44" t="n">
        <v>1</v>
      </c>
      <c r="F44" t="s">
        <v>79</v>
      </c>
      <c r="G44" t="s">
        <v>67</v>
      </c>
      <c r="H44" t="s">
        <v>100</v>
      </c>
      <c r="I44" t="n">
        <v>24</v>
      </c>
      <c r="J44" t="s">
        <v>80</v>
      </c>
      <c r="K44" t="s">
        <v>71</v>
      </c>
      <c r="L44" t="n">
        <v>-2</v>
      </c>
      <c r="M44" t="n">
        <v>-0.25</v>
      </c>
      <c r="N44" t="n">
        <v>27</v>
      </c>
      <c r="O44" t="n">
        <v>-2.19778231171855</v>
      </c>
      <c r="P44" t="n">
        <v>0.721246399047171</v>
      </c>
      <c r="Q44" t="n">
        <v>0.0132282657337552</v>
      </c>
      <c r="R44" t="n">
        <v>479</v>
      </c>
      <c r="S44" t="n">
        <v>42.14</v>
      </c>
      <c r="T44" t="n">
        <v>1</v>
      </c>
      <c r="U44" t="n">
        <v>6.66</v>
      </c>
      <c r="V44" t="n">
        <v>26</v>
      </c>
      <c r="W44" t="n">
        <v>98</v>
      </c>
      <c r="X44" t="n">
        <v>0.5</v>
      </c>
      <c r="Y44" t="n">
        <v>-0.25</v>
      </c>
      <c r="Z44" t="n">
        <v>38</v>
      </c>
      <c r="AA44" t="n">
        <v>0.25</v>
      </c>
      <c r="AB44" t="n">
        <v>0.0315170514460649</v>
      </c>
      <c r="AC44" t="n">
        <v>0.00877392430750515</v>
      </c>
      <c r="AD44" t="n">
        <v>0</v>
      </c>
      <c r="AE44" t="n">
        <v>5</v>
      </c>
      <c r="AF44" t="s">
        <v>71</v>
      </c>
      <c r="AG44" t="s">
        <v>71</v>
      </c>
      <c r="AH44" t="s">
        <v>72</v>
      </c>
      <c r="AI44" t="s">
        <v>73</v>
      </c>
      <c r="AJ44" t="n">
        <v>22</v>
      </c>
      <c r="AK44" t="n">
        <v>0.5</v>
      </c>
      <c r="AL44" t="n">
        <v>-0.25</v>
      </c>
      <c r="AM44" t="n">
        <v>126</v>
      </c>
      <c r="AN44" t="n">
        <v>0.375</v>
      </c>
      <c r="AO44" t="n">
        <v>77</v>
      </c>
      <c r="AP44" t="n">
        <v>0.5</v>
      </c>
      <c r="AQ44" t="n">
        <v>-0.25</v>
      </c>
      <c r="AR44" t="n">
        <v>70</v>
      </c>
      <c r="AS44" t="n">
        <v>185</v>
      </c>
      <c r="AT44" t="n">
        <v>0.25</v>
      </c>
      <c r="AU44" t="n">
        <v>0</v>
      </c>
      <c r="AV44" t="n">
        <v>6</v>
      </c>
      <c r="AW44" t="n">
        <v>0.25</v>
      </c>
      <c r="AX44" t="n">
        <v>372</v>
      </c>
      <c r="AY44" t="n">
        <v>0.75</v>
      </c>
      <c r="AZ44" t="n">
        <v>-0.5</v>
      </c>
      <c r="BA44" t="n">
        <v>146</v>
      </c>
      <c r="BB44" t="n">
        <v>734</v>
      </c>
      <c r="BC44" t="n">
        <v>0.5</v>
      </c>
      <c r="BD44" t="n">
        <v>-0.25</v>
      </c>
      <c r="BE44" t="n">
        <v>20</v>
      </c>
      <c r="BF44" t="s">
        <v>79</v>
      </c>
      <c r="BG44" t="n">
        <v>0.130685444382328</v>
      </c>
      <c r="BH44" t="n">
        <v>0.833333333333333</v>
      </c>
      <c r="BI44" t="n">
        <v>16</v>
      </c>
      <c r="BJ44" t="s">
        <v>74</v>
      </c>
    </row>
    <row r="45">
      <c r="A45" t="s">
        <v>189</v>
      </c>
      <c r="B45" t="s">
        <v>190</v>
      </c>
      <c r="C45" t="s">
        <v>191</v>
      </c>
      <c r="D45" t="s">
        <v>78</v>
      </c>
      <c r="E45" t="n">
        <v>1</v>
      </c>
      <c r="F45" t="s">
        <v>79</v>
      </c>
      <c r="G45" t="s">
        <v>67</v>
      </c>
      <c r="H45" t="s">
        <v>100</v>
      </c>
      <c r="I45" t="n">
        <v>30</v>
      </c>
      <c r="J45" t="s">
        <v>69</v>
      </c>
      <c r="K45" t="s">
        <v>71</v>
      </c>
      <c r="L45" t="n">
        <v>-4</v>
      </c>
      <c r="M45" t="n">
        <v>0</v>
      </c>
      <c r="N45" t="n">
        <v>80</v>
      </c>
      <c r="O45" t="n">
        <v>-3.89059543329178</v>
      </c>
      <c r="P45" t="n">
        <v>1.04575749056068</v>
      </c>
      <c r="Q45" t="n">
        <v>-0.0453229787866575</v>
      </c>
      <c r="R45" t="n">
        <v>530</v>
      </c>
      <c r="S45" t="n">
        <v>41.47</v>
      </c>
      <c r="T45" t="n">
        <v>2</v>
      </c>
      <c r="U45" t="n">
        <v>6.71</v>
      </c>
      <c r="V45" t="n">
        <v>60</v>
      </c>
      <c r="W45" t="n">
        <v>94</v>
      </c>
      <c r="X45" t="n">
        <v>0</v>
      </c>
      <c r="Y45" t="n">
        <v>-0.25</v>
      </c>
      <c r="Z45" t="n">
        <v>130</v>
      </c>
      <c r="AA45" t="n">
        <v>-0.25</v>
      </c>
      <c r="AB45" t="n">
        <v>-0.0681858617461616</v>
      </c>
      <c r="AC45" t="n">
        <v>-0.0569048513364726</v>
      </c>
      <c r="AD45" t="n">
        <v>2</v>
      </c>
      <c r="AE45" t="n">
        <v>5</v>
      </c>
      <c r="AF45" t="s">
        <v>71</v>
      </c>
      <c r="AG45" t="s">
        <v>71</v>
      </c>
      <c r="AH45" t="s">
        <v>72</v>
      </c>
      <c r="AI45" t="s">
        <v>73</v>
      </c>
      <c r="AJ45" t="n">
        <v>24</v>
      </c>
      <c r="AK45" t="n">
        <v>0</v>
      </c>
      <c r="AL45" t="n">
        <v>-0.25</v>
      </c>
      <c r="AM45" t="n">
        <v>118</v>
      </c>
      <c r="AN45" t="n">
        <v>-0.125</v>
      </c>
      <c r="AO45" t="n">
        <v>89</v>
      </c>
      <c r="AP45" t="n">
        <v>0</v>
      </c>
      <c r="AQ45" t="n">
        <v>-0.25</v>
      </c>
      <c r="AR45" t="n">
        <v>144</v>
      </c>
      <c r="AS45" t="n">
        <v>177</v>
      </c>
      <c r="AT45" t="n">
        <v>-0.25</v>
      </c>
      <c r="AU45" t="n">
        <v>0</v>
      </c>
      <c r="AV45" t="n">
        <v>81</v>
      </c>
      <c r="AW45" t="n">
        <v>-0.25</v>
      </c>
      <c r="AX45" t="n">
        <v>373</v>
      </c>
      <c r="AY45" t="n">
        <v>0</v>
      </c>
      <c r="AZ45" t="n">
        <v>-0.5</v>
      </c>
      <c r="BA45" t="n">
        <v>138</v>
      </c>
      <c r="BB45"/>
      <c r="BC45"/>
      <c r="BD45"/>
      <c r="BE45"/>
      <c r="BF45" t="s">
        <v>79</v>
      </c>
      <c r="BG45" t="n">
        <v>0.133125139113848</v>
      </c>
      <c r="BH45" t="n">
        <v>0.833333333333333</v>
      </c>
      <c r="BI45" t="n">
        <v>4</v>
      </c>
      <c r="BJ45" t="s">
        <v>74</v>
      </c>
    </row>
    <row r="46">
      <c r="A46" t="s">
        <v>192</v>
      </c>
      <c r="B46" t="s">
        <v>193</v>
      </c>
      <c r="C46" t="s">
        <v>194</v>
      </c>
      <c r="D46" t="s">
        <v>65</v>
      </c>
      <c r="E46" t="n">
        <v>1</v>
      </c>
      <c r="F46" t="s">
        <v>79</v>
      </c>
      <c r="G46" t="s">
        <v>67</v>
      </c>
      <c r="H46" t="s">
        <v>68</v>
      </c>
      <c r="I46" t="n">
        <v>37</v>
      </c>
      <c r="J46" t="s">
        <v>69</v>
      </c>
      <c r="K46" t="s">
        <v>71</v>
      </c>
      <c r="L46" t="n">
        <v>-6</v>
      </c>
      <c r="M46" t="n">
        <v>-1.25</v>
      </c>
      <c r="N46" t="n">
        <v>165</v>
      </c>
      <c r="O46" t="n">
        <v>-6.73463564277233</v>
      </c>
      <c r="P46" t="n">
        <v>1.39794000867204</v>
      </c>
      <c r="Q46" t="n">
        <v>0.00436480540245009</v>
      </c>
      <c r="R46" t="n">
        <v>560</v>
      </c>
      <c r="S46" t="n">
        <v>44.32</v>
      </c>
      <c r="T46" t="n">
        <v>1</v>
      </c>
      <c r="U46" t="n">
        <v>6.43</v>
      </c>
      <c r="V46" t="n">
        <v>113</v>
      </c>
      <c r="W46" t="n">
        <v>170</v>
      </c>
      <c r="X46" t="n">
        <v>-0.75</v>
      </c>
      <c r="Y46" t="n">
        <v>0</v>
      </c>
      <c r="Z46" t="n">
        <v>14</v>
      </c>
      <c r="AA46" t="n">
        <v>-0.75</v>
      </c>
      <c r="AB46" t="n">
        <v>-0.0128372247051722</v>
      </c>
      <c r="AC46" t="n">
        <v>-0.0128372247051722</v>
      </c>
      <c r="AD46" t="n">
        <v>1</v>
      </c>
      <c r="AE46" t="n">
        <v>4</v>
      </c>
      <c r="AF46" t="s">
        <v>70</v>
      </c>
      <c r="AG46" t="s">
        <v>71</v>
      </c>
      <c r="AH46" t="s">
        <v>72</v>
      </c>
      <c r="AI46" t="s">
        <v>73</v>
      </c>
      <c r="AJ46" t="n">
        <v>22</v>
      </c>
      <c r="AK46" t="n">
        <v>-0.25</v>
      </c>
      <c r="AL46" t="n">
        <v>-0.5</v>
      </c>
      <c r="AM46" t="n">
        <v>13</v>
      </c>
      <c r="AN46" t="n">
        <v>-0.5</v>
      </c>
      <c r="AO46" t="n">
        <v>99</v>
      </c>
      <c r="AP46" t="n">
        <v>-0.5</v>
      </c>
      <c r="AQ46" t="n">
        <v>-0.5</v>
      </c>
      <c r="AR46" t="n">
        <v>16</v>
      </c>
      <c r="AS46" t="n">
        <v>187</v>
      </c>
      <c r="AT46" t="n">
        <v>-0.75</v>
      </c>
      <c r="AU46" t="n">
        <v>-0.25</v>
      </c>
      <c r="AV46" t="n">
        <v>141</v>
      </c>
      <c r="AW46" t="n">
        <v>-0.875</v>
      </c>
      <c r="AX46" t="n">
        <v>370</v>
      </c>
      <c r="AY46" t="n">
        <v>-1</v>
      </c>
      <c r="AZ46" t="n">
        <v>0</v>
      </c>
      <c r="BA46" t="n">
        <v>52</v>
      </c>
      <c r="BB46"/>
      <c r="BC46"/>
      <c r="BD46"/>
      <c r="BE46"/>
      <c r="BF46" t="s">
        <v>79</v>
      </c>
      <c r="BG46" t="n">
        <v>0.289281210547163</v>
      </c>
      <c r="BH46" t="n">
        <v>0.833333333333333</v>
      </c>
      <c r="BI46" t="n">
        <v>8</v>
      </c>
      <c r="BJ46" t="s">
        <v>74</v>
      </c>
    </row>
    <row r="47">
      <c r="A47" t="s">
        <v>195</v>
      </c>
      <c r="B47" t="s">
        <v>196</v>
      </c>
      <c r="C47" t="s">
        <v>197</v>
      </c>
      <c r="D47" t="s">
        <v>65</v>
      </c>
      <c r="E47" t="n">
        <v>1</v>
      </c>
      <c r="F47" t="s">
        <v>79</v>
      </c>
      <c r="G47" t="s">
        <v>67</v>
      </c>
      <c r="H47" t="s">
        <v>100</v>
      </c>
      <c r="I47" t="n">
        <v>41</v>
      </c>
      <c r="J47" t="s">
        <v>80</v>
      </c>
      <c r="K47" t="s">
        <v>71</v>
      </c>
      <c r="L47" t="n">
        <v>-3.5</v>
      </c>
      <c r="M47" t="n">
        <v>-0.5</v>
      </c>
      <c r="N47" t="n">
        <v>2</v>
      </c>
      <c r="O47" t="n">
        <v>-3.7776453728871</v>
      </c>
      <c r="P47" t="n">
        <v>1.09691001300806</v>
      </c>
      <c r="Q47" t="n">
        <v>0.0177287669604316</v>
      </c>
      <c r="R47" t="n">
        <v>494</v>
      </c>
      <c r="S47" t="n">
        <v>44.37</v>
      </c>
      <c r="T47" t="n">
        <v>2</v>
      </c>
      <c r="U47" t="n">
        <v>6.39</v>
      </c>
      <c r="V47" t="n">
        <v>54</v>
      </c>
      <c r="W47" t="n">
        <v>108</v>
      </c>
      <c r="X47" t="n">
        <v>0.5</v>
      </c>
      <c r="Y47" t="n">
        <v>-0.25</v>
      </c>
      <c r="Z47" t="n">
        <v>175</v>
      </c>
      <c r="AA47" t="n">
        <v>0.25</v>
      </c>
      <c r="AB47" t="n">
        <v>-0.0334237554869497</v>
      </c>
      <c r="AC47" t="n">
        <v>0.0132282657337552</v>
      </c>
      <c r="AD47" t="n">
        <v>0</v>
      </c>
      <c r="AE47" t="n">
        <v>4</v>
      </c>
      <c r="AF47" t="s">
        <v>70</v>
      </c>
      <c r="AG47" t="s">
        <v>71</v>
      </c>
      <c r="AH47" t="s">
        <v>72</v>
      </c>
      <c r="AI47" t="s">
        <v>88</v>
      </c>
      <c r="AJ47" t="n">
        <v>32</v>
      </c>
      <c r="AK47" t="n">
        <v>0.5</v>
      </c>
      <c r="AL47" t="n">
        <v>-0.25</v>
      </c>
      <c r="AM47" t="n">
        <v>179</v>
      </c>
      <c r="AN47" t="n">
        <v>0.375</v>
      </c>
      <c r="AO47" t="n">
        <v>92</v>
      </c>
      <c r="AP47" t="n">
        <v>0.5</v>
      </c>
      <c r="AQ47" t="n">
        <v>-0.25</v>
      </c>
      <c r="AR47" t="n">
        <v>25</v>
      </c>
      <c r="AS47" t="n">
        <v>189</v>
      </c>
      <c r="AT47" t="n">
        <v>0.5</v>
      </c>
      <c r="AU47" t="n">
        <v>-0.25</v>
      </c>
      <c r="AV47" t="n">
        <v>159</v>
      </c>
      <c r="AW47" t="n">
        <v>0.375</v>
      </c>
      <c r="AX47" t="n">
        <v>378</v>
      </c>
      <c r="AY47" t="n">
        <v>0.25</v>
      </c>
      <c r="AZ47" t="n">
        <v>-0.25</v>
      </c>
      <c r="BA47" t="n">
        <v>179</v>
      </c>
      <c r="BB47" t="n">
        <v>726</v>
      </c>
      <c r="BC47" t="n">
        <v>0.25</v>
      </c>
      <c r="BD47" t="n">
        <v>0</v>
      </c>
      <c r="BE47" t="n">
        <v>119</v>
      </c>
      <c r="BF47" t="s">
        <v>79</v>
      </c>
      <c r="BG47" t="n">
        <v>0.792555801986722</v>
      </c>
      <c r="BH47" t="n">
        <v>1.66666666666667</v>
      </c>
      <c r="BI47" t="n">
        <v>10</v>
      </c>
      <c r="BJ47" t="s">
        <v>74</v>
      </c>
    </row>
    <row r="48">
      <c r="A48" t="s">
        <v>198</v>
      </c>
      <c r="B48" t="s">
        <v>199</v>
      </c>
      <c r="C48" t="s">
        <v>200</v>
      </c>
      <c r="D48" t="s">
        <v>65</v>
      </c>
      <c r="E48" t="n">
        <v>1</v>
      </c>
      <c r="F48" t="s">
        <v>79</v>
      </c>
      <c r="G48" t="s">
        <v>67</v>
      </c>
      <c r="H48" t="s">
        <v>100</v>
      </c>
      <c r="I48" t="n">
        <v>36</v>
      </c>
      <c r="J48" t="s">
        <v>69</v>
      </c>
      <c r="K48" t="s">
        <v>70</v>
      </c>
      <c r="L48" t="n">
        <v>-4</v>
      </c>
      <c r="M48" t="n">
        <v>-0.75</v>
      </c>
      <c r="N48" t="n">
        <v>88</v>
      </c>
      <c r="O48" t="n">
        <v>-4.3743322669439</v>
      </c>
      <c r="P48" t="n">
        <v>1.09691001300806</v>
      </c>
      <c r="Q48" t="n">
        <v>-0.0453229787866575</v>
      </c>
      <c r="R48" t="n">
        <v>591</v>
      </c>
      <c r="S48" t="n">
        <v>43.45</v>
      </c>
      <c r="T48" t="n">
        <v>0</v>
      </c>
      <c r="U48" t="n">
        <v>6.01</v>
      </c>
      <c r="V48" t="n">
        <v>65</v>
      </c>
      <c r="W48" t="n">
        <v>179</v>
      </c>
      <c r="X48" t="n">
        <v>0.5</v>
      </c>
      <c r="Y48" t="n">
        <v>-0.25</v>
      </c>
      <c r="Z48" t="n">
        <v>81</v>
      </c>
      <c r="AA48" t="n">
        <v>0.25</v>
      </c>
      <c r="AB48" t="n">
        <v>0.00436480540245009</v>
      </c>
      <c r="AC48" t="n">
        <v>-0.0334237554869497</v>
      </c>
      <c r="AD48" t="n">
        <v>1</v>
      </c>
      <c r="AE48" t="n">
        <v>4</v>
      </c>
      <c r="AF48" t="s">
        <v>71</v>
      </c>
      <c r="AG48" t="s">
        <v>71</v>
      </c>
      <c r="AH48" t="s">
        <v>72</v>
      </c>
      <c r="AI48" t="s">
        <v>73</v>
      </c>
      <c r="AJ48" t="n">
        <v>33</v>
      </c>
      <c r="AK48" t="n">
        <v>0.5</v>
      </c>
      <c r="AL48" t="n">
        <v>-0.25</v>
      </c>
      <c r="AM48" t="n">
        <v>158</v>
      </c>
      <c r="AN48" t="n">
        <v>0.375</v>
      </c>
      <c r="AO48" t="n">
        <v>101</v>
      </c>
      <c r="AP48" t="n">
        <v>0.5</v>
      </c>
      <c r="AQ48" t="n">
        <v>-0.25</v>
      </c>
      <c r="AR48" t="n">
        <v>80</v>
      </c>
      <c r="AS48" t="n">
        <v>182</v>
      </c>
      <c r="AT48" t="n">
        <v>0.25</v>
      </c>
      <c r="AU48" t="n">
        <v>0</v>
      </c>
      <c r="AV48" t="n">
        <v>5</v>
      </c>
      <c r="AW48" t="n">
        <v>0.25</v>
      </c>
      <c r="AX48"/>
      <c r="AY48"/>
      <c r="AZ48"/>
      <c r="BA48"/>
      <c r="BB48"/>
      <c r="BC48"/>
      <c r="BD48"/>
      <c r="BE48"/>
      <c r="BF48" t="s">
        <v>79</v>
      </c>
      <c r="BG48" t="n">
        <v>0.136277948583707</v>
      </c>
      <c r="BH48" t="n">
        <v>0.833333333333333</v>
      </c>
      <c r="BI48" t="n">
        <v>4</v>
      </c>
      <c r="BJ48" t="s">
        <v>74</v>
      </c>
    </row>
    <row r="49">
      <c r="A49" t="s">
        <v>198</v>
      </c>
      <c r="B49" t="s">
        <v>199</v>
      </c>
      <c r="C49" t="s">
        <v>201</v>
      </c>
      <c r="D49" t="s">
        <v>78</v>
      </c>
      <c r="E49" t="n">
        <v>1</v>
      </c>
      <c r="F49" t="s">
        <v>79</v>
      </c>
      <c r="G49" t="s">
        <v>67</v>
      </c>
      <c r="H49" t="s">
        <v>100</v>
      </c>
      <c r="I49" t="n">
        <v>36</v>
      </c>
      <c r="J49" t="s">
        <v>69</v>
      </c>
      <c r="K49" t="s">
        <v>70</v>
      </c>
      <c r="L49" t="n">
        <v>-3.25</v>
      </c>
      <c r="M49" t="n">
        <v>-0.5</v>
      </c>
      <c r="N49" t="n">
        <v>180</v>
      </c>
      <c r="O49" t="n">
        <v>-3.55313588149312</v>
      </c>
      <c r="P49" t="n">
        <v>0.958607314841775</v>
      </c>
      <c r="Q49" t="n">
        <v>-0.0128372247051722</v>
      </c>
      <c r="R49" t="n">
        <v>565</v>
      </c>
      <c r="S49" t="n">
        <v>39.53</v>
      </c>
      <c r="T49" t="n">
        <v>0</v>
      </c>
      <c r="U49" t="n">
        <v>6.84</v>
      </c>
      <c r="V49" t="n">
        <v>52</v>
      </c>
      <c r="W49" t="n">
        <v>358</v>
      </c>
      <c r="X49" t="n">
        <v>0</v>
      </c>
      <c r="Y49" t="n">
        <v>-0.25</v>
      </c>
      <c r="Z49" t="n">
        <v>152</v>
      </c>
      <c r="AA49" t="n">
        <v>-0.25</v>
      </c>
      <c r="AB49" t="n">
        <v>0.0457574905606751</v>
      </c>
      <c r="AC49" t="n">
        <v>-0.0374264979406237</v>
      </c>
      <c r="AD49" t="n">
        <v>0</v>
      </c>
      <c r="AE49" t="n">
        <v>2</v>
      </c>
      <c r="AF49" t="s">
        <v>71</v>
      </c>
      <c r="AG49" t="s">
        <v>71</v>
      </c>
      <c r="AH49" t="s">
        <v>72</v>
      </c>
      <c r="AI49" t="s">
        <v>73</v>
      </c>
      <c r="AJ49" t="n">
        <v>36</v>
      </c>
      <c r="AK49" t="n">
        <v>0.25</v>
      </c>
      <c r="AL49" t="n">
        <v>-0.25</v>
      </c>
      <c r="AM49" t="n">
        <v>151</v>
      </c>
      <c r="AN49" t="n">
        <v>0.125</v>
      </c>
      <c r="AO49" t="n">
        <v>86</v>
      </c>
      <c r="AP49" t="n">
        <v>-0.25</v>
      </c>
      <c r="AQ49" t="n">
        <v>-0.25</v>
      </c>
      <c r="AR49" t="n">
        <v>167</v>
      </c>
      <c r="AS49" t="n">
        <v>185</v>
      </c>
      <c r="AT49" t="n">
        <v>0</v>
      </c>
      <c r="AU49" t="n">
        <v>-0.5</v>
      </c>
      <c r="AV49" t="n">
        <v>69</v>
      </c>
      <c r="AW49" t="n">
        <v>-0.25</v>
      </c>
      <c r="AX49" t="n">
        <v>358</v>
      </c>
      <c r="AY49" t="n">
        <v>-0.25</v>
      </c>
      <c r="AZ49" t="n">
        <v>0</v>
      </c>
      <c r="BA49" t="n">
        <v>19</v>
      </c>
      <c r="BB49" t="n">
        <v>722</v>
      </c>
      <c r="BC49" t="n">
        <v>-0.25</v>
      </c>
      <c r="BD49" t="n">
        <v>-0.25</v>
      </c>
      <c r="BE49" t="n">
        <v>105</v>
      </c>
      <c r="BF49" t="s">
        <v>79</v>
      </c>
      <c r="BG49" t="n">
        <v>0.232058924749902</v>
      </c>
      <c r="BH49" t="n">
        <v>0.833333333333333</v>
      </c>
      <c r="BI49" t="n">
        <v>5</v>
      </c>
      <c r="BJ49" t="s">
        <v>74</v>
      </c>
    </row>
    <row r="50">
      <c r="A50" t="s">
        <v>202</v>
      </c>
      <c r="B50" t="s">
        <v>203</v>
      </c>
      <c r="C50" t="s">
        <v>204</v>
      </c>
      <c r="D50" t="s">
        <v>65</v>
      </c>
      <c r="E50" t="n">
        <v>1</v>
      </c>
      <c r="F50" t="s">
        <v>66</v>
      </c>
      <c r="G50" t="s">
        <v>67</v>
      </c>
      <c r="H50" t="s">
        <v>87</v>
      </c>
      <c r="I50" t="n">
        <v>41</v>
      </c>
      <c r="J50" t="s">
        <v>69</v>
      </c>
      <c r="K50" t="s">
        <v>71</v>
      </c>
      <c r="L50" t="n">
        <v>-4.5</v>
      </c>
      <c r="M50" t="n">
        <v>-0.75</v>
      </c>
      <c r="N50" t="n">
        <v>77</v>
      </c>
      <c r="O50" t="n">
        <v>-4.99749149130898</v>
      </c>
      <c r="P50" t="n">
        <v>1.09691001300806</v>
      </c>
      <c r="Q50" t="n">
        <v>-0.0334237554869497</v>
      </c>
      <c r="R50" t="n">
        <v>528</v>
      </c>
      <c r="S50" t="n">
        <v>41.88</v>
      </c>
      <c r="T50" t="n">
        <v>2</v>
      </c>
      <c r="U50" t="n">
        <v>6.35</v>
      </c>
      <c r="V50" t="n">
        <v>67</v>
      </c>
      <c r="W50" t="n">
        <v>184</v>
      </c>
      <c r="X50" t="n">
        <v>-1</v>
      </c>
      <c r="Y50" t="n">
        <v>-0.25</v>
      </c>
      <c r="Z50" t="n">
        <v>117</v>
      </c>
      <c r="AA50" t="n">
        <v>-1</v>
      </c>
      <c r="AB50" t="n">
        <v>-0.0253058652647703</v>
      </c>
      <c r="AC50" t="n">
        <v>-0.0681858617461616</v>
      </c>
      <c r="AD50" t="n">
        <v>0</v>
      </c>
      <c r="AE50" t="n">
        <v>4</v>
      </c>
      <c r="AF50" t="s">
        <v>70</v>
      </c>
      <c r="AG50" t="s">
        <v>70</v>
      </c>
      <c r="AH50" t="s">
        <v>124</v>
      </c>
      <c r="AI50" t="s">
        <v>73</v>
      </c>
      <c r="AJ50" t="n">
        <v>30</v>
      </c>
      <c r="AK50" t="n">
        <v>-1</v>
      </c>
      <c r="AL50" t="n">
        <v>0</v>
      </c>
      <c r="AM50" t="n">
        <v>119</v>
      </c>
      <c r="AN50" t="n">
        <v>-1</v>
      </c>
      <c r="AO50" t="n">
        <v>102</v>
      </c>
      <c r="AP50" t="n">
        <v>-1.25</v>
      </c>
      <c r="AQ50" t="n">
        <v>0</v>
      </c>
      <c r="AR50" t="n">
        <v>113</v>
      </c>
      <c r="AS50" t="n">
        <v>169</v>
      </c>
      <c r="AT50" t="n">
        <v>-1</v>
      </c>
      <c r="AU50" t="n">
        <v>-0.25</v>
      </c>
      <c r="AV50" t="n">
        <v>119</v>
      </c>
      <c r="AW50" t="n">
        <v>-1.125</v>
      </c>
      <c r="AX50" t="n">
        <v>366</v>
      </c>
      <c r="AY50" t="n">
        <v>-1</v>
      </c>
      <c r="AZ50" t="n">
        <v>-0.25</v>
      </c>
      <c r="BA50" t="n">
        <v>2</v>
      </c>
      <c r="BB50"/>
      <c r="BC50"/>
      <c r="BD50"/>
      <c r="BE50"/>
      <c r="BF50" t="s">
        <v>66</v>
      </c>
      <c r="BG50" t="n">
        <v>0.709694912986246</v>
      </c>
      <c r="BH50" t="n">
        <v>1</v>
      </c>
      <c r="BI50" t="n">
        <v>19</v>
      </c>
      <c r="BJ50" t="s">
        <v>74</v>
      </c>
    </row>
    <row r="51">
      <c r="A51" t="s">
        <v>202</v>
      </c>
      <c r="B51" t="s">
        <v>203</v>
      </c>
      <c r="C51" t="s">
        <v>205</v>
      </c>
      <c r="D51" t="s">
        <v>78</v>
      </c>
      <c r="E51" t="n">
        <v>1</v>
      </c>
      <c r="F51" t="s">
        <v>66</v>
      </c>
      <c r="G51" t="s">
        <v>67</v>
      </c>
      <c r="H51" t="s">
        <v>87</v>
      </c>
      <c r="I51" t="n">
        <v>41</v>
      </c>
      <c r="J51" t="s">
        <v>69</v>
      </c>
      <c r="K51" t="s">
        <v>71</v>
      </c>
      <c r="L51" t="n">
        <v>-3</v>
      </c>
      <c r="M51" t="n">
        <v>-0.75</v>
      </c>
      <c r="N51" t="n">
        <v>7</v>
      </c>
      <c r="O51" t="n">
        <v>-3.4783261012163</v>
      </c>
      <c r="P51" t="n">
        <v>0.920818753952375</v>
      </c>
      <c r="Q51" t="n">
        <v>-0.0211892990699381</v>
      </c>
      <c r="R51" t="n">
        <v>539</v>
      </c>
      <c r="S51" t="n">
        <v>43.37</v>
      </c>
      <c r="T51" t="n">
        <v>0</v>
      </c>
      <c r="U51" t="n">
        <v>6.37</v>
      </c>
      <c r="V51" t="n">
        <v>52</v>
      </c>
      <c r="W51" t="n">
        <v>190</v>
      </c>
      <c r="X51" t="n">
        <v>-0.75</v>
      </c>
      <c r="Y51" t="n">
        <v>0</v>
      </c>
      <c r="Z51" t="n">
        <v>13</v>
      </c>
      <c r="AA51" t="n">
        <v>-0.75</v>
      </c>
      <c r="AB51" t="n">
        <v>0.0705810742857073</v>
      </c>
      <c r="AC51" t="n">
        <v>-0.0253058652647703</v>
      </c>
      <c r="AD51" t="n">
        <v>1</v>
      </c>
      <c r="AE51" t="n">
        <v>4</v>
      </c>
      <c r="AF51" t="s">
        <v>70</v>
      </c>
      <c r="AG51" t="s">
        <v>71</v>
      </c>
      <c r="AH51" t="s">
        <v>72</v>
      </c>
      <c r="AI51" t="s">
        <v>73</v>
      </c>
      <c r="AJ51" t="n">
        <v>43</v>
      </c>
      <c r="AK51" t="n">
        <v>-0.25</v>
      </c>
      <c r="AL51" t="n">
        <v>-0.5</v>
      </c>
      <c r="AM51" t="n">
        <v>140</v>
      </c>
      <c r="AN51" t="n">
        <v>-0.5</v>
      </c>
      <c r="AO51" t="n">
        <v>79</v>
      </c>
      <c r="AP51" t="n">
        <v>-0.5</v>
      </c>
      <c r="AQ51" t="n">
        <v>-0.25</v>
      </c>
      <c r="AR51" t="n">
        <v>173</v>
      </c>
      <c r="AS51" t="n">
        <v>189</v>
      </c>
      <c r="AT51" t="n">
        <v>-0.5</v>
      </c>
      <c r="AU51" t="n">
        <v>-0.25</v>
      </c>
      <c r="AV51" t="n">
        <v>30</v>
      </c>
      <c r="AW51" t="n">
        <v>-0.625</v>
      </c>
      <c r="AX51"/>
      <c r="AY51"/>
      <c r="AZ51"/>
      <c r="BA51"/>
      <c r="BB51"/>
      <c r="BC51"/>
      <c r="BD51"/>
      <c r="BE51"/>
      <c r="BF51" t="s">
        <v>66</v>
      </c>
      <c r="BG51" t="n">
        <v>0.645419755401768</v>
      </c>
      <c r="BH51" t="n">
        <v>1</v>
      </c>
      <c r="BI51" t="n">
        <v>20</v>
      </c>
      <c r="BJ51" t="s">
        <v>74</v>
      </c>
    </row>
    <row r="52">
      <c r="A52" t="s">
        <v>206</v>
      </c>
      <c r="B52" t="s">
        <v>207</v>
      </c>
      <c r="C52" t="s">
        <v>208</v>
      </c>
      <c r="D52" t="s">
        <v>65</v>
      </c>
      <c r="E52" t="n">
        <v>1</v>
      </c>
      <c r="F52" t="s">
        <v>66</v>
      </c>
      <c r="G52" t="s">
        <v>67</v>
      </c>
      <c r="H52" t="s">
        <v>87</v>
      </c>
      <c r="I52" t="n">
        <v>34</v>
      </c>
      <c r="J52" t="s">
        <v>69</v>
      </c>
      <c r="K52" t="s">
        <v>71</v>
      </c>
      <c r="L52" t="n">
        <v>-6.75</v>
      </c>
      <c r="M52" t="n">
        <v>0</v>
      </c>
      <c r="N52" t="n">
        <v>22</v>
      </c>
      <c r="O52" t="n">
        <v>-6.81407342026499</v>
      </c>
      <c r="P52" t="n">
        <v>1.22184874961636</v>
      </c>
      <c r="Q52" t="n">
        <v>-0.0492180226701817</v>
      </c>
      <c r="R52" t="n">
        <v>537</v>
      </c>
      <c r="S52" t="n">
        <v>42.79</v>
      </c>
      <c r="T52" t="n">
        <v>0</v>
      </c>
      <c r="U52" t="n">
        <v>6.7</v>
      </c>
      <c r="V52" t="n">
        <v>96</v>
      </c>
      <c r="W52" t="n">
        <v>111</v>
      </c>
      <c r="X52" t="n">
        <v>0</v>
      </c>
      <c r="Y52" t="n">
        <v>-0.25</v>
      </c>
      <c r="Z52" t="n">
        <v>97</v>
      </c>
      <c r="AA52" t="n">
        <v>-0.25</v>
      </c>
      <c r="AB52" t="n">
        <v>0.10790539730952</v>
      </c>
      <c r="AC52" t="n">
        <v>-0.0253058652647703</v>
      </c>
      <c r="AD52" t="n">
        <v>0</v>
      </c>
      <c r="AE52" t="n">
        <v>2</v>
      </c>
      <c r="AF52" t="s">
        <v>70</v>
      </c>
      <c r="AG52" t="s">
        <v>71</v>
      </c>
      <c r="AH52" t="s">
        <v>72</v>
      </c>
      <c r="AI52" t="s">
        <v>88</v>
      </c>
      <c r="AJ52" t="n">
        <v>39</v>
      </c>
      <c r="AK52" t="n">
        <v>0</v>
      </c>
      <c r="AL52" t="n">
        <v>-0.25</v>
      </c>
      <c r="AM52" t="n">
        <v>36</v>
      </c>
      <c r="AN52" t="n">
        <v>-0.125</v>
      </c>
      <c r="AO52" t="n">
        <v>89</v>
      </c>
      <c r="AP52" t="n">
        <v>-0.25</v>
      </c>
      <c r="AQ52" t="n">
        <v>0</v>
      </c>
      <c r="AR52" t="n">
        <v>107</v>
      </c>
      <c r="AS52" t="n">
        <v>192</v>
      </c>
      <c r="AT52" t="n">
        <v>0</v>
      </c>
      <c r="AU52" t="n">
        <v>-0.5</v>
      </c>
      <c r="AV52" t="n">
        <v>75</v>
      </c>
      <c r="AW52" t="n">
        <v>-0.25</v>
      </c>
      <c r="AX52" t="n">
        <v>366</v>
      </c>
      <c r="AY52" t="n">
        <v>-0.5</v>
      </c>
      <c r="AZ52" t="n">
        <v>-0.25</v>
      </c>
      <c r="BA52" t="n">
        <v>23</v>
      </c>
      <c r="BB52"/>
      <c r="BC52"/>
      <c r="BD52"/>
      <c r="BE52"/>
      <c r="BF52" t="s">
        <v>66</v>
      </c>
      <c r="BG52" t="n">
        <v>0.333239926628645</v>
      </c>
      <c r="BH52" t="n">
        <v>1</v>
      </c>
      <c r="BI52" t="n">
        <v>21</v>
      </c>
      <c r="BJ52" t="s">
        <v>74</v>
      </c>
    </row>
    <row r="53">
      <c r="A53" t="s">
        <v>206</v>
      </c>
      <c r="B53" t="s">
        <v>207</v>
      </c>
      <c r="C53" t="s">
        <v>209</v>
      </c>
      <c r="D53" t="s">
        <v>78</v>
      </c>
      <c r="E53" t="n">
        <v>1</v>
      </c>
      <c r="F53" t="s">
        <v>66</v>
      </c>
      <c r="G53" t="s">
        <v>67</v>
      </c>
      <c r="H53" t="s">
        <v>87</v>
      </c>
      <c r="I53" t="n">
        <v>34</v>
      </c>
      <c r="J53" t="s">
        <v>69</v>
      </c>
      <c r="K53" t="s">
        <v>71</v>
      </c>
      <c r="L53" t="n">
        <v>-6</v>
      </c>
      <c r="M53" t="n">
        <v>0</v>
      </c>
      <c r="N53" t="n">
        <v>87</v>
      </c>
      <c r="O53" t="n">
        <v>-5.89690486285202</v>
      </c>
      <c r="P53" t="n">
        <v>1.22184874961636</v>
      </c>
      <c r="Q53" t="n">
        <v>-0.00432137378264258</v>
      </c>
      <c r="R53" t="n">
        <v>526</v>
      </c>
      <c r="S53" t="n">
        <v>40.86</v>
      </c>
      <c r="T53" t="n">
        <v>0</v>
      </c>
      <c r="U53" t="n">
        <v>6.26</v>
      </c>
      <c r="V53" t="n">
        <v>91</v>
      </c>
      <c r="W53" t="n">
        <v>121</v>
      </c>
      <c r="X53" t="n">
        <v>-0.5</v>
      </c>
      <c r="Y53" t="n">
        <v>-0.25</v>
      </c>
      <c r="Z53" t="n">
        <v>160</v>
      </c>
      <c r="AA53" t="n">
        <v>-0.5</v>
      </c>
      <c r="AB53" t="n">
        <v>0.0506099933550872</v>
      </c>
      <c r="AC53" t="n">
        <v>0.00436480540245009</v>
      </c>
      <c r="AD53" t="n">
        <v>0</v>
      </c>
      <c r="AE53" t="n">
        <v>3</v>
      </c>
      <c r="AF53" t="s">
        <v>71</v>
      </c>
      <c r="AG53" t="s">
        <v>71</v>
      </c>
      <c r="AH53" t="s">
        <v>72</v>
      </c>
      <c r="AI53" t="s">
        <v>88</v>
      </c>
      <c r="AJ53" t="n">
        <v>16</v>
      </c>
      <c r="AK53" t="n">
        <v>0</v>
      </c>
      <c r="AL53" t="n">
        <v>-0.5</v>
      </c>
      <c r="AM53" t="n">
        <v>104</v>
      </c>
      <c r="AN53" t="n">
        <v>-0.25</v>
      </c>
      <c r="AO53" t="n">
        <v>81</v>
      </c>
      <c r="AP53" t="n">
        <v>-0.25</v>
      </c>
      <c r="AQ53" t="n">
        <v>-0.5</v>
      </c>
      <c r="AR53" t="n">
        <v>146</v>
      </c>
      <c r="AS53" t="n">
        <v>188</v>
      </c>
      <c r="AT53" t="n">
        <v>-0.5</v>
      </c>
      <c r="AU53" t="n">
        <v>-0.25</v>
      </c>
      <c r="AV53" t="n">
        <v>150</v>
      </c>
      <c r="AW53" t="n">
        <v>-0.625</v>
      </c>
      <c r="AX53" t="n">
        <v>363</v>
      </c>
      <c r="AY53" t="n">
        <v>-0.5</v>
      </c>
      <c r="AZ53" t="n">
        <v>-0.25</v>
      </c>
      <c r="BA53" t="n">
        <v>111</v>
      </c>
      <c r="BB53" t="n">
        <v>718</v>
      </c>
      <c r="BC53" t="n">
        <v>-0.75</v>
      </c>
      <c r="BD53" t="n">
        <v>-0.25</v>
      </c>
      <c r="BE53" t="n">
        <v>145</v>
      </c>
      <c r="BF53" t="s">
        <v>66</v>
      </c>
      <c r="BG53" t="n">
        <v>0.334667609809965</v>
      </c>
      <c r="BH53" t="n">
        <v>1</v>
      </c>
      <c r="BI53" t="n">
        <v>22</v>
      </c>
      <c r="BJ53" t="s">
        <v>74</v>
      </c>
    </row>
    <row r="54">
      <c r="A54" t="s">
        <v>210</v>
      </c>
      <c r="B54" t="s">
        <v>211</v>
      </c>
      <c r="C54" t="s">
        <v>212</v>
      </c>
      <c r="D54" t="s">
        <v>65</v>
      </c>
      <c r="E54" t="n">
        <v>1</v>
      </c>
      <c r="F54" t="s">
        <v>79</v>
      </c>
      <c r="G54" t="s">
        <v>67</v>
      </c>
      <c r="H54" t="s">
        <v>87</v>
      </c>
      <c r="I54" t="n">
        <v>38</v>
      </c>
      <c r="J54" t="s">
        <v>80</v>
      </c>
      <c r="K54" t="s">
        <v>70</v>
      </c>
      <c r="L54" t="n">
        <v>-3</v>
      </c>
      <c r="M54" t="n">
        <v>-1.25</v>
      </c>
      <c r="N54" t="n">
        <v>163</v>
      </c>
      <c r="O54" t="n">
        <v>-3.64870584878777</v>
      </c>
      <c r="P54" t="n">
        <v>1.04575749056068</v>
      </c>
      <c r="Q54" t="n">
        <v>0.0268721464003014</v>
      </c>
      <c r="R54" t="n">
        <v>556</v>
      </c>
      <c r="S54" t="n">
        <v>44.26</v>
      </c>
      <c r="T54" t="n">
        <v>0</v>
      </c>
      <c r="U54" t="n">
        <v>6.49</v>
      </c>
      <c r="V54" t="n">
        <v>69</v>
      </c>
      <c r="W54" t="n">
        <v>130</v>
      </c>
      <c r="X54" t="n">
        <v>0</v>
      </c>
      <c r="Y54" t="n">
        <v>0</v>
      </c>
      <c r="Z54" t="n">
        <v>5</v>
      </c>
      <c r="AA54" t="n">
        <v>0</v>
      </c>
      <c r="AB54" t="n">
        <v>0.0362121726544447</v>
      </c>
      <c r="AC54" t="n">
        <v>0.0222763947111523</v>
      </c>
      <c r="AD54" t="n">
        <v>0</v>
      </c>
      <c r="AE54" t="n">
        <v>3</v>
      </c>
      <c r="AF54" t="s">
        <v>71</v>
      </c>
      <c r="AG54" t="s">
        <v>71</v>
      </c>
      <c r="AH54" t="s">
        <v>72</v>
      </c>
      <c r="AI54" t="s">
        <v>73</v>
      </c>
      <c r="AJ54" t="n">
        <v>43</v>
      </c>
      <c r="AK54" t="n">
        <v>0.5</v>
      </c>
      <c r="AL54" t="n">
        <v>-0.25</v>
      </c>
      <c r="AM54" t="n">
        <v>165</v>
      </c>
      <c r="AN54" t="n">
        <v>0.375</v>
      </c>
      <c r="AO54" t="n">
        <v>84</v>
      </c>
      <c r="AP54" t="n">
        <v>0.25</v>
      </c>
      <c r="AQ54" t="n">
        <v>-0.5</v>
      </c>
      <c r="AR54" t="n">
        <v>128</v>
      </c>
      <c r="AS54" t="n">
        <v>177</v>
      </c>
      <c r="AT54" t="n">
        <v>0.25</v>
      </c>
      <c r="AU54" t="n">
        <v>-0.25</v>
      </c>
      <c r="AV54" t="n">
        <v>78</v>
      </c>
      <c r="AW54" t="n">
        <v>0.125</v>
      </c>
      <c r="AX54" t="n">
        <v>368</v>
      </c>
      <c r="AY54" t="n">
        <v>0.25</v>
      </c>
      <c r="AZ54" t="n">
        <v>-0.25</v>
      </c>
      <c r="BA54" t="n">
        <v>118</v>
      </c>
      <c r="BB54" t="n">
        <v>725</v>
      </c>
      <c r="BC54" t="n">
        <v>0</v>
      </c>
      <c r="BD54" t="n">
        <v>-0.25</v>
      </c>
      <c r="BE54" t="n">
        <v>76</v>
      </c>
      <c r="BF54" t="s">
        <v>79</v>
      </c>
      <c r="BG54" t="n">
        <v>0.335552126857083</v>
      </c>
      <c r="BH54" t="n">
        <v>1.66666666666667</v>
      </c>
      <c r="BI54" t="n">
        <v>21</v>
      </c>
      <c r="BJ54" t="s">
        <v>74</v>
      </c>
    </row>
    <row r="55">
      <c r="A55" t="s">
        <v>210</v>
      </c>
      <c r="B55" t="s">
        <v>211</v>
      </c>
      <c r="C55" t="s">
        <v>213</v>
      </c>
      <c r="D55" t="s">
        <v>78</v>
      </c>
      <c r="E55" t="n">
        <v>1</v>
      </c>
      <c r="F55" t="s">
        <v>79</v>
      </c>
      <c r="G55" t="s">
        <v>67</v>
      </c>
      <c r="H55" t="s">
        <v>87</v>
      </c>
      <c r="I55" t="n">
        <v>38</v>
      </c>
      <c r="J55" t="s">
        <v>80</v>
      </c>
      <c r="K55" t="s">
        <v>70</v>
      </c>
      <c r="L55" t="n">
        <v>-2</v>
      </c>
      <c r="M55" t="n">
        <v>-1</v>
      </c>
      <c r="N55" t="n">
        <v>94</v>
      </c>
      <c r="O55" t="n">
        <v>-2.4978395354395</v>
      </c>
      <c r="P55" t="n">
        <v>0.823908740944319</v>
      </c>
      <c r="Q55" t="n">
        <v>-0.0128372247051722</v>
      </c>
      <c r="R55" t="n">
        <v>575</v>
      </c>
      <c r="S55" t="n">
        <v>44.16</v>
      </c>
      <c r="T55" t="n">
        <v>0</v>
      </c>
      <c r="U55" t="n">
        <v>6.87</v>
      </c>
      <c r="V55" t="n">
        <v>39</v>
      </c>
      <c r="W55" t="n">
        <v>129</v>
      </c>
      <c r="X55" t="n">
        <v>0.5</v>
      </c>
      <c r="Y55" t="n">
        <v>0</v>
      </c>
      <c r="Z55" t="n">
        <v>104</v>
      </c>
      <c r="AA55" t="n">
        <v>0.5</v>
      </c>
      <c r="AB55" t="n">
        <v>0.0604807473813815</v>
      </c>
      <c r="AC55" t="n">
        <v>0</v>
      </c>
      <c r="AD55" t="n">
        <v>1</v>
      </c>
      <c r="AE55" t="n">
        <v>5</v>
      </c>
      <c r="AF55" t="s">
        <v>71</v>
      </c>
      <c r="AG55" t="s">
        <v>71</v>
      </c>
      <c r="AH55" t="s">
        <v>72</v>
      </c>
      <c r="AI55" t="s">
        <v>73</v>
      </c>
      <c r="AJ55" t="n">
        <v>19</v>
      </c>
      <c r="AK55" t="n">
        <v>0.75</v>
      </c>
      <c r="AL55" t="n">
        <v>-0.5</v>
      </c>
      <c r="AM55" t="n">
        <v>19</v>
      </c>
      <c r="AN55" t="n">
        <v>0.5</v>
      </c>
      <c r="AO55" t="n">
        <v>102</v>
      </c>
      <c r="AP55" t="n">
        <v>0.75</v>
      </c>
      <c r="AQ55" t="n">
        <v>-0.25</v>
      </c>
      <c r="AR55" t="n">
        <v>151</v>
      </c>
      <c r="AS55" t="n">
        <v>177</v>
      </c>
      <c r="AT55" t="n">
        <v>0.75</v>
      </c>
      <c r="AU55" t="n">
        <v>-0.25</v>
      </c>
      <c r="AV55" t="n">
        <v>102</v>
      </c>
      <c r="AW55" t="n">
        <v>0.625</v>
      </c>
      <c r="AX55" t="n">
        <v>358</v>
      </c>
      <c r="AY55" t="n">
        <v>0.5</v>
      </c>
      <c r="AZ55" t="n">
        <v>-0.25</v>
      </c>
      <c r="BA55" t="n">
        <v>74</v>
      </c>
      <c r="BB55" t="n">
        <v>717</v>
      </c>
      <c r="BC55" t="n">
        <v>0.5</v>
      </c>
      <c r="BD55" t="n">
        <v>-0.5</v>
      </c>
      <c r="BE55" t="n">
        <v>51</v>
      </c>
      <c r="BF55" t="s">
        <v>79</v>
      </c>
      <c r="BG55" t="n">
        <v>0.274994714697146</v>
      </c>
      <c r="BH55" t="n">
        <v>0.833333333333333</v>
      </c>
      <c r="BI55" t="n">
        <v>7</v>
      </c>
      <c r="BJ55" t="s">
        <v>74</v>
      </c>
    </row>
    <row r="56">
      <c r="A56" t="s">
        <v>214</v>
      </c>
      <c r="B56" t="s">
        <v>215</v>
      </c>
      <c r="C56" t="s">
        <v>216</v>
      </c>
      <c r="D56" t="s">
        <v>78</v>
      </c>
      <c r="E56" t="n">
        <v>1</v>
      </c>
      <c r="F56" t="s">
        <v>66</v>
      </c>
      <c r="G56" t="s">
        <v>67</v>
      </c>
      <c r="H56" t="s">
        <v>68</v>
      </c>
      <c r="I56" t="n">
        <v>46</v>
      </c>
      <c r="J56" t="s">
        <v>80</v>
      </c>
      <c r="K56" t="s">
        <v>71</v>
      </c>
      <c r="L56" t="n">
        <v>-4.25</v>
      </c>
      <c r="M56" t="n">
        <v>-2</v>
      </c>
      <c r="N56" t="n">
        <v>39</v>
      </c>
      <c r="O56" t="n">
        <v>-5.33810421237155</v>
      </c>
      <c r="P56" t="n">
        <v>1.09691001300806</v>
      </c>
      <c r="Q56" t="n">
        <v>-0.0293837776852097</v>
      </c>
      <c r="R56" t="n">
        <v>565</v>
      </c>
      <c r="S56" t="n">
        <v>43.82</v>
      </c>
      <c r="T56" t="n">
        <v>0</v>
      </c>
      <c r="U56" t="n">
        <v>6.15</v>
      </c>
      <c r="V56" t="n">
        <v>85</v>
      </c>
      <c r="W56" t="n">
        <v>90</v>
      </c>
      <c r="X56" t="n">
        <v>0</v>
      </c>
      <c r="Y56" t="n">
        <v>-0.25</v>
      </c>
      <c r="Z56" t="n">
        <v>32</v>
      </c>
      <c r="AA56" t="n">
        <v>0</v>
      </c>
      <c r="AB56" t="n">
        <v>0.0809219076239261</v>
      </c>
      <c r="AC56" t="n">
        <v>0.00436480540245009</v>
      </c>
      <c r="AD56" t="n">
        <v>1</v>
      </c>
      <c r="AE56" t="n">
        <v>3</v>
      </c>
      <c r="AF56" t="s">
        <v>71</v>
      </c>
      <c r="AG56" t="s">
        <v>71</v>
      </c>
      <c r="AH56" t="s">
        <v>72</v>
      </c>
      <c r="AI56" t="s">
        <v>73</v>
      </c>
      <c r="AJ56" t="n">
        <v>37</v>
      </c>
      <c r="AK56" t="n">
        <v>0.25</v>
      </c>
      <c r="AL56" t="n">
        <v>-0.25</v>
      </c>
      <c r="AM56" t="n">
        <v>140</v>
      </c>
      <c r="AN56" t="n">
        <v>0.125</v>
      </c>
      <c r="AO56" t="n">
        <v>76</v>
      </c>
      <c r="AP56" t="n">
        <v>0</v>
      </c>
      <c r="AQ56" t="n">
        <v>-0.25</v>
      </c>
      <c r="AR56" t="n">
        <v>72</v>
      </c>
      <c r="AS56" t="n">
        <v>183</v>
      </c>
      <c r="AT56" t="n">
        <v>0</v>
      </c>
      <c r="AU56" t="n">
        <v>-0.5</v>
      </c>
      <c r="AV56" t="n">
        <v>106</v>
      </c>
      <c r="AW56" t="n">
        <v>-0.25</v>
      </c>
      <c r="AX56" t="n">
        <v>359</v>
      </c>
      <c r="AY56" t="n">
        <v>0.25</v>
      </c>
      <c r="AZ56" t="n">
        <v>-0.25</v>
      </c>
      <c r="BA56" t="n">
        <v>54</v>
      </c>
      <c r="BB56" t="n">
        <v>717</v>
      </c>
      <c r="BC56" t="n">
        <v>-0.25</v>
      </c>
      <c r="BD56" t="n">
        <v>-0.5</v>
      </c>
      <c r="BE56" t="n">
        <v>112</v>
      </c>
      <c r="BF56" t="s">
        <v>66</v>
      </c>
      <c r="BG56" t="n">
        <v>0.785611692990813</v>
      </c>
      <c r="BH56" t="n">
        <v>1</v>
      </c>
      <c r="BI56" t="n">
        <v>23</v>
      </c>
      <c r="BJ56" t="s">
        <v>74</v>
      </c>
    </row>
    <row r="57">
      <c r="A57" t="s">
        <v>217</v>
      </c>
      <c r="B57" t="s">
        <v>218</v>
      </c>
      <c r="C57" t="s">
        <v>219</v>
      </c>
      <c r="D57" t="s">
        <v>65</v>
      </c>
      <c r="E57" t="n">
        <v>1</v>
      </c>
      <c r="F57" t="s">
        <v>79</v>
      </c>
      <c r="G57" t="s">
        <v>67</v>
      </c>
      <c r="H57" t="s">
        <v>87</v>
      </c>
      <c r="I57" t="n">
        <v>36</v>
      </c>
      <c r="J57" t="s">
        <v>80</v>
      </c>
      <c r="K57" t="s">
        <v>70</v>
      </c>
      <c r="L57" t="n">
        <v>-0.5</v>
      </c>
      <c r="M57" t="n">
        <v>-0.75</v>
      </c>
      <c r="N57" t="n">
        <v>89</v>
      </c>
      <c r="O57" t="n">
        <v>-0.75</v>
      </c>
      <c r="P57" t="n">
        <v>0.744727494896694</v>
      </c>
      <c r="Q57" t="n">
        <v>0.00436480540245009</v>
      </c>
      <c r="R57" t="n">
        <v>533</v>
      </c>
      <c r="S57" t="n">
        <v>44.81</v>
      </c>
      <c r="T57" t="n">
        <v>0</v>
      </c>
      <c r="U57" t="n">
        <v>6.56</v>
      </c>
      <c r="V57" t="n">
        <v>20</v>
      </c>
      <c r="W57" t="n">
        <v>172</v>
      </c>
      <c r="X57" t="n">
        <v>0.5</v>
      </c>
      <c r="Y57" t="n">
        <v>-0.25</v>
      </c>
      <c r="Z57" t="n">
        <v>74</v>
      </c>
      <c r="AA57" t="n">
        <v>0.5</v>
      </c>
      <c r="AB57" t="n">
        <v>0.0506099933550872</v>
      </c>
      <c r="AC57" t="n">
        <v>0.00436480540245009</v>
      </c>
      <c r="AD57" t="n">
        <v>0</v>
      </c>
      <c r="AE57" t="n">
        <v>4</v>
      </c>
      <c r="AF57" t="s">
        <v>71</v>
      </c>
      <c r="AG57" t="s">
        <v>71</v>
      </c>
      <c r="AH57" t="s">
        <v>72</v>
      </c>
      <c r="AI57" t="s">
        <v>73</v>
      </c>
      <c r="AJ57" t="n">
        <v>24</v>
      </c>
      <c r="AK57" t="n">
        <v>0.5</v>
      </c>
      <c r="AL57" t="n">
        <v>0</v>
      </c>
      <c r="AM57" t="n">
        <v>115</v>
      </c>
      <c r="AN57" t="n">
        <v>0.5</v>
      </c>
      <c r="AO57" t="n">
        <v>100</v>
      </c>
      <c r="AP57" t="n">
        <v>0.75</v>
      </c>
      <c r="AQ57" t="n">
        <v>-0.25</v>
      </c>
      <c r="AR57" t="n">
        <v>124</v>
      </c>
      <c r="AS57" t="n">
        <v>170</v>
      </c>
      <c r="AT57" t="n">
        <v>1</v>
      </c>
      <c r="AU57" t="n">
        <v>-0.25</v>
      </c>
      <c r="AV57" t="n">
        <v>42</v>
      </c>
      <c r="AW57" t="n">
        <v>0.875</v>
      </c>
      <c r="AX57" t="n">
        <v>363</v>
      </c>
      <c r="AY57" t="n">
        <v>0.5</v>
      </c>
      <c r="AZ57" t="n">
        <v>-0.25</v>
      </c>
      <c r="BA57" t="n">
        <v>132</v>
      </c>
      <c r="BB57" t="n">
        <v>724</v>
      </c>
      <c r="BC57" t="n">
        <v>0.5</v>
      </c>
      <c r="BD57" t="n">
        <v>-0.25</v>
      </c>
      <c r="BE57" t="n">
        <v>2</v>
      </c>
      <c r="BF57" t="s">
        <v>79</v>
      </c>
      <c r="BG57" t="n">
        <v>0.313802490783357</v>
      </c>
      <c r="BH57" t="n">
        <v>0.833333333333333</v>
      </c>
      <c r="BI57" t="n">
        <v>3</v>
      </c>
      <c r="BJ57" t="s">
        <v>74</v>
      </c>
    </row>
    <row r="58">
      <c r="A58" t="s">
        <v>217</v>
      </c>
      <c r="B58" t="s">
        <v>218</v>
      </c>
      <c r="C58" t="s">
        <v>220</v>
      </c>
      <c r="D58" t="s">
        <v>78</v>
      </c>
      <c r="E58" t="n">
        <v>1</v>
      </c>
      <c r="F58" t="s">
        <v>79</v>
      </c>
      <c r="G58" t="s">
        <v>67</v>
      </c>
      <c r="H58" t="s">
        <v>87</v>
      </c>
      <c r="I58" t="n">
        <v>36</v>
      </c>
      <c r="J58" t="s">
        <v>80</v>
      </c>
      <c r="K58" t="s">
        <v>70</v>
      </c>
      <c r="L58" t="n">
        <v>-1.75</v>
      </c>
      <c r="M58" t="n">
        <v>-2.5</v>
      </c>
      <c r="N58" t="n">
        <v>20</v>
      </c>
      <c r="O58" t="n">
        <v>-2.9150046078234</v>
      </c>
      <c r="P58" t="n">
        <v>0.886056647693163</v>
      </c>
      <c r="Q58" t="n">
        <v>-0.0253058652647703</v>
      </c>
      <c r="R58" t="n">
        <v>526</v>
      </c>
      <c r="S58" t="n">
        <v>41.76</v>
      </c>
      <c r="T58" t="n">
        <v>3</v>
      </c>
      <c r="U58" t="n">
        <v>6.13</v>
      </c>
      <c r="V58" t="n">
        <v>72</v>
      </c>
      <c r="W58" t="n">
        <v>179</v>
      </c>
      <c r="X58" t="n">
        <v>0.25</v>
      </c>
      <c r="Y58" t="n">
        <v>0</v>
      </c>
      <c r="Z58" t="n">
        <v>33</v>
      </c>
      <c r="AA58" t="n">
        <v>0.25</v>
      </c>
      <c r="AB58" t="n">
        <v>-0.00860017176191757</v>
      </c>
      <c r="AC58" t="n">
        <v>-0.0293837776852097</v>
      </c>
      <c r="AD58" t="n">
        <v>0</v>
      </c>
      <c r="AE58" t="n">
        <v>5</v>
      </c>
      <c r="AF58" t="s">
        <v>71</v>
      </c>
      <c r="AG58" t="s">
        <v>71</v>
      </c>
      <c r="AH58" t="s">
        <v>72</v>
      </c>
      <c r="AI58" t="s">
        <v>73</v>
      </c>
      <c r="AJ58" t="n">
        <v>38</v>
      </c>
      <c r="AK58" t="n">
        <v>0.5</v>
      </c>
      <c r="AL58" t="n">
        <v>-0.25</v>
      </c>
      <c r="AM58" t="n">
        <v>44</v>
      </c>
      <c r="AN58" t="n">
        <v>0.375</v>
      </c>
      <c r="AO58" t="n">
        <v>97</v>
      </c>
      <c r="AP58" t="n">
        <v>0.25</v>
      </c>
      <c r="AQ58" t="n">
        <v>0</v>
      </c>
      <c r="AR58" t="n">
        <v>178</v>
      </c>
      <c r="AS58" t="n">
        <v>176</v>
      </c>
      <c r="AT58" t="n">
        <v>0.25</v>
      </c>
      <c r="AU58" t="n">
        <v>-0.25</v>
      </c>
      <c r="AV58" t="n">
        <v>151</v>
      </c>
      <c r="AW58" t="n">
        <v>0.125</v>
      </c>
      <c r="AX58" t="n">
        <v>374</v>
      </c>
      <c r="AY58" t="n">
        <v>0.5</v>
      </c>
      <c r="AZ58" t="n">
        <v>-0.5</v>
      </c>
      <c r="BA58" t="n">
        <v>50</v>
      </c>
      <c r="BB58" t="n">
        <v>723</v>
      </c>
      <c r="BC58" t="n">
        <v>0.25</v>
      </c>
      <c r="BD58" t="n">
        <v>0</v>
      </c>
      <c r="BE58" t="n">
        <v>116</v>
      </c>
      <c r="BF58" t="s">
        <v>79</v>
      </c>
      <c r="BG58" t="n">
        <v>0.416492668924295</v>
      </c>
      <c r="BH58" t="n">
        <v>0.833333333333333</v>
      </c>
      <c r="BI58" t="n">
        <v>17</v>
      </c>
      <c r="BJ58" t="s">
        <v>74</v>
      </c>
    </row>
    <row r="59">
      <c r="A59" t="s">
        <v>221</v>
      </c>
      <c r="B59" t="s">
        <v>222</v>
      </c>
      <c r="C59" t="s">
        <v>223</v>
      </c>
      <c r="D59" t="s">
        <v>78</v>
      </c>
      <c r="E59" t="n">
        <v>1</v>
      </c>
      <c r="F59" t="s">
        <v>66</v>
      </c>
      <c r="G59" t="s">
        <v>67</v>
      </c>
      <c r="H59" t="s">
        <v>68</v>
      </c>
      <c r="I59" t="n">
        <v>38</v>
      </c>
      <c r="J59" t="s">
        <v>80</v>
      </c>
      <c r="K59" t="s">
        <v>71</v>
      </c>
      <c r="L59" t="n">
        <v>-3.75</v>
      </c>
      <c r="M59" t="n">
        <v>-0.5</v>
      </c>
      <c r="N59" t="n">
        <v>170</v>
      </c>
      <c r="O59" t="n">
        <v>-3.91178974311332</v>
      </c>
      <c r="P59" t="n">
        <v>1.04575749056068</v>
      </c>
      <c r="Q59" t="n">
        <v>0.0177287669604316</v>
      </c>
      <c r="R59" t="n">
        <v>577</v>
      </c>
      <c r="S59" t="n">
        <v>42.92</v>
      </c>
      <c r="T59" t="n">
        <v>1</v>
      </c>
      <c r="U59" t="n">
        <v>6.43</v>
      </c>
      <c r="V59" t="n">
        <v>66</v>
      </c>
      <c r="W59" t="n">
        <v>264</v>
      </c>
      <c r="X59" t="n">
        <v>0</v>
      </c>
      <c r="Y59" t="n">
        <v>-0.25</v>
      </c>
      <c r="Z59" t="n">
        <v>172</v>
      </c>
      <c r="AA59" t="n">
        <v>-0.25</v>
      </c>
      <c r="AB59" t="n">
        <v>0.0705810742857073</v>
      </c>
      <c r="AC59" t="n">
        <v>0</v>
      </c>
      <c r="AD59" t="n">
        <v>0</v>
      </c>
      <c r="AE59" t="n">
        <v>5</v>
      </c>
      <c r="AF59" t="s">
        <v>71</v>
      </c>
      <c r="AG59" t="s">
        <v>71</v>
      </c>
      <c r="AH59" t="s">
        <v>72</v>
      </c>
      <c r="AI59" t="s">
        <v>73</v>
      </c>
      <c r="AJ59" t="n">
        <v>22</v>
      </c>
      <c r="AK59" t="n">
        <v>0.25</v>
      </c>
      <c r="AL59" t="n">
        <v>-0.5</v>
      </c>
      <c r="AM59" t="n">
        <v>123</v>
      </c>
      <c r="AN59" t="n">
        <v>0</v>
      </c>
      <c r="AO59" t="n">
        <v>90</v>
      </c>
      <c r="AP59" t="n">
        <v>-0.25</v>
      </c>
      <c r="AQ59" t="n">
        <v>-0.25</v>
      </c>
      <c r="AR59" t="n">
        <v>112</v>
      </c>
      <c r="AS59" t="n">
        <v>191</v>
      </c>
      <c r="AT59" t="n">
        <v>-0.25</v>
      </c>
      <c r="AU59" t="n">
        <v>0</v>
      </c>
      <c r="AV59" t="n">
        <v>25</v>
      </c>
      <c r="AW59" t="n">
        <v>-0.25</v>
      </c>
      <c r="AX59" t="n">
        <v>379</v>
      </c>
      <c r="AY59" t="n">
        <v>-0.25</v>
      </c>
      <c r="AZ59" t="n">
        <v>0</v>
      </c>
      <c r="BA59" t="n">
        <v>13</v>
      </c>
      <c r="BB59" t="n">
        <v>725</v>
      </c>
      <c r="BC59" t="n">
        <v>-0.75</v>
      </c>
      <c r="BD59" t="n">
        <v>-0.25</v>
      </c>
      <c r="BE59" t="n">
        <v>137</v>
      </c>
      <c r="BF59" t="s">
        <v>66</v>
      </c>
      <c r="BG59" t="n">
        <v>0.251901376387804</v>
      </c>
      <c r="BH59" t="n">
        <v>1</v>
      </c>
      <c r="BI59" t="n">
        <v>24</v>
      </c>
      <c r="BJ59" t="s">
        <v>74</v>
      </c>
    </row>
    <row r="60">
      <c r="A60" t="s">
        <v>224</v>
      </c>
      <c r="B60" t="s">
        <v>225</v>
      </c>
      <c r="C60" t="s">
        <v>226</v>
      </c>
      <c r="D60" t="s">
        <v>65</v>
      </c>
      <c r="E60" t="n">
        <v>1</v>
      </c>
      <c r="F60" t="s">
        <v>79</v>
      </c>
      <c r="G60" t="s">
        <v>67</v>
      </c>
      <c r="H60" t="s">
        <v>68</v>
      </c>
      <c r="I60" t="n">
        <v>37</v>
      </c>
      <c r="J60" t="s">
        <v>80</v>
      </c>
      <c r="K60" t="s">
        <v>71</v>
      </c>
      <c r="L60" t="n">
        <v>-4</v>
      </c>
      <c r="M60" t="n">
        <v>-1</v>
      </c>
      <c r="N60" t="n">
        <v>60</v>
      </c>
      <c r="O60" t="n">
        <v>-4.42830970753517</v>
      </c>
      <c r="P60" t="n">
        <v>1.22184874961636</v>
      </c>
      <c r="Q60" t="n">
        <v>-0.0253058652647703</v>
      </c>
      <c r="R60" t="n">
        <v>530</v>
      </c>
      <c r="S60" t="n">
        <v>40.33</v>
      </c>
      <c r="T60" t="n">
        <v>1</v>
      </c>
      <c r="U60" t="n">
        <v>6.26</v>
      </c>
      <c r="V60" t="n">
        <v>73</v>
      </c>
      <c r="W60" t="n">
        <v>98</v>
      </c>
      <c r="X60" t="n">
        <v>-0.25</v>
      </c>
      <c r="Y60" t="n">
        <v>0</v>
      </c>
      <c r="Z60" t="n">
        <v>130</v>
      </c>
      <c r="AA60" t="n">
        <v>-0.25</v>
      </c>
      <c r="AB60" t="n">
        <v>-0.0334237554869497</v>
      </c>
      <c r="AC60" t="n">
        <v>-0.0293837776852097</v>
      </c>
      <c r="AD60" t="n">
        <v>1</v>
      </c>
      <c r="AE60" t="n">
        <v>4</v>
      </c>
      <c r="AF60" t="s">
        <v>71</v>
      </c>
      <c r="AG60" t="s">
        <v>71</v>
      </c>
      <c r="AH60" t="s">
        <v>72</v>
      </c>
      <c r="AI60" t="s">
        <v>88</v>
      </c>
      <c r="AJ60" t="n">
        <v>34</v>
      </c>
      <c r="AK60" t="n">
        <v>-0.25</v>
      </c>
      <c r="AL60" t="n">
        <v>0</v>
      </c>
      <c r="AM60" t="n">
        <v>135</v>
      </c>
      <c r="AN60" t="n">
        <v>-0.25</v>
      </c>
      <c r="AO60" t="n">
        <v>77</v>
      </c>
      <c r="AP60" t="n">
        <v>0</v>
      </c>
      <c r="AQ60" t="n">
        <v>-0.25</v>
      </c>
      <c r="AR60" t="n">
        <v>121</v>
      </c>
      <c r="AS60" t="n">
        <v>192</v>
      </c>
      <c r="AT60" t="n">
        <v>-0.25</v>
      </c>
      <c r="AU60" t="n">
        <v>0</v>
      </c>
      <c r="AV60" t="n">
        <v>84</v>
      </c>
      <c r="AW60" t="n">
        <v>-0.25</v>
      </c>
      <c r="AX60" t="n">
        <v>354</v>
      </c>
      <c r="AY60" t="n">
        <v>0</v>
      </c>
      <c r="AZ60" t="n">
        <v>-0.5</v>
      </c>
      <c r="BA60" t="n">
        <v>89</v>
      </c>
      <c r="BB60"/>
      <c r="BC60"/>
      <c r="BD60"/>
      <c r="BE60"/>
      <c r="BF60" t="s">
        <v>79</v>
      </c>
      <c r="BG60" t="n">
        <v>0.383495641392506</v>
      </c>
      <c r="BH60" t="n">
        <v>0.833333333333333</v>
      </c>
      <c r="BI60" t="n">
        <v>6</v>
      </c>
      <c r="BJ60" t="s">
        <v>74</v>
      </c>
    </row>
    <row r="61">
      <c r="A61" t="s">
        <v>224</v>
      </c>
      <c r="B61" t="s">
        <v>225</v>
      </c>
      <c r="C61" t="s">
        <v>227</v>
      </c>
      <c r="D61" t="s">
        <v>78</v>
      </c>
      <c r="E61" t="n">
        <v>1</v>
      </c>
      <c r="F61" t="s">
        <v>79</v>
      </c>
      <c r="G61" t="s">
        <v>67</v>
      </c>
      <c r="H61" t="s">
        <v>68</v>
      </c>
      <c r="I61" t="n">
        <v>37</v>
      </c>
      <c r="J61" t="s">
        <v>80</v>
      </c>
      <c r="K61" t="s">
        <v>71</v>
      </c>
      <c r="L61" t="n">
        <v>-5.5</v>
      </c>
      <c r="M61" t="n">
        <v>-0.25</v>
      </c>
      <c r="N61" t="n">
        <v>99</v>
      </c>
      <c r="O61" t="n">
        <v>-5.66574107581139</v>
      </c>
      <c r="P61" t="n">
        <v>1.30102999566398</v>
      </c>
      <c r="Q61" t="n">
        <v>0</v>
      </c>
      <c r="R61" t="n">
        <v>542</v>
      </c>
      <c r="S61" t="n">
        <v>44.27</v>
      </c>
      <c r="T61" t="n">
        <v>0</v>
      </c>
      <c r="U61" t="n">
        <v>6.68</v>
      </c>
      <c r="V61" t="n">
        <v>90</v>
      </c>
      <c r="W61" t="n">
        <v>260</v>
      </c>
      <c r="X61" t="n">
        <v>0</v>
      </c>
      <c r="Y61" t="n">
        <v>-0.25</v>
      </c>
      <c r="Z61" t="n">
        <v>110</v>
      </c>
      <c r="AA61" t="n">
        <v>0</v>
      </c>
      <c r="AB61" t="n">
        <v>0.0915149811213502</v>
      </c>
      <c r="AC61" t="n">
        <v>0.0705810742857073</v>
      </c>
      <c r="AD61" t="n">
        <v>1</v>
      </c>
      <c r="AE61" t="n">
        <v>5</v>
      </c>
      <c r="AF61" t="s">
        <v>71</v>
      </c>
      <c r="AG61" t="s">
        <v>71</v>
      </c>
      <c r="AH61" t="s">
        <v>72</v>
      </c>
      <c r="AI61" t="s">
        <v>73</v>
      </c>
      <c r="AJ61" t="n">
        <v>33</v>
      </c>
      <c r="AK61" t="n">
        <v>0.5</v>
      </c>
      <c r="AL61" t="n">
        <v>-0.5</v>
      </c>
      <c r="AM61" t="n">
        <v>105</v>
      </c>
      <c r="AN61" t="n">
        <v>0.25</v>
      </c>
      <c r="AO61" t="n">
        <v>79</v>
      </c>
      <c r="AP61" t="n">
        <v>0.25</v>
      </c>
      <c r="AQ61" t="n">
        <v>0</v>
      </c>
      <c r="AR61" t="n">
        <v>31</v>
      </c>
      <c r="AS61" t="n">
        <v>177</v>
      </c>
      <c r="AT61" t="n">
        <v>0.25</v>
      </c>
      <c r="AU61" t="n">
        <v>-0.25</v>
      </c>
      <c r="AV61" t="n">
        <v>145</v>
      </c>
      <c r="AW61" t="n">
        <v>0.125</v>
      </c>
      <c r="AX61" t="n">
        <v>356</v>
      </c>
      <c r="AY61" t="n">
        <v>-0.25</v>
      </c>
      <c r="AZ61" t="n">
        <v>0</v>
      </c>
      <c r="BA61" t="n">
        <v>101</v>
      </c>
      <c r="BB61" t="n">
        <v>733</v>
      </c>
      <c r="BC61" t="n">
        <v>-0.25</v>
      </c>
      <c r="BD61" t="n">
        <v>-0.25</v>
      </c>
      <c r="BE61" t="n">
        <v>161</v>
      </c>
      <c r="BF61" t="s">
        <v>79</v>
      </c>
      <c r="BG61" t="n">
        <v>0.359199998114392</v>
      </c>
      <c r="BH61" t="n">
        <v>0.833333333333333</v>
      </c>
      <c r="BI61" t="n">
        <v>9</v>
      </c>
      <c r="BJ61" t="s">
        <v>74</v>
      </c>
    </row>
    <row r="62">
      <c r="A62" t="s">
        <v>228</v>
      </c>
      <c r="B62" t="s">
        <v>229</v>
      </c>
      <c r="C62" t="s">
        <v>230</v>
      </c>
      <c r="D62" t="s">
        <v>78</v>
      </c>
      <c r="E62" t="n">
        <v>1</v>
      </c>
      <c r="F62" t="s">
        <v>79</v>
      </c>
      <c r="G62" t="s">
        <v>67</v>
      </c>
      <c r="H62" t="s">
        <v>68</v>
      </c>
      <c r="I62" t="n">
        <v>38</v>
      </c>
      <c r="J62" t="s">
        <v>80</v>
      </c>
      <c r="K62" t="s">
        <v>70</v>
      </c>
      <c r="L62" t="n">
        <v>-7.25</v>
      </c>
      <c r="M62" t="n">
        <v>-0.25</v>
      </c>
      <c r="N62" t="n">
        <v>12</v>
      </c>
      <c r="O62" t="n">
        <v>-7.45720476771239</v>
      </c>
      <c r="P62" t="n">
        <v>1.39794000867204</v>
      </c>
      <c r="Q62" t="n">
        <v>0.0409586076789064</v>
      </c>
      <c r="R62" t="n">
        <v>521</v>
      </c>
      <c r="S62" t="n">
        <v>43.61</v>
      </c>
      <c r="T62" t="n">
        <v>2</v>
      </c>
      <c r="U62" t="n">
        <v>6.6</v>
      </c>
      <c r="V62" t="n">
        <v>104</v>
      </c>
      <c r="W62" t="n">
        <v>372</v>
      </c>
      <c r="X62" t="n">
        <v>0</v>
      </c>
      <c r="Y62" t="n">
        <v>-0.25</v>
      </c>
      <c r="Z62" t="n">
        <v>34</v>
      </c>
      <c r="AA62" t="n">
        <v>-0.25</v>
      </c>
      <c r="AB62" t="n">
        <v>0.0915149811213502</v>
      </c>
      <c r="AC62" t="n">
        <v>0.0457574905606751</v>
      </c>
      <c r="AD62" t="n">
        <v>1</v>
      </c>
      <c r="AE62" t="n">
        <v>4</v>
      </c>
      <c r="AF62" t="s">
        <v>71</v>
      </c>
      <c r="AG62" t="s">
        <v>71</v>
      </c>
      <c r="AH62" t="s">
        <v>113</v>
      </c>
      <c r="AI62" t="s">
        <v>88</v>
      </c>
      <c r="AJ62" t="n">
        <v>22</v>
      </c>
      <c r="AK62" t="n">
        <v>0</v>
      </c>
      <c r="AL62" t="n">
        <v>-0.25</v>
      </c>
      <c r="AM62" t="n">
        <v>117</v>
      </c>
      <c r="AN62" t="n">
        <v>-0.125</v>
      </c>
      <c r="AO62" t="n">
        <v>101</v>
      </c>
      <c r="AP62" t="n">
        <v>0</v>
      </c>
      <c r="AQ62" t="n">
        <v>-0.25</v>
      </c>
      <c r="AR62" t="n">
        <v>65</v>
      </c>
      <c r="AS62" t="n">
        <v>186</v>
      </c>
      <c r="AT62" t="n">
        <v>-0.25</v>
      </c>
      <c r="AU62" t="n">
        <v>-0.25</v>
      </c>
      <c r="AV62" t="n">
        <v>118</v>
      </c>
      <c r="AW62" t="n">
        <v>-0.375</v>
      </c>
      <c r="AX62" t="n">
        <v>352</v>
      </c>
      <c r="AY62" t="n">
        <v>-0.25</v>
      </c>
      <c r="AZ62" t="n">
        <v>-0.25</v>
      </c>
      <c r="BA62" t="n">
        <v>103</v>
      </c>
      <c r="BB62" t="n">
        <v>716</v>
      </c>
      <c r="BC62" t="n">
        <v>-0.25</v>
      </c>
      <c r="BD62" t="n">
        <v>-0.25</v>
      </c>
      <c r="BE62" t="n">
        <v>16</v>
      </c>
      <c r="BF62" t="s">
        <v>79</v>
      </c>
      <c r="BG62" t="n">
        <v>0.599670297071452</v>
      </c>
      <c r="BH62" t="n">
        <v>1.66666666666667</v>
      </c>
      <c r="BI62" t="n">
        <v>20</v>
      </c>
      <c r="BJ62" t="s">
        <v>74</v>
      </c>
    </row>
    <row r="63">
      <c r="A63" t="s">
        <v>231</v>
      </c>
      <c r="B63" t="s">
        <v>232</v>
      </c>
      <c r="C63" t="s">
        <v>233</v>
      </c>
      <c r="D63" t="s">
        <v>65</v>
      </c>
      <c r="E63" t="n">
        <v>1</v>
      </c>
      <c r="F63" t="s">
        <v>66</v>
      </c>
      <c r="G63" t="s">
        <v>67</v>
      </c>
      <c r="H63" t="s">
        <v>68</v>
      </c>
      <c r="I63" t="n">
        <v>38</v>
      </c>
      <c r="J63" t="s">
        <v>80</v>
      </c>
      <c r="K63" t="s">
        <v>71</v>
      </c>
      <c r="L63" t="n">
        <v>-8.75</v>
      </c>
      <c r="M63" t="n">
        <v>-1</v>
      </c>
      <c r="N63" t="n">
        <v>101</v>
      </c>
      <c r="O63" t="n">
        <v>-9.15963154151021</v>
      </c>
      <c r="P63" t="n">
        <v>1.69897000433602</v>
      </c>
      <c r="Q63" t="n">
        <v>0.00436480540245009</v>
      </c>
      <c r="R63" t="n">
        <v>559</v>
      </c>
      <c r="S63" t="n">
        <v>45.21</v>
      </c>
      <c r="T63" t="n">
        <v>2</v>
      </c>
      <c r="U63" t="n">
        <v>6.84</v>
      </c>
      <c r="V63" t="n">
        <v>143</v>
      </c>
      <c r="W63" t="n">
        <v>175</v>
      </c>
      <c r="X63" t="n">
        <v>0</v>
      </c>
      <c r="Y63" t="n">
        <v>0</v>
      </c>
      <c r="Z63" t="n">
        <v>32</v>
      </c>
      <c r="AA63" t="n">
        <v>0</v>
      </c>
      <c r="AB63" t="n">
        <v>0.0268721464003014</v>
      </c>
      <c r="AC63" t="n">
        <v>-0.00860017176191757</v>
      </c>
      <c r="AD63" t="n">
        <v>0</v>
      </c>
      <c r="AE63" t="n">
        <v>5</v>
      </c>
      <c r="AF63" t="s">
        <v>71</v>
      </c>
      <c r="AG63" t="s">
        <v>71</v>
      </c>
      <c r="AH63" t="s">
        <v>72</v>
      </c>
      <c r="AI63" t="s">
        <v>88</v>
      </c>
      <c r="AJ63" t="n">
        <v>28</v>
      </c>
      <c r="AK63" t="n">
        <v>0.25</v>
      </c>
      <c r="AL63" t="n">
        <v>-0.25</v>
      </c>
      <c r="AM63" t="n">
        <v>87</v>
      </c>
      <c r="AN63" t="n">
        <v>0.125</v>
      </c>
      <c r="AO63" t="n">
        <v>80</v>
      </c>
      <c r="AP63" t="n">
        <v>0</v>
      </c>
      <c r="AQ63" t="n">
        <v>-0.25</v>
      </c>
      <c r="AR63" t="n">
        <v>19</v>
      </c>
      <c r="AS63" t="n">
        <v>177</v>
      </c>
      <c r="AT63" t="n">
        <v>0</v>
      </c>
      <c r="AU63" t="n">
        <v>0</v>
      </c>
      <c r="AV63" t="n">
        <v>77</v>
      </c>
      <c r="AW63" t="n">
        <v>0</v>
      </c>
      <c r="AX63" t="n">
        <v>377</v>
      </c>
      <c r="AY63" t="n">
        <v>-0.25</v>
      </c>
      <c r="AZ63" t="n">
        <v>0</v>
      </c>
      <c r="BA63" t="n">
        <v>84</v>
      </c>
      <c r="BB63" t="n">
        <v>732</v>
      </c>
      <c r="BC63" t="n">
        <v>-0.25</v>
      </c>
      <c r="BD63" t="n">
        <v>-0.5</v>
      </c>
      <c r="BE63" t="n">
        <v>89</v>
      </c>
      <c r="BF63" t="s">
        <v>66</v>
      </c>
      <c r="BG63" t="n">
        <v>0.351506590457721</v>
      </c>
      <c r="BH63" t="n">
        <v>1</v>
      </c>
      <c r="BI63" t="n">
        <v>25</v>
      </c>
      <c r="BJ63" t="s">
        <v>74</v>
      </c>
    </row>
    <row r="64">
      <c r="A64" t="s">
        <v>234</v>
      </c>
      <c r="B64" t="s">
        <v>235</v>
      </c>
      <c r="C64" t="s">
        <v>236</v>
      </c>
      <c r="D64" t="s">
        <v>78</v>
      </c>
      <c r="E64" t="n">
        <v>1</v>
      </c>
      <c r="F64" t="s">
        <v>79</v>
      </c>
      <c r="G64" t="s">
        <v>67</v>
      </c>
      <c r="H64" t="s">
        <v>87</v>
      </c>
      <c r="I64" t="n">
        <v>34</v>
      </c>
      <c r="J64" t="s">
        <v>80</v>
      </c>
      <c r="K64" t="s">
        <v>71</v>
      </c>
      <c r="L64" t="n">
        <v>-6</v>
      </c>
      <c r="M64" t="n">
        <v>0</v>
      </c>
      <c r="N64" t="n">
        <v>166</v>
      </c>
      <c r="O64" t="n">
        <v>-6.07528414079531</v>
      </c>
      <c r="P64" t="n">
        <v>1.39794000867204</v>
      </c>
      <c r="Q64" t="n">
        <v>0.0268721464003014</v>
      </c>
      <c r="R64" t="n">
        <v>541</v>
      </c>
      <c r="S64" t="n">
        <v>43.74</v>
      </c>
      <c r="T64" t="n">
        <v>2</v>
      </c>
      <c r="U64" t="n">
        <v>6.07</v>
      </c>
      <c r="V64" t="n">
        <v>82</v>
      </c>
      <c r="W64" t="n">
        <v>116</v>
      </c>
      <c r="X64" t="n">
        <v>0.25</v>
      </c>
      <c r="Y64" t="n">
        <v>0</v>
      </c>
      <c r="Z64" t="n">
        <v>5</v>
      </c>
      <c r="AA64" t="n">
        <v>0.25</v>
      </c>
      <c r="AB64" t="n">
        <v>0.00436480540245009</v>
      </c>
      <c r="AC64" t="n">
        <v>0.00877392430750515</v>
      </c>
      <c r="AD64" t="n">
        <v>2</v>
      </c>
      <c r="AE64" t="n">
        <v>4</v>
      </c>
      <c r="AF64" t="s">
        <v>71</v>
      </c>
      <c r="AG64" t="s">
        <v>71</v>
      </c>
      <c r="AH64" t="s">
        <v>72</v>
      </c>
      <c r="AI64" t="s">
        <v>88</v>
      </c>
      <c r="AJ64" t="n">
        <v>27</v>
      </c>
      <c r="AK64" t="n">
        <v>0.25</v>
      </c>
      <c r="AL64" t="n">
        <v>0</v>
      </c>
      <c r="AM64" t="n">
        <v>32</v>
      </c>
      <c r="AN64" t="n">
        <v>0.25</v>
      </c>
      <c r="AO64" t="n">
        <v>98</v>
      </c>
      <c r="AP64" t="n">
        <v>0.5</v>
      </c>
      <c r="AQ64" t="n">
        <v>-0.5</v>
      </c>
      <c r="AR64" t="n">
        <v>70</v>
      </c>
      <c r="AS64" t="n">
        <v>181</v>
      </c>
      <c r="AT64" t="n">
        <v>0.5</v>
      </c>
      <c r="AU64" t="n">
        <v>-0.5</v>
      </c>
      <c r="AV64" t="n">
        <v>175</v>
      </c>
      <c r="AW64" t="n">
        <v>0.25</v>
      </c>
      <c r="AX64"/>
      <c r="AY64"/>
      <c r="AZ64"/>
      <c r="BA64"/>
      <c r="BB64"/>
      <c r="BC64"/>
      <c r="BD64"/>
      <c r="BE64"/>
      <c r="BF64" t="s">
        <v>79</v>
      </c>
      <c r="BG64" t="n">
        <v>0.208450553639628</v>
      </c>
      <c r="BH64" t="n">
        <v>0.833333333333333</v>
      </c>
      <c r="BI64" t="n">
        <v>1</v>
      </c>
      <c r="BJ64" t="s">
        <v>74</v>
      </c>
    </row>
    <row r="65">
      <c r="A65" t="s">
        <v>237</v>
      </c>
      <c r="B65" t="s">
        <v>238</v>
      </c>
      <c r="C65" t="s">
        <v>239</v>
      </c>
      <c r="D65" t="s">
        <v>65</v>
      </c>
      <c r="E65" t="n">
        <v>1</v>
      </c>
      <c r="F65" t="s">
        <v>79</v>
      </c>
      <c r="G65" t="s">
        <v>67</v>
      </c>
      <c r="H65" t="s">
        <v>100</v>
      </c>
      <c r="I65" t="n">
        <v>31</v>
      </c>
      <c r="J65" t="s">
        <v>69</v>
      </c>
      <c r="K65" t="s">
        <v>71</v>
      </c>
      <c r="L65" t="n">
        <v>-6.75</v>
      </c>
      <c r="M65" t="n">
        <v>0</v>
      </c>
      <c r="N65" t="n">
        <v>146</v>
      </c>
      <c r="O65" t="n">
        <v>-6.73240579678388</v>
      </c>
      <c r="P65" t="n">
        <v>1.30102999566398</v>
      </c>
      <c r="Q65" t="n">
        <v>0.00877392430750515</v>
      </c>
      <c r="R65" t="n">
        <v>568</v>
      </c>
      <c r="S65" t="n">
        <v>42.42</v>
      </c>
      <c r="T65" t="n">
        <v>0</v>
      </c>
      <c r="U65" t="n">
        <v>6.07</v>
      </c>
      <c r="V65" t="n">
        <v>95</v>
      </c>
      <c r="W65" t="n">
        <v>95</v>
      </c>
      <c r="X65" t="n">
        <v>0</v>
      </c>
      <c r="Y65" t="n">
        <v>-0.25</v>
      </c>
      <c r="Z65" t="n">
        <v>116</v>
      </c>
      <c r="AA65" t="n">
        <v>-0.25</v>
      </c>
      <c r="AB65" t="n">
        <v>0.0177287669604316</v>
      </c>
      <c r="AC65" t="n">
        <v>0.0132282657337552</v>
      </c>
      <c r="AD65" t="n">
        <v>0</v>
      </c>
      <c r="AE65" t="n">
        <v>4</v>
      </c>
      <c r="AF65" t="s">
        <v>71</v>
      </c>
      <c r="AG65" t="s">
        <v>71</v>
      </c>
      <c r="AH65" t="s">
        <v>72</v>
      </c>
      <c r="AI65" t="s">
        <v>73</v>
      </c>
      <c r="AJ65" t="n">
        <v>40</v>
      </c>
      <c r="AK65" t="n">
        <v>0</v>
      </c>
      <c r="AL65" t="n">
        <v>-0.25</v>
      </c>
      <c r="AM65" t="n">
        <v>13</v>
      </c>
      <c r="AN65" t="n">
        <v>-0.125</v>
      </c>
      <c r="AO65" t="n">
        <v>100</v>
      </c>
      <c r="AP65" t="n">
        <v>0</v>
      </c>
      <c r="AQ65" t="n">
        <v>-0.25</v>
      </c>
      <c r="AR65" t="n">
        <v>179</v>
      </c>
      <c r="AS65" t="n">
        <v>179</v>
      </c>
      <c r="AT65" t="n">
        <v>0.25</v>
      </c>
      <c r="AU65" t="n">
        <v>-0.5</v>
      </c>
      <c r="AV65" t="n">
        <v>49</v>
      </c>
      <c r="AW65" t="n">
        <v>0</v>
      </c>
      <c r="AX65" t="n">
        <v>379</v>
      </c>
      <c r="AY65" t="n">
        <v>-0.25</v>
      </c>
      <c r="AZ65" t="n">
        <v>-0.25</v>
      </c>
      <c r="BA65" t="n">
        <v>9</v>
      </c>
      <c r="BB65" t="n">
        <v>717</v>
      </c>
      <c r="BC65" t="n">
        <v>-0.5</v>
      </c>
      <c r="BD65" t="n">
        <v>0</v>
      </c>
      <c r="BE65" t="n">
        <v>128</v>
      </c>
      <c r="BF65" t="s">
        <v>79</v>
      </c>
      <c r="BG65" t="n">
        <v>0.0939298057378681</v>
      </c>
      <c r="BH65" t="n">
        <v>0.833333333333333</v>
      </c>
      <c r="BI65" t="n">
        <v>15</v>
      </c>
      <c r="BJ65" t="s">
        <v>74</v>
      </c>
    </row>
    <row r="66">
      <c r="A66" t="s">
        <v>240</v>
      </c>
      <c r="B66" t="s">
        <v>241</v>
      </c>
      <c r="C66" t="s">
        <v>242</v>
      </c>
      <c r="D66" t="s">
        <v>65</v>
      </c>
      <c r="E66" t="n">
        <v>1</v>
      </c>
      <c r="F66" t="s">
        <v>66</v>
      </c>
      <c r="G66" t="s">
        <v>67</v>
      </c>
      <c r="H66" t="s">
        <v>100</v>
      </c>
      <c r="I66" t="n">
        <v>31</v>
      </c>
      <c r="J66" t="s">
        <v>80</v>
      </c>
      <c r="K66" t="s">
        <v>71</v>
      </c>
      <c r="L66" t="n">
        <v>-3</v>
      </c>
      <c r="M66" t="n">
        <v>-2</v>
      </c>
      <c r="N66" t="n">
        <v>170</v>
      </c>
      <c r="O66" t="n">
        <v>-4.08766340555497</v>
      </c>
      <c r="P66" t="n">
        <v>1</v>
      </c>
      <c r="Q66" t="n">
        <v>-0.0170333392987804</v>
      </c>
      <c r="R66" t="n">
        <v>495</v>
      </c>
      <c r="S66" t="n">
        <v>41.81</v>
      </c>
      <c r="T66" t="n">
        <v>1</v>
      </c>
      <c r="U66" t="n">
        <v>6.69</v>
      </c>
      <c r="V66" t="n">
        <v>66</v>
      </c>
      <c r="W66" t="n">
        <v>269</v>
      </c>
      <c r="X66" t="n">
        <v>-0.25</v>
      </c>
      <c r="Y66" t="n">
        <v>0</v>
      </c>
      <c r="Z66" t="n">
        <v>164</v>
      </c>
      <c r="AA66" t="n">
        <v>-0.25</v>
      </c>
      <c r="AB66" t="n">
        <v>-0.00860017176191757</v>
      </c>
      <c r="AC66" t="n">
        <v>-0.0253058652647703</v>
      </c>
      <c r="AD66" t="n">
        <v>0</v>
      </c>
      <c r="AE66" t="n">
        <v>5</v>
      </c>
      <c r="AF66" t="s">
        <v>71</v>
      </c>
      <c r="AG66" t="s">
        <v>71</v>
      </c>
      <c r="AH66" t="s">
        <v>72</v>
      </c>
      <c r="AI66" t="s">
        <v>73</v>
      </c>
      <c r="AJ66" t="n">
        <v>24</v>
      </c>
      <c r="AK66" t="n">
        <v>0</v>
      </c>
      <c r="AL66" t="n">
        <v>-0.5</v>
      </c>
      <c r="AM66" t="n">
        <v>120</v>
      </c>
      <c r="AN66" t="n">
        <v>-0.25</v>
      </c>
      <c r="AO66" t="n">
        <v>102</v>
      </c>
      <c r="AP66" t="n">
        <v>-0.25</v>
      </c>
      <c r="AQ66" t="n">
        <v>-0.25</v>
      </c>
      <c r="AR66" t="n">
        <v>3</v>
      </c>
      <c r="AS66" t="n">
        <v>177</v>
      </c>
      <c r="AT66" t="n">
        <v>-0.25</v>
      </c>
      <c r="AU66" t="n">
        <v>-0.25</v>
      </c>
      <c r="AV66" t="n">
        <v>66</v>
      </c>
      <c r="AW66" t="n">
        <v>-0.375</v>
      </c>
      <c r="AX66" t="n">
        <v>371</v>
      </c>
      <c r="AY66" t="n">
        <v>-0.5</v>
      </c>
      <c r="AZ66" t="n">
        <v>0</v>
      </c>
      <c r="BA66" t="n">
        <v>82</v>
      </c>
      <c r="BB66" t="n">
        <v>741</v>
      </c>
      <c r="BC66" t="n">
        <v>-0.5</v>
      </c>
      <c r="BD66" t="n">
        <v>-0.25</v>
      </c>
      <c r="BE66" t="n">
        <v>92</v>
      </c>
      <c r="BF66" t="s">
        <v>66</v>
      </c>
      <c r="BG66" t="n">
        <v>0.330123102122861</v>
      </c>
      <c r="BH66" t="n">
        <v>1</v>
      </c>
      <c r="BI66" t="n">
        <v>26</v>
      </c>
      <c r="BJ66" t="s">
        <v>74</v>
      </c>
    </row>
    <row r="67">
      <c r="A67" t="s">
        <v>240</v>
      </c>
      <c r="B67" t="s">
        <v>241</v>
      </c>
      <c r="C67" t="s">
        <v>243</v>
      </c>
      <c r="D67" t="s">
        <v>78</v>
      </c>
      <c r="E67" t="n">
        <v>1</v>
      </c>
      <c r="F67" t="s">
        <v>66</v>
      </c>
      <c r="G67" t="s">
        <v>67</v>
      </c>
      <c r="H67" t="s">
        <v>100</v>
      </c>
      <c r="I67" t="n">
        <v>31</v>
      </c>
      <c r="J67" t="s">
        <v>80</v>
      </c>
      <c r="K67" t="s">
        <v>71</v>
      </c>
      <c r="L67" t="n">
        <v>-8</v>
      </c>
      <c r="M67" t="n">
        <v>-0.5</v>
      </c>
      <c r="N67" t="n">
        <v>103</v>
      </c>
      <c r="O67" t="n">
        <v>-8.36399432810482</v>
      </c>
      <c r="P67" t="n">
        <v>1.52287874528034</v>
      </c>
      <c r="Q67" t="n">
        <v>-0.0334237554869497</v>
      </c>
      <c r="R67" t="n">
        <v>518</v>
      </c>
      <c r="S67" t="n">
        <v>43.43</v>
      </c>
      <c r="T67" t="n">
        <v>1</v>
      </c>
      <c r="U67" t="n">
        <v>6.73</v>
      </c>
      <c r="V67" t="n">
        <v>117</v>
      </c>
      <c r="W67" t="n">
        <v>272</v>
      </c>
      <c r="X67" t="n">
        <v>0.5</v>
      </c>
      <c r="Y67" t="n">
        <v>-0.25</v>
      </c>
      <c r="Z67" t="n">
        <v>103</v>
      </c>
      <c r="AA67" t="n">
        <v>0.5</v>
      </c>
      <c r="AB67" t="n">
        <v>0.0604807473813815</v>
      </c>
      <c r="AC67" t="n">
        <v>-0.0293837776852097</v>
      </c>
      <c r="AD67" t="n">
        <v>1</v>
      </c>
      <c r="AE67" t="n">
        <v>4</v>
      </c>
      <c r="AF67" t="s">
        <v>71</v>
      </c>
      <c r="AG67" t="s">
        <v>71</v>
      </c>
      <c r="AH67" t="s">
        <v>72</v>
      </c>
      <c r="AI67" t="s">
        <v>73</v>
      </c>
      <c r="AJ67" t="n">
        <v>35</v>
      </c>
      <c r="AK67" t="n">
        <v>0.75</v>
      </c>
      <c r="AL67" t="n">
        <v>-0.25</v>
      </c>
      <c r="AM67" t="n">
        <v>137</v>
      </c>
      <c r="AN67" t="n">
        <v>0.625</v>
      </c>
      <c r="AO67" t="n">
        <v>91</v>
      </c>
      <c r="AP67" t="n">
        <v>0.5</v>
      </c>
      <c r="AQ67" t="n">
        <v>0</v>
      </c>
      <c r="AR67" t="n">
        <v>101</v>
      </c>
      <c r="AS67" t="n">
        <v>176</v>
      </c>
      <c r="AT67" t="n">
        <v>0.5</v>
      </c>
      <c r="AU67" t="n">
        <v>-0.25</v>
      </c>
      <c r="AV67" t="n">
        <v>134</v>
      </c>
      <c r="AW67" t="n">
        <v>0.375</v>
      </c>
      <c r="AX67" t="n">
        <v>373</v>
      </c>
      <c r="AY67" t="n">
        <v>0.25</v>
      </c>
      <c r="AZ67" t="n">
        <v>-0.25</v>
      </c>
      <c r="BA67" t="n">
        <v>98</v>
      </c>
      <c r="BB67"/>
      <c r="BC67"/>
      <c r="BD67"/>
      <c r="BE67"/>
      <c r="BF67" t="s">
        <v>66</v>
      </c>
      <c r="BG67" t="n">
        <v>0.240050784939497</v>
      </c>
      <c r="BH67" t="n">
        <v>1</v>
      </c>
      <c r="BI67" t="n">
        <v>27</v>
      </c>
      <c r="BJ67" t="s">
        <v>74</v>
      </c>
    </row>
    <row r="68">
      <c r="A68" t="s">
        <v>244</v>
      </c>
      <c r="B68" t="s">
        <v>245</v>
      </c>
      <c r="C68" t="s">
        <v>246</v>
      </c>
      <c r="D68" t="s">
        <v>78</v>
      </c>
      <c r="E68" t="n">
        <v>1</v>
      </c>
      <c r="F68" t="s">
        <v>79</v>
      </c>
      <c r="G68" t="s">
        <v>67</v>
      </c>
      <c r="H68" t="s">
        <v>100</v>
      </c>
      <c r="I68" t="n">
        <v>33</v>
      </c>
      <c r="J68" t="s">
        <v>69</v>
      </c>
      <c r="K68" t="s">
        <v>70</v>
      </c>
      <c r="L68" t="n">
        <v>-4.25</v>
      </c>
      <c r="M68" t="n">
        <v>-1.25</v>
      </c>
      <c r="N68" t="n">
        <v>75</v>
      </c>
      <c r="O68" t="n">
        <v>-4.83285181122629</v>
      </c>
      <c r="P68" t="n">
        <v>1.30102999566398</v>
      </c>
      <c r="Q68" t="n">
        <v>0</v>
      </c>
      <c r="R68" t="n">
        <v>565</v>
      </c>
      <c r="S68" t="n">
        <v>44.87</v>
      </c>
      <c r="T68" t="n">
        <v>2</v>
      </c>
      <c r="U68" t="n">
        <v>6.5</v>
      </c>
      <c r="V68" t="n">
        <v>77</v>
      </c>
      <c r="W68" t="n">
        <v>111</v>
      </c>
      <c r="X68" t="n">
        <v>1</v>
      </c>
      <c r="Y68" t="n">
        <v>-0.25</v>
      </c>
      <c r="Z68" t="n">
        <v>50</v>
      </c>
      <c r="AA68" t="n">
        <v>0.75</v>
      </c>
      <c r="AB68" t="n">
        <v>0.00436480540245009</v>
      </c>
      <c r="AC68" t="n">
        <v>-0.0253058652647703</v>
      </c>
      <c r="AD68" t="n">
        <v>0</v>
      </c>
      <c r="AE68" t="n">
        <v>2</v>
      </c>
      <c r="AF68" t="s">
        <v>70</v>
      </c>
      <c r="AG68" t="s">
        <v>71</v>
      </c>
      <c r="AH68" t="s">
        <v>72</v>
      </c>
      <c r="AI68" t="s">
        <v>73</v>
      </c>
      <c r="AJ68" t="n">
        <v>37</v>
      </c>
      <c r="AK68" t="n">
        <v>1</v>
      </c>
      <c r="AL68" t="n">
        <v>0</v>
      </c>
      <c r="AM68" t="n">
        <v>135</v>
      </c>
      <c r="AN68" t="n">
        <v>1</v>
      </c>
      <c r="AO68" t="n">
        <v>86</v>
      </c>
      <c r="AP68" t="n">
        <v>1</v>
      </c>
      <c r="AQ68" t="n">
        <v>-0.25</v>
      </c>
      <c r="AR68" t="n">
        <v>126</v>
      </c>
      <c r="AS68" t="n">
        <v>187</v>
      </c>
      <c r="AT68" t="n">
        <v>0.75</v>
      </c>
      <c r="AU68" t="n">
        <v>-0.25</v>
      </c>
      <c r="AV68" t="n">
        <v>77</v>
      </c>
      <c r="AW68" t="n">
        <v>0.625</v>
      </c>
      <c r="AX68" t="n">
        <v>361</v>
      </c>
      <c r="AY68" t="n">
        <v>0.75</v>
      </c>
      <c r="AZ68" t="n">
        <v>0</v>
      </c>
      <c r="BA68" t="n">
        <v>60</v>
      </c>
      <c r="BB68" t="n">
        <v>732</v>
      </c>
      <c r="BC68" t="n">
        <v>1.25</v>
      </c>
      <c r="BD68" t="n">
        <v>-0.25</v>
      </c>
      <c r="BE68" t="n">
        <v>137</v>
      </c>
      <c r="BF68" t="s">
        <v>79</v>
      </c>
      <c r="BG68" t="n">
        <v>0.0962147469748926</v>
      </c>
      <c r="BH68" t="n">
        <v>0.833333333333333</v>
      </c>
      <c r="BI68" t="n">
        <v>15</v>
      </c>
      <c r="BJ68" t="s">
        <v>74</v>
      </c>
    </row>
    <row r="69">
      <c r="A69" t="s">
        <v>247</v>
      </c>
      <c r="B69" t="s">
        <v>248</v>
      </c>
      <c r="C69" t="s">
        <v>249</v>
      </c>
      <c r="D69" t="s">
        <v>65</v>
      </c>
      <c r="E69" t="n">
        <v>1</v>
      </c>
      <c r="F69" t="s">
        <v>79</v>
      </c>
      <c r="G69" t="s">
        <v>67</v>
      </c>
      <c r="H69" t="s">
        <v>100</v>
      </c>
      <c r="I69" t="n">
        <v>31</v>
      </c>
      <c r="J69" t="s">
        <v>69</v>
      </c>
      <c r="K69" t="s">
        <v>71</v>
      </c>
      <c r="L69" t="n">
        <v>-1</v>
      </c>
      <c r="M69" t="n">
        <v>-0.5</v>
      </c>
      <c r="N69" t="n">
        <v>78</v>
      </c>
      <c r="O69" t="n">
        <v>-1.2297564697787</v>
      </c>
      <c r="P69" t="n">
        <v>0.769551078621726</v>
      </c>
      <c r="Q69" t="n">
        <v>0.00877392430750515</v>
      </c>
      <c r="R69" t="n">
        <v>542</v>
      </c>
      <c r="S69" t="n">
        <v>43.65</v>
      </c>
      <c r="T69" t="n">
        <v>0</v>
      </c>
      <c r="U69" t="n">
        <v>7.06</v>
      </c>
      <c r="V69" t="n">
        <v>23</v>
      </c>
      <c r="W69" t="n">
        <v>262</v>
      </c>
      <c r="X69" t="n">
        <v>0</v>
      </c>
      <c r="Y69" t="n">
        <v>-0.25</v>
      </c>
      <c r="Z69" t="n">
        <v>65</v>
      </c>
      <c r="AA69" t="n">
        <v>0</v>
      </c>
      <c r="AB69" t="n">
        <v>-0.0211892990699381</v>
      </c>
      <c r="AC69" t="n">
        <v>0.00436480540245009</v>
      </c>
      <c r="AD69" t="n">
        <v>2</v>
      </c>
      <c r="AE69" t="n">
        <v>4</v>
      </c>
      <c r="AF69" t="s">
        <v>71</v>
      </c>
      <c r="AG69" t="s">
        <v>71</v>
      </c>
      <c r="AH69" t="s">
        <v>124</v>
      </c>
      <c r="AI69" t="s">
        <v>73</v>
      </c>
      <c r="AJ69" t="n">
        <v>36</v>
      </c>
      <c r="AK69" t="n">
        <v>0.25</v>
      </c>
      <c r="AL69" t="n">
        <v>-0.25</v>
      </c>
      <c r="AM69" t="n">
        <v>139</v>
      </c>
      <c r="AN69" t="n">
        <v>0.125</v>
      </c>
      <c r="AO69" t="n">
        <v>87</v>
      </c>
      <c r="AP69" t="n">
        <v>0.25</v>
      </c>
      <c r="AQ69" t="n">
        <v>0</v>
      </c>
      <c r="AR69" t="n">
        <v>19</v>
      </c>
      <c r="AS69" t="n">
        <v>176</v>
      </c>
      <c r="AT69" t="n">
        <v>0</v>
      </c>
      <c r="AU69" t="n">
        <v>-0.25</v>
      </c>
      <c r="AV69" t="n">
        <v>56</v>
      </c>
      <c r="AW69" t="n">
        <v>-0.125</v>
      </c>
      <c r="AX69" t="n">
        <v>363</v>
      </c>
      <c r="AY69" t="n">
        <v>0</v>
      </c>
      <c r="AZ69" t="n">
        <v>-0.5</v>
      </c>
      <c r="BA69" t="n">
        <v>51</v>
      </c>
      <c r="BB69"/>
      <c r="BC69"/>
      <c r="BD69"/>
      <c r="BE69"/>
      <c r="BF69" t="s">
        <v>79</v>
      </c>
      <c r="BG69" t="n">
        <v>0.11298682790156</v>
      </c>
      <c r="BH69" t="n">
        <v>0.833333333333333</v>
      </c>
      <c r="BI69" t="n">
        <v>13</v>
      </c>
      <c r="BJ69" t="s">
        <v>74</v>
      </c>
    </row>
    <row r="70">
      <c r="A70" t="s">
        <v>247</v>
      </c>
      <c r="B70" t="s">
        <v>248</v>
      </c>
      <c r="C70" t="s">
        <v>250</v>
      </c>
      <c r="D70" t="s">
        <v>78</v>
      </c>
      <c r="E70" t="n">
        <v>1</v>
      </c>
      <c r="F70" t="s">
        <v>79</v>
      </c>
      <c r="G70" t="s">
        <v>67</v>
      </c>
      <c r="H70" t="s">
        <v>100</v>
      </c>
      <c r="I70" t="n">
        <v>31</v>
      </c>
      <c r="J70" t="s">
        <v>69</v>
      </c>
      <c r="K70" t="s">
        <v>71</v>
      </c>
      <c r="L70" t="n">
        <v>-2.75</v>
      </c>
      <c r="M70" t="n">
        <v>-0.25</v>
      </c>
      <c r="N70" t="n">
        <v>179</v>
      </c>
      <c r="O70" t="n">
        <v>-2.78067055543714</v>
      </c>
      <c r="P70" t="n">
        <v>0.920818753952375</v>
      </c>
      <c r="Q70" t="n">
        <v>-0.0718820073061254</v>
      </c>
      <c r="R70" t="n">
        <v>505</v>
      </c>
      <c r="S70" t="n">
        <v>44.03</v>
      </c>
      <c r="T70" t="n">
        <v>0</v>
      </c>
      <c r="U70" t="n">
        <v>6.57</v>
      </c>
      <c r="V70" t="n">
        <v>30</v>
      </c>
      <c r="W70" t="n">
        <v>93</v>
      </c>
      <c r="X70" t="n">
        <v>0</v>
      </c>
      <c r="Y70" t="n">
        <v>-0.25</v>
      </c>
      <c r="Z70" t="n">
        <v>24</v>
      </c>
      <c r="AA70" t="n">
        <v>-0.25</v>
      </c>
      <c r="AB70" t="n">
        <v>-0.0530784434834197</v>
      </c>
      <c r="AC70" t="n">
        <v>-0.0899051114393979</v>
      </c>
      <c r="AD70" t="n">
        <v>0</v>
      </c>
      <c r="AE70" t="n">
        <v>5</v>
      </c>
      <c r="AF70" t="s">
        <v>71</v>
      </c>
      <c r="AG70" t="s">
        <v>71</v>
      </c>
      <c r="AH70" t="s">
        <v>72</v>
      </c>
      <c r="AI70" t="s">
        <v>73</v>
      </c>
      <c r="AJ70" t="n">
        <v>26</v>
      </c>
      <c r="AK70" t="n">
        <v>0.25</v>
      </c>
      <c r="AL70" t="n">
        <v>-0.25</v>
      </c>
      <c r="AM70" t="n">
        <v>150</v>
      </c>
      <c r="AN70" t="n">
        <v>0.125</v>
      </c>
      <c r="AO70" t="n">
        <v>101</v>
      </c>
      <c r="AP70" t="n">
        <v>0</v>
      </c>
      <c r="AQ70" t="n">
        <v>-0.25</v>
      </c>
      <c r="AR70" t="n">
        <v>49</v>
      </c>
      <c r="AS70" t="n">
        <v>186</v>
      </c>
      <c r="AT70" t="n">
        <v>-0.25</v>
      </c>
      <c r="AU70" t="n">
        <v>0</v>
      </c>
      <c r="AV70" t="n">
        <v>42</v>
      </c>
      <c r="AW70" t="n">
        <v>-0.25</v>
      </c>
      <c r="AX70" t="n">
        <v>378</v>
      </c>
      <c r="AY70" t="n">
        <v>-0.25</v>
      </c>
      <c r="AZ70" t="n">
        <v>-0.25</v>
      </c>
      <c r="BA70" t="n">
        <v>63</v>
      </c>
      <c r="BB70"/>
      <c r="BC70"/>
      <c r="BD70"/>
      <c r="BE70"/>
      <c r="BF70" t="s">
        <v>79</v>
      </c>
      <c r="BG70" t="n">
        <v>0.246134906571397</v>
      </c>
      <c r="BH70" t="n">
        <v>0.833333333333333</v>
      </c>
      <c r="BI70" t="n">
        <v>24</v>
      </c>
      <c r="BJ70" t="s">
        <v>74</v>
      </c>
    </row>
    <row r="71">
      <c r="A71" t="s">
        <v>251</v>
      </c>
      <c r="B71" t="s">
        <v>252</v>
      </c>
      <c r="C71" t="s">
        <v>253</v>
      </c>
      <c r="D71" t="s">
        <v>78</v>
      </c>
      <c r="E71" t="n">
        <v>1</v>
      </c>
      <c r="F71" t="s">
        <v>79</v>
      </c>
      <c r="G71" t="s">
        <v>67</v>
      </c>
      <c r="H71" t="s">
        <v>68</v>
      </c>
      <c r="I71" t="n">
        <v>33</v>
      </c>
      <c r="J71" t="s">
        <v>80</v>
      </c>
      <c r="K71" t="s">
        <v>71</v>
      </c>
      <c r="L71" t="n">
        <v>-1.5</v>
      </c>
      <c r="M71" t="n">
        <v>-2.75</v>
      </c>
      <c r="N71" t="n">
        <v>43</v>
      </c>
      <c r="O71" t="n">
        <v>-2.80124794474385</v>
      </c>
      <c r="P71" t="n">
        <v>0.853871964321762</v>
      </c>
      <c r="Q71" t="n">
        <v>0.00877392430750515</v>
      </c>
      <c r="R71" t="n">
        <v>521</v>
      </c>
      <c r="S71" t="n">
        <v>42.96</v>
      </c>
      <c r="T71" t="n">
        <v>1</v>
      </c>
      <c r="U71" t="n">
        <v>6.36</v>
      </c>
      <c r="V71" t="n">
        <v>66</v>
      </c>
      <c r="W71" t="n">
        <v>181</v>
      </c>
      <c r="X71" t="n">
        <v>0</v>
      </c>
      <c r="Y71" t="n">
        <v>-0.25</v>
      </c>
      <c r="Z71" t="n">
        <v>47</v>
      </c>
      <c r="AA71" t="n">
        <v>0</v>
      </c>
      <c r="AB71" t="n">
        <v>-0.0128372247051722</v>
      </c>
      <c r="AC71" t="n">
        <v>-0.0128372247051722</v>
      </c>
      <c r="AD71" t="n">
        <v>0</v>
      </c>
      <c r="AE71" t="n">
        <v>5</v>
      </c>
      <c r="AF71" t="s">
        <v>71</v>
      </c>
      <c r="AG71" t="s">
        <v>71</v>
      </c>
      <c r="AH71" t="s">
        <v>72</v>
      </c>
      <c r="AI71" t="s">
        <v>73</v>
      </c>
      <c r="AJ71" t="n">
        <v>18</v>
      </c>
      <c r="AK71" t="n">
        <v>0</v>
      </c>
      <c r="AL71" t="n">
        <v>0</v>
      </c>
      <c r="AM71" t="n">
        <v>59</v>
      </c>
      <c r="AN71" t="n">
        <v>0</v>
      </c>
      <c r="AO71" t="n">
        <v>98</v>
      </c>
      <c r="AP71" t="n">
        <v>0.25</v>
      </c>
      <c r="AQ71" t="n">
        <v>-0.25</v>
      </c>
      <c r="AR71" t="n">
        <v>47</v>
      </c>
      <c r="AS71" t="n">
        <v>190</v>
      </c>
      <c r="AT71" t="n">
        <v>0.25</v>
      </c>
      <c r="AU71" t="n">
        <v>-0.75</v>
      </c>
      <c r="AV71" t="n">
        <v>69</v>
      </c>
      <c r="AW71" t="n">
        <v>-0.125</v>
      </c>
      <c r="AX71" t="n">
        <v>371</v>
      </c>
      <c r="AY71" t="n">
        <v>0.25</v>
      </c>
      <c r="AZ71" t="n">
        <v>-0.5</v>
      </c>
      <c r="BA71" t="n">
        <v>49</v>
      </c>
      <c r="BB71"/>
      <c r="BC71"/>
      <c r="BD71"/>
      <c r="BE71"/>
      <c r="BF71" t="s">
        <v>79</v>
      </c>
      <c r="BG71" t="n">
        <v>0.293155290980861</v>
      </c>
      <c r="BH71" t="n">
        <v>0.833333333333333</v>
      </c>
      <c r="BI71" t="n">
        <v>22</v>
      </c>
      <c r="BJ71" t="s">
        <v>74</v>
      </c>
    </row>
    <row r="72">
      <c r="A72" t="s">
        <v>254</v>
      </c>
      <c r="B72" t="s">
        <v>255</v>
      </c>
      <c r="C72" t="s">
        <v>256</v>
      </c>
      <c r="D72" t="s">
        <v>65</v>
      </c>
      <c r="E72" t="n">
        <v>1</v>
      </c>
      <c r="F72" t="s">
        <v>79</v>
      </c>
      <c r="G72" t="s">
        <v>67</v>
      </c>
      <c r="H72" t="s">
        <v>100</v>
      </c>
      <c r="I72" t="n">
        <v>45</v>
      </c>
      <c r="J72" t="s">
        <v>80</v>
      </c>
      <c r="K72" t="s">
        <v>71</v>
      </c>
      <c r="L72" t="n">
        <v>-2.5</v>
      </c>
      <c r="M72" t="n">
        <v>-0.5</v>
      </c>
      <c r="N72" t="n">
        <v>40</v>
      </c>
      <c r="O72" t="n">
        <v>-2.75887189193904</v>
      </c>
      <c r="P72" t="n">
        <v>0.886056647693163</v>
      </c>
      <c r="Q72" t="n">
        <v>-0.0334237554869497</v>
      </c>
      <c r="R72" t="n">
        <v>539</v>
      </c>
      <c r="S72" t="n">
        <v>44.45</v>
      </c>
      <c r="T72" t="n">
        <v>1</v>
      </c>
      <c r="U72" t="n">
        <v>6.05</v>
      </c>
      <c r="V72" t="n">
        <v>50</v>
      </c>
      <c r="W72" t="n">
        <v>124</v>
      </c>
      <c r="X72" t="n">
        <v>0.25</v>
      </c>
      <c r="Y72" t="n">
        <v>0</v>
      </c>
      <c r="Z72" t="n">
        <v>109</v>
      </c>
      <c r="AA72" t="n">
        <v>0.25</v>
      </c>
      <c r="AB72" t="n">
        <v>-0.00860017176191757</v>
      </c>
      <c r="AC72" t="n">
        <v>-0.0211892990699381</v>
      </c>
      <c r="AD72" t="n">
        <v>1</v>
      </c>
      <c r="AE72" t="n">
        <v>4</v>
      </c>
      <c r="AF72" t="s">
        <v>71</v>
      </c>
      <c r="AG72" t="s">
        <v>71</v>
      </c>
      <c r="AH72" t="s">
        <v>72</v>
      </c>
      <c r="AI72" t="s">
        <v>88</v>
      </c>
      <c r="AJ72" t="n">
        <v>38</v>
      </c>
      <c r="AK72" t="n">
        <v>0.5</v>
      </c>
      <c r="AL72" t="n">
        <v>-0.25</v>
      </c>
      <c r="AM72" t="n">
        <v>25</v>
      </c>
      <c r="AN72" t="n">
        <v>0.375</v>
      </c>
      <c r="AO72" t="n">
        <v>77</v>
      </c>
      <c r="AP72" t="n">
        <v>0.5</v>
      </c>
      <c r="AQ72" t="n">
        <v>-0.25</v>
      </c>
      <c r="AR72" t="n">
        <v>123</v>
      </c>
      <c r="AS72" t="n">
        <v>172</v>
      </c>
      <c r="AT72" t="n">
        <v>0.25</v>
      </c>
      <c r="AU72" t="n">
        <v>0</v>
      </c>
      <c r="AV72" t="n">
        <v>134</v>
      </c>
      <c r="AW72" t="n">
        <v>0.25</v>
      </c>
      <c r="AX72"/>
      <c r="AY72"/>
      <c r="AZ72"/>
      <c r="BA72"/>
      <c r="BB72"/>
      <c r="BC72"/>
      <c r="BD72"/>
      <c r="BE72"/>
      <c r="BF72" t="s">
        <v>79</v>
      </c>
      <c r="BG72" t="n">
        <v>0.802200307772647</v>
      </c>
      <c r="BH72" t="n">
        <v>1.66666666666667</v>
      </c>
      <c r="BI72" t="n">
        <v>23</v>
      </c>
      <c r="BJ72" t="s">
        <v>74</v>
      </c>
    </row>
    <row r="73">
      <c r="A73" t="s">
        <v>257</v>
      </c>
      <c r="B73" t="s">
        <v>258</v>
      </c>
      <c r="C73" t="s">
        <v>259</v>
      </c>
      <c r="D73" t="s">
        <v>65</v>
      </c>
      <c r="E73" t="n">
        <v>1</v>
      </c>
      <c r="F73" t="s">
        <v>79</v>
      </c>
      <c r="G73" t="s">
        <v>67</v>
      </c>
      <c r="H73" t="s">
        <v>100</v>
      </c>
      <c r="I73" t="n">
        <v>27</v>
      </c>
      <c r="J73" t="s">
        <v>69</v>
      </c>
      <c r="K73" t="s">
        <v>71</v>
      </c>
      <c r="L73" t="n">
        <v>-4.75</v>
      </c>
      <c r="M73" t="n">
        <v>-1</v>
      </c>
      <c r="N73" t="n">
        <v>11</v>
      </c>
      <c r="O73" t="n">
        <v>-5.36557099018144</v>
      </c>
      <c r="P73" t="n">
        <v>1.04575749056068</v>
      </c>
      <c r="Q73" t="n">
        <v>-0.00432137378264258</v>
      </c>
      <c r="R73" t="n">
        <v>509</v>
      </c>
      <c r="S73" t="n">
        <v>43.13</v>
      </c>
      <c r="T73" t="n">
        <v>0</v>
      </c>
      <c r="U73" t="n">
        <v>6.66</v>
      </c>
      <c r="V73" t="n">
        <v>80</v>
      </c>
      <c r="W73" t="n">
        <v>365</v>
      </c>
      <c r="X73" t="n">
        <v>-0.5</v>
      </c>
      <c r="Y73" t="n">
        <v>0</v>
      </c>
      <c r="Z73" t="n">
        <v>167</v>
      </c>
      <c r="AA73" t="n">
        <v>-0.5</v>
      </c>
      <c r="AB73" t="n">
        <v>0.0604807473813815</v>
      </c>
      <c r="AC73" t="n">
        <v>0.00877392430750515</v>
      </c>
      <c r="AD73" t="n">
        <v>0</v>
      </c>
      <c r="AE73" t="n">
        <v>5</v>
      </c>
      <c r="AF73" t="s">
        <v>71</v>
      </c>
      <c r="AG73" t="s">
        <v>71</v>
      </c>
      <c r="AH73" t="s">
        <v>72</v>
      </c>
      <c r="AI73" t="s">
        <v>73</v>
      </c>
      <c r="AJ73" t="n">
        <v>37</v>
      </c>
      <c r="AK73" t="n">
        <v>-0.25</v>
      </c>
      <c r="AL73" t="n">
        <v>-0.25</v>
      </c>
      <c r="AM73" t="n">
        <v>98</v>
      </c>
      <c r="AN73" t="n">
        <v>-0.375</v>
      </c>
      <c r="AO73" t="n">
        <v>88</v>
      </c>
      <c r="AP73" t="n">
        <v>-0.5</v>
      </c>
      <c r="AQ73" t="n">
        <v>0</v>
      </c>
      <c r="AR73" t="n">
        <v>64</v>
      </c>
      <c r="AS73" t="n">
        <v>194</v>
      </c>
      <c r="AT73" t="n">
        <v>-0.5</v>
      </c>
      <c r="AU73" t="n">
        <v>0</v>
      </c>
      <c r="AV73" t="n">
        <v>163</v>
      </c>
      <c r="AW73" t="n">
        <v>-0.5</v>
      </c>
      <c r="AX73" t="n">
        <v>366</v>
      </c>
      <c r="AY73" t="n">
        <v>0</v>
      </c>
      <c r="AZ73" t="n">
        <v>-0.25</v>
      </c>
      <c r="BA73" t="n">
        <v>113</v>
      </c>
      <c r="BB73" t="n">
        <v>737</v>
      </c>
      <c r="BC73" t="n">
        <v>-0.25</v>
      </c>
      <c r="BD73" t="n">
        <v>-0.25</v>
      </c>
      <c r="BE73" t="n">
        <v>87</v>
      </c>
      <c r="BF73" t="s">
        <v>79</v>
      </c>
      <c r="BG73" t="n">
        <v>0.154471291660218</v>
      </c>
      <c r="BH73" t="n">
        <v>0.833333333333333</v>
      </c>
      <c r="BI73" t="n">
        <v>14</v>
      </c>
      <c r="BJ73" t="s">
        <v>74</v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30.71" hidden="0" customWidth="1"/>
    <col min="2" max="2" width="80.71" hidden="0" customWidth="1"/>
  </cols>
  <sheetData>
    <row r="1">
      <c r="A1" t="s">
        <v>260</v>
      </c>
      <c r="B1" t="s">
        <v>261</v>
      </c>
    </row>
    <row r="2">
      <c r="A2" t="s">
        <v>262</v>
      </c>
      <c r="B2" t="s">
        <v>263</v>
      </c>
    </row>
    <row r="3">
      <c r="A3" t="s">
        <v>264</v>
      </c>
      <c r="B3" t="s">
        <v>263</v>
      </c>
    </row>
    <row r="4">
      <c r="A4" t="s">
        <v>265</v>
      </c>
      <c r="B4" t="s">
        <v>266</v>
      </c>
    </row>
    <row r="5">
      <c r="A5" t="s">
        <v>267</v>
      </c>
      <c r="B5" t="s">
        <v>268</v>
      </c>
    </row>
    <row r="6">
      <c r="A6" t="s">
        <v>269</v>
      </c>
      <c r="B6" t="s">
        <v>270</v>
      </c>
    </row>
    <row r="7">
      <c r="A7" t="s">
        <v>271</v>
      </c>
      <c r="B7" t="s">
        <v>272</v>
      </c>
    </row>
    <row r="8">
      <c r="A8" t="s">
        <v>273</v>
      </c>
      <c r="B8" t="s">
        <v>274</v>
      </c>
    </row>
    <row r="9">
      <c r="A9" t="s">
        <v>275</v>
      </c>
      <c r="B9" t="s">
        <v>276</v>
      </c>
    </row>
    <row r="10">
      <c r="A10" t="s">
        <v>277</v>
      </c>
      <c r="B10" t="s">
        <v>278</v>
      </c>
    </row>
    <row r="11">
      <c r="A11" t="s">
        <v>279</v>
      </c>
      <c r="B11" t="s">
        <v>280</v>
      </c>
    </row>
    <row r="12">
      <c r="A12" t="s">
        <v>281</v>
      </c>
      <c r="B12" t="s">
        <v>282</v>
      </c>
    </row>
    <row r="13">
      <c r="A13" t="s">
        <v>283</v>
      </c>
      <c r="B13" t="s">
        <v>284</v>
      </c>
    </row>
    <row r="14">
      <c r="A14" t="s">
        <v>285</v>
      </c>
      <c r="B14" t="s">
        <v>286</v>
      </c>
    </row>
    <row r="15">
      <c r="A15" t="s">
        <v>287</v>
      </c>
      <c r="B15" t="s">
        <v>288</v>
      </c>
    </row>
    <row r="16">
      <c r="A16" t="s">
        <v>289</v>
      </c>
      <c r="B16" t="s">
        <v>290</v>
      </c>
    </row>
    <row r="17">
      <c r="A17" t="s">
        <v>291</v>
      </c>
      <c r="B17" t="s">
        <v>292</v>
      </c>
    </row>
    <row r="18">
      <c r="A18" t="s">
        <v>293</v>
      </c>
      <c r="B18" t="s">
        <v>294</v>
      </c>
    </row>
    <row r="19">
      <c r="A19" t="s">
        <v>295</v>
      </c>
      <c r="B19" t="s">
        <v>79</v>
      </c>
    </row>
    <row r="20">
      <c r="A20" t="s">
        <v>296</v>
      </c>
      <c r="B20" t="s">
        <v>297</v>
      </c>
    </row>
    <row r="21">
      <c r="A21" t="s">
        <v>298</v>
      </c>
      <c r="B21" t="s">
        <v>299</v>
      </c>
    </row>
    <row r="22">
      <c r="A22" t="s">
        <v>300</v>
      </c>
      <c r="B22" t="s">
        <v>301</v>
      </c>
    </row>
    <row r="23">
      <c r="A23" t="s">
        <v>302</v>
      </c>
      <c r="B23" t="s">
        <v>303</v>
      </c>
    </row>
    <row r="24">
      <c r="A24" t="s">
        <v>304</v>
      </c>
      <c r="B24" t="s">
        <v>305</v>
      </c>
    </row>
    <row r="25">
      <c r="A25" t="s">
        <v>306</v>
      </c>
      <c r="B25" t="s">
        <v>307</v>
      </c>
    </row>
    <row r="26">
      <c r="A26" t="s">
        <v>308</v>
      </c>
      <c r="B26" t="s">
        <v>309</v>
      </c>
    </row>
    <row r="27">
      <c r="A27" t="s">
        <v>310</v>
      </c>
      <c r="B27" t="s">
        <v>311</v>
      </c>
    </row>
    <row r="28">
      <c r="A28" t="s">
        <v>312</v>
      </c>
      <c r="B28" t="s">
        <v>313</v>
      </c>
    </row>
    <row r="29">
      <c r="A29" t="s">
        <v>314</v>
      </c>
      <c r="B29" t="s">
        <v>315</v>
      </c>
    </row>
    <row r="30">
      <c r="A30" t="s">
        <v>316</v>
      </c>
      <c r="B30" t="s">
        <v>315</v>
      </c>
    </row>
    <row r="31">
      <c r="A31" t="s">
        <v>317</v>
      </c>
      <c r="B31" t="s">
        <v>318</v>
      </c>
    </row>
    <row r="32">
      <c r="A32" t="s">
        <v>319</v>
      </c>
      <c r="B32" t="s">
        <v>320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34.71" hidden="0" customWidth="1"/>
    <col min="2" max="2" width="44.71" hidden="0" customWidth="1"/>
    <col min="3" max="3" width="90.71" hidden="0" customWidth="1"/>
  </cols>
  <sheetData>
    <row r="1">
      <c r="A1" t="s">
        <v>281</v>
      </c>
      <c r="B1" t="s">
        <v>321</v>
      </c>
      <c r="C1" t="s">
        <v>322</v>
      </c>
    </row>
    <row r="2">
      <c r="A2" s="1" t="str">
        <f>HYPERLINK("#'Manifest'!A1", "Manifest")</f>
      </c>
      <c r="B2" t="s">
        <v>323</v>
      </c>
      <c r="C2" t="s">
        <v>324</v>
      </c>
    </row>
    <row r="3">
      <c r="A3" s="1" t="str">
        <f>HYPERLINK("#'Matched_Data'!A1", "Matched_Data")</f>
      </c>
      <c r="B3" t="s">
        <v>325</v>
      </c>
      <c r="C3" t="s">
        <v>326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dror</dc:creator>
  <cp:lastModifiedBy>dror</cp:lastModifiedBy>
  <dcterms:created xsi:type="dcterms:W3CDTF">2026-10-02T19:38:44Z</dcterms:created>
</coreProperties>
</file>