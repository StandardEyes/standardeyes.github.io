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ables/table6.xml" ContentType="application/vnd.openxmlformats-officedocument.spreadsheetml.table+xml"/>
  <Override PartName="/xl/worksheets/sheet28.xml" ContentType="application/vnd.openxmlformats-officedocument.spreadsheetml.worksheet+xml"/>
  <Override PartName="/xl/tables/table7.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2"/>
  </bookViews>
  <sheets>
    <sheet name="Contents" sheetId="31" state="visible" r:id="rId31"/>
    <sheet name="Manifest" sheetId="30" state="visible" r:id="rId30"/>
    <sheet name="Overview" sheetId="1" state="visible" r:id="rId1"/>
    <sheet name="Baseline &amp; Preop Summary" sheetId="2" state="visible" r:id="rId2"/>
    <sheet name="Outcome Summary" sheetId="3" state="visible" r:id="rId3"/>
    <sheet name="Publication Table" sheetId="4" state="visible" r:id="rId4"/>
    <sheet name="mEYEstro_Reference" sheetId="5" state="visible" r:id="rId5"/>
    <sheet name="mEYEstro_Cohort A" sheetId="6" state="visible" r:id="rId6"/>
    <sheet name="AstigMATIC_Reference" sheetId="7" state="visible" r:id="rId7"/>
    <sheet name="AstigMATIC_Cohort A" sheetId="8" state="visible" r:id="rId8"/>
    <sheet name="Astigmatism (JCRS 2025)" sheetId="9" state="visible" r:id="rId9"/>
    <sheet name="Astigmatism vectors" sheetId="10" state="visible" r:id="rId10"/>
    <sheet name="GEE_Main_Unmatched_Base" sheetId="11" state="visible" r:id="rId11"/>
    <sheet name="GEE_Main_Unmatched_Preop" sheetId="12" state="visible" r:id="rId12"/>
    <sheet name="GEE_Main_Unmatched_Out" sheetId="13" state="visible" r:id="rId13"/>
    <sheet name="GEE_Adj_Unmatched_Base" sheetId="14" state="visible" r:id="rId14"/>
    <sheet name="GEE_Adj_Unmatched_Preop" sheetId="15" state="visible" r:id="rId15"/>
    <sheet name="GEE_Adj_Unmatched_Out" sheetId="16" state="visible" r:id="rId16"/>
    <sheet name="Regression (adjusted)" sheetId="17" state="visible" r:id="rId17"/>
    <sheet name="PSM_Cohort A_vs_Reference" sheetId="18" state="visible" r:id="rId18"/>
    <sheet name="GEE_M_Cohort A_vs_Reference" sheetId="19" state="visible" r:id="rId19"/>
    <sheet name="GEE_Adj_M_Cohort A_vs_Reference" sheetId="20" state="visible" r:id="rId20"/>
    <sheet name="Reg_M_Cohort A_vs_Reference" sheetId="21" state="visible" r:id="rId21"/>
    <sheet name="BasePreop_M_Cohort A_vs_Referen" sheetId="22" state="visible" r:id="rId22"/>
    <sheet name="Out_M_Cohort A_vs_Reference" sheetId="23" state="visible" r:id="rId23"/>
    <sheet name="Pub_M_Cohort A_vs_Reference" sheetId="24" state="visible" r:id="rId24"/>
    <sheet name="mEYEstro_M1_Reference" sheetId="25" state="visible" r:id="rId25"/>
    <sheet name="mEYEstro_M1_Cohort A" sheetId="26" state="visible" r:id="rId26"/>
    <sheet name="AstigMATIC_M1_Reference" sheetId="27" state="visible" r:id="rId27"/>
    <sheet name="AstigMATIC_M1_Cohort A" sheetId="28" state="visible" r:id="rId28"/>
    <sheet name="Astig_M_Cohort A_vs_Reference" sheetId="29" state="visible" r:id="rId29"/>
  </sheets>
</workbook>
</file>

<file path=xl/sharedStrings.xml><?xml version="1.0" encoding="utf-8"?>
<sst xmlns="http://schemas.openxmlformats.org/spreadsheetml/2006/main" count="1388" uniqueCount="1388">
  <si>
    <t xml:space="preserve">Notes</t>
  </si>
  <si>
    <t xml:space="preserve">Note</t>
  </si>
  <si>
    <t xml:space="preserve">Visual acuity analyzed in logMAR (lower = better): Preop_UDVA, Preop_CDVA, Postop_UDVA, Postop_CDVA - converted from the recorded notation.</t>
  </si>
  <si>
    <t xml:space="preserve">Initial Summary</t>
  </si>
  <si>
    <t xml:space="preserve">Description</t>
  </si>
  <si>
    <t xml:space="preserve">Value</t>
  </si>
  <si>
    <t xml:space="preserve">Number of Patients</t>
  </si>
  <si>
    <t xml:space="preserve">113</t>
  </si>
  <si>
    <t xml:space="preserve">Number of Eyes</t>
  </si>
  <si>
    <t xml:space="preserve">189</t>
  </si>
  <si>
    <t xml:space="preserve">Mean Age (per patient)</t>
  </si>
  <si>
    <t xml:space="preserve">36.05</t>
  </si>
  <si>
    <t xml:space="preserve">SD Age (per patient)</t>
  </si>
  <si>
    <t xml:space="preserve">7.86</t>
  </si>
  <si>
    <t xml:space="preserve">Age Range (per patient)</t>
  </si>
  <si>
    <t xml:space="preserve">19–52</t>
  </si>
  <si>
    <t xml:space="preserve">Mean Follow-up Time (per eye)</t>
  </si>
  <si>
    <t xml:space="preserve">181.05</t>
  </si>
  <si>
    <t xml:space="preserve">SD Follow-up Time (per eye)</t>
  </si>
  <si>
    <t xml:space="preserve">14.72</t>
  </si>
  <si>
    <t xml:space="preserve">Median Follow-up Time [IQR] (per eye)</t>
  </si>
  <si>
    <t xml:space="preserve">182.00 [170.00–193.50]</t>
  </si>
  <si>
    <t xml:space="preserve">Sex (per patient)</t>
  </si>
  <si>
    <t xml:space="preserve">Sex</t>
  </si>
  <si>
    <t xml:space="preserve">Count</t>
  </si>
  <si>
    <t xml:space="preserve">Percentage</t>
  </si>
  <si>
    <t xml:space="preserve">F</t>
  </si>
  <si>
    <t xml:space="preserve">M</t>
  </si>
  <si>
    <t xml:space="preserve">Groups</t>
  </si>
  <si>
    <t xml:space="preserve">Group</t>
  </si>
  <si>
    <t xml:space="preserve">Reference</t>
  </si>
  <si>
    <t xml:space="preserve">Cohort A</t>
  </si>
  <si>
    <t xml:space="preserve">QC - group assignment by source value</t>
  </si>
  <si>
    <t xml:space="preserve">Value in Cohort</t>
  </si>
  <si>
    <t xml:space="preserve">N</t>
  </si>
  <si>
    <t xml:space="preserve">Baseline</t>
  </si>
  <si>
    <t xml:space="preserve">Parameter</t>
  </si>
  <si>
    <t xml:space="preserve">Reference (n = 90 eyes; 54 patients)</t>
  </si>
  <si>
    <t xml:space="preserve">Cohort A (n = 99 eyes; 59 patients)</t>
  </si>
  <si>
    <t xml:space="preserve">P</t>
  </si>
  <si>
    <t xml:space="preserve">Test</t>
  </si>
  <si>
    <t xml:space="preserve">Practical Interpretation</t>
  </si>
  <si>
    <t xml:space="preserve">GEE effect (95% CI)</t>
  </si>
  <si>
    <t xml:space="preserve">GEE P</t>
  </si>
  <si>
    <t xml:space="preserve">Age_Years [per patient]</t>
  </si>
  <si>
    <t xml:space="preserve">34.02 ± 7.76</t>
  </si>
  <si>
    <t xml:space="preserve">37.92 ± 7.53</t>
  </si>
  <si>
    <t xml:space="preserve">.008</t>
  </si>
  <si>
    <t xml:space="preserve">Welch t-test</t>
  </si>
  <si>
    <t xml:space="preserve">Statistically significant (between groups).</t>
  </si>
  <si>
    <t xml:space="preserve">β = 3.90 (95% CI, 1.04 to 6.75)</t>
  </si>
  <si>
    <t xml:space="preserve">.008 [one row per patient, ordinary model]</t>
  </si>
  <si>
    <t xml:space="preserve">Preop_SEQ_D</t>
  </si>
  <si>
    <t xml:space="preserve">-3.73 ± 1.86</t>
  </si>
  <si>
    <t xml:space="preserve">-5.10 ± 2.08</t>
  </si>
  <si>
    <t xml:space="preserve">&lt;.001</t>
  </si>
  <si>
    <t xml:space="preserve">GEE, exchangeable working correlation, clustered by patient (robust SE (Mancl-DeRouen), t reference)</t>
  </si>
  <si>
    <t xml:space="preserve">β = -1.40 (95% CI, -2.14 to -0.66)</t>
  </si>
  <si>
    <t xml:space="preserve">Preop_Sphere_D</t>
  </si>
  <si>
    <t xml:space="preserve">-3.28 ± 1.89</t>
  </si>
  <si>
    <t xml:space="preserve">-4.71 ± 2.10</t>
  </si>
  <si>
    <t xml:space="preserve">β = -1.45 (95% CI, -2.20 to -0.71)</t>
  </si>
  <si>
    <t xml:space="preserve">Preop_Cylinder_D</t>
  </si>
  <si>
    <t xml:space="preserve">-0.89 ± 0.51</t>
  </si>
  <si>
    <t xml:space="preserve">-0.77 ± 0.42</t>
  </si>
  <si>
    <t xml:space="preserve">.18</t>
  </si>
  <si>
    <t xml:space="preserve">Not statistically significant (between groups).</t>
  </si>
  <si>
    <t xml:space="preserve">β = 0.11 (95% CI, -0.05 to 0.27)</t>
  </si>
  <si>
    <t xml:space="preserve">Preop_UDVA</t>
  </si>
  <si>
    <t xml:space="preserve">20/200 (1.00 ± 0.49 logMAR); range 20/16 to 20/1000</t>
  </si>
  <si>
    <t xml:space="preserve">20/377 (1.28 ± 0.47 logMAR); range 20/20 to 20/1000</t>
  </si>
  <si>
    <t xml:space="preserve">.003</t>
  </si>
  <si>
    <t xml:space="preserve">β = 0.27 (95% CI, 0.09 to 0.45)</t>
  </si>
  <si>
    <t xml:space="preserve">Preop_CDVA</t>
  </si>
  <si>
    <t xml:space="preserve">20/19 (-0.02 ± 0.06 logMAR); range 20/12.5 to 20/25</t>
  </si>
  <si>
    <t xml:space="preserve">20/19 (-0.03 ± 0.05 logMAR); range 20/12.5 to 20/25</t>
  </si>
  <si>
    <t xml:space="preserve">.69</t>
  </si>
  <si>
    <t xml:space="preserve">β = 0.00 (95% CI, -0.02 to 0.02)</t>
  </si>
  <si>
    <t xml:space="preserve">Preop_Pachymetry_um</t>
  </si>
  <si>
    <t xml:space="preserve">532.97 ± 22.11</t>
  </si>
  <si>
    <t xml:space="preserve">523.81 ± 20.84 (n = 95)</t>
  </si>
  <si>
    <t xml:space="preserve">.03</t>
  </si>
  <si>
    <t xml:space="preserve">β = -9.23 (95% CI, -17.32 to -1.14)</t>
  </si>
  <si>
    <t xml:space="preserve">Preop_Mean_K_D</t>
  </si>
  <si>
    <t xml:space="preserve">43.60 ± 1.44 (n = 86)</t>
  </si>
  <si>
    <t xml:space="preserve">43.35 ± 1.66 (n = 97)</t>
  </si>
  <si>
    <t xml:space="preserve">.41</t>
  </si>
  <si>
    <t xml:space="preserve">GEE, independence working correlation (the outcome is almost constant within patients), clustered by patient (robust SE (Mancl-DeRouen), t reference)</t>
  </si>
  <si>
    <t xml:space="preserve">β = -0.26 (95% CI, -0.87 to 0.36)</t>
  </si>
  <si>
    <t xml:space="preserve">.41 [independence working correlation]</t>
  </si>
  <si>
    <t xml:space="preserve">Preop_DryEye_Grade</t>
  </si>
  <si>
    <t xml:space="preserve">0 [0–1]</t>
  </si>
  <si>
    <t xml:space="preserve">.09</t>
  </si>
  <si>
    <t xml:space="preserve">GEE on ranks, exchangeable working correlation, clustered by patient (robust SE (Mancl-DeRouen), t reference)</t>
  </si>
  <si>
    <t xml:space="preserve"/>
  </si>
  <si>
    <t xml:space="preserve">Sex (F) [per patient]</t>
  </si>
  <si>
    <t xml:space="preserve">32/54 (59.3%)</t>
  </si>
  <si>
    <t xml:space="preserve">35/59 (59.3%)</t>
  </si>
  <si>
    <t xml:space="preserve">&gt;.99</t>
  </si>
  <si>
    <t xml:space="preserve">Chi-squared test</t>
  </si>
  <si>
    <t xml:space="preserve">OR = 1.00 (95% CI, 0.47 to 2.13)</t>
  </si>
  <si>
    <t xml:space="preserve">&gt;.99 [one row per patient, ordinary model]</t>
  </si>
  <si>
    <t xml:space="preserve">Smoker (Yes) [per patient]</t>
  </si>
  <si>
    <t xml:space="preserve">8/52 (15.4%)</t>
  </si>
  <si>
    <t xml:space="preserve">6/56 (10.7%)</t>
  </si>
  <si>
    <t xml:space="preserve">.47</t>
  </si>
  <si>
    <t xml:space="preserve">OR = 0.66 (95% CI, 0.21 to 2.05)</t>
  </si>
  <si>
    <t xml:space="preserve">.47 [one row per patient, ordinary model]</t>
  </si>
  <si>
    <t xml:space="preserve">Surgeon: Surgeon A [per patient]</t>
  </si>
  <si>
    <t xml:space="preserve">21/54 (38.9%)</t>
  </si>
  <si>
    <t xml:space="preserve">26/59 (44.1%)</t>
  </si>
  <si>
    <t xml:space="preserve">.76</t>
  </si>
  <si>
    <t xml:space="preserve">Surgeon: Surgeon B [per patient]</t>
  </si>
  <si>
    <t xml:space="preserve">16/54 (29.6%)</t>
  </si>
  <si>
    <t xml:space="preserve">18/59 (30.5%)</t>
  </si>
  <si>
    <t xml:space="preserve">Surgeon: Surgeon C [per patient]</t>
  </si>
  <si>
    <t xml:space="preserve">17/54 (31.5%)</t>
  </si>
  <si>
    <t xml:space="preserve">15/59 (25.4%)</t>
  </si>
  <si>
    <t xml:space="preserve">Preoperative / intraoperative</t>
  </si>
  <si>
    <t xml:space="preserve">Optical_Zone_mm [per patient]</t>
  </si>
  <si>
    <t xml:space="preserve">6.51 ± 0.16</t>
  </si>
  <si>
    <t xml:space="preserve">6.44 ± 0.14</t>
  </si>
  <si>
    <t xml:space="preserve">.01</t>
  </si>
  <si>
    <t xml:space="preserve">β = -0.07 (95% CI, -0.13 to -0.02)</t>
  </si>
  <si>
    <t xml:space="preserve">.01 [one row per patient, ordinary model]</t>
  </si>
  <si>
    <t xml:space="preserve">Ablation_or_Lenticule_Depth_um</t>
  </si>
  <si>
    <t xml:space="preserve">58.48 ± 25.02</t>
  </si>
  <si>
    <t xml:space="preserve">75.30 ± 27.97</t>
  </si>
  <si>
    <t xml:space="preserve">β = 17.08 (95% CI, 7.22 to 26.95)</t>
  </si>
  <si>
    <t xml:space="preserve">Procedure: PRK</t>
  </si>
  <si>
    <t xml:space="preserve">90/90 (100.0%)</t>
  </si>
  <si>
    <t xml:space="preserve">99/99 (100.0%)</t>
  </si>
  <si>
    <t xml:space="preserve">Not applicable (variable constant in cohort)</t>
  </si>
  <si>
    <t xml:space="preserve">Not estimable - variable is constant in this cohort.</t>
  </si>
  <si>
    <t xml:space="preserve">Adjusted effect (95% CI)</t>
  </si>
  <si>
    <t xml:space="preserve">P (adjusted model)</t>
  </si>
  <si>
    <t xml:space="preserve">Adjusted model n (eyes)</t>
  </si>
  <si>
    <t xml:space="preserve">FollowUp_Days</t>
  </si>
  <si>
    <t xml:space="preserve">181.05 ± 14.03 (n = 83)</t>
  </si>
  <si>
    <t xml:space="preserve">181.05 ± 15.43 (n = 88)</t>
  </si>
  <si>
    <t xml:space="preserve">.94</t>
  </si>
  <si>
    <t xml:space="preserve">β = -0.16 (95% CI, -4.22 to 3.90)</t>
  </si>
  <si>
    <t xml:space="preserve">β = -2.89 (95% CI, -7.89 to 2.11)</t>
  </si>
  <si>
    <t xml:space="preserve">.25</t>
  </si>
  <si>
    <t xml:space="preserve">167</t>
  </si>
  <si>
    <t xml:space="preserve">Postop_SEQ_D</t>
  </si>
  <si>
    <t xml:space="preserve">0.05 ± 0.38 (n = 83)</t>
  </si>
  <si>
    <t xml:space="preserve">-0.31 ± 0.40 (n = 88)</t>
  </si>
  <si>
    <t xml:space="preserve">β = -0.36 (95% CI, -0.50 to -0.22)</t>
  </si>
  <si>
    <t xml:space="preserve">β = -0.18 (95% CI, -0.34 to -0.02)</t>
  </si>
  <si>
    <t xml:space="preserve">Postop_Cylinder_D</t>
  </si>
  <si>
    <t xml:space="preserve">-0.23 ± 0.19 (n = 83)</t>
  </si>
  <si>
    <t xml:space="preserve">-0.23 ± 0.15 (n = 88)</t>
  </si>
  <si>
    <t xml:space="preserve">.77</t>
  </si>
  <si>
    <t xml:space="preserve">β = 0.01 (95% CI, -0.05 to 0.07)</t>
  </si>
  <si>
    <t xml:space="preserve">β = 0.03 (95% CI, -0.04 to 0.10)</t>
  </si>
  <si>
    <t xml:space="preserve">Postop_UDVA</t>
  </si>
  <si>
    <t xml:space="preserve">20/19 (-0.03 ± 0.11 logMAR); range 20/12.5 to 20/40 (n = 81)</t>
  </si>
  <si>
    <t xml:space="preserve">20/20 (-0.01 ± 0.11 logMAR); range 20/12.5 to 20/40 (n = 87)</t>
  </si>
  <si>
    <t xml:space="preserve">.15</t>
  </si>
  <si>
    <t xml:space="preserve">β = 0.03 (95% CI, -0.01 to 0.07)</t>
  </si>
  <si>
    <t xml:space="preserve">β = 0.01 (95% CI, -0.03 to 0.05)</t>
  </si>
  <si>
    <t xml:space="preserve">.64</t>
  </si>
  <si>
    <t xml:space="preserve">164</t>
  </si>
  <si>
    <t xml:space="preserve">Postop_CDVA</t>
  </si>
  <si>
    <t xml:space="preserve">20/18 (-0.06 ± 0.11 logMAR); range 20/12.5 to 20/40 (n = 83)</t>
  </si>
  <si>
    <t xml:space="preserve">20/17 (-0.07 ± 0.08 logMAR); range 20/12.5 to 20/25 (n = 88)</t>
  </si>
  <si>
    <t xml:space="preserve">.96</t>
  </si>
  <si>
    <t xml:space="preserve">β = 0.00 (95% CI, -0.04 to 0.03)</t>
  </si>
  <si>
    <t xml:space="preserve">β = 0.00 (95% CI, -0.04 to 0.05)</t>
  </si>
  <si>
    <t xml:space="preserve">.82</t>
  </si>
  <si>
    <t xml:space="preserve">Postop_Haze_Grade</t>
  </si>
  <si>
    <t xml:space="preserve">0 [0–1] (n = 83)</t>
  </si>
  <si>
    <t xml:space="preserve">0 [0–1] (n = 88)</t>
  </si>
  <si>
    <t xml:space="preserve">.26</t>
  </si>
  <si>
    <t xml:space="preserve">Patient_Satisfaction_1to5</t>
  </si>
  <si>
    <t xml:space="preserve">5 [4–5] (n = 76)</t>
  </si>
  <si>
    <t xml:space="preserve">4 [3–5] (n = 83)</t>
  </si>
  <si>
    <t xml:space="preserve">DryEye_Symptoms (Yes)</t>
  </si>
  <si>
    <t xml:space="preserve">10/83 (12.0%)</t>
  </si>
  <si>
    <t xml:space="preserve">43/88 (48.9%)</t>
  </si>
  <si>
    <t xml:space="preserve">Binomial GEE, exchangeable working correlation, clustered by patient (robust SE (Mancl-DeRouen), t reference)</t>
  </si>
  <si>
    <t xml:space="preserve">OR = 6.15 (95% CI, 2.43 to 15.57)</t>
  </si>
  <si>
    <t xml:space="preserve">OR = 3.84 (95% CI, 1.23 to 11.99)</t>
  </si>
  <si>
    <t xml:space="preserve">.02</t>
  </si>
  <si>
    <t xml:space="preserve">167 (52 events)</t>
  </si>
  <si>
    <t xml:space="preserve">Retreatment_Required (Yes)</t>
  </si>
  <si>
    <t xml:space="preserve">8/83 (9.6%)</t>
  </si>
  <si>
    <t xml:space="preserve">10/88 (11.4%)</t>
  </si>
  <si>
    <t xml:space="preserve">.61</t>
  </si>
  <si>
    <t xml:space="preserve">OR = 1.33 (95% CI, 0.43 to 4.09)</t>
  </si>
  <si>
    <t xml:space="preserve">OR = 0.87 (95% CI, 0.21 to 3.55)</t>
  </si>
  <si>
    <t xml:space="preserve">.84</t>
  </si>
  <si>
    <t xml:space="preserve">167 (18 events)</t>
  </si>
  <si>
    <t xml:space="preserve">Complication_Type: Corneal haze</t>
  </si>
  <si>
    <t xml:space="preserve">8/90 (8.9%)</t>
  </si>
  <si>
    <t xml:space="preserve">9/99 (9.1%)</t>
  </si>
  <si>
    <t xml:space="preserve">.98</t>
  </si>
  <si>
    <t xml:space="preserve">GEE on level indicators, independence working correlation, clustered by patient (robust SE (Mancl-DeRouen), F reference)</t>
  </si>
  <si>
    <t xml:space="preserve">Complication_Type: Epithelial defect</t>
  </si>
  <si>
    <t xml:space="preserve">4/90 (4.4%)</t>
  </si>
  <si>
    <t xml:space="preserve">5/99 (5.1%)</t>
  </si>
  <si>
    <t xml:space="preserve">Complication_Type: No complication</t>
  </si>
  <si>
    <t xml:space="preserve">78/90 (86.7%)</t>
  </si>
  <si>
    <t xml:space="preserve">85/99 (85.9%)</t>
  </si>
  <si>
    <t xml:space="preserve">Baseline characteristics</t>
  </si>
  <si>
    <t xml:space="preserve">NE</t>
  </si>
  <si>
    <t xml:space="preserve">Outcomes</t>
  </si>
  <si>
    <t xml:space="preserve">NE = not estimable (no P value):</t>
  </si>
  <si>
    <t xml:space="preserve">- variable is constant in this cohort: Procedure.</t>
  </si>
  <si>
    <t xml:space="preserve">Values:</t>
  </si>
  <si>
    <t xml:space="preserve">- Values are mean ± SD, median [interquartile range], n/N (%) - eyes (or patients) with the level among those with data.</t>
  </si>
  <si>
    <t xml:space="preserve">- Visual acuity: the Snellen geometric mean (logMAR mean ± SD), then the range of the eyes in Snellen.</t>
  </si>
  <si>
    <t xml:space="preserve">- (n = ...) in a cell: the eyes (patients, for a row marked [per patient]) with data, where fewer than the column's n.</t>
  </si>
  <si>
    <t xml:space="preserve">- β = difference from Reference in the variable's units (logMAR for acuity), with its 95% CI.</t>
  </si>
  <si>
    <t xml:space="preserve">- OR = odds ratio of the level named in the row vs Reference, with its 95% CI.</t>
  </si>
  <si>
    <t xml:space="preserve">- Adjusted model n (eyes): the complete-case eyes of the adjusted model.</t>
  </si>
  <si>
    <t xml:space="preserve">Tests behind the P values:</t>
  </si>
  <si>
    <t xml:space="preserve">- Welch t-test: Age_Years; Optical_Zone_mm.</t>
  </si>
  <si>
    <t xml:space="preserve">- GEE, exchangeable working correlation, clustered by patient (robust SE (Mancl-DeRouen), t reference): Preop_SEQ_D; Preop_Sphere_D; Preop_Cylinder_D; Preop_UDVA; Preop_CDVA; Preop_Pachymetry_um; Ablation_or_Lenticule_Depth_um; FollowUp_Days; Postop_SEQ_D; Postop_Cylinder_D; Postop_UDVA; Postop_CDVA.</t>
  </si>
  <si>
    <t xml:space="preserve">- GEE, independence working correlation (the outcome is almost constant within patients), clustered by patient (robust SE (Mancl-DeRouen), t reference): Preop_Mean_K_D.</t>
  </si>
  <si>
    <t xml:space="preserve">- GEE on ranks, exchangeable working correlation, clustered by patient (robust SE (Mancl-DeRouen), t reference): Preop_DryEye_Grade; Postop_Haze_Grade; Patient_Satisfaction_1to5.</t>
  </si>
  <si>
    <t xml:space="preserve">- Chi-squared test: Sex; Smoker; Surgeon.</t>
  </si>
  <si>
    <t xml:space="preserve">- Binomial GEE, exchangeable working correlation, clustered by patient (robust SE (Mancl-DeRouen), t reference): DryEye_Symptoms; Retreatment_Required.</t>
  </si>
  <si>
    <t xml:space="preserve">- GEE on level indicators, independence working correlation, clustered by patient (robust SE (Mancl-DeRouen), F reference): Complication_Type.</t>
  </si>
  <si>
    <t xml:space="preserve">GroupLabel</t>
  </si>
  <si>
    <t xml:space="preserve">Pre_BCVA</t>
  </si>
  <si>
    <t xml:space="preserve">Post_UCVA</t>
  </si>
  <si>
    <t xml:space="preserve">Post_BCVA</t>
  </si>
  <si>
    <t xml:space="preserve">Pre_Sph</t>
  </si>
  <si>
    <t xml:space="preserve">Pre_Cyl</t>
  </si>
  <si>
    <t xml:space="preserve">Pre_Axis</t>
  </si>
  <si>
    <t xml:space="preserve">Preop_MR_Vertex_Distance</t>
  </si>
  <si>
    <t xml:space="preserve">Intended_Postop_MR_Sphere</t>
  </si>
  <si>
    <t xml:space="preserve">Intended_Postop_MR_Cylinder</t>
  </si>
  <si>
    <t xml:space="preserve">Intended_Postop_MR_Axis</t>
  </si>
  <si>
    <t xml:space="preserve">Intended_Postop_MR_Vertex_Distance</t>
  </si>
  <si>
    <t xml:space="preserve">Post_Sph</t>
  </si>
  <si>
    <t xml:space="preserve">Post_Cyl</t>
  </si>
  <si>
    <t xml:space="preserve">Post_Axis</t>
  </si>
  <si>
    <t xml:space="preserve">Postop_MR_Vertex_Distance</t>
  </si>
  <si>
    <t xml:space="preserve">Post_SEQ</t>
  </si>
  <si>
    <t xml:space="preserve">25</t>
  </si>
  <si>
    <t xml:space="preserve">20</t>
  </si>
  <si>
    <t xml:space="preserve">15-1</t>
  </si>
  <si>
    <t xml:space="preserve">12.5</t>
  </si>
  <si>
    <t xml:space="preserve">40</t>
  </si>
  <si>
    <t xml:space="preserve">30-1</t>
  </si>
  <si>
    <t xml:space="preserve">Eye</t>
  </si>
  <si>
    <t xml:space="preserve">preoperative cylinder</t>
  </si>
  <si>
    <t xml:space="preserve">preoperative axis</t>
  </si>
  <si>
    <t xml:space="preserve">postoperative cylinder</t>
  </si>
  <si>
    <t xml:space="preserve">postoperative axis</t>
  </si>
  <si>
    <t xml:space="preserve">OD</t>
  </si>
  <si>
    <t xml:space="preserve">OS</t>
  </si>
  <si>
    <t xml:space="preserve">Astigmatism per the JCRS 2025 standard (Koch et al., Part II), all analyzed eyes: plus-cylinder format, with-the-rule astigmatism on the left of the double-angle plots. Cohorts: Reference, Cohort A (reference: Reference). Tests clustered by patient.</t>
  </si>
  <si>
    <t xml:space="preserve">Summary per vector and cohort</t>
  </si>
  <si>
    <t xml:space="preserve">Vector</t>
  </si>
  <si>
    <t xml:space="preserve">Cohort</t>
  </si>
  <si>
    <t xml:space="preserve">Eyes</t>
  </si>
  <si>
    <t xml:space="preserve">Patients</t>
  </si>
  <si>
    <t xml:space="preserve">Centroid x (D)</t>
  </si>
  <si>
    <t xml:space="preserve">Centroid y (D)</t>
  </si>
  <si>
    <t xml:space="preserve">Centroid magnitude (D)</t>
  </si>
  <si>
    <t xml:space="preserve">Centroid plus axis (°)</t>
  </si>
  <si>
    <t xml:space="preserve">Centroid</t>
  </si>
  <si>
    <t xml:space="preserve">Total SD (D, N denominator)</t>
  </si>
  <si>
    <t xml:space="preserve">Magnitude mean (D)</t>
  </si>
  <si>
    <t xml:space="preserve">Magnitude SD (D)</t>
  </si>
  <si>
    <t xml:space="preserve">Magnitude median (D)</t>
  </si>
  <si>
    <t xml:space="preserve">Magnitude min (D)</t>
  </si>
  <si>
    <t xml:space="preserve">Magnitude max (D)</t>
  </si>
  <si>
    <t xml:space="preserve">Magnitude RMS (D)</t>
  </si>
  <si>
    <t xml:space="preserve">95% data region</t>
  </si>
  <si>
    <t xml:space="preserve">Eyes in data region</t>
  </si>
  <si>
    <t xml:space="preserve">Centroid 95% confidence region</t>
  </si>
  <si>
    <t xml:space="preserve">PRE (preoperative)</t>
  </si>
  <si>
    <t xml:space="preserve">0.34 D @ 90°</t>
  </si>
  <si>
    <t xml:space="preserve">depth-based convex polygon (as in the WHWK functions): 90 of 90 eyes (the depth rule removed no eye: the region is the convex hull of all eyes)</t>
  </si>
  <si>
    <t xml:space="preserve">bootstrap convex polygon of the centroid (as in the WHWK functions): 964 of 999 bootstrap centroids (bootstrap over patients, 54 patients)</t>
  </si>
  <si>
    <t xml:space="preserve">0.31 D @ 88°</t>
  </si>
  <si>
    <t xml:space="preserve">depth-based convex polygon (as in the WHWK functions): 99 of 99 eyes (the depth rule removed no eye: the region is the convex hull of all eyes)</t>
  </si>
  <si>
    <t xml:space="preserve">bootstrap convex polygon of the centroid (as in the WHWK functions): 964 of 999 bootstrap centroids (bootstrap over patients, 59 patients)</t>
  </si>
  <si>
    <t xml:space="preserve">SIA (surgically induced)</t>
  </si>
  <si>
    <t xml:space="preserve">0.35 D @ 2°</t>
  </si>
  <si>
    <t xml:space="preserve">depth-based convex polygon (as in the WHWK functions): 83 of 83 eyes (the depth rule removed no eye: the region is the convex hull of all eyes)</t>
  </si>
  <si>
    <t xml:space="preserve">bootstrap convex polygon of the centroid (as in the WHWK functions): 964 of 999 bootstrap centroids (bootstrap over patients, 50 patients)</t>
  </si>
  <si>
    <t xml:space="preserve">0.28 D @ 178°</t>
  </si>
  <si>
    <t xml:space="preserve">depth-based convex polygon (as in the WHWK functions): 88 of 88 eyes (the depth rule removed no eye: the region is the convex hull of all eyes)</t>
  </si>
  <si>
    <t xml:space="preserve">bootstrap convex polygon of the centroid (as in the WHWK functions): 964 of 999 bootstrap centroids (bootstrap over patients, 53 patients)</t>
  </si>
  <si>
    <t xml:space="preserve">PE (prediction error = POST; target plano)</t>
  </si>
  <si>
    <t xml:space="preserve">0.03 D @ 75°</t>
  </si>
  <si>
    <t xml:space="preserve">0.02 D @ 22°</t>
  </si>
  <si>
    <t xml:space="preserve">Cumulative percentage of eyes by magnitude</t>
  </si>
  <si>
    <t xml:space="preserve">≤ 0.25 D (%)</t>
  </si>
  <si>
    <t xml:space="preserve">≤ 0.50 D (%)</t>
  </si>
  <si>
    <t xml:space="preserve">≤ 0.75 D (%)</t>
  </si>
  <si>
    <t xml:space="preserve">≤ 1.00 D (%)</t>
  </si>
  <si>
    <t xml:space="preserve">≤ 1.25 D (%)</t>
  </si>
  <si>
    <t xml:space="preserve">≤ 1.50 D (%)</t>
  </si>
  <si>
    <t xml:space="preserve">≤ 1.75 D (%)</t>
  </si>
  <si>
    <t xml:space="preserve">≤ 2.00 D (%)</t>
  </si>
  <si>
    <t xml:space="preserve">&gt; 1.00 D (%)</t>
  </si>
  <si>
    <t xml:space="preserve">Centroid against zero (each cohort)</t>
  </si>
  <si>
    <t xml:space="preserve">P (Holm, cohorts of this vector)</t>
  </si>
  <si>
    <t xml:space="preserve">bootstrap projection-distance test (as in the WHWK functions) (B = 999)</t>
  </si>
  <si>
    <t xml:space="preserve">.006</t>
  </si>
  <si>
    <t xml:space="preserve">.001</t>
  </si>
  <si>
    <t xml:space="preserve">.002</t>
  </si>
  <si>
    <t xml:space="preserve">.009</t>
  </si>
  <si>
    <t xml:space="preserve">.83</t>
  </si>
  <si>
    <t xml:space="preserve">.57</t>
  </si>
  <si>
    <t xml:space="preserve">Comparisons between cohorts</t>
  </si>
  <si>
    <t xml:space="preserve">Comparison</t>
  </si>
  <si>
    <t xml:space="preserve">Measure</t>
  </si>
  <si>
    <t xml:space="preserve">Values</t>
  </si>
  <si>
    <t xml:space="preserve">P (Holm, vs reference)</t>
  </si>
  <si>
    <t xml:space="preserve">P (Holm, family)</t>
  </si>
  <si>
    <t xml:space="preserve">Cohort A vs Reference</t>
  </si>
  <si>
    <t xml:space="preserve">Reference 0.34 D @ 90°; Cohort A 0.31 D @ 88°</t>
  </si>
  <si>
    <t xml:space="preserve">robust 20%-trimmed T², bootstrap (B = 999)</t>
  </si>
  <si>
    <t xml:space="preserve">.79</t>
  </si>
  <si>
    <t xml:space="preserve">Precision</t>
  </si>
  <si>
    <t xml:space="preserve">20%-trimmed mean: Reference 0.75 D; Cohort A 0.65 D</t>
  </si>
  <si>
    <t xml:space="preserve">robust 20%-trimmed means, bootstrap (B = 999)</t>
  </si>
  <si>
    <t xml:space="preserve">.27</t>
  </si>
  <si>
    <t xml:space="preserve">Mean magnitude</t>
  </si>
  <si>
    <t xml:space="preserve">20%-trimmed mean: Reference 0.79 D; Cohort A 0.70 D</t>
  </si>
  <si>
    <t xml:space="preserve">≤ 0.25 D</t>
  </si>
  <si>
    <t xml:space="preserve">Reference 10.0%; Cohort A 14.1%</t>
  </si>
  <si>
    <t xml:space="preserve">GEE (binomial, clustered by patient)</t>
  </si>
  <si>
    <t xml:space="preserve">.40</t>
  </si>
  <si>
    <t xml:space="preserve">≤ 0.50 D</t>
  </si>
  <si>
    <t xml:space="preserve">Reference 36.7%; Cohort A 44.4%</t>
  </si>
  <si>
    <t xml:space="preserve">.35</t>
  </si>
  <si>
    <t xml:space="preserve">≤ 0.75 D</t>
  </si>
  <si>
    <t xml:space="preserve">Reference 60.0%; Cohort A 67.7%</t>
  </si>
  <si>
    <t xml:space="preserve">≤ 1.00 D</t>
  </si>
  <si>
    <t xml:space="preserve">Reference 74.4%; Cohort A 80.8%</t>
  </si>
  <si>
    <t xml:space="preserve">.48</t>
  </si>
  <si>
    <t xml:space="preserve">≤ 1.25 D</t>
  </si>
  <si>
    <t xml:space="preserve">Reference 83.3%; Cohort A 88.9%</t>
  </si>
  <si>
    <t xml:space="preserve">.33</t>
  </si>
  <si>
    <t xml:space="preserve">≤ 1.50 D</t>
  </si>
  <si>
    <t xml:space="preserve">Reference 90.0%; Cohort A 97.0%</t>
  </si>
  <si>
    <t xml:space="preserve">.08</t>
  </si>
  <si>
    <t xml:space="preserve">.91</t>
  </si>
  <si>
    <t xml:space="preserve">≤ 1.75 D</t>
  </si>
  <si>
    <t xml:space="preserve">Reference 94.4%; Cohort A 99.0%</t>
  </si>
  <si>
    <t xml:space="preserve">.13</t>
  </si>
  <si>
    <t xml:space="preserve">≤ 2.00 D</t>
  </si>
  <si>
    <t xml:space="preserve">Reference 95.6%; Cohort A 99.0%</t>
  </si>
  <si>
    <t xml:space="preserve">.21</t>
  </si>
  <si>
    <t xml:space="preserve">Reference 0.35 D @ 2°; Cohort A 0.28 D @ 178°</t>
  </si>
  <si>
    <t xml:space="preserve">.38</t>
  </si>
  <si>
    <t xml:space="preserve">20%-trimmed mean: Reference 0.74 D; Cohort A 0.64 D</t>
  </si>
  <si>
    <t xml:space="preserve">.28</t>
  </si>
  <si>
    <t xml:space="preserve">20%-trimmed mean: Reference 0.80 D; Cohort A 0.66 D</t>
  </si>
  <si>
    <t xml:space="preserve">.11</t>
  </si>
  <si>
    <t xml:space="preserve">Reference 6.0%; Cohort A 5.7%</t>
  </si>
  <si>
    <t xml:space="preserve">Reference 27.7%; Cohort A 39.8%</t>
  </si>
  <si>
    <t xml:space="preserve">.12</t>
  </si>
  <si>
    <t xml:space="preserve">Reference 53.0%; Cohort A 64.8%</t>
  </si>
  <si>
    <t xml:space="preserve">.22</t>
  </si>
  <si>
    <t xml:space="preserve">Reference 67.5%; Cohort A 75.0%</t>
  </si>
  <si>
    <t xml:space="preserve">Reference 78.3%; Cohort A 83.0%</t>
  </si>
  <si>
    <t xml:space="preserve">.67</t>
  </si>
  <si>
    <t xml:space="preserve">Reference 86.7%; Cohort A 95.5%</t>
  </si>
  <si>
    <t xml:space="preserve">Reference 94.0%; Cohort A 97.7%</t>
  </si>
  <si>
    <t xml:space="preserve">Reference 95.2%; Cohort A 100.0%</t>
  </si>
  <si>
    <t xml:space="preserve">permutation test over patients, 999 permutations (GEE not fitted: a cohort at 0% or 100%)</t>
  </si>
  <si>
    <t xml:space="preserve">.07</t>
  </si>
  <si>
    <t xml:space="preserve">.73</t>
  </si>
  <si>
    <t xml:space="preserve">Reference 0.03 D @ 75°; Cohort A 0.02 D @ 22°</t>
  </si>
  <si>
    <t xml:space="preserve">20%-trimmed mean: Reference 0.22 D; Cohort A 0.24 D</t>
  </si>
  <si>
    <t xml:space="preserve">mean: Reference 0.23 D; Cohort A 0.23 D</t>
  </si>
  <si>
    <t xml:space="preserve">untrimmed bootstrap test (the trimmed statistic is not defined for these data) (B = 999)</t>
  </si>
  <si>
    <t xml:space="preserve">.85</t>
  </si>
  <si>
    <t xml:space="preserve">Reference 83.1%; Cohort A 89.8%</t>
  </si>
  <si>
    <t xml:space="preserve">Reference 96.4%; Cohort A 98.9%</t>
  </si>
  <si>
    <t xml:space="preserve">.32</t>
  </si>
  <si>
    <t xml:space="preserve">Reference 100.0%; Cohort A 100.0%</t>
  </si>
  <si>
    <t xml:space="preserve">Not tested</t>
  </si>
  <si>
    <t xml:space="preserve">Not estimable - every eye is within 0.75 D</t>
  </si>
  <si>
    <t xml:space="preserve">Not estimable - every eye is within 1.00 D</t>
  </si>
  <si>
    <t xml:space="preserve">Not estimable - every eye is within 1.25 D</t>
  </si>
  <si>
    <t xml:space="preserve">Not estimable - every eye is within 1.50 D</t>
  </si>
  <si>
    <t xml:space="preserve">Not estimable - every eye is within 1.75 D</t>
  </si>
  <si>
    <t xml:space="preserve">Not estimable - every eye is within 2.00 D</t>
  </si>
  <si>
    <t xml:space="preserve">Preoperative vs postoperative refractive astigmatism, same eyes (McNemar)</t>
  </si>
  <si>
    <t xml:space="preserve">Interval</t>
  </si>
  <si>
    <t xml:space="preserve">Preop within (%)</t>
  </si>
  <si>
    <t xml:space="preserve">Postop within (%)</t>
  </si>
  <si>
    <t xml:space="preserve">Improved (preop above, postop within)</t>
  </si>
  <si>
    <t xml:space="preserve">Worsened (preop within, postop above)</t>
  </si>
  <si>
    <t xml:space="preserve">Chi-squared</t>
  </si>
  <si>
    <t xml:space="preserve">P (Holm, intervals of this cohort)</t>
  </si>
  <si>
    <t xml:space="preserve">McNemar, cluster-adjusted (Durkalski 2003)</t>
  </si>
  <si>
    <t xml:space="preserve">McNemar exact, cluster-level (sign test on patients; fewer than 25 discordant eyes)</t>
  </si>
  <si>
    <t xml:space="preserve">.004</t>
  </si>
  <si>
    <t xml:space="preserve">.047</t>
  </si>
  <si>
    <t xml:space="preserve">McNemar exact (binomial; fewer than 25 discordant eyes)</t>
  </si>
  <si>
    <t xml:space="preserve">.50</t>
  </si>
  <si>
    <t xml:space="preserve">Not estimable - no discordant eyes (every eye on the same side of the interval before and after)</t>
  </si>
  <si>
    <t xml:space="preserve">Right and left eyes (centroids)</t>
  </si>
  <si>
    <t xml:space="preserve">0.36 D @ 96°</t>
  </si>
  <si>
    <t xml:space="preserve">0.33 D @ 84°</t>
  </si>
  <si>
    <t xml:space="preserve">0.34 D @ 83°</t>
  </si>
  <si>
    <t xml:space="preserve">0.30 D @ 93°</t>
  </si>
  <si>
    <t xml:space="preserve">0.40 D @ 11°</t>
  </si>
  <si>
    <t xml:space="preserve">0.34 D @ 172°</t>
  </si>
  <si>
    <t xml:space="preserve">0.34 D @ 176°</t>
  </si>
  <si>
    <t xml:space="preserve">0.22 D @ 3°</t>
  </si>
  <si>
    <t xml:space="preserve">0.04 D @ 59°</t>
  </si>
  <si>
    <t xml:space="preserve">0.04 D @ 95°</t>
  </si>
  <si>
    <t xml:space="preserve">0.04 D @ 17°</t>
  </si>
  <si>
    <t xml:space="preserve">0.01 D @ 51°</t>
  </si>
  <si>
    <t xml:space="preserve">Region vertices (doubled-angle x, y)</t>
  </si>
  <si>
    <t xml:space="preserve">Region</t>
  </si>
  <si>
    <t xml:space="preserve">Vertex</t>
  </si>
  <si>
    <t xml:space="preserve">x (D)</t>
  </si>
  <si>
    <t xml:space="preserve">y (D)</t>
  </si>
  <si>
    <t xml:space="preserve">95% data polygon</t>
  </si>
  <si>
    <t xml:space="preserve">centroid 95% confidence polygon</t>
  </si>
  <si>
    <t xml:space="preserve">Method notes</t>
  </si>
  <si>
    <t xml:space="preserve">Vectors in plus-cylinder format (JCRS 2025): x = M cos 2θ, y = M sin 2θ, θ = plus axis; with-the-rule astigmatism to the left, against-the-rule to the right; SIA = postoperative - preoperative, PE = postoperative - target.</t>
  </si>
  <si>
    <t xml:space="preserve">Total SD = sqrt(σx² + σy²) with the population (N) denominator (Part II).</t>
  </si>
  <si>
    <t xml:space="preserve">Data region: 95% depth-based convex polygon (as in the WHWK functions) - the convex hull of the eyes whose depth (the smallest share of eyes on either side of the eye's projection, over the lines through the centroid and each eye; hull vertices take the smallest depth; steps of 1/n) is at least the depth of rank floor(0.05 n + 0.5); depths tie, so it can hold more than 95% of the eyes (the count is given); with fewer than 10 eyes the convex hull of all the eyes.</t>
  </si>
  <si>
    <t xml:space="preserve">Centroid 95% confidence region: bootstrap convex polygon of the centroid (as in the WHWK functions) - the convex hull of the bootstrap centroids nearest the centroid by projection distance (interquartile range by the ideal fourths), 999 bootstrap resamples with patients resampled (seed 20250602), keeping 95% of them for more than 120 resampling units and 95.5% to 98% for 120 or fewer.</t>
  </si>
  <si>
    <t xml:space="preserve">Tests: robust - centroid against zero by the bootstrap projection-distance test (as in the WHWK functions): 999 bootstrap centroids (seed 20250602, the resamples of the bootstrap convex polygon of the centroid) and the null point (0, 0) form one cloud, and P is the share of the bootstrap centroids whose projection distance from the centroid is greater than that of the null point (smallest P 1/B: P = .001 with B = 999 is the bootstrap floor); between cohorts, centroids by a 20%-trimmed Hotelling-type T² (pooled winsorized covariance), precision and mean magnitude by 20%-trimmed means (Yuen / Welch-type), each calibrated by 999 bootstrap resamples with patients resampled within each cohort (seed 20250601). Trimming and winsorizing by order statistics: g = floor(0.2 n) values at each end (Wilcox). A trimmed test is used only when its statistic exists in the data and in at least 95% of the resamples; otherwise the same bootstrap test runs untrimmed (ordinary means and covariance) and is labeled 'untrimmed bootstrap test (the trimmed statistic is not defined for these data)'. Resampling continues until exactly 999 usable resamples (at most 2997 drawn), else the test is not computed; each test is named with the variant that ran; cumulative intervals between cohorts by a binomial GEE clustered by patient (exchangeable working correlation; independence on a matched cohort or where a test is labeled so; robust SE (Mancl-DeRouen), t reference; Fisher's exact test with one eye per patient; when the GEE cannot be fitted - typically a cohort at 0% or 100% - a permutation test over patients: the cohort labels permuted across patients, the eyes of a patient kept together, 999 permutations, seed 20250601).</t>
  </si>
  <si>
    <t xml:space="preserve">Precision = each eye's distance to its cohort centroid.</t>
  </si>
  <si>
    <t xml:space="preserve">Cumulative intervals: magnitude ≤ 0.25, 0.50 ... 2.00 D (a magnitude on an interval edge counts as within it); the &gt; 1.00 D column is the complement of ≤ 1.00 D (the same test).</t>
  </si>
  <si>
    <t xml:space="preserve">Holm: 'P (Holm, family)' adjusts within each vector and each comparison (the omnibus, or one cohort vs the reference) across the family {centroid, precision, mean magnitude, ≤ 0.25 ... ≤ 2.00 D}; 'P (Holm, vs reference)' adjusts each measure across the cohorts compared with the reference (as the figures' 'vs' lines); the centroid-against-zero P across the cohorts of a vector; McNemar across the intervals of a cohort.</t>
  </si>
  <si>
    <t xml:space="preserve">McNemar: fewer than 25 discordant eyes - exact binomial test; otherwise the chi-squared test without continuity correction. Clustered by patient when a patient contributes two discordant eyes: below 25 discordant eyes the exact sign test on the patients' net changes, otherwise cluster-adjusted (Durkalski 2003); not estimable when the discordant eyes are from 1 patient.</t>
  </si>
  <si>
    <t xml:space="preserve">Right and left eyes are listed apart; left eyes are not mirrored.</t>
  </si>
  <si>
    <t xml:space="preserve">Patient ID</t>
  </si>
  <si>
    <t xml:space="preserve">Row label</t>
  </si>
  <si>
    <t xml:space="preserve">Magnitude (D)</t>
  </si>
  <si>
    <t xml:space="preserve">Plus axis (°)</t>
  </si>
  <si>
    <t xml:space="preserve">P0006</t>
  </si>
  <si>
    <t xml:space="preserve">P0006-OD</t>
  </si>
  <si>
    <t xml:space="preserve">PE</t>
  </si>
  <si>
    <t xml:space="preserve">P0006-OS</t>
  </si>
  <si>
    <t xml:space="preserve">P0008</t>
  </si>
  <si>
    <t xml:space="preserve">P0008-OD</t>
  </si>
  <si>
    <t xml:space="preserve">P0008-OS</t>
  </si>
  <si>
    <t xml:space="preserve">P0009</t>
  </si>
  <si>
    <t xml:space="preserve">P0009-OD</t>
  </si>
  <si>
    <t xml:space="preserve">P0010</t>
  </si>
  <si>
    <t xml:space="preserve">P0010-OD</t>
  </si>
  <si>
    <t xml:space="preserve">P0010-OS</t>
  </si>
  <si>
    <t xml:space="preserve">P0013</t>
  </si>
  <si>
    <t xml:space="preserve">P0013-OD</t>
  </si>
  <si>
    <t xml:space="preserve">P0013-OS</t>
  </si>
  <si>
    <t xml:space="preserve">P0014</t>
  </si>
  <si>
    <t xml:space="preserve">P0014-OD</t>
  </si>
  <si>
    <t xml:space="preserve">P0014-OS</t>
  </si>
  <si>
    <t xml:space="preserve">P0016</t>
  </si>
  <si>
    <t xml:space="preserve">P0016-OS</t>
  </si>
  <si>
    <t xml:space="preserve">P0017</t>
  </si>
  <si>
    <t xml:space="preserve">P0017-OD</t>
  </si>
  <si>
    <t xml:space="preserve">P0017-OS</t>
  </si>
  <si>
    <t xml:space="preserve">P0018</t>
  </si>
  <si>
    <t xml:space="preserve">P0018-OD</t>
  </si>
  <si>
    <t xml:space="preserve">P0018-OS</t>
  </si>
  <si>
    <t xml:space="preserve">P0019</t>
  </si>
  <si>
    <t xml:space="preserve">P0019-OD</t>
  </si>
  <si>
    <t xml:space="preserve">P0019-OS</t>
  </si>
  <si>
    <t xml:space="preserve">P0028</t>
  </si>
  <si>
    <t xml:space="preserve">P0028-OD</t>
  </si>
  <si>
    <t xml:space="preserve">P0028-OS</t>
  </si>
  <si>
    <t xml:space="preserve">P0030</t>
  </si>
  <si>
    <t xml:space="preserve">P0030-OS</t>
  </si>
  <si>
    <t xml:space="preserve">P0033</t>
  </si>
  <si>
    <t xml:space="preserve">P0033-OS</t>
  </si>
  <si>
    <t xml:space="preserve">P0035</t>
  </si>
  <si>
    <t xml:space="preserve">P0035-OD</t>
  </si>
  <si>
    <t xml:space="preserve">P0037</t>
  </si>
  <si>
    <t xml:space="preserve">P0037-OD</t>
  </si>
  <si>
    <t xml:space="preserve">P0037-OS</t>
  </si>
  <si>
    <t xml:space="preserve">P0039</t>
  </si>
  <si>
    <t xml:space="preserve">P0039-OD</t>
  </si>
  <si>
    <t xml:space="preserve">P0039-OS</t>
  </si>
  <si>
    <t xml:space="preserve">P0043</t>
  </si>
  <si>
    <t xml:space="preserve">P0043-OD</t>
  </si>
  <si>
    <t xml:space="preserve">P0050</t>
  </si>
  <si>
    <t xml:space="preserve">P0050-OD</t>
  </si>
  <si>
    <t xml:space="preserve">P0050-OS</t>
  </si>
  <si>
    <t xml:space="preserve">P0051</t>
  </si>
  <si>
    <t xml:space="preserve">P0051-OD</t>
  </si>
  <si>
    <t xml:space="preserve">P0051-OS</t>
  </si>
  <si>
    <t xml:space="preserve">P0053</t>
  </si>
  <si>
    <t xml:space="preserve">P0053-OD</t>
  </si>
  <si>
    <t xml:space="preserve">P0053-OS</t>
  </si>
  <si>
    <t xml:space="preserve">P0055</t>
  </si>
  <si>
    <t xml:space="preserve">P0055-OD</t>
  </si>
  <si>
    <t xml:space="preserve">P0055-OS</t>
  </si>
  <si>
    <t xml:space="preserve">P0056</t>
  </si>
  <si>
    <t xml:space="preserve">P0056-OD</t>
  </si>
  <si>
    <t xml:space="preserve">P0056-OS</t>
  </si>
  <si>
    <t xml:space="preserve">P0057</t>
  </si>
  <si>
    <t xml:space="preserve">P0057-OD</t>
  </si>
  <si>
    <t xml:space="preserve">P0057-OS</t>
  </si>
  <si>
    <t xml:space="preserve">P0062</t>
  </si>
  <si>
    <t xml:space="preserve">P0062-OD</t>
  </si>
  <si>
    <t xml:space="preserve">P0062-OS</t>
  </si>
  <si>
    <t xml:space="preserve">P0063</t>
  </si>
  <si>
    <t xml:space="preserve">P0063-OD</t>
  </si>
  <si>
    <t xml:space="preserve">P0063-OS</t>
  </si>
  <si>
    <t xml:space="preserve">P0064</t>
  </si>
  <si>
    <t xml:space="preserve">P0064-OD</t>
  </si>
  <si>
    <t xml:space="preserve">P0064-OS</t>
  </si>
  <si>
    <t xml:space="preserve">P0070</t>
  </si>
  <si>
    <t xml:space="preserve">P0070-OD</t>
  </si>
  <si>
    <t xml:space="preserve">P0070-OS</t>
  </si>
  <si>
    <t xml:space="preserve">P0073</t>
  </si>
  <si>
    <t xml:space="preserve">P0073-OD</t>
  </si>
  <si>
    <t xml:space="preserve">P0073-OS</t>
  </si>
  <si>
    <t xml:space="preserve">P0074</t>
  </si>
  <si>
    <t xml:space="preserve">P0074-OD</t>
  </si>
  <si>
    <t xml:space="preserve">P0074-OS</t>
  </si>
  <si>
    <t xml:space="preserve">P0075</t>
  </si>
  <si>
    <t xml:space="preserve">P0075-OD</t>
  </si>
  <si>
    <t xml:space="preserve">P0075-OS</t>
  </si>
  <si>
    <t xml:space="preserve">P0081</t>
  </si>
  <si>
    <t xml:space="preserve">P0081-OD</t>
  </si>
  <si>
    <t xml:space="preserve">P0085</t>
  </si>
  <si>
    <t xml:space="preserve">P0085-OD</t>
  </si>
  <si>
    <t xml:space="preserve">P0085-OS</t>
  </si>
  <si>
    <t xml:space="preserve">P0088</t>
  </si>
  <si>
    <t xml:space="preserve">P0088-OD</t>
  </si>
  <si>
    <t xml:space="preserve">P0088-OS</t>
  </si>
  <si>
    <t xml:space="preserve">P0091</t>
  </si>
  <si>
    <t xml:space="preserve">P0091-OS</t>
  </si>
  <si>
    <t xml:space="preserve">P0096</t>
  </si>
  <si>
    <t xml:space="preserve">P0096-OS</t>
  </si>
  <si>
    <t xml:space="preserve">P0097</t>
  </si>
  <si>
    <t xml:space="preserve">P0097-OS</t>
  </si>
  <si>
    <t xml:space="preserve">P0108</t>
  </si>
  <si>
    <t xml:space="preserve">P0108-OD</t>
  </si>
  <si>
    <t xml:space="preserve">P0110</t>
  </si>
  <si>
    <t xml:space="preserve">P0110-OD</t>
  </si>
  <si>
    <t xml:space="preserve">P0111</t>
  </si>
  <si>
    <t xml:space="preserve">P0111-OD</t>
  </si>
  <si>
    <t xml:space="preserve">P0111-OS</t>
  </si>
  <si>
    <t xml:space="preserve">P0120</t>
  </si>
  <si>
    <t xml:space="preserve">P0120-OD</t>
  </si>
  <si>
    <t xml:space="preserve">P0120-OS</t>
  </si>
  <si>
    <t xml:space="preserve">P0128</t>
  </si>
  <si>
    <t xml:space="preserve">P0128-OD</t>
  </si>
  <si>
    <t xml:space="preserve">P0130</t>
  </si>
  <si>
    <t xml:space="preserve">P0130-OD</t>
  </si>
  <si>
    <t xml:space="preserve">P0130-OS</t>
  </si>
  <si>
    <t xml:space="preserve">P0137</t>
  </si>
  <si>
    <t xml:space="preserve">P0137-OD</t>
  </si>
  <si>
    <t xml:space="preserve">P0137-OS</t>
  </si>
  <si>
    <t xml:space="preserve">P0138</t>
  </si>
  <si>
    <t xml:space="preserve">P0138-OD</t>
  </si>
  <si>
    <t xml:space="preserve">P0139</t>
  </si>
  <si>
    <t xml:space="preserve">P0139-OS</t>
  </si>
  <si>
    <t xml:space="preserve">P0140</t>
  </si>
  <si>
    <t xml:space="preserve">P0140-OD</t>
  </si>
  <si>
    <t xml:space="preserve">P0141</t>
  </si>
  <si>
    <t xml:space="preserve">P0141-OD</t>
  </si>
  <si>
    <t xml:space="preserve">P0141-OS</t>
  </si>
  <si>
    <t xml:space="preserve">P0142</t>
  </si>
  <si>
    <t xml:space="preserve">P0142-OS</t>
  </si>
  <si>
    <t xml:space="preserve">P0150</t>
  </si>
  <si>
    <t xml:space="preserve">P0150-OD</t>
  </si>
  <si>
    <t xml:space="preserve">P0150-OS</t>
  </si>
  <si>
    <t xml:space="preserve">P0151</t>
  </si>
  <si>
    <t xml:space="preserve">P0151-OD</t>
  </si>
  <si>
    <t xml:space="preserve">P0151-OS</t>
  </si>
  <si>
    <t xml:space="preserve">P0152</t>
  </si>
  <si>
    <t xml:space="preserve">P0152-OD</t>
  </si>
  <si>
    <t xml:space="preserve">P0152-OS</t>
  </si>
  <si>
    <t xml:space="preserve">P0154</t>
  </si>
  <si>
    <t xml:space="preserve">P0154-OD</t>
  </si>
  <si>
    <t xml:space="preserve">P0154-OS</t>
  </si>
  <si>
    <t xml:space="preserve">P0156</t>
  </si>
  <si>
    <t xml:space="preserve">P0156-OD</t>
  </si>
  <si>
    <t xml:space="preserve">P0156-OS</t>
  </si>
  <si>
    <t xml:space="preserve">P0163</t>
  </si>
  <si>
    <t xml:space="preserve">P0163-OD</t>
  </si>
  <si>
    <t xml:space="preserve">P0163-OS</t>
  </si>
  <si>
    <t xml:space="preserve">P0164</t>
  </si>
  <si>
    <t xml:space="preserve">P0164-OD</t>
  </si>
  <si>
    <t xml:space="preserve">P0164-OS</t>
  </si>
  <si>
    <t xml:space="preserve">P0166</t>
  </si>
  <si>
    <t xml:space="preserve">P0166-OD</t>
  </si>
  <si>
    <t xml:space="preserve">P0168</t>
  </si>
  <si>
    <t xml:space="preserve">P0168-OD</t>
  </si>
  <si>
    <t xml:space="preserve">P0168-OS</t>
  </si>
  <si>
    <t xml:space="preserve">P0169</t>
  </si>
  <si>
    <t xml:space="preserve">P0169-OD</t>
  </si>
  <si>
    <t xml:space="preserve">P0169-OS</t>
  </si>
  <si>
    <t xml:space="preserve">P0170</t>
  </si>
  <si>
    <t xml:space="preserve">P0170-OD</t>
  </si>
  <si>
    <t xml:space="preserve">P0170-OS</t>
  </si>
  <si>
    <t xml:space="preserve">P0171</t>
  </si>
  <si>
    <t xml:space="preserve">P0171-OD</t>
  </si>
  <si>
    <t xml:space="preserve">P0171-OS</t>
  </si>
  <si>
    <t xml:space="preserve">P0172</t>
  </si>
  <si>
    <t xml:space="preserve">P0172-OS</t>
  </si>
  <si>
    <t xml:space="preserve">P0175</t>
  </si>
  <si>
    <t xml:space="preserve">P0175-OS</t>
  </si>
  <si>
    <t xml:space="preserve">P0178</t>
  </si>
  <si>
    <t xml:space="preserve">P0178-OD</t>
  </si>
  <si>
    <t xml:space="preserve">P0178-OS</t>
  </si>
  <si>
    <t xml:space="preserve">P0179</t>
  </si>
  <si>
    <t xml:space="preserve">P0179-OS</t>
  </si>
  <si>
    <t xml:space="preserve">P0190</t>
  </si>
  <si>
    <t xml:space="preserve">P0190-OD</t>
  </si>
  <si>
    <t xml:space="preserve">P0190-OS</t>
  </si>
  <si>
    <t xml:space="preserve">P0194</t>
  </si>
  <si>
    <t xml:space="preserve">P0194-OD</t>
  </si>
  <si>
    <t xml:space="preserve">P0194-OS</t>
  </si>
  <si>
    <t xml:space="preserve">P0197</t>
  </si>
  <si>
    <t xml:space="preserve">P0197-OD</t>
  </si>
  <si>
    <t xml:space="preserve">P0197-OS</t>
  </si>
  <si>
    <t xml:space="preserve">P0201</t>
  </si>
  <si>
    <t xml:space="preserve">P0201-OD</t>
  </si>
  <si>
    <t xml:space="preserve">P0201-OS</t>
  </si>
  <si>
    <t xml:space="preserve">P0203</t>
  </si>
  <si>
    <t xml:space="preserve">P0203-OD</t>
  </si>
  <si>
    <t xml:space="preserve">P0211</t>
  </si>
  <si>
    <t xml:space="preserve">P0211-OD</t>
  </si>
  <si>
    <t xml:space="preserve">P0211-OS</t>
  </si>
  <si>
    <t xml:space="preserve">P0212</t>
  </si>
  <si>
    <t xml:space="preserve">P0212-OD</t>
  </si>
  <si>
    <t xml:space="preserve">P0212-OS</t>
  </si>
  <si>
    <t xml:space="preserve">P0214</t>
  </si>
  <si>
    <t xml:space="preserve">P0214-OD</t>
  </si>
  <si>
    <t xml:space="preserve">P0214-OS</t>
  </si>
  <si>
    <t xml:space="preserve">P0216</t>
  </si>
  <si>
    <t xml:space="preserve">P0216-OD</t>
  </si>
  <si>
    <t xml:space="preserve">P0217</t>
  </si>
  <si>
    <t xml:space="preserve">P0217-OD</t>
  </si>
  <si>
    <t xml:space="preserve">P0217-OS</t>
  </si>
  <si>
    <t xml:space="preserve">P0219</t>
  </si>
  <si>
    <t xml:space="preserve">P0219-OD</t>
  </si>
  <si>
    <t xml:space="preserve">P0219-OS</t>
  </si>
  <si>
    <t xml:space="preserve">P0223</t>
  </si>
  <si>
    <t xml:space="preserve">P0223-OD</t>
  </si>
  <si>
    <t xml:space="preserve">P0223-OS</t>
  </si>
  <si>
    <t xml:space="preserve">P0225</t>
  </si>
  <si>
    <t xml:space="preserve">P0225-OS</t>
  </si>
  <si>
    <t xml:space="preserve">P0230</t>
  </si>
  <si>
    <t xml:space="preserve">P0230-OS</t>
  </si>
  <si>
    <t xml:space="preserve">P0231</t>
  </si>
  <si>
    <t xml:space="preserve">P0231-OS</t>
  </si>
  <si>
    <t xml:space="preserve">P0233</t>
  </si>
  <si>
    <t xml:space="preserve">P0233-OD</t>
  </si>
  <si>
    <t xml:space="preserve">P0233-OS</t>
  </si>
  <si>
    <t xml:space="preserve">P0234</t>
  </si>
  <si>
    <t xml:space="preserve">P0234-OD</t>
  </si>
  <si>
    <t xml:space="preserve">P0234-OS</t>
  </si>
  <si>
    <t xml:space="preserve">P0235</t>
  </si>
  <si>
    <t xml:space="preserve">P0235-OD</t>
  </si>
  <si>
    <t xml:space="preserve">P0235-OS</t>
  </si>
  <si>
    <t xml:space="preserve">P0240</t>
  </si>
  <si>
    <t xml:space="preserve">P0240-OD</t>
  </si>
  <si>
    <t xml:space="preserve">P0240-OS</t>
  </si>
  <si>
    <t xml:space="preserve">P0241</t>
  </si>
  <si>
    <t xml:space="preserve">P0241-OD</t>
  </si>
  <si>
    <t xml:space="preserve">P0241-OS</t>
  </si>
  <si>
    <t xml:space="preserve">P0242</t>
  </si>
  <si>
    <t xml:space="preserve">P0242-OD</t>
  </si>
  <si>
    <t xml:space="preserve">P0254</t>
  </si>
  <si>
    <t xml:space="preserve">P0254-OD</t>
  </si>
  <si>
    <t xml:space="preserve">P0254-OS</t>
  </si>
  <si>
    <t xml:space="preserve">P0255</t>
  </si>
  <si>
    <t xml:space="preserve">P0255-OD</t>
  </si>
  <si>
    <t xml:space="preserve">P0257</t>
  </si>
  <si>
    <t xml:space="preserve">P0257-OD</t>
  </si>
  <si>
    <t xml:space="preserve">P0257-OS</t>
  </si>
  <si>
    <t xml:space="preserve">P0258</t>
  </si>
  <si>
    <t xml:space="preserve">P0258-OD</t>
  </si>
  <si>
    <t xml:space="preserve">P0259</t>
  </si>
  <si>
    <t xml:space="preserve">P0259-OD</t>
  </si>
  <si>
    <t xml:space="preserve">P0259-OS</t>
  </si>
  <si>
    <t xml:space="preserve">P0262</t>
  </si>
  <si>
    <t xml:space="preserve">P0262-OS</t>
  </si>
  <si>
    <t xml:space="preserve">P0263</t>
  </si>
  <si>
    <t xml:space="preserve">P0263-OD</t>
  </si>
  <si>
    <t xml:space="preserve">P0263-OS</t>
  </si>
  <si>
    <t xml:space="preserve">P0264</t>
  </si>
  <si>
    <t xml:space="preserve">P0264-OD</t>
  </si>
  <si>
    <t xml:space="preserve">P0270</t>
  </si>
  <si>
    <t xml:space="preserve">P0270-OD</t>
  </si>
  <si>
    <t xml:space="preserve">P0270-OS</t>
  </si>
  <si>
    <t xml:space="preserve">P0276</t>
  </si>
  <si>
    <t xml:space="preserve">P0276-OD</t>
  </si>
  <si>
    <t xml:space="preserve">P0276-OS</t>
  </si>
  <si>
    <t xml:space="preserve">P0278</t>
  </si>
  <si>
    <t xml:space="preserve">P0278-OD</t>
  </si>
  <si>
    <t xml:space="preserve">P0278-OS</t>
  </si>
  <si>
    <t xml:space="preserve">P0281</t>
  </si>
  <si>
    <t xml:space="preserve">P0281-OD</t>
  </si>
  <si>
    <t xml:space="preserve">P0281-OS</t>
  </si>
  <si>
    <t xml:space="preserve">P0282</t>
  </si>
  <si>
    <t xml:space="preserve">P0282-OD</t>
  </si>
  <si>
    <t xml:space="preserve">P0282-OS</t>
  </si>
  <si>
    <t xml:space="preserve">P0297</t>
  </si>
  <si>
    <t xml:space="preserve">P0297-OD</t>
  </si>
  <si>
    <t xml:space="preserve">P0304</t>
  </si>
  <si>
    <t xml:space="preserve">P0304-OD</t>
  </si>
  <si>
    <t xml:space="preserve">P0307</t>
  </si>
  <si>
    <t xml:space="preserve">P0307-OD</t>
  </si>
  <si>
    <t xml:space="preserve">P0307-OS</t>
  </si>
  <si>
    <t xml:space="preserve">P0313</t>
  </si>
  <si>
    <t xml:space="preserve">P0313-OD</t>
  </si>
  <si>
    <t xml:space="preserve">P0315</t>
  </si>
  <si>
    <t xml:space="preserve">P0315-OS</t>
  </si>
  <si>
    <t xml:space="preserve">SIA</t>
  </si>
  <si>
    <t xml:space="preserve">PRE</t>
  </si>
  <si>
    <t xml:space="preserve">P0029</t>
  </si>
  <si>
    <t xml:space="preserve">P0029-OD</t>
  </si>
  <si>
    <t xml:space="preserve">P0029-OS</t>
  </si>
  <si>
    <t xml:space="preserve">P0048</t>
  </si>
  <si>
    <t xml:space="preserve">P0048-OD</t>
  </si>
  <si>
    <t xml:space="preserve">P0048-OS</t>
  </si>
  <si>
    <t xml:space="preserve">P0087</t>
  </si>
  <si>
    <t xml:space="preserve">P0087-OD</t>
  </si>
  <si>
    <t xml:space="preserve">P0087-OS</t>
  </si>
  <si>
    <t xml:space="preserve">P0100</t>
  </si>
  <si>
    <t xml:space="preserve">P0100-OD</t>
  </si>
  <si>
    <t xml:space="preserve">P0100-OS</t>
  </si>
  <si>
    <t xml:space="preserve">P0103</t>
  </si>
  <si>
    <t xml:space="preserve">P0103-OD</t>
  </si>
  <si>
    <t xml:space="preserve">P0103-OS</t>
  </si>
  <si>
    <t xml:space="preserve">P0115</t>
  </si>
  <si>
    <t xml:space="preserve">P0115-OS</t>
  </si>
  <si>
    <t xml:space="preserve">P0124</t>
  </si>
  <si>
    <t xml:space="preserve">P0124-OD</t>
  </si>
  <si>
    <t xml:space="preserve">P0124-OS</t>
  </si>
  <si>
    <t xml:space="preserve">P0268</t>
  </si>
  <si>
    <t xml:space="preserve">P0268-OD</t>
  </si>
  <si>
    <t xml:space="preserve">P0268-OS</t>
  </si>
  <si>
    <t xml:space="preserve">P0289</t>
  </si>
  <si>
    <t xml:space="preserve">P0289-OS</t>
  </si>
  <si>
    <t xml:space="preserve">P0312</t>
  </si>
  <si>
    <t xml:space="preserve">P0312-OD</t>
  </si>
  <si>
    <t xml:space="preserve">P0312-OS</t>
  </si>
  <si>
    <t xml:space="preserve">POST</t>
  </si>
  <si>
    <t xml:space="preserve">TIA (Alpins)</t>
  </si>
  <si>
    <t xml:space="preserve">DV (Alpins)</t>
  </si>
  <si>
    <t xml:space="preserve">NOTE: 3 outcome(s) are per-patient variables: modeled on one row per patient by an ordinary linear or logistic model (model-based SE), never by an eye-level GEE - see the 'Model' column. 1 outcome(s) were refitted with an independence working correlation: the exchangeable fit was not accepted (working correlation 0.95 or more, no convergence, or not at its solution - the outcome is almost constant within patients); the robust SE stay clustered by patient - see the 'Model' column.</t>
  </si>
  <si>
    <t xml:space="preserve">GEE results</t>
  </si>
  <si>
    <t xml:space="preserve">Outcome</t>
  </si>
  <si>
    <t xml:space="preserve">Term</t>
  </si>
  <si>
    <t xml:space="preserve">Estimate</t>
  </si>
  <si>
    <t xml:space="preserve">SE</t>
  </si>
  <si>
    <t xml:space="preserve">Statistic (t or z)</t>
  </si>
  <si>
    <t xml:space="preserve">P (exact)</t>
  </si>
  <si>
    <t xml:space="preserve">df</t>
  </si>
  <si>
    <t xml:space="preserve">Effect type</t>
  </si>
  <si>
    <t xml:space="preserve">Effect</t>
  </si>
  <si>
    <t xml:space="preserve">95% CI lower</t>
  </si>
  <si>
    <t xml:space="preserve">95% CI upper</t>
  </si>
  <si>
    <t xml:space="preserve">Effect (95% CI)</t>
  </si>
  <si>
    <t xml:space="preserve">Inference</t>
  </si>
  <si>
    <t xml:space="preserve">Model</t>
  </si>
  <si>
    <t xml:space="preserve">Covariates</t>
  </si>
  <si>
    <t xml:space="preserve">Age_Years</t>
  </si>
  <si>
    <t xml:space="preserve">Intercept (Reference)</t>
  </si>
  <si>
    <t xml:space="preserve">Mean (Reference)</t>
  </si>
  <si>
    <t xml:space="preserve">Mean = 34.02 (95% CI, 31.96 to 36.08)</t>
  </si>
  <si>
    <t xml:space="preserve">model-based SE, t reference</t>
  </si>
  <si>
    <t xml:space="preserve">Linear regression, per patient (one row per patient), 113 patients</t>
  </si>
  <si>
    <t xml:space="preserve">none</t>
  </si>
  <si>
    <t xml:space="preserve">β</t>
  </si>
  <si>
    <t xml:space="preserve">Mean = -3.78 (95% CI, -4.28 to -3.28)</t>
  </si>
  <si>
    <t xml:space="preserve">robust SE (Mancl-DeRouen), t reference</t>
  </si>
  <si>
    <t xml:space="preserve">GEE Gaussian (exchangeable)</t>
  </si>
  <si>
    <t xml:space="preserve">Mean = -3.34 (95% CI, -3.85 to -2.83)</t>
  </si>
  <si>
    <t xml:space="preserve">Mean = -0.87 (95% CI, -1.00 to -0.75)</t>
  </si>
  <si>
    <t xml:space="preserve">Mean = 1.02 (95% CI, 0.89 to 1.15)</t>
  </si>
  <si>
    <t xml:space="preserve">Mean = -0.02 (95% CI, -0.04 to -0.01)</t>
  </si>
  <si>
    <t xml:space="preserve">Mean = 532.81 (95% CI, 526.75 to 538.88)</t>
  </si>
  <si>
    <t xml:space="preserve">Mean = 43.60 (95% CI, 43.19 to 44.02)</t>
  </si>
  <si>
    <t xml:space="preserve">GEE Gaussian, independence working correlation (the outcome is almost constant within patients) - exchangeable fit not accepted: estimated working correlation 0.976 (0.95 or more)</t>
  </si>
  <si>
    <t xml:space="preserve">Skipped: ordinal outcome not modeled in GEE (no effect estimate); its P value in the summary tables, if any, comes from the test named in their Test column (a GEE on ranks clustered by patient, a permutation test over patients where that GEE cannot be fitted, or the Wilcoxon / Kruskal-Wallis test with one eye per patient, for a per-patient variable (one row per patient) or with the classical table tests)</t>
  </si>
  <si>
    <t xml:space="preserve">Odds (Reference)</t>
  </si>
  <si>
    <t xml:space="preserve">Odds = 1.45 (95% CI, 0.85 to 2.50)</t>
  </si>
  <si>
    <t xml:space="preserve">model-based SE, Wald z reference</t>
  </si>
  <si>
    <t xml:space="preserve">Logistic regression, per patient (one row per patient), 113 patients</t>
  </si>
  <si>
    <t xml:space="preserve">OR</t>
  </si>
  <si>
    <t xml:space="preserve">Smoker</t>
  </si>
  <si>
    <t xml:space="preserve">Odds = 0.18 (95% CI, 0.09 to 0.39)</t>
  </si>
  <si>
    <t xml:space="preserve">Logistic regression, per patient (one row per patient), 108 patients</t>
  </si>
  <si>
    <t xml:space="preserve">Surgeon</t>
  </si>
  <si>
    <t xml:space="preserve">Skipped: categorical outcome not modeled in GEE (no effect estimate); its P value in the summary tables, if any, comes from the test named in their Test column (a joint clustered Wald test on its level indicators, a permutation test over patients where that GEE cannot be fitted, or the chi-squared / Fisher's exact test with one eye per patient, for a per-patient variable (one row per patient) or with the classical table tests)</t>
  </si>
  <si>
    <t xml:space="preserve">NOTE: 1 outcome(s) are per-patient variables: modeled on one row per patient by an ordinary linear or logistic model (model-based SE), never by an eye-level GEE - see the 'Model' column.</t>
  </si>
  <si>
    <t xml:space="preserve">Optical_Zone_mm</t>
  </si>
  <si>
    <t xml:space="preserve">Mean = 6.51 (95% CI, 6.47 to 6.55)</t>
  </si>
  <si>
    <t xml:space="preserve">Mean = 59.10 (95% CI, 52.48 to 65.73)</t>
  </si>
  <si>
    <t xml:space="preserve">Procedure</t>
  </si>
  <si>
    <t xml:space="preserve">Mean = 181.18 (95% CI, 178.15 to 184.21)</t>
  </si>
  <si>
    <t xml:space="preserve">Mean = 0.04 (95% CI, -0.05 to 0.14)</t>
  </si>
  <si>
    <t xml:space="preserve">Mean = -0.23 (95% CI, -0.28 to -0.19)</t>
  </si>
  <si>
    <t xml:space="preserve">Mean = -0.03 (95% CI, -0.06 to 0.00)</t>
  </si>
  <si>
    <t xml:space="preserve">Mean = -0.06 (95% CI, -0.09 to -0.03)</t>
  </si>
  <si>
    <t xml:space="preserve">DryEye_Symptoms</t>
  </si>
  <si>
    <t xml:space="preserve">Odds = 0.15 (95% CI, 0.07 to 0.33)</t>
  </si>
  <si>
    <t xml:space="preserve">GEE Binomial (exchangeable)</t>
  </si>
  <si>
    <t xml:space="preserve">Retreatment_Required</t>
  </si>
  <si>
    <t xml:space="preserve">Odds = 0.10 (95% CI, 0.04 to 0.25)</t>
  </si>
  <si>
    <t xml:space="preserve">Complication_Type</t>
  </si>
  <si>
    <t xml:space="preserve">Intercept (Reference, all covariates at 0)</t>
  </si>
  <si>
    <t xml:space="preserve">.53</t>
  </si>
  <si>
    <t xml:space="preserve">Not adjusted for itself (own value omitted from the covariates). Linear regression, per patient (one row per patient), 113 patients; Preop_SEQ_D, Preop_Pachymetry_um averaged over each patient's eyes</t>
  </si>
  <si>
    <t xml:space="preserve">Preop_SEQ_D, Preop_Pachymetry_um</t>
  </si>
  <si>
    <t xml:space="preserve">β = 5.60 (95% CI, 2.54 to 8.65)</t>
  </si>
  <si>
    <t xml:space="preserve">β = 0.63 (95% CI, -0.08 to 1.35)</t>
  </si>
  <si>
    <t xml:space="preserve">β = 0.090 (95% CI, 0.023 to 0.157)</t>
  </si>
  <si>
    <t xml:space="preserve">Not adjusted for itself (own value omitted from the covariates). GEE Gaussian (exchangeable)</t>
  </si>
  <si>
    <t xml:space="preserve">Age_Years, Preop_Pachymetry_um</t>
  </si>
  <si>
    <t xml:space="preserve">β = -1.70 (95% CI, -2.48 to -0.92)</t>
  </si>
  <si>
    <t xml:space="preserve">β = 0.038 (95% CI, -0.013 to 0.089)</t>
  </si>
  <si>
    <t xml:space="preserve">.14</t>
  </si>
  <si>
    <t xml:space="preserve">β = -0.018 (95% CI, -0.033 to -0.003)</t>
  </si>
  <si>
    <t xml:space="preserve">Age_Years, Preop_SEQ_D, Preop_Pachymetry_um</t>
  </si>
  <si>
    <t xml:space="preserve">β = -0.03 (95% CI, -0.13 to 0.06)</t>
  </si>
  <si>
    <t xml:space="preserve">β = 0.0000 (95% CI, -0.0057 to 0.0057)</t>
  </si>
  <si>
    <t xml:space="preserve">β = 1.01 (95% CI, 0.99 to 1.03)</t>
  </si>
  <si>
    <t xml:space="preserve">β = 0.0009 (95% CI, -0.0009 to 0.0027)</t>
  </si>
  <si>
    <t xml:space="preserve">.30</t>
  </si>
  <si>
    <t xml:space="preserve">β = 0.07 (95% CI, -0.12 to 0.25)</t>
  </si>
  <si>
    <t xml:space="preserve">β = 0.000 (95% CI, -0.011 to 0.011)</t>
  </si>
  <si>
    <t xml:space="preserve">β = -0.013 (95% CI, -0.052 to 0.026)</t>
  </si>
  <si>
    <t xml:space="preserve">β = -0.0019 (95% CI, -0.0054 to 0.0017)</t>
  </si>
  <si>
    <t xml:space="preserve">β = -0.08 (95% CI, -0.15 to -0.02)</t>
  </si>
  <si>
    <t xml:space="preserve">β = 0.0021 (95% CI, -0.0012 to 0.0055)</t>
  </si>
  <si>
    <t xml:space="preserve">β = -0.23 (95% CI, -0.25 to -0.22)</t>
  </si>
  <si>
    <t xml:space="preserve">β = -0.0023 (95% CI, -0.0036 to -0.0011)</t>
  </si>
  <si>
    <t xml:space="preserve">.04</t>
  </si>
  <si>
    <t xml:space="preserve">β = -0.02 (95% CI, -0.04 to 0.00)</t>
  </si>
  <si>
    <t xml:space="preserve">β = -0.0002 (95% CI, -0.0015 to 0.0010)</t>
  </si>
  <si>
    <t xml:space="preserve">.72</t>
  </si>
  <si>
    <t xml:space="preserve">β = -0.0094 (95% CI, -0.0145 to -0.0044)</t>
  </si>
  <si>
    <t xml:space="preserve">β = -0.0005 (95% CI, -0.0010 to -0.0001)</t>
  </si>
  <si>
    <t xml:space="preserve">Age_Years, Preop_SEQ_D</t>
  </si>
  <si>
    <t xml:space="preserve">β = -13.92 (95% CI, -21.63 to -6.21)</t>
  </si>
  <si>
    <t xml:space="preserve">β = 0.64 (95% CI, 0.10 to 1.18)</t>
  </si>
  <si>
    <t xml:space="preserve">β = -1.56 (95% CI, -3.04 to -0.08)</t>
  </si>
  <si>
    <t xml:space="preserve">GEE Gaussian, independence working correlation (the outcome is almost constant within patients) - exchangeable fit not accepted: estimated working correlation 0.953 (0.95 or more)</t>
  </si>
  <si>
    <t xml:space="preserve">β = -0.08 (95% CI, -0.74 to 0.58)</t>
  </si>
  <si>
    <t xml:space="preserve">β = -0.027 (95% CI, -0.062 to 0.007)</t>
  </si>
  <si>
    <t xml:space="preserve">β = -0.02 (95% CI, -0.15 to 0.11)</t>
  </si>
  <si>
    <t xml:space="preserve">.74</t>
  </si>
  <si>
    <t xml:space="preserve">β = 0.009 (95% CI, -0.006 to 0.023)</t>
  </si>
  <si>
    <t xml:space="preserve">.24</t>
  </si>
  <si>
    <t xml:space="preserve">Logistic regression, per patient (one row per patient), 113 patients; Preop_SEQ_D, Preop_Pachymetry_um averaged over each patient's eyes</t>
  </si>
  <si>
    <t xml:space="preserve">OR = 0.59 (95% CI, 0.23 to 1.50)</t>
  </si>
  <si>
    <t xml:space="preserve">OR = 1.098 (95% CI, 1.036 to 1.164)</t>
  </si>
  <si>
    <t xml:space="preserve">OR = 0.94 (95% CI, 0.76 to 1.15)</t>
  </si>
  <si>
    <t xml:space="preserve">OR = 0.991 (95% CI, 0.971 to 1.012)</t>
  </si>
  <si>
    <t xml:space="preserve">.60</t>
  </si>
  <si>
    <t xml:space="preserve">Logistic regression, per patient (one row per patient), 108 patients; Preop_SEQ_D, Preop_Pachymetry_um averaged over each patient's eyes</t>
  </si>
  <si>
    <t xml:space="preserve">OR = 0.57 (95% CI, 0.15 to 2.14)</t>
  </si>
  <si>
    <t xml:space="preserve">OR = 1.053 (95% CI, 0.969 to 1.144)</t>
  </si>
  <si>
    <t xml:space="preserve">.23</t>
  </si>
  <si>
    <t xml:space="preserve">OR = 1.04 (95% CI, 0.77 to 1.39)</t>
  </si>
  <si>
    <t xml:space="preserve">.81</t>
  </si>
  <si>
    <t xml:space="preserve">OR = 1.001 (95% CI, 0.974 to 1.028)</t>
  </si>
  <si>
    <t xml:space="preserve">Linear regression, per patient (one row per patient), 113 patients; Preop_SEQ_D, Preop_Pachymetry_um averaged over each patient's eyes</t>
  </si>
  <si>
    <t xml:space="preserve">β = -0.01 (95% CI, -0.06 to 0.04)</t>
  </si>
  <si>
    <t xml:space="preserve">β = 0.0015 (95% CI, -0.0015 to 0.0045)</t>
  </si>
  <si>
    <t xml:space="preserve">β = 0.049 (95% CI, 0.038 to 0.061)</t>
  </si>
  <si>
    <t xml:space="preserve">β = 0.0003 (95% CI, -0.0008 to 0.0013)</t>
  </si>
  <si>
    <t xml:space="preserve">.65</t>
  </si>
  <si>
    <t xml:space="preserve">.44</t>
  </si>
  <si>
    <t xml:space="preserve">β = -1.66 (95% CI, -3.85 to 0.53)</t>
  </si>
  <si>
    <t xml:space="preserve">β = 0.08 (95% CI, -0.05 to 0.21)</t>
  </si>
  <si>
    <t xml:space="preserve">β = -13.27 (95% CI, -13.72 to -12.82)</t>
  </si>
  <si>
    <t xml:space="preserve">β = -0.005 (95% CI, -0.051 to 0.041)</t>
  </si>
  <si>
    <t xml:space="preserve">β = 0.32 (95% CI, 0.02 to 0.61)</t>
  </si>
  <si>
    <t xml:space="preserve">β = -0.16 (95% CI, -1.23 to 0.92)</t>
  </si>
  <si>
    <t xml:space="preserve">β = -0.026 (95% CI, -0.117 to 0.065)</t>
  </si>
  <si>
    <t xml:space="preserve">β = -0.017 (95% CI, -0.025 to -0.008)</t>
  </si>
  <si>
    <t xml:space="preserve">β = 0.069 (95% CI, 0.036 to 0.102)</t>
  </si>
  <si>
    <t xml:space="preserve">β = 0.0030 (95% CI, 0.0002 to 0.0059)</t>
  </si>
  <si>
    <t xml:space="preserve">β = -0.0027 (95% CI, -0.0074 to 0.0019)</t>
  </si>
  <si>
    <t xml:space="preserve">β = 0.003 (95% CI, -0.013 to 0.018)</t>
  </si>
  <si>
    <t xml:space="preserve">β = 0.0005 (95% CI, -0.0011 to 0.0022)</t>
  </si>
  <si>
    <t xml:space="preserve">.52</t>
  </si>
  <si>
    <t xml:space="preserve">β = 0.0008 (95% CI, -0.0017 to 0.0032)</t>
  </si>
  <si>
    <t xml:space="preserve">β = -0.0065 (95% CI, -0.0153 to 0.0023)</t>
  </si>
  <si>
    <t xml:space="preserve">β = -0.0009 (95% CI, -0.0017 to -0.0001)</t>
  </si>
  <si>
    <t xml:space="preserve">.43</t>
  </si>
  <si>
    <t xml:space="preserve">β = -0.0018 (95% CI, -0.0043 to 0.0006)</t>
  </si>
  <si>
    <t xml:space="preserve">β = -0.0007 (95% CI, -0.0091 to 0.0078)</t>
  </si>
  <si>
    <t xml:space="preserve">.87</t>
  </si>
  <si>
    <t xml:space="preserve">β = -0.0003 (95% CI, -0.0011 to 0.0005)</t>
  </si>
  <si>
    <t xml:space="preserve">OR = 1.051 (95% CI, 0.984 to 1.123)</t>
  </si>
  <si>
    <t xml:space="preserve">OR = 0.83 (95% CI, 0.65 to 1.05)</t>
  </si>
  <si>
    <t xml:space="preserve">OR = 0.979 (95% CI, 0.957 to 1.001)</t>
  </si>
  <si>
    <t xml:space="preserve">.06</t>
  </si>
  <si>
    <t xml:space="preserve">.58</t>
  </si>
  <si>
    <t xml:space="preserve">OR = 1.03 (95% CI, 0.91 to 1.15)</t>
  </si>
  <si>
    <t xml:space="preserve">OR = 0.79 (95% CI, 0.58 to 1.08)</t>
  </si>
  <si>
    <t xml:space="preserve">OR = 0.999 (95% CI, 0.971 to 1.028)</t>
  </si>
  <si>
    <t xml:space="preserve">.95</t>
  </si>
  <si>
    <t xml:space="preserve">NOTE: 1 model(s) carry a small-sample caution or failed - see the Note column. Interpret flagged estimates cautiously.</t>
  </si>
  <si>
    <t xml:space="preserve">Adjusted regression - unmatched cohort (covariates: Age_Years, Preop_SEQ_D, Preop_Pachymetry_um; robust SE (Mancl-DeRouen), t reference; working correlation: exchangeable unless the Model column of the full models below names another; crude columns: the group alone, fitted on the same eyes)</t>
  </si>
  <si>
    <t xml:space="preserve">Crude effect, same eyes (95% CI)</t>
  </si>
  <si>
    <t xml:space="preserve">Crude P, same eyes</t>
  </si>
  <si>
    <t xml:space="preserve">n</t>
  </si>
  <si>
    <t xml:space="preserve">β = -0.94 (95% CI, -5.04 to 3.15)</t>
  </si>
  <si>
    <t xml:space="preserve">β = -0.37 (95% CI, -0.51 to -0.23)</t>
  </si>
  <si>
    <t xml:space="preserve">β = 0.00 (95% CI, -0.04 to 0.04)</t>
  </si>
  <si>
    <t xml:space="preserve">Skipped: ordinal outcome</t>
  </si>
  <si>
    <t xml:space="preserve">OR = 6.49 (95% CI, 2.55 to 16.54)</t>
  </si>
  <si>
    <t xml:space="preserve">OR = 1.39 (95% CI, 0.45 to 4.26)</t>
  </si>
  <si>
    <t xml:space="preserve">.56</t>
  </si>
  <si>
    <t xml:space="preserve">CAUTION: only 18 eyes in the smaller outcome class for 4 parameters (&lt;10 per parameter) - possible overfitting</t>
  </si>
  <si>
    <t xml:space="preserve">Skipped: categorical outcome</t>
  </si>
  <si>
    <t xml:space="preserve">Full models (every term)</t>
  </si>
  <si>
    <t xml:space="preserve">Linear GEE (β), working correlation: exchangeable</t>
  </si>
  <si>
    <t xml:space="preserve">Logistic GEE (OR), working correlation: exchangeable</t>
  </si>
  <si>
    <t xml:space="preserve">PSM settings</t>
  </si>
  <si>
    <t xml:space="preserve">Setting</t>
  </si>
  <si>
    <t xml:space="preserve">Matching method</t>
  </si>
  <si>
    <t xml:space="preserve">nearest</t>
  </si>
  <si>
    <t xml:space="preserve">Distance</t>
  </si>
  <si>
    <t xml:space="preserve">propensity score, logit scale (MatchIt link linear.logit)</t>
  </si>
  <si>
    <t xml:space="preserve">Propensity score scale</t>
  </si>
  <si>
    <t xml:space="preserve">logit of the propensity score</t>
  </si>
  <si>
    <t xml:space="preserve">Ratio</t>
  </si>
  <si>
    <t xml:space="preserve">2</t>
  </si>
  <si>
    <t xml:space="preserve">Replacement</t>
  </si>
  <si>
    <t xml:space="preserve">no</t>
  </si>
  <si>
    <t xml:space="preserve">Caliper</t>
  </si>
  <si>
    <t xml:space="preserve">0.2 SD of the logit of the propensity score (= 0.325 on that scale)</t>
  </si>
  <si>
    <t xml:space="preserve">Standardized caliper</t>
  </si>
  <si>
    <t xml:space="preserve">yes</t>
  </si>
  <si>
    <t xml:space="preserve">Matching order</t>
  </si>
  <si>
    <t xml:space="preserve">largest</t>
  </si>
  <si>
    <t xml:space="preserve">Random seed (matching)</t>
  </si>
  <si>
    <t xml:space="preserve">20250601</t>
  </si>
  <si>
    <t xml:space="preserve">Reference group</t>
  </si>
  <si>
    <t xml:space="preserve">Patient ID (clustering for GEE only; not used in matching)</t>
  </si>
  <si>
    <t xml:space="preserve">PatientID</t>
  </si>
  <si>
    <t xml:space="preserve">Matched analyses</t>
  </si>
  <si>
    <t xml:space="preserve">Matched analyses use an independence working correlation with robust standard errors clustered by patient; matched sets (pairs) are not used as clusters.</t>
  </si>
  <si>
    <t xml:space="preserve">Matching covariates</t>
  </si>
  <si>
    <t xml:space="preserve">Matching covariate</t>
  </si>
  <si>
    <t xml:space="preserve">Covariate balance (cobalt; standardized differences for every covariate)</t>
  </si>
  <si>
    <t xml:space="preserve">Variable</t>
  </si>
  <si>
    <t xml:space="preserve">Type</t>
  </si>
  <si>
    <t xml:space="preserve">Standardized difference before matching</t>
  </si>
  <si>
    <t xml:space="preserve">Standardized difference after matching</t>
  </si>
  <si>
    <t xml:space="preserve">Balanced (|SMD| &lt; 0.1)</t>
  </si>
  <si>
    <t xml:space="preserve">Propensity score (logit)</t>
  </si>
  <si>
    <t xml:space="preserve">Continuous</t>
  </si>
  <si>
    <t xml:space="preserve">Propensity-score distribution (logit of the propensity score; matched rows)</t>
  </si>
  <si>
    <t xml:space="preserve">Matching weight</t>
  </si>
  <si>
    <t xml:space="preserve">NOTE: Models weighted by the matching weights - working correlation: independence (weighted), robust SE (Mancl-DeRouen), t reference. Matched analyses use an independence working correlation with robust standard errors clustered by patient; matched sets (pairs) are not used as clusters. 4 outcome(s) are per-patient variables: modeled on one row per patient by a GEE with an independence working correlation and the robust SE clustered by patient (robust SE (Mancl-DeRouen), t reference; matched cohort), never by an eye-level GEE - see the 'Model' column.</t>
  </si>
  <si>
    <t xml:space="preserve">GEE - baseline</t>
  </si>
  <si>
    <t xml:space="preserve">Mean = 36.14 (95% CI, 34.12 to 38.17)</t>
  </si>
  <si>
    <t xml:space="preserve">GEE Gaussian, per patient (one row per patient), working correlation: independence (weighted), 75 patients</t>
  </si>
  <si>
    <t xml:space="preserve">β = 0.04 (95% CI, -3.24 to 3.33)</t>
  </si>
  <si>
    <t xml:space="preserve">Mean = -4.36 (95% CI, -5.05 to -3.68)</t>
  </si>
  <si>
    <t xml:space="preserve">GEE Gaussian, working correlation: independence (weighted)</t>
  </si>
  <si>
    <t xml:space="preserve">β = -0.32 (95% CI, -1.34 to 0.69)</t>
  </si>
  <si>
    <t xml:space="preserve">Mean = -3.93 (95% CI, -4.60 to -3.26)</t>
  </si>
  <si>
    <t xml:space="preserve">β = -0.32 (95% CI, -1.33 to 0.69)</t>
  </si>
  <si>
    <t xml:space="preserve">Mean = -0.87 (95% CI, -1.01 to -0.73)</t>
  </si>
  <si>
    <t xml:space="preserve">β = -0.01 (95% CI, -0.21 to 0.19)</t>
  </si>
  <si>
    <t xml:space="preserve">.93</t>
  </si>
  <si>
    <t xml:space="preserve">Mean = 1.14 (95% CI, 0.97 to 1.32)</t>
  </si>
  <si>
    <t xml:space="preserve">β = 0.08 (95% CI, -0.17 to 0.34)</t>
  </si>
  <si>
    <t xml:space="preserve">Mean = -0.02 (95% CI, -0.04 to 0.00)</t>
  </si>
  <si>
    <t xml:space="preserve">β = 0.00 (95% CI, -0.03 to 0.03)</t>
  </si>
  <si>
    <t xml:space="preserve">Mean = 525.46 (95% CI, 517.85 to 533.08)</t>
  </si>
  <si>
    <t xml:space="preserve">β = -0.42 (95% CI, -10.59 to 9.76)</t>
  </si>
  <si>
    <t xml:space="preserve">Mean = 43.63 (95% CI, 43.14 to 44.12)</t>
  </si>
  <si>
    <t xml:space="preserve">β = -0.26 (95% CI, -0.95 to 0.43)</t>
  </si>
  <si>
    <t xml:space="preserve">.45</t>
  </si>
  <si>
    <t xml:space="preserve">Odds = 2.08 (95% CI, 1.02 to 4.23)</t>
  </si>
  <si>
    <t xml:space="preserve">GEE Binomial, per patient (one row per patient), working correlation: independence (weighted), 75 patients</t>
  </si>
  <si>
    <t xml:space="preserve">OR = 0.65 (95% CI, 0.24 to 1.80)</t>
  </si>
  <si>
    <t xml:space="preserve">Odds = 0.24 (95% CI, 0.10 to 0.58)</t>
  </si>
  <si>
    <t xml:space="preserve">GEE Binomial, per patient (one row per patient), working correlation: independence (weighted), 71 patients</t>
  </si>
  <si>
    <t xml:space="preserve">OR = 0.45 (95% CI, 0.10 to 2.12)</t>
  </si>
  <si>
    <t xml:space="preserve">.31</t>
  </si>
  <si>
    <t xml:space="preserve">GEE - preop/intraop</t>
  </si>
  <si>
    <t xml:space="preserve">Mean = 6.48 (95% CI, 6.43 to 6.53)</t>
  </si>
  <si>
    <t xml:space="preserve">β = -0.02 (95% CI, -0.09 to 0.05)</t>
  </si>
  <si>
    <t xml:space="preserve">.59</t>
  </si>
  <si>
    <t xml:space="preserve">Mean = 66.86 (95% CI, 57.64 to 76.07)</t>
  </si>
  <si>
    <t xml:space="preserve">β = 3.81 (95% CI, -10.06 to 17.68)</t>
  </si>
  <si>
    <t xml:space="preserve">GEE - outcomes</t>
  </si>
  <si>
    <t xml:space="preserve">Mean = 181.64 (95% CI, 177.63 to 185.64)</t>
  </si>
  <si>
    <t xml:space="preserve">β = -4.32 (95% CI, -10.82 to 2.18)</t>
  </si>
  <si>
    <t xml:space="preserve">.19</t>
  </si>
  <si>
    <t xml:space="preserve">Mean = -0.07 (95% CI, -0.22 to 0.08)</t>
  </si>
  <si>
    <t xml:space="preserve">.36</t>
  </si>
  <si>
    <t xml:space="preserve">β = -0.22 (95% CI, -0.42 to -0.03)</t>
  </si>
  <si>
    <t xml:space="preserve">Mean = -0.24 (95% CI, -0.30 to -0.18)</t>
  </si>
  <si>
    <t xml:space="preserve">Mean = -0.04 (95% CI, -0.07 to -0.01)</t>
  </si>
  <si>
    <t xml:space="preserve">β = 0.03 (95% CI, -0.02 to 0.08)</t>
  </si>
  <si>
    <t xml:space="preserve">Mean = -0.08 (95% CI, -0.11 to -0.04)</t>
  </si>
  <si>
    <t xml:space="preserve">β = 0.02 (95% CI, -0.02 to 0.07)</t>
  </si>
  <si>
    <t xml:space="preserve">.34</t>
  </si>
  <si>
    <t xml:space="preserve">Odds = 0.22 (95% CI, 0.09 to 0.57)</t>
  </si>
  <si>
    <t xml:space="preserve">GEE Binomial, working correlation: independence (weighted)</t>
  </si>
  <si>
    <t xml:space="preserve">OR = 4.50 (95% CI, 1.42 to 14.27)</t>
  </si>
  <si>
    <t xml:space="preserve">Odds = 0.12 (95% CI, 0.03 to 0.44)</t>
  </si>
  <si>
    <t xml:space="preserve">OR = 0.74 (95% CI, 0.12 to 4.52)</t>
  </si>
  <si>
    <t xml:space="preserve">Adjusted GEE - baseline</t>
  </si>
  <si>
    <t xml:space="preserve">Not adjusted for itself (own value omitted from the covariates). GEE Gaussian, per patient (one row per patient), working correlation: independence (weighted), 75 patients; Preop_SEQ_D, Preop_Pachymetry_um averaged over each patient's eyes</t>
  </si>
  <si>
    <t xml:space="preserve">β = 0.45 (95% CI, -2.82 to 3.71)</t>
  </si>
  <si>
    <t xml:space="preserve">β = 0.65 (95% CI, -0.21 to 1.51)</t>
  </si>
  <si>
    <t xml:space="preserve">β = 0.097 (95% CI, 0.016 to 0.179)</t>
  </si>
  <si>
    <t xml:space="preserve">Not adjusted for itself (own value omitted from the covariates). GEE Gaussian, working correlation: independence (weighted)</t>
  </si>
  <si>
    <t xml:space="preserve">β = -0.34 (95% CI, -1.34 to 0.65)</t>
  </si>
  <si>
    <t xml:space="preserve">β = 0.030 (95% CI, -0.036 to 0.096)</t>
  </si>
  <si>
    <t xml:space="preserve">.37</t>
  </si>
  <si>
    <t xml:space="preserve">β = -0.029 (95% CI, -0.053 to -0.004)</t>
  </si>
  <si>
    <t xml:space="preserve">.75</t>
  </si>
  <si>
    <t xml:space="preserve">β = 0.00 (95% CI, -0.10 to 0.11)</t>
  </si>
  <si>
    <t xml:space="preserve">.97</t>
  </si>
  <si>
    <t xml:space="preserve">β = 0.0017 (95% CI, -0.0057 to 0.0092)</t>
  </si>
  <si>
    <t xml:space="preserve">β = 0.99 (95% CI, 0.97 to 1.02)</t>
  </si>
  <si>
    <t xml:space="preserve">β = 0.0002 (95% CI, -0.0025 to 0.0030)</t>
  </si>
  <si>
    <t xml:space="preserve">.86</t>
  </si>
  <si>
    <t xml:space="preserve">β = 0.00 (95% CI, -0.22 to 0.21)</t>
  </si>
  <si>
    <t xml:space="preserve">β = -0.003 (95% CI, -0.018 to 0.011)</t>
  </si>
  <si>
    <t xml:space="preserve">β = 0.013 (95% CI, -0.039 to 0.065)</t>
  </si>
  <si>
    <t xml:space="preserve">β = -0.0005 (95% CI, -0.0060 to 0.0050)</t>
  </si>
  <si>
    <t xml:space="preserve">β = 0.00 (95% CI, -0.08 to 0.08)</t>
  </si>
  <si>
    <t xml:space="preserve">β = 0.0034 (95% CI, -0.0011 to 0.0080)</t>
  </si>
  <si>
    <t xml:space="preserve">β = -0.24 (95% CI, -0.28 to -0.21)</t>
  </si>
  <si>
    <t xml:space="preserve">β = -0.0017 (95% CI, -0.0037 to 0.0002)</t>
  </si>
  <si>
    <t xml:space="preserve">β = -0.01 (95% CI, -0.04 to 0.02)</t>
  </si>
  <si>
    <t xml:space="preserve">β = 0.0004 (95% CI, -0.0017 to 0.0025)</t>
  </si>
  <si>
    <t xml:space="preserve">β = -0.014 (95% CI, -0.023 to -0.006)</t>
  </si>
  <si>
    <t xml:space="preserve">β = -0.0006 (95% CI, -0.0013 to 0.0000)</t>
  </si>
  <si>
    <t xml:space="preserve">β = -1.55 (95% CI, -10.74 to 7.64)</t>
  </si>
  <si>
    <t xml:space="preserve">β = 0.85 (95% CI, 0.33 to 1.37)</t>
  </si>
  <si>
    <t xml:space="preserve">β = -2.95 (95% CI, -5.00 to -0.90)</t>
  </si>
  <si>
    <t xml:space="preserve">.005</t>
  </si>
  <si>
    <t xml:space="preserve">β = -0.25 (95% CI, -0.95 to 0.45)</t>
  </si>
  <si>
    <t xml:space="preserve">β = -0.013 (95% CI, -0.059 to 0.032)</t>
  </si>
  <si>
    <t xml:space="preserve">.55</t>
  </si>
  <si>
    <t xml:space="preserve">β = 0.04 (95% CI, -0.16 to 0.24)</t>
  </si>
  <si>
    <t xml:space="preserve">.70</t>
  </si>
  <si>
    <t xml:space="preserve">β = -0.006 (95% CI, -0.026 to 0.015)</t>
  </si>
  <si>
    <t xml:space="preserve">GEE Binomial, per patient (one row per patient), working correlation: independence (weighted), 75 patients; Preop_SEQ_D, Preop_Pachymetry_um averaged over each patient's eyes</t>
  </si>
  <si>
    <t xml:space="preserve">OR = 0.62 (95% CI, 0.19 to 1.96)</t>
  </si>
  <si>
    <t xml:space="preserve">OR = 1.11 (95% CI, 1.02 to 1.22)</t>
  </si>
  <si>
    <t xml:space="preserve">OR = 0.96 (95% CI, 0.71 to 1.31)</t>
  </si>
  <si>
    <t xml:space="preserve">.80</t>
  </si>
  <si>
    <t xml:space="preserve">OR = 0.996 (95% CI, 0.964 to 1.030)</t>
  </si>
  <si>
    <t xml:space="preserve">GEE Binomial, per patient (one row per patient), working correlation: independence (weighted), 71 patients; Preop_SEQ_D, Preop_Pachymetry_um averaged over each patient's eyes</t>
  </si>
  <si>
    <t xml:space="preserve">OR = 0.48 (95% CI, 0.09 to 2.64)</t>
  </si>
  <si>
    <t xml:space="preserve">.39</t>
  </si>
  <si>
    <t xml:space="preserve">OR = 1.00 (95% CI, 0.86 to 1.17)</t>
  </si>
  <si>
    <t xml:space="preserve">OR = 1.09 (95% CI, 0.73 to 1.64)</t>
  </si>
  <si>
    <t xml:space="preserve">.66</t>
  </si>
  <si>
    <t xml:space="preserve">OR = 1.007 (95% CI, 0.974 to 1.042)</t>
  </si>
  <si>
    <t xml:space="preserve">Adjusted GEE - preop/intraop</t>
  </si>
  <si>
    <t xml:space="preserve">GEE Gaussian, per patient (one row per patient), working correlation: independence (weighted), 75 patients; Preop_SEQ_D, Preop_Pachymetry_um averaged over each patient's eyes</t>
  </si>
  <si>
    <t xml:space="preserve">β = 0.00 (95% CI, -0.06 to 0.06)</t>
  </si>
  <si>
    <t xml:space="preserve">.88</t>
  </si>
  <si>
    <t xml:space="preserve">β = 0.0020 (95% CI, -0.0021 to 0.0061)</t>
  </si>
  <si>
    <t xml:space="preserve">β = 0.047 (95% CI, 0.030 to 0.065)</t>
  </si>
  <si>
    <t xml:space="preserve">β = 0.0001 (95% CI, -0.0017 to 0.0019)</t>
  </si>
  <si>
    <t xml:space="preserve">.92</t>
  </si>
  <si>
    <t xml:space="preserve">β = -0.61 (95% CI, -3.28 to 2.06)</t>
  </si>
  <si>
    <t xml:space="preserve">β = 0.17 (95% CI, 0.01 to 0.33)</t>
  </si>
  <si>
    <t xml:space="preserve">β = -13.54 (95% CI, -14.29 to -12.80)</t>
  </si>
  <si>
    <t xml:space="preserve">β = -0.029 (95% CI, -0.101 to 0.042)</t>
  </si>
  <si>
    <t xml:space="preserve">.42</t>
  </si>
  <si>
    <t xml:space="preserve">Adjusted GEE - outcomes</t>
  </si>
  <si>
    <t xml:space="preserve">β = -4.29 (95% CI, -11.10 to 2.52)</t>
  </si>
  <si>
    <t xml:space="preserve">β = 0.27 (95% CI, -0.22 to 0.76)</t>
  </si>
  <si>
    <t xml:space="preserve">β = -0.04 (95% CI, -1.58 to 1.50)</t>
  </si>
  <si>
    <t xml:space="preserve">β = -0.02 (95% CI, -0.15 to 0.12)</t>
  </si>
  <si>
    <t xml:space="preserve">β = -0.21 (95% CI, -0.39 to -0.02)</t>
  </si>
  <si>
    <t xml:space="preserve">β = -0.018 (95% CI, -0.036 to 0.000)</t>
  </si>
  <si>
    <t xml:space="preserve">.05</t>
  </si>
  <si>
    <t xml:space="preserve">β = 0.071 (95% CI, 0.014 to 0.128)</t>
  </si>
  <si>
    <t xml:space="preserve">β = 0.0028 (95% CI, -0.0016 to 0.0072)</t>
  </si>
  <si>
    <t xml:space="preserve">β = 0.04 (95% CI, -0.04 to 0.12)</t>
  </si>
  <si>
    <t xml:space="preserve">β = -0.0032 (95% CI, -0.0099 to 0.0036)</t>
  </si>
  <si>
    <t xml:space="preserve">β = 0.015 (95% CI, -0.007 to 0.036)</t>
  </si>
  <si>
    <t xml:space="preserve">.17</t>
  </si>
  <si>
    <t xml:space="preserve">β = 0.0016 (95% CI, -0.0006 to 0.0038)</t>
  </si>
  <si>
    <t xml:space="preserve">β = 0.02 (95% CI, -0.03 to 0.07)</t>
  </si>
  <si>
    <t xml:space="preserve">β = 0.0031 (95% CI, -0.0002 to 0.0065)</t>
  </si>
  <si>
    <t xml:space="preserve">β = -0.014 (95% CI, -0.025 to -0.002)</t>
  </si>
  <si>
    <t xml:space="preserve">β = -0.0010 (95% CI, -0.0021 to 0.0001)</t>
  </si>
  <si>
    <t xml:space="preserve">β = -0.0006 (95% CI, -0.0046 to 0.0034)</t>
  </si>
  <si>
    <t xml:space="preserve">β = -0.005 (95% CI, -0.020 to 0.011)</t>
  </si>
  <si>
    <t xml:space="preserve">β = 0.0000 (95% CI, -0.0012 to 0.0012)</t>
  </si>
  <si>
    <t xml:space="preserve">OR = 4.41 (95% CI, 1.29 to 15.07)</t>
  </si>
  <si>
    <t xml:space="preserve">OR = 1.024 (95% CI, 0.928 to 1.131)</t>
  </si>
  <si>
    <t xml:space="preserve">.63</t>
  </si>
  <si>
    <t xml:space="preserve">OR = 0.84 (95% CI, 0.61 to 1.16)</t>
  </si>
  <si>
    <t xml:space="preserve">OR = 0.986 (95% CI, 0.957 to 1.017)</t>
  </si>
  <si>
    <t xml:space="preserve">OR = 0.71 (95% CI, 0.09 to 5.33)</t>
  </si>
  <si>
    <t xml:space="preserve">OR = 1.02 (95% CI, 0.77 to 1.36)</t>
  </si>
  <si>
    <t xml:space="preserve">OR = 0.79 (95% CI, 0.54 to 1.17)</t>
  </si>
  <si>
    <t xml:space="preserve">OR = 0.999 (95% CI, 0.966 to 1.032)</t>
  </si>
  <si>
    <t xml:space="preserve">NOTE: 2 model(s) carry a small-sample caution or failed - see the Note column. Interpret flagged estimates cautiously.</t>
  </si>
  <si>
    <t xml:space="preserve">Adjusted regression - matched cohort (Cohort A_vs_Reference) (covariates: Age_Years, Preop_SEQ_D, Preop_Pachymetry_um; robust SE (Mancl-DeRouen), t reference; working correlation: independence; crude columns: the group alone, fitted on the same eyes)</t>
  </si>
  <si>
    <t xml:space="preserve">93</t>
  </si>
  <si>
    <t xml:space="preserve">90</t>
  </si>
  <si>
    <t xml:space="preserve">93 (27 events)</t>
  </si>
  <si>
    <t xml:space="preserve">CAUTION: only 27 eyes in the smaller outcome class for 4 parameters (&lt;10 per parameter) - possible overfitting</t>
  </si>
  <si>
    <t xml:space="preserve">93 (8 events)</t>
  </si>
  <si>
    <t xml:space="preserve">CAUTION: only 8 eyes in the smaller outcome class for 4 parameters (&lt;10 per parameter) - possible overfitting</t>
  </si>
  <si>
    <t xml:space="preserve">Linear GEE (β), working correlation: independence (weighted)</t>
  </si>
  <si>
    <t xml:space="preserve">Logistic GEE (OR), working correlation: independence (weighted)</t>
  </si>
  <si>
    <t xml:space="preserve">NOTE: the matched cohort carries non-unit matching weights (0.714-1.43). Descriptives and the table tests are weighted by the MatchIt weights (weighted Wald test, GEE robust SE); n = matched rows, ESS = effective sample size. The GEE / adjusted-regression columns are weighted too. Within-group sections and the mEYEstro / AstigMATIC tabs list the matched rows unweighted. Matched analyses use an independence working correlation with robust standard errors clustered by patient; matched sets (pairs) are not used as clusters.</t>
  </si>
  <si>
    <t xml:space="preserve">Baseline (matched)</t>
  </si>
  <si>
    <t xml:space="preserve">Reference (n = 60 eyes; 42 patients, ESS = 53)</t>
  </si>
  <si>
    <t xml:space="preserve">Cohort A (n = 42 eyes; 33 patients, ESS = 42)</t>
  </si>
  <si>
    <t xml:space="preserve">36.14 ± 6.67</t>
  </si>
  <si>
    <t xml:space="preserve">36.18 ± 7.34</t>
  </si>
  <si>
    <t xml:space="preserve">Weighted Wald test (GEE, robust SE (Mancl-DeRouen), t reference)</t>
  </si>
  <si>
    <t xml:space="preserve">.98 [one row per patient]</t>
  </si>
  <si>
    <t xml:space="preserve">-4.36 ± 1.87</t>
  </si>
  <si>
    <t xml:space="preserve">-4.69 ± 2.03</t>
  </si>
  <si>
    <t xml:space="preserve">-3.93 ± 1.86</t>
  </si>
  <si>
    <t xml:space="preserve">-4.25 ± 2.05</t>
  </si>
  <si>
    <t xml:space="preserve">-0.87 ± 0.46</t>
  </si>
  <si>
    <t xml:space="preserve">-0.88 ± 0.40</t>
  </si>
  <si>
    <t xml:space="preserve">20/277 (1.14 ± 0.49 logMAR); range 20/16 to 20/1000</t>
  </si>
  <si>
    <t xml:space="preserve">20/336 (1.23 ± 0.48 logMAR); range 20/25 to 20/1000</t>
  </si>
  <si>
    <t xml:space="preserve">20/19 (-0.02 ± 0.07 logMAR); range 20/12.5 to 20/25</t>
  </si>
  <si>
    <t xml:space="preserve">20/19 (-0.03 ± 0.05 logMAR); range 20/16 to 20/25</t>
  </si>
  <si>
    <t xml:space="preserve">525.46 ± 21.61</t>
  </si>
  <si>
    <t xml:space="preserve">525.05 ± 18.77</t>
  </si>
  <si>
    <t xml:space="preserve">43.63 ± 1.40 (n = 57)</t>
  </si>
  <si>
    <t xml:space="preserve">43.37 ± 1.31 (n = 41)</t>
  </si>
  <si>
    <t xml:space="preserve">.54</t>
  </si>
  <si>
    <t xml:space="preserve">Weighted Wald test on ranks (GEE, robust SE (Mancl-DeRouen), t reference)</t>
  </si>
  <si>
    <t xml:space="preserve">27.5/40.7 (67.5%)</t>
  </si>
  <si>
    <t xml:space="preserve">19/33 (57.6%)</t>
  </si>
  <si>
    <t xml:space="preserve">.40 [one row per patient]</t>
  </si>
  <si>
    <t xml:space="preserve">7.5/39.3 (19.1%)</t>
  </si>
  <si>
    <t xml:space="preserve">3/31 (9.7%)</t>
  </si>
  <si>
    <t xml:space="preserve">.31 [one row per patient]</t>
  </si>
  <si>
    <t xml:space="preserve">14.3/40.7 (35.1%)</t>
  </si>
  <si>
    <t xml:space="preserve">14/33 (42.4%)</t>
  </si>
  <si>
    <t xml:space="preserve">Weighted Wald test on level indicators (GEE, robust SE (Mancl-DeRouen), F reference)</t>
  </si>
  <si>
    <t xml:space="preserve">13.2/40.7 (32.5%)</t>
  </si>
  <si>
    <t xml:space="preserve">11/33 (33.3%)</t>
  </si>
  <si>
    <t xml:space="preserve">8/33 (24.2%)</t>
  </si>
  <si>
    <t xml:space="preserve">Preoperative / intraoperative (matched)</t>
  </si>
  <si>
    <t xml:space="preserve">6.48 ± 0.16</t>
  </si>
  <si>
    <t xml:space="preserve">6.46 ± 0.14</t>
  </si>
  <si>
    <t xml:space="preserve">.59 [one row per patient]</t>
  </si>
  <si>
    <t xml:space="preserve">66.86 ± 25.48</t>
  </si>
  <si>
    <t xml:space="preserve">70.67 ± 28.17</t>
  </si>
  <si>
    <t xml:space="preserve">60/60 (100.0%)</t>
  </si>
  <si>
    <t xml:space="preserve">42/42 (100.0%)</t>
  </si>
  <si>
    <t xml:space="preserve">181.64 ± 14.16 (n = 55)</t>
  </si>
  <si>
    <t xml:space="preserve">177.32 ± 15.47 (n = 38)</t>
  </si>
  <si>
    <t xml:space="preserve">-0.07 ± 0.40 (n = 55)</t>
  </si>
  <si>
    <t xml:space="preserve">-0.29 ± 0.33 (n = 38)</t>
  </si>
  <si>
    <t xml:space="preserve">-0.24 ± 0.18 (n = 55)</t>
  </si>
  <si>
    <t xml:space="preserve">-0.21 ± 0.12 (n = 38)</t>
  </si>
  <si>
    <t xml:space="preserve">20/18 (-0.04 ± 0.09 logMAR); range 20/12.5 to 20/32 (n = 53)</t>
  </si>
  <si>
    <t xml:space="preserve">20/19 (-0.01 ± 0.10 logMAR); range 20/12.5 to 20/40 (n = 37)</t>
  </si>
  <si>
    <t xml:space="preserve">20/17 (-0.08 ± 0.09 logMAR); range 20/12.5 to 20/25 (n = 55)</t>
  </si>
  <si>
    <t xml:space="preserve">20/18 (-0.06 ± 0.08 logMAR); range 20/12.5 to 20/25 (n = 38)</t>
  </si>
  <si>
    <t xml:space="preserve">0 [0–1] (n = 55)</t>
  </si>
  <si>
    <t xml:space="preserve">0 [0–1] (n = 38)</t>
  </si>
  <si>
    <t xml:space="preserve">5 [4–5] (n = 49)</t>
  </si>
  <si>
    <t xml:space="preserve">4 [3–5] (n = 36)</t>
  </si>
  <si>
    <t xml:space="preserve">10/55 (18.2%)</t>
  </si>
  <si>
    <t xml:space="preserve">19/38 (50.0%)</t>
  </si>
  <si>
    <t xml:space="preserve">5.7/55 (10.4%)</t>
  </si>
  <si>
    <t xml:space="preserve">3/38 (7.9%)</t>
  </si>
  <si>
    <t xml:space="preserve">4.3/60 (7.1%)</t>
  </si>
  <si>
    <t xml:space="preserve">1/42 (2.4%)</t>
  </si>
  <si>
    <t xml:space="preserve">1.4/60 (2.4%)</t>
  </si>
  <si>
    <t xml:space="preserve">2/42 (4.8%)</t>
  </si>
  <si>
    <t xml:space="preserve">54.3/60 (90.5%)</t>
  </si>
  <si>
    <t xml:space="preserve">39/42 (92.9%)</t>
  </si>
  <si>
    <t xml:space="preserve">- Weighted by the matching weights: counts are sums of weights (hence decimals), and ESS = effective sample size, (sum of weights)² / sum of squared weights.</t>
  </si>
  <si>
    <t xml:space="preserve">- Weighted Wald test (GEE, robust SE (Mancl-DeRouen), t reference): Age_Years; Preop_SEQ_D; Preop_Sphere_D; Preop_Cylinder_D; Preop_UDVA; Preop_CDVA; Preop_Pachymetry_um; Preop_Mean_K_D; Sex; Smoker; Optical_Zone_mm; Ablation_or_Lenticule_Depth_um; FollowUp_Days; Postop_SEQ_D; Postop_Cylinder_D; Postop_UDVA; Postop_CDVA; DryEye_Symptoms; Retreatment_Required.</t>
  </si>
  <si>
    <t xml:space="preserve">- Weighted Wald test on ranks (GEE, robust SE (Mancl-DeRouen), t reference): Preop_DryEye_Grade; Postop_Haze_Grade; Patient_Satisfaction_1to5.</t>
  </si>
  <si>
    <t xml:space="preserve">- Weighted Wald test on level indicators (GEE, robust SE (Mancl-DeRouen), F reference): Surgeon; Complication_Type.</t>
  </si>
  <si>
    <t xml:space="preserve">Astigmatism per the JCRS 2025 standard (Koch et al., Part II), matched cohort Cohort A vs Reference: plus-cylinder format, with-the-rule astigmatism on the left of the double-angle plots. Cohorts: Reference, Cohort A (reference: Reference). Tests clustered by patient. Matched rows, unweighted: the matching weights (0.714-1.43) are not applied to the astigmatism statistics or tests; the weighted matched tables (Out_M_) can therefore differ.</t>
  </si>
  <si>
    <t xml:space="preserve">0.34 D @ 87°</t>
  </si>
  <si>
    <t xml:space="preserve">depth-based convex polygon (as in the WHWK functions): 60 of 60 eyes (the depth rule removed no eye: the region is the convex hull of all eyes)</t>
  </si>
  <si>
    <t xml:space="preserve">bootstrap convex polygon of the centroid (as in the WHWK functions): 964 of 999 bootstrap centroids (bootstrap over patients, 42 patients)</t>
  </si>
  <si>
    <t xml:space="preserve">0.43 D @ 83°</t>
  </si>
  <si>
    <t xml:space="preserve">depth-based convex polygon (as in the WHWK functions): 42 of 42 eyes (the depth rule removed no eye: the region is the convex hull of all eyes)</t>
  </si>
  <si>
    <t xml:space="preserve">bootstrap convex polygon of the centroid (as in the WHWK functions): 969 of 999 bootstrap centroids (bootstrap over patients, 33 patients)</t>
  </si>
  <si>
    <t xml:space="preserve">0.37 D @ 1°</t>
  </si>
  <si>
    <t xml:space="preserve">depth-based convex polygon (as in the WHWK functions): 55 of 55 eyes (the depth rule removed no eye: the region is the convex hull of all eyes)</t>
  </si>
  <si>
    <t xml:space="preserve">bootstrap convex polygon of the centroid (as in the WHWK functions): 969 of 999 bootstrap centroids (bootstrap over patients, 39 patients)</t>
  </si>
  <si>
    <t xml:space="preserve">0.36 D @ 176°</t>
  </si>
  <si>
    <t xml:space="preserve">depth-based convex polygon (as in the WHWK functions): 38 of 38 eyes (the depth rule removed no eye: the region is the convex hull of all eyes)</t>
  </si>
  <si>
    <t xml:space="preserve">bootstrap convex polygon of the centroid (as in the WHWK functions): 974 of 999 bootstrap centroids (bootstrap over patients, 30 patients)</t>
  </si>
  <si>
    <t xml:space="preserve">0.05 D @ 57°</t>
  </si>
  <si>
    <t xml:space="preserve">0.03 D @ 59°</t>
  </si>
  <si>
    <t xml:space="preserve">Reference 0.34 D @ 87°; Cohort A 0.43 D @ 83°</t>
  </si>
  <si>
    <t xml:space="preserve">20%-trimmed mean: Reference 0.73 D; Cohort A 0.71 D</t>
  </si>
  <si>
    <t xml:space="preserve">20%-trimmed mean: Reference 0.75 D; Cohort A 0.85 D</t>
  </si>
  <si>
    <t xml:space="preserve">Reference 8.3%; Cohort A 11.9%</t>
  </si>
  <si>
    <t xml:space="preserve">Reference 36.7%; Cohort A 26.2%</t>
  </si>
  <si>
    <t xml:space="preserve">Reference 63.3%; Cohort A 54.8%</t>
  </si>
  <si>
    <t xml:space="preserve">Reference 80.0%; Cohort A 76.2%</t>
  </si>
  <si>
    <t xml:space="preserve">Reference 88.3%; Cohort A 83.3%</t>
  </si>
  <si>
    <t xml:space="preserve">Reference 91.7%; Cohort A 97.6%</t>
  </si>
  <si>
    <t xml:space="preserve">Reference 95.0%; Cohort A 100.0%</t>
  </si>
  <si>
    <t xml:space="preserve">Reference 96.7%; Cohort A 100.0%</t>
  </si>
  <si>
    <t xml:space="preserve">.46</t>
  </si>
  <si>
    <t xml:space="preserve">Reference 0.37 D @ 1°; Cohort A 0.36 D @ 176°</t>
  </si>
  <si>
    <t xml:space="preserve">20%-trimmed mean: Reference 0.75 D; Cohort A 0.71 D</t>
  </si>
  <si>
    <t xml:space="preserve">20%-trimmed mean: Reference 0.79 D; Cohort A 0.77 D</t>
  </si>
  <si>
    <t xml:space="preserve">Reference 5.5%; Cohort A 7.9%</t>
  </si>
  <si>
    <t xml:space="preserve">Reference 25.5%; Cohort A 26.3%</t>
  </si>
  <si>
    <t xml:space="preserve">Reference 54.5%; Cohort A 52.6%</t>
  </si>
  <si>
    <t xml:space="preserve">Reference 69.1%; Cohort A 71.1%</t>
  </si>
  <si>
    <t xml:space="preserve">Reference 80.0%; Cohort A 81.6%</t>
  </si>
  <si>
    <t xml:space="preserve">Reference 89.1%; Cohort A 94.7%</t>
  </si>
  <si>
    <t xml:space="preserve">Reference 92.7%; Cohort A 97.4%</t>
  </si>
  <si>
    <t xml:space="preserve">Reference 94.5%; Cohort A 100.0%</t>
  </si>
  <si>
    <t xml:space="preserve">Reference 0.05 D @ 57°; Cohort A 0.03 D @ 59°</t>
  </si>
  <si>
    <t xml:space="preserve">20%-trimmed mean: Reference 0.23 D; Cohort A 0.23 D</t>
  </si>
  <si>
    <t xml:space="preserve">mean: Reference 0.23 D; Cohort A 0.21 D</t>
  </si>
  <si>
    <t xml:space="preserve">Reference 85.5%; Cohort A 94.7%</t>
  </si>
  <si>
    <t xml:space="preserve">Reference 96.4%; Cohort A 100.0%</t>
  </si>
  <si>
    <t xml:space="preserve">.51</t>
  </si>
  <si>
    <t xml:space="preserve">.010</t>
  </si>
  <si>
    <t xml:space="preserve">Not estimable - the discordant eyes are from 1 patient</t>
  </si>
  <si>
    <t xml:space="preserve">0.38 D @ 89°</t>
  </si>
  <si>
    <t xml:space="preserve">0.31 D @ 84°</t>
  </si>
  <si>
    <t xml:space="preserve">0.43 D @ 84°</t>
  </si>
  <si>
    <t xml:space="preserve">0.41 D @ 6°</t>
  </si>
  <si>
    <t xml:space="preserve">0.33 D @ 175°</t>
  </si>
  <si>
    <t xml:space="preserve">0.37 D @ 176°</t>
  </si>
  <si>
    <t xml:space="preserve">0.34 D @ 175°</t>
  </si>
  <si>
    <t xml:space="preserve">0.08 D @ 50°</t>
  </si>
  <si>
    <t xml:space="preserve">0.03 D @ 79°</t>
  </si>
  <si>
    <t xml:space="preserve">0.05 D @ 51°</t>
  </si>
  <si>
    <t xml:space="preserve">0.02 D @ 103°</t>
  </si>
  <si>
    <t xml:space="preserve">StandardEyes version</t>
  </si>
  <si>
    <t xml:space="preserve">1.1.0</t>
  </si>
  <si>
    <t xml:space="preserve">Build</t>
  </si>
  <si>
    <t xml:space="preserve">2026-10-04-se.10</t>
  </si>
  <si>
    <t xml:space="preserve">Run duration (s)</t>
  </si>
  <si>
    <t xml:space="preserve">152.7 (seconds, the whole run: tables, workbooks and figures)</t>
  </si>
  <si>
    <t xml:space="preserve">R version</t>
  </si>
  <si>
    <t xml:space="preserve">R version 4.5.2 (2025-10-31 ucrt)</t>
  </si>
  <si>
    <t xml:space="preserve">MatchIt</t>
  </si>
  <si>
    <t xml:space="preserve">4.7.2</t>
  </si>
  <si>
    <t xml:space="preserve">cobalt</t>
  </si>
  <si>
    <t xml:space="preserve">4.6.1</t>
  </si>
  <si>
    <t xml:space="preserve">geepack</t>
  </si>
  <si>
    <t xml:space="preserve">1.3.13</t>
  </si>
  <si>
    <t xml:space="preserve">ggplot2</t>
  </si>
  <si>
    <t xml:space="preserve">4.0.1</t>
  </si>
  <si>
    <t xml:space="preserve">openxlsx</t>
  </si>
  <si>
    <t xml:space="preserve">4.2.8.1</t>
  </si>
  <si>
    <t xml:space="preserve">Run time</t>
  </si>
  <si>
    <t xml:space="preserve">2026-10-14 02:50:32</t>
  </si>
  <si>
    <t xml:space="preserve">Input file</t>
  </si>
  <si>
    <t xml:space="preserve">Example_Refractive_Dataset.xlsx</t>
  </si>
  <si>
    <t xml:space="preserve">Sheet</t>
  </si>
  <si>
    <t xml:space="preserve">sheet 1 ('Surgeries')</t>
  </si>
  <si>
    <t xml:space="preserve">Input MD5 checksum</t>
  </si>
  <si>
    <t xml:space="preserve">3af4f7a64806cc95d503cf6567ddd3a0</t>
  </si>
  <si>
    <t xml:space="preserve">Run / subset</t>
  </si>
  <si>
    <t xml:space="preserve">PRK: Procedure in {PRK}</t>
  </si>
  <si>
    <t xml:space="preserve">Rows analyzed</t>
  </si>
  <si>
    <t xml:space="preserve">'PatientID'</t>
  </si>
  <si>
    <t xml:space="preserve">Reference = 90; Cohort A = 99</t>
  </si>
  <si>
    <t xml:space="preserve">Filter rules</t>
  </si>
  <si>
    <t xml:space="preserve">Age_Years &gt;= 18; FollowUp_Days between 150 and 210; SurgeryNumber == 1; |Preop_Cylinder_D| &lt;= 5 (a row with a missing value is kept by every rule except 'is missing' / 'is not missing')</t>
  </si>
  <si>
    <t xml:space="preserve">Variables</t>
  </si>
  <si>
    <t xml:space="preserve">Baseline - continuous: Age_Years, Preop_SEQ_D, Preop_Sphere_D, Preop_Cylinder_D, Preop_UDVA, Preop_CDVA, Preop_Pachymetry_um, Preop_Mean_K_D; ordinal: Preop_DryEye_Grade; dichotomous: Sex, Smoker; categorical: Surgeon | Preoperative - continuous: Optical_Zone_mm, Ablation_or_Lenticule_Depth_um; categorical: Procedure | Outcome - continuous: FollowUp_Days, Postop_SEQ_D, Postop_Cylinder_D, Postop_UDVA, Postop_CDVA; ordinal: Postop_Haze_Grade, Patient_Satisfaction_1to5; dichotomous: DryEye_Symptoms, Retreatment_Required; categorical: Complication_Type | preferred levels: Sex = 'F', Smoker = 'Yes', DryEye_Symptoms = 'Yes', Retreatment_Required = 'Yes' | per-patient variables: Age_Years, Sex, Smoker, Optical_Zone_mm, Surgeon</t>
  </si>
  <si>
    <t xml:space="preserve">VA notation</t>
  </si>
  <si>
    <t xml:space="preserve">decimal (1.0 = 20/20)</t>
  </si>
  <si>
    <t xml:space="preserve">logMAR conversion</t>
  </si>
  <si>
    <t xml:space="preserve">on: Preop_UDVA, Preop_CDVA, Postop_UDVA, Postop_CDVA; acuity cells and figure headers read the Snellen geometric mean (logMAR mean ± SD), the table range in Snellen</t>
  </si>
  <si>
    <t xml:space="preserve">Matching</t>
  </si>
  <si>
    <t xml:space="preserve">nearest-neighbor on the propensity score (MatchIt)</t>
  </si>
  <si>
    <t xml:space="preserve">Matching settings</t>
  </si>
  <si>
    <t xml:space="preserve">method nearest, distance: propensity score, logit scale (MatchIt link linear.logit), ratio 2, replacement off, caliper 0.2 SD of the logit of the propensity score, order largest, seed 20250601</t>
  </si>
  <si>
    <t xml:space="preserve">Age_Years, Preop_SEQ_D, Preop_Pachymetry_um, Preop_UDVA</t>
  </si>
  <si>
    <t xml:space="preserve">Matching weights</t>
  </si>
  <si>
    <t xml:space="preserve">non-unit (0.714-1.43); used in the matched tables and in the matched GEE / regression (working correlation: independence (weighted))</t>
  </si>
  <si>
    <t xml:space="preserve">GEE small-sample inference</t>
  </si>
  <si>
    <t xml:space="preserve">md - Mancl-DeRouen bias-corrected robust standard errors with a t reference for single comparisons and intervals and an F reference for joint tests (df = patients - model coefficients)</t>
  </si>
  <si>
    <t xml:space="preserve">GEE working correlation</t>
  </si>
  <si>
    <t xml:space="preserve">exchangeable, kept only if the fit converged, its working correlation is below 0.95 and one further scoring step moves no coefficient by more than 0.01 SE - otherwise refitted with an independence working correlation and labeled so (sheets, tables, figures, run log); independence on matched cohorts; variables marked per patient are modeled on one row per patient by an ordinary linear or logistic model (on matched cohorts by an independence GEE with the robust SE clustered by patient), never by an eye-level GEE</t>
  </si>
  <si>
    <t xml:space="preserve">Table tests</t>
  </si>
  <si>
    <t xml:space="preserve">auto - patient-clustered GEE (continuous: Gaussian; ordinal: on ranks; dichotomous: binomial; categorical: stacked level indicators; more than two groups: joint test; exchangeable working correlation, independence for the stacked level indicators, on matched cohorts and where a refit is labeled) for every per-eye row in which a patient has two analyzed eyes, a permutation test over patients where that GEE cannot be fitted; classical (Welch t-test / Welch ANOVA, Wilcoxon / Kruskal-Wallis, chi-squared / Fisher's exact) for one eye per patient and for per-patient rows (on a matched cohort the per-patient rows get the independence GEE on one row per patient, weighted when the matching weights are unequal); a matched cohort with unequal weights: weighted Wald tests (GEE) on every row</t>
  </si>
  <si>
    <t xml:space="preserve">Multiplicity</t>
  </si>
  <si>
    <t xml:space="preserve">Holm within each variable across the comparisons of each group with the reference (summary-table GEE and adjusted columns, tagged [Holm]; regression 'P (Holm)' and 'Crude P (Holm), same eyes'; figure 'vs reference' lines, from the same GEE of all groups as the GEE column when the figure's test is a GEE); omnibus P values and single comparisons unadjusted; the 95% CIs are not adjusted, so a CI can exclude the null while the adjusted P is .05 or more</t>
  </si>
  <si>
    <t xml:space="preserve">GEE stage</t>
  </si>
  <si>
    <t xml:space="preserve">both</t>
  </si>
  <si>
    <t xml:space="preserve">GEE adjustment covariates</t>
  </si>
  <si>
    <t xml:space="preserve">GEE columns in summary tables</t>
  </si>
  <si>
    <t xml:space="preserve">main GEE, in the unmatched and matched summary tables</t>
  </si>
  <si>
    <t xml:space="preserve">Regression</t>
  </si>
  <si>
    <t xml:space="preserve">on</t>
  </si>
  <si>
    <t xml:space="preserve">Crude vs adjusted</t>
  </si>
  <si>
    <t xml:space="preserve">the crude GEE (group alone) is refitted on the adjusted model's complete-case eyes; the outcome tables give the adjusted model's number of eyes</t>
  </si>
  <si>
    <t xml:space="preserve">Regression covariates</t>
  </si>
  <si>
    <t xml:space="preserve">Minus-cyl standardization</t>
  </si>
  <si>
    <t xml:space="preserve">Astigmatism vectors</t>
  </si>
  <si>
    <t xml:space="preserve">plus-cylinder format (JCRS 2025), converted by the sign of each cylinder whatever the minus-cylinder switch; with-the-rule on the left of the double-angle plots; SIA = postoperative - preoperative, PE = postoperative - target; total SD with the N denominator</t>
  </si>
  <si>
    <t xml:space="preserve">Astigmatism test</t>
  </si>
  <si>
    <t xml:space="preserve">robust - centroid against zero by the bootstrap projection-distance test (as in the WHWK functions; 999 bootstrap centroids, patients resampled, seed 20250602; untrimmed; P = .001 is the bootstrap floor 1/B); between cohorts 20%-trimmed mean vectors with the pooled winsorized covariance, precision and mean magnitude by trimmed means (trimming and winsorizing by order statistics, g = floor(0.2 n), Wilcox), bootstrap resampling patients within each cohort B = 999 usable resamples, seed 20250601; a trimmed test whose statistic does not exist in the data or in more than 5% of the resamples is run untrimmed - ordinary means and covariance, same bootstrap - and labeled so on the astigmatism sheet and the figure legends</t>
  </si>
  <si>
    <t xml:space="preserve">Astigmatism regions</t>
  </si>
  <si>
    <t xml:space="preserve">data: 95% depth-based convex polygon (as in the WHWK functions) (eyes of depth at least that of rank floor(0.05 n + 0.5); the convex hull of all eyes below 10 eyes); centroid: bootstrap convex polygon of the centroid (as in the WHWK functions) (999 bootstrap centroids, projection distance, 95% to 98% kept by the number of resampling units; seed 20250602); input files for the WHWK functions in the 'WHWK input' sub-folder of the run's figure folder (Graphs_...)</t>
  </si>
  <si>
    <t xml:space="preserve">mEYEstro intended refraction</t>
  </si>
  <si>
    <t xml:space="preserve">SEQ from 'Target_SEQ_D'; no cylinder (no astigmatism target mapped); vertex distance 12 mm assumed</t>
  </si>
  <si>
    <t xml:space="preserve">mEYEstro refraction notation</t>
  </si>
  <si>
    <t xml:space="preserve">minus cylinder (plus-cylinder rows transposed in the tab only)</t>
  </si>
  <si>
    <t xml:space="preserve">Random seeds</t>
  </si>
  <si>
    <t xml:space="preserve">bootstrap and Monte-Carlo exact tests 20250601; astigmatism centroid confidence regions and centroid-against-zero tests 20250602; matching 20250601 (fixed, set locally; identical settings give identical results)</t>
  </si>
  <si>
    <t xml:space="preserve">P value style</t>
  </si>
  <si>
    <t xml:space="preserve">ama - two decimals, three below .01 (more only where needed to stay below .05), an exact half rounded up, no leading zero, &lt;.001 and &gt;.99</t>
  </si>
  <si>
    <t xml:space="preserve">Figures</t>
  </si>
  <si>
    <t xml:space="preserve">journal style (no frames, section bands, captions or shaded wedges; titles, method text and abbreviations in &lt;figure&gt;_legend.txt); width as designed; TIFF at 600 dpi; RGB color</t>
  </si>
  <si>
    <t xml:space="preserve">Figure P values</t>
  </si>
  <si>
    <t xml:space="preserve">clustered by patient (GEE, exchangeable working correlation - independence on matched cohorts and where a test is labeled so; robust SE (Mancl-DeRouen), t reference; F for joint tests) wherever a patient has two analyzed eyes; classical tests for one eye per patient; a GEE that cannot be fitted: a permutation test over patients, labeled 'GEE not fitted'</t>
  </si>
  <si>
    <t xml:space="preserve">Settings (JSON)</t>
  </si>
  <si>
    <t xml:space="preserve">{"file_path":"Example_Refractive_Dataset.xlsx","sheet_name":1,"guess_max":120000,"patient_id_raw":"PatientID","eye_id_raw":"EyeID","group_source_var":"Cohort","patient_level_params_raw":["Age_Years","Sex","Smoker","Optical_Zone_mm","Surgeon"],"exclude_params_raw":[],"age_var":"Age_Years","fu_var":"FollowUp_Days","sex_var":"Sex","baseline":{"continuous":["Age_Years","Preop_SEQ_D","Preop_Sphere_D","Preop_Cylinder_D","Preop_UDVA","Preop_CDVA","Preop_Pachymetry_um","Preop_Mean_K_D"],"ordinal":["Preop_DryEye_Grade"],"dichotomous":["Sex","Smoker"],"categorical":["Surgeon"]},"preop":{"continuous":["Optical_Zone_mm","Ablation_or_Lenticule_Depth_um"],"ordinal":[],"dichotomous":[],"categorical":["Procedure"]},"outcome":{"continuous":["FollowUp_Days","Postop_SEQ_D","Postop_Cylinder_D","Postop_UDVA","Postop_CDVA"],"ordinal":["Postop_Haze_Grade","Patient_Satisfaction_1to5"],"dichotomous":["DryEye_Symptoms","Retreatment_Required"],"categorical":["Complication_Type"]},"within_group":{"continuous":[],"ordinal":[],"dichotomous":[],"categorical":[]},"within_group_levels":{},"filter_rules":[{"var":"Age_Years","op":"&gt;=","value":[18]},{"var":"FollowUp_Days","op":"between","value":[150,210]},{"var":"SurgeryNumber","op":"==","value":[1]},{"var":"Preop_Cylinder_D","op":"abs_le","value":[5]}],"groups":{"Reference":["Reference"],"Cohort A":["Cohort A"]},"reference_group":"Reference","group_colors":{"Reference":"#5B2C86","Cohort A":"#F26522","Cohort B":"#1B9E4B"},"group_labels":{},"do_matching":true,"psm_covariates_raw":["Age_Years","Preop_SEQ_D","Preop_Pachymetry_um","Preop_UDVA"],"psm_method":"nearest","psm_distance":"linear.logit","psm_ratio":2,"psm_replace":false,"psm_caliper":0.2,"psm_std_caliper":true,"psm_m_order":"largest","run_gee_stage":"both","run_main_gee":true,"run_adjusted_gee":true,"gee_adjust_covariates_raw":["Age_Years","Preop_SEQ_D","Preop_Pachymetry_um"],"use_matching_weights_in_gee":true,"add_gee_columns":true,"gee_source_for_tables":"main","do_regression":true,"regression_stage":"both","regression_covariates_raw":["Age_Years","Preop_SEQ_D","Preop_Pachymetry_um"],"subset_col_raw":"Procedure","subsets":{"PRK":["PRK"],"LASIK":["LASIK"]},"subset_mode":"separate","do_standardize_minus_cyl":true,"std_triples":[{"sph":"Preop_Sphere_D","cyl":"Preop_Cylinder_D","axis":"Preop_Axis_Deg"},{"sph":"Postop_Sphere_D","cyl":"Postop_Cylinder_D","axis":"Postop_Axis_Deg"}],"std_sph_raw":"Preop_Sphere_D","std_cyl_raw":"Preop_Cylinder_D","std_axis_raw":"Preop_Axis_Deg","do_logmar":true,"logmar_cols_raw":["Preop_UDVA","Preop_CDVA","Postop_UDVA","Postop_CDVA"],"make_meyestro":true,"make_alpins":true,"make_pub_table":true,"make_graphs":true,"graph_set":"nine","graph_formats":["tiff"],"graph_dpi":600,"astig_panels":true,"double_angle_figs":true,"semicircle_figs":true,"astig_region":"polygon","astig_jcrs_standard":true,"astig_test_method":"robust","cluster_by_patient":true,"stability_figs":true,"stability_visits":[{"label":"1","time":"Visit1_Days_PostOp","sph":"Visit1_Sphere_D","cyl":"Visit1_Cylinder_D","seq":"Visit1_SEQ_D"},{"label":"3","time":"Visit2_Days_PostOp","sph":"Visit2_Sphere_D","cyl":"Visit2_Cylinder_D","seq":""},{"label":"6","time":"Visit3_Days_PostOp","sph":"Visit3_Sphere_D","cyl":"Visit3_Cylinder_D","seq":"Visit3_SEQ_D"},{"label":"12","time":"Visit4_Days_PostOp","sph":"Visit4_Sphere_D","cyl":"Visit4_Cylinder_D","seq":""},{"label":"24","time":"Visit5_Days_PostOp","sph":"Visit5_Sphere_D","cyl":"Visit5_Cylinder_D","seq":""}],"roles":{"pre_ucva":"Preop_UDVA","pre_bcva":"Preop_CDVA","post_ucva":"Postop_UDVA","post_bcva":"Postop_CDVA","pre_sph":"Preop_Sphere_D","pre_cyl":"Preop_Cylinder_D","pre_axis":"Preop_Axis_Deg","post_sph":"Postop_Sphere_D","post_cyl":"Postop_Cylinder_D","post_axis":"Postop_Axis_Deg","pre_seq":"Preop_SEQ_D","post_seq":"Postop_SEQ_D","target_seq":"Target_SEQ_D","eye":"Eye"},"dichotomous_preferred_level":{"Sex":"F","Smoker":"Yes","DryEye_Symptoms":"Yes","Retreatment_Required":"Yes"},"export_filtered_csv":true,"output_prefix":"Ex04_Subsets","stability_include_preop":true,"stability_change_from":"6","stability_change_to":"24","stability_change_threshold":0.5,"num_groups":2,"num_filters":4,"num_subsets":2,"_title":"Subsets: PRK and LASIK","_description":"One preset that produces a complete, separate analysis for each procedure.","_demonstrates":"The subset column splits the run into a full PRK analysis and a full LASIK analysis.","figure_style":"journal"}</t>
  </si>
  <si>
    <t xml:space="preserve">Full name</t>
  </si>
  <si>
    <t xml:space="preserve">Manifest</t>
  </si>
  <si>
    <t xml:space="preserve">Versions, input checksum and settings of this run.</t>
  </si>
  <si>
    <t xml:space="preserve">Overview</t>
  </si>
  <si>
    <t xml:space="preserve">Initial data summary, notes and quality checks.</t>
  </si>
  <si>
    <t xml:space="preserve">Baseline &amp; Preop Summary</t>
  </si>
  <si>
    <t xml:space="preserve">Baseline and preoperative tables, with within-group sections.</t>
  </si>
  <si>
    <t xml:space="preserve">Outcome Summary</t>
  </si>
  <si>
    <t xml:space="preserve">Outcome comparisons (GEE / adjusted columns merged in when requested).</t>
  </si>
  <si>
    <t xml:space="preserve">Publication Table</t>
  </si>
  <si>
    <t xml:space="preserve">Manuscript-ready stacked table.</t>
  </si>
  <si>
    <t xml:space="preserve">mEYEstro_Reference</t>
  </si>
  <si>
    <t xml:space="preserve">mEYEstro-format export of one group (all rows): copy columns E-S (15 columns, template order) into the mEYEstro template - yellow E-I preop refraction, vertex (12 mm), preop CDVA; green J-M intended refraction; red N-S postop refraction, vertex, postop CDVA, postop UDVA. Gray A-D (group, decimal acuities) and blue T (postop SEQ) are for reference only.</t>
  </si>
  <si>
    <t xml:space="preserve">mEYEstro_Cohort A</t>
  </si>
  <si>
    <t xml:space="preserve">AstigMATIC_Reference</t>
  </si>
  <si>
    <t xml:space="preserve">AstigMATIC input for one group (all rows): columns A-E (eye OD/OS, preop cylinder, preop axis, postop cylinder, postop axis) load directly into AstigMATIC; written in minus-cylinder notation.</t>
  </si>
  <si>
    <t xml:space="preserve">AstigMATIC_Cohort A</t>
  </si>
  <si>
    <t xml:space="preserve">Astigmatism (JCRS 2025)</t>
  </si>
  <si>
    <t xml:space="preserve">Astigmatism per the JCRS 2025 standard (all analyzed eyes; a CSV copy is written beside the workbook), plus-cylinder format: per vector (PRE, SIA, PE, and POST with a target that is not plano) and cohort the centroid, total SD, magnitudes and cumulative intervals; the tests (centroid against zero; centroid, precision, mean magnitude and intervals between cohorts; McNemar preop vs postop) with nominal and Holm-adjusted P; the vertices of the depth-based convex polygon and of the bootstrap convex polygon of the centroid (as in the WHWK functions); method notes.</t>
  </si>
  <si>
    <t xml:space="preserve">Per eye: the astigmatism vectors PE, SIA, PRE, POST and the Alpins TIA and DV - magnitude, plus axis and doubled-angle x, y - input for external tools.</t>
  </si>
  <si>
    <t xml:space="preserve">GEE_Main_Unmatched_Base</t>
  </si>
  <si>
    <t xml:space="preserve">Clustered GEE with the group as the only predictor; per-patient variables by an ordinary model on one row per patient.</t>
  </si>
  <si>
    <t xml:space="preserve">GEE_Main_Unmatched_Preop</t>
  </si>
  <si>
    <t xml:space="preserve">GEE_Main_Unmatched_Out</t>
  </si>
  <si>
    <t xml:space="preserve">GEE_Adj_Unmatched_Base</t>
  </si>
  <si>
    <t xml:space="preserve">Clustered GEE adjusted for the covariates listed per row and in the Manifest (a variable is never adjusted for itself).</t>
  </si>
  <si>
    <t xml:space="preserve">GEE_Adj_Unmatched_Preop</t>
  </si>
  <si>
    <t xml:space="preserve">GEE_Adj_Unmatched_Out</t>
  </si>
  <si>
    <t xml:space="preserve">Regression (adjusted)</t>
  </si>
  <si>
    <t xml:space="preserve">Covariate-adjusted models, the crude estimate on the same eyes, and a full-model appendix.</t>
  </si>
  <si>
    <t xml:space="preserve">PSM_Cohort A_vs_Reference</t>
  </si>
  <si>
    <t xml:space="preserve">Matching (MatchIt): settings, covariates, balance and the matched rows.</t>
  </si>
  <si>
    <t xml:space="preserve">GEE_M_Cohort A_vs_Reference</t>
  </si>
  <si>
    <t xml:space="preserve">Clustered GEE on the matched cohort (independence working correlation); per-patient variables by an independence GEE on one row per patient.</t>
  </si>
  <si>
    <t xml:space="preserve">GEE_Adj_M_Cohort A_vs_Reference</t>
  </si>
  <si>
    <t xml:space="preserve">Adjusted clustered GEE on the matched cohort (covariates listed per row and in the Manifest).</t>
  </si>
  <si>
    <t xml:space="preserve">Reg_M_Cohort A_vs_Reference</t>
  </si>
  <si>
    <t xml:space="preserve">Covariate-adjusted models on the matched cohort, with the crude estimate on the same eyes.</t>
  </si>
  <si>
    <t xml:space="preserve">BasePreop_M_Cohort A_vs_Referen</t>
  </si>
  <si>
    <t xml:space="preserve">BasePreop_M_Cohort A_vs_Reference</t>
  </si>
  <si>
    <t xml:space="preserve">Baseline and preop tables after matching.</t>
  </si>
  <si>
    <t xml:space="preserve">Out_M_Cohort A_vs_Reference</t>
  </si>
  <si>
    <t xml:space="preserve">Outcome comparisons after matching.</t>
  </si>
  <si>
    <t xml:space="preserve">Pub_M_Cohort A_vs_Reference</t>
  </si>
  <si>
    <t xml:space="preserve">Publication-style table for the matched cohort.</t>
  </si>
  <si>
    <t xml:space="preserve">mEYEstro_M1_Reference</t>
  </si>
  <si>
    <t xml:space="preserve">mEYEstro_M1_Reference (matched pairing Cohort A_vs_Reference)</t>
  </si>
  <si>
    <t xml:space="preserve">mEYEstro-format export of one group of a matched pairing (matched rows, unweighted): copy columns E-S (15 columns, template order) into the mEYEstro template - yellow E-I preop refraction, vertex (12 mm), preop CDVA; green J-M intended refraction; red N-S postop refraction, vertex, postop CDVA, postop UDVA. Gray A-D (group, decimal acuities) and blue T (postop SEQ) are for reference only.</t>
  </si>
  <si>
    <t xml:space="preserve">mEYEstro_M1_Cohort A</t>
  </si>
  <si>
    <t xml:space="preserve">mEYEstro_M1_Cohort A (matched pairing Cohort A_vs_Reference)</t>
  </si>
  <si>
    <t xml:space="preserve">AstigMATIC_M1_Reference</t>
  </si>
  <si>
    <t xml:space="preserve">AstigMATIC_M1_Reference (matched pairing Cohort A_vs_Reference)</t>
  </si>
  <si>
    <t xml:space="preserve">AstigMATIC input for one group of a matched pairing (matched rows, unweighted): columns A-E (eye OD/OS, preop cylinder, preop axis, postop cylinder, postop axis) load directly into AstigMATIC; written in minus-cylinder notation.</t>
  </si>
  <si>
    <t xml:space="preserve">AstigMATIC_M1_Cohort A</t>
  </si>
  <si>
    <t xml:space="preserve">AstigMATIC_M1_Cohort A (matched pairing Cohort A_vs_Reference)</t>
  </si>
  <si>
    <t xml:space="preserve">Astig_M_Cohort A_vs_Reference</t>
  </si>
  <si>
    <t xml:space="preserve">Astigmatism per the JCRS 2025 standard for the matched cohort of one pairing (matched rows), plus-cylinder format: per vector (PRE, SIA, PE, and POST with a target that is not plano) and cohort the centroid, total SD, magnitudes and cumulative intervals; the tests (centroid against zero; centroid, precision, mean magnitude and intervals between cohorts; McNemar preop vs postop) with nominal and Holm-adjusted P; the vertices of the depth-based convex polygon and of the bootstrap convex polygon of the centroid (as in the WHWK functions); method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</si>
</sst>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166" formatCode="0.00"/>
    <numFmt numFmtId="167" formatCode="0"/>
    <numFmt numFmtId="168" formatCode="0.0"/>
    <numFmt numFmtId="169" formatCode="0.000"/>
    <numFmt numFmtId="170" formatCode="0.000"/>
    <numFmt numFmtId="171" formatCode="0.000"/>
    <numFmt numFmtId="172" formatCode="0.0"/>
    <numFmt numFmtId="173" formatCode="0.000"/>
    <numFmt numFmtId="174" formatCode="0.000"/>
    <numFmt numFmtId="175" formatCode="0.000"/>
    <numFmt numFmtId="176" formatCode="0.000"/>
    <numFmt numFmtId="177" formatCode="0.000"/>
    <numFmt numFmtId="178" formatCode="0.000"/>
    <numFmt numFmtId="179" formatCode="0.000"/>
    <numFmt numFmtId="180" formatCode="0.000"/>
    <numFmt numFmtId="181" formatCode="0.000"/>
    <numFmt numFmtId="182" formatCode="0.000"/>
    <numFmt numFmtId="183" formatCode="0.000"/>
    <numFmt numFmtId="184" formatCode="0.00"/>
    <numFmt numFmtId="185" formatCode="0"/>
    <numFmt numFmtId="186" formatCode="0.0"/>
  </numFmts>
  <fonts count="6">
    <font>
      <sz val="11"/>
      <color rgb="FF000000"/>
      <name val="Calibri"/>
      <family val="2"/>
      <scheme val="minor"/>
    </font>
    <font>
      <sz val="12"/>
      <color rgb="FF000000"/>
      <name val="Calibri"/>
      <b/>
    </font>
    <font>
      <sz val="11"/>
      <color rgb="FF000000"/>
      <name val="Calibri"/>
      <b/>
    </font>
    <font>
      <sz val="11"/>
      <color rgb="FFC00000"/>
      <name val="Calibri"/>
      <b/>
    </font>
    <font>
      <sz val="11"/>
      <color rgb="FF000000"/>
      <name val="Calibri"/>
    </font>
    <font>
      <sz val="11"/>
      <color theme="10"/>
      <name val="Calibri"/>
      <u val="single"/>
    </font>
  </fonts>
  <fills count="8">
    <fill>
      <patternFill patternType="none"/>
    </fill>
    <fill>
      <patternFill patternType="gray125"/>
    </fill>
    <fill>
      <patternFill patternType="solid">
        <fgColor rgb="FFF2F2F2"/>
      </patternFill>
    </fill>
    <fill>
      <patternFill patternType="solid">
        <fgColor rgb="FFD3D3D3"/>
      </patternFill>
    </fill>
    <fill>
      <patternFill patternType="solid">
        <fgColor rgb="FFFFFF99"/>
      </patternFill>
    </fill>
    <fill>
      <patternFill patternType="solid">
        <fgColor rgb="FFCCFFCC"/>
      </patternFill>
    </fill>
    <fill>
      <patternFill patternType="solid">
        <fgColor rgb="FFFF9999"/>
      </patternFill>
    </fill>
    <fill>
      <patternFill patternType="solid">
        <fgColor rgb="FF99CCFF"/>
      </patternFill>
    </fill>
  </fills>
  <borders count="2">
    <border>
      <left/>
      <right/>
      <top/>
      <bottom/>
      <diagonal/>
    </border>
    <border>
      <bottom style="thin">
        <color rgb="FF000000"/>
      </bottom>
    </border>
  </borders>
  <cellStyleXfs count="1">
    <xf numFmtId="0" fontId="0" fillId="0" borderId="0"/>
  </cellStyleXfs>
  <cellXfs count="32">
    <xf numFmtId="0" fontId="0" fillId="0" borderId="0" xfId="0"/>
    <xf numFmtId="0" fontId="1" fillId="0" borderId="0" xfId="0" applyFont="1"/>
    <xf numFmtId="0" fontId="2" fillId="0" borderId="1" xfId="0" applyFont="1" applyBorder="1"/>
    <xf numFmtId="0" fontId="2" fillId="2" borderId="0" xfId="0" applyFont="1" applyFill="1"/>
    <xf numFmtId="0" fontId="2" fillId="3" borderId="0" xfId="0" applyFont="1" applyFill="1" applyAlignment="1">
      <alignment horizontal="center"/>
    </xf>
    <xf numFmtId="0" fontId="2" fillId="4" borderId="0" xfId="0" applyFont="1" applyFill="1" applyAlignment="1">
      <alignment horizontal="center"/>
    </xf>
    <xf numFmtId="0" fontId="2" fillId="5" borderId="0" xfId="0" applyFont="1" applyFill="1" applyAlignment="1">
      <alignment horizontal="center"/>
    </xf>
    <xf numFmtId="0" fontId="2" fillId="6" borderId="0" xfId="0" applyFont="1" applyFill="1" applyAlignment="1">
      <alignment horizontal="center"/>
    </xf>
    <xf numFmtId="0" fontId="2" fillId="7" borderId="0" xfId="0" applyFont="1" applyFill="1" applyAlignment="1">
      <alignment horizontal="center"/>
    </xf>
    <xf numFmtId="0" fontId="3" fillId="0" borderId="0" xfId="0" applyFont="1"/>
    <xf numFmtId="166" fontId="4" fillId="0" borderId="0" xfId="0" applyFont="1" applyNumberFormat="1"/>
    <xf numFmtId="167" fontId="4" fillId="0" borderId="0" xfId="0" applyFont="1" applyNumberFormat="1"/>
    <xf numFmtId="168" fontId="4" fillId="0" borderId="0" xfId="0" applyFont="1" applyNumberFormat="1"/>
    <xf numFmtId="169" fontId="4" fillId="0" borderId="0" xfId="0" applyFont="1" applyNumberFormat="1"/>
    <xf numFmtId="170" fontId="4" fillId="0" borderId="0" xfId="0" applyFont="1" applyNumberFormat="1"/>
    <xf numFmtId="171" fontId="4" fillId="0" borderId="0" xfId="0" applyFont="1" applyNumberFormat="1"/>
    <xf numFmtId="172" fontId="4" fillId="0" borderId="0" xfId="0" applyFont="1" applyNumberFormat="1"/>
    <xf numFmtId="173" fontId="4" fillId="0" borderId="0" xfId="0" applyFont="1" applyNumberFormat="1"/>
    <xf numFmtId="174" fontId="4" fillId="0" borderId="0" xfId="0" applyFont="1" applyNumberFormat="1"/>
    <xf numFmtId="175" fontId="4" fillId="0" borderId="0" xfId="0" applyFont="1" applyNumberFormat="1"/>
    <xf numFmtId="176" fontId="4" fillId="0" borderId="0" xfId="0" applyFont="1" applyNumberFormat="1"/>
    <xf numFmtId="177" fontId="4" fillId="0" borderId="0" xfId="0" applyFont="1" applyNumberFormat="1"/>
    <xf numFmtId="178" fontId="4" fillId="0" borderId="0" xfId="0" applyFont="1" applyNumberFormat="1"/>
    <xf numFmtId="179" fontId="4" fillId="0" borderId="0" xfId="0" applyFont="1" applyNumberFormat="1"/>
    <xf numFmtId="180" fontId="4" fillId="0" borderId="0" xfId="0" applyFont="1" applyNumberFormat="1"/>
    <xf numFmtId="181" fontId="4" fillId="0" borderId="0" xfId="0" applyFont="1" applyNumberFormat="1"/>
    <xf numFmtId="182" fontId="4" fillId="0" borderId="0" xfId="0" applyFont="1" applyNumberFormat="1"/>
    <xf numFmtId="183" fontId="4" fillId="0" borderId="0" xfId="0" applyFont="1" applyNumberFormat="1"/>
    <xf numFmtId="184" fontId="4" fillId="0" borderId="0" xfId="0" applyFont="1" applyNumberFormat="1"/>
    <xf numFmtId="185" fontId="4" fillId="0" borderId="0" xfId="0" applyFont="1" applyNumberFormat="1"/>
    <xf numFmtId="186" fontId="4" fillId="0" borderId="0" xfId="0" applyFont="1" applyNumberFormat="1"/>
    <xf numFmtId="0" fontId="5" fillId="0" borderId="0" xfId="0" applyFon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theme" Target="theme/theme1.xml"/><Relationship Id="rId33" Type="http://schemas.openxmlformats.org/officeDocument/2006/relationships/styles" Target="styles.xml"/><Relationship Id="rId34" Type="http://schemas.openxmlformats.org/officeDocument/2006/relationships/sharedStrings" Target="sharedStrings.xml"/></Relationships>
</file>

<file path=xl/tables/table3.xml><?xml version="1.0" encoding="utf-8"?>
<table xmlns="http://schemas.openxmlformats.org/spreadsheetml/2006/main" id="3" name="Table3" displayName="Table3" ref="A1:E91" totalsRowCount="0" totalsRowShown="0">
  <autoFilter ref="A1:E91"/>
  <tableColumns count="5">
    <tableColumn id="1" name="Eye"/>
    <tableColumn id="2" name="preoperative cylinder"/>
    <tableColumn id="3" name="preoperative axis"/>
    <tableColumn id="4" name="postoperative cylinder"/>
    <tableColumn id="5" name="postoperative axis"/>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E100" totalsRowCount="0" totalsRowShown="0">
  <autoFilter ref="A1:E100"/>
  <tableColumns count="5">
    <tableColumn id="1" name="Eye"/>
    <tableColumn id="2" name="preoperative cylinder"/>
    <tableColumn id="3" name="preoperative axis"/>
    <tableColumn id="4" name="postoperative cylinder"/>
    <tableColumn id="5" name="postoperative axis"/>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H1063" totalsRowCount="0" totalsRowShown="0">
  <autoFilter ref="A1:H1063"/>
  <tableColumns count="8">
    <tableColumn id="1" name="Group"/>
    <tableColumn id="2" name="Patient ID"/>
    <tableColumn id="3" name="Row label"/>
    <tableColumn id="4" name="Vector"/>
    <tableColumn id="5" name="Magnitude (D)"/>
    <tableColumn id="6" name="Plus axis (°)"/>
    <tableColumn id="7" name="x (D)"/>
    <tableColumn id="8" name="y (D)"/>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E61" totalsRowCount="0" totalsRowShown="0">
  <autoFilter ref="A1:E61"/>
  <tableColumns count="5">
    <tableColumn id="1" name="Eye"/>
    <tableColumn id="2" name="preoperative cylinder"/>
    <tableColumn id="3" name="preoperative axis"/>
    <tableColumn id="4" name="postoperative cylinder"/>
    <tableColumn id="5" name="postoperative axis"/>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1:E43" totalsRowCount="0" totalsRowShown="0">
  <autoFilter ref="A1:E43"/>
  <tableColumns count="5">
    <tableColumn id="1" name="Eye"/>
    <tableColumn id="2" name="preoperative cylinder"/>
    <tableColumn id="3" name="preoperative axis"/>
    <tableColumn id="4" name="postoperative cylinder"/>
    <tableColumn id="5" name="postoperative axi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printerSettings" Target="../printerSettings/printerSettings1.bin"/></Relationships>

</file>

<file path=xl/worksheets/_rels/sheet2.xml.rels><?xml version="1.0" encoding="UTF-8" standalone="yes"?><Relationships xmlns="http://schemas.openxmlformats.org/package/2006/relationships"><Relationship Id="rId2" Type="http://schemas.openxmlformats.org/officeDocument/2006/relationships/printerSettings" Target="../printerSettings/printerSettings2.bin"/></Relationships>

</file>

<file path=xl/worksheets/_rels/sheet3.xml.rels><?xml version="1.0" encoding="UTF-8" standalone="yes"?><Relationships xmlns="http://schemas.openxmlformats.org/package/2006/relationships"><Relationship Id="rId2" Type="http://schemas.openxmlformats.org/officeDocument/2006/relationships/printerSettings" Target="../printerSettings/printerSettings3.bin"/></Relationships>

</file>

<file path=xl/worksheets/_rels/sheet4.xml.rels><?xml version="1.0" encoding="UTF-8" standalone="yes"?><Relationships xmlns="http://schemas.openxmlformats.org/package/2006/relationships"><Relationship Id="rId2" Type="http://schemas.openxmlformats.org/officeDocument/2006/relationships/printerSettings" Target="../printerSettings/printerSettings4.bin"/></Relationships>

</file>

<file path=xl/worksheets/_rels/sheet5.xml.rels><?xml version="1.0" encoding="UTF-8" standalone="yes"?><Relationships xmlns="http://schemas.openxmlformats.org/package/2006/relationships"><Relationship Id="rId2" Type="http://schemas.openxmlformats.org/officeDocument/2006/relationships/printerSettings" Target="../printerSettings/printerSettings5.bin"/></Relationships>

</file>

<file path=xl/worksheets/_rels/sheet6.xml.rels><?xml version="1.0" encoding="UTF-8" standalone="yes"?><Relationships xmlns="http://schemas.openxmlformats.org/package/2006/relationships"><Relationship Id="rId2" Type="http://schemas.openxmlformats.org/officeDocument/2006/relationships/printerSettings" Target="../printerSettings/printerSettings6.bin"/></Relationships>

</file>

<file path=xl/worksheets/_rels/sheet7.xml.rels><?xml version="1.0" encoding="UTF-8" standalone="yes"?><Relationships xmlns="http://schemas.openxmlformats.org/package/2006/relationships"><Relationship Id="rId2" Type="http://schemas.openxmlformats.org/officeDocument/2006/relationships/printerSettings" Target="../printerSettings/printerSettings7.bin"/><Relationship Id="rId3" Type="http://schemas.openxmlformats.org/officeDocument/2006/relationships/table" Target="../tables/table3.xml"/></Relationships>

</file>

<file path=xl/worksheets/_rels/sheet8.xml.rels><?xml version="1.0" encoding="UTF-8" standalone="yes"?><Relationships xmlns="http://schemas.openxmlformats.org/package/2006/relationships"><Relationship Id="rId2" Type="http://schemas.openxmlformats.org/officeDocument/2006/relationships/printerSettings" Target="../printerSettings/printerSettings8.bin"/><Relationship Id="rId4" Type="http://schemas.openxmlformats.org/officeDocument/2006/relationships/table" Target="../tables/table4.xml"/></Relationships>

</file>

<file path=xl/worksheets/_rels/sheet9.xml.rels><?xml version="1.0" encoding="UTF-8" standalone="yes"?><Relationships xmlns="http://schemas.openxmlformats.org/package/2006/relationships"><Relationship Id="rId2" Type="http://schemas.openxmlformats.org/officeDocument/2006/relationships/printerSettings" Target="../printerSettings/printerSettings9.bin"/></Relationships>

</file>

<file path=xl/worksheets/_rels/sheet10.xml.rels><?xml version="1.0" encoding="UTF-8" standalone="yes"?><Relationships xmlns="http://schemas.openxmlformats.org/package/2006/relationships"><Relationship Id="rId2" Type="http://schemas.openxmlformats.org/officeDocument/2006/relationships/printerSettings" Target="../printerSettings/printerSettings10.bin"/><Relationship Id="rId5" Type="http://schemas.openxmlformats.org/officeDocument/2006/relationships/table" Target="../tables/table5.xml"/></Relationships>

</file>

<file path=xl/worksheets/_rels/sheet11.xml.rels><?xml version="1.0" encoding="UTF-8" standalone="yes"?><Relationships xmlns="http://schemas.openxmlformats.org/package/2006/relationships"><Relationship Id="rId2" Type="http://schemas.openxmlformats.org/officeDocument/2006/relationships/printerSettings" Target="../printerSettings/printerSettings11.bin"/></Relationships>

</file>

<file path=xl/worksheets/_rels/sheet12.xml.rels><?xml version="1.0" encoding="UTF-8" standalone="yes"?><Relationships xmlns="http://schemas.openxmlformats.org/package/2006/relationships"><Relationship Id="rId2" Type="http://schemas.openxmlformats.org/officeDocument/2006/relationships/printerSettings" Target="../printerSettings/printerSettings12.bin"/></Relationships>

</file>

<file path=xl/worksheets/_rels/sheet13.xml.rels><?xml version="1.0" encoding="UTF-8" standalone="yes"?><Relationships xmlns="http://schemas.openxmlformats.org/package/2006/relationships"><Relationship Id="rId2" Type="http://schemas.openxmlformats.org/officeDocument/2006/relationships/printerSettings" Target="../printerSettings/printerSettings13.bin"/></Relationships>

</file>

<file path=xl/worksheets/_rels/sheet14.xml.rels><?xml version="1.0" encoding="UTF-8" standalone="yes"?><Relationships xmlns="http://schemas.openxmlformats.org/package/2006/relationships"><Relationship Id="rId2" Type="http://schemas.openxmlformats.org/officeDocument/2006/relationships/printerSettings" Target="../printerSettings/printerSettings14.bin"/></Relationships>

</file>

<file path=xl/worksheets/_rels/sheet15.xml.rels><?xml version="1.0" encoding="UTF-8" standalone="yes"?><Relationships xmlns="http://schemas.openxmlformats.org/package/2006/relationships"><Relationship Id="rId2" Type="http://schemas.openxmlformats.org/officeDocument/2006/relationships/printerSettings" Target="../printerSettings/printerSettings15.bin"/></Relationships>

</file>

<file path=xl/worksheets/_rels/sheet16.xml.rels><?xml version="1.0" encoding="UTF-8" standalone="yes"?><Relationships xmlns="http://schemas.openxmlformats.org/package/2006/relationships"><Relationship Id="rId2" Type="http://schemas.openxmlformats.org/officeDocument/2006/relationships/printerSettings" Target="../printerSettings/printerSettings16.bin"/></Relationships>

</file>

<file path=xl/worksheets/_rels/sheet17.xml.rels><?xml version="1.0" encoding="UTF-8" standalone="yes"?><Relationships xmlns="http://schemas.openxmlformats.org/package/2006/relationships"><Relationship Id="rId2" Type="http://schemas.openxmlformats.org/officeDocument/2006/relationships/printerSettings" Target="../printerSettings/printerSettings17.bin"/></Relationships>

</file>

<file path=xl/worksheets/_rels/sheet18.xml.rels><?xml version="1.0" encoding="UTF-8" standalone="yes"?><Relationships xmlns="http://schemas.openxmlformats.org/package/2006/relationships"><Relationship Id="rId2" Type="http://schemas.openxmlformats.org/officeDocument/2006/relationships/printerSettings" Target="../printerSettings/printerSettings18.bin"/></Relationships>

</file>

<file path=xl/worksheets/_rels/sheet19.xml.rels><?xml version="1.0" encoding="UTF-8" standalone="yes"?><Relationships xmlns="http://schemas.openxmlformats.org/package/2006/relationships"><Relationship Id="rId2" Type="http://schemas.openxmlformats.org/officeDocument/2006/relationships/printerSettings" Target="../printerSettings/printerSettings19.bin"/></Relationships>

</file>

<file path=xl/worksheets/_rels/sheet20.xml.rels><?xml version="1.0" encoding="UTF-8" standalone="yes"?><Relationships xmlns="http://schemas.openxmlformats.org/package/2006/relationships"><Relationship Id="rId2" Type="http://schemas.openxmlformats.org/officeDocument/2006/relationships/printerSettings" Target="../printerSettings/printerSettings20.bin"/></Relationships>

</file>

<file path=xl/worksheets/_rels/sheet21.xml.rels><?xml version="1.0" encoding="UTF-8" standalone="yes"?><Relationships xmlns="http://schemas.openxmlformats.org/package/2006/relationships"><Relationship Id="rId2" Type="http://schemas.openxmlformats.org/officeDocument/2006/relationships/printerSettings" Target="../printerSettings/printerSettings21.bin"/></Relationships>

</file>

<file path=xl/worksheets/_rels/sheet22.xml.rels><?xml version="1.0" encoding="UTF-8" standalone="yes"?><Relationships xmlns="http://schemas.openxmlformats.org/package/2006/relationships"><Relationship Id="rId2" Type="http://schemas.openxmlformats.org/officeDocument/2006/relationships/printerSettings" Target="../printerSettings/printerSettings22.bin"/></Relationships>

</file>

<file path=xl/worksheets/_rels/sheet23.xml.rels><?xml version="1.0" encoding="UTF-8" standalone="yes"?><Relationships xmlns="http://schemas.openxmlformats.org/package/2006/relationships"><Relationship Id="rId2" Type="http://schemas.openxmlformats.org/officeDocument/2006/relationships/printerSettings" Target="../printerSettings/printerSettings23.bin"/></Relationships>

</file>

<file path=xl/worksheets/_rels/sheet24.xml.rels><?xml version="1.0" encoding="UTF-8" standalone="yes"?><Relationships xmlns="http://schemas.openxmlformats.org/package/2006/relationships"><Relationship Id="rId2" Type="http://schemas.openxmlformats.org/officeDocument/2006/relationships/printerSettings" Target="../printerSettings/printerSettings24.bin"/></Relationships>

</file>

<file path=xl/worksheets/_rels/sheet25.xml.rels><?xml version="1.0" encoding="UTF-8" standalone="yes"?><Relationships xmlns="http://schemas.openxmlformats.org/package/2006/relationships"><Relationship Id="rId2" Type="http://schemas.openxmlformats.org/officeDocument/2006/relationships/printerSettings" Target="../printerSettings/printerSettings25.bin"/></Relationships>

</file>

<file path=xl/worksheets/_rels/sheet26.xml.rels><?xml version="1.0" encoding="UTF-8" standalone="yes"?><Relationships xmlns="http://schemas.openxmlformats.org/package/2006/relationships"><Relationship Id="rId2" Type="http://schemas.openxmlformats.org/officeDocument/2006/relationships/printerSettings" Target="../printerSettings/printerSettings26.bin"/></Relationships>

</file>

<file path=xl/worksheets/_rels/sheet27.xml.rels><?xml version="1.0" encoding="UTF-8" standalone="yes"?><Relationships xmlns="http://schemas.openxmlformats.org/package/2006/relationships"><Relationship Id="rId2" Type="http://schemas.openxmlformats.org/officeDocument/2006/relationships/printerSettings" Target="../printerSettings/printerSettings27.bin"/><Relationship Id="rId6" Type="http://schemas.openxmlformats.org/officeDocument/2006/relationships/table" Target="../tables/table6.xml"/></Relationships>

</file>

<file path=xl/worksheets/_rels/sheet28.xml.rels><?xml version="1.0" encoding="UTF-8" standalone="yes"?><Relationships xmlns="http://schemas.openxmlformats.org/package/2006/relationships"><Relationship Id="rId2" Type="http://schemas.openxmlformats.org/officeDocument/2006/relationships/printerSettings" Target="../printerSettings/printerSettings28.bin"/><Relationship Id="rId7" Type="http://schemas.openxmlformats.org/officeDocument/2006/relationships/table" Target="../tables/table7.xml"/></Relationships>

</file>

<file path=xl/worksheets/_rels/sheet29.xml.rels><?xml version="1.0" encoding="UTF-8" standalone="yes"?><Relationships xmlns="http://schemas.openxmlformats.org/package/2006/relationships"><Relationship Id="rId2" Type="http://schemas.openxmlformats.org/officeDocument/2006/relationships/printerSettings" Target="../printerSettings/printerSettings29.bin"/></Relationships>

</file>

<file path=xl/worksheets/_rels/sheet30.xml.rels><?xml version="1.0" encoding="UTF-8" standalone="yes"?><Relationships xmlns="http://schemas.openxmlformats.org/package/2006/relationships"><Relationship Id="rId2" Type="http://schemas.openxmlformats.org/officeDocument/2006/relationships/printerSettings" Target="../printerSettings/printerSettings30.bin"/></Relationships>

</file>

<file path=xl/worksheets/_rels/sheet31.xml.rels><?xml version="1.0" encoding="UTF-8" standalone="yes"?><Relationships xmlns="http://schemas.openxmlformats.org/package/2006/relationships"><Relationship Id="rId2"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s="1" t="s">
        <v>0</v>
      </c>
    </row>
    <row r="2">
      <c r="A2" t="s">
        <v>1</v>
      </c>
    </row>
    <row r="3">
      <c r="A3" t="s">
        <v>2</v>
      </c>
    </row>
    <row r="5">
      <c r="A5" s="1" t="s">
        <v>3</v>
      </c>
    </row>
    <row r="6">
      <c r="A6" t="s">
        <v>4</v>
      </c>
      <c r="B6" t="s">
        <v>5</v>
      </c>
    </row>
    <row r="7">
      <c r="A7" t="s">
        <v>6</v>
      </c>
      <c r="B7" t="s">
        <v>7</v>
      </c>
    </row>
    <row r="8">
      <c r="A8" t="s">
        <v>8</v>
      </c>
      <c r="B8" t="s">
        <v>9</v>
      </c>
    </row>
    <row r="9">
      <c r="A9" t="s">
        <v>10</v>
      </c>
      <c r="B9" t="s">
        <v>11</v>
      </c>
    </row>
    <row r="10">
      <c r="A10" t="s">
        <v>12</v>
      </c>
      <c r="B10" t="s">
        <v>13</v>
      </c>
    </row>
    <row r="11">
      <c r="A11" t="s">
        <v>14</v>
      </c>
      <c r="B11" t="s">
        <v>15</v>
      </c>
    </row>
    <row r="12">
      <c r="A12" t="s">
        <v>16</v>
      </c>
      <c r="B12" t="s">
        <v>17</v>
      </c>
    </row>
    <row r="13">
      <c r="A13" t="s">
        <v>18</v>
      </c>
      <c r="B13" t="s">
        <v>19</v>
      </c>
    </row>
    <row r="14">
      <c r="A14" t="s">
        <v>20</v>
      </c>
      <c r="B14" t="s">
        <v>21</v>
      </c>
    </row>
    <row r="16">
      <c r="A16" s="1" t="s">
        <v>22</v>
      </c>
    </row>
    <row r="17">
      <c r="A17" t="s">
        <v>23</v>
      </c>
      <c r="B17" t="s">
        <v>24</v>
      </c>
      <c r="C17" t="s">
        <v>25</v>
      </c>
    </row>
    <row r="18">
      <c r="A18" t="s">
        <v>26</v>
      </c>
      <c r="B18" t="n">
        <v>67</v>
      </c>
      <c r="C18" t="n">
        <v>59.3</v>
      </c>
    </row>
    <row r="19">
      <c r="A19" t="s">
        <v>27</v>
      </c>
      <c r="B19" t="n">
        <v>46</v>
      </c>
      <c r="C19" t="n">
        <v>40.7</v>
      </c>
    </row>
    <row r="21">
      <c r="A21" s="1" t="s">
        <v>28</v>
      </c>
    </row>
    <row r="22">
      <c r="A22" t="s">
        <v>29</v>
      </c>
      <c r="B22" t="s">
        <v>24</v>
      </c>
      <c r="C22" t="s">
        <v>25</v>
      </c>
    </row>
    <row r="23">
      <c r="A23" t="s">
        <v>30</v>
      </c>
      <c r="B23" t="n">
        <v>90</v>
      </c>
      <c r="C23" t="n">
        <v>47.6</v>
      </c>
    </row>
    <row r="24">
      <c r="A24" t="s">
        <v>31</v>
      </c>
      <c r="B24" t="n">
        <v>99</v>
      </c>
      <c r="C24" t="n">
        <v>52.4</v>
      </c>
    </row>
    <row r="26">
      <c r="A26" s="1" t="s">
        <v>32</v>
      </c>
    </row>
    <row r="27">
      <c r="A27" t="s">
        <v>33</v>
      </c>
      <c r="B27" t="s">
        <v>29</v>
      </c>
      <c r="C27" t="s">
        <v>34</v>
      </c>
    </row>
    <row r="28">
      <c r="A28" t="s">
        <v>31</v>
      </c>
      <c r="B28" t="s">
        <v>31</v>
      </c>
      <c r="C28" t="n">
        <v>99</v>
      </c>
    </row>
    <row r="29">
      <c r="A29" t="s">
        <v>30</v>
      </c>
      <c r="B29" t="s">
        <v>30</v>
      </c>
      <c r="C29" t="n">
        <v>90</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 t="s">
        <v>35</v>
      </c>
    </row>
    <row r="2">
      <c r="A2" t="s">
        <v>36</v>
      </c>
      <c r="B2" t="s">
        <v>37</v>
      </c>
      <c r="C2" t="s">
        <v>38</v>
      </c>
      <c r="D2" t="s">
        <v>39</v>
      </c>
      <c r="E2" t="s">
        <v>40</v>
      </c>
      <c r="F2" t="s">
        <v>41</v>
      </c>
      <c r="G2" t="s">
        <v>42</v>
      </c>
      <c r="H2" t="s">
        <v>43</v>
      </c>
    </row>
    <row r="3">
      <c r="A3" t="s">
        <v>44</v>
      </c>
      <c r="B3" t="s">
        <v>45</v>
      </c>
      <c r="C3" t="s">
        <v>46</v>
      </c>
      <c r="D3" t="s">
        <v>47</v>
      </c>
      <c r="E3" t="s">
        <v>48</v>
      </c>
      <c r="F3" t="s">
        <v>49</v>
      </c>
      <c r="G3" t="s">
        <v>50</v>
      </c>
      <c r="H3" t="s">
        <v>51</v>
      </c>
    </row>
    <row r="4">
      <c r="A4" t="s">
        <v>52</v>
      </c>
      <c r="B4" t="s">
        <v>53</v>
      </c>
      <c r="C4" t="s">
        <v>54</v>
      </c>
      <c r="D4" t="s">
        <v>55</v>
      </c>
      <c r="E4" t="s">
        <v>56</v>
      </c>
      <c r="F4" t="s">
        <v>49</v>
      </c>
      <c r="G4" t="s">
        <v>57</v>
      </c>
      <c r="H4" t="s">
        <v>55</v>
      </c>
    </row>
    <row r="5">
      <c r="A5" t="s">
        <v>58</v>
      </c>
      <c r="B5" t="s">
        <v>59</v>
      </c>
      <c r="C5" t="s">
        <v>60</v>
      </c>
      <c r="D5" t="s">
        <v>55</v>
      </c>
      <c r="E5" t="s">
        <v>56</v>
      </c>
      <c r="F5" t="s">
        <v>49</v>
      </c>
      <c r="G5" t="s">
        <v>61</v>
      </c>
      <c r="H5" t="s">
        <v>55</v>
      </c>
    </row>
    <row r="6">
      <c r="A6" t="s">
        <v>62</v>
      </c>
      <c r="B6" t="s">
        <v>63</v>
      </c>
      <c r="C6" t="s">
        <v>64</v>
      </c>
      <c r="D6" t="s">
        <v>65</v>
      </c>
      <c r="E6" t="s">
        <v>56</v>
      </c>
      <c r="F6" t="s">
        <v>66</v>
      </c>
      <c r="G6" t="s">
        <v>67</v>
      </c>
      <c r="H6" t="s">
        <v>65</v>
      </c>
    </row>
    <row r="7">
      <c r="A7" t="s">
        <v>68</v>
      </c>
      <c r="B7" t="s">
        <v>69</v>
      </c>
      <c r="C7" t="s">
        <v>70</v>
      </c>
      <c r="D7" t="s">
        <v>71</v>
      </c>
      <c r="E7" t="s">
        <v>56</v>
      </c>
      <c r="F7" t="s">
        <v>49</v>
      </c>
      <c r="G7" t="s">
        <v>72</v>
      </c>
      <c r="H7" t="s">
        <v>71</v>
      </c>
    </row>
    <row r="8">
      <c r="A8" t="s">
        <v>73</v>
      </c>
      <c r="B8" t="s">
        <v>74</v>
      </c>
      <c r="C8" t="s">
        <v>75</v>
      </c>
      <c r="D8" t="s">
        <v>76</v>
      </c>
      <c r="E8" t="s">
        <v>56</v>
      </c>
      <c r="F8" t="s">
        <v>66</v>
      </c>
      <c r="G8" t="s">
        <v>77</v>
      </c>
      <c r="H8" t="s">
        <v>76</v>
      </c>
    </row>
    <row r="9">
      <c r="A9" t="s">
        <v>78</v>
      </c>
      <c r="B9" t="s">
        <v>79</v>
      </c>
      <c r="C9" t="s">
        <v>80</v>
      </c>
      <c r="D9" t="s">
        <v>81</v>
      </c>
      <c r="E9" t="s">
        <v>56</v>
      </c>
      <c r="F9" t="s">
        <v>49</v>
      </c>
      <c r="G9" t="s">
        <v>82</v>
      </c>
      <c r="H9" t="s">
        <v>81</v>
      </c>
    </row>
    <row r="10">
      <c r="A10" t="s">
        <v>83</v>
      </c>
      <c r="B10" t="s">
        <v>84</v>
      </c>
      <c r="C10" t="s">
        <v>85</v>
      </c>
      <c r="D10" t="s">
        <v>86</v>
      </c>
      <c r="E10" t="s">
        <v>87</v>
      </c>
      <c r="F10" t="s">
        <v>66</v>
      </c>
      <c r="G10" t="s">
        <v>88</v>
      </c>
      <c r="H10" t="s">
        <v>89</v>
      </c>
    </row>
    <row r="11">
      <c r="A11" t="s">
        <v>90</v>
      </c>
      <c r="B11" t="s">
        <v>91</v>
      </c>
      <c r="C11" t="s">
        <v>91</v>
      </c>
      <c r="D11" t="s">
        <v>92</v>
      </c>
      <c r="E11" t="s">
        <v>93</v>
      </c>
      <c r="F11" t="s">
        <v>66</v>
      </c>
      <c r="G11" t="s">
        <v>94</v>
      </c>
      <c r="H11" t="s">
        <v>94</v>
      </c>
    </row>
    <row r="12">
      <c r="A12" t="s">
        <v>95</v>
      </c>
      <c r="B12" t="s">
        <v>96</v>
      </c>
      <c r="C12" t="s">
        <v>97</v>
      </c>
      <c r="D12" t="s">
        <v>98</v>
      </c>
      <c r="E12" t="s">
        <v>99</v>
      </c>
      <c r="F12" t="s">
        <v>66</v>
      </c>
      <c r="G12" t="s">
        <v>100</v>
      </c>
      <c r="H12" t="s">
        <v>101</v>
      </c>
    </row>
    <row r="13">
      <c r="A13" t="s">
        <v>102</v>
      </c>
      <c r="B13" t="s">
        <v>103</v>
      </c>
      <c r="C13" t="s">
        <v>104</v>
      </c>
      <c r="D13" t="s">
        <v>105</v>
      </c>
      <c r="E13" t="s">
        <v>99</v>
      </c>
      <c r="F13" t="s">
        <v>66</v>
      </c>
      <c r="G13" t="s">
        <v>106</v>
      </c>
      <c r="H13" t="s">
        <v>107</v>
      </c>
    </row>
    <row r="14">
      <c r="A14" t="s">
        <v>108</v>
      </c>
      <c r="B14" t="s">
        <v>109</v>
      </c>
      <c r="C14" t="s">
        <v>110</v>
      </c>
      <c r="D14" t="s">
        <v>111</v>
      </c>
      <c r="E14" t="s">
        <v>99</v>
      </c>
      <c r="F14" t="s">
        <v>66</v>
      </c>
      <c r="G14" t="s">
        <v>94</v>
      </c>
      <c r="H14" t="s">
        <v>94</v>
      </c>
    </row>
    <row r="15">
      <c r="A15" t="s">
        <v>112</v>
      </c>
      <c r="B15" t="s">
        <v>113</v>
      </c>
      <c r="C15" t="s">
        <v>114</v>
      </c>
      <c r="D15" t="s">
        <v>94</v>
      </c>
      <c r="E15" t="s">
        <v>94</v>
      </c>
      <c r="F15" t="s">
        <v>94</v>
      </c>
      <c r="G15" t="s">
        <v>94</v>
      </c>
      <c r="H15" t="s">
        <v>94</v>
      </c>
    </row>
    <row r="16">
      <c r="A16" t="s">
        <v>115</v>
      </c>
      <c r="B16" t="s">
        <v>116</v>
      </c>
      <c r="C16" t="s">
        <v>117</v>
      </c>
      <c r="D16" t="s">
        <v>94</v>
      </c>
      <c r="E16" t="s">
        <v>94</v>
      </c>
      <c r="F16" t="s">
        <v>94</v>
      </c>
      <c r="G16" t="s">
        <v>94</v>
      </c>
      <c r="H16" t="s">
        <v>94</v>
      </c>
    </row>
    <row r="18">
      <c r="A18" s="1" t="s">
        <v>118</v>
      </c>
    </row>
    <row r="19">
      <c r="A19" t="s">
        <v>36</v>
      </c>
      <c r="B19" t="s">
        <v>37</v>
      </c>
      <c r="C19" t="s">
        <v>38</v>
      </c>
      <c r="D19" t="s">
        <v>39</v>
      </c>
      <c r="E19" t="s">
        <v>40</v>
      </c>
      <c r="F19" t="s">
        <v>41</v>
      </c>
      <c r="G19" t="s">
        <v>42</v>
      </c>
      <c r="H19" t="s">
        <v>43</v>
      </c>
    </row>
    <row r="20">
      <c r="A20" t="s">
        <v>119</v>
      </c>
      <c r="B20" t="s">
        <v>120</v>
      </c>
      <c r="C20" t="s">
        <v>121</v>
      </c>
      <c r="D20" t="s">
        <v>122</v>
      </c>
      <c r="E20" t="s">
        <v>48</v>
      </c>
      <c r="F20" t="s">
        <v>49</v>
      </c>
      <c r="G20" t="s">
        <v>123</v>
      </c>
      <c r="H20" t="s">
        <v>124</v>
      </c>
    </row>
    <row r="21">
      <c r="A21" t="s">
        <v>125</v>
      </c>
      <c r="B21" t="s">
        <v>126</v>
      </c>
      <c r="C21" t="s">
        <v>127</v>
      </c>
      <c r="D21" t="s">
        <v>55</v>
      </c>
      <c r="E21" t="s">
        <v>56</v>
      </c>
      <c r="F21" t="s">
        <v>49</v>
      </c>
      <c r="G21" t="s">
        <v>128</v>
      </c>
      <c r="H21" t="s">
        <v>55</v>
      </c>
    </row>
    <row r="22">
      <c r="A22" t="s">
        <v>129</v>
      </c>
      <c r="B22" t="s">
        <v>130</v>
      </c>
      <c r="C22" t="s">
        <v>131</v>
      </c>
      <c r="D22"/>
      <c r="E22" t="s">
        <v>132</v>
      </c>
      <c r="F22" t="s">
        <v>133</v>
      </c>
      <c r="G22" t="s">
        <v>94</v>
      </c>
      <c r="H22" t="s">
        <v>94</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36</v>
      </c>
      <c r="B1" t="s">
        <v>37</v>
      </c>
      <c r="C1" t="s">
        <v>38</v>
      </c>
      <c r="D1" t="s">
        <v>39</v>
      </c>
      <c r="E1" t="s">
        <v>40</v>
      </c>
      <c r="F1" t="s">
        <v>41</v>
      </c>
      <c r="G1" t="s">
        <v>42</v>
      </c>
      <c r="H1" t="s">
        <v>43</v>
      </c>
      <c r="I1" t="s">
        <v>134</v>
      </c>
      <c r="J1" t="s">
        <v>135</v>
      </c>
      <c r="K1" t="s">
        <v>136</v>
      </c>
    </row>
    <row r="2">
      <c r="A2" t="s">
        <v>137</v>
      </c>
      <c r="B2" t="s">
        <v>138</v>
      </c>
      <c r="C2" t="s">
        <v>139</v>
      </c>
      <c r="D2" t="s">
        <v>140</v>
      </c>
      <c r="E2" t="s">
        <v>56</v>
      </c>
      <c r="F2" t="s">
        <v>66</v>
      </c>
      <c r="G2" t="s">
        <v>141</v>
      </c>
      <c r="H2" t="s">
        <v>140</v>
      </c>
      <c r="I2" t="s">
        <v>142</v>
      </c>
      <c r="J2" t="s">
        <v>143</v>
      </c>
      <c r="K2" t="s">
        <v>144</v>
      </c>
    </row>
    <row r="3">
      <c r="A3" t="s">
        <v>145</v>
      </c>
      <c r="B3" t="s">
        <v>146</v>
      </c>
      <c r="C3" t="s">
        <v>147</v>
      </c>
      <c r="D3" t="s">
        <v>55</v>
      </c>
      <c r="E3" t="s">
        <v>56</v>
      </c>
      <c r="F3" t="s">
        <v>49</v>
      </c>
      <c r="G3" t="s">
        <v>148</v>
      </c>
      <c r="H3" t="s">
        <v>55</v>
      </c>
      <c r="I3" t="s">
        <v>149</v>
      </c>
      <c r="J3" t="s">
        <v>81</v>
      </c>
      <c r="K3" t="s">
        <v>144</v>
      </c>
    </row>
    <row r="4">
      <c r="A4" t="s">
        <v>150</v>
      </c>
      <c r="B4" t="s">
        <v>151</v>
      </c>
      <c r="C4" t="s">
        <v>152</v>
      </c>
      <c r="D4" t="s">
        <v>153</v>
      </c>
      <c r="E4" t="s">
        <v>56</v>
      </c>
      <c r="F4" t="s">
        <v>66</v>
      </c>
      <c r="G4" t="s">
        <v>154</v>
      </c>
      <c r="H4" t="s">
        <v>153</v>
      </c>
      <c r="I4" t="s">
        <v>155</v>
      </c>
      <c r="J4" t="s">
        <v>86</v>
      </c>
      <c r="K4" t="s">
        <v>144</v>
      </c>
    </row>
    <row r="5">
      <c r="A5" t="s">
        <v>156</v>
      </c>
      <c r="B5" t="s">
        <v>157</v>
      </c>
      <c r="C5" t="s">
        <v>158</v>
      </c>
      <c r="D5" t="s">
        <v>159</v>
      </c>
      <c r="E5" t="s">
        <v>56</v>
      </c>
      <c r="F5" t="s">
        <v>66</v>
      </c>
      <c r="G5" t="s">
        <v>160</v>
      </c>
      <c r="H5" t="s">
        <v>159</v>
      </c>
      <c r="I5" t="s">
        <v>161</v>
      </c>
      <c r="J5" t="s">
        <v>162</v>
      </c>
      <c r="K5" t="s">
        <v>163</v>
      </c>
    </row>
    <row r="6">
      <c r="A6" t="s">
        <v>164</v>
      </c>
      <c r="B6" t="s">
        <v>165</v>
      </c>
      <c r="C6" t="s">
        <v>166</v>
      </c>
      <c r="D6" t="s">
        <v>167</v>
      </c>
      <c r="E6" t="s">
        <v>56</v>
      </c>
      <c r="F6" t="s">
        <v>66</v>
      </c>
      <c r="G6" t="s">
        <v>168</v>
      </c>
      <c r="H6" t="s">
        <v>167</v>
      </c>
      <c r="I6" t="s">
        <v>169</v>
      </c>
      <c r="J6" t="s">
        <v>170</v>
      </c>
      <c r="K6" t="s">
        <v>144</v>
      </c>
    </row>
    <row r="7">
      <c r="A7" t="s">
        <v>171</v>
      </c>
      <c r="B7" t="s">
        <v>172</v>
      </c>
      <c r="C7" t="s">
        <v>173</v>
      </c>
      <c r="D7" t="s">
        <v>174</v>
      </c>
      <c r="E7" t="s">
        <v>93</v>
      </c>
      <c r="F7" t="s">
        <v>66</v>
      </c>
      <c r="G7" t="s">
        <v>94</v>
      </c>
      <c r="H7" t="s">
        <v>94</v>
      </c>
      <c r="I7" t="s">
        <v>94</v>
      </c>
      <c r="J7" t="s">
        <v>94</v>
      </c>
      <c r="K7" t="s">
        <v>94</v>
      </c>
    </row>
    <row r="8">
      <c r="A8" t="s">
        <v>175</v>
      </c>
      <c r="B8" t="s">
        <v>176</v>
      </c>
      <c r="C8" t="s">
        <v>177</v>
      </c>
      <c r="D8" t="s">
        <v>122</v>
      </c>
      <c r="E8" t="s">
        <v>93</v>
      </c>
      <c r="F8" t="s">
        <v>49</v>
      </c>
      <c r="G8" t="s">
        <v>94</v>
      </c>
      <c r="H8" t="s">
        <v>94</v>
      </c>
      <c r="I8" t="s">
        <v>94</v>
      </c>
      <c r="J8" t="s">
        <v>94</v>
      </c>
      <c r="K8" t="s">
        <v>94</v>
      </c>
    </row>
    <row r="9">
      <c r="A9" t="s">
        <v>178</v>
      </c>
      <c r="B9" t="s">
        <v>179</v>
      </c>
      <c r="C9" t="s">
        <v>180</v>
      </c>
      <c r="D9" t="s">
        <v>55</v>
      </c>
      <c r="E9" t="s">
        <v>181</v>
      </c>
      <c r="F9" t="s">
        <v>49</v>
      </c>
      <c r="G9" t="s">
        <v>182</v>
      </c>
      <c r="H9" t="s">
        <v>55</v>
      </c>
      <c r="I9" t="s">
        <v>183</v>
      </c>
      <c r="J9" t="s">
        <v>184</v>
      </c>
      <c r="K9" t="s">
        <v>185</v>
      </c>
    </row>
    <row r="10">
      <c r="A10" t="s">
        <v>186</v>
      </c>
      <c r="B10" t="s">
        <v>187</v>
      </c>
      <c r="C10" t="s">
        <v>188</v>
      </c>
      <c r="D10" t="s">
        <v>189</v>
      </c>
      <c r="E10" t="s">
        <v>181</v>
      </c>
      <c r="F10" t="s">
        <v>66</v>
      </c>
      <c r="G10" t="s">
        <v>190</v>
      </c>
      <c r="H10" t="s">
        <v>189</v>
      </c>
      <c r="I10" t="s">
        <v>191</v>
      </c>
      <c r="J10" t="s">
        <v>192</v>
      </c>
      <c r="K10" t="s">
        <v>193</v>
      </c>
    </row>
    <row r="11">
      <c r="A11" t="s">
        <v>194</v>
      </c>
      <c r="B11" t="s">
        <v>195</v>
      </c>
      <c r="C11" t="s">
        <v>196</v>
      </c>
      <c r="D11" t="s">
        <v>197</v>
      </c>
      <c r="E11" t="s">
        <v>198</v>
      </c>
      <c r="F11" t="s">
        <v>66</v>
      </c>
      <c r="G11" t="s">
        <v>94</v>
      </c>
      <c r="H11" t="s">
        <v>94</v>
      </c>
      <c r="I11" t="s">
        <v>94</v>
      </c>
      <c r="J11" t="s">
        <v>94</v>
      </c>
      <c r="K11" t="s">
        <v>94</v>
      </c>
    </row>
    <row r="12">
      <c r="A12" t="s">
        <v>199</v>
      </c>
      <c r="B12" t="s">
        <v>200</v>
      </c>
      <c r="C12" t="s">
        <v>201</v>
      </c>
      <c r="D12" t="s">
        <v>94</v>
      </c>
      <c r="E12" t="s">
        <v>94</v>
      </c>
      <c r="F12" t="s">
        <v>94</v>
      </c>
      <c r="G12" t="s">
        <v>94</v>
      </c>
      <c r="H12" t="s">
        <v>94</v>
      </c>
      <c r="I12" t="s">
        <v>94</v>
      </c>
      <c r="J12" t="s">
        <v>94</v>
      </c>
      <c r="K12" t="s">
        <v>94</v>
      </c>
    </row>
    <row r="13">
      <c r="A13" t="s">
        <v>202</v>
      </c>
      <c r="B13" t="s">
        <v>203</v>
      </c>
      <c r="C13" t="s">
        <v>204</v>
      </c>
      <c r="D13" t="s">
        <v>94</v>
      </c>
      <c r="E13" t="s">
        <v>94</v>
      </c>
      <c r="F13" t="s">
        <v>94</v>
      </c>
      <c r="G13" t="s">
        <v>94</v>
      </c>
      <c r="H13" t="s">
        <v>94</v>
      </c>
      <c r="I13" t="s">
        <v>94</v>
      </c>
      <c r="J13" t="s">
        <v>94</v>
      </c>
      <c r="K13" t="s">
        <v>94</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 max="1" width="38.71" hidden="0" customWidth="1"/>
    <col min="2" max="2" width="18.71" hidden="0" customWidth="1"/>
    <col min="3" max="3" width="18.71" hidden="0" customWidth="1"/>
    <col min="4" max="4" width="18.71" hidden="0" customWidth="1"/>
    <col min="5" max="5" width="18.71" hidden="0" customWidth="1"/>
    <col min="6" max="6" width="18.71" hidden="0" customWidth="1"/>
    <col min="7" max="7" width="18.71" hidden="0" customWidth="1"/>
    <col min="8" max="8" width="18.71" hidden="0" customWidth="1"/>
    <col min="9" max="9" width="18.71" hidden="0" customWidth="1"/>
  </cols>
  <sheetData>
    <row r="1">
      <c r="A1" s="2" t="s">
        <v>36</v>
      </c>
      <c r="B1" s="2" t="s">
        <v>37</v>
      </c>
      <c r="C1" s="2" t="s">
        <v>38</v>
      </c>
      <c r="D1" s="2" t="s">
        <v>39</v>
      </c>
      <c r="E1" s="2" t="s">
        <v>42</v>
      </c>
      <c r="F1" s="2" t="s">
        <v>43</v>
      </c>
      <c r="G1" s="2" t="s">
        <v>134</v>
      </c>
      <c r="H1" s="2" t="s">
        <v>135</v>
      </c>
      <c r="I1" s="2" t="s">
        <v>136</v>
      </c>
    </row>
    <row r="2">
      <c r="A2" s="3" t="s">
        <v>205</v>
      </c>
      <c r="B2" s="3" t="s">
        <v>94</v>
      </c>
      <c r="C2" s="3" t="s">
        <v>94</v>
      </c>
      <c r="D2" s="3" t="s">
        <v>94</v>
      </c>
      <c r="E2" s="3" t="s">
        <v>94</v>
      </c>
      <c r="F2" s="3" t="s">
        <v>94</v>
      </c>
      <c r="G2" s="3" t="s">
        <v>94</v>
      </c>
      <c r="H2" s="3" t="s">
        <v>94</v>
      </c>
      <c r="I2" s="3" t="s">
        <v>94</v>
      </c>
    </row>
    <row r="3">
      <c r="A3" t="s">
        <v>44</v>
      </c>
      <c r="B3" t="s">
        <v>45</v>
      </c>
      <c r="C3" t="s">
        <v>46</v>
      </c>
      <c r="D3" t="s">
        <v>47</v>
      </c>
      <c r="E3" t="s">
        <v>50</v>
      </c>
      <c r="F3" t="s">
        <v>51</v>
      </c>
      <c r="G3" t="s">
        <v>94</v>
      </c>
      <c r="H3" t="s">
        <v>94</v>
      </c>
      <c r="I3" t="s">
        <v>94</v>
      </c>
    </row>
    <row r="4">
      <c r="A4" t="s">
        <v>52</v>
      </c>
      <c r="B4" t="s">
        <v>53</v>
      </c>
      <c r="C4" t="s">
        <v>54</v>
      </c>
      <c r="D4" t="s">
        <v>55</v>
      </c>
      <c r="E4" t="s">
        <v>57</v>
      </c>
      <c r="F4" t="s">
        <v>55</v>
      </c>
      <c r="G4" t="s">
        <v>94</v>
      </c>
      <c r="H4" t="s">
        <v>94</v>
      </c>
      <c r="I4" t="s">
        <v>94</v>
      </c>
    </row>
    <row r="5">
      <c r="A5" t="s">
        <v>58</v>
      </c>
      <c r="B5" t="s">
        <v>59</v>
      </c>
      <c r="C5" t="s">
        <v>60</v>
      </c>
      <c r="D5" t="s">
        <v>55</v>
      </c>
      <c r="E5" t="s">
        <v>61</v>
      </c>
      <c r="F5" t="s">
        <v>55</v>
      </c>
      <c r="G5" t="s">
        <v>94</v>
      </c>
      <c r="H5" t="s">
        <v>94</v>
      </c>
      <c r="I5" t="s">
        <v>94</v>
      </c>
    </row>
    <row r="6">
      <c r="A6" t="s">
        <v>62</v>
      </c>
      <c r="B6" t="s">
        <v>63</v>
      </c>
      <c r="C6" t="s">
        <v>64</v>
      </c>
      <c r="D6" t="s">
        <v>65</v>
      </c>
      <c r="E6" t="s">
        <v>67</v>
      </c>
      <c r="F6" t="s">
        <v>65</v>
      </c>
      <c r="G6" t="s">
        <v>94</v>
      </c>
      <c r="H6" t="s">
        <v>94</v>
      </c>
      <c r="I6" t="s">
        <v>94</v>
      </c>
    </row>
    <row r="7">
      <c r="A7" t="s">
        <v>68</v>
      </c>
      <c r="B7" t="s">
        <v>69</v>
      </c>
      <c r="C7" t="s">
        <v>70</v>
      </c>
      <c r="D7" t="s">
        <v>71</v>
      </c>
      <c r="E7" t="s">
        <v>72</v>
      </c>
      <c r="F7" t="s">
        <v>71</v>
      </c>
      <c r="G7" t="s">
        <v>94</v>
      </c>
      <c r="H7" t="s">
        <v>94</v>
      </c>
      <c r="I7" t="s">
        <v>94</v>
      </c>
    </row>
    <row r="8">
      <c r="A8" t="s">
        <v>73</v>
      </c>
      <c r="B8" t="s">
        <v>74</v>
      </c>
      <c r="C8" t="s">
        <v>75</v>
      </c>
      <c r="D8" t="s">
        <v>76</v>
      </c>
      <c r="E8" t="s">
        <v>77</v>
      </c>
      <c r="F8" t="s">
        <v>76</v>
      </c>
      <c r="G8" t="s">
        <v>94</v>
      </c>
      <c r="H8" t="s">
        <v>94</v>
      </c>
      <c r="I8" t="s">
        <v>94</v>
      </c>
    </row>
    <row r="9">
      <c r="A9" t="s">
        <v>78</v>
      </c>
      <c r="B9" t="s">
        <v>79</v>
      </c>
      <c r="C9" t="s">
        <v>80</v>
      </c>
      <c r="D9" t="s">
        <v>81</v>
      </c>
      <c r="E9" t="s">
        <v>82</v>
      </c>
      <c r="F9" t="s">
        <v>81</v>
      </c>
      <c r="G9" t="s">
        <v>94</v>
      </c>
      <c r="H9" t="s">
        <v>94</v>
      </c>
      <c r="I9" t="s">
        <v>94</v>
      </c>
    </row>
    <row r="10">
      <c r="A10" t="s">
        <v>83</v>
      </c>
      <c r="B10" t="s">
        <v>84</v>
      </c>
      <c r="C10" t="s">
        <v>85</v>
      </c>
      <c r="D10" t="s">
        <v>86</v>
      </c>
      <c r="E10" t="s">
        <v>88</v>
      </c>
      <c r="F10" t="s">
        <v>89</v>
      </c>
      <c r="G10" t="s">
        <v>94</v>
      </c>
      <c r="H10" t="s">
        <v>94</v>
      </c>
      <c r="I10" t="s">
        <v>94</v>
      </c>
    </row>
    <row r="11">
      <c r="A11" t="s">
        <v>90</v>
      </c>
      <c r="B11" t="s">
        <v>91</v>
      </c>
      <c r="C11" t="s">
        <v>91</v>
      </c>
      <c r="D11" t="s">
        <v>92</v>
      </c>
      <c r="E11" t="s">
        <v>94</v>
      </c>
      <c r="F11" t="s">
        <v>94</v>
      </c>
      <c r="G11" t="s">
        <v>94</v>
      </c>
      <c r="H11" t="s">
        <v>94</v>
      </c>
      <c r="I11" t="s">
        <v>94</v>
      </c>
    </row>
    <row r="12">
      <c r="A12" t="s">
        <v>95</v>
      </c>
      <c r="B12" t="s">
        <v>96</v>
      </c>
      <c r="C12" t="s">
        <v>97</v>
      </c>
      <c r="D12" t="s">
        <v>98</v>
      </c>
      <c r="E12" t="s">
        <v>100</v>
      </c>
      <c r="F12" t="s">
        <v>101</v>
      </c>
      <c r="G12" t="s">
        <v>94</v>
      </c>
      <c r="H12" t="s">
        <v>94</v>
      </c>
      <c r="I12" t="s">
        <v>94</v>
      </c>
    </row>
    <row r="13">
      <c r="A13" t="s">
        <v>102</v>
      </c>
      <c r="B13" t="s">
        <v>103</v>
      </c>
      <c r="C13" t="s">
        <v>104</v>
      </c>
      <c r="D13" t="s">
        <v>105</v>
      </c>
      <c r="E13" t="s">
        <v>106</v>
      </c>
      <c r="F13" t="s">
        <v>107</v>
      </c>
      <c r="G13" t="s">
        <v>94</v>
      </c>
      <c r="H13" t="s">
        <v>94</v>
      </c>
      <c r="I13" t="s">
        <v>94</v>
      </c>
    </row>
    <row r="14">
      <c r="A14" t="s">
        <v>108</v>
      </c>
      <c r="B14" t="s">
        <v>109</v>
      </c>
      <c r="C14" t="s">
        <v>110</v>
      </c>
      <c r="D14" t="s">
        <v>111</v>
      </c>
      <c r="E14" t="s">
        <v>94</v>
      </c>
      <c r="F14" t="s">
        <v>94</v>
      </c>
      <c r="G14" t="s">
        <v>94</v>
      </c>
      <c r="H14" t="s">
        <v>94</v>
      </c>
      <c r="I14" t="s">
        <v>94</v>
      </c>
    </row>
    <row r="15">
      <c r="A15" t="s">
        <v>112</v>
      </c>
      <c r="B15" t="s">
        <v>113</v>
      </c>
      <c r="C15" t="s">
        <v>114</v>
      </c>
      <c r="D15" t="s">
        <v>94</v>
      </c>
      <c r="E15" t="s">
        <v>94</v>
      </c>
      <c r="F15" t="s">
        <v>94</v>
      </c>
      <c r="G15" t="s">
        <v>94</v>
      </c>
      <c r="H15" t="s">
        <v>94</v>
      </c>
      <c r="I15" t="s">
        <v>94</v>
      </c>
    </row>
    <row r="16">
      <c r="A16" t="s">
        <v>115</v>
      </c>
      <c r="B16" t="s">
        <v>116</v>
      </c>
      <c r="C16" t="s">
        <v>117</v>
      </c>
      <c r="D16" t="s">
        <v>94</v>
      </c>
      <c r="E16" t="s">
        <v>94</v>
      </c>
      <c r="F16" t="s">
        <v>94</v>
      </c>
      <c r="G16" t="s">
        <v>94</v>
      </c>
      <c r="H16" t="s">
        <v>94</v>
      </c>
      <c r="I16" t="s">
        <v>94</v>
      </c>
    </row>
    <row r="17">
      <c r="A17" s="3" t="s">
        <v>118</v>
      </c>
      <c r="B17" s="3" t="s">
        <v>94</v>
      </c>
      <c r="C17" s="3" t="s">
        <v>94</v>
      </c>
      <c r="D17" s="3" t="s">
        <v>94</v>
      </c>
      <c r="E17" s="3" t="s">
        <v>94</v>
      </c>
      <c r="F17" s="3" t="s">
        <v>94</v>
      </c>
      <c r="G17" s="3" t="s">
        <v>94</v>
      </c>
      <c r="H17" s="3" t="s">
        <v>94</v>
      </c>
      <c r="I17" s="3" t="s">
        <v>94</v>
      </c>
    </row>
    <row r="18">
      <c r="A18" t="s">
        <v>119</v>
      </c>
      <c r="B18" t="s">
        <v>120</v>
      </c>
      <c r="C18" t="s">
        <v>121</v>
      </c>
      <c r="D18" t="s">
        <v>122</v>
      </c>
      <c r="E18" t="s">
        <v>123</v>
      </c>
      <c r="F18" t="s">
        <v>124</v>
      </c>
      <c r="G18" t="s">
        <v>94</v>
      </c>
      <c r="H18" t="s">
        <v>94</v>
      </c>
      <c r="I18" t="s">
        <v>94</v>
      </c>
    </row>
    <row r="19">
      <c r="A19" t="s">
        <v>125</v>
      </c>
      <c r="B19" t="s">
        <v>126</v>
      </c>
      <c r="C19" t="s">
        <v>127</v>
      </c>
      <c r="D19" t="s">
        <v>55</v>
      </c>
      <c r="E19" t="s">
        <v>128</v>
      </c>
      <c r="F19" t="s">
        <v>55</v>
      </c>
      <c r="G19" t="s">
        <v>94</v>
      </c>
      <c r="H19" t="s">
        <v>94</v>
      </c>
      <c r="I19" t="s">
        <v>94</v>
      </c>
    </row>
    <row r="20">
      <c r="A20" t="s">
        <v>129</v>
      </c>
      <c r="B20" t="s">
        <v>130</v>
      </c>
      <c r="C20" t="s">
        <v>131</v>
      </c>
      <c r="D20" t="s">
        <v>206</v>
      </c>
      <c r="E20" t="s">
        <v>94</v>
      </c>
      <c r="F20" t="s">
        <v>94</v>
      </c>
      <c r="G20" t="s">
        <v>94</v>
      </c>
      <c r="H20" t="s">
        <v>94</v>
      </c>
      <c r="I20" t="s">
        <v>94</v>
      </c>
    </row>
    <row r="21">
      <c r="A21" s="3" t="s">
        <v>207</v>
      </c>
      <c r="B21" s="3" t="s">
        <v>94</v>
      </c>
      <c r="C21" s="3" t="s">
        <v>94</v>
      </c>
      <c r="D21" s="3" t="s">
        <v>94</v>
      </c>
      <c r="E21" s="3" t="s">
        <v>94</v>
      </c>
      <c r="F21" s="3" t="s">
        <v>94</v>
      </c>
      <c r="G21" s="3" t="s">
        <v>94</v>
      </c>
      <c r="H21" s="3" t="s">
        <v>94</v>
      </c>
      <c r="I21" s="3" t="s">
        <v>94</v>
      </c>
    </row>
    <row r="22">
      <c r="A22" t="s">
        <v>137</v>
      </c>
      <c r="B22" t="s">
        <v>138</v>
      </c>
      <c r="C22" t="s">
        <v>139</v>
      </c>
      <c r="D22" t="s">
        <v>140</v>
      </c>
      <c r="E22" t="s">
        <v>141</v>
      </c>
      <c r="F22" t="s">
        <v>140</v>
      </c>
      <c r="G22" t="s">
        <v>142</v>
      </c>
      <c r="H22" t="s">
        <v>143</v>
      </c>
      <c r="I22" t="s">
        <v>144</v>
      </c>
    </row>
    <row r="23">
      <c r="A23" t="s">
        <v>145</v>
      </c>
      <c r="B23" t="s">
        <v>146</v>
      </c>
      <c r="C23" t="s">
        <v>147</v>
      </c>
      <c r="D23" t="s">
        <v>55</v>
      </c>
      <c r="E23" t="s">
        <v>148</v>
      </c>
      <c r="F23" t="s">
        <v>55</v>
      </c>
      <c r="G23" t="s">
        <v>149</v>
      </c>
      <c r="H23" t="s">
        <v>81</v>
      </c>
      <c r="I23" t="s">
        <v>144</v>
      </c>
    </row>
    <row r="24">
      <c r="A24" t="s">
        <v>150</v>
      </c>
      <c r="B24" t="s">
        <v>151</v>
      </c>
      <c r="C24" t="s">
        <v>152</v>
      </c>
      <c r="D24" t="s">
        <v>153</v>
      </c>
      <c r="E24" t="s">
        <v>154</v>
      </c>
      <c r="F24" t="s">
        <v>153</v>
      </c>
      <c r="G24" t="s">
        <v>155</v>
      </c>
      <c r="H24" t="s">
        <v>86</v>
      </c>
      <c r="I24" t="s">
        <v>144</v>
      </c>
    </row>
    <row r="25">
      <c r="A25" t="s">
        <v>156</v>
      </c>
      <c r="B25" t="s">
        <v>157</v>
      </c>
      <c r="C25" t="s">
        <v>158</v>
      </c>
      <c r="D25" t="s">
        <v>159</v>
      </c>
      <c r="E25" t="s">
        <v>160</v>
      </c>
      <c r="F25" t="s">
        <v>159</v>
      </c>
      <c r="G25" t="s">
        <v>161</v>
      </c>
      <c r="H25" t="s">
        <v>162</v>
      </c>
      <c r="I25" t="s">
        <v>163</v>
      </c>
    </row>
    <row r="26">
      <c r="A26" t="s">
        <v>164</v>
      </c>
      <c r="B26" t="s">
        <v>165</v>
      </c>
      <c r="C26" t="s">
        <v>166</v>
      </c>
      <c r="D26" t="s">
        <v>167</v>
      </c>
      <c r="E26" t="s">
        <v>168</v>
      </c>
      <c r="F26" t="s">
        <v>167</v>
      </c>
      <c r="G26" t="s">
        <v>169</v>
      </c>
      <c r="H26" t="s">
        <v>170</v>
      </c>
      <c r="I26" t="s">
        <v>144</v>
      </c>
    </row>
    <row r="27">
      <c r="A27" t="s">
        <v>171</v>
      </c>
      <c r="B27" t="s">
        <v>172</v>
      </c>
      <c r="C27" t="s">
        <v>173</v>
      </c>
      <c r="D27" t="s">
        <v>174</v>
      </c>
      <c r="E27" t="s">
        <v>94</v>
      </c>
      <c r="F27" t="s">
        <v>94</v>
      </c>
      <c r="G27" t="s">
        <v>94</v>
      </c>
      <c r="H27" t="s">
        <v>94</v>
      </c>
      <c r="I27" t="s">
        <v>94</v>
      </c>
    </row>
    <row r="28">
      <c r="A28" t="s">
        <v>175</v>
      </c>
      <c r="B28" t="s">
        <v>176</v>
      </c>
      <c r="C28" t="s">
        <v>177</v>
      </c>
      <c r="D28" t="s">
        <v>122</v>
      </c>
      <c r="E28" t="s">
        <v>94</v>
      </c>
      <c r="F28" t="s">
        <v>94</v>
      </c>
      <c r="G28" t="s">
        <v>94</v>
      </c>
      <c r="H28" t="s">
        <v>94</v>
      </c>
      <c r="I28" t="s">
        <v>94</v>
      </c>
    </row>
    <row r="29">
      <c r="A29" t="s">
        <v>178</v>
      </c>
      <c r="B29" t="s">
        <v>179</v>
      </c>
      <c r="C29" t="s">
        <v>180</v>
      </c>
      <c r="D29" t="s">
        <v>55</v>
      </c>
      <c r="E29" t="s">
        <v>182</v>
      </c>
      <c r="F29" t="s">
        <v>55</v>
      </c>
      <c r="G29" t="s">
        <v>183</v>
      </c>
      <c r="H29" t="s">
        <v>184</v>
      </c>
      <c r="I29" t="s">
        <v>185</v>
      </c>
    </row>
    <row r="30">
      <c r="A30" t="s">
        <v>186</v>
      </c>
      <c r="B30" t="s">
        <v>187</v>
      </c>
      <c r="C30" t="s">
        <v>188</v>
      </c>
      <c r="D30" t="s">
        <v>189</v>
      </c>
      <c r="E30" t="s">
        <v>190</v>
      </c>
      <c r="F30" t="s">
        <v>189</v>
      </c>
      <c r="G30" t="s">
        <v>191</v>
      </c>
      <c r="H30" t="s">
        <v>192</v>
      </c>
      <c r="I30" t="s">
        <v>193</v>
      </c>
    </row>
    <row r="31">
      <c r="A31" t="s">
        <v>194</v>
      </c>
      <c r="B31" t="s">
        <v>195</v>
      </c>
      <c r="C31" t="s">
        <v>196</v>
      </c>
      <c r="D31" t="s">
        <v>197</v>
      </c>
      <c r="E31" t="s">
        <v>94</v>
      </c>
      <c r="F31" t="s">
        <v>94</v>
      </c>
      <c r="G31" t="s">
        <v>94</v>
      </c>
      <c r="H31" t="s">
        <v>94</v>
      </c>
      <c r="I31" t="s">
        <v>94</v>
      </c>
    </row>
    <row r="32">
      <c r="A32" t="s">
        <v>199</v>
      </c>
      <c r="B32" t="s">
        <v>200</v>
      </c>
      <c r="C32" t="s">
        <v>201</v>
      </c>
      <c r="D32" t="s">
        <v>94</v>
      </c>
      <c r="E32" t="s">
        <v>94</v>
      </c>
      <c r="F32" t="s">
        <v>94</v>
      </c>
      <c r="G32" t="s">
        <v>94</v>
      </c>
      <c r="H32" t="s">
        <v>94</v>
      </c>
      <c r="I32" t="s">
        <v>94</v>
      </c>
    </row>
    <row r="33">
      <c r="A33" t="s">
        <v>202</v>
      </c>
      <c r="B33" t="s">
        <v>203</v>
      </c>
      <c r="C33" t="s">
        <v>204</v>
      </c>
      <c r="D33" t="s">
        <v>94</v>
      </c>
      <c r="E33" t="s">
        <v>94</v>
      </c>
      <c r="F33" t="s">
        <v>94</v>
      </c>
      <c r="G33" t="s">
        <v>94</v>
      </c>
      <c r="H33" t="s">
        <v>94</v>
      </c>
      <c r="I33" t="s">
        <v>94</v>
      </c>
    </row>
    <row r="35">
      <c r="A35" t="s">
        <v>208</v>
      </c>
    </row>
    <row r="36">
      <c r="A36" t="s">
        <v>209</v>
      </c>
    </row>
    <row r="37">
      <c r="A37" t="s">
        <v>94</v>
      </c>
    </row>
    <row r="38">
      <c r="A38" t="s">
        <v>210</v>
      </c>
    </row>
    <row r="39">
      <c r="A39" t="s">
        <v>211</v>
      </c>
    </row>
    <row r="40">
      <c r="A40" t="s">
        <v>212</v>
      </c>
    </row>
    <row r="41">
      <c r="A41" t="s">
        <v>213</v>
      </c>
    </row>
    <row r="42">
      <c r="A42" t="s">
        <v>214</v>
      </c>
    </row>
    <row r="43">
      <c r="A43" t="s">
        <v>215</v>
      </c>
    </row>
    <row r="44">
      <c r="A44" t="s">
        <v>216</v>
      </c>
    </row>
    <row r="45">
      <c r="A45" t="s">
        <v>94</v>
      </c>
    </row>
    <row r="46">
      <c r="A46" t="s">
        <v>217</v>
      </c>
    </row>
    <row r="47">
      <c r="A47" t="s">
        <v>218</v>
      </c>
    </row>
    <row r="48">
      <c r="A48" t="s">
        <v>219</v>
      </c>
    </row>
    <row r="49">
      <c r="A49" t="s">
        <v>220</v>
      </c>
    </row>
    <row r="50">
      <c r="A50" t="s">
        <v>221</v>
      </c>
    </row>
    <row r="51">
      <c r="A51" t="s">
        <v>222</v>
      </c>
    </row>
    <row r="52">
      <c r="A52" t="s">
        <v>223</v>
      </c>
    </row>
    <row r="53">
      <c r="A53" t="s">
        <v>224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4" t="s">
        <v>225</v>
      </c>
      <c r="B1" s="4" t="s">
        <v>226</v>
      </c>
      <c r="C1" s="4" t="s">
        <v>227</v>
      </c>
      <c r="D1" s="4" t="s">
        <v>228</v>
      </c>
      <c r="E1" s="5" t="s">
        <v>229</v>
      </c>
      <c r="F1" s="5" t="s">
        <v>230</v>
      </c>
      <c r="G1" s="5" t="s">
        <v>231</v>
      </c>
      <c r="H1" s="5" t="s">
        <v>232</v>
      </c>
      <c r="I1" s="5" t="s">
        <v>73</v>
      </c>
      <c r="J1" s="6" t="s">
        <v>233</v>
      </c>
      <c r="K1" s="6" t="s">
        <v>234</v>
      </c>
      <c r="L1" s="6" t="s">
        <v>235</v>
      </c>
      <c r="M1" s="6" t="s">
        <v>236</v>
      </c>
      <c r="N1" s="7" t="s">
        <v>237</v>
      </c>
      <c r="O1" s="7" t="s">
        <v>238</v>
      </c>
      <c r="P1" s="7" t="s">
        <v>239</v>
      </c>
      <c r="Q1" s="7" t="s">
        <v>240</v>
      </c>
      <c r="R1" s="7" t="s">
        <v>164</v>
      </c>
      <c r="S1" s="7" t="s">
        <v>156</v>
      </c>
      <c r="T1" s="8" t="s">
        <v>241</v>
      </c>
    </row>
    <row r="2">
      <c r="A2" t="s">
        <v>30</v>
      </c>
      <c r="B2" t="n">
        <v>0.8</v>
      </c>
      <c r="C2" t="n">
        <v>1</v>
      </c>
      <c r="D2" t="n">
        <v>1</v>
      </c>
      <c r="E2" t="n">
        <v>-4</v>
      </c>
      <c r="F2" t="n">
        <v>-0.5</v>
      </c>
      <c r="G2" t="n">
        <v>179</v>
      </c>
      <c r="H2" t="n">
        <v>12</v>
      </c>
      <c r="I2" t="s">
        <v>242</v>
      </c>
      <c r="J2" t="n">
        <v>0</v>
      </c>
      <c r="K2" t="n">
        <v>0</v>
      </c>
      <c r="L2" t="n">
        <v>0</v>
      </c>
      <c r="M2" t="n">
        <v>12</v>
      </c>
      <c r="N2" t="n">
        <v>0.25</v>
      </c>
      <c r="O2" t="n">
        <v>-0.25</v>
      </c>
      <c r="P2" t="n">
        <v>66</v>
      </c>
      <c r="Q2" t="n">
        <v>12</v>
      </c>
      <c r="R2" t="s">
        <v>243</v>
      </c>
      <c r="S2" t="s">
        <v>243</v>
      </c>
      <c r="T2" t="n">
        <v>0.125</v>
      </c>
    </row>
    <row r="3">
      <c r="A3" t="s">
        <v>30</v>
      </c>
      <c r="B3" t="n">
        <v>0.8</v>
      </c>
      <c r="C3" t="n">
        <v>0.8</v>
      </c>
      <c r="D3" t="n">
        <v>1</v>
      </c>
      <c r="E3" t="n">
        <v>-4</v>
      </c>
      <c r="F3" t="n">
        <v>-1</v>
      </c>
      <c r="G3" t="n">
        <v>170</v>
      </c>
      <c r="H3" t="n">
        <v>12</v>
      </c>
      <c r="I3" t="s">
        <v>242</v>
      </c>
      <c r="J3" t="n">
        <v>0</v>
      </c>
      <c r="K3" t="n">
        <v>0</v>
      </c>
      <c r="L3" t="n">
        <v>0</v>
      </c>
      <c r="M3" t="n">
        <v>12</v>
      </c>
      <c r="N3" t="n">
        <v>0.5</v>
      </c>
      <c r="O3" t="n">
        <v>-0.75</v>
      </c>
      <c r="P3" t="n">
        <v>131</v>
      </c>
      <c r="Q3" t="n">
        <v>12</v>
      </c>
      <c r="R3" t="s">
        <v>243</v>
      </c>
      <c r="S3" t="s">
        <v>242</v>
      </c>
      <c r="T3" t="n">
        <v>0.125</v>
      </c>
    </row>
    <row r="4">
      <c r="A4" t="s">
        <v>30</v>
      </c>
      <c r="B4" t="n">
        <v>1</v>
      </c>
      <c r="C4" t="n">
        <v>1.25</v>
      </c>
      <c r="D4" t="n">
        <v>1.25</v>
      </c>
      <c r="E4" t="n">
        <v>-3.5</v>
      </c>
      <c r="F4" t="n">
        <v>-0.75</v>
      </c>
      <c r="G4" t="n">
        <v>95</v>
      </c>
      <c r="H4" t="n">
        <v>12</v>
      </c>
      <c r="I4" t="s">
        <v>243</v>
      </c>
      <c r="J4" t="n">
        <v>0</v>
      </c>
      <c r="K4" t="n">
        <v>0</v>
      </c>
      <c r="L4" t="n">
        <v>0</v>
      </c>
      <c r="M4" t="n">
        <v>12</v>
      </c>
      <c r="N4" t="n">
        <v>0</v>
      </c>
      <c r="O4" t="n">
        <v>-0.25</v>
      </c>
      <c r="P4" t="n">
        <v>92</v>
      </c>
      <c r="Q4" t="n">
        <v>12</v>
      </c>
      <c r="R4" t="s">
        <v>244</v>
      </c>
      <c r="S4" t="s">
        <v>244</v>
      </c>
      <c r="T4" t="n">
        <v>-0.125</v>
      </c>
    </row>
    <row r="5">
      <c r="A5" t="s">
        <v>30</v>
      </c>
      <c r="B5" t="n">
        <v>1</v>
      </c>
      <c r="C5" t="n">
        <v>1.25</v>
      </c>
      <c r="D5" t="n">
        <v>1.25</v>
      </c>
      <c r="E5" t="n">
        <v>-4.75</v>
      </c>
      <c r="F5" t="n">
        <v>-0.5</v>
      </c>
      <c r="G5" t="n">
        <v>106</v>
      </c>
      <c r="H5" t="n">
        <v>12</v>
      </c>
      <c r="I5" t="s">
        <v>243</v>
      </c>
      <c r="J5" t="n">
        <v>0</v>
      </c>
      <c r="K5" t="n">
        <v>0</v>
      </c>
      <c r="L5" t="n">
        <v>0</v>
      </c>
      <c r="M5" t="n">
        <v>12</v>
      </c>
      <c r="N5" t="n">
        <v>0.25</v>
      </c>
      <c r="O5" t="n">
        <v>-0.25</v>
      </c>
      <c r="P5" t="n">
        <v>123</v>
      </c>
      <c r="Q5" t="n">
        <v>12</v>
      </c>
      <c r="R5" t="s">
        <v>244</v>
      </c>
      <c r="S5" t="s">
        <v>244</v>
      </c>
      <c r="T5" t="n">
        <v>0.125</v>
      </c>
    </row>
    <row r="6">
      <c r="A6" t="s">
        <v>30</v>
      </c>
      <c r="B6" t="n">
        <v>1</v>
      </c>
      <c r="C6" t="n">
        <v>1.25</v>
      </c>
      <c r="D6" t="n">
        <v>1.25</v>
      </c>
      <c r="E6" t="n">
        <v>-3.75</v>
      </c>
      <c r="F6" t="n">
        <v>-0.75</v>
      </c>
      <c r="G6" t="n">
        <v>4</v>
      </c>
      <c r="H6" t="n">
        <v>12</v>
      </c>
      <c r="I6" t="s">
        <v>243</v>
      </c>
      <c r="J6" t="n">
        <v>0</v>
      </c>
      <c r="K6" t="n">
        <v>0</v>
      </c>
      <c r="L6" t="n">
        <v>0</v>
      </c>
      <c r="M6" t="n">
        <v>12</v>
      </c>
      <c r="N6" t="n">
        <v>0</v>
      </c>
      <c r="O6" t="n">
        <v>-0.25</v>
      </c>
      <c r="P6" t="n">
        <v>156</v>
      </c>
      <c r="Q6" t="n">
        <v>12</v>
      </c>
      <c r="R6" t="s">
        <v>244</v>
      </c>
      <c r="S6" t="s">
        <v>244</v>
      </c>
      <c r="T6" t="n">
        <v>-0.125</v>
      </c>
    </row>
    <row r="7">
      <c r="A7" t="s">
        <v>30</v>
      </c>
      <c r="B7" t="n">
        <v>1</v>
      </c>
      <c r="C7" t="n">
        <v>1</v>
      </c>
      <c r="D7" t="n">
        <v>1.25</v>
      </c>
      <c r="E7" t="n">
        <v>-5</v>
      </c>
      <c r="F7" t="n">
        <v>-1.75</v>
      </c>
      <c r="G7" t="n">
        <v>23</v>
      </c>
      <c r="H7" t="n">
        <v>12</v>
      </c>
      <c r="I7" t="s">
        <v>243</v>
      </c>
      <c r="J7" t="n">
        <v>0</v>
      </c>
      <c r="K7" t="n">
        <v>0</v>
      </c>
      <c r="L7" t="n">
        <v>0</v>
      </c>
      <c r="M7" t="n">
        <v>12</v>
      </c>
      <c r="N7" t="n">
        <v>-0.5</v>
      </c>
      <c r="O7" t="n">
        <v>-0.25</v>
      </c>
      <c r="P7" t="n">
        <v>66</v>
      </c>
      <c r="Q7" t="n">
        <v>12</v>
      </c>
      <c r="R7" t="s">
        <v>244</v>
      </c>
      <c r="S7" t="s">
        <v>243</v>
      </c>
      <c r="T7" t="n">
        <v>-0.625</v>
      </c>
    </row>
    <row r="8">
      <c r="A8" t="s">
        <v>30</v>
      </c>
      <c r="B8" t="n">
        <v>0.8</v>
      </c>
      <c r="C8" t="n">
        <v>1</v>
      </c>
      <c r="D8" t="n">
        <v>1</v>
      </c>
      <c r="E8" t="n">
        <v>-6.5</v>
      </c>
      <c r="F8" t="n">
        <v>-1.5</v>
      </c>
      <c r="G8" t="n">
        <v>172</v>
      </c>
      <c r="H8" t="n">
        <v>12</v>
      </c>
      <c r="I8" t="s">
        <v>242</v>
      </c>
      <c r="J8" t="n">
        <v>0</v>
      </c>
      <c r="K8" t="n">
        <v>0</v>
      </c>
      <c r="L8" t="n">
        <v>0</v>
      </c>
      <c r="M8" t="n">
        <v>12</v>
      </c>
      <c r="N8" t="n">
        <v>-0.25</v>
      </c>
      <c r="O8" t="n">
        <v>-0.25</v>
      </c>
      <c r="P8" t="n">
        <v>37</v>
      </c>
      <c r="Q8" t="n">
        <v>12</v>
      </c>
      <c r="R8" t="s">
        <v>243</v>
      </c>
      <c r="S8" t="s">
        <v>243</v>
      </c>
      <c r="T8" t="n">
        <v>-0.375</v>
      </c>
    </row>
    <row r="9">
      <c r="A9" t="s">
        <v>30</v>
      </c>
      <c r="B9" t="n">
        <v>1</v>
      </c>
      <c r="C9" t="n">
        <v>1.25</v>
      </c>
      <c r="D9" t="n">
        <v>1.6</v>
      </c>
      <c r="E9" t="n">
        <v>-3</v>
      </c>
      <c r="F9" t="n">
        <v>-0.5</v>
      </c>
      <c r="G9" t="n">
        <v>85</v>
      </c>
      <c r="H9" t="n">
        <v>12</v>
      </c>
      <c r="I9" t="s">
        <v>243</v>
      </c>
      <c r="J9" t="n">
        <v>0</v>
      </c>
      <c r="K9" t="n">
        <v>0</v>
      </c>
      <c r="L9" t="n">
        <v>0</v>
      </c>
      <c r="M9" t="n">
        <v>12</v>
      </c>
      <c r="N9" t="n">
        <v>0.5</v>
      </c>
      <c r="O9" t="n">
        <v>0</v>
      </c>
      <c r="P9" t="n">
        <v>131</v>
      </c>
      <c r="Q9" t="n">
        <v>12</v>
      </c>
      <c r="R9" t="s">
        <v>245</v>
      </c>
      <c r="S9" t="s">
        <v>244</v>
      </c>
      <c r="T9" t="n">
        <v>0.5</v>
      </c>
    </row>
    <row r="10">
      <c r="A10" t="s">
        <v>30</v>
      </c>
      <c r="B10" t="n">
        <v>1</v>
      </c>
      <c r="C10" t="n">
        <v>1</v>
      </c>
      <c r="D10" t="n">
        <v>1</v>
      </c>
      <c r="E10" t="n">
        <v>-1.5</v>
      </c>
      <c r="F10" t="n">
        <v>-1.5</v>
      </c>
      <c r="G10" t="n">
        <v>57</v>
      </c>
      <c r="H10" t="n">
        <v>12</v>
      </c>
      <c r="I10" t="s">
        <v>243</v>
      </c>
      <c r="J10" t="n">
        <v>0</v>
      </c>
      <c r="K10" t="n">
        <v>0</v>
      </c>
      <c r="L10" t="n">
        <v>0</v>
      </c>
      <c r="M10" t="n">
        <v>12</v>
      </c>
      <c r="N10" t="n">
        <v>0.5</v>
      </c>
      <c r="O10" t="n">
        <v>0</v>
      </c>
      <c r="P10" t="n">
        <v>84</v>
      </c>
      <c r="Q10" t="n">
        <v>12</v>
      </c>
      <c r="R10" t="s">
        <v>243</v>
      </c>
      <c r="S10" t="s">
        <v>243</v>
      </c>
      <c r="T10" t="n">
        <v>0.5</v>
      </c>
    </row>
    <row r="11">
      <c r="A11" t="s">
        <v>30</v>
      </c>
      <c r="B11" t="n">
        <v>1</v>
      </c>
      <c r="C11" t="n">
        <v>1</v>
      </c>
      <c r="D11" t="n">
        <v>1</v>
      </c>
      <c r="E11" t="n">
        <v>-4</v>
      </c>
      <c r="F11" t="n">
        <v>-1</v>
      </c>
      <c r="G11" t="n">
        <v>128</v>
      </c>
      <c r="H11" t="n">
        <v>12</v>
      </c>
      <c r="I11" t="s">
        <v>243</v>
      </c>
      <c r="J11" t="n">
        <v>0</v>
      </c>
      <c r="K11" t="n">
        <v>0</v>
      </c>
      <c r="L11" t="n">
        <v>0</v>
      </c>
      <c r="M11" t="n">
        <v>12</v>
      </c>
      <c r="N11" t="n">
        <v>0</v>
      </c>
      <c r="O11" t="n">
        <v>0</v>
      </c>
      <c r="P11" t="n">
        <v>42</v>
      </c>
      <c r="Q11" t="n">
        <v>12</v>
      </c>
      <c r="R11" t="s">
        <v>243</v>
      </c>
      <c r="S11" t="s">
        <v>243</v>
      </c>
      <c r="T11" t="n">
        <v>0</v>
      </c>
    </row>
    <row r="12">
      <c r="A12" t="s">
        <v>30</v>
      </c>
      <c r="B12" t="n">
        <v>1.25</v>
      </c>
      <c r="C12" t="n">
        <v>1.25</v>
      </c>
      <c r="D12" t="n">
        <v>1.25</v>
      </c>
      <c r="E12" t="n">
        <v>-1</v>
      </c>
      <c r="F12" t="n">
        <v>-1.25</v>
      </c>
      <c r="G12" t="n">
        <v>15</v>
      </c>
      <c r="H12" t="n">
        <v>12</v>
      </c>
      <c r="I12" t="s">
        <v>244</v>
      </c>
      <c r="J12" t="n">
        <v>0</v>
      </c>
      <c r="K12" t="n">
        <v>0</v>
      </c>
      <c r="L12" t="n">
        <v>0</v>
      </c>
      <c r="M12" t="n">
        <v>12</v>
      </c>
      <c r="N12" t="n">
        <v>1</v>
      </c>
      <c r="O12" t="n">
        <v>-0.5</v>
      </c>
      <c r="P12" t="n">
        <v>37</v>
      </c>
      <c r="Q12" t="n">
        <v>12</v>
      </c>
      <c r="R12" t="s">
        <v>244</v>
      </c>
      <c r="S12" t="s">
        <v>244</v>
      </c>
      <c r="T12" t="n">
        <v>0.75</v>
      </c>
    </row>
    <row r="13">
      <c r="A13" t="s">
        <v>30</v>
      </c>
      <c r="B13" t="n">
        <v>1.25</v>
      </c>
      <c r="C13" t="n">
        <v>1.25</v>
      </c>
      <c r="D13" t="n">
        <v>1.25</v>
      </c>
      <c r="E13" t="n">
        <v>-1.5</v>
      </c>
      <c r="F13" t="n">
        <v>-0.5</v>
      </c>
      <c r="G13" t="n">
        <v>6</v>
      </c>
      <c r="H13" t="n">
        <v>12</v>
      </c>
      <c r="I13" t="s">
        <v>244</v>
      </c>
      <c r="J13" t="n">
        <v>0</v>
      </c>
      <c r="K13" t="n">
        <v>0</v>
      </c>
      <c r="L13" t="n">
        <v>0</v>
      </c>
      <c r="M13" t="n">
        <v>12</v>
      </c>
      <c r="N13" t="n">
        <v>0.25</v>
      </c>
      <c r="O13" t="n">
        <v>-0.25</v>
      </c>
      <c r="P13" t="n">
        <v>164</v>
      </c>
      <c r="Q13" t="n">
        <v>12</v>
      </c>
      <c r="R13" t="s">
        <v>244</v>
      </c>
      <c r="S13" t="s">
        <v>244</v>
      </c>
      <c r="T13" t="n">
        <v>0.125</v>
      </c>
    </row>
    <row r="14">
      <c r="A14" t="s">
        <v>30</v>
      </c>
      <c r="B14" t="n">
        <v>1</v>
      </c>
      <c r="C14" t="n">
        <v>1</v>
      </c>
      <c r="D14" t="n">
        <v>1</v>
      </c>
      <c r="E14" t="n">
        <v>-5.5</v>
      </c>
      <c r="F14" t="n">
        <v>-0.25</v>
      </c>
      <c r="G14" t="n">
        <v>14</v>
      </c>
      <c r="H14" t="n">
        <v>12</v>
      </c>
      <c r="I14" t="s">
        <v>243</v>
      </c>
      <c r="J14" t="n">
        <v>0</v>
      </c>
      <c r="K14" t="n">
        <v>0</v>
      </c>
      <c r="L14" t="n">
        <v>0</v>
      </c>
      <c r="M14" t="n">
        <v>12</v>
      </c>
      <c r="N14" t="n">
        <v>-0.25</v>
      </c>
      <c r="O14" t="n">
        <v>-0.25</v>
      </c>
      <c r="P14" t="n">
        <v>84</v>
      </c>
      <c r="Q14" t="n">
        <v>12</v>
      </c>
      <c r="R14" t="s">
        <v>243</v>
      </c>
      <c r="S14" t="s">
        <v>243</v>
      </c>
      <c r="T14" t="n">
        <v>-0.375</v>
      </c>
    </row>
    <row r="15">
      <c r="A15" t="s">
        <v>30</v>
      </c>
      <c r="B15" t="n">
        <v>1.25</v>
      </c>
      <c r="C15" t="n">
        <v>1.6</v>
      </c>
      <c r="D15" t="n">
        <v>1.6</v>
      </c>
      <c r="E15" t="n">
        <v>-2</v>
      </c>
      <c r="F15" t="n">
        <v>-1.25</v>
      </c>
      <c r="G15" t="n">
        <v>2</v>
      </c>
      <c r="H15" t="n">
        <v>12</v>
      </c>
      <c r="I15" t="s">
        <v>244</v>
      </c>
      <c r="J15" t="n">
        <v>0</v>
      </c>
      <c r="K15" t="n">
        <v>0</v>
      </c>
      <c r="L15" t="n">
        <v>0</v>
      </c>
      <c r="M15" t="n">
        <v>12</v>
      </c>
      <c r="N15" t="n">
        <v>0.25</v>
      </c>
      <c r="O15" t="n">
        <v>-0.25</v>
      </c>
      <c r="P15" t="n">
        <v>157</v>
      </c>
      <c r="Q15" t="n">
        <v>12</v>
      </c>
      <c r="R15" t="s">
        <v>245</v>
      </c>
      <c r="S15" t="s">
        <v>245</v>
      </c>
      <c r="T15" t="n">
        <v>0.125</v>
      </c>
    </row>
    <row r="16">
      <c r="A16" t="s">
        <v>30</v>
      </c>
      <c r="B16" t="n">
        <v>1.25</v>
      </c>
      <c r="C16" t="n">
        <v>1.6</v>
      </c>
      <c r="D16" t="n">
        <v>1.6</v>
      </c>
      <c r="E16" t="n">
        <v>-2.5</v>
      </c>
      <c r="F16" t="n">
        <v>-1</v>
      </c>
      <c r="G16" t="n">
        <v>167</v>
      </c>
      <c r="H16" t="n">
        <v>12</v>
      </c>
      <c r="I16" t="s">
        <v>244</v>
      </c>
      <c r="J16" t="n">
        <v>0</v>
      </c>
      <c r="K16" t="n">
        <v>0</v>
      </c>
      <c r="L16" t="n">
        <v>0</v>
      </c>
      <c r="M16" t="n">
        <v>12</v>
      </c>
      <c r="N16" t="n">
        <v>0.25</v>
      </c>
      <c r="O16" t="n">
        <v>-0.25</v>
      </c>
      <c r="P16" t="n">
        <v>142</v>
      </c>
      <c r="Q16" t="n">
        <v>12</v>
      </c>
      <c r="R16" t="s">
        <v>245</v>
      </c>
      <c r="S16" t="s">
        <v>245</v>
      </c>
      <c r="T16" t="n">
        <v>0.125</v>
      </c>
    </row>
    <row r="17">
      <c r="A17" t="s">
        <v>30</v>
      </c>
      <c r="B17" t="n">
        <v>0.8</v>
      </c>
      <c r="C17"/>
      <c r="D17"/>
      <c r="E17" t="n">
        <v>-6</v>
      </c>
      <c r="F17" t="n">
        <v>-0.75</v>
      </c>
      <c r="G17" t="n">
        <v>116</v>
      </c>
      <c r="H17" t="n">
        <v>12</v>
      </c>
      <c r="I17" t="s">
        <v>242</v>
      </c>
      <c r="J17" t="n">
        <v>0</v>
      </c>
      <c r="K17" t="n">
        <v>0</v>
      </c>
      <c r="L17" t="n">
        <v>0</v>
      </c>
      <c r="M17" t="n">
        <v>12</v>
      </c>
      <c r="N17"/>
      <c r="O17"/>
      <c r="P17"/>
      <c r="Q17" t="n">
        <v>12</v>
      </c>
      <c r="R17" t="s">
        <v>94</v>
      </c>
      <c r="S17" t="s">
        <v>94</v>
      </c>
      <c r="T17"/>
    </row>
    <row r="18">
      <c r="A18" t="s">
        <v>30</v>
      </c>
      <c r="B18" t="n">
        <v>1</v>
      </c>
      <c r="C18"/>
      <c r="D18"/>
      <c r="E18" t="n">
        <v>-4</v>
      </c>
      <c r="F18" t="n">
        <v>-1</v>
      </c>
      <c r="G18" t="n">
        <v>59</v>
      </c>
      <c r="H18" t="n">
        <v>12</v>
      </c>
      <c r="I18" t="s">
        <v>243</v>
      </c>
      <c r="J18" t="n">
        <v>0</v>
      </c>
      <c r="K18" t="n">
        <v>0</v>
      </c>
      <c r="L18" t="n">
        <v>0</v>
      </c>
      <c r="M18" t="n">
        <v>12</v>
      </c>
      <c r="N18"/>
      <c r="O18"/>
      <c r="P18"/>
      <c r="Q18" t="n">
        <v>12</v>
      </c>
      <c r="R18" t="s">
        <v>94</v>
      </c>
      <c r="S18" t="s">
        <v>94</v>
      </c>
      <c r="T18"/>
    </row>
    <row r="19">
      <c r="A19" t="s">
        <v>30</v>
      </c>
      <c r="B19" t="n">
        <v>1</v>
      </c>
      <c r="C19" t="n">
        <v>1.25</v>
      </c>
      <c r="D19" t="n">
        <v>1.25</v>
      </c>
      <c r="E19" t="n">
        <v>-3</v>
      </c>
      <c r="F19" t="n">
        <v>-1</v>
      </c>
      <c r="G19" t="n">
        <v>101</v>
      </c>
      <c r="H19" t="n">
        <v>12</v>
      </c>
      <c r="I19" t="s">
        <v>243</v>
      </c>
      <c r="J19" t="n">
        <v>0</v>
      </c>
      <c r="K19" t="n">
        <v>0</v>
      </c>
      <c r="L19" t="n">
        <v>0</v>
      </c>
      <c r="M19" t="n">
        <v>12</v>
      </c>
      <c r="N19" t="n">
        <v>0</v>
      </c>
      <c r="O19" t="n">
        <v>0</v>
      </c>
      <c r="P19" t="n">
        <v>58</v>
      </c>
      <c r="Q19" t="n">
        <v>12</v>
      </c>
      <c r="R19" t="s">
        <v>244</v>
      </c>
      <c r="S19" t="s">
        <v>244</v>
      </c>
      <c r="T19" t="n">
        <v>0</v>
      </c>
    </row>
    <row r="20">
      <c r="A20" t="s">
        <v>30</v>
      </c>
      <c r="B20" t="n">
        <v>1.25</v>
      </c>
      <c r="C20"/>
      <c r="D20" t="n">
        <v>1.6</v>
      </c>
      <c r="E20" t="n">
        <v>-2.75</v>
      </c>
      <c r="F20" t="n">
        <v>-1</v>
      </c>
      <c r="G20" t="n">
        <v>83</v>
      </c>
      <c r="H20" t="n">
        <v>12</v>
      </c>
      <c r="I20" t="s">
        <v>244</v>
      </c>
      <c r="J20" t="n">
        <v>0</v>
      </c>
      <c r="K20" t="n">
        <v>0</v>
      </c>
      <c r="L20" t="n">
        <v>0</v>
      </c>
      <c r="M20" t="n">
        <v>12</v>
      </c>
      <c r="N20" t="n">
        <v>0.25</v>
      </c>
      <c r="O20" t="n">
        <v>-0.25</v>
      </c>
      <c r="P20" t="n">
        <v>165</v>
      </c>
      <c r="Q20" t="n">
        <v>12</v>
      </c>
      <c r="R20" t="s">
        <v>245</v>
      </c>
      <c r="S20" t="s">
        <v>94</v>
      </c>
      <c r="T20" t="n">
        <v>0.125</v>
      </c>
    </row>
    <row r="21">
      <c r="A21" t="s">
        <v>30</v>
      </c>
      <c r="B21" t="n">
        <v>1.25</v>
      </c>
      <c r="C21" t="n">
        <v>1.25</v>
      </c>
      <c r="D21" t="n">
        <v>1.25</v>
      </c>
      <c r="E21" t="n">
        <v>-2.25</v>
      </c>
      <c r="F21" t="n">
        <v>-1</v>
      </c>
      <c r="G21" t="n">
        <v>170</v>
      </c>
      <c r="H21" t="n">
        <v>12</v>
      </c>
      <c r="I21" t="s">
        <v>244</v>
      </c>
      <c r="J21" t="n">
        <v>0</v>
      </c>
      <c r="K21" t="n">
        <v>0</v>
      </c>
      <c r="L21" t="n">
        <v>0</v>
      </c>
      <c r="M21" t="n">
        <v>12</v>
      </c>
      <c r="N21" t="n">
        <v>0.25</v>
      </c>
      <c r="O21" t="n">
        <v>-0.25</v>
      </c>
      <c r="P21" t="n">
        <v>70</v>
      </c>
      <c r="Q21" t="n">
        <v>12</v>
      </c>
      <c r="R21" t="s">
        <v>244</v>
      </c>
      <c r="S21" t="s">
        <v>244</v>
      </c>
      <c r="T21" t="n">
        <v>0.125</v>
      </c>
    </row>
    <row r="22">
      <c r="A22" t="s">
        <v>30</v>
      </c>
      <c r="B22" t="n">
        <v>1</v>
      </c>
      <c r="C22" t="n">
        <v>1</v>
      </c>
      <c r="D22" t="n">
        <v>1</v>
      </c>
      <c r="E22" t="n">
        <v>-2</v>
      </c>
      <c r="F22" t="n">
        <v>-1.25</v>
      </c>
      <c r="G22" t="n">
        <v>170</v>
      </c>
      <c r="H22" t="n">
        <v>12</v>
      </c>
      <c r="I22" t="s">
        <v>243</v>
      </c>
      <c r="J22" t="n">
        <v>0</v>
      </c>
      <c r="K22" t="n">
        <v>0</v>
      </c>
      <c r="L22" t="n">
        <v>0</v>
      </c>
      <c r="M22" t="n">
        <v>12</v>
      </c>
      <c r="N22" t="n">
        <v>0.25</v>
      </c>
      <c r="O22" t="n">
        <v>-0.25</v>
      </c>
      <c r="P22" t="n">
        <v>108</v>
      </c>
      <c r="Q22" t="n">
        <v>12</v>
      </c>
      <c r="R22" t="s">
        <v>243</v>
      </c>
      <c r="S22" t="s">
        <v>243</v>
      </c>
      <c r="T22" t="n">
        <v>0.125</v>
      </c>
    </row>
    <row r="23">
      <c r="A23" t="s">
        <v>30</v>
      </c>
      <c r="B23" t="n">
        <v>1</v>
      </c>
      <c r="C23" t="n">
        <v>1</v>
      </c>
      <c r="D23" t="n">
        <v>1</v>
      </c>
      <c r="E23" t="n">
        <v>-3.75</v>
      </c>
      <c r="F23" t="n">
        <v>-1.5</v>
      </c>
      <c r="G23" t="n">
        <v>160</v>
      </c>
      <c r="H23" t="n">
        <v>12</v>
      </c>
      <c r="I23" t="s">
        <v>243</v>
      </c>
      <c r="J23" t="n">
        <v>0</v>
      </c>
      <c r="K23" t="n">
        <v>0</v>
      </c>
      <c r="L23" t="n">
        <v>0</v>
      </c>
      <c r="M23" t="n">
        <v>12</v>
      </c>
      <c r="N23" t="n">
        <v>0.75</v>
      </c>
      <c r="O23" t="n">
        <v>-0.5</v>
      </c>
      <c r="P23" t="n">
        <v>106</v>
      </c>
      <c r="Q23" t="n">
        <v>12</v>
      </c>
      <c r="R23" t="s">
        <v>243</v>
      </c>
      <c r="S23" t="s">
        <v>243</v>
      </c>
      <c r="T23" t="n">
        <v>0.5</v>
      </c>
    </row>
    <row r="24">
      <c r="A24" t="s">
        <v>30</v>
      </c>
      <c r="B24" t="n">
        <v>1.25</v>
      </c>
      <c r="C24" t="n">
        <v>1.6</v>
      </c>
      <c r="D24" t="n">
        <v>1.6</v>
      </c>
      <c r="E24" t="n">
        <v>-4</v>
      </c>
      <c r="F24" t="n">
        <v>-0.5</v>
      </c>
      <c r="G24" t="n">
        <v>11</v>
      </c>
      <c r="H24" t="n">
        <v>12</v>
      </c>
      <c r="I24" t="s">
        <v>244</v>
      </c>
      <c r="J24" t="n">
        <v>0</v>
      </c>
      <c r="K24" t="n">
        <v>0</v>
      </c>
      <c r="L24" t="n">
        <v>0</v>
      </c>
      <c r="M24" t="n">
        <v>12</v>
      </c>
      <c r="N24" t="n">
        <v>0</v>
      </c>
      <c r="O24" t="n">
        <v>0</v>
      </c>
      <c r="P24" t="n">
        <v>111</v>
      </c>
      <c r="Q24" t="n">
        <v>12</v>
      </c>
      <c r="R24" t="s">
        <v>245</v>
      </c>
      <c r="S24" t="s">
        <v>245</v>
      </c>
      <c r="T24" t="n">
        <v>0</v>
      </c>
    </row>
    <row r="25">
      <c r="A25" t="s">
        <v>30</v>
      </c>
      <c r="B25" t="n">
        <v>1</v>
      </c>
      <c r="C25" t="n">
        <v>1</v>
      </c>
      <c r="D25" t="n">
        <v>1</v>
      </c>
      <c r="E25" t="n">
        <v>-4</v>
      </c>
      <c r="F25" t="n">
        <v>-2.5</v>
      </c>
      <c r="G25" t="n">
        <v>173</v>
      </c>
      <c r="H25" t="n">
        <v>12</v>
      </c>
      <c r="I25" t="s">
        <v>243</v>
      </c>
      <c r="J25" t="n">
        <v>0</v>
      </c>
      <c r="K25" t="n">
        <v>0</v>
      </c>
      <c r="L25" t="n">
        <v>0</v>
      </c>
      <c r="M25" t="n">
        <v>12</v>
      </c>
      <c r="N25" t="n">
        <v>0</v>
      </c>
      <c r="O25" t="n">
        <v>-0.25</v>
      </c>
      <c r="P25" t="n">
        <v>156</v>
      </c>
      <c r="Q25" t="n">
        <v>12</v>
      </c>
      <c r="R25" t="s">
        <v>243</v>
      </c>
      <c r="S25" t="s">
        <v>243</v>
      </c>
      <c r="T25" t="n">
        <v>-0.125</v>
      </c>
    </row>
    <row r="26">
      <c r="A26" t="s">
        <v>30</v>
      </c>
      <c r="B26" t="n">
        <v>1.25</v>
      </c>
      <c r="C26" t="n">
        <v>1</v>
      </c>
      <c r="D26" t="n">
        <v>1</v>
      </c>
      <c r="E26" t="n">
        <v>-3.75</v>
      </c>
      <c r="F26" t="n">
        <v>-1.5</v>
      </c>
      <c r="G26" t="n">
        <v>4</v>
      </c>
      <c r="H26" t="n">
        <v>12</v>
      </c>
      <c r="I26" t="s">
        <v>244</v>
      </c>
      <c r="J26" t="n">
        <v>0</v>
      </c>
      <c r="K26" t="n">
        <v>0</v>
      </c>
      <c r="L26" t="n">
        <v>0</v>
      </c>
      <c r="M26" t="n">
        <v>12</v>
      </c>
      <c r="N26" t="n">
        <v>-0.25</v>
      </c>
      <c r="O26" t="n">
        <v>0</v>
      </c>
      <c r="P26" t="n">
        <v>178</v>
      </c>
      <c r="Q26" t="n">
        <v>12</v>
      </c>
      <c r="R26" t="s">
        <v>243</v>
      </c>
      <c r="S26" t="s">
        <v>243</v>
      </c>
      <c r="T26" t="n">
        <v>-0.25</v>
      </c>
    </row>
    <row r="27">
      <c r="A27" t="s">
        <v>30</v>
      </c>
      <c r="B27" t="n">
        <v>0.8</v>
      </c>
      <c r="C27" t="n">
        <v>0.8</v>
      </c>
      <c r="D27" t="n">
        <v>0.8</v>
      </c>
      <c r="E27" t="n">
        <v>-8</v>
      </c>
      <c r="F27" t="n">
        <v>-1.25</v>
      </c>
      <c r="G27" t="n">
        <v>44</v>
      </c>
      <c r="H27" t="n">
        <v>12</v>
      </c>
      <c r="I27" t="s">
        <v>242</v>
      </c>
      <c r="J27" t="n">
        <v>0</v>
      </c>
      <c r="K27" t="n">
        <v>0</v>
      </c>
      <c r="L27" t="n">
        <v>0</v>
      </c>
      <c r="M27" t="n">
        <v>12</v>
      </c>
      <c r="N27" t="n">
        <v>0.75</v>
      </c>
      <c r="O27" t="n">
        <v>-0.5</v>
      </c>
      <c r="P27" t="n">
        <v>4</v>
      </c>
      <c r="Q27" t="n">
        <v>12</v>
      </c>
      <c r="R27" t="s">
        <v>242</v>
      </c>
      <c r="S27" t="s">
        <v>242</v>
      </c>
      <c r="T27" t="n">
        <v>0.5</v>
      </c>
    </row>
    <row r="28">
      <c r="A28" t="s">
        <v>30</v>
      </c>
      <c r="B28" t="n">
        <v>0.8</v>
      </c>
      <c r="C28" t="n">
        <v>0.8</v>
      </c>
      <c r="D28" t="n">
        <v>0.8</v>
      </c>
      <c r="E28" t="n">
        <v>-7.5</v>
      </c>
      <c r="F28" t="n">
        <v>-0.5</v>
      </c>
      <c r="G28" t="n">
        <v>142</v>
      </c>
      <c r="H28" t="n">
        <v>12</v>
      </c>
      <c r="I28" t="s">
        <v>242</v>
      </c>
      <c r="J28" t="n">
        <v>0</v>
      </c>
      <c r="K28" t="n">
        <v>0</v>
      </c>
      <c r="L28" t="n">
        <v>0</v>
      </c>
      <c r="M28" t="n">
        <v>12</v>
      </c>
      <c r="N28" t="n">
        <v>0</v>
      </c>
      <c r="O28" t="n">
        <v>-0.25</v>
      </c>
      <c r="P28" t="n">
        <v>175</v>
      </c>
      <c r="Q28" t="n">
        <v>12</v>
      </c>
      <c r="R28" t="s">
        <v>242</v>
      </c>
      <c r="S28" t="s">
        <v>242</v>
      </c>
      <c r="T28" t="n">
        <v>-0.125</v>
      </c>
    </row>
    <row r="29">
      <c r="A29" t="s">
        <v>30</v>
      </c>
      <c r="B29" t="n">
        <v>1</v>
      </c>
      <c r="C29" t="n">
        <v>1</v>
      </c>
      <c r="D29" t="n">
        <v>1.25</v>
      </c>
      <c r="E29" t="n">
        <v>-0.75</v>
      </c>
      <c r="F29" t="n">
        <v>-0.5</v>
      </c>
      <c r="G29" t="n">
        <v>11</v>
      </c>
      <c r="H29" t="n">
        <v>12</v>
      </c>
      <c r="I29" t="s">
        <v>243</v>
      </c>
      <c r="J29" t="n">
        <v>0</v>
      </c>
      <c r="K29" t="n">
        <v>0</v>
      </c>
      <c r="L29" t="n">
        <v>0</v>
      </c>
      <c r="M29" t="n">
        <v>12</v>
      </c>
      <c r="N29" t="n">
        <v>0.25</v>
      </c>
      <c r="O29" t="n">
        <v>-0.25</v>
      </c>
      <c r="P29" t="n">
        <v>120</v>
      </c>
      <c r="Q29" t="n">
        <v>12</v>
      </c>
      <c r="R29" t="s">
        <v>244</v>
      </c>
      <c r="S29" t="s">
        <v>243</v>
      </c>
      <c r="T29" t="n">
        <v>0.125</v>
      </c>
    </row>
    <row r="30">
      <c r="A30" t="s">
        <v>30</v>
      </c>
      <c r="B30" t="n">
        <v>1</v>
      </c>
      <c r="C30" t="n">
        <v>1</v>
      </c>
      <c r="D30" t="n">
        <v>1.25</v>
      </c>
      <c r="E30" t="n">
        <v>-0.25</v>
      </c>
      <c r="F30" t="n">
        <v>-0.75</v>
      </c>
      <c r="G30" t="n">
        <v>153</v>
      </c>
      <c r="H30" t="n">
        <v>12</v>
      </c>
      <c r="I30" t="s">
        <v>243</v>
      </c>
      <c r="J30" t="n">
        <v>0</v>
      </c>
      <c r="K30" t="n">
        <v>0</v>
      </c>
      <c r="L30" t="n">
        <v>0</v>
      </c>
      <c r="M30" t="n">
        <v>12</v>
      </c>
      <c r="N30" t="n">
        <v>0.75</v>
      </c>
      <c r="O30" t="n">
        <v>-0.25</v>
      </c>
      <c r="P30" t="n">
        <v>87</v>
      </c>
      <c r="Q30" t="n">
        <v>12</v>
      </c>
      <c r="R30" t="s">
        <v>244</v>
      </c>
      <c r="S30" t="s">
        <v>243</v>
      </c>
      <c r="T30" t="n">
        <v>0.625</v>
      </c>
    </row>
    <row r="31">
      <c r="A31" t="s">
        <v>30</v>
      </c>
      <c r="B31" t="n">
        <v>1</v>
      </c>
      <c r="C31" t="n">
        <v>1</v>
      </c>
      <c r="D31" t="n">
        <v>1</v>
      </c>
      <c r="E31" t="n">
        <v>-0.75</v>
      </c>
      <c r="F31" t="n">
        <v>-2.25</v>
      </c>
      <c r="G31" t="n">
        <v>27</v>
      </c>
      <c r="H31" t="n">
        <v>12</v>
      </c>
      <c r="I31" t="s">
        <v>243</v>
      </c>
      <c r="J31" t="n">
        <v>0</v>
      </c>
      <c r="K31" t="n">
        <v>0</v>
      </c>
      <c r="L31" t="n">
        <v>0</v>
      </c>
      <c r="M31" t="n">
        <v>12</v>
      </c>
      <c r="N31" t="n">
        <v>0</v>
      </c>
      <c r="O31" t="n">
        <v>-0.25</v>
      </c>
      <c r="P31" t="n">
        <v>178</v>
      </c>
      <c r="Q31" t="n">
        <v>12</v>
      </c>
      <c r="R31" t="s">
        <v>243</v>
      </c>
      <c r="S31" t="s">
        <v>243</v>
      </c>
      <c r="T31" t="n">
        <v>-0.125</v>
      </c>
    </row>
    <row r="32">
      <c r="A32" t="s">
        <v>30</v>
      </c>
      <c r="B32" t="n">
        <v>1</v>
      </c>
      <c r="C32" t="n">
        <v>1</v>
      </c>
      <c r="D32" t="n">
        <v>1</v>
      </c>
      <c r="E32" t="n">
        <v>-0.25</v>
      </c>
      <c r="F32" t="n">
        <v>-2.25</v>
      </c>
      <c r="G32" t="n">
        <v>152</v>
      </c>
      <c r="H32" t="n">
        <v>12</v>
      </c>
      <c r="I32" t="s">
        <v>243</v>
      </c>
      <c r="J32" t="n">
        <v>0</v>
      </c>
      <c r="K32" t="n">
        <v>0</v>
      </c>
      <c r="L32" t="n">
        <v>0</v>
      </c>
      <c r="M32" t="n">
        <v>12</v>
      </c>
      <c r="N32" t="n">
        <v>0</v>
      </c>
      <c r="O32" t="n">
        <v>-0.25</v>
      </c>
      <c r="P32" t="n">
        <v>172</v>
      </c>
      <c r="Q32" t="n">
        <v>12</v>
      </c>
      <c r="R32" t="s">
        <v>243</v>
      </c>
      <c r="S32" t="s">
        <v>243</v>
      </c>
      <c r="T32" t="n">
        <v>-0.125</v>
      </c>
    </row>
    <row r="33">
      <c r="A33" t="s">
        <v>30</v>
      </c>
      <c r="B33" t="n">
        <v>1</v>
      </c>
      <c r="C33" t="n">
        <v>1.25</v>
      </c>
      <c r="D33" t="n">
        <v>1.25</v>
      </c>
      <c r="E33" t="n">
        <v>-4</v>
      </c>
      <c r="F33" t="n">
        <v>-1</v>
      </c>
      <c r="G33" t="n">
        <v>21</v>
      </c>
      <c r="H33" t="n">
        <v>12</v>
      </c>
      <c r="I33" t="s">
        <v>243</v>
      </c>
      <c r="J33" t="n">
        <v>0</v>
      </c>
      <c r="K33" t="n">
        <v>0</v>
      </c>
      <c r="L33" t="n">
        <v>0</v>
      </c>
      <c r="M33" t="n">
        <v>12</v>
      </c>
      <c r="N33" t="n">
        <v>0.5</v>
      </c>
      <c r="O33" t="n">
        <v>-0.5</v>
      </c>
      <c r="P33" t="n">
        <v>156</v>
      </c>
      <c r="Q33" t="n">
        <v>12</v>
      </c>
      <c r="R33" t="s">
        <v>244</v>
      </c>
      <c r="S33" t="s">
        <v>244</v>
      </c>
      <c r="T33" t="n">
        <v>0.25</v>
      </c>
    </row>
    <row r="34">
      <c r="A34" t="s">
        <v>30</v>
      </c>
      <c r="B34" t="n">
        <v>1</v>
      </c>
      <c r="C34" t="n">
        <v>1.6</v>
      </c>
      <c r="D34" t="n">
        <v>1.6</v>
      </c>
      <c r="E34" t="n">
        <v>-1.75</v>
      </c>
      <c r="F34" t="n">
        <v>-1.75</v>
      </c>
      <c r="G34" t="n">
        <v>164</v>
      </c>
      <c r="H34" t="n">
        <v>12</v>
      </c>
      <c r="I34" t="s">
        <v>243</v>
      </c>
      <c r="J34" t="n">
        <v>0</v>
      </c>
      <c r="K34" t="n">
        <v>0</v>
      </c>
      <c r="L34" t="n">
        <v>0</v>
      </c>
      <c r="M34" t="n">
        <v>12</v>
      </c>
      <c r="N34" t="n">
        <v>0.5</v>
      </c>
      <c r="O34" t="n">
        <v>-0.5</v>
      </c>
      <c r="P34" t="n">
        <v>24</v>
      </c>
      <c r="Q34" t="n">
        <v>12</v>
      </c>
      <c r="R34" t="s">
        <v>245</v>
      </c>
      <c r="S34" t="s">
        <v>245</v>
      </c>
      <c r="T34" t="n">
        <v>0.25</v>
      </c>
    </row>
    <row r="35">
      <c r="A35" t="s">
        <v>30</v>
      </c>
      <c r="B35" t="n">
        <v>1</v>
      </c>
      <c r="C35" t="n">
        <v>1.25</v>
      </c>
      <c r="D35" t="n">
        <v>1.25</v>
      </c>
      <c r="E35" t="n">
        <v>-3.75</v>
      </c>
      <c r="F35" t="n">
        <v>-0.5</v>
      </c>
      <c r="G35" t="n">
        <v>174</v>
      </c>
      <c r="H35" t="n">
        <v>12</v>
      </c>
      <c r="I35" t="s">
        <v>243</v>
      </c>
      <c r="J35" t="n">
        <v>0</v>
      </c>
      <c r="K35" t="n">
        <v>0</v>
      </c>
      <c r="L35" t="n">
        <v>0</v>
      </c>
      <c r="M35" t="n">
        <v>12</v>
      </c>
      <c r="N35" t="n">
        <v>0.25</v>
      </c>
      <c r="O35" t="n">
        <v>0</v>
      </c>
      <c r="P35" t="n">
        <v>51</v>
      </c>
      <c r="Q35" t="n">
        <v>12</v>
      </c>
      <c r="R35" t="s">
        <v>244</v>
      </c>
      <c r="S35" t="s">
        <v>244</v>
      </c>
      <c r="T35" t="n">
        <v>0.25</v>
      </c>
    </row>
    <row r="36">
      <c r="A36" t="s">
        <v>30</v>
      </c>
      <c r="B36" t="n">
        <v>0.8</v>
      </c>
      <c r="C36" t="n">
        <v>1</v>
      </c>
      <c r="D36" t="n">
        <v>1</v>
      </c>
      <c r="E36" t="n">
        <v>-5</v>
      </c>
      <c r="F36" t="n">
        <v>-0.5</v>
      </c>
      <c r="G36" t="n">
        <v>2</v>
      </c>
      <c r="H36" t="n">
        <v>12</v>
      </c>
      <c r="I36" t="s">
        <v>242</v>
      </c>
      <c r="J36" t="n">
        <v>0</v>
      </c>
      <c r="K36" t="n">
        <v>0</v>
      </c>
      <c r="L36" t="n">
        <v>0</v>
      </c>
      <c r="M36" t="n">
        <v>12</v>
      </c>
      <c r="N36" t="n">
        <v>0.5</v>
      </c>
      <c r="O36" t="n">
        <v>0</v>
      </c>
      <c r="P36" t="n">
        <v>99</v>
      </c>
      <c r="Q36" t="n">
        <v>12</v>
      </c>
      <c r="R36" t="s">
        <v>243</v>
      </c>
      <c r="S36" t="s">
        <v>243</v>
      </c>
      <c r="T36" t="n">
        <v>0.5</v>
      </c>
    </row>
    <row r="37">
      <c r="A37" t="s">
        <v>30</v>
      </c>
      <c r="B37" t="n">
        <v>1.25</v>
      </c>
      <c r="C37" t="n">
        <v>1.25</v>
      </c>
      <c r="D37" t="n">
        <v>1.25</v>
      </c>
      <c r="E37" t="n">
        <v>-3.5</v>
      </c>
      <c r="F37" t="n">
        <v>-0.5</v>
      </c>
      <c r="G37" t="n">
        <v>18</v>
      </c>
      <c r="H37" t="n">
        <v>12</v>
      </c>
      <c r="I37" t="s">
        <v>244</v>
      </c>
      <c r="J37" t="n">
        <v>0</v>
      </c>
      <c r="K37" t="n">
        <v>0</v>
      </c>
      <c r="L37" t="n">
        <v>0</v>
      </c>
      <c r="M37" t="n">
        <v>12</v>
      </c>
      <c r="N37" t="n">
        <v>0</v>
      </c>
      <c r="O37" t="n">
        <v>-0.25</v>
      </c>
      <c r="P37" t="n">
        <v>37</v>
      </c>
      <c r="Q37" t="n">
        <v>12</v>
      </c>
      <c r="R37" t="s">
        <v>244</v>
      </c>
      <c r="S37" t="s">
        <v>244</v>
      </c>
      <c r="T37" t="n">
        <v>-0.125</v>
      </c>
    </row>
    <row r="38">
      <c r="A38" t="s">
        <v>30</v>
      </c>
      <c r="B38" t="n">
        <v>1.25</v>
      </c>
      <c r="C38" t="n">
        <v>1.25</v>
      </c>
      <c r="D38" t="n">
        <v>1.25</v>
      </c>
      <c r="E38" t="n">
        <v>-4</v>
      </c>
      <c r="F38" t="n">
        <v>-0.75</v>
      </c>
      <c r="G38" t="n">
        <v>171</v>
      </c>
      <c r="H38" t="n">
        <v>12</v>
      </c>
      <c r="I38" t="s">
        <v>244</v>
      </c>
      <c r="J38" t="n">
        <v>0</v>
      </c>
      <c r="K38" t="n">
        <v>0</v>
      </c>
      <c r="L38" t="n">
        <v>0</v>
      </c>
      <c r="M38" t="n">
        <v>12</v>
      </c>
      <c r="N38" t="n">
        <v>0</v>
      </c>
      <c r="O38" t="n">
        <v>-0.25</v>
      </c>
      <c r="P38" t="n">
        <v>2</v>
      </c>
      <c r="Q38" t="n">
        <v>12</v>
      </c>
      <c r="R38" t="s">
        <v>244</v>
      </c>
      <c r="S38" t="s">
        <v>244</v>
      </c>
      <c r="T38" t="n">
        <v>-0.125</v>
      </c>
    </row>
    <row r="39">
      <c r="A39" t="s">
        <v>30</v>
      </c>
      <c r="B39" t="n">
        <v>1</v>
      </c>
      <c r="C39" t="n">
        <v>0.5</v>
      </c>
      <c r="D39" t="n">
        <v>0.5</v>
      </c>
      <c r="E39" t="n">
        <v>-2.25</v>
      </c>
      <c r="F39" t="n">
        <v>-0.25</v>
      </c>
      <c r="G39" t="n">
        <v>52</v>
      </c>
      <c r="H39" t="n">
        <v>12</v>
      </c>
      <c r="I39" t="s">
        <v>243</v>
      </c>
      <c r="J39" t="n">
        <v>0</v>
      </c>
      <c r="K39" t="n">
        <v>0</v>
      </c>
      <c r="L39" t="n">
        <v>0</v>
      </c>
      <c r="M39" t="n">
        <v>12</v>
      </c>
      <c r="N39" t="n">
        <v>0.5</v>
      </c>
      <c r="O39" t="n">
        <v>-0.25</v>
      </c>
      <c r="P39" t="n">
        <v>144</v>
      </c>
      <c r="Q39" t="n">
        <v>12</v>
      </c>
      <c r="R39" t="s">
        <v>246</v>
      </c>
      <c r="S39" t="s">
        <v>246</v>
      </c>
      <c r="T39" t="n">
        <v>0.375</v>
      </c>
    </row>
    <row r="40">
      <c r="A40" t="s">
        <v>30</v>
      </c>
      <c r="B40" t="n">
        <v>1</v>
      </c>
      <c r="C40" t="n">
        <v>0.5</v>
      </c>
      <c r="D40" t="n">
        <v>0.5</v>
      </c>
      <c r="E40" t="n">
        <v>-3.5</v>
      </c>
      <c r="F40" t="n">
        <v>-0.25</v>
      </c>
      <c r="G40" t="n">
        <v>133</v>
      </c>
      <c r="H40" t="n">
        <v>12</v>
      </c>
      <c r="I40" t="s">
        <v>243</v>
      </c>
      <c r="J40" t="n">
        <v>0</v>
      </c>
      <c r="K40" t="n">
        <v>0</v>
      </c>
      <c r="L40" t="n">
        <v>0</v>
      </c>
      <c r="M40" t="n">
        <v>12</v>
      </c>
      <c r="N40" t="n">
        <v>-0.25</v>
      </c>
      <c r="O40" t="n">
        <v>-0.25</v>
      </c>
      <c r="P40" t="n">
        <v>19</v>
      </c>
      <c r="Q40" t="n">
        <v>12</v>
      </c>
      <c r="R40" t="s">
        <v>246</v>
      </c>
      <c r="S40" t="s">
        <v>246</v>
      </c>
      <c r="T40" t="n">
        <v>-0.375</v>
      </c>
    </row>
    <row r="41">
      <c r="A41" t="s">
        <v>30</v>
      </c>
      <c r="B41" t="n">
        <v>1.25</v>
      </c>
      <c r="C41" t="n">
        <v>1.25</v>
      </c>
      <c r="D41" t="n">
        <v>1.25</v>
      </c>
      <c r="E41" t="n">
        <v>-5.25</v>
      </c>
      <c r="F41" t="n">
        <v>-1.25</v>
      </c>
      <c r="G41" t="n">
        <v>179</v>
      </c>
      <c r="H41" t="n">
        <v>12</v>
      </c>
      <c r="I41" t="s">
        <v>244</v>
      </c>
      <c r="J41" t="n">
        <v>0</v>
      </c>
      <c r="K41" t="n">
        <v>0</v>
      </c>
      <c r="L41" t="n">
        <v>0</v>
      </c>
      <c r="M41" t="n">
        <v>12</v>
      </c>
      <c r="N41" t="n">
        <v>0</v>
      </c>
      <c r="O41" t="n">
        <v>-0.25</v>
      </c>
      <c r="P41" t="n">
        <v>16</v>
      </c>
      <c r="Q41" t="n">
        <v>12</v>
      </c>
      <c r="R41" t="s">
        <v>244</v>
      </c>
      <c r="S41" t="s">
        <v>244</v>
      </c>
      <c r="T41" t="n">
        <v>-0.125</v>
      </c>
    </row>
    <row r="42">
      <c r="A42" t="s">
        <v>30</v>
      </c>
      <c r="B42" t="n">
        <v>1.25</v>
      </c>
      <c r="C42"/>
      <c r="D42"/>
      <c r="E42" t="n">
        <v>-2.5</v>
      </c>
      <c r="F42" t="n">
        <v>-0.25</v>
      </c>
      <c r="G42" t="n">
        <v>36</v>
      </c>
      <c r="H42" t="n">
        <v>12</v>
      </c>
      <c r="I42" t="s">
        <v>244</v>
      </c>
      <c r="J42" t="n">
        <v>0</v>
      </c>
      <c r="K42" t="n">
        <v>0</v>
      </c>
      <c r="L42" t="n">
        <v>0</v>
      </c>
      <c r="M42" t="n">
        <v>12</v>
      </c>
      <c r="N42"/>
      <c r="O42"/>
      <c r="P42"/>
      <c r="Q42" t="n">
        <v>12</v>
      </c>
      <c r="R42" t="s">
        <v>94</v>
      </c>
      <c r="S42" t="s">
        <v>94</v>
      </c>
      <c r="T42"/>
    </row>
    <row r="43">
      <c r="A43" t="s">
        <v>30</v>
      </c>
      <c r="B43" t="n">
        <v>1</v>
      </c>
      <c r="C43"/>
      <c r="D43"/>
      <c r="E43" t="n">
        <v>-3</v>
      </c>
      <c r="F43" t="n">
        <v>-0.5</v>
      </c>
      <c r="G43" t="n">
        <v>145</v>
      </c>
      <c r="H43" t="n">
        <v>12</v>
      </c>
      <c r="I43" t="s">
        <v>243</v>
      </c>
      <c r="J43" t="n">
        <v>0</v>
      </c>
      <c r="K43" t="n">
        <v>0</v>
      </c>
      <c r="L43" t="n">
        <v>0</v>
      </c>
      <c r="M43" t="n">
        <v>12</v>
      </c>
      <c r="N43"/>
      <c r="O43"/>
      <c r="P43"/>
      <c r="Q43" t="n">
        <v>12</v>
      </c>
      <c r="R43" t="s">
        <v>94</v>
      </c>
      <c r="S43" t="s">
        <v>94</v>
      </c>
      <c r="T43"/>
    </row>
    <row r="44">
      <c r="A44" t="s">
        <v>30</v>
      </c>
      <c r="B44" t="n">
        <v>1</v>
      </c>
      <c r="C44" t="n">
        <v>1</v>
      </c>
      <c r="D44" t="n">
        <v>1</v>
      </c>
      <c r="E44" t="n">
        <v>-1.75</v>
      </c>
      <c r="F44" t="n">
        <v>-1</v>
      </c>
      <c r="G44" t="n">
        <v>174</v>
      </c>
      <c r="H44" t="n">
        <v>12</v>
      </c>
      <c r="I44" t="s">
        <v>243</v>
      </c>
      <c r="J44" t="n">
        <v>0</v>
      </c>
      <c r="K44" t="n">
        <v>0</v>
      </c>
      <c r="L44" t="n">
        <v>0</v>
      </c>
      <c r="M44" t="n">
        <v>12</v>
      </c>
      <c r="N44" t="n">
        <v>0.25</v>
      </c>
      <c r="O44" t="n">
        <v>-0.5</v>
      </c>
      <c r="P44" t="n">
        <v>130</v>
      </c>
      <c r="Q44" t="n">
        <v>12</v>
      </c>
      <c r="R44" t="s">
        <v>243</v>
      </c>
      <c r="S44" t="s">
        <v>243</v>
      </c>
      <c r="T44" t="n">
        <v>0</v>
      </c>
    </row>
    <row r="45">
      <c r="A45" t="s">
        <v>30</v>
      </c>
      <c r="B45" t="n">
        <v>1.25</v>
      </c>
      <c r="C45" t="n">
        <v>1.25</v>
      </c>
      <c r="D45" t="n">
        <v>1.6</v>
      </c>
      <c r="E45" t="n">
        <v>-5.75</v>
      </c>
      <c r="F45" t="n">
        <v>-0.5</v>
      </c>
      <c r="G45" t="n">
        <v>41</v>
      </c>
      <c r="H45" t="n">
        <v>12</v>
      </c>
      <c r="I45" t="s">
        <v>244</v>
      </c>
      <c r="J45" t="n">
        <v>0</v>
      </c>
      <c r="K45" t="n">
        <v>0</v>
      </c>
      <c r="L45" t="n">
        <v>0</v>
      </c>
      <c r="M45" t="n">
        <v>12</v>
      </c>
      <c r="N45" t="n">
        <v>-0.25</v>
      </c>
      <c r="O45" t="n">
        <v>0</v>
      </c>
      <c r="P45" t="n">
        <v>82</v>
      </c>
      <c r="Q45" t="n">
        <v>12</v>
      </c>
      <c r="R45" t="s">
        <v>245</v>
      </c>
      <c r="S45" t="s">
        <v>244</v>
      </c>
      <c r="T45" t="n">
        <v>-0.25</v>
      </c>
    </row>
    <row r="46">
      <c r="A46" t="s">
        <v>30</v>
      </c>
      <c r="B46" t="n">
        <v>1</v>
      </c>
      <c r="C46" t="n">
        <v>1</v>
      </c>
      <c r="D46" t="n">
        <v>1</v>
      </c>
      <c r="E46" t="n">
        <v>-5.5</v>
      </c>
      <c r="F46" t="n">
        <v>-0.75</v>
      </c>
      <c r="G46" t="n">
        <v>100</v>
      </c>
      <c r="H46" t="n">
        <v>12</v>
      </c>
      <c r="I46" t="s">
        <v>243</v>
      </c>
      <c r="J46" t="n">
        <v>0</v>
      </c>
      <c r="K46" t="n">
        <v>0</v>
      </c>
      <c r="L46" t="n">
        <v>0</v>
      </c>
      <c r="M46" t="n">
        <v>12</v>
      </c>
      <c r="N46" t="n">
        <v>0.5</v>
      </c>
      <c r="O46" t="n">
        <v>0</v>
      </c>
      <c r="P46" t="n">
        <v>166</v>
      </c>
      <c r="Q46" t="n">
        <v>12</v>
      </c>
      <c r="R46" t="s">
        <v>243</v>
      </c>
      <c r="S46" t="s">
        <v>243</v>
      </c>
      <c r="T46" t="n">
        <v>0.5</v>
      </c>
    </row>
    <row r="47">
      <c r="A47" t="s">
        <v>30</v>
      </c>
      <c r="B47" t="n">
        <v>1</v>
      </c>
      <c r="C47" t="n">
        <v>1</v>
      </c>
      <c r="D47" t="n">
        <v>1</v>
      </c>
      <c r="E47" t="n">
        <v>-5.5</v>
      </c>
      <c r="F47" t="n">
        <v>-0.5</v>
      </c>
      <c r="G47" t="n">
        <v>96</v>
      </c>
      <c r="H47" t="n">
        <v>12</v>
      </c>
      <c r="I47" t="s">
        <v>243</v>
      </c>
      <c r="J47" t="n">
        <v>0</v>
      </c>
      <c r="K47" t="n">
        <v>0</v>
      </c>
      <c r="L47" t="n">
        <v>0</v>
      </c>
      <c r="M47" t="n">
        <v>12</v>
      </c>
      <c r="N47" t="n">
        <v>0.25</v>
      </c>
      <c r="O47" t="n">
        <v>0</v>
      </c>
      <c r="P47" t="n">
        <v>6</v>
      </c>
      <c r="Q47" t="n">
        <v>12</v>
      </c>
      <c r="R47" t="s">
        <v>243</v>
      </c>
      <c r="S47" t="s">
        <v>243</v>
      </c>
      <c r="T47" t="n">
        <v>0.25</v>
      </c>
    </row>
    <row r="48">
      <c r="A48" t="s">
        <v>30</v>
      </c>
      <c r="B48" t="n">
        <v>1</v>
      </c>
      <c r="C48" t="n">
        <v>1</v>
      </c>
      <c r="D48" t="n">
        <v>1</v>
      </c>
      <c r="E48" t="n">
        <v>-5.75</v>
      </c>
      <c r="F48" t="n">
        <v>-1.25</v>
      </c>
      <c r="G48" t="n">
        <v>156</v>
      </c>
      <c r="H48" t="n">
        <v>12</v>
      </c>
      <c r="I48" t="s">
        <v>243</v>
      </c>
      <c r="J48" t="n">
        <v>0</v>
      </c>
      <c r="K48" t="n">
        <v>0</v>
      </c>
      <c r="L48" t="n">
        <v>0</v>
      </c>
      <c r="M48" t="n">
        <v>12</v>
      </c>
      <c r="N48" t="n">
        <v>-0.25</v>
      </c>
      <c r="O48" t="n">
        <v>-0.25</v>
      </c>
      <c r="P48" t="n">
        <v>92</v>
      </c>
      <c r="Q48" t="n">
        <v>12</v>
      </c>
      <c r="R48" t="s">
        <v>243</v>
      </c>
      <c r="S48" t="s">
        <v>243</v>
      </c>
      <c r="T48" t="n">
        <v>-0.375</v>
      </c>
    </row>
    <row r="49">
      <c r="A49" t="s">
        <v>30</v>
      </c>
      <c r="B49" t="n">
        <v>1</v>
      </c>
      <c r="C49" t="n">
        <v>1</v>
      </c>
      <c r="D49" t="n">
        <v>1</v>
      </c>
      <c r="E49" t="n">
        <v>-4.75</v>
      </c>
      <c r="F49" t="n">
        <v>-2</v>
      </c>
      <c r="G49" t="n">
        <v>36</v>
      </c>
      <c r="H49" t="n">
        <v>12</v>
      </c>
      <c r="I49" t="s">
        <v>243</v>
      </c>
      <c r="J49" t="n">
        <v>0</v>
      </c>
      <c r="K49" t="n">
        <v>0</v>
      </c>
      <c r="L49" t="n">
        <v>0</v>
      </c>
      <c r="M49" t="n">
        <v>12</v>
      </c>
      <c r="N49" t="n">
        <v>-0.25</v>
      </c>
      <c r="O49" t="n">
        <v>-0.25</v>
      </c>
      <c r="P49" t="n">
        <v>80</v>
      </c>
      <c r="Q49" t="n">
        <v>12</v>
      </c>
      <c r="R49" t="s">
        <v>243</v>
      </c>
      <c r="S49" t="s">
        <v>243</v>
      </c>
      <c r="T49" t="n">
        <v>-0.375</v>
      </c>
    </row>
    <row r="50">
      <c r="A50" t="s">
        <v>30</v>
      </c>
      <c r="B50" t="n">
        <v>1</v>
      </c>
      <c r="C50" t="n">
        <v>1</v>
      </c>
      <c r="D50" t="n">
        <v>1</v>
      </c>
      <c r="E50" t="n">
        <v>-3.75</v>
      </c>
      <c r="F50" t="n">
        <v>-0.75</v>
      </c>
      <c r="G50" t="n">
        <v>35</v>
      </c>
      <c r="H50" t="n">
        <v>12</v>
      </c>
      <c r="I50" t="s">
        <v>243</v>
      </c>
      <c r="J50" t="n">
        <v>0</v>
      </c>
      <c r="K50" t="n">
        <v>0</v>
      </c>
      <c r="L50" t="n">
        <v>0</v>
      </c>
      <c r="M50" t="n">
        <v>12</v>
      </c>
      <c r="N50" t="n">
        <v>0.75</v>
      </c>
      <c r="O50" t="n">
        <v>-0.25</v>
      </c>
      <c r="P50" t="n">
        <v>7</v>
      </c>
      <c r="Q50" t="n">
        <v>12</v>
      </c>
      <c r="R50" t="s">
        <v>243</v>
      </c>
      <c r="S50" t="s">
        <v>243</v>
      </c>
      <c r="T50" t="n">
        <v>0.625</v>
      </c>
    </row>
    <row r="51">
      <c r="A51" t="s">
        <v>30</v>
      </c>
      <c r="B51" t="n">
        <v>1</v>
      </c>
      <c r="C51" t="n">
        <v>1</v>
      </c>
      <c r="D51" t="n">
        <v>1</v>
      </c>
      <c r="E51" t="n">
        <v>-3.75</v>
      </c>
      <c r="F51" t="n">
        <v>-0.5</v>
      </c>
      <c r="G51" t="n">
        <v>143</v>
      </c>
      <c r="H51" t="n">
        <v>12</v>
      </c>
      <c r="I51" t="s">
        <v>243</v>
      </c>
      <c r="J51" t="n">
        <v>0</v>
      </c>
      <c r="K51" t="n">
        <v>0</v>
      </c>
      <c r="L51" t="n">
        <v>0</v>
      </c>
      <c r="M51" t="n">
        <v>12</v>
      </c>
      <c r="N51" t="n">
        <v>0.25</v>
      </c>
      <c r="O51" t="n">
        <v>-0.25</v>
      </c>
      <c r="P51" t="n">
        <v>33</v>
      </c>
      <c r="Q51" t="n">
        <v>12</v>
      </c>
      <c r="R51" t="s">
        <v>243</v>
      </c>
      <c r="S51" t="s">
        <v>243</v>
      </c>
      <c r="T51" t="n">
        <v>0.125</v>
      </c>
    </row>
    <row r="52">
      <c r="A52" t="s">
        <v>30</v>
      </c>
      <c r="B52" t="n">
        <v>1</v>
      </c>
      <c r="C52" t="n">
        <v>1.25</v>
      </c>
      <c r="D52" t="n">
        <v>1.25</v>
      </c>
      <c r="E52" t="n">
        <v>-0.25</v>
      </c>
      <c r="F52" t="n">
        <v>-0.5</v>
      </c>
      <c r="G52" t="n">
        <v>68</v>
      </c>
      <c r="H52" t="n">
        <v>12</v>
      </c>
      <c r="I52" t="s">
        <v>243</v>
      </c>
      <c r="J52" t="n">
        <v>0</v>
      </c>
      <c r="K52" t="n">
        <v>0</v>
      </c>
      <c r="L52" t="n">
        <v>0</v>
      </c>
      <c r="M52" t="n">
        <v>12</v>
      </c>
      <c r="N52" t="n">
        <v>-0.25</v>
      </c>
      <c r="O52" t="n">
        <v>-0.25</v>
      </c>
      <c r="P52" t="n">
        <v>126</v>
      </c>
      <c r="Q52" t="n">
        <v>12</v>
      </c>
      <c r="R52" t="s">
        <v>244</v>
      </c>
      <c r="S52" t="s">
        <v>244</v>
      </c>
      <c r="T52" t="n">
        <v>-0.375</v>
      </c>
    </row>
    <row r="53">
      <c r="A53" t="s">
        <v>30</v>
      </c>
      <c r="B53" t="n">
        <v>1.25</v>
      </c>
      <c r="C53" t="n">
        <v>1.6</v>
      </c>
      <c r="D53" t="n">
        <v>1.6</v>
      </c>
      <c r="E53" t="n">
        <v>-5.5</v>
      </c>
      <c r="F53" t="n">
        <v>-0.75</v>
      </c>
      <c r="G53" t="n">
        <v>81</v>
      </c>
      <c r="H53" t="n">
        <v>12</v>
      </c>
      <c r="I53" t="s">
        <v>244</v>
      </c>
      <c r="J53" t="n">
        <v>0</v>
      </c>
      <c r="K53" t="n">
        <v>0</v>
      </c>
      <c r="L53" t="n">
        <v>0</v>
      </c>
      <c r="M53" t="n">
        <v>12</v>
      </c>
      <c r="N53" t="n">
        <v>0.5</v>
      </c>
      <c r="O53" t="n">
        <v>-0.25</v>
      </c>
      <c r="P53" t="n">
        <v>130</v>
      </c>
      <c r="Q53" t="n">
        <v>12</v>
      </c>
      <c r="R53" t="s">
        <v>245</v>
      </c>
      <c r="S53" t="s">
        <v>245</v>
      </c>
      <c r="T53" t="n">
        <v>0.375</v>
      </c>
    </row>
    <row r="54">
      <c r="A54" t="s">
        <v>30</v>
      </c>
      <c r="B54" t="n">
        <v>1.25</v>
      </c>
      <c r="C54" t="n">
        <v>1.6</v>
      </c>
      <c r="D54" t="n">
        <v>1.6</v>
      </c>
      <c r="E54" t="n">
        <v>-4.25</v>
      </c>
      <c r="F54" t="n">
        <v>-0.75</v>
      </c>
      <c r="G54" t="n">
        <v>93</v>
      </c>
      <c r="H54" t="n">
        <v>12</v>
      </c>
      <c r="I54" t="s">
        <v>244</v>
      </c>
      <c r="J54" t="n">
        <v>0</v>
      </c>
      <c r="K54" t="n">
        <v>0</v>
      </c>
      <c r="L54" t="n">
        <v>0</v>
      </c>
      <c r="M54" t="n">
        <v>12</v>
      </c>
      <c r="N54" t="n">
        <v>0.75</v>
      </c>
      <c r="O54" t="n">
        <v>0</v>
      </c>
      <c r="P54" t="n">
        <v>102</v>
      </c>
      <c r="Q54" t="n">
        <v>12</v>
      </c>
      <c r="R54" t="s">
        <v>245</v>
      </c>
      <c r="S54" t="s">
        <v>245</v>
      </c>
      <c r="T54" t="n">
        <v>0.75</v>
      </c>
    </row>
    <row r="55">
      <c r="A55" t="s">
        <v>30</v>
      </c>
      <c r="B55" t="n">
        <v>1</v>
      </c>
      <c r="C55" t="n">
        <v>1</v>
      </c>
      <c r="D55" t="n">
        <v>1</v>
      </c>
      <c r="E55" t="n">
        <v>-3.25</v>
      </c>
      <c r="F55" t="n">
        <v>-0.25</v>
      </c>
      <c r="G55" t="n">
        <v>13</v>
      </c>
      <c r="H55" t="n">
        <v>12</v>
      </c>
      <c r="I55" t="s">
        <v>243</v>
      </c>
      <c r="J55" t="n">
        <v>0</v>
      </c>
      <c r="K55" t="n">
        <v>0</v>
      </c>
      <c r="L55" t="n">
        <v>0</v>
      </c>
      <c r="M55" t="n">
        <v>12</v>
      </c>
      <c r="N55" t="n">
        <v>0.5</v>
      </c>
      <c r="O55" t="n">
        <v>0</v>
      </c>
      <c r="P55" t="n">
        <v>58</v>
      </c>
      <c r="Q55" t="n">
        <v>12</v>
      </c>
      <c r="R55" t="s">
        <v>243</v>
      </c>
      <c r="S55" t="s">
        <v>243</v>
      </c>
      <c r="T55" t="n">
        <v>0.5</v>
      </c>
    </row>
    <row r="56">
      <c r="A56" t="s">
        <v>30</v>
      </c>
      <c r="B56" t="n">
        <v>1</v>
      </c>
      <c r="C56" t="n">
        <v>1</v>
      </c>
      <c r="D56" t="n">
        <v>1</v>
      </c>
      <c r="E56" t="n">
        <v>-3.5</v>
      </c>
      <c r="F56" t="n">
        <v>-1</v>
      </c>
      <c r="G56" t="n">
        <v>180</v>
      </c>
      <c r="H56" t="n">
        <v>12</v>
      </c>
      <c r="I56" t="s">
        <v>243</v>
      </c>
      <c r="J56" t="n">
        <v>0</v>
      </c>
      <c r="K56" t="n">
        <v>0</v>
      </c>
      <c r="L56" t="n">
        <v>0</v>
      </c>
      <c r="M56" t="n">
        <v>12</v>
      </c>
      <c r="N56" t="n">
        <v>0.5</v>
      </c>
      <c r="O56" t="n">
        <v>-0.25</v>
      </c>
      <c r="P56" t="n">
        <v>135</v>
      </c>
      <c r="Q56" t="n">
        <v>12</v>
      </c>
      <c r="R56" t="s">
        <v>243</v>
      </c>
      <c r="S56" t="s">
        <v>243</v>
      </c>
      <c r="T56" t="n">
        <v>0.375</v>
      </c>
    </row>
    <row r="57">
      <c r="A57" t="s">
        <v>30</v>
      </c>
      <c r="B57" t="n">
        <v>1</v>
      </c>
      <c r="C57" t="n">
        <v>0.8</v>
      </c>
      <c r="D57" t="n">
        <v>0.8</v>
      </c>
      <c r="E57" t="n">
        <v>0</v>
      </c>
      <c r="F57" t="n">
        <v>-0.75</v>
      </c>
      <c r="G57" t="n">
        <v>2</v>
      </c>
      <c r="H57" t="n">
        <v>12</v>
      </c>
      <c r="I57" t="s">
        <v>243</v>
      </c>
      <c r="J57" t="n">
        <v>0</v>
      </c>
      <c r="K57" t="n">
        <v>0</v>
      </c>
      <c r="L57" t="n">
        <v>0</v>
      </c>
      <c r="M57" t="n">
        <v>12</v>
      </c>
      <c r="N57" t="n">
        <v>0.75</v>
      </c>
      <c r="O57" t="n">
        <v>-0.25</v>
      </c>
      <c r="P57" t="n">
        <v>1</v>
      </c>
      <c r="Q57" t="n">
        <v>12</v>
      </c>
      <c r="R57" t="s">
        <v>242</v>
      </c>
      <c r="S57" t="s">
        <v>242</v>
      </c>
      <c r="T57" t="n">
        <v>0.625</v>
      </c>
    </row>
    <row r="58">
      <c r="A58" t="s">
        <v>30</v>
      </c>
      <c r="B58" t="n">
        <v>1</v>
      </c>
      <c r="C58" t="n">
        <v>1</v>
      </c>
      <c r="D58" t="n">
        <v>1</v>
      </c>
      <c r="E58" t="n">
        <v>-0.75</v>
      </c>
      <c r="F58" t="n">
        <v>-0.75</v>
      </c>
      <c r="G58" t="n">
        <v>180</v>
      </c>
      <c r="H58" t="n">
        <v>12</v>
      </c>
      <c r="I58" t="s">
        <v>243</v>
      </c>
      <c r="J58" t="n">
        <v>0</v>
      </c>
      <c r="K58" t="n">
        <v>0</v>
      </c>
      <c r="L58" t="n">
        <v>0</v>
      </c>
      <c r="M58" t="n">
        <v>12</v>
      </c>
      <c r="N58" t="n">
        <v>0.25</v>
      </c>
      <c r="O58" t="n">
        <v>-0.25</v>
      </c>
      <c r="P58" t="n">
        <v>173</v>
      </c>
      <c r="Q58" t="n">
        <v>12</v>
      </c>
      <c r="R58" t="s">
        <v>243</v>
      </c>
      <c r="S58" t="s">
        <v>243</v>
      </c>
      <c r="T58" t="n">
        <v>0.125</v>
      </c>
    </row>
    <row r="59">
      <c r="A59" t="s">
        <v>30</v>
      </c>
      <c r="B59" t="n">
        <v>1.25</v>
      </c>
      <c r="C59" t="n">
        <v>1.6</v>
      </c>
      <c r="D59" t="n">
        <v>1.6</v>
      </c>
      <c r="E59" t="n">
        <v>-1.75</v>
      </c>
      <c r="F59" t="n">
        <v>-0.5</v>
      </c>
      <c r="G59" t="n">
        <v>44</v>
      </c>
      <c r="H59" t="n">
        <v>12</v>
      </c>
      <c r="I59" t="s">
        <v>244</v>
      </c>
      <c r="J59" t="n">
        <v>0</v>
      </c>
      <c r="K59" t="n">
        <v>0</v>
      </c>
      <c r="L59" t="n">
        <v>0</v>
      </c>
      <c r="M59" t="n">
        <v>12</v>
      </c>
      <c r="N59" t="n">
        <v>0.25</v>
      </c>
      <c r="O59" t="n">
        <v>-0.25</v>
      </c>
      <c r="P59" t="n">
        <v>21</v>
      </c>
      <c r="Q59" t="n">
        <v>12</v>
      </c>
      <c r="R59" t="s">
        <v>245</v>
      </c>
      <c r="S59" t="s">
        <v>245</v>
      </c>
      <c r="T59" t="n">
        <v>0.125</v>
      </c>
    </row>
    <row r="60">
      <c r="A60" t="s">
        <v>30</v>
      </c>
      <c r="B60" t="n">
        <v>1</v>
      </c>
      <c r="C60" t="n">
        <v>1.25</v>
      </c>
      <c r="D60" t="n">
        <v>1.6</v>
      </c>
      <c r="E60" t="n">
        <v>-4.25</v>
      </c>
      <c r="F60" t="n">
        <v>-0.5</v>
      </c>
      <c r="G60" t="n">
        <v>125</v>
      </c>
      <c r="H60" t="n">
        <v>12</v>
      </c>
      <c r="I60" t="s">
        <v>243</v>
      </c>
      <c r="J60" t="n">
        <v>0</v>
      </c>
      <c r="K60" t="n">
        <v>0</v>
      </c>
      <c r="L60" t="n">
        <v>0</v>
      </c>
      <c r="M60" t="n">
        <v>12</v>
      </c>
      <c r="N60" t="n">
        <v>-0.5</v>
      </c>
      <c r="O60" t="n">
        <v>-0.5</v>
      </c>
      <c r="P60" t="n">
        <v>158</v>
      </c>
      <c r="Q60" t="n">
        <v>12</v>
      </c>
      <c r="R60" t="s">
        <v>245</v>
      </c>
      <c r="S60" t="s">
        <v>244</v>
      </c>
      <c r="T60" t="n">
        <v>-0.75</v>
      </c>
    </row>
    <row r="61">
      <c r="A61" t="s">
        <v>30</v>
      </c>
      <c r="B61" t="n">
        <v>1.25</v>
      </c>
      <c r="C61" t="n">
        <v>1.25</v>
      </c>
      <c r="D61" t="n">
        <v>1.25</v>
      </c>
      <c r="E61" t="n">
        <v>-2.25</v>
      </c>
      <c r="F61" t="n">
        <v>-0.5</v>
      </c>
      <c r="G61" t="n">
        <v>165</v>
      </c>
      <c r="H61" t="n">
        <v>12</v>
      </c>
      <c r="I61" t="s">
        <v>244</v>
      </c>
      <c r="J61" t="n">
        <v>0</v>
      </c>
      <c r="K61" t="n">
        <v>0</v>
      </c>
      <c r="L61" t="n">
        <v>0</v>
      </c>
      <c r="M61" t="n">
        <v>12</v>
      </c>
      <c r="N61" t="n">
        <v>0</v>
      </c>
      <c r="O61" t="n">
        <v>-0.25</v>
      </c>
      <c r="P61" t="n">
        <v>170</v>
      </c>
      <c r="Q61" t="n">
        <v>12</v>
      </c>
      <c r="R61" t="s">
        <v>244</v>
      </c>
      <c r="S61" t="s">
        <v>244</v>
      </c>
      <c r="T61" t="n">
        <v>-0.125</v>
      </c>
    </row>
    <row r="62">
      <c r="A62" t="s">
        <v>30</v>
      </c>
      <c r="B62" t="n">
        <v>1</v>
      </c>
      <c r="C62" t="n">
        <v>1</v>
      </c>
      <c r="D62" t="n">
        <v>1</v>
      </c>
      <c r="E62" t="n">
        <v>-3.25</v>
      </c>
      <c r="F62" t="n">
        <v>-0.5</v>
      </c>
      <c r="G62" t="n">
        <v>21</v>
      </c>
      <c r="H62" t="n">
        <v>12</v>
      </c>
      <c r="I62" t="s">
        <v>243</v>
      </c>
      <c r="J62" t="n">
        <v>0</v>
      </c>
      <c r="K62" t="n">
        <v>0</v>
      </c>
      <c r="L62" t="n">
        <v>0</v>
      </c>
      <c r="M62" t="n">
        <v>12</v>
      </c>
      <c r="N62" t="n">
        <v>0.5</v>
      </c>
      <c r="O62" t="n">
        <v>-0.25</v>
      </c>
      <c r="P62" t="n">
        <v>19</v>
      </c>
      <c r="Q62" t="n">
        <v>12</v>
      </c>
      <c r="R62" t="s">
        <v>243</v>
      </c>
      <c r="S62" t="s">
        <v>243</v>
      </c>
      <c r="T62" t="n">
        <v>0.375</v>
      </c>
    </row>
    <row r="63">
      <c r="A63" t="s">
        <v>30</v>
      </c>
      <c r="B63" t="n">
        <v>1.25</v>
      </c>
      <c r="C63" t="n">
        <v>1.25</v>
      </c>
      <c r="D63" t="n">
        <v>1.25</v>
      </c>
      <c r="E63" t="n">
        <v>-2</v>
      </c>
      <c r="F63" t="n">
        <v>-0.25</v>
      </c>
      <c r="G63" t="n">
        <v>35</v>
      </c>
      <c r="H63" t="n">
        <v>12</v>
      </c>
      <c r="I63" t="s">
        <v>244</v>
      </c>
      <c r="J63" t="n">
        <v>0</v>
      </c>
      <c r="K63" t="n">
        <v>0</v>
      </c>
      <c r="L63" t="n">
        <v>0</v>
      </c>
      <c r="M63" t="n">
        <v>12</v>
      </c>
      <c r="N63" t="n">
        <v>0.25</v>
      </c>
      <c r="O63" t="n">
        <v>0</v>
      </c>
      <c r="P63" t="n">
        <v>20</v>
      </c>
      <c r="Q63" t="n">
        <v>12</v>
      </c>
      <c r="R63" t="s">
        <v>244</v>
      </c>
      <c r="S63" t="s">
        <v>244</v>
      </c>
      <c r="T63" t="n">
        <v>0.25</v>
      </c>
    </row>
    <row r="64">
      <c r="A64" t="s">
        <v>30</v>
      </c>
      <c r="B64" t="n">
        <v>1.6</v>
      </c>
      <c r="C64" t="n">
        <v>1.25</v>
      </c>
      <c r="D64" t="n">
        <v>1.25</v>
      </c>
      <c r="E64" t="n">
        <v>-2.25</v>
      </c>
      <c r="F64" t="n">
        <v>-0.25</v>
      </c>
      <c r="G64" t="n">
        <v>147</v>
      </c>
      <c r="H64" t="n">
        <v>12</v>
      </c>
      <c r="I64" t="s">
        <v>245</v>
      </c>
      <c r="J64" t="n">
        <v>0</v>
      </c>
      <c r="K64" t="n">
        <v>0</v>
      </c>
      <c r="L64" t="n">
        <v>0</v>
      </c>
      <c r="M64" t="n">
        <v>12</v>
      </c>
      <c r="N64" t="n">
        <v>0.25</v>
      </c>
      <c r="O64" t="n">
        <v>0</v>
      </c>
      <c r="P64" t="n">
        <v>29</v>
      </c>
      <c r="Q64" t="n">
        <v>12</v>
      </c>
      <c r="R64" t="s">
        <v>244</v>
      </c>
      <c r="S64" t="s">
        <v>244</v>
      </c>
      <c r="T64" t="n">
        <v>0.25</v>
      </c>
    </row>
    <row r="65">
      <c r="A65" t="s">
        <v>30</v>
      </c>
      <c r="B65" t="n">
        <v>1</v>
      </c>
      <c r="C65" t="n">
        <v>0.63</v>
      </c>
      <c r="D65" t="n">
        <v>0.63</v>
      </c>
      <c r="E65" t="n">
        <v>-1.75</v>
      </c>
      <c r="F65" t="n">
        <v>-0.25</v>
      </c>
      <c r="G65" t="n">
        <v>97</v>
      </c>
      <c r="H65" t="n">
        <v>12</v>
      </c>
      <c r="I65" t="s">
        <v>243</v>
      </c>
      <c r="J65" t="n">
        <v>0</v>
      </c>
      <c r="K65" t="n">
        <v>0</v>
      </c>
      <c r="L65" t="n">
        <v>0</v>
      </c>
      <c r="M65" t="n">
        <v>12</v>
      </c>
      <c r="N65" t="n">
        <v>0.75</v>
      </c>
      <c r="O65" t="n">
        <v>0</v>
      </c>
      <c r="P65" t="n">
        <v>141</v>
      </c>
      <c r="Q65" t="n">
        <v>12</v>
      </c>
      <c r="R65" t="s">
        <v>247</v>
      </c>
      <c r="S65" t="s">
        <v>247</v>
      </c>
      <c r="T65" t="n">
        <v>0.75</v>
      </c>
    </row>
    <row r="66">
      <c r="A66" t="s">
        <v>30</v>
      </c>
      <c r="B66" t="n">
        <v>1.25</v>
      </c>
      <c r="C66" t="n">
        <v>1</v>
      </c>
      <c r="D66" t="n">
        <v>1</v>
      </c>
      <c r="E66" t="n">
        <v>-1.75</v>
      </c>
      <c r="F66" t="n">
        <v>-0.75</v>
      </c>
      <c r="G66" t="n">
        <v>93</v>
      </c>
      <c r="H66" t="n">
        <v>12</v>
      </c>
      <c r="I66" t="s">
        <v>244</v>
      </c>
      <c r="J66" t="n">
        <v>-1</v>
      </c>
      <c r="K66" t="n">
        <v>0</v>
      </c>
      <c r="L66" t="n">
        <v>0</v>
      </c>
      <c r="M66" t="n">
        <v>12</v>
      </c>
      <c r="N66" t="n">
        <v>-0.25</v>
      </c>
      <c r="O66" t="n">
        <v>-0.25</v>
      </c>
      <c r="P66" t="n">
        <v>155</v>
      </c>
      <c r="Q66" t="n">
        <v>12</v>
      </c>
      <c r="R66" t="s">
        <v>243</v>
      </c>
      <c r="S66" t="s">
        <v>243</v>
      </c>
      <c r="T66" t="n">
        <v>-0.375</v>
      </c>
    </row>
    <row r="67">
      <c r="A67" t="s">
        <v>30</v>
      </c>
      <c r="B67" t="n">
        <v>1</v>
      </c>
      <c r="C67" t="n">
        <v>1</v>
      </c>
      <c r="D67" t="n">
        <v>1</v>
      </c>
      <c r="E67" t="n">
        <v>0</v>
      </c>
      <c r="F67" t="n">
        <v>-0.75</v>
      </c>
      <c r="G67" t="n">
        <v>14</v>
      </c>
      <c r="H67" t="n">
        <v>12</v>
      </c>
      <c r="I67" t="s">
        <v>243</v>
      </c>
      <c r="J67" t="n">
        <v>0</v>
      </c>
      <c r="K67" t="n">
        <v>0</v>
      </c>
      <c r="L67" t="n">
        <v>0</v>
      </c>
      <c r="M67" t="n">
        <v>12</v>
      </c>
      <c r="N67" t="n">
        <v>0.25</v>
      </c>
      <c r="O67" t="n">
        <v>0</v>
      </c>
      <c r="P67" t="n">
        <v>14</v>
      </c>
      <c r="Q67" t="n">
        <v>12</v>
      </c>
      <c r="R67" t="s">
        <v>243</v>
      </c>
      <c r="S67" t="s">
        <v>243</v>
      </c>
      <c r="T67" t="n">
        <v>0.25</v>
      </c>
    </row>
    <row r="68">
      <c r="A68" t="s">
        <v>30</v>
      </c>
      <c r="B68" t="n">
        <v>0.8</v>
      </c>
      <c r="C68" t="n">
        <v>0.5</v>
      </c>
      <c r="D68" t="n">
        <v>0.8</v>
      </c>
      <c r="E68" t="n">
        <v>-0.25</v>
      </c>
      <c r="F68" t="n">
        <v>-2.25</v>
      </c>
      <c r="G68" t="n">
        <v>79</v>
      </c>
      <c r="H68" t="n">
        <v>12</v>
      </c>
      <c r="I68" t="s">
        <v>242</v>
      </c>
      <c r="J68" t="n">
        <v>0</v>
      </c>
      <c r="K68" t="n">
        <v>0</v>
      </c>
      <c r="L68" t="n">
        <v>0</v>
      </c>
      <c r="M68" t="n">
        <v>12</v>
      </c>
      <c r="N68" t="n">
        <v>0</v>
      </c>
      <c r="O68" t="n">
        <v>-0.75</v>
      </c>
      <c r="P68" t="n">
        <v>60</v>
      </c>
      <c r="Q68" t="n">
        <v>12</v>
      </c>
      <c r="R68" t="s">
        <v>242</v>
      </c>
      <c r="S68" t="s">
        <v>246</v>
      </c>
      <c r="T68" t="n">
        <v>-0.375</v>
      </c>
    </row>
    <row r="69">
      <c r="A69" t="s">
        <v>30</v>
      </c>
      <c r="B69" t="n">
        <v>1</v>
      </c>
      <c r="C69" t="n">
        <v>1</v>
      </c>
      <c r="D69" t="n">
        <v>1</v>
      </c>
      <c r="E69" t="n">
        <v>0.5</v>
      </c>
      <c r="F69" t="n">
        <v>-1.75</v>
      </c>
      <c r="G69" t="n">
        <v>91</v>
      </c>
      <c r="H69" t="n">
        <v>12</v>
      </c>
      <c r="I69" t="s">
        <v>243</v>
      </c>
      <c r="J69" t="n">
        <v>0</v>
      </c>
      <c r="K69" t="n">
        <v>0</v>
      </c>
      <c r="L69" t="n">
        <v>0</v>
      </c>
      <c r="M69" t="n">
        <v>12</v>
      </c>
      <c r="N69" t="n">
        <v>0.75</v>
      </c>
      <c r="O69" t="n">
        <v>-0.25</v>
      </c>
      <c r="P69" t="n">
        <v>78</v>
      </c>
      <c r="Q69" t="n">
        <v>12</v>
      </c>
      <c r="R69" t="s">
        <v>243</v>
      </c>
      <c r="S69" t="s">
        <v>243</v>
      </c>
      <c r="T69" t="n">
        <v>0.625</v>
      </c>
    </row>
    <row r="70">
      <c r="A70" t="s">
        <v>30</v>
      </c>
      <c r="B70" t="n">
        <v>1</v>
      </c>
      <c r="C70" t="n">
        <v>1</v>
      </c>
      <c r="D70" t="n">
        <v>1</v>
      </c>
      <c r="E70" t="n">
        <v>-5.25</v>
      </c>
      <c r="F70" t="n">
        <v>-0.75</v>
      </c>
      <c r="G70" t="n">
        <v>168</v>
      </c>
      <c r="H70" t="n">
        <v>12</v>
      </c>
      <c r="I70" t="s">
        <v>243</v>
      </c>
      <c r="J70" t="n">
        <v>0</v>
      </c>
      <c r="K70" t="n">
        <v>0</v>
      </c>
      <c r="L70" t="n">
        <v>0</v>
      </c>
      <c r="M70" t="n">
        <v>12</v>
      </c>
      <c r="N70" t="n">
        <v>0</v>
      </c>
      <c r="O70" t="n">
        <v>0</v>
      </c>
      <c r="P70" t="n">
        <v>137</v>
      </c>
      <c r="Q70" t="n">
        <v>12</v>
      </c>
      <c r="R70" t="s">
        <v>243</v>
      </c>
      <c r="S70" t="s">
        <v>243</v>
      </c>
      <c r="T70" t="n">
        <v>0</v>
      </c>
    </row>
    <row r="71">
      <c r="A71" t="s">
        <v>30</v>
      </c>
      <c r="B71" t="n">
        <v>1</v>
      </c>
      <c r="C71" t="n">
        <v>0.8</v>
      </c>
      <c r="D71" t="n">
        <v>1</v>
      </c>
      <c r="E71" t="n">
        <v>-4.25</v>
      </c>
      <c r="F71" t="n">
        <v>-0.75</v>
      </c>
      <c r="G71" t="n">
        <v>17</v>
      </c>
      <c r="H71" t="n">
        <v>12</v>
      </c>
      <c r="I71" t="s">
        <v>243</v>
      </c>
      <c r="J71" t="n">
        <v>0</v>
      </c>
      <c r="K71" t="n">
        <v>0</v>
      </c>
      <c r="L71" t="n">
        <v>0</v>
      </c>
      <c r="M71" t="n">
        <v>12</v>
      </c>
      <c r="N71" t="n">
        <v>-0.5</v>
      </c>
      <c r="O71" t="n">
        <v>0</v>
      </c>
      <c r="P71" t="n">
        <v>31</v>
      </c>
      <c r="Q71" t="n">
        <v>12</v>
      </c>
      <c r="R71" t="s">
        <v>243</v>
      </c>
      <c r="S71" t="s">
        <v>242</v>
      </c>
      <c r="T71" t="n">
        <v>-0.5</v>
      </c>
    </row>
    <row r="72">
      <c r="A72" t="s">
        <v>30</v>
      </c>
      <c r="B72" t="n">
        <v>0.8</v>
      </c>
      <c r="C72" t="n">
        <v>0.63</v>
      </c>
      <c r="D72" t="n">
        <v>0.8</v>
      </c>
      <c r="E72" t="n">
        <v>-3.25</v>
      </c>
      <c r="F72" t="n">
        <v>-1.5</v>
      </c>
      <c r="G72" t="n">
        <v>8</v>
      </c>
      <c r="H72" t="n">
        <v>12</v>
      </c>
      <c r="I72" t="s">
        <v>242</v>
      </c>
      <c r="J72" t="n">
        <v>0</v>
      </c>
      <c r="K72" t="n">
        <v>0</v>
      </c>
      <c r="L72" t="n">
        <v>0</v>
      </c>
      <c r="M72" t="n">
        <v>12</v>
      </c>
      <c r="N72" t="n">
        <v>-0.25</v>
      </c>
      <c r="O72" t="n">
        <v>-0.25</v>
      </c>
      <c r="P72" t="n">
        <v>34</v>
      </c>
      <c r="Q72" t="n">
        <v>12</v>
      </c>
      <c r="R72" t="s">
        <v>242</v>
      </c>
      <c r="S72" t="s">
        <v>247</v>
      </c>
      <c r="T72" t="n">
        <v>-0.375</v>
      </c>
    </row>
    <row r="73">
      <c r="A73" t="s">
        <v>30</v>
      </c>
      <c r="B73" t="n">
        <v>1.25</v>
      </c>
      <c r="C73" t="n">
        <v>1.25</v>
      </c>
      <c r="D73" t="n">
        <v>1.25</v>
      </c>
      <c r="E73" t="n">
        <v>0</v>
      </c>
      <c r="F73" t="n">
        <v>-0.75</v>
      </c>
      <c r="G73" t="n">
        <v>152</v>
      </c>
      <c r="H73" t="n">
        <v>12</v>
      </c>
      <c r="I73" t="s">
        <v>244</v>
      </c>
      <c r="J73" t="n">
        <v>0</v>
      </c>
      <c r="K73" t="n">
        <v>0</v>
      </c>
      <c r="L73" t="n">
        <v>0</v>
      </c>
      <c r="M73" t="n">
        <v>12</v>
      </c>
      <c r="N73" t="n">
        <v>0.25</v>
      </c>
      <c r="O73" t="n">
        <v>-0.25</v>
      </c>
      <c r="P73" t="n">
        <v>13</v>
      </c>
      <c r="Q73" t="n">
        <v>12</v>
      </c>
      <c r="R73" t="s">
        <v>244</v>
      </c>
      <c r="S73" t="s">
        <v>244</v>
      </c>
      <c r="T73" t="n">
        <v>0.125</v>
      </c>
    </row>
    <row r="74">
      <c r="A74" t="s">
        <v>30</v>
      </c>
      <c r="B74" t="n">
        <v>1.25</v>
      </c>
      <c r="C74" t="n">
        <v>1.25</v>
      </c>
      <c r="D74" t="n">
        <v>1.25</v>
      </c>
      <c r="E74" t="n">
        <v>-1.25</v>
      </c>
      <c r="F74" t="n">
        <v>-1</v>
      </c>
      <c r="G74" t="n">
        <v>29</v>
      </c>
      <c r="H74" t="n">
        <v>12</v>
      </c>
      <c r="I74" t="s">
        <v>244</v>
      </c>
      <c r="J74" t="n">
        <v>0</v>
      </c>
      <c r="K74" t="n">
        <v>0</v>
      </c>
      <c r="L74" t="n">
        <v>0</v>
      </c>
      <c r="M74" t="n">
        <v>12</v>
      </c>
      <c r="N74" t="n">
        <v>0.5</v>
      </c>
      <c r="O74" t="n">
        <v>-0.25</v>
      </c>
      <c r="P74" t="n">
        <v>47</v>
      </c>
      <c r="Q74" t="n">
        <v>12</v>
      </c>
      <c r="R74" t="s">
        <v>244</v>
      </c>
      <c r="S74" t="s">
        <v>244</v>
      </c>
      <c r="T74" t="n">
        <v>0.375</v>
      </c>
    </row>
    <row r="75">
      <c r="A75" t="s">
        <v>30</v>
      </c>
      <c r="B75" t="n">
        <v>1.25</v>
      </c>
      <c r="C75" t="n">
        <v>1</v>
      </c>
      <c r="D75" t="n">
        <v>1.6</v>
      </c>
      <c r="E75" t="n">
        <v>-5.75</v>
      </c>
      <c r="F75" t="n">
        <v>-1</v>
      </c>
      <c r="G75" t="n">
        <v>164</v>
      </c>
      <c r="H75" t="n">
        <v>12</v>
      </c>
      <c r="I75" t="s">
        <v>244</v>
      </c>
      <c r="J75" t="n">
        <v>0</v>
      </c>
      <c r="K75" t="n">
        <v>0</v>
      </c>
      <c r="L75" t="n">
        <v>0</v>
      </c>
      <c r="M75" t="n">
        <v>12</v>
      </c>
      <c r="N75" t="n">
        <v>-0.25</v>
      </c>
      <c r="O75" t="n">
        <v>-0.75</v>
      </c>
      <c r="P75" t="n">
        <v>131</v>
      </c>
      <c r="Q75" t="n">
        <v>12</v>
      </c>
      <c r="R75" t="s">
        <v>245</v>
      </c>
      <c r="S75" t="s">
        <v>243</v>
      </c>
      <c r="T75" t="n">
        <v>-0.625</v>
      </c>
    </row>
    <row r="76">
      <c r="A76" t="s">
        <v>30</v>
      </c>
      <c r="B76" t="n">
        <v>1</v>
      </c>
      <c r="C76"/>
      <c r="D76" t="n">
        <v>1.6</v>
      </c>
      <c r="E76" t="n">
        <v>-5</v>
      </c>
      <c r="F76" t="n">
        <v>-0.5</v>
      </c>
      <c r="G76" t="n">
        <v>163</v>
      </c>
      <c r="H76" t="n">
        <v>12</v>
      </c>
      <c r="I76" t="s">
        <v>243</v>
      </c>
      <c r="J76" t="n">
        <v>0</v>
      </c>
      <c r="K76" t="n">
        <v>0</v>
      </c>
      <c r="L76" t="n">
        <v>0</v>
      </c>
      <c r="M76" t="n">
        <v>12</v>
      </c>
      <c r="N76" t="n">
        <v>0.25</v>
      </c>
      <c r="O76" t="n">
        <v>-0.5</v>
      </c>
      <c r="P76" t="n">
        <v>127</v>
      </c>
      <c r="Q76" t="n">
        <v>12</v>
      </c>
      <c r="R76" t="s">
        <v>245</v>
      </c>
      <c r="S76" t="s">
        <v>94</v>
      </c>
      <c r="T76" t="n">
        <v>0</v>
      </c>
    </row>
    <row r="77">
      <c r="A77" t="s">
        <v>30</v>
      </c>
      <c r="B77" t="n">
        <v>1.25</v>
      </c>
      <c r="C77" t="n">
        <v>1.6</v>
      </c>
      <c r="D77" t="n">
        <v>1.6</v>
      </c>
      <c r="E77" t="n">
        <v>-1.75</v>
      </c>
      <c r="F77" t="n">
        <v>-0.75</v>
      </c>
      <c r="G77" t="n">
        <v>26</v>
      </c>
      <c r="H77" t="n">
        <v>12</v>
      </c>
      <c r="I77" t="s">
        <v>244</v>
      </c>
      <c r="J77" t="n">
        <v>0</v>
      </c>
      <c r="K77" t="n">
        <v>0</v>
      </c>
      <c r="L77" t="n">
        <v>0</v>
      </c>
      <c r="M77" t="n">
        <v>12</v>
      </c>
      <c r="N77" t="n">
        <v>0.25</v>
      </c>
      <c r="O77" t="n">
        <v>0</v>
      </c>
      <c r="P77" t="n">
        <v>66</v>
      </c>
      <c r="Q77" t="n">
        <v>12</v>
      </c>
      <c r="R77" t="s">
        <v>245</v>
      </c>
      <c r="S77" t="s">
        <v>245</v>
      </c>
      <c r="T77" t="n">
        <v>0.25</v>
      </c>
    </row>
    <row r="78">
      <c r="A78" t="s">
        <v>30</v>
      </c>
      <c r="B78" t="n">
        <v>1.25</v>
      </c>
      <c r="C78" t="n">
        <v>1.25</v>
      </c>
      <c r="D78" t="n">
        <v>1.25</v>
      </c>
      <c r="E78" t="n">
        <v>-2</v>
      </c>
      <c r="F78" t="n">
        <v>-1.75</v>
      </c>
      <c r="G78" t="n">
        <v>148</v>
      </c>
      <c r="H78" t="n">
        <v>12</v>
      </c>
      <c r="I78" t="s">
        <v>244</v>
      </c>
      <c r="J78" t="n">
        <v>0</v>
      </c>
      <c r="K78" t="n">
        <v>0</v>
      </c>
      <c r="L78" t="n">
        <v>0</v>
      </c>
      <c r="M78" t="n">
        <v>12</v>
      </c>
      <c r="N78" t="n">
        <v>0.25</v>
      </c>
      <c r="O78" t="n">
        <v>-0.25</v>
      </c>
      <c r="P78" t="n">
        <v>112</v>
      </c>
      <c r="Q78" t="n">
        <v>12</v>
      </c>
      <c r="R78" t="s">
        <v>244</v>
      </c>
      <c r="S78" t="s">
        <v>244</v>
      </c>
      <c r="T78" t="n">
        <v>0.125</v>
      </c>
    </row>
    <row r="79">
      <c r="A79" t="s">
        <v>30</v>
      </c>
      <c r="B79" t="n">
        <v>1.25</v>
      </c>
      <c r="C79" t="n">
        <v>1.6</v>
      </c>
      <c r="D79" t="n">
        <v>1.6</v>
      </c>
      <c r="E79" t="n">
        <v>-6.25</v>
      </c>
      <c r="F79" t="n">
        <v>-0.25</v>
      </c>
      <c r="G79" t="n">
        <v>97</v>
      </c>
      <c r="H79" t="n">
        <v>12</v>
      </c>
      <c r="I79" t="s">
        <v>244</v>
      </c>
      <c r="J79" t="n">
        <v>0</v>
      </c>
      <c r="K79" t="n">
        <v>0</v>
      </c>
      <c r="L79" t="n">
        <v>0</v>
      </c>
      <c r="M79" t="n">
        <v>12</v>
      </c>
      <c r="N79" t="n">
        <v>-0.25</v>
      </c>
      <c r="O79" t="n">
        <v>0</v>
      </c>
      <c r="P79" t="n">
        <v>166</v>
      </c>
      <c r="Q79" t="n">
        <v>12</v>
      </c>
      <c r="R79" t="s">
        <v>245</v>
      </c>
      <c r="S79" t="s">
        <v>245</v>
      </c>
      <c r="T79" t="n">
        <v>-0.25</v>
      </c>
    </row>
    <row r="80">
      <c r="A80" t="s">
        <v>30</v>
      </c>
      <c r="B80" t="n">
        <v>1</v>
      </c>
      <c r="C80" t="n">
        <v>1</v>
      </c>
      <c r="D80" t="n">
        <v>1</v>
      </c>
      <c r="E80" t="n">
        <v>-2.75</v>
      </c>
      <c r="F80" t="n">
        <v>-1.25</v>
      </c>
      <c r="G80" t="n">
        <v>3</v>
      </c>
      <c r="H80" t="n">
        <v>12</v>
      </c>
      <c r="I80" t="s">
        <v>243</v>
      </c>
      <c r="J80" t="n">
        <v>0</v>
      </c>
      <c r="K80" t="n">
        <v>0</v>
      </c>
      <c r="L80" t="n">
        <v>0</v>
      </c>
      <c r="M80" t="n">
        <v>12</v>
      </c>
      <c r="N80" t="n">
        <v>0.25</v>
      </c>
      <c r="O80" t="n">
        <v>-0.5</v>
      </c>
      <c r="P80" t="n">
        <v>168</v>
      </c>
      <c r="Q80" t="n">
        <v>12</v>
      </c>
      <c r="R80" t="s">
        <v>243</v>
      </c>
      <c r="S80" t="s">
        <v>243</v>
      </c>
      <c r="T80" t="n">
        <v>0</v>
      </c>
    </row>
    <row r="81">
      <c r="A81" t="s">
        <v>30</v>
      </c>
      <c r="B81" t="n">
        <v>1</v>
      </c>
      <c r="C81" t="n">
        <v>1</v>
      </c>
      <c r="D81" t="n">
        <v>1</v>
      </c>
      <c r="E81" t="n">
        <v>-3.5</v>
      </c>
      <c r="F81" t="n">
        <v>-1.5</v>
      </c>
      <c r="G81" t="n">
        <v>16</v>
      </c>
      <c r="H81" t="n">
        <v>12</v>
      </c>
      <c r="I81" t="s">
        <v>243</v>
      </c>
      <c r="J81" t="n">
        <v>0</v>
      </c>
      <c r="K81" t="n">
        <v>0</v>
      </c>
      <c r="L81" t="n">
        <v>0</v>
      </c>
      <c r="M81" t="n">
        <v>12</v>
      </c>
      <c r="N81" t="n">
        <v>0.25</v>
      </c>
      <c r="O81" t="n">
        <v>-0.5</v>
      </c>
      <c r="P81" t="n">
        <v>40</v>
      </c>
      <c r="Q81" t="n">
        <v>12</v>
      </c>
      <c r="R81" t="s">
        <v>243</v>
      </c>
      <c r="S81" t="s">
        <v>243</v>
      </c>
      <c r="T81" t="n">
        <v>0</v>
      </c>
    </row>
    <row r="82">
      <c r="A82" t="s">
        <v>30</v>
      </c>
      <c r="B82" t="n">
        <v>1.25</v>
      </c>
      <c r="C82"/>
      <c r="D82"/>
      <c r="E82" t="n">
        <v>-4.5</v>
      </c>
      <c r="F82" t="n">
        <v>-1</v>
      </c>
      <c r="G82" t="n">
        <v>129</v>
      </c>
      <c r="H82" t="n">
        <v>12</v>
      </c>
      <c r="I82" t="s">
        <v>244</v>
      </c>
      <c r="J82" t="n">
        <v>0</v>
      </c>
      <c r="K82" t="n">
        <v>0</v>
      </c>
      <c r="L82" t="n">
        <v>0</v>
      </c>
      <c r="M82" t="n">
        <v>12</v>
      </c>
      <c r="N82"/>
      <c r="O82"/>
      <c r="P82"/>
      <c r="Q82" t="n">
        <v>12</v>
      </c>
      <c r="R82" t="s">
        <v>94</v>
      </c>
      <c r="S82" t="s">
        <v>94</v>
      </c>
      <c r="T82"/>
    </row>
    <row r="83">
      <c r="A83" t="s">
        <v>30</v>
      </c>
      <c r="B83" t="n">
        <v>1.25</v>
      </c>
      <c r="C83"/>
      <c r="D83"/>
      <c r="E83" t="n">
        <v>-3.75</v>
      </c>
      <c r="F83" t="n">
        <v>-0.75</v>
      </c>
      <c r="G83" t="n">
        <v>54</v>
      </c>
      <c r="H83" t="n">
        <v>12</v>
      </c>
      <c r="I83" t="s">
        <v>244</v>
      </c>
      <c r="J83" t="n">
        <v>0</v>
      </c>
      <c r="K83" t="n">
        <v>0</v>
      </c>
      <c r="L83" t="n">
        <v>0</v>
      </c>
      <c r="M83" t="n">
        <v>12</v>
      </c>
      <c r="N83"/>
      <c r="O83"/>
      <c r="P83"/>
      <c r="Q83" t="n">
        <v>12</v>
      </c>
      <c r="R83" t="s">
        <v>94</v>
      </c>
      <c r="S83" t="s">
        <v>94</v>
      </c>
      <c r="T83"/>
    </row>
    <row r="84">
      <c r="A84" t="s">
        <v>30</v>
      </c>
      <c r="B84" t="n">
        <v>1.25</v>
      </c>
      <c r="C84" t="n">
        <v>1.25</v>
      </c>
      <c r="D84" t="n">
        <v>1.25</v>
      </c>
      <c r="E84" t="n">
        <v>-1.75</v>
      </c>
      <c r="F84" t="n">
        <v>-0.75</v>
      </c>
      <c r="G84" t="n">
        <v>10</v>
      </c>
      <c r="H84" t="n">
        <v>12</v>
      </c>
      <c r="I84" t="s">
        <v>244</v>
      </c>
      <c r="J84" t="n">
        <v>0</v>
      </c>
      <c r="K84" t="n">
        <v>0</v>
      </c>
      <c r="L84" t="n">
        <v>0</v>
      </c>
      <c r="M84" t="n">
        <v>12</v>
      </c>
      <c r="N84" t="n">
        <v>0.25</v>
      </c>
      <c r="O84" t="n">
        <v>-0.25</v>
      </c>
      <c r="P84" t="n">
        <v>68</v>
      </c>
      <c r="Q84" t="n">
        <v>12</v>
      </c>
      <c r="R84" t="s">
        <v>244</v>
      </c>
      <c r="S84" t="s">
        <v>244</v>
      </c>
      <c r="T84" t="n">
        <v>0.125</v>
      </c>
    </row>
    <row r="85">
      <c r="A85" t="s">
        <v>30</v>
      </c>
      <c r="B85" t="n">
        <v>1.25</v>
      </c>
      <c r="C85" t="n">
        <v>1.25</v>
      </c>
      <c r="D85" t="n">
        <v>1.25</v>
      </c>
      <c r="E85" t="n">
        <v>-0.5</v>
      </c>
      <c r="F85" t="n">
        <v>-1.25</v>
      </c>
      <c r="G85" t="n">
        <v>171</v>
      </c>
      <c r="H85" t="n">
        <v>12</v>
      </c>
      <c r="I85" t="s">
        <v>244</v>
      </c>
      <c r="J85" t="n">
        <v>0</v>
      </c>
      <c r="K85" t="n">
        <v>0</v>
      </c>
      <c r="L85" t="n">
        <v>0</v>
      </c>
      <c r="M85" t="n">
        <v>12</v>
      </c>
      <c r="N85" t="n">
        <v>0.25</v>
      </c>
      <c r="O85" t="n">
        <v>-0.25</v>
      </c>
      <c r="P85" t="n">
        <v>41</v>
      </c>
      <c r="Q85" t="n">
        <v>12</v>
      </c>
      <c r="R85" t="s">
        <v>244</v>
      </c>
      <c r="S85" t="s">
        <v>244</v>
      </c>
      <c r="T85" t="n">
        <v>0.125</v>
      </c>
    </row>
    <row r="86">
      <c r="A86" t="s">
        <v>30</v>
      </c>
      <c r="B86" t="n">
        <v>1</v>
      </c>
      <c r="C86" t="n">
        <v>0.8</v>
      </c>
      <c r="D86" t="n">
        <v>1.6</v>
      </c>
      <c r="E86" t="n">
        <v>-5</v>
      </c>
      <c r="F86" t="n">
        <v>-0.5</v>
      </c>
      <c r="G86" t="n">
        <v>157</v>
      </c>
      <c r="H86" t="n">
        <v>12</v>
      </c>
      <c r="I86" t="s">
        <v>243</v>
      </c>
      <c r="J86" t="n">
        <v>0</v>
      </c>
      <c r="K86" t="n">
        <v>0</v>
      </c>
      <c r="L86" t="n">
        <v>0</v>
      </c>
      <c r="M86" t="n">
        <v>12</v>
      </c>
      <c r="N86" t="n">
        <v>-1</v>
      </c>
      <c r="O86" t="n">
        <v>0</v>
      </c>
      <c r="P86" t="n">
        <v>108</v>
      </c>
      <c r="Q86" t="n">
        <v>12</v>
      </c>
      <c r="R86" t="s">
        <v>245</v>
      </c>
      <c r="S86" t="s">
        <v>242</v>
      </c>
      <c r="T86" t="n">
        <v>-1</v>
      </c>
    </row>
    <row r="87">
      <c r="A87" t="s">
        <v>30</v>
      </c>
      <c r="B87" t="n">
        <v>1</v>
      </c>
      <c r="C87" t="n">
        <v>1</v>
      </c>
      <c r="D87" t="n">
        <v>1.6</v>
      </c>
      <c r="E87" t="n">
        <v>-4.5</v>
      </c>
      <c r="F87" t="n">
        <v>-0.75</v>
      </c>
      <c r="G87" t="n">
        <v>28</v>
      </c>
      <c r="H87" t="n">
        <v>12</v>
      </c>
      <c r="I87" t="s">
        <v>243</v>
      </c>
      <c r="J87" t="n">
        <v>0</v>
      </c>
      <c r="K87" t="n">
        <v>0</v>
      </c>
      <c r="L87" t="n">
        <v>0</v>
      </c>
      <c r="M87" t="n">
        <v>12</v>
      </c>
      <c r="N87" t="n">
        <v>-1</v>
      </c>
      <c r="O87" t="n">
        <v>0</v>
      </c>
      <c r="P87" t="n">
        <v>97</v>
      </c>
      <c r="Q87" t="n">
        <v>12</v>
      </c>
      <c r="R87" t="s">
        <v>245</v>
      </c>
      <c r="S87" t="s">
        <v>243</v>
      </c>
      <c r="T87" t="n">
        <v>-1</v>
      </c>
    </row>
    <row r="88">
      <c r="A88" t="s">
        <v>30</v>
      </c>
      <c r="B88" t="n">
        <v>0.8</v>
      </c>
      <c r="C88"/>
      <c r="D88"/>
      <c r="E88" t="n">
        <v>-5.75</v>
      </c>
      <c r="F88" t="n">
        <v>-0.5</v>
      </c>
      <c r="G88" t="n">
        <v>126</v>
      </c>
      <c r="H88" t="n">
        <v>12</v>
      </c>
      <c r="I88" t="s">
        <v>242</v>
      </c>
      <c r="J88" t="n">
        <v>0</v>
      </c>
      <c r="K88" t="n">
        <v>0</v>
      </c>
      <c r="L88" t="n">
        <v>0</v>
      </c>
      <c r="M88" t="n">
        <v>12</v>
      </c>
      <c r="N88"/>
      <c r="O88"/>
      <c r="P88"/>
      <c r="Q88" t="n">
        <v>12</v>
      </c>
      <c r="R88" t="s">
        <v>94</v>
      </c>
      <c r="S88" t="s">
        <v>94</v>
      </c>
      <c r="T88"/>
    </row>
    <row r="89">
      <c r="A89" t="s">
        <v>30</v>
      </c>
      <c r="B89" t="n">
        <v>1</v>
      </c>
      <c r="C89" t="n">
        <v>0.8</v>
      </c>
      <c r="D89" t="n">
        <v>1</v>
      </c>
      <c r="E89" t="n">
        <v>-1</v>
      </c>
      <c r="F89" t="n">
        <v>-0.5</v>
      </c>
      <c r="G89" t="n">
        <v>162</v>
      </c>
      <c r="H89" t="n">
        <v>12</v>
      </c>
      <c r="I89" t="s">
        <v>243</v>
      </c>
      <c r="J89" t="n">
        <v>0</v>
      </c>
      <c r="K89" t="n">
        <v>0</v>
      </c>
      <c r="L89" t="n">
        <v>0</v>
      </c>
      <c r="M89" t="n">
        <v>12</v>
      </c>
      <c r="N89" t="n">
        <v>0.75</v>
      </c>
      <c r="O89" t="n">
        <v>-0.25</v>
      </c>
      <c r="P89" t="n">
        <v>96</v>
      </c>
      <c r="Q89" t="n">
        <v>12</v>
      </c>
      <c r="R89" t="s">
        <v>243</v>
      </c>
      <c r="S89" t="s">
        <v>242</v>
      </c>
      <c r="T89" t="n">
        <v>0.625</v>
      </c>
    </row>
    <row r="90">
      <c r="A90" t="s">
        <v>30</v>
      </c>
      <c r="B90" t="n">
        <v>1.25</v>
      </c>
      <c r="C90" t="n">
        <v>1.25</v>
      </c>
      <c r="D90" t="n">
        <v>1.25</v>
      </c>
      <c r="E90" t="n">
        <v>-4</v>
      </c>
      <c r="F90" t="n">
        <v>-0.5</v>
      </c>
      <c r="G90" t="n">
        <v>152</v>
      </c>
      <c r="H90" t="n">
        <v>12</v>
      </c>
      <c r="I90" t="s">
        <v>244</v>
      </c>
      <c r="J90" t="n">
        <v>0</v>
      </c>
      <c r="K90" t="n">
        <v>0</v>
      </c>
      <c r="L90" t="n">
        <v>0</v>
      </c>
      <c r="M90" t="n">
        <v>12</v>
      </c>
      <c r="N90" t="n">
        <v>-0.25</v>
      </c>
      <c r="O90" t="n">
        <v>-0.25</v>
      </c>
      <c r="P90" t="n">
        <v>1</v>
      </c>
      <c r="Q90" t="n">
        <v>12</v>
      </c>
      <c r="R90" t="s">
        <v>244</v>
      </c>
      <c r="S90" t="s">
        <v>244</v>
      </c>
      <c r="T90" t="n">
        <v>-0.375</v>
      </c>
    </row>
    <row r="91">
      <c r="A91" t="s">
        <v>30</v>
      </c>
      <c r="B91" t="n">
        <v>1</v>
      </c>
      <c r="C91" t="n">
        <v>1.25</v>
      </c>
      <c r="D91" t="n">
        <v>1.25</v>
      </c>
      <c r="E91" t="n">
        <v>-6.5</v>
      </c>
      <c r="F91" t="n">
        <v>-0.75</v>
      </c>
      <c r="G91" t="n">
        <v>93</v>
      </c>
      <c r="H91" t="n">
        <v>12</v>
      </c>
      <c r="I91" t="s">
        <v>243</v>
      </c>
      <c r="J91" t="n">
        <v>0</v>
      </c>
      <c r="K91" t="n">
        <v>0</v>
      </c>
      <c r="L91" t="n">
        <v>0</v>
      </c>
      <c r="M91" t="n">
        <v>12</v>
      </c>
      <c r="N91" t="n">
        <v>0</v>
      </c>
      <c r="O91" t="n">
        <v>-0.5</v>
      </c>
      <c r="P91" t="n">
        <v>64</v>
      </c>
      <c r="Q91" t="n">
        <v>12</v>
      </c>
      <c r="R91" t="s">
        <v>244</v>
      </c>
      <c r="S91" t="s">
        <v>244</v>
      </c>
      <c r="T91" t="n">
        <v>-0.25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4" t="s">
        <v>225</v>
      </c>
      <c r="B1" s="4" t="s">
        <v>226</v>
      </c>
      <c r="C1" s="4" t="s">
        <v>227</v>
      </c>
      <c r="D1" s="4" t="s">
        <v>228</v>
      </c>
      <c r="E1" s="5" t="s">
        <v>229</v>
      </c>
      <c r="F1" s="5" t="s">
        <v>230</v>
      </c>
      <c r="G1" s="5" t="s">
        <v>231</v>
      </c>
      <c r="H1" s="5" t="s">
        <v>232</v>
      </c>
      <c r="I1" s="5" t="s">
        <v>73</v>
      </c>
      <c r="J1" s="6" t="s">
        <v>233</v>
      </c>
      <c r="K1" s="6" t="s">
        <v>234</v>
      </c>
      <c r="L1" s="6" t="s">
        <v>235</v>
      </c>
      <c r="M1" s="6" t="s">
        <v>236</v>
      </c>
      <c r="N1" s="7" t="s">
        <v>237</v>
      </c>
      <c r="O1" s="7" t="s">
        <v>238</v>
      </c>
      <c r="P1" s="7" t="s">
        <v>239</v>
      </c>
      <c r="Q1" s="7" t="s">
        <v>240</v>
      </c>
      <c r="R1" s="7" t="s">
        <v>164</v>
      </c>
      <c r="S1" s="7" t="s">
        <v>156</v>
      </c>
      <c r="T1" s="8" t="s">
        <v>241</v>
      </c>
    </row>
    <row r="2">
      <c r="A2" t="s">
        <v>31</v>
      </c>
      <c r="B2" t="n">
        <v>1</v>
      </c>
      <c r="C2" t="n">
        <v>1</v>
      </c>
      <c r="D2" t="n">
        <v>1</v>
      </c>
      <c r="E2" t="n">
        <v>-3</v>
      </c>
      <c r="F2" t="n">
        <v>-0.75</v>
      </c>
      <c r="G2" t="n">
        <v>177</v>
      </c>
      <c r="H2" t="n">
        <v>12</v>
      </c>
      <c r="I2" t="s">
        <v>243</v>
      </c>
      <c r="J2" t="n">
        <v>0</v>
      </c>
      <c r="K2" t="n">
        <v>0</v>
      </c>
      <c r="L2" t="n">
        <v>0</v>
      </c>
      <c r="M2" t="n">
        <v>12</v>
      </c>
      <c r="N2" t="n">
        <v>0</v>
      </c>
      <c r="O2" t="n">
        <v>-0.25</v>
      </c>
      <c r="P2" t="n">
        <v>136</v>
      </c>
      <c r="Q2" t="n">
        <v>12</v>
      </c>
      <c r="R2" t="s">
        <v>243</v>
      </c>
      <c r="S2" t="s">
        <v>243</v>
      </c>
      <c r="T2" t="n">
        <v>-0.125</v>
      </c>
    </row>
    <row r="3">
      <c r="A3" t="s">
        <v>31</v>
      </c>
      <c r="B3" t="n">
        <v>0.8</v>
      </c>
      <c r="C3" t="n">
        <v>0.8</v>
      </c>
      <c r="D3" t="n">
        <v>0.8</v>
      </c>
      <c r="E3" t="n">
        <v>-3.75</v>
      </c>
      <c r="F3" t="n">
        <v>-0.25</v>
      </c>
      <c r="G3" t="n">
        <v>14</v>
      </c>
      <c r="H3" t="n">
        <v>12</v>
      </c>
      <c r="I3" t="s">
        <v>242</v>
      </c>
      <c r="J3" t="n">
        <v>0</v>
      </c>
      <c r="K3" t="n">
        <v>0</v>
      </c>
      <c r="L3" t="n">
        <v>0</v>
      </c>
      <c r="M3" t="n">
        <v>12</v>
      </c>
      <c r="N3" t="n">
        <v>0</v>
      </c>
      <c r="O3" t="n">
        <v>-0.25</v>
      </c>
      <c r="P3" t="n">
        <v>48</v>
      </c>
      <c r="Q3" t="n">
        <v>12</v>
      </c>
      <c r="R3" t="s">
        <v>242</v>
      </c>
      <c r="S3" t="s">
        <v>242</v>
      </c>
      <c r="T3" t="n">
        <v>-0.125</v>
      </c>
    </row>
    <row r="4">
      <c r="A4" t="s">
        <v>31</v>
      </c>
      <c r="B4" t="n">
        <v>1.25</v>
      </c>
      <c r="C4" t="n">
        <v>1</v>
      </c>
      <c r="D4" t="n">
        <v>1.25</v>
      </c>
      <c r="E4" t="n">
        <v>-5</v>
      </c>
      <c r="F4" t="n">
        <v>-0.5</v>
      </c>
      <c r="G4" t="n">
        <v>124</v>
      </c>
      <c r="H4" t="n">
        <v>12</v>
      </c>
      <c r="I4" t="s">
        <v>244</v>
      </c>
      <c r="J4" t="n">
        <v>0</v>
      </c>
      <c r="K4" t="n">
        <v>0</v>
      </c>
      <c r="L4" t="n">
        <v>0</v>
      </c>
      <c r="M4" t="n">
        <v>12</v>
      </c>
      <c r="N4" t="n">
        <v>-0.25</v>
      </c>
      <c r="O4" t="n">
        <v>-0.5</v>
      </c>
      <c r="P4" t="n">
        <v>1</v>
      </c>
      <c r="Q4" t="n">
        <v>12</v>
      </c>
      <c r="R4" t="s">
        <v>244</v>
      </c>
      <c r="S4" t="s">
        <v>243</v>
      </c>
      <c r="T4" t="n">
        <v>-0.5</v>
      </c>
    </row>
    <row r="5">
      <c r="A5" t="s">
        <v>31</v>
      </c>
      <c r="B5" t="n">
        <v>1.25</v>
      </c>
      <c r="C5" t="n">
        <v>1.25</v>
      </c>
      <c r="D5" t="n">
        <v>1.25</v>
      </c>
      <c r="E5" t="n">
        <v>-5</v>
      </c>
      <c r="F5" t="n">
        <v>-0.25</v>
      </c>
      <c r="G5" t="n">
        <v>59</v>
      </c>
      <c r="H5" t="n">
        <v>12</v>
      </c>
      <c r="I5" t="s">
        <v>244</v>
      </c>
      <c r="J5" t="n">
        <v>0</v>
      </c>
      <c r="K5" t="n">
        <v>0</v>
      </c>
      <c r="L5" t="n">
        <v>0</v>
      </c>
      <c r="M5" t="n">
        <v>12</v>
      </c>
      <c r="N5" t="n">
        <v>0.25</v>
      </c>
      <c r="O5" t="n">
        <v>-0.25</v>
      </c>
      <c r="P5" t="n">
        <v>166</v>
      </c>
      <c r="Q5" t="n">
        <v>12</v>
      </c>
      <c r="R5" t="s">
        <v>244</v>
      </c>
      <c r="S5" t="s">
        <v>244</v>
      </c>
      <c r="T5" t="n">
        <v>0.125</v>
      </c>
    </row>
    <row r="6">
      <c r="A6" t="s">
        <v>31</v>
      </c>
      <c r="B6" t="n">
        <v>1</v>
      </c>
      <c r="C6" t="n">
        <v>1.25</v>
      </c>
      <c r="D6" t="n">
        <v>1.25</v>
      </c>
      <c r="E6" t="n">
        <v>-6.75</v>
      </c>
      <c r="F6" t="n">
        <v>-0.75</v>
      </c>
      <c r="G6" t="n">
        <v>89</v>
      </c>
      <c r="H6" t="n">
        <v>12</v>
      </c>
      <c r="I6" t="s">
        <v>243</v>
      </c>
      <c r="J6" t="n">
        <v>0</v>
      </c>
      <c r="K6" t="n">
        <v>0</v>
      </c>
      <c r="L6" t="n">
        <v>0</v>
      </c>
      <c r="M6" t="n">
        <v>12</v>
      </c>
      <c r="N6" t="n">
        <v>0.5</v>
      </c>
      <c r="O6" t="n">
        <v>-0.5</v>
      </c>
      <c r="P6" t="n">
        <v>93</v>
      </c>
      <c r="Q6" t="n">
        <v>12</v>
      </c>
      <c r="R6" t="s">
        <v>244</v>
      </c>
      <c r="S6" t="s">
        <v>244</v>
      </c>
      <c r="T6" t="n">
        <v>0.25</v>
      </c>
    </row>
    <row r="7">
      <c r="A7" t="s">
        <v>31</v>
      </c>
      <c r="B7" t="n">
        <v>1</v>
      </c>
      <c r="C7" t="n">
        <v>1</v>
      </c>
      <c r="D7" t="n">
        <v>1</v>
      </c>
      <c r="E7" t="n">
        <v>-5.25</v>
      </c>
      <c r="F7" t="n">
        <v>-1.5</v>
      </c>
      <c r="G7" t="n">
        <v>98</v>
      </c>
      <c r="H7" t="n">
        <v>12</v>
      </c>
      <c r="I7" t="s">
        <v>243</v>
      </c>
      <c r="J7" t="n">
        <v>0</v>
      </c>
      <c r="K7" t="n">
        <v>0</v>
      </c>
      <c r="L7" t="n">
        <v>0</v>
      </c>
      <c r="M7" t="n">
        <v>12</v>
      </c>
      <c r="N7" t="n">
        <v>0.5</v>
      </c>
      <c r="O7" t="n">
        <v>-0.25</v>
      </c>
      <c r="P7" t="n">
        <v>97</v>
      </c>
      <c r="Q7" t="n">
        <v>12</v>
      </c>
      <c r="R7" t="s">
        <v>243</v>
      </c>
      <c r="S7" t="s">
        <v>243</v>
      </c>
      <c r="T7" t="n">
        <v>0.375</v>
      </c>
    </row>
    <row r="8">
      <c r="A8" t="s">
        <v>31</v>
      </c>
      <c r="B8" t="n">
        <v>1</v>
      </c>
      <c r="C8" t="n">
        <v>1.6</v>
      </c>
      <c r="D8" t="n">
        <v>1.6</v>
      </c>
      <c r="E8" t="n">
        <v>-2.5</v>
      </c>
      <c r="F8" t="n">
        <v>-1.75</v>
      </c>
      <c r="G8" t="n">
        <v>4</v>
      </c>
      <c r="H8" t="n">
        <v>12</v>
      </c>
      <c r="I8" t="s">
        <v>243</v>
      </c>
      <c r="J8" t="n">
        <v>0</v>
      </c>
      <c r="K8" t="n">
        <v>0</v>
      </c>
      <c r="L8" t="n">
        <v>0</v>
      </c>
      <c r="M8" t="n">
        <v>12</v>
      </c>
      <c r="N8" t="n">
        <v>0</v>
      </c>
      <c r="O8" t="n">
        <v>-0.25</v>
      </c>
      <c r="P8" t="n">
        <v>87</v>
      </c>
      <c r="Q8" t="n">
        <v>12</v>
      </c>
      <c r="R8" t="s">
        <v>245</v>
      </c>
      <c r="S8" t="s">
        <v>245</v>
      </c>
      <c r="T8" t="n">
        <v>-0.125</v>
      </c>
    </row>
    <row r="9">
      <c r="A9" t="s">
        <v>31</v>
      </c>
      <c r="B9" t="n">
        <v>1</v>
      </c>
      <c r="C9" t="n">
        <v>1</v>
      </c>
      <c r="D9" t="n">
        <v>1.25</v>
      </c>
      <c r="E9" t="n">
        <v>-3.75</v>
      </c>
      <c r="F9" t="n">
        <v>-1</v>
      </c>
      <c r="G9" t="n">
        <v>2</v>
      </c>
      <c r="H9" t="n">
        <v>12</v>
      </c>
      <c r="I9" t="s">
        <v>243</v>
      </c>
      <c r="J9" t="n">
        <v>0</v>
      </c>
      <c r="K9" t="n">
        <v>0</v>
      </c>
      <c r="L9" t="n">
        <v>0</v>
      </c>
      <c r="M9" t="n">
        <v>12</v>
      </c>
      <c r="N9" t="n">
        <v>-0.25</v>
      </c>
      <c r="O9" t="n">
        <v>-0.25</v>
      </c>
      <c r="P9" t="n">
        <v>91</v>
      </c>
      <c r="Q9" t="n">
        <v>12</v>
      </c>
      <c r="R9" t="s">
        <v>244</v>
      </c>
      <c r="S9" t="s">
        <v>243</v>
      </c>
      <c r="T9" t="n">
        <v>-0.375</v>
      </c>
    </row>
    <row r="10">
      <c r="A10" t="s">
        <v>31</v>
      </c>
      <c r="B10" t="n">
        <v>1</v>
      </c>
      <c r="C10"/>
      <c r="D10"/>
      <c r="E10" t="n">
        <v>-7</v>
      </c>
      <c r="F10" t="n">
        <v>-1</v>
      </c>
      <c r="G10" t="n">
        <v>177</v>
      </c>
      <c r="H10" t="n">
        <v>12</v>
      </c>
      <c r="I10" t="s">
        <v>243</v>
      </c>
      <c r="J10" t="n">
        <v>0</v>
      </c>
      <c r="K10" t="n">
        <v>0</v>
      </c>
      <c r="L10" t="n">
        <v>0</v>
      </c>
      <c r="M10" t="n">
        <v>12</v>
      </c>
      <c r="N10"/>
      <c r="O10"/>
      <c r="P10"/>
      <c r="Q10" t="n">
        <v>12</v>
      </c>
      <c r="R10" t="s">
        <v>94</v>
      </c>
      <c r="S10" t="s">
        <v>94</v>
      </c>
      <c r="T10"/>
    </row>
    <row r="11">
      <c r="A11" t="s">
        <v>31</v>
      </c>
      <c r="B11" t="n">
        <v>1</v>
      </c>
      <c r="C11"/>
      <c r="D11"/>
      <c r="E11" t="n">
        <v>-6.75</v>
      </c>
      <c r="F11" t="n">
        <v>-2.25</v>
      </c>
      <c r="G11" t="n">
        <v>7</v>
      </c>
      <c r="H11" t="n">
        <v>12</v>
      </c>
      <c r="I11" t="s">
        <v>243</v>
      </c>
      <c r="J11" t="n">
        <v>0</v>
      </c>
      <c r="K11" t="n">
        <v>0</v>
      </c>
      <c r="L11" t="n">
        <v>0</v>
      </c>
      <c r="M11" t="n">
        <v>12</v>
      </c>
      <c r="N11"/>
      <c r="O11"/>
      <c r="P11"/>
      <c r="Q11" t="n">
        <v>12</v>
      </c>
      <c r="R11" t="s">
        <v>94</v>
      </c>
      <c r="S11" t="s">
        <v>94</v>
      </c>
      <c r="T11"/>
    </row>
    <row r="12">
      <c r="A12" t="s">
        <v>31</v>
      </c>
      <c r="B12" t="n">
        <v>1</v>
      </c>
      <c r="C12" t="n">
        <v>1.25</v>
      </c>
      <c r="D12" t="n">
        <v>1.6</v>
      </c>
      <c r="E12" t="n">
        <v>-8</v>
      </c>
      <c r="F12" t="n">
        <v>-0.75</v>
      </c>
      <c r="G12" t="n">
        <v>82</v>
      </c>
      <c r="H12" t="n">
        <v>12</v>
      </c>
      <c r="I12" t="s">
        <v>243</v>
      </c>
      <c r="J12" t="n">
        <v>0</v>
      </c>
      <c r="K12" t="n">
        <v>0</v>
      </c>
      <c r="L12" t="n">
        <v>0</v>
      </c>
      <c r="M12" t="n">
        <v>12</v>
      </c>
      <c r="N12" t="n">
        <v>-0.5</v>
      </c>
      <c r="O12" t="n">
        <v>-0.25</v>
      </c>
      <c r="P12" t="n">
        <v>121</v>
      </c>
      <c r="Q12" t="n">
        <v>12</v>
      </c>
      <c r="R12" t="s">
        <v>245</v>
      </c>
      <c r="S12" t="s">
        <v>244</v>
      </c>
      <c r="T12" t="n">
        <v>-0.625</v>
      </c>
    </row>
    <row r="13">
      <c r="A13" t="s">
        <v>31</v>
      </c>
      <c r="B13" t="n">
        <v>1.25</v>
      </c>
      <c r="C13" t="n">
        <v>1.25</v>
      </c>
      <c r="D13" t="n">
        <v>1.25</v>
      </c>
      <c r="E13" t="n">
        <v>-1.25</v>
      </c>
      <c r="F13" t="n">
        <v>-1.5</v>
      </c>
      <c r="G13" t="n">
        <v>38</v>
      </c>
      <c r="H13" t="n">
        <v>12</v>
      </c>
      <c r="I13" t="s">
        <v>244</v>
      </c>
      <c r="J13" t="n">
        <v>0</v>
      </c>
      <c r="K13" t="n">
        <v>0</v>
      </c>
      <c r="L13" t="n">
        <v>0</v>
      </c>
      <c r="M13" t="n">
        <v>12</v>
      </c>
      <c r="N13" t="n">
        <v>0</v>
      </c>
      <c r="O13" t="n">
        <v>-0.5</v>
      </c>
      <c r="P13" t="n">
        <v>70</v>
      </c>
      <c r="Q13" t="n">
        <v>12</v>
      </c>
      <c r="R13" t="s">
        <v>244</v>
      </c>
      <c r="S13" t="s">
        <v>244</v>
      </c>
      <c r="T13" t="n">
        <v>-0.25</v>
      </c>
    </row>
    <row r="14">
      <c r="A14" t="s">
        <v>31</v>
      </c>
      <c r="B14" t="n">
        <v>1</v>
      </c>
      <c r="C14" t="n">
        <v>1</v>
      </c>
      <c r="D14" t="n">
        <v>1</v>
      </c>
      <c r="E14" t="n">
        <v>-2</v>
      </c>
      <c r="F14" t="n">
        <v>-1.5</v>
      </c>
      <c r="G14" t="n">
        <v>132</v>
      </c>
      <c r="H14" t="n">
        <v>12</v>
      </c>
      <c r="I14" t="s">
        <v>243</v>
      </c>
      <c r="J14" t="n">
        <v>0</v>
      </c>
      <c r="K14" t="n">
        <v>0</v>
      </c>
      <c r="L14" t="n">
        <v>0</v>
      </c>
      <c r="M14" t="n">
        <v>12</v>
      </c>
      <c r="N14" t="n">
        <v>-0.25</v>
      </c>
      <c r="O14" t="n">
        <v>-0.25</v>
      </c>
      <c r="P14" t="n">
        <v>136</v>
      </c>
      <c r="Q14" t="n">
        <v>12</v>
      </c>
      <c r="R14" t="s">
        <v>243</v>
      </c>
      <c r="S14" t="s">
        <v>243</v>
      </c>
      <c r="T14" t="n">
        <v>-0.375</v>
      </c>
    </row>
    <row r="15">
      <c r="A15" t="s">
        <v>31</v>
      </c>
      <c r="B15" t="n">
        <v>1</v>
      </c>
      <c r="C15" t="n">
        <v>1</v>
      </c>
      <c r="D15" t="n">
        <v>1</v>
      </c>
      <c r="E15" t="n">
        <v>-1.5</v>
      </c>
      <c r="F15" t="n">
        <v>-0.5</v>
      </c>
      <c r="G15" t="n">
        <v>169</v>
      </c>
      <c r="H15" t="n">
        <v>12</v>
      </c>
      <c r="I15" t="s">
        <v>243</v>
      </c>
      <c r="J15" t="n">
        <v>0</v>
      </c>
      <c r="K15" t="n">
        <v>0</v>
      </c>
      <c r="L15" t="n">
        <v>0</v>
      </c>
      <c r="M15" t="n">
        <v>12</v>
      </c>
      <c r="N15" t="n">
        <v>0.25</v>
      </c>
      <c r="O15" t="n">
        <v>-0.25</v>
      </c>
      <c r="P15" t="n">
        <v>176</v>
      </c>
      <c r="Q15" t="n">
        <v>12</v>
      </c>
      <c r="R15" t="s">
        <v>243</v>
      </c>
      <c r="S15" t="s">
        <v>243</v>
      </c>
      <c r="T15" t="n">
        <v>0.125</v>
      </c>
    </row>
    <row r="16">
      <c r="A16" t="s">
        <v>31</v>
      </c>
      <c r="B16" t="n">
        <v>1</v>
      </c>
      <c r="C16" t="n">
        <v>1</v>
      </c>
      <c r="D16" t="n">
        <v>1</v>
      </c>
      <c r="E16" t="n">
        <v>-2.5</v>
      </c>
      <c r="F16" t="n">
        <v>-0.5</v>
      </c>
      <c r="G16" t="n">
        <v>9</v>
      </c>
      <c r="H16" t="n">
        <v>12</v>
      </c>
      <c r="I16" t="s">
        <v>243</v>
      </c>
      <c r="J16" t="n">
        <v>0</v>
      </c>
      <c r="K16" t="n">
        <v>0</v>
      </c>
      <c r="L16" t="n">
        <v>0</v>
      </c>
      <c r="M16" t="n">
        <v>12</v>
      </c>
      <c r="N16" t="n">
        <v>0.25</v>
      </c>
      <c r="O16" t="n">
        <v>-0.25</v>
      </c>
      <c r="P16" t="n">
        <v>150</v>
      </c>
      <c r="Q16" t="n">
        <v>12</v>
      </c>
      <c r="R16" t="s">
        <v>243</v>
      </c>
      <c r="S16" t="s">
        <v>243</v>
      </c>
      <c r="T16" t="n">
        <v>0.125</v>
      </c>
    </row>
    <row r="17">
      <c r="A17" t="s">
        <v>31</v>
      </c>
      <c r="B17" t="n">
        <v>1</v>
      </c>
      <c r="C17" t="n">
        <v>1</v>
      </c>
      <c r="D17" t="n">
        <v>1</v>
      </c>
      <c r="E17" t="n">
        <v>-5.5</v>
      </c>
      <c r="F17" t="n">
        <v>-0.5</v>
      </c>
      <c r="G17" t="n">
        <v>13</v>
      </c>
      <c r="H17" t="n">
        <v>12</v>
      </c>
      <c r="I17" t="s">
        <v>243</v>
      </c>
      <c r="J17" t="n">
        <v>0</v>
      </c>
      <c r="K17" t="n">
        <v>0</v>
      </c>
      <c r="L17" t="n">
        <v>0</v>
      </c>
      <c r="M17" t="n">
        <v>12</v>
      </c>
      <c r="N17" t="n">
        <v>0</v>
      </c>
      <c r="O17" t="n">
        <v>-0.25</v>
      </c>
      <c r="P17" t="n">
        <v>163</v>
      </c>
      <c r="Q17" t="n">
        <v>12</v>
      </c>
      <c r="R17" t="s">
        <v>243</v>
      </c>
      <c r="S17" t="s">
        <v>243</v>
      </c>
      <c r="T17" t="n">
        <v>-0.125</v>
      </c>
    </row>
    <row r="18">
      <c r="A18" t="s">
        <v>31</v>
      </c>
      <c r="B18" t="n">
        <v>1</v>
      </c>
      <c r="C18" t="n">
        <v>1</v>
      </c>
      <c r="D18" t="n">
        <v>1</v>
      </c>
      <c r="E18" t="n">
        <v>-7.5</v>
      </c>
      <c r="F18" t="n">
        <v>-0.5</v>
      </c>
      <c r="G18" t="n">
        <v>166</v>
      </c>
      <c r="H18" t="n">
        <v>12</v>
      </c>
      <c r="I18" t="s">
        <v>243</v>
      </c>
      <c r="J18" t="n">
        <v>0</v>
      </c>
      <c r="K18" t="n">
        <v>0</v>
      </c>
      <c r="L18" t="n">
        <v>0</v>
      </c>
      <c r="M18" t="n">
        <v>12</v>
      </c>
      <c r="N18" t="n">
        <v>0.25</v>
      </c>
      <c r="O18" t="n">
        <v>0</v>
      </c>
      <c r="P18" t="n">
        <v>127</v>
      </c>
      <c r="Q18" t="n">
        <v>12</v>
      </c>
      <c r="R18" t="s">
        <v>243</v>
      </c>
      <c r="S18" t="s">
        <v>243</v>
      </c>
      <c r="T18" t="n">
        <v>0.25</v>
      </c>
    </row>
    <row r="19">
      <c r="A19" t="s">
        <v>31</v>
      </c>
      <c r="B19" t="n">
        <v>1.25</v>
      </c>
      <c r="C19" t="n">
        <v>1.25</v>
      </c>
      <c r="D19" t="n">
        <v>1.25</v>
      </c>
      <c r="E19" t="n">
        <v>-2</v>
      </c>
      <c r="F19" t="n">
        <v>-0.5</v>
      </c>
      <c r="G19" t="n">
        <v>128</v>
      </c>
      <c r="H19" t="n">
        <v>12</v>
      </c>
      <c r="I19" t="s">
        <v>244</v>
      </c>
      <c r="J19" t="n">
        <v>0</v>
      </c>
      <c r="K19" t="n">
        <v>0</v>
      </c>
      <c r="L19" t="n">
        <v>0</v>
      </c>
      <c r="M19" t="n">
        <v>12</v>
      </c>
      <c r="N19" t="n">
        <v>0.25</v>
      </c>
      <c r="O19" t="n">
        <v>-0.25</v>
      </c>
      <c r="P19" t="n">
        <v>103</v>
      </c>
      <c r="Q19" t="n">
        <v>12</v>
      </c>
      <c r="R19" t="s">
        <v>244</v>
      </c>
      <c r="S19" t="s">
        <v>244</v>
      </c>
      <c r="T19" t="n">
        <v>0.125</v>
      </c>
    </row>
    <row r="20">
      <c r="A20" t="s">
        <v>31</v>
      </c>
      <c r="B20" t="n">
        <v>1</v>
      </c>
      <c r="C20" t="n">
        <v>1.25</v>
      </c>
      <c r="D20" t="n">
        <v>1.25</v>
      </c>
      <c r="E20" t="n">
        <v>-1.75</v>
      </c>
      <c r="F20" t="n">
        <v>-0.75</v>
      </c>
      <c r="G20" t="n">
        <v>49</v>
      </c>
      <c r="H20" t="n">
        <v>12</v>
      </c>
      <c r="I20" t="s">
        <v>243</v>
      </c>
      <c r="J20" t="n">
        <v>0</v>
      </c>
      <c r="K20" t="n">
        <v>0</v>
      </c>
      <c r="L20" t="n">
        <v>0</v>
      </c>
      <c r="M20" t="n">
        <v>12</v>
      </c>
      <c r="N20" t="n">
        <v>0</v>
      </c>
      <c r="O20" t="n">
        <v>-0.25</v>
      </c>
      <c r="P20" t="n">
        <v>28</v>
      </c>
      <c r="Q20" t="n">
        <v>12</v>
      </c>
      <c r="R20" t="s">
        <v>244</v>
      </c>
      <c r="S20" t="s">
        <v>244</v>
      </c>
      <c r="T20" t="n">
        <v>-0.125</v>
      </c>
    </row>
    <row r="21">
      <c r="A21" t="s">
        <v>31</v>
      </c>
      <c r="B21" t="n">
        <v>1</v>
      </c>
      <c r="C21" t="n">
        <v>0.8</v>
      </c>
      <c r="D21" t="n">
        <v>1</v>
      </c>
      <c r="E21" t="n">
        <v>-3.75</v>
      </c>
      <c r="F21" t="n">
        <v>-1</v>
      </c>
      <c r="G21" t="n">
        <v>1</v>
      </c>
      <c r="H21" t="n">
        <v>12</v>
      </c>
      <c r="I21" t="s">
        <v>243</v>
      </c>
      <c r="J21" t="n">
        <v>0</v>
      </c>
      <c r="K21" t="n">
        <v>0</v>
      </c>
      <c r="L21" t="n">
        <v>0</v>
      </c>
      <c r="M21" t="n">
        <v>12</v>
      </c>
      <c r="N21" t="n">
        <v>-0.75</v>
      </c>
      <c r="O21" t="n">
        <v>-0.25</v>
      </c>
      <c r="P21" t="n">
        <v>45</v>
      </c>
      <c r="Q21" t="n">
        <v>12</v>
      </c>
      <c r="R21" t="s">
        <v>243</v>
      </c>
      <c r="S21" t="s">
        <v>242</v>
      </c>
      <c r="T21" t="n">
        <v>-0.875</v>
      </c>
    </row>
    <row r="22">
      <c r="A22" t="s">
        <v>31</v>
      </c>
      <c r="B22" t="n">
        <v>1</v>
      </c>
      <c r="C22" t="n">
        <v>0.8</v>
      </c>
      <c r="D22" t="n">
        <v>1</v>
      </c>
      <c r="E22" t="n">
        <v>-4.25</v>
      </c>
      <c r="F22" t="n">
        <v>-1</v>
      </c>
      <c r="G22" t="n">
        <v>166</v>
      </c>
      <c r="H22" t="n">
        <v>12</v>
      </c>
      <c r="I22" t="s">
        <v>243</v>
      </c>
      <c r="J22" t="n">
        <v>0</v>
      </c>
      <c r="K22" t="n">
        <v>0</v>
      </c>
      <c r="L22" t="n">
        <v>0</v>
      </c>
      <c r="M22" t="n">
        <v>12</v>
      </c>
      <c r="N22" t="n">
        <v>-0.5</v>
      </c>
      <c r="O22" t="n">
        <v>-0.25</v>
      </c>
      <c r="P22" t="n">
        <v>121</v>
      </c>
      <c r="Q22" t="n">
        <v>12</v>
      </c>
      <c r="R22" t="s">
        <v>243</v>
      </c>
      <c r="S22" t="s">
        <v>242</v>
      </c>
      <c r="T22" t="n">
        <v>-0.625</v>
      </c>
    </row>
    <row r="23">
      <c r="A23" t="s">
        <v>31</v>
      </c>
      <c r="B23" t="n">
        <v>1</v>
      </c>
      <c r="C23" t="n">
        <v>0.8</v>
      </c>
      <c r="D23" t="n">
        <v>1</v>
      </c>
      <c r="E23" t="n">
        <v>-8.75</v>
      </c>
      <c r="F23" t="n">
        <v>-0.5</v>
      </c>
      <c r="G23" t="n">
        <v>17</v>
      </c>
      <c r="H23" t="n">
        <v>12</v>
      </c>
      <c r="I23" t="s">
        <v>243</v>
      </c>
      <c r="J23" t="n">
        <v>0</v>
      </c>
      <c r="K23" t="n">
        <v>0</v>
      </c>
      <c r="L23" t="n">
        <v>0</v>
      </c>
      <c r="M23" t="n">
        <v>12</v>
      </c>
      <c r="N23" t="n">
        <v>-0.5</v>
      </c>
      <c r="O23" t="n">
        <v>0</v>
      </c>
      <c r="P23" t="n">
        <v>144</v>
      </c>
      <c r="Q23" t="n">
        <v>12</v>
      </c>
      <c r="R23" t="s">
        <v>243</v>
      </c>
      <c r="S23" t="s">
        <v>242</v>
      </c>
      <c r="T23" t="n">
        <v>-0.5</v>
      </c>
    </row>
    <row r="24">
      <c r="A24" t="s">
        <v>31</v>
      </c>
      <c r="B24" t="n">
        <v>1.25</v>
      </c>
      <c r="C24"/>
      <c r="D24"/>
      <c r="E24" t="n">
        <v>-6</v>
      </c>
      <c r="F24" t="n">
        <v>-0.75</v>
      </c>
      <c r="G24" t="n">
        <v>171</v>
      </c>
      <c r="H24" t="n">
        <v>12</v>
      </c>
      <c r="I24" t="s">
        <v>244</v>
      </c>
      <c r="J24" t="n">
        <v>0</v>
      </c>
      <c r="K24" t="n">
        <v>0</v>
      </c>
      <c r="L24" t="n">
        <v>0</v>
      </c>
      <c r="M24" t="n">
        <v>12</v>
      </c>
      <c r="N24"/>
      <c r="O24"/>
      <c r="P24"/>
      <c r="Q24" t="n">
        <v>12</v>
      </c>
      <c r="R24" t="s">
        <v>94</v>
      </c>
      <c r="S24" t="s">
        <v>94</v>
      </c>
      <c r="T24"/>
    </row>
    <row r="25">
      <c r="A25" t="s">
        <v>31</v>
      </c>
      <c r="B25" t="n">
        <v>1.25</v>
      </c>
      <c r="C25"/>
      <c r="D25"/>
      <c r="E25" t="n">
        <v>-6.25</v>
      </c>
      <c r="F25" t="n">
        <v>-1</v>
      </c>
      <c r="G25" t="n">
        <v>178</v>
      </c>
      <c r="H25" t="n">
        <v>12</v>
      </c>
      <c r="I25" t="s">
        <v>244</v>
      </c>
      <c r="J25" t="n">
        <v>-0.75</v>
      </c>
      <c r="K25" t="n">
        <v>0</v>
      </c>
      <c r="L25" t="n">
        <v>0</v>
      </c>
      <c r="M25" t="n">
        <v>12</v>
      </c>
      <c r="N25"/>
      <c r="O25"/>
      <c r="P25"/>
      <c r="Q25" t="n">
        <v>12</v>
      </c>
      <c r="R25" t="s">
        <v>94</v>
      </c>
      <c r="S25" t="s">
        <v>94</v>
      </c>
      <c r="T25"/>
    </row>
    <row r="26">
      <c r="A26" t="s">
        <v>31</v>
      </c>
      <c r="B26" t="n">
        <v>1.25</v>
      </c>
      <c r="C26" t="n">
        <v>1.25</v>
      </c>
      <c r="D26" t="n">
        <v>1.25</v>
      </c>
      <c r="E26" t="n">
        <v>-4.5</v>
      </c>
      <c r="F26" t="n">
        <v>-0.5</v>
      </c>
      <c r="G26" t="n">
        <v>152</v>
      </c>
      <c r="H26" t="n">
        <v>12</v>
      </c>
      <c r="I26" t="s">
        <v>244</v>
      </c>
      <c r="J26" t="n">
        <v>0</v>
      </c>
      <c r="K26" t="n">
        <v>0</v>
      </c>
      <c r="L26" t="n">
        <v>0</v>
      </c>
      <c r="M26" t="n">
        <v>12</v>
      </c>
      <c r="N26" t="n">
        <v>-0.25</v>
      </c>
      <c r="O26" t="n">
        <v>-0.25</v>
      </c>
      <c r="P26" t="n">
        <v>114</v>
      </c>
      <c r="Q26" t="n">
        <v>12</v>
      </c>
      <c r="R26" t="s">
        <v>244</v>
      </c>
      <c r="S26" t="s">
        <v>244</v>
      </c>
      <c r="T26" t="n">
        <v>-0.375</v>
      </c>
    </row>
    <row r="27">
      <c r="A27" t="s">
        <v>31</v>
      </c>
      <c r="B27" t="n">
        <v>1.25</v>
      </c>
      <c r="C27" t="n">
        <v>1</v>
      </c>
      <c r="D27" t="n">
        <v>1.25</v>
      </c>
      <c r="E27" t="n">
        <v>-5.75</v>
      </c>
      <c r="F27" t="n">
        <v>-0.5</v>
      </c>
      <c r="G27" t="n">
        <v>43</v>
      </c>
      <c r="H27" t="n">
        <v>12</v>
      </c>
      <c r="I27" t="s">
        <v>244</v>
      </c>
      <c r="J27" t="n">
        <v>0</v>
      </c>
      <c r="K27" t="n">
        <v>0</v>
      </c>
      <c r="L27" t="n">
        <v>0</v>
      </c>
      <c r="M27" t="n">
        <v>12</v>
      </c>
      <c r="N27" t="n">
        <v>-0.5</v>
      </c>
      <c r="O27" t="n">
        <v>0</v>
      </c>
      <c r="P27" t="n">
        <v>90</v>
      </c>
      <c r="Q27" t="n">
        <v>12</v>
      </c>
      <c r="R27" t="s">
        <v>244</v>
      </c>
      <c r="S27" t="s">
        <v>243</v>
      </c>
      <c r="T27" t="n">
        <v>-0.5</v>
      </c>
    </row>
    <row r="28">
      <c r="A28" t="s">
        <v>31</v>
      </c>
      <c r="B28" t="n">
        <v>1</v>
      </c>
      <c r="C28" t="n">
        <v>0.8</v>
      </c>
      <c r="D28" t="n">
        <v>1.25</v>
      </c>
      <c r="E28" t="n">
        <v>-7</v>
      </c>
      <c r="F28" t="n">
        <v>-0.5</v>
      </c>
      <c r="G28" t="n">
        <v>141</v>
      </c>
      <c r="H28" t="n">
        <v>12</v>
      </c>
      <c r="I28" t="s">
        <v>243</v>
      </c>
      <c r="J28" t="n">
        <v>0</v>
      </c>
      <c r="K28" t="n">
        <v>0</v>
      </c>
      <c r="L28" t="n">
        <v>0</v>
      </c>
      <c r="M28" t="n">
        <v>12</v>
      </c>
      <c r="N28" t="n">
        <v>-1</v>
      </c>
      <c r="O28" t="n">
        <v>0</v>
      </c>
      <c r="P28" t="n">
        <v>8</v>
      </c>
      <c r="Q28" t="n">
        <v>12</v>
      </c>
      <c r="R28" t="s">
        <v>244</v>
      </c>
      <c r="S28" t="s">
        <v>242</v>
      </c>
      <c r="T28" t="n">
        <v>-1</v>
      </c>
    </row>
    <row r="29">
      <c r="A29" t="s">
        <v>31</v>
      </c>
      <c r="B29" t="n">
        <v>1</v>
      </c>
      <c r="C29" t="n">
        <v>1</v>
      </c>
      <c r="D29" t="n">
        <v>1</v>
      </c>
      <c r="E29" t="n">
        <v>-5.5</v>
      </c>
      <c r="F29" t="n">
        <v>-0.75</v>
      </c>
      <c r="G29" t="n">
        <v>4</v>
      </c>
      <c r="H29" t="n">
        <v>12</v>
      </c>
      <c r="I29" t="s">
        <v>243</v>
      </c>
      <c r="J29" t="n">
        <v>0</v>
      </c>
      <c r="K29" t="n">
        <v>0</v>
      </c>
      <c r="L29" t="n">
        <v>0</v>
      </c>
      <c r="M29" t="n">
        <v>12</v>
      </c>
      <c r="N29" t="n">
        <v>0</v>
      </c>
      <c r="O29" t="n">
        <v>-0.25</v>
      </c>
      <c r="P29" t="n">
        <v>7</v>
      </c>
      <c r="Q29" t="n">
        <v>12</v>
      </c>
      <c r="R29" t="s">
        <v>243</v>
      </c>
      <c r="S29" t="s">
        <v>243</v>
      </c>
      <c r="T29" t="n">
        <v>-0.125</v>
      </c>
    </row>
    <row r="30">
      <c r="A30" t="s">
        <v>31</v>
      </c>
      <c r="B30" t="n">
        <v>1</v>
      </c>
      <c r="C30"/>
      <c r="D30"/>
      <c r="E30" t="n">
        <v>-4.75</v>
      </c>
      <c r="F30" t="n">
        <v>-0.5</v>
      </c>
      <c r="G30" t="n">
        <v>130</v>
      </c>
      <c r="H30" t="n">
        <v>12</v>
      </c>
      <c r="I30" t="s">
        <v>243</v>
      </c>
      <c r="J30" t="n">
        <v>-0.5</v>
      </c>
      <c r="K30" t="n">
        <v>0</v>
      </c>
      <c r="L30" t="n">
        <v>0</v>
      </c>
      <c r="M30" t="n">
        <v>12</v>
      </c>
      <c r="N30"/>
      <c r="O30"/>
      <c r="P30"/>
      <c r="Q30" t="n">
        <v>12</v>
      </c>
      <c r="R30" t="s">
        <v>94</v>
      </c>
      <c r="S30" t="s">
        <v>94</v>
      </c>
      <c r="T30"/>
    </row>
    <row r="31">
      <c r="A31" t="s">
        <v>31</v>
      </c>
      <c r="B31" t="n">
        <v>1</v>
      </c>
      <c r="C31"/>
      <c r="D31"/>
      <c r="E31" t="n">
        <v>-4</v>
      </c>
      <c r="F31" t="n">
        <v>-1</v>
      </c>
      <c r="G31" t="n">
        <v>44</v>
      </c>
      <c r="H31" t="n">
        <v>12</v>
      </c>
      <c r="I31" t="s">
        <v>243</v>
      </c>
      <c r="J31" t="n">
        <v>0</v>
      </c>
      <c r="K31" t="n">
        <v>0</v>
      </c>
      <c r="L31" t="n">
        <v>0</v>
      </c>
      <c r="M31" t="n">
        <v>12</v>
      </c>
      <c r="N31"/>
      <c r="O31"/>
      <c r="P31"/>
      <c r="Q31" t="n">
        <v>12</v>
      </c>
      <c r="R31" t="s">
        <v>94</v>
      </c>
      <c r="S31" t="s">
        <v>94</v>
      </c>
      <c r="T31"/>
    </row>
    <row r="32">
      <c r="A32" t="s">
        <v>31</v>
      </c>
      <c r="B32" t="n">
        <v>1</v>
      </c>
      <c r="C32" t="n">
        <v>1</v>
      </c>
      <c r="D32" t="n">
        <v>1</v>
      </c>
      <c r="E32" t="n">
        <v>-7.75</v>
      </c>
      <c r="F32" t="n">
        <v>-0.5</v>
      </c>
      <c r="G32" t="n">
        <v>82</v>
      </c>
      <c r="H32" t="n">
        <v>12</v>
      </c>
      <c r="I32" t="s">
        <v>243</v>
      </c>
      <c r="J32" t="n">
        <v>0</v>
      </c>
      <c r="K32" t="n">
        <v>0</v>
      </c>
      <c r="L32" t="n">
        <v>0</v>
      </c>
      <c r="M32" t="n">
        <v>12</v>
      </c>
      <c r="N32" t="n">
        <v>-0.25</v>
      </c>
      <c r="O32" t="n">
        <v>0</v>
      </c>
      <c r="P32" t="n">
        <v>129</v>
      </c>
      <c r="Q32" t="n">
        <v>12</v>
      </c>
      <c r="R32" t="s">
        <v>243</v>
      </c>
      <c r="S32" t="s">
        <v>243</v>
      </c>
      <c r="T32" t="n">
        <v>-0.25</v>
      </c>
    </row>
    <row r="33">
      <c r="A33" t="s">
        <v>31</v>
      </c>
      <c r="B33" t="n">
        <v>1.25</v>
      </c>
      <c r="C33" t="n">
        <v>1.25</v>
      </c>
      <c r="D33" t="n">
        <v>1.25</v>
      </c>
      <c r="E33" t="n">
        <v>-5</v>
      </c>
      <c r="F33" t="n">
        <v>-0.75</v>
      </c>
      <c r="G33" t="n">
        <v>168</v>
      </c>
      <c r="H33" t="n">
        <v>12</v>
      </c>
      <c r="I33" t="s">
        <v>244</v>
      </c>
      <c r="J33" t="n">
        <v>0</v>
      </c>
      <c r="K33" t="n">
        <v>0</v>
      </c>
      <c r="L33" t="n">
        <v>0</v>
      </c>
      <c r="M33" t="n">
        <v>12</v>
      </c>
      <c r="N33" t="n">
        <v>0</v>
      </c>
      <c r="O33" t="n">
        <v>-0.25</v>
      </c>
      <c r="P33" t="n">
        <v>54</v>
      </c>
      <c r="Q33" t="n">
        <v>12</v>
      </c>
      <c r="R33" t="s">
        <v>244</v>
      </c>
      <c r="S33" t="s">
        <v>244</v>
      </c>
      <c r="T33" t="n">
        <v>-0.125</v>
      </c>
    </row>
    <row r="34">
      <c r="A34" t="s">
        <v>31</v>
      </c>
      <c r="B34" t="n">
        <v>1.25</v>
      </c>
      <c r="C34" t="n">
        <v>1.25</v>
      </c>
      <c r="D34" t="n">
        <v>1.25</v>
      </c>
      <c r="E34" t="n">
        <v>-3.25</v>
      </c>
      <c r="F34" t="n">
        <v>-0.75</v>
      </c>
      <c r="G34" t="n">
        <v>16</v>
      </c>
      <c r="H34" t="n">
        <v>12</v>
      </c>
      <c r="I34" t="s">
        <v>244</v>
      </c>
      <c r="J34" t="n">
        <v>0</v>
      </c>
      <c r="K34" t="n">
        <v>0</v>
      </c>
      <c r="L34" t="n">
        <v>0</v>
      </c>
      <c r="M34" t="n">
        <v>12</v>
      </c>
      <c r="N34" t="n">
        <v>-0.25</v>
      </c>
      <c r="O34" t="n">
        <v>-0.25</v>
      </c>
      <c r="P34" t="n">
        <v>137</v>
      </c>
      <c r="Q34" t="n">
        <v>12</v>
      </c>
      <c r="R34" t="s">
        <v>244</v>
      </c>
      <c r="S34" t="s">
        <v>244</v>
      </c>
      <c r="T34" t="n">
        <v>-0.375</v>
      </c>
    </row>
    <row r="35">
      <c r="A35" t="s">
        <v>31</v>
      </c>
      <c r="B35" t="n">
        <v>0.8</v>
      </c>
      <c r="C35"/>
      <c r="D35"/>
      <c r="E35" t="n">
        <v>-4.5</v>
      </c>
      <c r="F35" t="n">
        <v>-1.25</v>
      </c>
      <c r="G35" t="n">
        <v>158</v>
      </c>
      <c r="H35" t="n">
        <v>12</v>
      </c>
      <c r="I35" t="s">
        <v>242</v>
      </c>
      <c r="J35" t="n">
        <v>0</v>
      </c>
      <c r="K35" t="n">
        <v>0</v>
      </c>
      <c r="L35" t="n">
        <v>0</v>
      </c>
      <c r="M35" t="n">
        <v>12</v>
      </c>
      <c r="N35"/>
      <c r="O35"/>
      <c r="P35"/>
      <c r="Q35" t="n">
        <v>12</v>
      </c>
      <c r="R35" t="s">
        <v>94</v>
      </c>
      <c r="S35" t="s">
        <v>94</v>
      </c>
      <c r="T35"/>
    </row>
    <row r="36">
      <c r="A36" t="s">
        <v>31</v>
      </c>
      <c r="B36" t="n">
        <v>1</v>
      </c>
      <c r="C36" t="n">
        <v>1.25</v>
      </c>
      <c r="D36" t="n">
        <v>1.25</v>
      </c>
      <c r="E36" t="n">
        <v>-6.5</v>
      </c>
      <c r="F36" t="n">
        <v>-0.5</v>
      </c>
      <c r="G36" t="n">
        <v>10</v>
      </c>
      <c r="H36" t="n">
        <v>12</v>
      </c>
      <c r="I36" t="s">
        <v>243</v>
      </c>
      <c r="J36" t="n">
        <v>0</v>
      </c>
      <c r="K36" t="n">
        <v>0</v>
      </c>
      <c r="L36" t="n">
        <v>0</v>
      </c>
      <c r="M36" t="n">
        <v>12</v>
      </c>
      <c r="N36" t="n">
        <v>0</v>
      </c>
      <c r="O36" t="n">
        <v>-0.25</v>
      </c>
      <c r="P36" t="n">
        <v>155</v>
      </c>
      <c r="Q36" t="n">
        <v>12</v>
      </c>
      <c r="R36" t="s">
        <v>244</v>
      </c>
      <c r="S36" t="s">
        <v>244</v>
      </c>
      <c r="T36" t="n">
        <v>-0.125</v>
      </c>
    </row>
    <row r="37">
      <c r="A37" t="s">
        <v>31</v>
      </c>
      <c r="B37" t="n">
        <v>1</v>
      </c>
      <c r="C37" t="n">
        <v>1.25</v>
      </c>
      <c r="D37" t="n">
        <v>1.25</v>
      </c>
      <c r="E37" t="n">
        <v>-5.75</v>
      </c>
      <c r="F37" t="n">
        <v>-0.5</v>
      </c>
      <c r="G37" t="n">
        <v>154</v>
      </c>
      <c r="H37" t="n">
        <v>12</v>
      </c>
      <c r="I37" t="s">
        <v>243</v>
      </c>
      <c r="J37" t="n">
        <v>0</v>
      </c>
      <c r="K37" t="n">
        <v>0</v>
      </c>
      <c r="L37" t="n">
        <v>0</v>
      </c>
      <c r="M37" t="n">
        <v>12</v>
      </c>
      <c r="N37" t="n">
        <v>0.25</v>
      </c>
      <c r="O37" t="n">
        <v>-0.25</v>
      </c>
      <c r="P37" t="n">
        <v>30</v>
      </c>
      <c r="Q37" t="n">
        <v>12</v>
      </c>
      <c r="R37" t="s">
        <v>244</v>
      </c>
      <c r="S37" t="s">
        <v>244</v>
      </c>
      <c r="T37" t="n">
        <v>0.125</v>
      </c>
    </row>
    <row r="38">
      <c r="A38" t="s">
        <v>31</v>
      </c>
      <c r="B38" t="n">
        <v>1.25</v>
      </c>
      <c r="C38"/>
      <c r="D38"/>
      <c r="E38" t="n">
        <v>-2.75</v>
      </c>
      <c r="F38" t="n">
        <v>-0.75</v>
      </c>
      <c r="G38" t="n">
        <v>157</v>
      </c>
      <c r="H38" t="n">
        <v>12</v>
      </c>
      <c r="I38" t="s">
        <v>244</v>
      </c>
      <c r="J38" t="n">
        <v>0</v>
      </c>
      <c r="K38" t="n">
        <v>0</v>
      </c>
      <c r="L38" t="n">
        <v>0</v>
      </c>
      <c r="M38" t="n">
        <v>12</v>
      </c>
      <c r="N38"/>
      <c r="O38"/>
      <c r="P38"/>
      <c r="Q38" t="n">
        <v>12</v>
      </c>
      <c r="R38" t="s">
        <v>94</v>
      </c>
      <c r="S38" t="s">
        <v>94</v>
      </c>
      <c r="T38"/>
    </row>
    <row r="39">
      <c r="A39" t="s">
        <v>31</v>
      </c>
      <c r="B39" t="n">
        <v>1.25</v>
      </c>
      <c r="C39"/>
      <c r="D39"/>
      <c r="E39" t="n">
        <v>-3.75</v>
      </c>
      <c r="F39" t="n">
        <v>-0.5</v>
      </c>
      <c r="G39" t="n">
        <v>20</v>
      </c>
      <c r="H39" t="n">
        <v>12</v>
      </c>
      <c r="I39" t="s">
        <v>244</v>
      </c>
      <c r="J39" t="n">
        <v>0</v>
      </c>
      <c r="K39" t="n">
        <v>0</v>
      </c>
      <c r="L39" t="n">
        <v>0</v>
      </c>
      <c r="M39" t="n">
        <v>12</v>
      </c>
      <c r="N39"/>
      <c r="O39"/>
      <c r="P39"/>
      <c r="Q39" t="n">
        <v>12</v>
      </c>
      <c r="R39" t="s">
        <v>94</v>
      </c>
      <c r="S39" t="s">
        <v>94</v>
      </c>
      <c r="T39"/>
    </row>
    <row r="40">
      <c r="A40" t="s">
        <v>31</v>
      </c>
      <c r="B40" t="n">
        <v>1</v>
      </c>
      <c r="C40" t="n">
        <v>1</v>
      </c>
      <c r="D40" t="n">
        <v>1</v>
      </c>
      <c r="E40" t="n">
        <v>-5.75</v>
      </c>
      <c r="F40" t="n">
        <v>-0.5</v>
      </c>
      <c r="G40" t="n">
        <v>8</v>
      </c>
      <c r="H40" t="n">
        <v>12</v>
      </c>
      <c r="I40" t="s">
        <v>243</v>
      </c>
      <c r="J40" t="n">
        <v>0</v>
      </c>
      <c r="K40" t="n">
        <v>0</v>
      </c>
      <c r="L40" t="n">
        <v>0</v>
      </c>
      <c r="M40" t="n">
        <v>12</v>
      </c>
      <c r="N40" t="n">
        <v>0.5</v>
      </c>
      <c r="O40" t="n">
        <v>-0.25</v>
      </c>
      <c r="P40" t="n">
        <v>167</v>
      </c>
      <c r="Q40" t="n">
        <v>12</v>
      </c>
      <c r="R40" t="s">
        <v>243</v>
      </c>
      <c r="S40" t="s">
        <v>243</v>
      </c>
      <c r="T40" t="n">
        <v>0.375</v>
      </c>
    </row>
    <row r="41">
      <c r="A41" t="s">
        <v>31</v>
      </c>
      <c r="B41" t="n">
        <v>1</v>
      </c>
      <c r="C41" t="n">
        <v>1</v>
      </c>
      <c r="D41" t="n">
        <v>1.25</v>
      </c>
      <c r="E41" t="n">
        <v>-6.5</v>
      </c>
      <c r="F41" t="n">
        <v>-0.25</v>
      </c>
      <c r="G41" t="n">
        <v>175</v>
      </c>
      <c r="H41" t="n">
        <v>12</v>
      </c>
      <c r="I41" t="s">
        <v>243</v>
      </c>
      <c r="J41" t="n">
        <v>0</v>
      </c>
      <c r="K41" t="n">
        <v>0</v>
      </c>
      <c r="L41" t="n">
        <v>0</v>
      </c>
      <c r="M41" t="n">
        <v>12</v>
      </c>
      <c r="N41" t="n">
        <v>-0.75</v>
      </c>
      <c r="O41" t="n">
        <v>-0.25</v>
      </c>
      <c r="P41" t="n">
        <v>45</v>
      </c>
      <c r="Q41" t="n">
        <v>12</v>
      </c>
      <c r="R41" t="s">
        <v>244</v>
      </c>
      <c r="S41" t="s">
        <v>243</v>
      </c>
      <c r="T41" t="n">
        <v>-0.875</v>
      </c>
    </row>
    <row r="42">
      <c r="A42" t="s">
        <v>31</v>
      </c>
      <c r="B42" t="n">
        <v>1</v>
      </c>
      <c r="C42" t="n">
        <v>1.25</v>
      </c>
      <c r="D42" t="n">
        <v>1.25</v>
      </c>
      <c r="E42" t="n">
        <v>-8</v>
      </c>
      <c r="F42" t="n">
        <v>-1.25</v>
      </c>
      <c r="G42" t="n">
        <v>6</v>
      </c>
      <c r="H42" t="n">
        <v>12</v>
      </c>
      <c r="I42" t="s">
        <v>243</v>
      </c>
      <c r="J42" t="n">
        <v>0</v>
      </c>
      <c r="K42" t="n">
        <v>0</v>
      </c>
      <c r="L42" t="n">
        <v>0</v>
      </c>
      <c r="M42" t="n">
        <v>12</v>
      </c>
      <c r="N42" t="n">
        <v>0.5</v>
      </c>
      <c r="O42" t="n">
        <v>-0.75</v>
      </c>
      <c r="P42" t="n">
        <v>50</v>
      </c>
      <c r="Q42" t="n">
        <v>12</v>
      </c>
      <c r="R42" t="s">
        <v>244</v>
      </c>
      <c r="S42" t="s">
        <v>244</v>
      </c>
      <c r="T42" t="n">
        <v>0.125</v>
      </c>
    </row>
    <row r="43">
      <c r="A43" t="s">
        <v>31</v>
      </c>
      <c r="B43" t="n">
        <v>1.25</v>
      </c>
      <c r="C43" t="n">
        <v>1.25</v>
      </c>
      <c r="D43" t="n">
        <v>1.6</v>
      </c>
      <c r="E43" t="n">
        <v>-2.5</v>
      </c>
      <c r="F43" t="n">
        <v>-1.25</v>
      </c>
      <c r="G43" t="n">
        <v>98</v>
      </c>
      <c r="H43" t="n">
        <v>12</v>
      </c>
      <c r="I43" t="s">
        <v>244</v>
      </c>
      <c r="J43" t="n">
        <v>0</v>
      </c>
      <c r="K43" t="n">
        <v>0</v>
      </c>
      <c r="L43" t="n">
        <v>0</v>
      </c>
      <c r="M43" t="n">
        <v>12</v>
      </c>
      <c r="N43" t="n">
        <v>-0.5</v>
      </c>
      <c r="O43" t="n">
        <v>0</v>
      </c>
      <c r="P43" t="n">
        <v>63</v>
      </c>
      <c r="Q43" t="n">
        <v>12</v>
      </c>
      <c r="R43" t="s">
        <v>245</v>
      </c>
      <c r="S43" t="s">
        <v>244</v>
      </c>
      <c r="T43" t="n">
        <v>-0.5</v>
      </c>
    </row>
    <row r="44">
      <c r="A44" t="s">
        <v>31</v>
      </c>
      <c r="B44" t="n">
        <v>1</v>
      </c>
      <c r="C44" t="n">
        <v>0.8</v>
      </c>
      <c r="D44" t="n">
        <v>1.25</v>
      </c>
      <c r="E44" t="n">
        <v>-5.25</v>
      </c>
      <c r="F44" t="n">
        <v>-0.5</v>
      </c>
      <c r="G44" t="n">
        <v>81</v>
      </c>
      <c r="H44" t="n">
        <v>12</v>
      </c>
      <c r="I44" t="s">
        <v>243</v>
      </c>
      <c r="J44" t="n">
        <v>0</v>
      </c>
      <c r="K44" t="n">
        <v>0</v>
      </c>
      <c r="L44" t="n">
        <v>0</v>
      </c>
      <c r="M44" t="n">
        <v>12</v>
      </c>
      <c r="N44" t="n">
        <v>-0.75</v>
      </c>
      <c r="O44" t="n">
        <v>-0.25</v>
      </c>
      <c r="P44" t="n">
        <v>47</v>
      </c>
      <c r="Q44" t="n">
        <v>12</v>
      </c>
      <c r="R44" t="s">
        <v>244</v>
      </c>
      <c r="S44" t="s">
        <v>242</v>
      </c>
      <c r="T44" t="n">
        <v>-0.875</v>
      </c>
    </row>
    <row r="45">
      <c r="A45" t="s">
        <v>31</v>
      </c>
      <c r="B45" t="n">
        <v>1.25</v>
      </c>
      <c r="C45" t="n">
        <v>0.5</v>
      </c>
      <c r="D45" t="n">
        <v>1.25</v>
      </c>
      <c r="E45" t="n">
        <v>-4.25</v>
      </c>
      <c r="F45" t="n">
        <v>-0.5</v>
      </c>
      <c r="G45" t="n">
        <v>160</v>
      </c>
      <c r="H45" t="n">
        <v>12</v>
      </c>
      <c r="I45" t="s">
        <v>244</v>
      </c>
      <c r="J45" t="n">
        <v>-1</v>
      </c>
      <c r="K45" t="n">
        <v>0</v>
      </c>
      <c r="L45" t="n">
        <v>0</v>
      </c>
      <c r="M45" t="n">
        <v>12</v>
      </c>
      <c r="N45" t="n">
        <v>-1.5</v>
      </c>
      <c r="O45" t="n">
        <v>-0.25</v>
      </c>
      <c r="P45" t="n">
        <v>73</v>
      </c>
      <c r="Q45" t="n">
        <v>12</v>
      </c>
      <c r="R45" t="s">
        <v>244</v>
      </c>
      <c r="S45" t="s">
        <v>246</v>
      </c>
      <c r="T45" t="n">
        <v>-1.625</v>
      </c>
    </row>
    <row r="46">
      <c r="A46" t="s">
        <v>31</v>
      </c>
      <c r="B46" t="n">
        <v>1.25</v>
      </c>
      <c r="C46" t="n">
        <v>1.25</v>
      </c>
      <c r="D46" t="n">
        <v>1.25</v>
      </c>
      <c r="E46" t="n">
        <v>-4.25</v>
      </c>
      <c r="F46" t="n">
        <v>-1</v>
      </c>
      <c r="G46" t="n">
        <v>25</v>
      </c>
      <c r="H46" t="n">
        <v>12</v>
      </c>
      <c r="I46" t="s">
        <v>244</v>
      </c>
      <c r="J46" t="n">
        <v>0</v>
      </c>
      <c r="K46" t="n">
        <v>0</v>
      </c>
      <c r="L46" t="n">
        <v>0</v>
      </c>
      <c r="M46" t="n">
        <v>12</v>
      </c>
      <c r="N46" t="n">
        <v>0</v>
      </c>
      <c r="O46" t="n">
        <v>-0.5</v>
      </c>
      <c r="P46" t="n">
        <v>117</v>
      </c>
      <c r="Q46" t="n">
        <v>12</v>
      </c>
      <c r="R46" t="s">
        <v>244</v>
      </c>
      <c r="S46" t="s">
        <v>244</v>
      </c>
      <c r="T46" t="n">
        <v>-0.25</v>
      </c>
    </row>
    <row r="47">
      <c r="A47" t="s">
        <v>31</v>
      </c>
      <c r="B47" t="n">
        <v>1.25</v>
      </c>
      <c r="C47" t="n">
        <v>1.25</v>
      </c>
      <c r="D47" t="n">
        <v>1.6</v>
      </c>
      <c r="E47" t="n">
        <v>-0.5</v>
      </c>
      <c r="F47" t="n">
        <v>-0.75</v>
      </c>
      <c r="G47" t="n">
        <v>125</v>
      </c>
      <c r="H47" t="n">
        <v>12</v>
      </c>
      <c r="I47" t="s">
        <v>244</v>
      </c>
      <c r="J47" t="n">
        <v>0</v>
      </c>
      <c r="K47" t="n">
        <v>0</v>
      </c>
      <c r="L47" t="n">
        <v>0</v>
      </c>
      <c r="M47" t="n">
        <v>12</v>
      </c>
      <c r="N47" t="n">
        <v>0.25</v>
      </c>
      <c r="O47" t="n">
        <v>-0.5</v>
      </c>
      <c r="P47" t="n">
        <v>96</v>
      </c>
      <c r="Q47" t="n">
        <v>12</v>
      </c>
      <c r="R47" t="s">
        <v>245</v>
      </c>
      <c r="S47" t="s">
        <v>244</v>
      </c>
      <c r="T47" t="n">
        <v>0</v>
      </c>
    </row>
    <row r="48">
      <c r="A48" t="s">
        <v>31</v>
      </c>
      <c r="B48" t="n">
        <v>1.6</v>
      </c>
      <c r="C48" t="n">
        <v>1.6</v>
      </c>
      <c r="D48" t="n">
        <v>1.6</v>
      </c>
      <c r="E48" t="n">
        <v>-1.25</v>
      </c>
      <c r="F48" t="n">
        <v>-0.5</v>
      </c>
      <c r="G48" t="n">
        <v>69</v>
      </c>
      <c r="H48" t="n">
        <v>12</v>
      </c>
      <c r="I48" t="s">
        <v>245</v>
      </c>
      <c r="J48" t="n">
        <v>0</v>
      </c>
      <c r="K48" t="n">
        <v>0</v>
      </c>
      <c r="L48" t="n">
        <v>0</v>
      </c>
      <c r="M48" t="n">
        <v>12</v>
      </c>
      <c r="N48" t="n">
        <v>0.25</v>
      </c>
      <c r="O48" t="n">
        <v>0</v>
      </c>
      <c r="P48" t="n">
        <v>66</v>
      </c>
      <c r="Q48" t="n">
        <v>12</v>
      </c>
      <c r="R48" t="s">
        <v>245</v>
      </c>
      <c r="S48" t="s">
        <v>245</v>
      </c>
      <c r="T48" t="n">
        <v>0.25</v>
      </c>
    </row>
    <row r="49">
      <c r="A49" t="s">
        <v>31</v>
      </c>
      <c r="B49" t="n">
        <v>1</v>
      </c>
      <c r="C49" t="n">
        <v>1</v>
      </c>
      <c r="D49" t="n">
        <v>1.25</v>
      </c>
      <c r="E49" t="n">
        <v>-3.75</v>
      </c>
      <c r="F49" t="n">
        <v>-1.75</v>
      </c>
      <c r="G49" t="n">
        <v>6</v>
      </c>
      <c r="H49" t="n">
        <v>12</v>
      </c>
      <c r="I49" t="s">
        <v>243</v>
      </c>
      <c r="J49" t="n">
        <v>0</v>
      </c>
      <c r="K49" t="n">
        <v>0</v>
      </c>
      <c r="L49" t="n">
        <v>0</v>
      </c>
      <c r="M49" t="n">
        <v>12</v>
      </c>
      <c r="N49" t="n">
        <v>-0.5</v>
      </c>
      <c r="O49" t="n">
        <v>-0.25</v>
      </c>
      <c r="P49" t="n">
        <v>112</v>
      </c>
      <c r="Q49" t="n">
        <v>12</v>
      </c>
      <c r="R49" t="s">
        <v>244</v>
      </c>
      <c r="S49" t="s">
        <v>243</v>
      </c>
      <c r="T49" t="n">
        <v>-0.625</v>
      </c>
    </row>
    <row r="50">
      <c r="A50" t="s">
        <v>31</v>
      </c>
      <c r="B50" t="n">
        <v>1</v>
      </c>
      <c r="C50" t="n">
        <v>0.5</v>
      </c>
      <c r="D50" t="n">
        <v>1</v>
      </c>
      <c r="E50" t="n">
        <v>-3.75</v>
      </c>
      <c r="F50" t="n">
        <v>-1.25</v>
      </c>
      <c r="G50" t="n">
        <v>8</v>
      </c>
      <c r="H50" t="n">
        <v>12</v>
      </c>
      <c r="I50" t="s">
        <v>243</v>
      </c>
      <c r="J50" t="n">
        <v>-0.5</v>
      </c>
      <c r="K50" t="n">
        <v>0</v>
      </c>
      <c r="L50" t="n">
        <v>0</v>
      </c>
      <c r="M50" t="n">
        <v>12</v>
      </c>
      <c r="N50" t="n">
        <v>-0.75</v>
      </c>
      <c r="O50" t="n">
        <v>-0.5</v>
      </c>
      <c r="P50" t="n">
        <v>126</v>
      </c>
      <c r="Q50" t="n">
        <v>12</v>
      </c>
      <c r="R50" t="s">
        <v>243</v>
      </c>
      <c r="S50" t="s">
        <v>246</v>
      </c>
      <c r="T50" t="n">
        <v>-1</v>
      </c>
    </row>
    <row r="51">
      <c r="A51" t="s">
        <v>31</v>
      </c>
      <c r="B51" t="n">
        <v>1</v>
      </c>
      <c r="C51" t="n">
        <v>1</v>
      </c>
      <c r="D51" t="n">
        <v>1.25</v>
      </c>
      <c r="E51" t="n">
        <v>-4.5</v>
      </c>
      <c r="F51" t="n">
        <v>-1.25</v>
      </c>
      <c r="G51" t="n">
        <v>168</v>
      </c>
      <c r="H51" t="n">
        <v>12</v>
      </c>
      <c r="I51" t="s">
        <v>243</v>
      </c>
      <c r="J51" t="n">
        <v>0</v>
      </c>
      <c r="K51" t="n">
        <v>0</v>
      </c>
      <c r="L51" t="n">
        <v>0</v>
      </c>
      <c r="M51" t="n">
        <v>12</v>
      </c>
      <c r="N51" t="n">
        <v>-0.5</v>
      </c>
      <c r="O51" t="n">
        <v>-0.25</v>
      </c>
      <c r="P51" t="n">
        <v>15</v>
      </c>
      <c r="Q51" t="n">
        <v>12</v>
      </c>
      <c r="R51" t="s">
        <v>244</v>
      </c>
      <c r="S51" t="s">
        <v>243</v>
      </c>
      <c r="T51" t="n">
        <v>-0.625</v>
      </c>
    </row>
    <row r="52">
      <c r="A52" t="s">
        <v>31</v>
      </c>
      <c r="B52" t="n">
        <v>1</v>
      </c>
      <c r="C52"/>
      <c r="D52" t="n">
        <v>1</v>
      </c>
      <c r="E52" t="n">
        <v>-3.25</v>
      </c>
      <c r="F52" t="n">
        <v>-1.5</v>
      </c>
      <c r="G52" t="n">
        <v>177</v>
      </c>
      <c r="H52" t="n">
        <v>12</v>
      </c>
      <c r="I52" t="s">
        <v>243</v>
      </c>
      <c r="J52" t="n">
        <v>0</v>
      </c>
      <c r="K52" t="n">
        <v>0</v>
      </c>
      <c r="L52" t="n">
        <v>0</v>
      </c>
      <c r="M52" t="n">
        <v>12</v>
      </c>
      <c r="N52" t="n">
        <v>0.25</v>
      </c>
      <c r="O52" t="n">
        <v>-0.25</v>
      </c>
      <c r="P52" t="n">
        <v>129</v>
      </c>
      <c r="Q52" t="n">
        <v>12</v>
      </c>
      <c r="R52" t="s">
        <v>243</v>
      </c>
      <c r="S52" t="s">
        <v>94</v>
      </c>
      <c r="T52" t="n">
        <v>0.125</v>
      </c>
    </row>
    <row r="53">
      <c r="A53" t="s">
        <v>31</v>
      </c>
      <c r="B53" t="n">
        <v>1.25</v>
      </c>
      <c r="C53" t="n">
        <v>1</v>
      </c>
      <c r="D53" t="n">
        <v>1</v>
      </c>
      <c r="E53" t="n">
        <v>-2.75</v>
      </c>
      <c r="F53" t="n">
        <v>-1.5</v>
      </c>
      <c r="G53" t="n">
        <v>153</v>
      </c>
      <c r="H53" t="n">
        <v>12</v>
      </c>
      <c r="I53" t="s">
        <v>244</v>
      </c>
      <c r="J53" t="n">
        <v>0</v>
      </c>
      <c r="K53" t="n">
        <v>0</v>
      </c>
      <c r="L53" t="n">
        <v>0</v>
      </c>
      <c r="M53" t="n">
        <v>12</v>
      </c>
      <c r="N53" t="n">
        <v>0.25</v>
      </c>
      <c r="O53" t="n">
        <v>-0.25</v>
      </c>
      <c r="P53" t="n">
        <v>115</v>
      </c>
      <c r="Q53" t="n">
        <v>12</v>
      </c>
      <c r="R53" t="s">
        <v>243</v>
      </c>
      <c r="S53" t="s">
        <v>243</v>
      </c>
      <c r="T53" t="n">
        <v>0.125</v>
      </c>
    </row>
    <row r="54">
      <c r="A54" t="s">
        <v>31</v>
      </c>
      <c r="B54" t="n">
        <v>1</v>
      </c>
      <c r="C54" t="n">
        <v>0.8</v>
      </c>
      <c r="D54" t="n">
        <v>1</v>
      </c>
      <c r="E54" t="n">
        <v>-5.75</v>
      </c>
      <c r="F54" t="n">
        <v>-0.5</v>
      </c>
      <c r="G54" t="n">
        <v>140</v>
      </c>
      <c r="H54" t="n">
        <v>12</v>
      </c>
      <c r="I54" t="s">
        <v>243</v>
      </c>
      <c r="J54" t="n">
        <v>0</v>
      </c>
      <c r="K54" t="n">
        <v>0</v>
      </c>
      <c r="L54" t="n">
        <v>0</v>
      </c>
      <c r="M54" t="n">
        <v>12</v>
      </c>
      <c r="N54" t="n">
        <v>-0.5</v>
      </c>
      <c r="O54" t="n">
        <v>0</v>
      </c>
      <c r="P54" t="n">
        <v>150</v>
      </c>
      <c r="Q54" t="n">
        <v>12</v>
      </c>
      <c r="R54" t="s">
        <v>243</v>
      </c>
      <c r="S54" t="s">
        <v>242</v>
      </c>
      <c r="T54" t="n">
        <v>-0.5</v>
      </c>
    </row>
    <row r="55">
      <c r="A55" t="s">
        <v>31</v>
      </c>
      <c r="B55" t="n">
        <v>1</v>
      </c>
      <c r="C55" t="n">
        <v>0.5</v>
      </c>
      <c r="D55" t="n">
        <v>0.8</v>
      </c>
      <c r="E55" t="n">
        <v>-5.5</v>
      </c>
      <c r="F55" t="n">
        <v>-0.75</v>
      </c>
      <c r="G55" t="n">
        <v>41</v>
      </c>
      <c r="H55" t="n">
        <v>12</v>
      </c>
      <c r="I55" t="s">
        <v>243</v>
      </c>
      <c r="J55" t="n">
        <v>0</v>
      </c>
      <c r="K55" t="n">
        <v>0</v>
      </c>
      <c r="L55" t="n">
        <v>0</v>
      </c>
      <c r="M55" t="n">
        <v>12</v>
      </c>
      <c r="N55" t="n">
        <v>-0.75</v>
      </c>
      <c r="O55" t="n">
        <v>0</v>
      </c>
      <c r="P55" t="n">
        <v>140</v>
      </c>
      <c r="Q55" t="n">
        <v>12</v>
      </c>
      <c r="R55" t="s">
        <v>242</v>
      </c>
      <c r="S55" t="s">
        <v>246</v>
      </c>
      <c r="T55" t="n">
        <v>-0.75</v>
      </c>
    </row>
    <row r="56">
      <c r="A56" t="s">
        <v>31</v>
      </c>
      <c r="B56" t="n">
        <v>1.25</v>
      </c>
      <c r="C56" t="n">
        <v>1.25</v>
      </c>
      <c r="D56" t="n">
        <v>1.25</v>
      </c>
      <c r="E56" t="n">
        <v>-2.75</v>
      </c>
      <c r="F56" t="n">
        <v>-1.25</v>
      </c>
      <c r="G56" t="n">
        <v>2</v>
      </c>
      <c r="H56" t="n">
        <v>12</v>
      </c>
      <c r="I56" t="s">
        <v>244</v>
      </c>
      <c r="J56" t="n">
        <v>0</v>
      </c>
      <c r="K56" t="n">
        <v>0</v>
      </c>
      <c r="L56" t="n">
        <v>0</v>
      </c>
      <c r="M56" t="n">
        <v>12</v>
      </c>
      <c r="N56" t="n">
        <v>0</v>
      </c>
      <c r="O56" t="n">
        <v>-0.25</v>
      </c>
      <c r="P56" t="n">
        <v>58</v>
      </c>
      <c r="Q56" t="n">
        <v>12</v>
      </c>
      <c r="R56" t="s">
        <v>244</v>
      </c>
      <c r="S56" t="s">
        <v>244</v>
      </c>
      <c r="T56" t="n">
        <v>-0.125</v>
      </c>
    </row>
    <row r="57">
      <c r="A57" t="s">
        <v>31</v>
      </c>
      <c r="B57" t="n">
        <v>1.25</v>
      </c>
      <c r="C57" t="n">
        <v>1.25</v>
      </c>
      <c r="D57" t="n">
        <v>1.6</v>
      </c>
      <c r="E57" t="n">
        <v>-2.75</v>
      </c>
      <c r="F57" t="n">
        <v>-1.5</v>
      </c>
      <c r="G57" t="n">
        <v>165</v>
      </c>
      <c r="H57" t="n">
        <v>12</v>
      </c>
      <c r="I57" t="s">
        <v>244</v>
      </c>
      <c r="J57" t="n">
        <v>0</v>
      </c>
      <c r="K57" t="n">
        <v>0</v>
      </c>
      <c r="L57" t="n">
        <v>0</v>
      </c>
      <c r="M57" t="n">
        <v>12</v>
      </c>
      <c r="N57" t="n">
        <v>-0.25</v>
      </c>
      <c r="O57" t="n">
        <v>-0.25</v>
      </c>
      <c r="P57" t="n">
        <v>166</v>
      </c>
      <c r="Q57" t="n">
        <v>12</v>
      </c>
      <c r="R57" t="s">
        <v>245</v>
      </c>
      <c r="S57" t="s">
        <v>244</v>
      </c>
      <c r="T57" t="n">
        <v>-0.375</v>
      </c>
    </row>
    <row r="58">
      <c r="A58" t="s">
        <v>31</v>
      </c>
      <c r="B58" t="n">
        <v>1</v>
      </c>
      <c r="C58" t="n">
        <v>1</v>
      </c>
      <c r="D58" t="n">
        <v>1</v>
      </c>
      <c r="E58" t="n">
        <v>-3.5</v>
      </c>
      <c r="F58" t="n">
        <v>-0.25</v>
      </c>
      <c r="G58" t="n">
        <v>90</v>
      </c>
      <c r="H58" t="n">
        <v>12</v>
      </c>
      <c r="I58" t="s">
        <v>243</v>
      </c>
      <c r="J58" t="n">
        <v>0</v>
      </c>
      <c r="K58" t="n">
        <v>0</v>
      </c>
      <c r="L58" t="n">
        <v>0</v>
      </c>
      <c r="M58" t="n">
        <v>12</v>
      </c>
      <c r="N58" t="n">
        <v>0.25</v>
      </c>
      <c r="O58" t="n">
        <v>-0.25</v>
      </c>
      <c r="P58" t="n">
        <v>147</v>
      </c>
      <c r="Q58" t="n">
        <v>12</v>
      </c>
      <c r="R58" t="s">
        <v>243</v>
      </c>
      <c r="S58" t="s">
        <v>243</v>
      </c>
      <c r="T58" t="n">
        <v>0.125</v>
      </c>
    </row>
    <row r="59">
      <c r="A59" t="s">
        <v>31</v>
      </c>
      <c r="B59" t="n">
        <v>1.25</v>
      </c>
      <c r="C59" t="n">
        <v>1.25</v>
      </c>
      <c r="D59" t="n">
        <v>1.25</v>
      </c>
      <c r="E59" t="n">
        <v>-0.25</v>
      </c>
      <c r="F59" t="n">
        <v>-0.5</v>
      </c>
      <c r="G59" t="n">
        <v>165</v>
      </c>
      <c r="H59" t="n">
        <v>12</v>
      </c>
      <c r="I59" t="s">
        <v>244</v>
      </c>
      <c r="J59" t="n">
        <v>0</v>
      </c>
      <c r="K59" t="n">
        <v>0</v>
      </c>
      <c r="L59" t="n">
        <v>0</v>
      </c>
      <c r="M59" t="n">
        <v>12</v>
      </c>
      <c r="N59" t="n">
        <v>0</v>
      </c>
      <c r="O59" t="n">
        <v>-0.25</v>
      </c>
      <c r="P59" t="n">
        <v>155</v>
      </c>
      <c r="Q59" t="n">
        <v>12</v>
      </c>
      <c r="R59" t="s">
        <v>244</v>
      </c>
      <c r="S59" t="s">
        <v>244</v>
      </c>
      <c r="T59" t="n">
        <v>-0.125</v>
      </c>
    </row>
    <row r="60">
      <c r="A60" t="s">
        <v>31</v>
      </c>
      <c r="B60" t="n">
        <v>1</v>
      </c>
      <c r="C60" t="n">
        <v>1</v>
      </c>
      <c r="D60" t="n">
        <v>1</v>
      </c>
      <c r="E60" t="n">
        <v>-6.5</v>
      </c>
      <c r="F60" t="n">
        <v>-1.25</v>
      </c>
      <c r="G60" t="n">
        <v>5</v>
      </c>
      <c r="H60" t="n">
        <v>12</v>
      </c>
      <c r="I60" t="s">
        <v>243</v>
      </c>
      <c r="J60" t="n">
        <v>0</v>
      </c>
      <c r="K60" t="n">
        <v>0</v>
      </c>
      <c r="L60" t="n">
        <v>0</v>
      </c>
      <c r="M60" t="n">
        <v>12</v>
      </c>
      <c r="N60" t="n">
        <v>-0.25</v>
      </c>
      <c r="O60" t="n">
        <v>-0.25</v>
      </c>
      <c r="P60" t="n">
        <v>135</v>
      </c>
      <c r="Q60" t="n">
        <v>12</v>
      </c>
      <c r="R60" t="s">
        <v>243</v>
      </c>
      <c r="S60" t="s">
        <v>243</v>
      </c>
      <c r="T60" t="n">
        <v>-0.375</v>
      </c>
    </row>
    <row r="61">
      <c r="A61" t="s">
        <v>31</v>
      </c>
      <c r="B61" t="n">
        <v>1.25</v>
      </c>
      <c r="C61" t="n">
        <v>1.25</v>
      </c>
      <c r="D61" t="n">
        <v>1.25</v>
      </c>
      <c r="E61" t="n">
        <v>-1</v>
      </c>
      <c r="F61" t="n">
        <v>-0.75</v>
      </c>
      <c r="G61" t="n">
        <v>21</v>
      </c>
      <c r="H61" t="n">
        <v>12</v>
      </c>
      <c r="I61" t="s">
        <v>244</v>
      </c>
      <c r="J61" t="n">
        <v>0</v>
      </c>
      <c r="K61" t="n">
        <v>0</v>
      </c>
      <c r="L61" t="n">
        <v>0</v>
      </c>
      <c r="M61" t="n">
        <v>12</v>
      </c>
      <c r="N61" t="n">
        <v>0.25</v>
      </c>
      <c r="O61" t="n">
        <v>0</v>
      </c>
      <c r="P61" t="n">
        <v>180</v>
      </c>
      <c r="Q61" t="n">
        <v>12</v>
      </c>
      <c r="R61" t="s">
        <v>244</v>
      </c>
      <c r="S61" t="s">
        <v>244</v>
      </c>
      <c r="T61" t="n">
        <v>0.25</v>
      </c>
    </row>
    <row r="62">
      <c r="A62" t="s">
        <v>31</v>
      </c>
      <c r="B62" t="n">
        <v>1</v>
      </c>
      <c r="C62" t="n">
        <v>1</v>
      </c>
      <c r="D62" t="n">
        <v>1</v>
      </c>
      <c r="E62" t="n">
        <v>-0.75</v>
      </c>
      <c r="F62" t="n">
        <v>-0.5</v>
      </c>
      <c r="G62" t="n">
        <v>166</v>
      </c>
      <c r="H62" t="n">
        <v>12</v>
      </c>
      <c r="I62" t="s">
        <v>243</v>
      </c>
      <c r="J62" t="n">
        <v>0</v>
      </c>
      <c r="K62" t="n">
        <v>0</v>
      </c>
      <c r="L62" t="n">
        <v>0</v>
      </c>
      <c r="M62" t="n">
        <v>12</v>
      </c>
      <c r="N62" t="n">
        <v>0.5</v>
      </c>
      <c r="O62" t="n">
        <v>-0.25</v>
      </c>
      <c r="P62" t="n">
        <v>26</v>
      </c>
      <c r="Q62" t="n">
        <v>12</v>
      </c>
      <c r="R62" t="s">
        <v>243</v>
      </c>
      <c r="S62" t="s">
        <v>243</v>
      </c>
      <c r="T62" t="n">
        <v>0.375</v>
      </c>
    </row>
    <row r="63">
      <c r="A63" t="s">
        <v>31</v>
      </c>
      <c r="B63" t="n">
        <v>1.25</v>
      </c>
      <c r="C63" t="n">
        <v>1.25</v>
      </c>
      <c r="D63" t="n">
        <v>1.25</v>
      </c>
      <c r="E63" t="n">
        <v>-0.25</v>
      </c>
      <c r="F63" t="n">
        <v>-0.75</v>
      </c>
      <c r="G63" t="n">
        <v>43</v>
      </c>
      <c r="H63" t="n">
        <v>12</v>
      </c>
      <c r="I63" t="s">
        <v>244</v>
      </c>
      <c r="J63" t="n">
        <v>0</v>
      </c>
      <c r="K63" t="n">
        <v>0</v>
      </c>
      <c r="L63" t="n">
        <v>0</v>
      </c>
      <c r="M63" t="n">
        <v>12</v>
      </c>
      <c r="N63" t="n">
        <v>-0.25</v>
      </c>
      <c r="O63" t="n">
        <v>-0.25</v>
      </c>
      <c r="P63" t="n">
        <v>180</v>
      </c>
      <c r="Q63" t="n">
        <v>12</v>
      </c>
      <c r="R63" t="s">
        <v>244</v>
      </c>
      <c r="S63" t="s">
        <v>244</v>
      </c>
      <c r="T63" t="n">
        <v>-0.375</v>
      </c>
    </row>
    <row r="64">
      <c r="A64" t="s">
        <v>31</v>
      </c>
      <c r="B64" t="n">
        <v>1.25</v>
      </c>
      <c r="C64" t="n">
        <v>1.25</v>
      </c>
      <c r="D64" t="n">
        <v>1.25</v>
      </c>
      <c r="E64" t="n">
        <v>-1.5</v>
      </c>
      <c r="F64" t="n">
        <v>-0.5</v>
      </c>
      <c r="G64" t="n">
        <v>141</v>
      </c>
      <c r="H64" t="n">
        <v>12</v>
      </c>
      <c r="I64" t="s">
        <v>244</v>
      </c>
      <c r="J64" t="n">
        <v>0</v>
      </c>
      <c r="K64" t="n">
        <v>0</v>
      </c>
      <c r="L64" t="n">
        <v>0</v>
      </c>
      <c r="M64" t="n">
        <v>12</v>
      </c>
      <c r="N64" t="n">
        <v>0</v>
      </c>
      <c r="O64" t="n">
        <v>0</v>
      </c>
      <c r="P64" t="n">
        <v>162</v>
      </c>
      <c r="Q64" t="n">
        <v>12</v>
      </c>
      <c r="R64" t="s">
        <v>244</v>
      </c>
      <c r="S64" t="s">
        <v>244</v>
      </c>
      <c r="T64" t="n">
        <v>0</v>
      </c>
    </row>
    <row r="65">
      <c r="A65" t="s">
        <v>31</v>
      </c>
      <c r="B65" t="n">
        <v>1</v>
      </c>
      <c r="C65" t="n">
        <v>0.5</v>
      </c>
      <c r="D65" t="n">
        <v>1</v>
      </c>
      <c r="E65" t="n">
        <v>-6.75</v>
      </c>
      <c r="F65" t="n">
        <v>-0.75</v>
      </c>
      <c r="G65" t="n">
        <v>163</v>
      </c>
      <c r="H65" t="n">
        <v>12</v>
      </c>
      <c r="I65" t="s">
        <v>243</v>
      </c>
      <c r="J65" t="n">
        <v>0</v>
      </c>
      <c r="K65" t="n">
        <v>0</v>
      </c>
      <c r="L65" t="n">
        <v>0</v>
      </c>
      <c r="M65" t="n">
        <v>12</v>
      </c>
      <c r="N65" t="n">
        <v>-1</v>
      </c>
      <c r="O65" t="n">
        <v>-0.25</v>
      </c>
      <c r="P65" t="n">
        <v>153</v>
      </c>
      <c r="Q65" t="n">
        <v>12</v>
      </c>
      <c r="R65" t="s">
        <v>243</v>
      </c>
      <c r="S65" t="s">
        <v>246</v>
      </c>
      <c r="T65" t="n">
        <v>-1.125</v>
      </c>
    </row>
    <row r="66">
      <c r="A66" t="s">
        <v>31</v>
      </c>
      <c r="B66" t="n">
        <v>1</v>
      </c>
      <c r="C66" t="n">
        <v>0.63</v>
      </c>
      <c r="D66" t="n">
        <v>1</v>
      </c>
      <c r="E66" t="n">
        <v>-6.5</v>
      </c>
      <c r="F66" t="n">
        <v>-0.75</v>
      </c>
      <c r="G66" t="n">
        <v>5</v>
      </c>
      <c r="H66" t="n">
        <v>12</v>
      </c>
      <c r="I66" t="s">
        <v>243</v>
      </c>
      <c r="J66" t="n">
        <v>0</v>
      </c>
      <c r="K66" t="n">
        <v>0</v>
      </c>
      <c r="L66" t="n">
        <v>0</v>
      </c>
      <c r="M66" t="n">
        <v>12</v>
      </c>
      <c r="N66" t="n">
        <v>-0.5</v>
      </c>
      <c r="O66" t="n">
        <v>-0.25</v>
      </c>
      <c r="P66" t="n">
        <v>162</v>
      </c>
      <c r="Q66" t="n">
        <v>12</v>
      </c>
      <c r="R66" t="s">
        <v>243</v>
      </c>
      <c r="S66" t="s">
        <v>247</v>
      </c>
      <c r="T66" t="n">
        <v>-0.625</v>
      </c>
    </row>
    <row r="67">
      <c r="A67" t="s">
        <v>31</v>
      </c>
      <c r="B67" t="n">
        <v>1</v>
      </c>
      <c r="C67" t="n">
        <v>1</v>
      </c>
      <c r="D67" t="n">
        <v>1</v>
      </c>
      <c r="E67" t="n">
        <v>-6</v>
      </c>
      <c r="F67" t="n">
        <v>-1.5</v>
      </c>
      <c r="G67" t="n">
        <v>124</v>
      </c>
      <c r="H67" t="n">
        <v>12</v>
      </c>
      <c r="I67" t="s">
        <v>243</v>
      </c>
      <c r="J67" t="n">
        <v>0</v>
      </c>
      <c r="K67" t="n">
        <v>0</v>
      </c>
      <c r="L67" t="n">
        <v>0</v>
      </c>
      <c r="M67" t="n">
        <v>12</v>
      </c>
      <c r="N67" t="n">
        <v>0</v>
      </c>
      <c r="O67" t="n">
        <v>-0.5</v>
      </c>
      <c r="P67" t="n">
        <v>105</v>
      </c>
      <c r="Q67" t="n">
        <v>12</v>
      </c>
      <c r="R67" t="s">
        <v>243</v>
      </c>
      <c r="S67" t="s">
        <v>243</v>
      </c>
      <c r="T67" t="n">
        <v>-0.25</v>
      </c>
    </row>
    <row r="68">
      <c r="A68" t="s">
        <v>31</v>
      </c>
      <c r="B68" t="n">
        <v>1</v>
      </c>
      <c r="C68" t="n">
        <v>1</v>
      </c>
      <c r="D68" t="n">
        <v>1.25</v>
      </c>
      <c r="E68" t="n">
        <v>-5</v>
      </c>
      <c r="F68" t="n">
        <v>-1</v>
      </c>
      <c r="G68" t="n">
        <v>55</v>
      </c>
      <c r="H68" t="n">
        <v>12</v>
      </c>
      <c r="I68" t="s">
        <v>243</v>
      </c>
      <c r="J68" t="n">
        <v>0</v>
      </c>
      <c r="K68" t="n">
        <v>0</v>
      </c>
      <c r="L68" t="n">
        <v>0</v>
      </c>
      <c r="M68" t="n">
        <v>12</v>
      </c>
      <c r="N68" t="n">
        <v>-0.5</v>
      </c>
      <c r="O68" t="n">
        <v>-0.25</v>
      </c>
      <c r="P68" t="n">
        <v>58</v>
      </c>
      <c r="Q68" t="n">
        <v>12</v>
      </c>
      <c r="R68" t="s">
        <v>244</v>
      </c>
      <c r="S68" t="s">
        <v>243</v>
      </c>
      <c r="T68" t="n">
        <v>-0.625</v>
      </c>
    </row>
    <row r="69">
      <c r="A69" t="s">
        <v>31</v>
      </c>
      <c r="B69" t="n">
        <v>1</v>
      </c>
      <c r="C69" t="n">
        <v>0.63</v>
      </c>
      <c r="D69" t="n">
        <v>1.25</v>
      </c>
      <c r="E69" t="n">
        <v>-2.5</v>
      </c>
      <c r="F69" t="n">
        <v>-0.25</v>
      </c>
      <c r="G69" t="n">
        <v>4</v>
      </c>
      <c r="H69" t="n">
        <v>12</v>
      </c>
      <c r="I69" t="s">
        <v>243</v>
      </c>
      <c r="J69" t="n">
        <v>0</v>
      </c>
      <c r="K69" t="n">
        <v>0</v>
      </c>
      <c r="L69" t="n">
        <v>0</v>
      </c>
      <c r="M69" t="n">
        <v>12</v>
      </c>
      <c r="N69" t="n">
        <v>-1</v>
      </c>
      <c r="O69" t="n">
        <v>0</v>
      </c>
      <c r="P69" t="n">
        <v>154</v>
      </c>
      <c r="Q69" t="n">
        <v>12</v>
      </c>
      <c r="R69" t="s">
        <v>244</v>
      </c>
      <c r="S69" t="s">
        <v>247</v>
      </c>
      <c r="T69" t="n">
        <v>-1</v>
      </c>
    </row>
    <row r="70">
      <c r="A70" t="s">
        <v>31</v>
      </c>
      <c r="B70" t="n">
        <v>1</v>
      </c>
      <c r="C70" t="n">
        <v>0.8</v>
      </c>
      <c r="D70" t="n">
        <v>1.6</v>
      </c>
      <c r="E70" t="n">
        <v>-7.5</v>
      </c>
      <c r="F70" t="n">
        <v>-0.75</v>
      </c>
      <c r="G70" t="n">
        <v>129</v>
      </c>
      <c r="H70" t="n">
        <v>12</v>
      </c>
      <c r="I70" t="s">
        <v>243</v>
      </c>
      <c r="J70" t="n">
        <v>-1</v>
      </c>
      <c r="K70" t="n">
        <v>0</v>
      </c>
      <c r="L70" t="n">
        <v>0</v>
      </c>
      <c r="M70" t="n">
        <v>12</v>
      </c>
      <c r="N70" t="n">
        <v>-1</v>
      </c>
      <c r="O70" t="n">
        <v>-0.25</v>
      </c>
      <c r="P70" t="n">
        <v>99</v>
      </c>
      <c r="Q70" t="n">
        <v>12</v>
      </c>
      <c r="R70" t="s">
        <v>245</v>
      </c>
      <c r="S70" t="s">
        <v>242</v>
      </c>
      <c r="T70" t="n">
        <v>-1.125</v>
      </c>
    </row>
    <row r="71">
      <c r="A71" t="s">
        <v>31</v>
      </c>
      <c r="B71" t="n">
        <v>1</v>
      </c>
      <c r="C71" t="n">
        <v>1.6</v>
      </c>
      <c r="D71" t="n">
        <v>1.6</v>
      </c>
      <c r="E71" t="n">
        <v>-7.5</v>
      </c>
      <c r="F71" t="n">
        <v>-0.75</v>
      </c>
      <c r="G71" t="n">
        <v>64</v>
      </c>
      <c r="H71" t="n">
        <v>12</v>
      </c>
      <c r="I71" t="s">
        <v>243</v>
      </c>
      <c r="J71" t="n">
        <v>0</v>
      </c>
      <c r="K71" t="n">
        <v>0</v>
      </c>
      <c r="L71" t="n">
        <v>0</v>
      </c>
      <c r="M71" t="n">
        <v>12</v>
      </c>
      <c r="N71" t="n">
        <v>-0.25</v>
      </c>
      <c r="O71" t="n">
        <v>-0.25</v>
      </c>
      <c r="P71" t="n">
        <v>67</v>
      </c>
      <c r="Q71" t="n">
        <v>12</v>
      </c>
      <c r="R71" t="s">
        <v>245</v>
      </c>
      <c r="S71" t="s">
        <v>245</v>
      </c>
      <c r="T71" t="n">
        <v>-0.375</v>
      </c>
    </row>
    <row r="72">
      <c r="A72" t="s">
        <v>31</v>
      </c>
      <c r="B72" t="n">
        <v>1</v>
      </c>
      <c r="C72" t="n">
        <v>0.63</v>
      </c>
      <c r="D72" t="n">
        <v>1</v>
      </c>
      <c r="E72" t="n">
        <v>-4</v>
      </c>
      <c r="F72" t="n">
        <v>-1.5</v>
      </c>
      <c r="G72" t="n">
        <v>160</v>
      </c>
      <c r="H72" t="n">
        <v>12</v>
      </c>
      <c r="I72" t="s">
        <v>243</v>
      </c>
      <c r="J72" t="n">
        <v>0</v>
      </c>
      <c r="K72" t="n">
        <v>0</v>
      </c>
      <c r="L72" t="n">
        <v>0</v>
      </c>
      <c r="M72" t="n">
        <v>12</v>
      </c>
      <c r="N72" t="n">
        <v>-0.5</v>
      </c>
      <c r="O72" t="n">
        <v>-0.25</v>
      </c>
      <c r="P72" t="n">
        <v>2</v>
      </c>
      <c r="Q72" t="n">
        <v>12</v>
      </c>
      <c r="R72" t="s">
        <v>243</v>
      </c>
      <c r="S72" t="s">
        <v>247</v>
      </c>
      <c r="T72" t="n">
        <v>-0.625</v>
      </c>
    </row>
    <row r="73">
      <c r="A73" t="s">
        <v>31</v>
      </c>
      <c r="B73" t="n">
        <v>1.25</v>
      </c>
      <c r="C73" t="n">
        <v>1</v>
      </c>
      <c r="D73" t="n">
        <v>1.25</v>
      </c>
      <c r="E73" t="n">
        <v>-5.5</v>
      </c>
      <c r="F73" t="n">
        <v>-0.5</v>
      </c>
      <c r="G73" t="n">
        <v>11</v>
      </c>
      <c r="H73" t="n">
        <v>12</v>
      </c>
      <c r="I73" t="s">
        <v>244</v>
      </c>
      <c r="J73" t="n">
        <v>0</v>
      </c>
      <c r="K73" t="n">
        <v>0</v>
      </c>
      <c r="L73" t="n">
        <v>0</v>
      </c>
      <c r="M73" t="n">
        <v>12</v>
      </c>
      <c r="N73" t="n">
        <v>0</v>
      </c>
      <c r="O73" t="n">
        <v>-0.25</v>
      </c>
      <c r="P73" t="n">
        <v>64</v>
      </c>
      <c r="Q73" t="n">
        <v>12</v>
      </c>
      <c r="R73" t="s">
        <v>244</v>
      </c>
      <c r="S73" t="s">
        <v>243</v>
      </c>
      <c r="T73" t="n">
        <v>-0.125</v>
      </c>
    </row>
    <row r="74">
      <c r="A74" t="s">
        <v>31</v>
      </c>
      <c r="B74" t="n">
        <v>0.8</v>
      </c>
      <c r="C74" t="n">
        <v>0.8</v>
      </c>
      <c r="D74" t="n">
        <v>1</v>
      </c>
      <c r="E74" t="n">
        <v>-5.5</v>
      </c>
      <c r="F74" t="n">
        <v>-0.25</v>
      </c>
      <c r="G74" t="n">
        <v>96</v>
      </c>
      <c r="H74" t="n">
        <v>12</v>
      </c>
      <c r="I74" t="s">
        <v>242</v>
      </c>
      <c r="J74" t="n">
        <v>0</v>
      </c>
      <c r="K74" t="n">
        <v>0</v>
      </c>
      <c r="L74" t="n">
        <v>0</v>
      </c>
      <c r="M74" t="n">
        <v>12</v>
      </c>
      <c r="N74" t="n">
        <v>-0.5</v>
      </c>
      <c r="O74" t="n">
        <v>0</v>
      </c>
      <c r="P74" t="n">
        <v>62</v>
      </c>
      <c r="Q74" t="n">
        <v>12</v>
      </c>
      <c r="R74" t="s">
        <v>243</v>
      </c>
      <c r="S74" t="s">
        <v>242</v>
      </c>
      <c r="T74" t="n">
        <v>-0.5</v>
      </c>
    </row>
    <row r="75">
      <c r="A75" t="s">
        <v>31</v>
      </c>
      <c r="B75" t="n">
        <v>1</v>
      </c>
      <c r="C75" t="n">
        <v>0.8</v>
      </c>
      <c r="D75" t="n">
        <v>0.8</v>
      </c>
      <c r="E75" t="n">
        <v>-2.25</v>
      </c>
      <c r="F75" t="n">
        <v>-0.25</v>
      </c>
      <c r="G75" t="n">
        <v>1</v>
      </c>
      <c r="H75" t="n">
        <v>12</v>
      </c>
      <c r="I75" t="s">
        <v>243</v>
      </c>
      <c r="J75" t="n">
        <v>0</v>
      </c>
      <c r="K75" t="n">
        <v>0</v>
      </c>
      <c r="L75" t="n">
        <v>0</v>
      </c>
      <c r="M75" t="n">
        <v>12</v>
      </c>
      <c r="N75" t="n">
        <v>0</v>
      </c>
      <c r="O75" t="n">
        <v>-0.25</v>
      </c>
      <c r="P75" t="n">
        <v>107</v>
      </c>
      <c r="Q75" t="n">
        <v>12</v>
      </c>
      <c r="R75" t="s">
        <v>242</v>
      </c>
      <c r="S75" t="s">
        <v>242</v>
      </c>
      <c r="T75" t="n">
        <v>-0.125</v>
      </c>
    </row>
    <row r="76">
      <c r="A76" t="s">
        <v>31</v>
      </c>
      <c r="B76" t="n">
        <v>1</v>
      </c>
      <c r="C76" t="n">
        <v>1</v>
      </c>
      <c r="D76" t="n">
        <v>1</v>
      </c>
      <c r="E76" t="n">
        <v>-4.5</v>
      </c>
      <c r="F76" t="n">
        <v>-0.5</v>
      </c>
      <c r="G76" t="n">
        <v>175</v>
      </c>
      <c r="H76" t="n">
        <v>12</v>
      </c>
      <c r="I76" t="s">
        <v>243</v>
      </c>
      <c r="J76" t="n">
        <v>0</v>
      </c>
      <c r="K76" t="n">
        <v>0</v>
      </c>
      <c r="L76" t="n">
        <v>0</v>
      </c>
      <c r="M76" t="n">
        <v>12</v>
      </c>
      <c r="N76" t="n">
        <v>0</v>
      </c>
      <c r="O76" t="n">
        <v>-0.25</v>
      </c>
      <c r="P76" t="n">
        <v>7</v>
      </c>
      <c r="Q76" t="n">
        <v>12</v>
      </c>
      <c r="R76" t="s">
        <v>243</v>
      </c>
      <c r="S76" t="s">
        <v>243</v>
      </c>
      <c r="T76" t="n">
        <v>-0.125</v>
      </c>
    </row>
    <row r="77">
      <c r="A77" t="s">
        <v>31</v>
      </c>
      <c r="B77" t="n">
        <v>1.25</v>
      </c>
      <c r="C77" t="n">
        <v>1.25</v>
      </c>
      <c r="D77" t="n">
        <v>1.25</v>
      </c>
      <c r="E77" t="n">
        <v>-6.25</v>
      </c>
      <c r="F77" t="n">
        <v>-0.25</v>
      </c>
      <c r="G77" t="n">
        <v>2</v>
      </c>
      <c r="H77" t="n">
        <v>12</v>
      </c>
      <c r="I77" t="s">
        <v>244</v>
      </c>
      <c r="J77" t="n">
        <v>0</v>
      </c>
      <c r="K77" t="n">
        <v>0</v>
      </c>
      <c r="L77" t="n">
        <v>0</v>
      </c>
      <c r="M77" t="n">
        <v>12</v>
      </c>
      <c r="N77" t="n">
        <v>0.25</v>
      </c>
      <c r="O77" t="n">
        <v>-0.25</v>
      </c>
      <c r="P77" t="n">
        <v>176</v>
      </c>
      <c r="Q77" t="n">
        <v>12</v>
      </c>
      <c r="R77" t="s">
        <v>244</v>
      </c>
      <c r="S77" t="s">
        <v>244</v>
      </c>
      <c r="T77" t="n">
        <v>0.125</v>
      </c>
    </row>
    <row r="78">
      <c r="A78" t="s">
        <v>31</v>
      </c>
      <c r="B78" t="n">
        <v>1.25</v>
      </c>
      <c r="C78" t="n">
        <v>1.25</v>
      </c>
      <c r="D78" t="n">
        <v>1.6</v>
      </c>
      <c r="E78" t="n">
        <v>-8</v>
      </c>
      <c r="F78" t="n">
        <v>-0.75</v>
      </c>
      <c r="G78" t="n">
        <v>94</v>
      </c>
      <c r="H78" t="n">
        <v>12</v>
      </c>
      <c r="I78" t="s">
        <v>244</v>
      </c>
      <c r="J78" t="n">
        <v>0</v>
      </c>
      <c r="K78" t="n">
        <v>0</v>
      </c>
      <c r="L78" t="n">
        <v>0</v>
      </c>
      <c r="M78" t="n">
        <v>12</v>
      </c>
      <c r="N78" t="n">
        <v>-0.5</v>
      </c>
      <c r="O78" t="n">
        <v>-0.25</v>
      </c>
      <c r="P78" t="n">
        <v>132</v>
      </c>
      <c r="Q78" t="n">
        <v>12</v>
      </c>
      <c r="R78" t="s">
        <v>245</v>
      </c>
      <c r="S78" t="s">
        <v>244</v>
      </c>
      <c r="T78" t="n">
        <v>-0.625</v>
      </c>
    </row>
    <row r="79">
      <c r="A79" t="s">
        <v>31</v>
      </c>
      <c r="B79" t="n">
        <v>1.25</v>
      </c>
      <c r="C79" t="n">
        <v>1.6</v>
      </c>
      <c r="D79" t="n">
        <v>1.6</v>
      </c>
      <c r="E79" t="n">
        <v>-7.5</v>
      </c>
      <c r="F79" t="n">
        <v>-1</v>
      </c>
      <c r="G79" t="n">
        <v>75</v>
      </c>
      <c r="H79" t="n">
        <v>12</v>
      </c>
      <c r="I79" t="s">
        <v>244</v>
      </c>
      <c r="J79" t="n">
        <v>0</v>
      </c>
      <c r="K79" t="n">
        <v>0</v>
      </c>
      <c r="L79" t="n">
        <v>0</v>
      </c>
      <c r="M79" t="n">
        <v>12</v>
      </c>
      <c r="N79" t="n">
        <v>0</v>
      </c>
      <c r="O79" t="n">
        <v>-0.25</v>
      </c>
      <c r="P79" t="n">
        <v>31</v>
      </c>
      <c r="Q79" t="n">
        <v>12</v>
      </c>
      <c r="R79" t="s">
        <v>245</v>
      </c>
      <c r="S79" t="s">
        <v>245</v>
      </c>
      <c r="T79" t="n">
        <v>-0.125</v>
      </c>
    </row>
    <row r="80">
      <c r="A80" t="s">
        <v>31</v>
      </c>
      <c r="B80" t="n">
        <v>1</v>
      </c>
      <c r="C80" t="n">
        <v>1</v>
      </c>
      <c r="D80" t="n">
        <v>1</v>
      </c>
      <c r="E80" t="n">
        <v>-4.75</v>
      </c>
      <c r="F80" t="n">
        <v>-0.75</v>
      </c>
      <c r="G80" t="n">
        <v>93</v>
      </c>
      <c r="H80" t="n">
        <v>12</v>
      </c>
      <c r="I80" t="s">
        <v>243</v>
      </c>
      <c r="J80" t="n">
        <v>0</v>
      </c>
      <c r="K80" t="n">
        <v>0</v>
      </c>
      <c r="L80" t="n">
        <v>0</v>
      </c>
      <c r="M80" t="n">
        <v>12</v>
      </c>
      <c r="N80" t="n">
        <v>0.25</v>
      </c>
      <c r="O80" t="n">
        <v>-0.25</v>
      </c>
      <c r="P80" t="n">
        <v>111</v>
      </c>
      <c r="Q80" t="n">
        <v>12</v>
      </c>
      <c r="R80" t="s">
        <v>243</v>
      </c>
      <c r="S80" t="s">
        <v>243</v>
      </c>
      <c r="T80" t="n">
        <v>0.125</v>
      </c>
    </row>
    <row r="81">
      <c r="A81" t="s">
        <v>31</v>
      </c>
      <c r="B81" t="n">
        <v>1</v>
      </c>
      <c r="C81" t="n">
        <v>0.8</v>
      </c>
      <c r="D81" t="n">
        <v>0.8</v>
      </c>
      <c r="E81" t="n">
        <v>-5.5</v>
      </c>
      <c r="F81" t="n">
        <v>-0.5</v>
      </c>
      <c r="G81" t="n">
        <v>80</v>
      </c>
      <c r="H81" t="n">
        <v>12</v>
      </c>
      <c r="I81" t="s">
        <v>243</v>
      </c>
      <c r="J81" t="n">
        <v>-0.5</v>
      </c>
      <c r="K81" t="n">
        <v>0</v>
      </c>
      <c r="L81" t="n">
        <v>0</v>
      </c>
      <c r="M81" t="n">
        <v>12</v>
      </c>
      <c r="N81" t="n">
        <v>-0.25</v>
      </c>
      <c r="O81" t="n">
        <v>-0.25</v>
      </c>
      <c r="P81" t="n">
        <v>83</v>
      </c>
      <c r="Q81" t="n">
        <v>12</v>
      </c>
      <c r="R81" t="s">
        <v>242</v>
      </c>
      <c r="S81" t="s">
        <v>242</v>
      </c>
      <c r="T81" t="n">
        <v>-0.375</v>
      </c>
    </row>
    <row r="82">
      <c r="A82" t="s">
        <v>31</v>
      </c>
      <c r="B82" t="n">
        <v>1.25</v>
      </c>
      <c r="C82" t="n">
        <v>1.25</v>
      </c>
      <c r="D82" t="n">
        <v>1.25</v>
      </c>
      <c r="E82" t="n">
        <v>-1.5</v>
      </c>
      <c r="F82" t="n">
        <v>-1</v>
      </c>
      <c r="G82" t="n">
        <v>168</v>
      </c>
      <c r="H82" t="n">
        <v>12</v>
      </c>
      <c r="I82" t="s">
        <v>244</v>
      </c>
      <c r="J82" t="n">
        <v>0</v>
      </c>
      <c r="K82" t="n">
        <v>0</v>
      </c>
      <c r="L82" t="n">
        <v>0</v>
      </c>
      <c r="M82" t="n">
        <v>12</v>
      </c>
      <c r="N82" t="n">
        <v>-0.25</v>
      </c>
      <c r="O82" t="n">
        <v>-0.25</v>
      </c>
      <c r="P82" t="n">
        <v>176</v>
      </c>
      <c r="Q82" t="n">
        <v>12</v>
      </c>
      <c r="R82" t="s">
        <v>244</v>
      </c>
      <c r="S82" t="s">
        <v>244</v>
      </c>
      <c r="T82" t="n">
        <v>-0.375</v>
      </c>
    </row>
    <row r="83">
      <c r="A83" t="s">
        <v>31</v>
      </c>
      <c r="B83" t="n">
        <v>1.25</v>
      </c>
      <c r="C83" t="n">
        <v>1</v>
      </c>
      <c r="D83" t="n">
        <v>1.25</v>
      </c>
      <c r="E83" t="n">
        <v>-1.25</v>
      </c>
      <c r="F83" t="n">
        <v>-0.75</v>
      </c>
      <c r="G83" t="n">
        <v>8</v>
      </c>
      <c r="H83" t="n">
        <v>12</v>
      </c>
      <c r="I83" t="s">
        <v>244</v>
      </c>
      <c r="J83" t="n">
        <v>0</v>
      </c>
      <c r="K83" t="n">
        <v>0</v>
      </c>
      <c r="L83" t="n">
        <v>0</v>
      </c>
      <c r="M83" t="n">
        <v>12</v>
      </c>
      <c r="N83" t="n">
        <v>-0.25</v>
      </c>
      <c r="O83" t="n">
        <v>-0.25</v>
      </c>
      <c r="P83" t="n">
        <v>40</v>
      </c>
      <c r="Q83" t="n">
        <v>12</v>
      </c>
      <c r="R83" t="s">
        <v>244</v>
      </c>
      <c r="S83" t="s">
        <v>243</v>
      </c>
      <c r="T83" t="n">
        <v>-0.375</v>
      </c>
    </row>
    <row r="84">
      <c r="A84" t="s">
        <v>31</v>
      </c>
      <c r="B84" t="n">
        <v>1</v>
      </c>
      <c r="C84" t="n">
        <v>1</v>
      </c>
      <c r="D84" t="n">
        <v>1.6</v>
      </c>
      <c r="E84" t="n">
        <v>-7.5</v>
      </c>
      <c r="F84" t="n">
        <v>-1.25</v>
      </c>
      <c r="G84" t="n">
        <v>6</v>
      </c>
      <c r="H84" t="n">
        <v>12</v>
      </c>
      <c r="I84" t="s">
        <v>243</v>
      </c>
      <c r="J84" t="n">
        <v>0</v>
      </c>
      <c r="K84" t="n">
        <v>0</v>
      </c>
      <c r="L84" t="n">
        <v>0</v>
      </c>
      <c r="M84" t="n">
        <v>12</v>
      </c>
      <c r="N84" t="n">
        <v>-0.75</v>
      </c>
      <c r="O84" t="n">
        <v>-0.25</v>
      </c>
      <c r="P84" t="n">
        <v>125</v>
      </c>
      <c r="Q84" t="n">
        <v>12</v>
      </c>
      <c r="R84" t="s">
        <v>245</v>
      </c>
      <c r="S84" t="s">
        <v>243</v>
      </c>
      <c r="T84" t="n">
        <v>-0.875</v>
      </c>
    </row>
    <row r="85">
      <c r="A85" t="s">
        <v>31</v>
      </c>
      <c r="B85" t="n">
        <v>1.25</v>
      </c>
      <c r="C85" t="n">
        <v>1</v>
      </c>
      <c r="D85" t="n">
        <v>1.6</v>
      </c>
      <c r="E85" t="n">
        <v>-6.25</v>
      </c>
      <c r="F85" t="n">
        <v>-0.25</v>
      </c>
      <c r="G85" t="n">
        <v>64</v>
      </c>
      <c r="H85" t="n">
        <v>12</v>
      </c>
      <c r="I85" t="s">
        <v>244</v>
      </c>
      <c r="J85" t="n">
        <v>0</v>
      </c>
      <c r="K85" t="n">
        <v>0</v>
      </c>
      <c r="L85" t="n">
        <v>0</v>
      </c>
      <c r="M85" t="n">
        <v>12</v>
      </c>
      <c r="N85" t="n">
        <v>-0.75</v>
      </c>
      <c r="O85" t="n">
        <v>-0.25</v>
      </c>
      <c r="P85" t="n">
        <v>31</v>
      </c>
      <c r="Q85" t="n">
        <v>12</v>
      </c>
      <c r="R85" t="s">
        <v>245</v>
      </c>
      <c r="S85" t="s">
        <v>243</v>
      </c>
      <c r="T85" t="n">
        <v>-0.875</v>
      </c>
    </row>
    <row r="86">
      <c r="A86" t="s">
        <v>31</v>
      </c>
      <c r="B86" t="n">
        <v>1.25</v>
      </c>
      <c r="C86" t="n">
        <v>1.25</v>
      </c>
      <c r="D86" t="n">
        <v>1.6</v>
      </c>
      <c r="E86" t="n">
        <v>-6.5</v>
      </c>
      <c r="F86" t="n">
        <v>-1</v>
      </c>
      <c r="G86" t="n">
        <v>127</v>
      </c>
      <c r="H86" t="n">
        <v>12</v>
      </c>
      <c r="I86" t="s">
        <v>244</v>
      </c>
      <c r="J86" t="n">
        <v>0</v>
      </c>
      <c r="K86" t="n">
        <v>0</v>
      </c>
      <c r="L86" t="n">
        <v>0</v>
      </c>
      <c r="M86" t="n">
        <v>12</v>
      </c>
      <c r="N86" t="n">
        <v>-0.25</v>
      </c>
      <c r="O86" t="n">
        <v>-0.5</v>
      </c>
      <c r="P86" t="n">
        <v>150</v>
      </c>
      <c r="Q86" t="n">
        <v>12</v>
      </c>
      <c r="R86" t="s">
        <v>245</v>
      </c>
      <c r="S86" t="s">
        <v>244</v>
      </c>
      <c r="T86" t="n">
        <v>-0.5</v>
      </c>
    </row>
    <row r="87">
      <c r="A87" t="s">
        <v>31</v>
      </c>
      <c r="B87" t="n">
        <v>1</v>
      </c>
      <c r="C87" t="n">
        <v>0.63</v>
      </c>
      <c r="D87" t="n">
        <v>1</v>
      </c>
      <c r="E87" t="n">
        <v>-4.75</v>
      </c>
      <c r="F87" t="n">
        <v>-0.25</v>
      </c>
      <c r="G87" t="n">
        <v>172</v>
      </c>
      <c r="H87" t="n">
        <v>12</v>
      </c>
      <c r="I87" t="s">
        <v>243</v>
      </c>
      <c r="J87" t="n">
        <v>0</v>
      </c>
      <c r="K87" t="n">
        <v>0</v>
      </c>
      <c r="L87" t="n">
        <v>0</v>
      </c>
      <c r="M87" t="n">
        <v>12</v>
      </c>
      <c r="N87" t="n">
        <v>-0.75</v>
      </c>
      <c r="O87" t="n">
        <v>-0.25</v>
      </c>
      <c r="P87" t="n">
        <v>135</v>
      </c>
      <c r="Q87" t="n">
        <v>12</v>
      </c>
      <c r="R87" t="s">
        <v>243</v>
      </c>
      <c r="S87" t="s">
        <v>247</v>
      </c>
      <c r="T87" t="n">
        <v>-0.875</v>
      </c>
    </row>
    <row r="88">
      <c r="A88" t="s">
        <v>31</v>
      </c>
      <c r="B88" t="n">
        <v>1</v>
      </c>
      <c r="C88" t="n">
        <v>1</v>
      </c>
      <c r="D88" t="n">
        <v>1</v>
      </c>
      <c r="E88" t="n">
        <v>-5</v>
      </c>
      <c r="F88" t="n">
        <v>-0.5</v>
      </c>
      <c r="G88" t="n">
        <v>3</v>
      </c>
      <c r="H88" t="n">
        <v>12</v>
      </c>
      <c r="I88" t="s">
        <v>243</v>
      </c>
      <c r="J88" t="n">
        <v>0</v>
      </c>
      <c r="K88" t="n">
        <v>0</v>
      </c>
      <c r="L88" t="n">
        <v>0</v>
      </c>
      <c r="M88" t="n">
        <v>12</v>
      </c>
      <c r="N88" t="n">
        <v>-0.5</v>
      </c>
      <c r="O88" t="n">
        <v>-0.25</v>
      </c>
      <c r="P88" t="n">
        <v>32</v>
      </c>
      <c r="Q88" t="n">
        <v>12</v>
      </c>
      <c r="R88" t="s">
        <v>243</v>
      </c>
      <c r="S88" t="s">
        <v>243</v>
      </c>
      <c r="T88" t="n">
        <v>-0.625</v>
      </c>
    </row>
    <row r="89">
      <c r="A89" t="s">
        <v>31</v>
      </c>
      <c r="B89" t="n">
        <v>1</v>
      </c>
      <c r="C89" t="n">
        <v>1</v>
      </c>
      <c r="D89" t="n">
        <v>1</v>
      </c>
      <c r="E89" t="n">
        <v>-2.5</v>
      </c>
      <c r="F89" t="n">
        <v>-1</v>
      </c>
      <c r="G89" t="n">
        <v>14</v>
      </c>
      <c r="H89" t="n">
        <v>12</v>
      </c>
      <c r="I89" t="s">
        <v>243</v>
      </c>
      <c r="J89" t="n">
        <v>0</v>
      </c>
      <c r="K89" t="n">
        <v>0</v>
      </c>
      <c r="L89" t="n">
        <v>0</v>
      </c>
      <c r="M89" t="n">
        <v>12</v>
      </c>
      <c r="N89" t="n">
        <v>-0.25</v>
      </c>
      <c r="O89" t="n">
        <v>0</v>
      </c>
      <c r="P89" t="n">
        <v>171</v>
      </c>
      <c r="Q89" t="n">
        <v>12</v>
      </c>
      <c r="R89" t="s">
        <v>243</v>
      </c>
      <c r="S89" t="s">
        <v>243</v>
      </c>
      <c r="T89" t="n">
        <v>-0.25</v>
      </c>
    </row>
    <row r="90">
      <c r="A90" t="s">
        <v>31</v>
      </c>
      <c r="B90" t="n">
        <v>1</v>
      </c>
      <c r="C90" t="n">
        <v>1</v>
      </c>
      <c r="D90" t="n">
        <v>1</v>
      </c>
      <c r="E90" t="n">
        <v>-7</v>
      </c>
      <c r="F90" t="n">
        <v>-0.25</v>
      </c>
      <c r="G90" t="n">
        <v>9</v>
      </c>
      <c r="H90" t="n">
        <v>12</v>
      </c>
      <c r="I90" t="s">
        <v>243</v>
      </c>
      <c r="J90" t="n">
        <v>0</v>
      </c>
      <c r="K90" t="n">
        <v>0</v>
      </c>
      <c r="L90" t="n">
        <v>0</v>
      </c>
      <c r="M90" t="n">
        <v>12</v>
      </c>
      <c r="N90" t="n">
        <v>0</v>
      </c>
      <c r="O90" t="n">
        <v>0</v>
      </c>
      <c r="P90" t="n">
        <v>114</v>
      </c>
      <c r="Q90" t="n">
        <v>12</v>
      </c>
      <c r="R90" t="s">
        <v>243</v>
      </c>
      <c r="S90" t="s">
        <v>243</v>
      </c>
      <c r="T90" t="n">
        <v>0</v>
      </c>
    </row>
    <row r="91">
      <c r="A91" t="s">
        <v>31</v>
      </c>
      <c r="B91" t="n">
        <v>1</v>
      </c>
      <c r="C91" t="n">
        <v>1</v>
      </c>
      <c r="D91" t="n">
        <v>1</v>
      </c>
      <c r="E91" t="n">
        <v>-7.25</v>
      </c>
      <c r="F91" t="n">
        <v>-0.5</v>
      </c>
      <c r="G91" t="n">
        <v>3</v>
      </c>
      <c r="H91" t="n">
        <v>12</v>
      </c>
      <c r="I91" t="s">
        <v>243</v>
      </c>
      <c r="J91" t="n">
        <v>0</v>
      </c>
      <c r="K91" t="n">
        <v>0</v>
      </c>
      <c r="L91" t="n">
        <v>0</v>
      </c>
      <c r="M91" t="n">
        <v>12</v>
      </c>
      <c r="N91" t="n">
        <v>0.25</v>
      </c>
      <c r="O91" t="n">
        <v>-0.25</v>
      </c>
      <c r="P91" t="n">
        <v>48</v>
      </c>
      <c r="Q91" t="n">
        <v>12</v>
      </c>
      <c r="R91" t="s">
        <v>243</v>
      </c>
      <c r="S91" t="s">
        <v>243</v>
      </c>
      <c r="T91" t="n">
        <v>0.125</v>
      </c>
    </row>
    <row r="92">
      <c r="A92" t="s">
        <v>31</v>
      </c>
      <c r="B92" t="n">
        <v>1</v>
      </c>
      <c r="C92" t="n">
        <v>1.25</v>
      </c>
      <c r="D92" t="n">
        <v>1.25</v>
      </c>
      <c r="E92" t="n">
        <v>-5.5</v>
      </c>
      <c r="F92" t="n">
        <v>-0.25</v>
      </c>
      <c r="G92" t="n">
        <v>21</v>
      </c>
      <c r="H92" t="n">
        <v>12</v>
      </c>
      <c r="I92" t="s">
        <v>243</v>
      </c>
      <c r="J92" t="n">
        <v>0</v>
      </c>
      <c r="K92" t="n">
        <v>0</v>
      </c>
      <c r="L92" t="n">
        <v>0</v>
      </c>
      <c r="M92" t="n">
        <v>12</v>
      </c>
      <c r="N92" t="n">
        <v>-0.25</v>
      </c>
      <c r="O92" t="n">
        <v>-0.25</v>
      </c>
      <c r="P92" t="n">
        <v>108</v>
      </c>
      <c r="Q92" t="n">
        <v>12</v>
      </c>
      <c r="R92" t="s">
        <v>244</v>
      </c>
      <c r="S92" t="s">
        <v>244</v>
      </c>
      <c r="T92" t="n">
        <v>-0.375</v>
      </c>
    </row>
    <row r="93">
      <c r="A93" t="s">
        <v>31</v>
      </c>
      <c r="B93" t="n">
        <v>1</v>
      </c>
      <c r="C93" t="n">
        <v>1</v>
      </c>
      <c r="D93" t="n">
        <v>1</v>
      </c>
      <c r="E93" t="n">
        <v>-6.75</v>
      </c>
      <c r="F93" t="n">
        <v>-0.25</v>
      </c>
      <c r="G93" t="n">
        <v>146</v>
      </c>
      <c r="H93" t="n">
        <v>12</v>
      </c>
      <c r="I93" t="s">
        <v>243</v>
      </c>
      <c r="J93" t="n">
        <v>0</v>
      </c>
      <c r="K93" t="n">
        <v>0</v>
      </c>
      <c r="L93" t="n">
        <v>0</v>
      </c>
      <c r="M93" t="n">
        <v>12</v>
      </c>
      <c r="N93" t="n">
        <v>0.25</v>
      </c>
      <c r="O93" t="n">
        <v>-0.25</v>
      </c>
      <c r="P93" t="n">
        <v>75</v>
      </c>
      <c r="Q93" t="n">
        <v>12</v>
      </c>
      <c r="R93" t="s">
        <v>243</v>
      </c>
      <c r="S93" t="s">
        <v>243</v>
      </c>
      <c r="T93" t="n">
        <v>0.125</v>
      </c>
    </row>
    <row r="94">
      <c r="A94" t="s">
        <v>31</v>
      </c>
      <c r="B94" t="n">
        <v>1</v>
      </c>
      <c r="C94" t="n">
        <v>1</v>
      </c>
      <c r="D94" t="n">
        <v>1</v>
      </c>
      <c r="E94" t="n">
        <v>-7.5</v>
      </c>
      <c r="F94" t="n">
        <v>-0.25</v>
      </c>
      <c r="G94" t="n">
        <v>180</v>
      </c>
      <c r="H94" t="n">
        <v>12</v>
      </c>
      <c r="I94" t="s">
        <v>243</v>
      </c>
      <c r="J94" t="n">
        <v>0</v>
      </c>
      <c r="K94" t="n">
        <v>0</v>
      </c>
      <c r="L94" t="n">
        <v>0</v>
      </c>
      <c r="M94" t="n">
        <v>12</v>
      </c>
      <c r="N94" t="n">
        <v>-0.75</v>
      </c>
      <c r="O94" t="n">
        <v>0</v>
      </c>
      <c r="P94" t="n">
        <v>167</v>
      </c>
      <c r="Q94" t="n">
        <v>12</v>
      </c>
      <c r="R94" t="s">
        <v>243</v>
      </c>
      <c r="S94" t="s">
        <v>243</v>
      </c>
      <c r="T94" t="n">
        <v>-0.75</v>
      </c>
    </row>
    <row r="95">
      <c r="A95" t="s">
        <v>31</v>
      </c>
      <c r="B95" t="n">
        <v>1.25</v>
      </c>
      <c r="C95" t="n">
        <v>1</v>
      </c>
      <c r="D95" t="n">
        <v>1.25</v>
      </c>
      <c r="E95" t="n">
        <v>-7.5</v>
      </c>
      <c r="F95" t="n">
        <v>-0.5</v>
      </c>
      <c r="G95" t="n">
        <v>19</v>
      </c>
      <c r="H95" t="n">
        <v>12</v>
      </c>
      <c r="I95" t="s">
        <v>244</v>
      </c>
      <c r="J95" t="n">
        <v>0</v>
      </c>
      <c r="K95" t="n">
        <v>0</v>
      </c>
      <c r="L95" t="n">
        <v>0</v>
      </c>
      <c r="M95" t="n">
        <v>12</v>
      </c>
      <c r="N95" t="n">
        <v>-0.5</v>
      </c>
      <c r="O95" t="n">
        <v>0</v>
      </c>
      <c r="P95" t="n">
        <v>163</v>
      </c>
      <c r="Q95" t="n">
        <v>12</v>
      </c>
      <c r="R95" t="s">
        <v>244</v>
      </c>
      <c r="S95" t="s">
        <v>243</v>
      </c>
      <c r="T95" t="n">
        <v>-0.5</v>
      </c>
    </row>
    <row r="96">
      <c r="A96" t="s">
        <v>31</v>
      </c>
      <c r="B96" t="n">
        <v>1.25</v>
      </c>
      <c r="C96" t="n">
        <v>1.25</v>
      </c>
      <c r="D96" t="n">
        <v>1.25</v>
      </c>
      <c r="E96" t="n">
        <v>-5</v>
      </c>
      <c r="F96" t="n">
        <v>-1</v>
      </c>
      <c r="G96" t="n">
        <v>95</v>
      </c>
      <c r="H96" t="n">
        <v>12</v>
      </c>
      <c r="I96" t="s">
        <v>244</v>
      </c>
      <c r="J96" t="n">
        <v>0</v>
      </c>
      <c r="K96" t="n">
        <v>0</v>
      </c>
      <c r="L96" t="n">
        <v>0</v>
      </c>
      <c r="M96" t="n">
        <v>12</v>
      </c>
      <c r="N96" t="n">
        <v>0</v>
      </c>
      <c r="O96" t="n">
        <v>0</v>
      </c>
      <c r="P96" t="n">
        <v>32</v>
      </c>
      <c r="Q96" t="n">
        <v>12</v>
      </c>
      <c r="R96" t="s">
        <v>244</v>
      </c>
      <c r="S96" t="s">
        <v>244</v>
      </c>
      <c r="T96" t="n">
        <v>0</v>
      </c>
    </row>
    <row r="97">
      <c r="A97" t="s">
        <v>31</v>
      </c>
      <c r="B97" t="n">
        <v>1</v>
      </c>
      <c r="C97" t="n">
        <v>1.25</v>
      </c>
      <c r="D97" t="n">
        <v>1.25</v>
      </c>
      <c r="E97" t="n">
        <v>-5.75</v>
      </c>
      <c r="F97" t="n">
        <v>-0.75</v>
      </c>
      <c r="G97" t="n">
        <v>104</v>
      </c>
      <c r="H97" t="n">
        <v>12</v>
      </c>
      <c r="I97" t="s">
        <v>243</v>
      </c>
      <c r="J97" t="n">
        <v>0</v>
      </c>
      <c r="K97" t="n">
        <v>0</v>
      </c>
      <c r="L97" t="n">
        <v>0</v>
      </c>
      <c r="M97" t="n">
        <v>12</v>
      </c>
      <c r="N97" t="n">
        <v>-0.25</v>
      </c>
      <c r="O97" t="n">
        <v>-0.25</v>
      </c>
      <c r="P97" t="n">
        <v>84</v>
      </c>
      <c r="Q97" t="n">
        <v>12</v>
      </c>
      <c r="R97" t="s">
        <v>244</v>
      </c>
      <c r="S97" t="s">
        <v>244</v>
      </c>
      <c r="T97" t="n">
        <v>-0.375</v>
      </c>
    </row>
    <row r="98">
      <c r="A98" t="s">
        <v>31</v>
      </c>
      <c r="B98" t="n">
        <v>1</v>
      </c>
      <c r="C98" t="n">
        <v>1</v>
      </c>
      <c r="D98" t="n">
        <v>1</v>
      </c>
      <c r="E98" t="n">
        <v>-6.5</v>
      </c>
      <c r="F98" t="n">
        <v>-0.5</v>
      </c>
      <c r="G98" t="n">
        <v>77</v>
      </c>
      <c r="H98" t="n">
        <v>12</v>
      </c>
      <c r="I98" t="s">
        <v>243</v>
      </c>
      <c r="J98" t="n">
        <v>0</v>
      </c>
      <c r="K98" t="n">
        <v>0</v>
      </c>
      <c r="L98" t="n">
        <v>0</v>
      </c>
      <c r="M98" t="n">
        <v>12</v>
      </c>
      <c r="N98" t="n">
        <v>0</v>
      </c>
      <c r="O98" t="n">
        <v>-0.25</v>
      </c>
      <c r="P98" t="n">
        <v>48</v>
      </c>
      <c r="Q98" t="n">
        <v>12</v>
      </c>
      <c r="R98" t="s">
        <v>243</v>
      </c>
      <c r="S98" t="s">
        <v>243</v>
      </c>
      <c r="T98" t="n">
        <v>-0.125</v>
      </c>
    </row>
    <row r="99">
      <c r="A99" t="s">
        <v>31</v>
      </c>
      <c r="B99" t="n">
        <v>1</v>
      </c>
      <c r="C99"/>
      <c r="D99"/>
      <c r="E99" t="n">
        <v>-5.5</v>
      </c>
      <c r="F99" t="n">
        <v>-0.75</v>
      </c>
      <c r="G99" t="n">
        <v>12</v>
      </c>
      <c r="H99" t="n">
        <v>12</v>
      </c>
      <c r="I99" t="s">
        <v>243</v>
      </c>
      <c r="J99" t="n">
        <v>0</v>
      </c>
      <c r="K99" t="n">
        <v>0</v>
      </c>
      <c r="L99" t="n">
        <v>0</v>
      </c>
      <c r="M99" t="n">
        <v>12</v>
      </c>
      <c r="N99"/>
      <c r="O99"/>
      <c r="P99"/>
      <c r="Q99" t="n">
        <v>12</v>
      </c>
      <c r="R99" t="s">
        <v>94</v>
      </c>
      <c r="S99" t="s">
        <v>94</v>
      </c>
      <c r="T99"/>
    </row>
    <row r="100">
      <c r="A100" t="s">
        <v>31</v>
      </c>
      <c r="B100" t="n">
        <v>1</v>
      </c>
      <c r="C100"/>
      <c r="D100"/>
      <c r="E100" t="n">
        <v>-4</v>
      </c>
      <c r="F100" t="n">
        <v>-0.75</v>
      </c>
      <c r="G100" t="n">
        <v>5</v>
      </c>
      <c r="H100" t="n">
        <v>12</v>
      </c>
      <c r="I100" t="s">
        <v>243</v>
      </c>
      <c r="J100" t="n">
        <v>0</v>
      </c>
      <c r="K100" t="n">
        <v>0</v>
      </c>
      <c r="L100" t="n">
        <v>0</v>
      </c>
      <c r="M100" t="n">
        <v>12</v>
      </c>
      <c r="N100"/>
      <c r="O100"/>
      <c r="P100"/>
      <c r="Q100" t="n">
        <v>12</v>
      </c>
      <c r="R100" t="s">
        <v>94</v>
      </c>
      <c r="S100" t="s">
        <v>94</v>
      </c>
      <c r="T10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248</v>
      </c>
      <c r="B1" t="s">
        <v>249</v>
      </c>
      <c r="C1" t="s">
        <v>250</v>
      </c>
      <c r="D1" t="s">
        <v>251</v>
      </c>
      <c r="E1" t="s">
        <v>252</v>
      </c>
    </row>
    <row r="2">
      <c r="A2" t="s">
        <v>253</v>
      </c>
      <c r="B2" t="n">
        <v>-0.5</v>
      </c>
      <c r="C2" t="n">
        <v>179</v>
      </c>
      <c r="D2" t="n">
        <v>-0.25</v>
      </c>
      <c r="E2" t="n">
        <v>66</v>
      </c>
    </row>
    <row r="3">
      <c r="A3" t="s">
        <v>254</v>
      </c>
      <c r="B3" t="n">
        <v>-1</v>
      </c>
      <c r="C3" t="n">
        <v>170</v>
      </c>
      <c r="D3" t="n">
        <v>-0.75</v>
      </c>
      <c r="E3" t="n">
        <v>131</v>
      </c>
    </row>
    <row r="4">
      <c r="A4" t="s">
        <v>253</v>
      </c>
      <c r="B4" t="n">
        <v>-0.75</v>
      </c>
      <c r="C4" t="n">
        <v>95</v>
      </c>
      <c r="D4" t="n">
        <v>-0.25</v>
      </c>
      <c r="E4" t="n">
        <v>92</v>
      </c>
    </row>
    <row r="5">
      <c r="A5" t="s">
        <v>254</v>
      </c>
      <c r="B5" t="n">
        <v>-0.5</v>
      </c>
      <c r="C5" t="n">
        <v>106</v>
      </c>
      <c r="D5" t="n">
        <v>-0.25</v>
      </c>
      <c r="E5" t="n">
        <v>123</v>
      </c>
    </row>
    <row r="6">
      <c r="A6" t="s">
        <v>253</v>
      </c>
      <c r="B6" t="n">
        <v>-0.75</v>
      </c>
      <c r="C6" t="n">
        <v>4</v>
      </c>
      <c r="D6" t="n">
        <v>-0.25</v>
      </c>
      <c r="E6" t="n">
        <v>156</v>
      </c>
    </row>
    <row r="7">
      <c r="A7" t="s">
        <v>253</v>
      </c>
      <c r="B7" t="n">
        <v>-1.75</v>
      </c>
      <c r="C7" t="n">
        <v>23</v>
      </c>
      <c r="D7" t="n">
        <v>-0.25</v>
      </c>
      <c r="E7" t="n">
        <v>66</v>
      </c>
    </row>
    <row r="8">
      <c r="A8" t="s">
        <v>254</v>
      </c>
      <c r="B8" t="n">
        <v>-1.5</v>
      </c>
      <c r="C8" t="n">
        <v>172</v>
      </c>
      <c r="D8" t="n">
        <v>-0.25</v>
      </c>
      <c r="E8" t="n">
        <v>37</v>
      </c>
    </row>
    <row r="9">
      <c r="A9" t="s">
        <v>254</v>
      </c>
      <c r="B9" t="n">
        <v>-0.5</v>
      </c>
      <c r="C9" t="n">
        <v>85</v>
      </c>
      <c r="D9" t="n">
        <v>0</v>
      </c>
      <c r="E9" t="n">
        <v>131</v>
      </c>
    </row>
    <row r="10">
      <c r="A10" t="s">
        <v>253</v>
      </c>
      <c r="B10" t="n">
        <v>-1.5</v>
      </c>
      <c r="C10" t="n">
        <v>57</v>
      </c>
      <c r="D10" t="n">
        <v>0</v>
      </c>
      <c r="E10" t="n">
        <v>84</v>
      </c>
    </row>
    <row r="11">
      <c r="A11" t="s">
        <v>254</v>
      </c>
      <c r="B11" t="n">
        <v>-1</v>
      </c>
      <c r="C11" t="n">
        <v>128</v>
      </c>
      <c r="D11" t="n">
        <v>0</v>
      </c>
      <c r="E11" t="n">
        <v>42</v>
      </c>
    </row>
    <row r="12">
      <c r="A12" t="s">
        <v>253</v>
      </c>
      <c r="B12" t="n">
        <v>-1.25</v>
      </c>
      <c r="C12" t="n">
        <v>15</v>
      </c>
      <c r="D12" t="n">
        <v>-0.5</v>
      </c>
      <c r="E12" t="n">
        <v>37</v>
      </c>
    </row>
    <row r="13">
      <c r="A13" t="s">
        <v>254</v>
      </c>
      <c r="B13" t="n">
        <v>-0.5</v>
      </c>
      <c r="C13" t="n">
        <v>6</v>
      </c>
      <c r="D13" t="n">
        <v>-0.25</v>
      </c>
      <c r="E13" t="n">
        <v>164</v>
      </c>
    </row>
    <row r="14">
      <c r="A14" t="s">
        <v>254</v>
      </c>
      <c r="B14" t="n">
        <v>-0.25</v>
      </c>
      <c r="C14" t="n">
        <v>14</v>
      </c>
      <c r="D14" t="n">
        <v>-0.25</v>
      </c>
      <c r="E14" t="n">
        <v>84</v>
      </c>
    </row>
    <row r="15">
      <c r="A15" t="s">
        <v>254</v>
      </c>
      <c r="B15" t="n">
        <v>-1.25</v>
      </c>
      <c r="C15" t="n">
        <v>2</v>
      </c>
      <c r="D15" t="n">
        <v>-0.25</v>
      </c>
      <c r="E15" t="n">
        <v>157</v>
      </c>
    </row>
    <row r="16">
      <c r="A16" t="s">
        <v>253</v>
      </c>
      <c r="B16" t="n">
        <v>-1</v>
      </c>
      <c r="C16" t="n">
        <v>167</v>
      </c>
      <c r="D16" t="n">
        <v>-0.25</v>
      </c>
      <c r="E16" t="n">
        <v>142</v>
      </c>
    </row>
    <row r="17">
      <c r="A17" t="s">
        <v>253</v>
      </c>
      <c r="B17" t="n">
        <v>-0.75</v>
      </c>
      <c r="C17" t="n">
        <v>116</v>
      </c>
      <c r="D17"/>
      <c r="E17"/>
    </row>
    <row r="18">
      <c r="A18" t="s">
        <v>254</v>
      </c>
      <c r="B18" t="n">
        <v>-1</v>
      </c>
      <c r="C18" t="n">
        <v>59</v>
      </c>
      <c r="D18"/>
      <c r="E18"/>
    </row>
    <row r="19">
      <c r="A19" t="s">
        <v>253</v>
      </c>
      <c r="B19" t="n">
        <v>-1</v>
      </c>
      <c r="C19" t="n">
        <v>101</v>
      </c>
      <c r="D19" t="n">
        <v>0</v>
      </c>
      <c r="E19" t="n">
        <v>58</v>
      </c>
    </row>
    <row r="20">
      <c r="A20" t="s">
        <v>254</v>
      </c>
      <c r="B20" t="n">
        <v>-1</v>
      </c>
      <c r="C20" t="n">
        <v>83</v>
      </c>
      <c r="D20" t="n">
        <v>-0.25</v>
      </c>
      <c r="E20" t="n">
        <v>165</v>
      </c>
    </row>
    <row r="21">
      <c r="A21" t="s">
        <v>253</v>
      </c>
      <c r="B21" t="n">
        <v>-1</v>
      </c>
      <c r="C21" t="n">
        <v>170</v>
      </c>
      <c r="D21" t="n">
        <v>-0.25</v>
      </c>
      <c r="E21" t="n">
        <v>70</v>
      </c>
    </row>
    <row r="22">
      <c r="A22" t="s">
        <v>254</v>
      </c>
      <c r="B22" t="n">
        <v>-1.25</v>
      </c>
      <c r="C22" t="n">
        <v>170</v>
      </c>
      <c r="D22" t="n">
        <v>-0.25</v>
      </c>
      <c r="E22" t="n">
        <v>108</v>
      </c>
    </row>
    <row r="23">
      <c r="A23" t="s">
        <v>253</v>
      </c>
      <c r="B23" t="n">
        <v>-1.5</v>
      </c>
      <c r="C23" t="n">
        <v>160</v>
      </c>
      <c r="D23" t="n">
        <v>-0.5</v>
      </c>
      <c r="E23" t="n">
        <v>106</v>
      </c>
    </row>
    <row r="24">
      <c r="A24" t="s">
        <v>254</v>
      </c>
      <c r="B24" t="n">
        <v>-0.5</v>
      </c>
      <c r="C24" t="n">
        <v>11</v>
      </c>
      <c r="D24" t="n">
        <v>0</v>
      </c>
      <c r="E24" t="n">
        <v>111</v>
      </c>
    </row>
    <row r="25">
      <c r="A25" t="s">
        <v>253</v>
      </c>
      <c r="B25" t="n">
        <v>-2.5</v>
      </c>
      <c r="C25" t="n">
        <v>173</v>
      </c>
      <c r="D25" t="n">
        <v>-0.25</v>
      </c>
      <c r="E25" t="n">
        <v>156</v>
      </c>
    </row>
    <row r="26">
      <c r="A26" t="s">
        <v>254</v>
      </c>
      <c r="B26" t="n">
        <v>-1.5</v>
      </c>
      <c r="C26" t="n">
        <v>4</v>
      </c>
      <c r="D26" t="n">
        <v>0</v>
      </c>
      <c r="E26" t="n">
        <v>178</v>
      </c>
    </row>
    <row r="27">
      <c r="A27" t="s">
        <v>253</v>
      </c>
      <c r="B27" t="n">
        <v>-1.25</v>
      </c>
      <c r="C27" t="n">
        <v>44</v>
      </c>
      <c r="D27" t="n">
        <v>-0.5</v>
      </c>
      <c r="E27" t="n">
        <v>4</v>
      </c>
    </row>
    <row r="28">
      <c r="A28" t="s">
        <v>254</v>
      </c>
      <c r="B28" t="n">
        <v>-0.5</v>
      </c>
      <c r="C28" t="n">
        <v>142</v>
      </c>
      <c r="D28" t="n">
        <v>-0.25</v>
      </c>
      <c r="E28" t="n">
        <v>175</v>
      </c>
    </row>
    <row r="29">
      <c r="A29" t="s">
        <v>253</v>
      </c>
      <c r="B29" t="n">
        <v>-0.5</v>
      </c>
      <c r="C29" t="n">
        <v>11</v>
      </c>
      <c r="D29" t="n">
        <v>-0.25</v>
      </c>
      <c r="E29" t="n">
        <v>120</v>
      </c>
    </row>
    <row r="30">
      <c r="A30" t="s">
        <v>254</v>
      </c>
      <c r="B30" t="n">
        <v>-0.75</v>
      </c>
      <c r="C30" t="n">
        <v>153</v>
      </c>
      <c r="D30" t="n">
        <v>-0.25</v>
      </c>
      <c r="E30" t="n">
        <v>87</v>
      </c>
    </row>
    <row r="31">
      <c r="A31" t="s">
        <v>253</v>
      </c>
      <c r="B31" t="n">
        <v>-2.25</v>
      </c>
      <c r="C31" t="n">
        <v>27</v>
      </c>
      <c r="D31" t="n">
        <v>-0.25</v>
      </c>
      <c r="E31" t="n">
        <v>178</v>
      </c>
    </row>
    <row r="32">
      <c r="A32" t="s">
        <v>254</v>
      </c>
      <c r="B32" t="n">
        <v>-2.25</v>
      </c>
      <c r="C32" t="n">
        <v>152</v>
      </c>
      <c r="D32" t="n">
        <v>-0.25</v>
      </c>
      <c r="E32" t="n">
        <v>172</v>
      </c>
    </row>
    <row r="33">
      <c r="A33" t="s">
        <v>253</v>
      </c>
      <c r="B33" t="n">
        <v>-1</v>
      </c>
      <c r="C33" t="n">
        <v>21</v>
      </c>
      <c r="D33" t="n">
        <v>-0.5</v>
      </c>
      <c r="E33" t="n">
        <v>156</v>
      </c>
    </row>
    <row r="34">
      <c r="A34" t="s">
        <v>254</v>
      </c>
      <c r="B34" t="n">
        <v>-1.75</v>
      </c>
      <c r="C34" t="n">
        <v>164</v>
      </c>
      <c r="D34" t="n">
        <v>-0.5</v>
      </c>
      <c r="E34" t="n">
        <v>24</v>
      </c>
    </row>
    <row r="35">
      <c r="A35" t="s">
        <v>253</v>
      </c>
      <c r="B35" t="n">
        <v>-0.5</v>
      </c>
      <c r="C35" t="n">
        <v>174</v>
      </c>
      <c r="D35" t="n">
        <v>0</v>
      </c>
      <c r="E35" t="n">
        <v>51</v>
      </c>
    </row>
    <row r="36">
      <c r="A36" t="s">
        <v>254</v>
      </c>
      <c r="B36" t="n">
        <v>-0.5</v>
      </c>
      <c r="C36" t="n">
        <v>2</v>
      </c>
      <c r="D36" t="n">
        <v>0</v>
      </c>
      <c r="E36" t="n">
        <v>99</v>
      </c>
    </row>
    <row r="37">
      <c r="A37" t="s">
        <v>253</v>
      </c>
      <c r="B37" t="n">
        <v>-0.5</v>
      </c>
      <c r="C37" t="n">
        <v>18</v>
      </c>
      <c r="D37" t="n">
        <v>-0.25</v>
      </c>
      <c r="E37" t="n">
        <v>37</v>
      </c>
    </row>
    <row r="38">
      <c r="A38" t="s">
        <v>254</v>
      </c>
      <c r="B38" t="n">
        <v>-0.75</v>
      </c>
      <c r="C38" t="n">
        <v>171</v>
      </c>
      <c r="D38" t="n">
        <v>-0.25</v>
      </c>
      <c r="E38" t="n">
        <v>2</v>
      </c>
    </row>
    <row r="39">
      <c r="A39" t="s">
        <v>253</v>
      </c>
      <c r="B39" t="n">
        <v>-0.25</v>
      </c>
      <c r="C39" t="n">
        <v>52</v>
      </c>
      <c r="D39" t="n">
        <v>-0.25</v>
      </c>
      <c r="E39" t="n">
        <v>144</v>
      </c>
    </row>
    <row r="40">
      <c r="A40" t="s">
        <v>254</v>
      </c>
      <c r="B40" t="n">
        <v>-0.25</v>
      </c>
      <c r="C40" t="n">
        <v>133</v>
      </c>
      <c r="D40" t="n">
        <v>-0.25</v>
      </c>
      <c r="E40" t="n">
        <v>19</v>
      </c>
    </row>
    <row r="41">
      <c r="A41" t="s">
        <v>254</v>
      </c>
      <c r="B41" t="n">
        <v>-1.25</v>
      </c>
      <c r="C41" t="n">
        <v>179</v>
      </c>
      <c r="D41" t="n">
        <v>-0.25</v>
      </c>
      <c r="E41" t="n">
        <v>16</v>
      </c>
    </row>
    <row r="42">
      <c r="A42" t="s">
        <v>253</v>
      </c>
      <c r="B42" t="n">
        <v>-0.25</v>
      </c>
      <c r="C42" t="n">
        <v>36</v>
      </c>
      <c r="D42"/>
      <c r="E42"/>
    </row>
    <row r="43">
      <c r="A43" t="s">
        <v>254</v>
      </c>
      <c r="B43" t="n">
        <v>-0.5</v>
      </c>
      <c r="C43" t="n">
        <v>145</v>
      </c>
      <c r="D43"/>
      <c r="E43"/>
    </row>
    <row r="44">
      <c r="A44" t="s">
        <v>253</v>
      </c>
      <c r="B44" t="n">
        <v>-1</v>
      </c>
      <c r="C44" t="n">
        <v>174</v>
      </c>
      <c r="D44" t="n">
        <v>-0.5</v>
      </c>
      <c r="E44" t="n">
        <v>130</v>
      </c>
    </row>
    <row r="45">
      <c r="A45" t="s">
        <v>253</v>
      </c>
      <c r="B45" t="n">
        <v>-0.5</v>
      </c>
      <c r="C45" t="n">
        <v>41</v>
      </c>
      <c r="D45" t="n">
        <v>0</v>
      </c>
      <c r="E45" t="n">
        <v>82</v>
      </c>
    </row>
    <row r="46">
      <c r="A46" t="s">
        <v>253</v>
      </c>
      <c r="B46" t="n">
        <v>-0.75</v>
      </c>
      <c r="C46" t="n">
        <v>100</v>
      </c>
      <c r="D46" t="n">
        <v>0</v>
      </c>
      <c r="E46" t="n">
        <v>166</v>
      </c>
    </row>
    <row r="47">
      <c r="A47" t="s">
        <v>254</v>
      </c>
      <c r="B47" t="n">
        <v>-0.5</v>
      </c>
      <c r="C47" t="n">
        <v>96</v>
      </c>
      <c r="D47" t="n">
        <v>0</v>
      </c>
      <c r="E47" t="n">
        <v>6</v>
      </c>
    </row>
    <row r="48">
      <c r="A48" t="s">
        <v>253</v>
      </c>
      <c r="B48" t="n">
        <v>-1.25</v>
      </c>
      <c r="C48" t="n">
        <v>156</v>
      </c>
      <c r="D48" t="n">
        <v>-0.25</v>
      </c>
      <c r="E48" t="n">
        <v>92</v>
      </c>
    </row>
    <row r="49">
      <c r="A49" t="s">
        <v>254</v>
      </c>
      <c r="B49" t="n">
        <v>-2</v>
      </c>
      <c r="C49" t="n">
        <v>36</v>
      </c>
      <c r="D49" t="n">
        <v>-0.25</v>
      </c>
      <c r="E49" t="n">
        <v>80</v>
      </c>
    </row>
    <row r="50">
      <c r="A50" t="s">
        <v>253</v>
      </c>
      <c r="B50" t="n">
        <v>-0.75</v>
      </c>
      <c r="C50" t="n">
        <v>35</v>
      </c>
      <c r="D50" t="n">
        <v>-0.25</v>
      </c>
      <c r="E50" t="n">
        <v>7</v>
      </c>
    </row>
    <row r="51">
      <c r="A51" t="s">
        <v>254</v>
      </c>
      <c r="B51" t="n">
        <v>-0.5</v>
      </c>
      <c r="C51" t="n">
        <v>143</v>
      </c>
      <c r="D51" t="n">
        <v>-0.25</v>
      </c>
      <c r="E51" t="n">
        <v>33</v>
      </c>
    </row>
    <row r="52">
      <c r="A52" t="s">
        <v>254</v>
      </c>
      <c r="B52" t="n">
        <v>-0.5</v>
      </c>
      <c r="C52" t="n">
        <v>68</v>
      </c>
      <c r="D52" t="n">
        <v>-0.25</v>
      </c>
      <c r="E52" t="n">
        <v>126</v>
      </c>
    </row>
    <row r="53">
      <c r="A53" t="s">
        <v>253</v>
      </c>
      <c r="B53" t="n">
        <v>-0.75</v>
      </c>
      <c r="C53" t="n">
        <v>81</v>
      </c>
      <c r="D53" t="n">
        <v>-0.25</v>
      </c>
      <c r="E53" t="n">
        <v>130</v>
      </c>
    </row>
    <row r="54">
      <c r="A54" t="s">
        <v>254</v>
      </c>
      <c r="B54" t="n">
        <v>-0.75</v>
      </c>
      <c r="C54" t="n">
        <v>93</v>
      </c>
      <c r="D54" t="n">
        <v>0</v>
      </c>
      <c r="E54" t="n">
        <v>102</v>
      </c>
    </row>
    <row r="55">
      <c r="A55" t="s">
        <v>253</v>
      </c>
      <c r="B55" t="n">
        <v>-0.25</v>
      </c>
      <c r="C55" t="n">
        <v>13</v>
      </c>
      <c r="D55" t="n">
        <v>0</v>
      </c>
      <c r="E55" t="n">
        <v>58</v>
      </c>
    </row>
    <row r="56">
      <c r="A56" t="s">
        <v>254</v>
      </c>
      <c r="B56" t="n">
        <v>-1</v>
      </c>
      <c r="C56" t="n">
        <v>180</v>
      </c>
      <c r="D56" t="n">
        <v>-0.25</v>
      </c>
      <c r="E56" t="n">
        <v>135</v>
      </c>
    </row>
    <row r="57">
      <c r="A57" t="s">
        <v>253</v>
      </c>
      <c r="B57" t="n">
        <v>-0.75</v>
      </c>
      <c r="C57" t="n">
        <v>2</v>
      </c>
      <c r="D57" t="n">
        <v>-0.25</v>
      </c>
      <c r="E57" t="n">
        <v>1</v>
      </c>
    </row>
    <row r="58">
      <c r="A58" t="s">
        <v>254</v>
      </c>
      <c r="B58" t="n">
        <v>-0.75</v>
      </c>
      <c r="C58" t="n">
        <v>180</v>
      </c>
      <c r="D58" t="n">
        <v>-0.25</v>
      </c>
      <c r="E58" t="n">
        <v>173</v>
      </c>
    </row>
    <row r="59">
      <c r="A59" t="s">
        <v>253</v>
      </c>
      <c r="B59" t="n">
        <v>-0.5</v>
      </c>
      <c r="C59" t="n">
        <v>44</v>
      </c>
      <c r="D59" t="n">
        <v>-0.25</v>
      </c>
      <c r="E59" t="n">
        <v>21</v>
      </c>
    </row>
    <row r="60">
      <c r="A60" t="s">
        <v>254</v>
      </c>
      <c r="B60" t="n">
        <v>-0.5</v>
      </c>
      <c r="C60" t="n">
        <v>125</v>
      </c>
      <c r="D60" t="n">
        <v>-0.5</v>
      </c>
      <c r="E60" t="n">
        <v>158</v>
      </c>
    </row>
    <row r="61">
      <c r="A61" t="s">
        <v>253</v>
      </c>
      <c r="B61" t="n">
        <v>-0.5</v>
      </c>
      <c r="C61" t="n">
        <v>165</v>
      </c>
      <c r="D61" t="n">
        <v>-0.25</v>
      </c>
      <c r="E61" t="n">
        <v>170</v>
      </c>
    </row>
    <row r="62">
      <c r="A62" t="s">
        <v>254</v>
      </c>
      <c r="B62" t="n">
        <v>-0.5</v>
      </c>
      <c r="C62" t="n">
        <v>21</v>
      </c>
      <c r="D62" t="n">
        <v>-0.25</v>
      </c>
      <c r="E62" t="n">
        <v>19</v>
      </c>
    </row>
    <row r="63">
      <c r="A63" t="s">
        <v>253</v>
      </c>
      <c r="B63" t="n">
        <v>-0.25</v>
      </c>
      <c r="C63" t="n">
        <v>35</v>
      </c>
      <c r="D63" t="n">
        <v>0</v>
      </c>
      <c r="E63" t="n">
        <v>20</v>
      </c>
    </row>
    <row r="64">
      <c r="A64" t="s">
        <v>254</v>
      </c>
      <c r="B64" t="n">
        <v>-0.25</v>
      </c>
      <c r="C64" t="n">
        <v>147</v>
      </c>
      <c r="D64" t="n">
        <v>0</v>
      </c>
      <c r="E64" t="n">
        <v>29</v>
      </c>
    </row>
    <row r="65">
      <c r="A65" t="s">
        <v>253</v>
      </c>
      <c r="B65" t="n">
        <v>-0.25</v>
      </c>
      <c r="C65" t="n">
        <v>97</v>
      </c>
      <c r="D65" t="n">
        <v>0</v>
      </c>
      <c r="E65" t="n">
        <v>141</v>
      </c>
    </row>
    <row r="66">
      <c r="A66" t="s">
        <v>254</v>
      </c>
      <c r="B66" t="n">
        <v>-0.75</v>
      </c>
      <c r="C66" t="n">
        <v>93</v>
      </c>
      <c r="D66" t="n">
        <v>-0.25</v>
      </c>
      <c r="E66" t="n">
        <v>155</v>
      </c>
    </row>
    <row r="67">
      <c r="A67" t="s">
        <v>253</v>
      </c>
      <c r="B67" t="n">
        <v>-0.75</v>
      </c>
      <c r="C67" t="n">
        <v>14</v>
      </c>
      <c r="D67" t="n">
        <v>0</v>
      </c>
      <c r="E67" t="n">
        <v>14</v>
      </c>
    </row>
    <row r="68">
      <c r="A68" t="s">
        <v>253</v>
      </c>
      <c r="B68" t="n">
        <v>-2.25</v>
      </c>
      <c r="C68" t="n">
        <v>79</v>
      </c>
      <c r="D68" t="n">
        <v>-0.75</v>
      </c>
      <c r="E68" t="n">
        <v>60</v>
      </c>
    </row>
    <row r="69">
      <c r="A69" t="s">
        <v>254</v>
      </c>
      <c r="B69" t="n">
        <v>-1.75</v>
      </c>
      <c r="C69" t="n">
        <v>91</v>
      </c>
      <c r="D69" t="n">
        <v>-0.25</v>
      </c>
      <c r="E69" t="n">
        <v>78</v>
      </c>
    </row>
    <row r="70">
      <c r="A70" t="s">
        <v>253</v>
      </c>
      <c r="B70" t="n">
        <v>-0.75</v>
      </c>
      <c r="C70" t="n">
        <v>168</v>
      </c>
      <c r="D70" t="n">
        <v>0</v>
      </c>
      <c r="E70" t="n">
        <v>137</v>
      </c>
    </row>
    <row r="71">
      <c r="A71" t="s">
        <v>254</v>
      </c>
      <c r="B71" t="n">
        <v>-0.75</v>
      </c>
      <c r="C71" t="n">
        <v>17</v>
      </c>
      <c r="D71" t="n">
        <v>0</v>
      </c>
      <c r="E71" t="n">
        <v>31</v>
      </c>
    </row>
    <row r="72">
      <c r="A72" t="s">
        <v>254</v>
      </c>
      <c r="B72" t="n">
        <v>-1.5</v>
      </c>
      <c r="C72" t="n">
        <v>8</v>
      </c>
      <c r="D72" t="n">
        <v>-0.25</v>
      </c>
      <c r="E72" t="n">
        <v>34</v>
      </c>
    </row>
    <row r="73">
      <c r="A73" t="s">
        <v>253</v>
      </c>
      <c r="B73" t="n">
        <v>-0.75</v>
      </c>
      <c r="C73" t="n">
        <v>152</v>
      </c>
      <c r="D73" t="n">
        <v>-0.25</v>
      </c>
      <c r="E73" t="n">
        <v>13</v>
      </c>
    </row>
    <row r="74">
      <c r="A74" t="s">
        <v>254</v>
      </c>
      <c r="B74" t="n">
        <v>-1</v>
      </c>
      <c r="C74" t="n">
        <v>29</v>
      </c>
      <c r="D74" t="n">
        <v>-0.25</v>
      </c>
      <c r="E74" t="n">
        <v>47</v>
      </c>
    </row>
    <row r="75">
      <c r="A75" t="s">
        <v>253</v>
      </c>
      <c r="B75" t="n">
        <v>-1</v>
      </c>
      <c r="C75" t="n">
        <v>164</v>
      </c>
      <c r="D75" t="n">
        <v>-0.75</v>
      </c>
      <c r="E75" t="n">
        <v>131</v>
      </c>
    </row>
    <row r="76">
      <c r="A76" t="s">
        <v>253</v>
      </c>
      <c r="B76" t="n">
        <v>-0.5</v>
      </c>
      <c r="C76" t="n">
        <v>163</v>
      </c>
      <c r="D76" t="n">
        <v>-0.5</v>
      </c>
      <c r="E76" t="n">
        <v>127</v>
      </c>
    </row>
    <row r="77">
      <c r="A77" t="s">
        <v>253</v>
      </c>
      <c r="B77" t="n">
        <v>-0.75</v>
      </c>
      <c r="C77" t="n">
        <v>26</v>
      </c>
      <c r="D77" t="n">
        <v>0</v>
      </c>
      <c r="E77" t="n">
        <v>66</v>
      </c>
    </row>
    <row r="78">
      <c r="A78" t="s">
        <v>254</v>
      </c>
      <c r="B78" t="n">
        <v>-1.75</v>
      </c>
      <c r="C78" t="n">
        <v>148</v>
      </c>
      <c r="D78" t="n">
        <v>-0.25</v>
      </c>
      <c r="E78" t="n">
        <v>112</v>
      </c>
    </row>
    <row r="79">
      <c r="A79" t="s">
        <v>254</v>
      </c>
      <c r="B79" t="n">
        <v>-0.25</v>
      </c>
      <c r="C79" t="n">
        <v>97</v>
      </c>
      <c r="D79" t="n">
        <v>0</v>
      </c>
      <c r="E79" t="n">
        <v>166</v>
      </c>
    </row>
    <row r="80">
      <c r="A80" t="s">
        <v>253</v>
      </c>
      <c r="B80" t="n">
        <v>-1.25</v>
      </c>
      <c r="C80" t="n">
        <v>3</v>
      </c>
      <c r="D80" t="n">
        <v>-0.5</v>
      </c>
      <c r="E80" t="n">
        <v>168</v>
      </c>
    </row>
    <row r="81">
      <c r="A81" t="s">
        <v>254</v>
      </c>
      <c r="B81" t="n">
        <v>-1.5</v>
      </c>
      <c r="C81" t="n">
        <v>16</v>
      </c>
      <c r="D81" t="n">
        <v>-0.5</v>
      </c>
      <c r="E81" t="n">
        <v>40</v>
      </c>
    </row>
    <row r="82">
      <c r="A82" t="s">
        <v>253</v>
      </c>
      <c r="B82" t="n">
        <v>-1</v>
      </c>
      <c r="C82" t="n">
        <v>129</v>
      </c>
      <c r="D82"/>
      <c r="E82"/>
    </row>
    <row r="83">
      <c r="A83" t="s">
        <v>254</v>
      </c>
      <c r="B83" t="n">
        <v>-0.75</v>
      </c>
      <c r="C83" t="n">
        <v>54</v>
      </c>
      <c r="D83"/>
      <c r="E83"/>
    </row>
    <row r="84">
      <c r="A84" t="s">
        <v>253</v>
      </c>
      <c r="B84" t="n">
        <v>-0.75</v>
      </c>
      <c r="C84" t="n">
        <v>10</v>
      </c>
      <c r="D84" t="n">
        <v>-0.25</v>
      </c>
      <c r="E84" t="n">
        <v>68</v>
      </c>
    </row>
    <row r="85">
      <c r="A85" t="s">
        <v>254</v>
      </c>
      <c r="B85" t="n">
        <v>-1.25</v>
      </c>
      <c r="C85" t="n">
        <v>171</v>
      </c>
      <c r="D85" t="n">
        <v>-0.25</v>
      </c>
      <c r="E85" t="n">
        <v>41</v>
      </c>
    </row>
    <row r="86">
      <c r="A86" t="s">
        <v>253</v>
      </c>
      <c r="B86" t="n">
        <v>-0.5</v>
      </c>
      <c r="C86" t="n">
        <v>157</v>
      </c>
      <c r="D86" t="n">
        <v>0</v>
      </c>
      <c r="E86" t="n">
        <v>108</v>
      </c>
    </row>
    <row r="87">
      <c r="A87" t="s">
        <v>254</v>
      </c>
      <c r="B87" t="n">
        <v>-0.75</v>
      </c>
      <c r="C87" t="n">
        <v>28</v>
      </c>
      <c r="D87" t="n">
        <v>0</v>
      </c>
      <c r="E87" t="n">
        <v>97</v>
      </c>
    </row>
    <row r="88">
      <c r="A88" t="s">
        <v>254</v>
      </c>
      <c r="B88" t="n">
        <v>-0.5</v>
      </c>
      <c r="C88" t="n">
        <v>126</v>
      </c>
      <c r="D88"/>
      <c r="E88"/>
    </row>
    <row r="89">
      <c r="A89" t="s">
        <v>253</v>
      </c>
      <c r="B89" t="n">
        <v>-0.5</v>
      </c>
      <c r="C89" t="n">
        <v>162</v>
      </c>
      <c r="D89" t="n">
        <v>-0.25</v>
      </c>
      <c r="E89" t="n">
        <v>96</v>
      </c>
    </row>
    <row r="90">
      <c r="A90" t="s">
        <v>253</v>
      </c>
      <c r="B90" t="n">
        <v>-0.5</v>
      </c>
      <c r="C90" t="n">
        <v>152</v>
      </c>
      <c r="D90" t="n">
        <v>-0.25</v>
      </c>
      <c r="E90" t="n">
        <v>1</v>
      </c>
    </row>
    <row r="91">
      <c r="A91" t="s">
        <v>254</v>
      </c>
      <c r="B91" t="n">
        <v>-0.75</v>
      </c>
      <c r="C91" t="n">
        <v>93</v>
      </c>
      <c r="D91" t="n">
        <v>-0.5</v>
      </c>
      <c r="E91" t="n">
        <v>64</v>
      </c>
    </row>
  </sheetData>
  <pageMargins left="0.7" right="0.7" top="0.75" bottom="0.75" header="0.3" footer="0.3"/>
  <pageSetup paperSize="9" orientation="portrait" horizontalDpi="300" verticalDpi="300" r:id="rId2"/>
  <tableParts count="1">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248</v>
      </c>
      <c r="B1" t="s">
        <v>249</v>
      </c>
      <c r="C1" t="s">
        <v>250</v>
      </c>
      <c r="D1" t="s">
        <v>251</v>
      </c>
      <c r="E1" t="s">
        <v>252</v>
      </c>
    </row>
    <row r="2">
      <c r="A2" t="s">
        <v>253</v>
      </c>
      <c r="B2" t="n">
        <v>-0.75</v>
      </c>
      <c r="C2" t="n">
        <v>177</v>
      </c>
      <c r="D2" t="n">
        <v>-0.25</v>
      </c>
      <c r="E2" t="n">
        <v>136</v>
      </c>
    </row>
    <row r="3">
      <c r="A3" t="s">
        <v>254</v>
      </c>
      <c r="B3" t="n">
        <v>-0.25</v>
      </c>
      <c r="C3" t="n">
        <v>14</v>
      </c>
      <c r="D3" t="n">
        <v>-0.25</v>
      </c>
      <c r="E3" t="n">
        <v>48</v>
      </c>
    </row>
    <row r="4">
      <c r="A4" t="s">
        <v>253</v>
      </c>
      <c r="B4" t="n">
        <v>-0.5</v>
      </c>
      <c r="C4" t="n">
        <v>124</v>
      </c>
      <c r="D4" t="n">
        <v>-0.5</v>
      </c>
      <c r="E4" t="n">
        <v>1</v>
      </c>
    </row>
    <row r="5">
      <c r="A5" t="s">
        <v>254</v>
      </c>
      <c r="B5" t="n">
        <v>-0.25</v>
      </c>
      <c r="C5" t="n">
        <v>59</v>
      </c>
      <c r="D5" t="n">
        <v>-0.25</v>
      </c>
      <c r="E5" t="n">
        <v>166</v>
      </c>
    </row>
    <row r="6">
      <c r="A6" t="s">
        <v>253</v>
      </c>
      <c r="B6" t="n">
        <v>-0.75</v>
      </c>
      <c r="C6" t="n">
        <v>89</v>
      </c>
      <c r="D6" t="n">
        <v>-0.5</v>
      </c>
      <c r="E6" t="n">
        <v>93</v>
      </c>
    </row>
    <row r="7">
      <c r="A7" t="s">
        <v>254</v>
      </c>
      <c r="B7" t="n">
        <v>-1.5</v>
      </c>
      <c r="C7" t="n">
        <v>98</v>
      </c>
      <c r="D7" t="n">
        <v>-0.25</v>
      </c>
      <c r="E7" t="n">
        <v>97</v>
      </c>
    </row>
    <row r="8">
      <c r="A8" t="s">
        <v>253</v>
      </c>
      <c r="B8" t="n">
        <v>-1.75</v>
      </c>
      <c r="C8" t="n">
        <v>4</v>
      </c>
      <c r="D8" t="n">
        <v>-0.25</v>
      </c>
      <c r="E8" t="n">
        <v>87</v>
      </c>
    </row>
    <row r="9">
      <c r="A9" t="s">
        <v>254</v>
      </c>
      <c r="B9" t="n">
        <v>-1</v>
      </c>
      <c r="C9" t="n">
        <v>2</v>
      </c>
      <c r="D9" t="n">
        <v>-0.25</v>
      </c>
      <c r="E9" t="n">
        <v>91</v>
      </c>
    </row>
    <row r="10">
      <c r="A10" t="s">
        <v>253</v>
      </c>
      <c r="B10" t="n">
        <v>-1</v>
      </c>
      <c r="C10" t="n">
        <v>177</v>
      </c>
      <c r="D10"/>
      <c r="E10"/>
    </row>
    <row r="11">
      <c r="A11" t="s">
        <v>254</v>
      </c>
      <c r="B11" t="n">
        <v>-2.25</v>
      </c>
      <c r="C11" t="n">
        <v>7</v>
      </c>
      <c r="D11"/>
      <c r="E11"/>
    </row>
    <row r="12">
      <c r="A12" t="s">
        <v>253</v>
      </c>
      <c r="B12" t="n">
        <v>-0.75</v>
      </c>
      <c r="C12" t="n">
        <v>82</v>
      </c>
      <c r="D12" t="n">
        <v>-0.25</v>
      </c>
      <c r="E12" t="n">
        <v>121</v>
      </c>
    </row>
    <row r="13">
      <c r="A13" t="s">
        <v>253</v>
      </c>
      <c r="B13" t="n">
        <v>-1.5</v>
      </c>
      <c r="C13" t="n">
        <v>38</v>
      </c>
      <c r="D13" t="n">
        <v>-0.5</v>
      </c>
      <c r="E13" t="n">
        <v>70</v>
      </c>
    </row>
    <row r="14">
      <c r="A14" t="s">
        <v>254</v>
      </c>
      <c r="B14" t="n">
        <v>-1.5</v>
      </c>
      <c r="C14" t="n">
        <v>132</v>
      </c>
      <c r="D14" t="n">
        <v>-0.25</v>
      </c>
      <c r="E14" t="n">
        <v>136</v>
      </c>
    </row>
    <row r="15">
      <c r="A15" t="s">
        <v>253</v>
      </c>
      <c r="B15" t="n">
        <v>-0.5</v>
      </c>
      <c r="C15" t="n">
        <v>169</v>
      </c>
      <c r="D15" t="n">
        <v>-0.25</v>
      </c>
      <c r="E15" t="n">
        <v>176</v>
      </c>
    </row>
    <row r="16">
      <c r="A16" t="s">
        <v>254</v>
      </c>
      <c r="B16" t="n">
        <v>-0.5</v>
      </c>
      <c r="C16" t="n">
        <v>9</v>
      </c>
      <c r="D16" t="n">
        <v>-0.25</v>
      </c>
      <c r="E16" t="n">
        <v>150</v>
      </c>
    </row>
    <row r="17">
      <c r="A17" t="s">
        <v>253</v>
      </c>
      <c r="B17" t="n">
        <v>-0.5</v>
      </c>
      <c r="C17" t="n">
        <v>13</v>
      </c>
      <c r="D17" t="n">
        <v>-0.25</v>
      </c>
      <c r="E17" t="n">
        <v>163</v>
      </c>
    </row>
    <row r="18">
      <c r="A18" t="s">
        <v>254</v>
      </c>
      <c r="B18" t="n">
        <v>-0.5</v>
      </c>
      <c r="C18" t="n">
        <v>166</v>
      </c>
      <c r="D18" t="n">
        <v>0</v>
      </c>
      <c r="E18" t="n">
        <v>127</v>
      </c>
    </row>
    <row r="19">
      <c r="A19" t="s">
        <v>253</v>
      </c>
      <c r="B19" t="n">
        <v>-0.5</v>
      </c>
      <c r="C19" t="n">
        <v>128</v>
      </c>
      <c r="D19" t="n">
        <v>-0.25</v>
      </c>
      <c r="E19" t="n">
        <v>103</v>
      </c>
    </row>
    <row r="20">
      <c r="A20" t="s">
        <v>254</v>
      </c>
      <c r="B20" t="n">
        <v>-0.75</v>
      </c>
      <c r="C20" t="n">
        <v>49</v>
      </c>
      <c r="D20" t="n">
        <v>-0.25</v>
      </c>
      <c r="E20" t="n">
        <v>28</v>
      </c>
    </row>
    <row r="21">
      <c r="A21" t="s">
        <v>253</v>
      </c>
      <c r="B21" t="n">
        <v>-1</v>
      </c>
      <c r="C21" t="n">
        <v>1</v>
      </c>
      <c r="D21" t="n">
        <v>-0.25</v>
      </c>
      <c r="E21" t="n">
        <v>45</v>
      </c>
    </row>
    <row r="22">
      <c r="A22" t="s">
        <v>254</v>
      </c>
      <c r="B22" t="n">
        <v>-1</v>
      </c>
      <c r="C22" t="n">
        <v>166</v>
      </c>
      <c r="D22" t="n">
        <v>-0.25</v>
      </c>
      <c r="E22" t="n">
        <v>121</v>
      </c>
    </row>
    <row r="23">
      <c r="A23" t="s">
        <v>253</v>
      </c>
      <c r="B23" t="n">
        <v>-0.5</v>
      </c>
      <c r="C23" t="n">
        <v>17</v>
      </c>
      <c r="D23" t="n">
        <v>0</v>
      </c>
      <c r="E23" t="n">
        <v>144</v>
      </c>
    </row>
    <row r="24">
      <c r="A24" t="s">
        <v>253</v>
      </c>
      <c r="B24" t="n">
        <v>-0.75</v>
      </c>
      <c r="C24" t="n">
        <v>171</v>
      </c>
      <c r="D24"/>
      <c r="E24"/>
    </row>
    <row r="25">
      <c r="A25" t="s">
        <v>254</v>
      </c>
      <c r="B25" t="n">
        <v>-1</v>
      </c>
      <c r="C25" t="n">
        <v>178</v>
      </c>
      <c r="D25"/>
      <c r="E25"/>
    </row>
    <row r="26">
      <c r="A26" t="s">
        <v>253</v>
      </c>
      <c r="B26" t="n">
        <v>-0.5</v>
      </c>
      <c r="C26" t="n">
        <v>152</v>
      </c>
      <c r="D26" t="n">
        <v>-0.25</v>
      </c>
      <c r="E26" t="n">
        <v>114</v>
      </c>
    </row>
    <row r="27">
      <c r="A27" t="s">
        <v>254</v>
      </c>
      <c r="B27" t="n">
        <v>-0.5</v>
      </c>
      <c r="C27" t="n">
        <v>43</v>
      </c>
      <c r="D27" t="n">
        <v>0</v>
      </c>
      <c r="E27" t="n">
        <v>90</v>
      </c>
    </row>
    <row r="28">
      <c r="A28" t="s">
        <v>254</v>
      </c>
      <c r="B28" t="n">
        <v>-0.5</v>
      </c>
      <c r="C28" t="n">
        <v>141</v>
      </c>
      <c r="D28" t="n">
        <v>0</v>
      </c>
      <c r="E28" t="n">
        <v>8</v>
      </c>
    </row>
    <row r="29">
      <c r="A29" t="s">
        <v>254</v>
      </c>
      <c r="B29" t="n">
        <v>-0.75</v>
      </c>
      <c r="C29" t="n">
        <v>4</v>
      </c>
      <c r="D29" t="n">
        <v>-0.25</v>
      </c>
      <c r="E29" t="n">
        <v>7</v>
      </c>
    </row>
    <row r="30">
      <c r="A30" t="s">
        <v>253</v>
      </c>
      <c r="B30" t="n">
        <v>-0.5</v>
      </c>
      <c r="C30" t="n">
        <v>130</v>
      </c>
      <c r="D30"/>
      <c r="E30"/>
    </row>
    <row r="31">
      <c r="A31" t="s">
        <v>254</v>
      </c>
      <c r="B31" t="n">
        <v>-1</v>
      </c>
      <c r="C31" t="n">
        <v>44</v>
      </c>
      <c r="D31"/>
      <c r="E31"/>
    </row>
    <row r="32">
      <c r="A32" t="s">
        <v>253</v>
      </c>
      <c r="B32" t="n">
        <v>-0.5</v>
      </c>
      <c r="C32" t="n">
        <v>82</v>
      </c>
      <c r="D32" t="n">
        <v>0</v>
      </c>
      <c r="E32" t="n">
        <v>129</v>
      </c>
    </row>
    <row r="33">
      <c r="A33" t="s">
        <v>253</v>
      </c>
      <c r="B33" t="n">
        <v>-0.75</v>
      </c>
      <c r="C33" t="n">
        <v>168</v>
      </c>
      <c r="D33" t="n">
        <v>-0.25</v>
      </c>
      <c r="E33" t="n">
        <v>54</v>
      </c>
    </row>
    <row r="34">
      <c r="A34" t="s">
        <v>254</v>
      </c>
      <c r="B34" t="n">
        <v>-0.75</v>
      </c>
      <c r="C34" t="n">
        <v>16</v>
      </c>
      <c r="D34" t="n">
        <v>-0.25</v>
      </c>
      <c r="E34" t="n">
        <v>137</v>
      </c>
    </row>
    <row r="35">
      <c r="A35" t="s">
        <v>254</v>
      </c>
      <c r="B35" t="n">
        <v>-1.25</v>
      </c>
      <c r="C35" t="n">
        <v>158</v>
      </c>
      <c r="D35"/>
      <c r="E35"/>
    </row>
    <row r="36">
      <c r="A36" t="s">
        <v>253</v>
      </c>
      <c r="B36" t="n">
        <v>-0.5</v>
      </c>
      <c r="C36" t="n">
        <v>10</v>
      </c>
      <c r="D36" t="n">
        <v>-0.25</v>
      </c>
      <c r="E36" t="n">
        <v>155</v>
      </c>
    </row>
    <row r="37">
      <c r="A37" t="s">
        <v>254</v>
      </c>
      <c r="B37" t="n">
        <v>-0.5</v>
      </c>
      <c r="C37" t="n">
        <v>154</v>
      </c>
      <c r="D37" t="n">
        <v>-0.25</v>
      </c>
      <c r="E37" t="n">
        <v>30</v>
      </c>
    </row>
    <row r="38">
      <c r="A38" t="s">
        <v>253</v>
      </c>
      <c r="B38" t="n">
        <v>-0.75</v>
      </c>
      <c r="C38" t="n">
        <v>157</v>
      </c>
      <c r="D38"/>
      <c r="E38"/>
    </row>
    <row r="39">
      <c r="A39" t="s">
        <v>254</v>
      </c>
      <c r="B39" t="n">
        <v>-0.5</v>
      </c>
      <c r="C39" t="n">
        <v>20</v>
      </c>
      <c r="D39"/>
      <c r="E39"/>
    </row>
    <row r="40">
      <c r="A40" t="s">
        <v>253</v>
      </c>
      <c r="B40" t="n">
        <v>-0.5</v>
      </c>
      <c r="C40" t="n">
        <v>8</v>
      </c>
      <c r="D40" t="n">
        <v>-0.25</v>
      </c>
      <c r="E40" t="n">
        <v>167</v>
      </c>
    </row>
    <row r="41">
      <c r="A41" t="s">
        <v>254</v>
      </c>
      <c r="B41" t="n">
        <v>-0.25</v>
      </c>
      <c r="C41" t="n">
        <v>175</v>
      </c>
      <c r="D41" t="n">
        <v>-0.25</v>
      </c>
      <c r="E41" t="n">
        <v>45</v>
      </c>
    </row>
    <row r="42">
      <c r="A42" t="s">
        <v>253</v>
      </c>
      <c r="B42" t="n">
        <v>-1.25</v>
      </c>
      <c r="C42" t="n">
        <v>6</v>
      </c>
      <c r="D42" t="n">
        <v>-0.75</v>
      </c>
      <c r="E42" t="n">
        <v>50</v>
      </c>
    </row>
    <row r="43">
      <c r="A43" t="s">
        <v>253</v>
      </c>
      <c r="B43" t="n">
        <v>-1.25</v>
      </c>
      <c r="C43" t="n">
        <v>98</v>
      </c>
      <c r="D43" t="n">
        <v>0</v>
      </c>
      <c r="E43" t="n">
        <v>63</v>
      </c>
    </row>
    <row r="44">
      <c r="A44" t="s">
        <v>254</v>
      </c>
      <c r="B44" t="n">
        <v>-0.5</v>
      </c>
      <c r="C44" t="n">
        <v>81</v>
      </c>
      <c r="D44" t="n">
        <v>-0.25</v>
      </c>
      <c r="E44" t="n">
        <v>47</v>
      </c>
    </row>
    <row r="45">
      <c r="A45" t="s">
        <v>253</v>
      </c>
      <c r="B45" t="n">
        <v>-0.5</v>
      </c>
      <c r="C45" t="n">
        <v>160</v>
      </c>
      <c r="D45" t="n">
        <v>-0.25</v>
      </c>
      <c r="E45" t="n">
        <v>73</v>
      </c>
    </row>
    <row r="46">
      <c r="A46" t="s">
        <v>254</v>
      </c>
      <c r="B46" t="n">
        <v>-1</v>
      </c>
      <c r="C46" t="n">
        <v>25</v>
      </c>
      <c r="D46" t="n">
        <v>-0.5</v>
      </c>
      <c r="E46" t="n">
        <v>117</v>
      </c>
    </row>
    <row r="47">
      <c r="A47" t="s">
        <v>253</v>
      </c>
      <c r="B47" t="n">
        <v>-0.75</v>
      </c>
      <c r="C47" t="n">
        <v>125</v>
      </c>
      <c r="D47" t="n">
        <v>-0.5</v>
      </c>
      <c r="E47" t="n">
        <v>96</v>
      </c>
    </row>
    <row r="48">
      <c r="A48" t="s">
        <v>254</v>
      </c>
      <c r="B48" t="n">
        <v>-0.5</v>
      </c>
      <c r="C48" t="n">
        <v>69</v>
      </c>
      <c r="D48" t="n">
        <v>0</v>
      </c>
      <c r="E48" t="n">
        <v>66</v>
      </c>
    </row>
    <row r="49">
      <c r="A49" t="s">
        <v>253</v>
      </c>
      <c r="B49" t="n">
        <v>-1.75</v>
      </c>
      <c r="C49" t="n">
        <v>6</v>
      </c>
      <c r="D49" t="n">
        <v>-0.25</v>
      </c>
      <c r="E49" t="n">
        <v>112</v>
      </c>
    </row>
    <row r="50">
      <c r="A50" t="s">
        <v>254</v>
      </c>
      <c r="B50" t="n">
        <v>-1.25</v>
      </c>
      <c r="C50" t="n">
        <v>8</v>
      </c>
      <c r="D50" t="n">
        <v>-0.5</v>
      </c>
      <c r="E50" t="n">
        <v>126</v>
      </c>
    </row>
    <row r="51">
      <c r="A51" t="s">
        <v>253</v>
      </c>
      <c r="B51" t="n">
        <v>-1.25</v>
      </c>
      <c r="C51" t="n">
        <v>168</v>
      </c>
      <c r="D51" t="n">
        <v>-0.25</v>
      </c>
      <c r="E51" t="n">
        <v>15</v>
      </c>
    </row>
    <row r="52">
      <c r="A52" t="s">
        <v>253</v>
      </c>
      <c r="B52" t="n">
        <v>-1.5</v>
      </c>
      <c r="C52" t="n">
        <v>177</v>
      </c>
      <c r="D52" t="n">
        <v>-0.25</v>
      </c>
      <c r="E52" t="n">
        <v>129</v>
      </c>
    </row>
    <row r="53">
      <c r="A53" t="s">
        <v>254</v>
      </c>
      <c r="B53" t="n">
        <v>-1.5</v>
      </c>
      <c r="C53" t="n">
        <v>153</v>
      </c>
      <c r="D53" t="n">
        <v>-0.25</v>
      </c>
      <c r="E53" t="n">
        <v>115</v>
      </c>
    </row>
    <row r="54">
      <c r="A54" t="s">
        <v>253</v>
      </c>
      <c r="B54" t="n">
        <v>-0.5</v>
      </c>
      <c r="C54" t="n">
        <v>140</v>
      </c>
      <c r="D54" t="n">
        <v>0</v>
      </c>
      <c r="E54" t="n">
        <v>150</v>
      </c>
    </row>
    <row r="55">
      <c r="A55" t="s">
        <v>254</v>
      </c>
      <c r="B55" t="n">
        <v>-0.75</v>
      </c>
      <c r="C55" t="n">
        <v>41</v>
      </c>
      <c r="D55" t="n">
        <v>0</v>
      </c>
      <c r="E55" t="n">
        <v>140</v>
      </c>
    </row>
    <row r="56">
      <c r="A56" t="s">
        <v>253</v>
      </c>
      <c r="B56" t="n">
        <v>-1.25</v>
      </c>
      <c r="C56" t="n">
        <v>2</v>
      </c>
      <c r="D56" t="n">
        <v>-0.25</v>
      </c>
      <c r="E56" t="n">
        <v>58</v>
      </c>
    </row>
    <row r="57">
      <c r="A57" t="s">
        <v>254</v>
      </c>
      <c r="B57" t="n">
        <v>-1.5</v>
      </c>
      <c r="C57" t="n">
        <v>165</v>
      </c>
      <c r="D57" t="n">
        <v>-0.25</v>
      </c>
      <c r="E57" t="n">
        <v>166</v>
      </c>
    </row>
    <row r="58">
      <c r="A58" t="s">
        <v>254</v>
      </c>
      <c r="B58" t="n">
        <v>-0.25</v>
      </c>
      <c r="C58" t="n">
        <v>90</v>
      </c>
      <c r="D58" t="n">
        <v>-0.25</v>
      </c>
      <c r="E58" t="n">
        <v>147</v>
      </c>
    </row>
    <row r="59">
      <c r="A59" t="s">
        <v>254</v>
      </c>
      <c r="B59" t="n">
        <v>-0.5</v>
      </c>
      <c r="C59" t="n">
        <v>165</v>
      </c>
      <c r="D59" t="n">
        <v>-0.25</v>
      </c>
      <c r="E59" t="n">
        <v>155</v>
      </c>
    </row>
    <row r="60">
      <c r="A60" t="s">
        <v>254</v>
      </c>
      <c r="B60" t="n">
        <v>-1.25</v>
      </c>
      <c r="C60" t="n">
        <v>5</v>
      </c>
      <c r="D60" t="n">
        <v>-0.25</v>
      </c>
      <c r="E60" t="n">
        <v>135</v>
      </c>
    </row>
    <row r="61">
      <c r="A61" t="s">
        <v>253</v>
      </c>
      <c r="B61" t="n">
        <v>-0.75</v>
      </c>
      <c r="C61" t="n">
        <v>21</v>
      </c>
      <c r="D61" t="n">
        <v>0</v>
      </c>
      <c r="E61" t="n">
        <v>180</v>
      </c>
    </row>
    <row r="62">
      <c r="A62" t="s">
        <v>254</v>
      </c>
      <c r="B62" t="n">
        <v>-0.5</v>
      </c>
      <c r="C62" t="n">
        <v>166</v>
      </c>
      <c r="D62" t="n">
        <v>-0.25</v>
      </c>
      <c r="E62" t="n">
        <v>26</v>
      </c>
    </row>
    <row r="63">
      <c r="A63" t="s">
        <v>253</v>
      </c>
      <c r="B63" t="n">
        <v>-0.75</v>
      </c>
      <c r="C63" t="n">
        <v>43</v>
      </c>
      <c r="D63" t="n">
        <v>-0.25</v>
      </c>
      <c r="E63" t="n">
        <v>180</v>
      </c>
    </row>
    <row r="64">
      <c r="A64" t="s">
        <v>254</v>
      </c>
      <c r="B64" t="n">
        <v>-0.5</v>
      </c>
      <c r="C64" t="n">
        <v>141</v>
      </c>
      <c r="D64" t="n">
        <v>0</v>
      </c>
      <c r="E64" t="n">
        <v>162</v>
      </c>
    </row>
    <row r="65">
      <c r="A65" t="s">
        <v>253</v>
      </c>
      <c r="B65" t="n">
        <v>-0.75</v>
      </c>
      <c r="C65" t="n">
        <v>163</v>
      </c>
      <c r="D65" t="n">
        <v>-0.25</v>
      </c>
      <c r="E65" t="n">
        <v>153</v>
      </c>
    </row>
    <row r="66">
      <c r="A66" t="s">
        <v>254</v>
      </c>
      <c r="B66" t="n">
        <v>-0.75</v>
      </c>
      <c r="C66" t="n">
        <v>5</v>
      </c>
      <c r="D66" t="n">
        <v>-0.25</v>
      </c>
      <c r="E66" t="n">
        <v>162</v>
      </c>
    </row>
    <row r="67">
      <c r="A67" t="s">
        <v>253</v>
      </c>
      <c r="B67" t="n">
        <v>-1.5</v>
      </c>
      <c r="C67" t="n">
        <v>124</v>
      </c>
      <c r="D67" t="n">
        <v>-0.5</v>
      </c>
      <c r="E67" t="n">
        <v>105</v>
      </c>
    </row>
    <row r="68">
      <c r="A68" t="s">
        <v>254</v>
      </c>
      <c r="B68" t="n">
        <v>-1</v>
      </c>
      <c r="C68" t="n">
        <v>55</v>
      </c>
      <c r="D68" t="n">
        <v>-0.25</v>
      </c>
      <c r="E68" t="n">
        <v>58</v>
      </c>
    </row>
    <row r="69">
      <c r="A69" t="s">
        <v>253</v>
      </c>
      <c r="B69" t="n">
        <v>-0.25</v>
      </c>
      <c r="C69" t="n">
        <v>4</v>
      </c>
      <c r="D69" t="n">
        <v>0</v>
      </c>
      <c r="E69" t="n">
        <v>154</v>
      </c>
    </row>
    <row r="70">
      <c r="A70" t="s">
        <v>253</v>
      </c>
      <c r="B70" t="n">
        <v>-0.75</v>
      </c>
      <c r="C70" t="n">
        <v>129</v>
      </c>
      <c r="D70" t="n">
        <v>-0.25</v>
      </c>
      <c r="E70" t="n">
        <v>99</v>
      </c>
    </row>
    <row r="71">
      <c r="A71" t="s">
        <v>254</v>
      </c>
      <c r="B71" t="n">
        <v>-0.75</v>
      </c>
      <c r="C71" t="n">
        <v>64</v>
      </c>
      <c r="D71" t="n">
        <v>-0.25</v>
      </c>
      <c r="E71" t="n">
        <v>67</v>
      </c>
    </row>
    <row r="72">
      <c r="A72" t="s">
        <v>253</v>
      </c>
      <c r="B72" t="n">
        <v>-1.5</v>
      </c>
      <c r="C72" t="n">
        <v>160</v>
      </c>
      <c r="D72" t="n">
        <v>-0.25</v>
      </c>
      <c r="E72" t="n">
        <v>2</v>
      </c>
    </row>
    <row r="73">
      <c r="A73" t="s">
        <v>254</v>
      </c>
      <c r="B73" t="n">
        <v>-0.5</v>
      </c>
      <c r="C73" t="n">
        <v>11</v>
      </c>
      <c r="D73" t="n">
        <v>-0.25</v>
      </c>
      <c r="E73" t="n">
        <v>64</v>
      </c>
    </row>
    <row r="74">
      <c r="A74" t="s">
        <v>254</v>
      </c>
      <c r="B74" t="n">
        <v>-0.25</v>
      </c>
      <c r="C74" t="n">
        <v>96</v>
      </c>
      <c r="D74" t="n">
        <v>0</v>
      </c>
      <c r="E74" t="n">
        <v>62</v>
      </c>
    </row>
    <row r="75">
      <c r="A75" t="s">
        <v>254</v>
      </c>
      <c r="B75" t="n">
        <v>-0.25</v>
      </c>
      <c r="C75" t="n">
        <v>1</v>
      </c>
      <c r="D75" t="n">
        <v>-0.25</v>
      </c>
      <c r="E75" t="n">
        <v>107</v>
      </c>
    </row>
    <row r="76">
      <c r="A76" t="s">
        <v>253</v>
      </c>
      <c r="B76" t="n">
        <v>-0.5</v>
      </c>
      <c r="C76" t="n">
        <v>175</v>
      </c>
      <c r="D76" t="n">
        <v>-0.25</v>
      </c>
      <c r="E76" t="n">
        <v>7</v>
      </c>
    </row>
    <row r="77">
      <c r="A77" t="s">
        <v>254</v>
      </c>
      <c r="B77" t="n">
        <v>-0.25</v>
      </c>
      <c r="C77" t="n">
        <v>2</v>
      </c>
      <c r="D77" t="n">
        <v>-0.25</v>
      </c>
      <c r="E77" t="n">
        <v>176</v>
      </c>
    </row>
    <row r="78">
      <c r="A78" t="s">
        <v>253</v>
      </c>
      <c r="B78" t="n">
        <v>-0.75</v>
      </c>
      <c r="C78" t="n">
        <v>94</v>
      </c>
      <c r="D78" t="n">
        <v>-0.25</v>
      </c>
      <c r="E78" t="n">
        <v>132</v>
      </c>
    </row>
    <row r="79">
      <c r="A79" t="s">
        <v>254</v>
      </c>
      <c r="B79" t="n">
        <v>-1</v>
      </c>
      <c r="C79" t="n">
        <v>75</v>
      </c>
      <c r="D79" t="n">
        <v>-0.25</v>
      </c>
      <c r="E79" t="n">
        <v>31</v>
      </c>
    </row>
    <row r="80">
      <c r="A80" t="s">
        <v>253</v>
      </c>
      <c r="B80" t="n">
        <v>-0.75</v>
      </c>
      <c r="C80" t="n">
        <v>93</v>
      </c>
      <c r="D80" t="n">
        <v>-0.25</v>
      </c>
      <c r="E80" t="n">
        <v>111</v>
      </c>
    </row>
    <row r="81">
      <c r="A81" t="s">
        <v>254</v>
      </c>
      <c r="B81" t="n">
        <v>-0.5</v>
      </c>
      <c r="C81" t="n">
        <v>80</v>
      </c>
      <c r="D81" t="n">
        <v>-0.25</v>
      </c>
      <c r="E81" t="n">
        <v>83</v>
      </c>
    </row>
    <row r="82">
      <c r="A82" t="s">
        <v>253</v>
      </c>
      <c r="B82" t="n">
        <v>-1</v>
      </c>
      <c r="C82" t="n">
        <v>168</v>
      </c>
      <c r="D82" t="n">
        <v>-0.25</v>
      </c>
      <c r="E82" t="n">
        <v>176</v>
      </c>
    </row>
    <row r="83">
      <c r="A83" t="s">
        <v>254</v>
      </c>
      <c r="B83" t="n">
        <v>-0.75</v>
      </c>
      <c r="C83" t="n">
        <v>8</v>
      </c>
      <c r="D83" t="n">
        <v>-0.25</v>
      </c>
      <c r="E83" t="n">
        <v>40</v>
      </c>
    </row>
    <row r="84">
      <c r="A84" t="s">
        <v>253</v>
      </c>
      <c r="B84" t="n">
        <v>-1.25</v>
      </c>
      <c r="C84" t="n">
        <v>6</v>
      </c>
      <c r="D84" t="n">
        <v>-0.25</v>
      </c>
      <c r="E84" t="n">
        <v>125</v>
      </c>
    </row>
    <row r="85">
      <c r="A85" t="s">
        <v>253</v>
      </c>
      <c r="B85" t="n">
        <v>-0.25</v>
      </c>
      <c r="C85" t="n">
        <v>64</v>
      </c>
      <c r="D85" t="n">
        <v>-0.25</v>
      </c>
      <c r="E85" t="n">
        <v>31</v>
      </c>
    </row>
    <row r="86">
      <c r="A86" t="s">
        <v>254</v>
      </c>
      <c r="B86" t="n">
        <v>-1</v>
      </c>
      <c r="C86" t="n">
        <v>127</v>
      </c>
      <c r="D86" t="n">
        <v>-0.5</v>
      </c>
      <c r="E86" t="n">
        <v>150</v>
      </c>
    </row>
    <row r="87">
      <c r="A87" t="s">
        <v>253</v>
      </c>
      <c r="B87" t="n">
        <v>-0.25</v>
      </c>
      <c r="C87" t="n">
        <v>172</v>
      </c>
      <c r="D87" t="n">
        <v>-0.25</v>
      </c>
      <c r="E87" t="n">
        <v>135</v>
      </c>
    </row>
    <row r="88">
      <c r="A88" t="s">
        <v>254</v>
      </c>
      <c r="B88" t="n">
        <v>-0.5</v>
      </c>
      <c r="C88" t="n">
        <v>3</v>
      </c>
      <c r="D88" t="n">
        <v>-0.25</v>
      </c>
      <c r="E88" t="n">
        <v>32</v>
      </c>
    </row>
    <row r="89">
      <c r="A89" t="s">
        <v>253</v>
      </c>
      <c r="B89" t="n">
        <v>-1</v>
      </c>
      <c r="C89" t="n">
        <v>14</v>
      </c>
      <c r="D89" t="n">
        <v>0</v>
      </c>
      <c r="E89" t="n">
        <v>171</v>
      </c>
    </row>
    <row r="90">
      <c r="A90" t="s">
        <v>253</v>
      </c>
      <c r="B90" t="n">
        <v>-0.25</v>
      </c>
      <c r="C90" t="n">
        <v>9</v>
      </c>
      <c r="D90" t="n">
        <v>0</v>
      </c>
      <c r="E90" t="n">
        <v>114</v>
      </c>
    </row>
    <row r="91">
      <c r="A91" t="s">
        <v>254</v>
      </c>
      <c r="B91" t="n">
        <v>-0.5</v>
      </c>
      <c r="C91" t="n">
        <v>3</v>
      </c>
      <c r="D91" t="n">
        <v>-0.25</v>
      </c>
      <c r="E91" t="n">
        <v>48</v>
      </c>
    </row>
    <row r="92">
      <c r="A92" t="s">
        <v>253</v>
      </c>
      <c r="B92" t="n">
        <v>-0.25</v>
      </c>
      <c r="C92" t="n">
        <v>21</v>
      </c>
      <c r="D92" t="n">
        <v>-0.25</v>
      </c>
      <c r="E92" t="n">
        <v>108</v>
      </c>
    </row>
    <row r="93">
      <c r="A93" t="s">
        <v>254</v>
      </c>
      <c r="B93" t="n">
        <v>-0.25</v>
      </c>
      <c r="C93" t="n">
        <v>146</v>
      </c>
      <c r="D93" t="n">
        <v>-0.25</v>
      </c>
      <c r="E93" t="n">
        <v>75</v>
      </c>
    </row>
    <row r="94">
      <c r="A94" t="s">
        <v>253</v>
      </c>
      <c r="B94" t="n">
        <v>-0.25</v>
      </c>
      <c r="C94" t="n">
        <v>180</v>
      </c>
      <c r="D94" t="n">
        <v>0</v>
      </c>
      <c r="E94" t="n">
        <v>167</v>
      </c>
    </row>
    <row r="95">
      <c r="A95" t="s">
        <v>254</v>
      </c>
      <c r="B95" t="n">
        <v>-0.5</v>
      </c>
      <c r="C95" t="n">
        <v>19</v>
      </c>
      <c r="D95" t="n">
        <v>0</v>
      </c>
      <c r="E95" t="n">
        <v>163</v>
      </c>
    </row>
    <row r="96">
      <c r="A96" t="s">
        <v>253</v>
      </c>
      <c r="B96" t="n">
        <v>-1</v>
      </c>
      <c r="C96" t="n">
        <v>95</v>
      </c>
      <c r="D96" t="n">
        <v>0</v>
      </c>
      <c r="E96" t="n">
        <v>32</v>
      </c>
    </row>
    <row r="97">
      <c r="A97" t="s">
        <v>253</v>
      </c>
      <c r="B97" t="n">
        <v>-0.75</v>
      </c>
      <c r="C97" t="n">
        <v>104</v>
      </c>
      <c r="D97" t="n">
        <v>-0.25</v>
      </c>
      <c r="E97" t="n">
        <v>84</v>
      </c>
    </row>
    <row r="98">
      <c r="A98" t="s">
        <v>254</v>
      </c>
      <c r="B98" t="n">
        <v>-0.5</v>
      </c>
      <c r="C98" t="n">
        <v>77</v>
      </c>
      <c r="D98" t="n">
        <v>-0.25</v>
      </c>
      <c r="E98" t="n">
        <v>48</v>
      </c>
    </row>
    <row r="99">
      <c r="A99" t="s">
        <v>253</v>
      </c>
      <c r="B99" t="n">
        <v>-0.75</v>
      </c>
      <c r="C99" t="n">
        <v>12</v>
      </c>
      <c r="D99"/>
      <c r="E99"/>
    </row>
    <row r="100">
      <c r="A100" t="s">
        <v>254</v>
      </c>
      <c r="B100" t="n">
        <v>-0.75</v>
      </c>
      <c r="C100" t="n">
        <v>5</v>
      </c>
      <c r="D100"/>
      <c r="E100"/>
    </row>
  </sheetData>
  <pageMargins left="0.7" right="0.7" top="0.75" bottom="0.75" header="0.3" footer="0.3"/>
  <pageSetup paperSize="9" orientation="portrait" horizontalDpi="300" verticalDpi="300" r:id="rId2"/>
  <tableParts count="1">
    <tablePart r:id="rId4"/>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9" t="s">
        <v>255</v>
      </c>
    </row>
    <row r="3">
      <c r="A3" s="1" t="s">
        <v>256</v>
      </c>
    </row>
    <row r="4">
      <c r="A4" t="s">
        <v>257</v>
      </c>
      <c r="B4" t="s">
        <v>258</v>
      </c>
      <c r="C4" t="s">
        <v>259</v>
      </c>
      <c r="D4" t="s">
        <v>260</v>
      </c>
      <c r="E4" t="s">
        <v>261</v>
      </c>
      <c r="F4" t="s">
        <v>262</v>
      </c>
      <c r="G4" t="s">
        <v>263</v>
      </c>
      <c r="H4" t="s">
        <v>264</v>
      </c>
      <c r="I4" t="s">
        <v>265</v>
      </c>
      <c r="J4" t="s">
        <v>266</v>
      </c>
      <c r="K4" t="s">
        <v>267</v>
      </c>
      <c r="L4" t="s">
        <v>268</v>
      </c>
      <c r="M4" t="s">
        <v>269</v>
      </c>
      <c r="N4" t="s">
        <v>270</v>
      </c>
      <c r="O4" t="s">
        <v>271</v>
      </c>
      <c r="P4" t="s">
        <v>272</v>
      </c>
      <c r="Q4" t="s">
        <v>273</v>
      </c>
      <c r="R4" t="s">
        <v>274</v>
      </c>
      <c r="S4" t="s">
        <v>275</v>
      </c>
    </row>
    <row r="5">
      <c r="A5" t="s">
        <v>276</v>
      </c>
      <c r="B5" t="s">
        <v>30</v>
      </c>
      <c r="C5" t="n">
        <v>90</v>
      </c>
      <c r="D5" t="n">
        <v>54</v>
      </c>
      <c r="E5" s="10" t="n">
        <v>-0.335915719666112</v>
      </c>
      <c r="F5" s="10" t="n">
        <v>-0.00534785108201875</v>
      </c>
      <c r="G5" s="10" t="n">
        <v>0.335958286443418</v>
      </c>
      <c r="H5" s="11" t="n">
        <v>90.4560420897964</v>
      </c>
      <c r="I5" t="s">
        <v>277</v>
      </c>
      <c r="J5" s="10" t="n">
        <v>0.971278554159414</v>
      </c>
      <c r="K5" s="10" t="n">
        <v>0.891666666666667</v>
      </c>
      <c r="L5" s="10" t="n">
        <v>0.513921364159271</v>
      </c>
      <c r="M5" s="10" t="n">
        <v>0.75</v>
      </c>
      <c r="N5" s="10" t="n">
        <v>0.25</v>
      </c>
      <c r="O5" s="10" t="n">
        <v>2.5</v>
      </c>
      <c r="P5" s="10" t="n">
        <v>1.02774023955472</v>
      </c>
      <c r="Q5" t="s">
        <v>278</v>
      </c>
      <c r="R5" t="n">
        <v>90</v>
      </c>
      <c r="S5" t="s">
        <v>279</v>
      </c>
    </row>
    <row r="6">
      <c r="A6" t="s">
        <v>276</v>
      </c>
      <c r="B6" t="s">
        <v>31</v>
      </c>
      <c r="C6" t="n">
        <v>99</v>
      </c>
      <c r="D6" t="n">
        <v>59</v>
      </c>
      <c r="E6" s="10" t="n">
        <v>-0.313814974498973</v>
      </c>
      <c r="F6" s="10" t="n">
        <v>0.0266447431762079</v>
      </c>
      <c r="G6" s="10" t="n">
        <v>0.314944091163364</v>
      </c>
      <c r="H6" s="11" t="n">
        <v>87.5734449607818</v>
      </c>
      <c r="I6" t="s">
        <v>280</v>
      </c>
      <c r="J6" s="10" t="n">
        <v>0.817610535107058</v>
      </c>
      <c r="K6" s="10" t="n">
        <v>0.772727272727273</v>
      </c>
      <c r="L6" s="10" t="n">
        <v>0.415102195879664</v>
      </c>
      <c r="M6" s="10" t="n">
        <v>0.75</v>
      </c>
      <c r="N6" s="10" t="n">
        <v>0.25</v>
      </c>
      <c r="O6" s="10" t="n">
        <v>2.25</v>
      </c>
      <c r="P6" s="10" t="n">
        <v>0.876171654230361</v>
      </c>
      <c r="Q6" t="s">
        <v>281</v>
      </c>
      <c r="R6" t="n">
        <v>99</v>
      </c>
      <c r="S6" t="s">
        <v>282</v>
      </c>
    </row>
    <row r="7">
      <c r="A7" t="s">
        <v>283</v>
      </c>
      <c r="B7" t="s">
        <v>30</v>
      </c>
      <c r="C7" t="n">
        <v>83</v>
      </c>
      <c r="D7" t="n">
        <v>50</v>
      </c>
      <c r="E7" s="10" t="n">
        <v>0.351474079254704</v>
      </c>
      <c r="F7" s="10" t="n">
        <v>0.0297714399157615</v>
      </c>
      <c r="G7" s="10" t="n">
        <v>0.352732713286703</v>
      </c>
      <c r="H7" s="11" t="n">
        <v>2.42082682795068</v>
      </c>
      <c r="I7" t="s">
        <v>284</v>
      </c>
      <c r="J7" s="10" t="n">
        <v>0.953034214699234</v>
      </c>
      <c r="K7" s="10" t="n">
        <v>0.888225280388998</v>
      </c>
      <c r="L7" s="10" t="n">
        <v>0.496712189240574</v>
      </c>
      <c r="M7" s="10" t="n">
        <v>0.75</v>
      </c>
      <c r="N7" s="10" t="n">
        <v>0.25</v>
      </c>
      <c r="O7" s="10" t="n">
        <v>2.29699870141587</v>
      </c>
      <c r="P7" s="10" t="n">
        <v>1.01621581438688</v>
      </c>
      <c r="Q7" t="s">
        <v>285</v>
      </c>
      <c r="R7" t="n">
        <v>83</v>
      </c>
      <c r="S7" t="s">
        <v>286</v>
      </c>
    </row>
    <row r="8">
      <c r="A8" t="s">
        <v>283</v>
      </c>
      <c r="B8" t="s">
        <v>31</v>
      </c>
      <c r="C8" t="n">
        <v>88</v>
      </c>
      <c r="D8" t="n">
        <v>53</v>
      </c>
      <c r="E8" s="10" t="n">
        <v>0.277446947870609</v>
      </c>
      <c r="F8" s="10" t="n">
        <v>-0.0148184761641111</v>
      </c>
      <c r="G8" s="10" t="n">
        <v>0.277842394386715</v>
      </c>
      <c r="H8" s="11" t="n">
        <v>178.471365072425</v>
      </c>
      <c r="I8" t="s">
        <v>287</v>
      </c>
      <c r="J8" s="10" t="n">
        <v>0.798455257174782</v>
      </c>
      <c r="K8" s="10" t="n">
        <v>0.735071907939966</v>
      </c>
      <c r="L8" s="10" t="n">
        <v>0.420001239609224</v>
      </c>
      <c r="M8" s="10" t="n">
        <v>0.584819233868124</v>
      </c>
      <c r="N8" s="10" t="n">
        <v>0.0522642316338267</v>
      </c>
      <c r="O8" s="10" t="n">
        <v>1.99349160030623</v>
      </c>
      <c r="P8" s="10" t="n">
        <v>0.845415397203405</v>
      </c>
      <c r="Q8" t="s">
        <v>288</v>
      </c>
      <c r="R8" t="n">
        <v>88</v>
      </c>
      <c r="S8" t="s">
        <v>289</v>
      </c>
    </row>
    <row r="9">
      <c r="A9" t="s">
        <v>290</v>
      </c>
      <c r="B9" t="s">
        <v>30</v>
      </c>
      <c r="C9" t="n">
        <v>83</v>
      </c>
      <c r="D9" t="n">
        <v>50</v>
      </c>
      <c r="E9" s="10" t="n">
        <v>-0.0281590659592739</v>
      </c>
      <c r="F9" s="10" t="n">
        <v>0.0157734553048334</v>
      </c>
      <c r="G9" s="10" t="n">
        <v>0.032275918080704</v>
      </c>
      <c r="H9" s="11" t="n">
        <v>75.3721960901722</v>
      </c>
      <c r="I9" t="s">
        <v>291</v>
      </c>
      <c r="J9" s="10" t="n">
        <v>0.295060459483479</v>
      </c>
      <c r="K9" s="10" t="n">
        <v>0.231927710843373</v>
      </c>
      <c r="L9" s="10" t="n">
        <v>0.186360899746841</v>
      </c>
      <c r="M9" s="10" t="n">
        <v>0.25</v>
      </c>
      <c r="N9" s="10" t="n">
        <v>0</v>
      </c>
      <c r="O9" s="10" t="n">
        <v>0.75</v>
      </c>
      <c r="P9" s="10" t="n">
        <v>0.296820500704642</v>
      </c>
      <c r="Q9" t="s">
        <v>285</v>
      </c>
      <c r="R9" t="n">
        <v>83</v>
      </c>
      <c r="S9" t="s">
        <v>286</v>
      </c>
    </row>
    <row r="10">
      <c r="A10" t="s">
        <v>290</v>
      </c>
      <c r="B10" t="s">
        <v>31</v>
      </c>
      <c r="C10" t="n">
        <v>88</v>
      </c>
      <c r="D10" t="n">
        <v>53</v>
      </c>
      <c r="E10" s="10" t="n">
        <v>0.0160366331803747</v>
      </c>
      <c r="F10" s="10" t="n">
        <v>0.0150900205897122</v>
      </c>
      <c r="G10" s="10" t="n">
        <v>0.0220200437138493</v>
      </c>
      <c r="H10" s="11" t="n">
        <v>21.6290391300182</v>
      </c>
      <c r="I10" t="s">
        <v>292</v>
      </c>
      <c r="J10" s="10" t="n">
        <v>0.268250441738727</v>
      </c>
      <c r="K10" s="10" t="n">
        <v>0.227272727272727</v>
      </c>
      <c r="L10" s="10" t="n">
        <v>0.145014682353973</v>
      </c>
      <c r="M10" s="10" t="n">
        <v>0.25</v>
      </c>
      <c r="N10" s="10" t="n">
        <v>0</v>
      </c>
      <c r="O10" s="10" t="n">
        <v>0.75</v>
      </c>
      <c r="P10" s="10" t="n">
        <v>0.269152710961978</v>
      </c>
      <c r="Q10" t="s">
        <v>288</v>
      </c>
      <c r="R10" t="n">
        <v>88</v>
      </c>
      <c r="S10" t="s">
        <v>289</v>
      </c>
    </row>
    <row r="12">
      <c r="A12" s="1" t="s">
        <v>293</v>
      </c>
    </row>
    <row r="13">
      <c r="A13" t="s">
        <v>257</v>
      </c>
      <c r="B13" t="s">
        <v>258</v>
      </c>
      <c r="C13" t="s">
        <v>259</v>
      </c>
      <c r="D13" t="s">
        <v>294</v>
      </c>
      <c r="E13" t="s">
        <v>295</v>
      </c>
      <c r="F13" t="s">
        <v>296</v>
      </c>
      <c r="G13" t="s">
        <v>297</v>
      </c>
      <c r="H13" t="s">
        <v>298</v>
      </c>
      <c r="I13" t="s">
        <v>299</v>
      </c>
      <c r="J13" t="s">
        <v>300</v>
      </c>
      <c r="K13" t="s">
        <v>301</v>
      </c>
      <c r="L13" t="s">
        <v>302</v>
      </c>
    </row>
    <row r="14">
      <c r="A14" t="s">
        <v>276</v>
      </c>
      <c r="B14" t="s">
        <v>30</v>
      </c>
      <c r="C14" t="n">
        <v>90</v>
      </c>
      <c r="D14" s="12" t="n">
        <v>10</v>
      </c>
      <c r="E14" s="12" t="n">
        <v>36.6666666666667</v>
      </c>
      <c r="F14" s="12" t="n">
        <v>60</v>
      </c>
      <c r="G14" s="12" t="n">
        <v>74.4444444444444</v>
      </c>
      <c r="H14" s="12" t="n">
        <v>83.3333333333333</v>
      </c>
      <c r="I14" s="12" t="n">
        <v>90</v>
      </c>
      <c r="J14" s="12" t="n">
        <v>94.4444444444444</v>
      </c>
      <c r="K14" s="12" t="n">
        <v>95.5555555555556</v>
      </c>
      <c r="L14" s="12" t="n">
        <v>25.5555555555556</v>
      </c>
    </row>
    <row r="15">
      <c r="A15" t="s">
        <v>276</v>
      </c>
      <c r="B15" t="s">
        <v>31</v>
      </c>
      <c r="C15" t="n">
        <v>99</v>
      </c>
      <c r="D15" s="12" t="n">
        <v>14.1414141414141</v>
      </c>
      <c r="E15" s="12" t="n">
        <v>44.4444444444444</v>
      </c>
      <c r="F15" s="12" t="n">
        <v>67.6767676767677</v>
      </c>
      <c r="G15" s="12" t="n">
        <v>80.8080808080808</v>
      </c>
      <c r="H15" s="12" t="n">
        <v>88.8888888888889</v>
      </c>
      <c r="I15" s="12" t="n">
        <v>96.969696969697</v>
      </c>
      <c r="J15" s="12" t="n">
        <v>98.989898989899</v>
      </c>
      <c r="K15" s="12" t="n">
        <v>98.989898989899</v>
      </c>
      <c r="L15" s="12" t="n">
        <v>19.1919191919192</v>
      </c>
    </row>
    <row r="16">
      <c r="A16" t="s">
        <v>283</v>
      </c>
      <c r="B16" t="s">
        <v>30</v>
      </c>
      <c r="C16" t="n">
        <v>83</v>
      </c>
      <c r="D16" s="12" t="n">
        <v>6.02409638554217</v>
      </c>
      <c r="E16" s="12" t="n">
        <v>27.710843373494</v>
      </c>
      <c r="F16" s="12" t="n">
        <v>53.0120481927711</v>
      </c>
      <c r="G16" s="12" t="n">
        <v>67.4698795180723</v>
      </c>
      <c r="H16" s="12" t="n">
        <v>78.3132530120482</v>
      </c>
      <c r="I16" s="12" t="n">
        <v>86.7469879518072</v>
      </c>
      <c r="J16" s="12" t="n">
        <v>93.9759036144578</v>
      </c>
      <c r="K16" s="12" t="n">
        <v>95.1807228915663</v>
      </c>
      <c r="L16" s="12" t="n">
        <v>32.5301204819277</v>
      </c>
    </row>
    <row r="17">
      <c r="A17" t="s">
        <v>283</v>
      </c>
      <c r="B17" t="s">
        <v>31</v>
      </c>
      <c r="C17" t="n">
        <v>88</v>
      </c>
      <c r="D17" s="12" t="n">
        <v>5.68181818181818</v>
      </c>
      <c r="E17" s="12" t="n">
        <v>39.7727272727273</v>
      </c>
      <c r="F17" s="12" t="n">
        <v>64.7727272727273</v>
      </c>
      <c r="G17" s="12" t="n">
        <v>75</v>
      </c>
      <c r="H17" s="12" t="n">
        <v>82.9545454545455</v>
      </c>
      <c r="I17" s="12" t="n">
        <v>95.4545454545455</v>
      </c>
      <c r="J17" s="12" t="n">
        <v>97.7272727272727</v>
      </c>
      <c r="K17" s="12" t="n">
        <v>100</v>
      </c>
      <c r="L17" s="12" t="n">
        <v>25</v>
      </c>
    </row>
    <row r="18">
      <c r="A18" t="s">
        <v>290</v>
      </c>
      <c r="B18" t="s">
        <v>30</v>
      </c>
      <c r="C18" t="n">
        <v>83</v>
      </c>
      <c r="D18" s="12" t="n">
        <v>83.1325301204819</v>
      </c>
      <c r="E18" s="12" t="n">
        <v>96.3855421686747</v>
      </c>
      <c r="F18" s="12" t="n">
        <v>100</v>
      </c>
      <c r="G18" s="12" t="n">
        <v>100</v>
      </c>
      <c r="H18" s="12" t="n">
        <v>100</v>
      </c>
      <c r="I18" s="12" t="n">
        <v>100</v>
      </c>
      <c r="J18" s="12" t="n">
        <v>100</v>
      </c>
      <c r="K18" s="12" t="n">
        <v>100</v>
      </c>
      <c r="L18" s="12" t="n">
        <v>0</v>
      </c>
    </row>
    <row r="19">
      <c r="A19" t="s">
        <v>290</v>
      </c>
      <c r="B19" t="s">
        <v>31</v>
      </c>
      <c r="C19" t="n">
        <v>88</v>
      </c>
      <c r="D19" s="12" t="n">
        <v>89.7727272727273</v>
      </c>
      <c r="E19" s="12" t="n">
        <v>98.8636363636364</v>
      </c>
      <c r="F19" s="12" t="n">
        <v>100</v>
      </c>
      <c r="G19" s="12" t="n">
        <v>100</v>
      </c>
      <c r="H19" s="12" t="n">
        <v>100</v>
      </c>
      <c r="I19" s="12" t="n">
        <v>100</v>
      </c>
      <c r="J19" s="12" t="n">
        <v>100</v>
      </c>
      <c r="K19" s="12" t="n">
        <v>100</v>
      </c>
      <c r="L19" s="12" t="n">
        <v>0</v>
      </c>
    </row>
    <row r="21">
      <c r="A21" s="1" t="s">
        <v>303</v>
      </c>
    </row>
    <row r="22">
      <c r="A22" t="s">
        <v>257</v>
      </c>
      <c r="B22" t="s">
        <v>258</v>
      </c>
      <c r="C22" t="s">
        <v>259</v>
      </c>
      <c r="D22" t="s">
        <v>260</v>
      </c>
      <c r="E22" t="s">
        <v>40</v>
      </c>
      <c r="F22" t="s">
        <v>39</v>
      </c>
      <c r="G22" t="s">
        <v>304</v>
      </c>
      <c r="H22" t="s">
        <v>1</v>
      </c>
    </row>
    <row r="23">
      <c r="A23" t="s">
        <v>276</v>
      </c>
      <c r="B23" t="s">
        <v>30</v>
      </c>
      <c r="C23" t="n">
        <v>90</v>
      </c>
      <c r="D23" t="n">
        <v>54</v>
      </c>
      <c r="E23" t="s">
        <v>305</v>
      </c>
      <c r="F23" t="s">
        <v>71</v>
      </c>
      <c r="G23" t="s">
        <v>306</v>
      </c>
      <c r="H23" t="s">
        <v>94</v>
      </c>
    </row>
    <row r="24">
      <c r="A24" t="s">
        <v>276</v>
      </c>
      <c r="B24" t="s">
        <v>31</v>
      </c>
      <c r="C24" t="n">
        <v>99</v>
      </c>
      <c r="D24" t="n">
        <v>59</v>
      </c>
      <c r="E24" t="s">
        <v>305</v>
      </c>
      <c r="F24" t="s">
        <v>71</v>
      </c>
      <c r="G24" t="s">
        <v>306</v>
      </c>
      <c r="H24" t="s">
        <v>94</v>
      </c>
    </row>
    <row r="25">
      <c r="A25" t="s">
        <v>283</v>
      </c>
      <c r="B25" t="s">
        <v>30</v>
      </c>
      <c r="C25" t="n">
        <v>83</v>
      </c>
      <c r="D25" t="n">
        <v>50</v>
      </c>
      <c r="E25" t="s">
        <v>305</v>
      </c>
      <c r="F25" t="s">
        <v>307</v>
      </c>
      <c r="G25" t="s">
        <v>308</v>
      </c>
      <c r="H25" t="s">
        <v>94</v>
      </c>
    </row>
    <row r="26">
      <c r="A26" t="s">
        <v>283</v>
      </c>
      <c r="B26" t="s">
        <v>31</v>
      </c>
      <c r="C26" t="n">
        <v>88</v>
      </c>
      <c r="D26" t="n">
        <v>53</v>
      </c>
      <c r="E26" t="s">
        <v>305</v>
      </c>
      <c r="F26" t="s">
        <v>309</v>
      </c>
      <c r="G26" t="s">
        <v>309</v>
      </c>
      <c r="H26" t="s">
        <v>94</v>
      </c>
    </row>
    <row r="27">
      <c r="A27" t="s">
        <v>290</v>
      </c>
      <c r="B27" t="s">
        <v>30</v>
      </c>
      <c r="C27" t="n">
        <v>83</v>
      </c>
      <c r="D27" t="n">
        <v>50</v>
      </c>
      <c r="E27" t="s">
        <v>305</v>
      </c>
      <c r="F27" t="s">
        <v>86</v>
      </c>
      <c r="G27" t="s">
        <v>310</v>
      </c>
      <c r="H27" t="s">
        <v>94</v>
      </c>
    </row>
    <row r="28">
      <c r="A28" t="s">
        <v>290</v>
      </c>
      <c r="B28" t="s">
        <v>31</v>
      </c>
      <c r="C28" t="n">
        <v>88</v>
      </c>
      <c r="D28" t="n">
        <v>53</v>
      </c>
      <c r="E28" t="s">
        <v>305</v>
      </c>
      <c r="F28" t="s">
        <v>311</v>
      </c>
      <c r="G28" t="s">
        <v>310</v>
      </c>
      <c r="H28" t="s">
        <v>94</v>
      </c>
    </row>
    <row r="30">
      <c r="A30" s="1" t="s">
        <v>312</v>
      </c>
    </row>
    <row r="31">
      <c r="A31" t="s">
        <v>257</v>
      </c>
      <c r="B31" t="s">
        <v>313</v>
      </c>
      <c r="C31" t="s">
        <v>314</v>
      </c>
      <c r="D31" t="s">
        <v>315</v>
      </c>
      <c r="E31" t="s">
        <v>40</v>
      </c>
      <c r="F31" t="s">
        <v>39</v>
      </c>
      <c r="G31" t="s">
        <v>316</v>
      </c>
      <c r="H31" t="s">
        <v>317</v>
      </c>
      <c r="I31" t="s">
        <v>1</v>
      </c>
    </row>
    <row r="32">
      <c r="A32" t="s">
        <v>276</v>
      </c>
      <c r="B32" t="s">
        <v>318</v>
      </c>
      <c r="C32" t="s">
        <v>265</v>
      </c>
      <c r="D32" t="s">
        <v>319</v>
      </c>
      <c r="E32" t="s">
        <v>320</v>
      </c>
      <c r="F32" t="s">
        <v>321</v>
      </c>
      <c r="G32" t="s">
        <v>94</v>
      </c>
      <c r="H32" t="s">
        <v>98</v>
      </c>
      <c r="I32" t="s">
        <v>94</v>
      </c>
    </row>
    <row r="33">
      <c r="A33" t="s">
        <v>276</v>
      </c>
      <c r="B33" t="s">
        <v>318</v>
      </c>
      <c r="C33" t="s">
        <v>322</v>
      </c>
      <c r="D33" t="s">
        <v>323</v>
      </c>
      <c r="E33" t="s">
        <v>324</v>
      </c>
      <c r="F33" t="s">
        <v>325</v>
      </c>
      <c r="G33" t="s">
        <v>94</v>
      </c>
      <c r="H33" t="s">
        <v>98</v>
      </c>
      <c r="I33" t="s">
        <v>94</v>
      </c>
    </row>
    <row r="34">
      <c r="A34" t="s">
        <v>276</v>
      </c>
      <c r="B34" t="s">
        <v>318</v>
      </c>
      <c r="C34" t="s">
        <v>326</v>
      </c>
      <c r="D34" t="s">
        <v>327</v>
      </c>
      <c r="E34" t="s">
        <v>324</v>
      </c>
      <c r="F34" t="s">
        <v>174</v>
      </c>
      <c r="G34" t="s">
        <v>94</v>
      </c>
      <c r="H34" t="s">
        <v>98</v>
      </c>
      <c r="I34" t="s">
        <v>94</v>
      </c>
    </row>
    <row r="35">
      <c r="A35" t="s">
        <v>276</v>
      </c>
      <c r="B35" t="s">
        <v>318</v>
      </c>
      <c r="C35" t="s">
        <v>328</v>
      </c>
      <c r="D35" t="s">
        <v>329</v>
      </c>
      <c r="E35" t="s">
        <v>330</v>
      </c>
      <c r="F35" t="s">
        <v>331</v>
      </c>
      <c r="G35" t="s">
        <v>94</v>
      </c>
      <c r="H35" t="s">
        <v>98</v>
      </c>
      <c r="I35" t="s">
        <v>94</v>
      </c>
    </row>
    <row r="36">
      <c r="A36" t="s">
        <v>276</v>
      </c>
      <c r="B36" t="s">
        <v>318</v>
      </c>
      <c r="C36" t="s">
        <v>332</v>
      </c>
      <c r="D36" t="s">
        <v>333</v>
      </c>
      <c r="E36" t="s">
        <v>330</v>
      </c>
      <c r="F36" t="s">
        <v>334</v>
      </c>
      <c r="G36" t="s">
        <v>94</v>
      </c>
      <c r="H36" t="s">
        <v>98</v>
      </c>
      <c r="I36" t="s">
        <v>94</v>
      </c>
    </row>
    <row r="37">
      <c r="A37" t="s">
        <v>276</v>
      </c>
      <c r="B37" t="s">
        <v>318</v>
      </c>
      <c r="C37" t="s">
        <v>335</v>
      </c>
      <c r="D37" t="s">
        <v>336</v>
      </c>
      <c r="E37" t="s">
        <v>330</v>
      </c>
      <c r="F37" t="s">
        <v>86</v>
      </c>
      <c r="G37" t="s">
        <v>94</v>
      </c>
      <c r="H37" t="s">
        <v>98</v>
      </c>
      <c r="I37" t="s">
        <v>94</v>
      </c>
    </row>
    <row r="38">
      <c r="A38" t="s">
        <v>276</v>
      </c>
      <c r="B38" t="s">
        <v>318</v>
      </c>
      <c r="C38" t="s">
        <v>337</v>
      </c>
      <c r="D38" t="s">
        <v>338</v>
      </c>
      <c r="E38" t="s">
        <v>330</v>
      </c>
      <c r="F38" t="s">
        <v>339</v>
      </c>
      <c r="G38" t="s">
        <v>94</v>
      </c>
      <c r="H38" t="s">
        <v>98</v>
      </c>
      <c r="I38" t="s">
        <v>94</v>
      </c>
    </row>
    <row r="39">
      <c r="A39" t="s">
        <v>276</v>
      </c>
      <c r="B39" t="s">
        <v>318</v>
      </c>
      <c r="C39" t="s">
        <v>340</v>
      </c>
      <c r="D39" t="s">
        <v>341</v>
      </c>
      <c r="E39" t="s">
        <v>330</v>
      </c>
      <c r="F39" t="s">
        <v>342</v>
      </c>
      <c r="G39" t="s">
        <v>94</v>
      </c>
      <c r="H39" t="s">
        <v>98</v>
      </c>
      <c r="I39" t="s">
        <v>94</v>
      </c>
    </row>
    <row r="40">
      <c r="A40" t="s">
        <v>276</v>
      </c>
      <c r="B40" t="s">
        <v>318</v>
      </c>
      <c r="C40" t="s">
        <v>343</v>
      </c>
      <c r="D40" t="s">
        <v>344</v>
      </c>
      <c r="E40" t="s">
        <v>330</v>
      </c>
      <c r="F40" t="s">
        <v>345</v>
      </c>
      <c r="G40" t="s">
        <v>94</v>
      </c>
      <c r="H40" t="s">
        <v>346</v>
      </c>
      <c r="I40" t="s">
        <v>94</v>
      </c>
    </row>
    <row r="41">
      <c r="A41" t="s">
        <v>276</v>
      </c>
      <c r="B41" t="s">
        <v>318</v>
      </c>
      <c r="C41" t="s">
        <v>347</v>
      </c>
      <c r="D41" t="s">
        <v>348</v>
      </c>
      <c r="E41" t="s">
        <v>330</v>
      </c>
      <c r="F41" t="s">
        <v>349</v>
      </c>
      <c r="G41" t="s">
        <v>94</v>
      </c>
      <c r="H41" t="s">
        <v>98</v>
      </c>
      <c r="I41" t="s">
        <v>94</v>
      </c>
    </row>
    <row r="42">
      <c r="A42" t="s">
        <v>276</v>
      </c>
      <c r="B42" t="s">
        <v>318</v>
      </c>
      <c r="C42" t="s">
        <v>350</v>
      </c>
      <c r="D42" t="s">
        <v>351</v>
      </c>
      <c r="E42" t="s">
        <v>330</v>
      </c>
      <c r="F42" t="s">
        <v>352</v>
      </c>
      <c r="G42" t="s">
        <v>94</v>
      </c>
      <c r="H42" t="s">
        <v>98</v>
      </c>
      <c r="I42" t="s">
        <v>94</v>
      </c>
    </row>
    <row r="43">
      <c r="A43" t="s">
        <v>283</v>
      </c>
      <c r="B43" t="s">
        <v>318</v>
      </c>
      <c r="C43" t="s">
        <v>265</v>
      </c>
      <c r="D43" t="s">
        <v>353</v>
      </c>
      <c r="E43" t="s">
        <v>320</v>
      </c>
      <c r="F43" t="s">
        <v>354</v>
      </c>
      <c r="G43" t="s">
        <v>94</v>
      </c>
      <c r="H43" t="s">
        <v>98</v>
      </c>
      <c r="I43" t="s">
        <v>94</v>
      </c>
    </row>
    <row r="44">
      <c r="A44" t="s">
        <v>283</v>
      </c>
      <c r="B44" t="s">
        <v>318</v>
      </c>
      <c r="C44" t="s">
        <v>322</v>
      </c>
      <c r="D44" t="s">
        <v>355</v>
      </c>
      <c r="E44" t="s">
        <v>324</v>
      </c>
      <c r="F44" t="s">
        <v>356</v>
      </c>
      <c r="G44" t="s">
        <v>94</v>
      </c>
      <c r="H44" t="s">
        <v>98</v>
      </c>
      <c r="I44" t="s">
        <v>94</v>
      </c>
    </row>
    <row r="45">
      <c r="A45" t="s">
        <v>283</v>
      </c>
      <c r="B45" t="s">
        <v>318</v>
      </c>
      <c r="C45" t="s">
        <v>326</v>
      </c>
      <c r="D45" t="s">
        <v>357</v>
      </c>
      <c r="E45" t="s">
        <v>324</v>
      </c>
      <c r="F45" t="s">
        <v>358</v>
      </c>
      <c r="G45" t="s">
        <v>94</v>
      </c>
      <c r="H45" t="s">
        <v>98</v>
      </c>
      <c r="I45" t="s">
        <v>94</v>
      </c>
    </row>
    <row r="46">
      <c r="A46" t="s">
        <v>283</v>
      </c>
      <c r="B46" t="s">
        <v>318</v>
      </c>
      <c r="C46" t="s">
        <v>328</v>
      </c>
      <c r="D46" t="s">
        <v>359</v>
      </c>
      <c r="E46" t="s">
        <v>330</v>
      </c>
      <c r="F46" t="s">
        <v>197</v>
      </c>
      <c r="G46" t="s">
        <v>94</v>
      </c>
      <c r="H46" t="s">
        <v>98</v>
      </c>
      <c r="I46" t="s">
        <v>94</v>
      </c>
    </row>
    <row r="47">
      <c r="A47" t="s">
        <v>283</v>
      </c>
      <c r="B47" t="s">
        <v>318</v>
      </c>
      <c r="C47" t="s">
        <v>332</v>
      </c>
      <c r="D47" t="s">
        <v>360</v>
      </c>
      <c r="E47" t="s">
        <v>330</v>
      </c>
      <c r="F47" t="s">
        <v>361</v>
      </c>
      <c r="G47" t="s">
        <v>94</v>
      </c>
      <c r="H47" t="s">
        <v>98</v>
      </c>
      <c r="I47" t="s">
        <v>94</v>
      </c>
    </row>
    <row r="48">
      <c r="A48" t="s">
        <v>283</v>
      </c>
      <c r="B48" t="s">
        <v>318</v>
      </c>
      <c r="C48" t="s">
        <v>335</v>
      </c>
      <c r="D48" t="s">
        <v>362</v>
      </c>
      <c r="E48" t="s">
        <v>330</v>
      </c>
      <c r="F48" t="s">
        <v>363</v>
      </c>
      <c r="G48" t="s">
        <v>94</v>
      </c>
      <c r="H48" t="s">
        <v>98</v>
      </c>
      <c r="I48" t="s">
        <v>94</v>
      </c>
    </row>
    <row r="49">
      <c r="A49" t="s">
        <v>283</v>
      </c>
      <c r="B49" t="s">
        <v>318</v>
      </c>
      <c r="C49" t="s">
        <v>337</v>
      </c>
      <c r="D49" t="s">
        <v>364</v>
      </c>
      <c r="E49" t="s">
        <v>330</v>
      </c>
      <c r="F49" t="s">
        <v>331</v>
      </c>
      <c r="G49" t="s">
        <v>94</v>
      </c>
      <c r="H49" t="s">
        <v>98</v>
      </c>
      <c r="I49" t="s">
        <v>94</v>
      </c>
    </row>
    <row r="50">
      <c r="A50" t="s">
        <v>283</v>
      </c>
      <c r="B50" t="s">
        <v>318</v>
      </c>
      <c r="C50" t="s">
        <v>340</v>
      </c>
      <c r="D50" t="s">
        <v>365</v>
      </c>
      <c r="E50" t="s">
        <v>330</v>
      </c>
      <c r="F50" t="s">
        <v>366</v>
      </c>
      <c r="G50" t="s">
        <v>94</v>
      </c>
      <c r="H50" t="s">
        <v>98</v>
      </c>
      <c r="I50" t="s">
        <v>94</v>
      </c>
    </row>
    <row r="51">
      <c r="A51" t="s">
        <v>283</v>
      </c>
      <c r="B51" t="s">
        <v>318</v>
      </c>
      <c r="C51" t="s">
        <v>343</v>
      </c>
      <c r="D51" t="s">
        <v>367</v>
      </c>
      <c r="E51" t="s">
        <v>330</v>
      </c>
      <c r="F51" t="s">
        <v>349</v>
      </c>
      <c r="G51" t="s">
        <v>94</v>
      </c>
      <c r="H51" t="s">
        <v>98</v>
      </c>
      <c r="I51" t="s">
        <v>94</v>
      </c>
    </row>
    <row r="52">
      <c r="A52" t="s">
        <v>283</v>
      </c>
      <c r="B52" t="s">
        <v>318</v>
      </c>
      <c r="C52" t="s">
        <v>347</v>
      </c>
      <c r="D52" t="s">
        <v>368</v>
      </c>
      <c r="E52" t="s">
        <v>330</v>
      </c>
      <c r="F52" t="s">
        <v>325</v>
      </c>
      <c r="G52" t="s">
        <v>94</v>
      </c>
      <c r="H52" t="s">
        <v>98</v>
      </c>
      <c r="I52" t="s">
        <v>94</v>
      </c>
    </row>
    <row r="53">
      <c r="A53" t="s">
        <v>283</v>
      </c>
      <c r="B53" t="s">
        <v>318</v>
      </c>
      <c r="C53" t="s">
        <v>350</v>
      </c>
      <c r="D53" t="s">
        <v>369</v>
      </c>
      <c r="E53" t="s">
        <v>370</v>
      </c>
      <c r="F53" t="s">
        <v>371</v>
      </c>
      <c r="G53" t="s">
        <v>94</v>
      </c>
      <c r="H53" t="s">
        <v>372</v>
      </c>
      <c r="I53" t="s">
        <v>94</v>
      </c>
    </row>
    <row r="54">
      <c r="A54" t="s">
        <v>290</v>
      </c>
      <c r="B54" t="s">
        <v>318</v>
      </c>
      <c r="C54" t="s">
        <v>265</v>
      </c>
      <c r="D54" t="s">
        <v>373</v>
      </c>
      <c r="E54" t="s">
        <v>320</v>
      </c>
      <c r="F54" t="s">
        <v>331</v>
      </c>
      <c r="G54" t="s">
        <v>94</v>
      </c>
      <c r="H54" t="s">
        <v>98</v>
      </c>
      <c r="I54" t="s">
        <v>94</v>
      </c>
    </row>
    <row r="55">
      <c r="A55" t="s">
        <v>290</v>
      </c>
      <c r="B55" t="s">
        <v>318</v>
      </c>
      <c r="C55" t="s">
        <v>322</v>
      </c>
      <c r="D55" t="s">
        <v>374</v>
      </c>
      <c r="E55" t="s">
        <v>324</v>
      </c>
      <c r="F55" t="s">
        <v>334</v>
      </c>
      <c r="G55" t="s">
        <v>94</v>
      </c>
      <c r="H55" t="s">
        <v>98</v>
      </c>
      <c r="I55" t="s">
        <v>94</v>
      </c>
    </row>
    <row r="56">
      <c r="A56" t="s">
        <v>290</v>
      </c>
      <c r="B56" t="s">
        <v>318</v>
      </c>
      <c r="C56" t="s">
        <v>326</v>
      </c>
      <c r="D56" t="s">
        <v>375</v>
      </c>
      <c r="E56" t="s">
        <v>376</v>
      </c>
      <c r="F56" t="s">
        <v>377</v>
      </c>
      <c r="G56" t="s">
        <v>94</v>
      </c>
      <c r="H56" t="s">
        <v>98</v>
      </c>
      <c r="I56" t="s">
        <v>94</v>
      </c>
    </row>
    <row r="57">
      <c r="A57" t="s">
        <v>290</v>
      </c>
      <c r="B57" t="s">
        <v>318</v>
      </c>
      <c r="C57" t="s">
        <v>328</v>
      </c>
      <c r="D57" t="s">
        <v>378</v>
      </c>
      <c r="E57" t="s">
        <v>330</v>
      </c>
      <c r="F57" t="s">
        <v>363</v>
      </c>
      <c r="G57" t="s">
        <v>94</v>
      </c>
      <c r="H57" t="s">
        <v>98</v>
      </c>
      <c r="I57" t="s">
        <v>94</v>
      </c>
    </row>
    <row r="58">
      <c r="A58" t="s">
        <v>290</v>
      </c>
      <c r="B58" t="s">
        <v>318</v>
      </c>
      <c r="C58" t="s">
        <v>332</v>
      </c>
      <c r="D58" t="s">
        <v>379</v>
      </c>
      <c r="E58" t="s">
        <v>330</v>
      </c>
      <c r="F58" t="s">
        <v>380</v>
      </c>
      <c r="G58" t="s">
        <v>94</v>
      </c>
      <c r="H58" t="s">
        <v>98</v>
      </c>
      <c r="I58" t="s">
        <v>94</v>
      </c>
    </row>
    <row r="59">
      <c r="A59" t="s">
        <v>290</v>
      </c>
      <c r="B59" t="s">
        <v>318</v>
      </c>
      <c r="C59" t="s">
        <v>335</v>
      </c>
      <c r="D59" t="s">
        <v>381</v>
      </c>
      <c r="E59" t="s">
        <v>382</v>
      </c>
      <c r="F59" t="s">
        <v>94</v>
      </c>
      <c r="G59" t="s">
        <v>94</v>
      </c>
      <c r="H59" t="s">
        <v>94</v>
      </c>
      <c r="I59" t="s">
        <v>383</v>
      </c>
    </row>
    <row r="60">
      <c r="A60" t="s">
        <v>290</v>
      </c>
      <c r="B60" t="s">
        <v>318</v>
      </c>
      <c r="C60" t="s">
        <v>337</v>
      </c>
      <c r="D60" t="s">
        <v>381</v>
      </c>
      <c r="E60" t="s">
        <v>382</v>
      </c>
      <c r="F60" t="s">
        <v>94</v>
      </c>
      <c r="G60" t="s">
        <v>94</v>
      </c>
      <c r="H60" t="s">
        <v>94</v>
      </c>
      <c r="I60" t="s">
        <v>384</v>
      </c>
    </row>
    <row r="61">
      <c r="A61" t="s">
        <v>290</v>
      </c>
      <c r="B61" t="s">
        <v>318</v>
      </c>
      <c r="C61" t="s">
        <v>340</v>
      </c>
      <c r="D61" t="s">
        <v>381</v>
      </c>
      <c r="E61" t="s">
        <v>382</v>
      </c>
      <c r="F61" t="s">
        <v>94</v>
      </c>
      <c r="G61" t="s">
        <v>94</v>
      </c>
      <c r="H61" t="s">
        <v>94</v>
      </c>
      <c r="I61" t="s">
        <v>385</v>
      </c>
    </row>
    <row r="62">
      <c r="A62" t="s">
        <v>290</v>
      </c>
      <c r="B62" t="s">
        <v>318</v>
      </c>
      <c r="C62" t="s">
        <v>343</v>
      </c>
      <c r="D62" t="s">
        <v>381</v>
      </c>
      <c r="E62" t="s">
        <v>382</v>
      </c>
      <c r="F62" t="s">
        <v>94</v>
      </c>
      <c r="G62" t="s">
        <v>94</v>
      </c>
      <c r="H62" t="s">
        <v>94</v>
      </c>
      <c r="I62" t="s">
        <v>386</v>
      </c>
    </row>
    <row r="63">
      <c r="A63" t="s">
        <v>290</v>
      </c>
      <c r="B63" t="s">
        <v>318</v>
      </c>
      <c r="C63" t="s">
        <v>347</v>
      </c>
      <c r="D63" t="s">
        <v>381</v>
      </c>
      <c r="E63" t="s">
        <v>382</v>
      </c>
      <c r="F63" t="s">
        <v>94</v>
      </c>
      <c r="G63" t="s">
        <v>94</v>
      </c>
      <c r="H63" t="s">
        <v>94</v>
      </c>
      <c r="I63" t="s">
        <v>387</v>
      </c>
    </row>
    <row r="64">
      <c r="A64" t="s">
        <v>290</v>
      </c>
      <c r="B64" t="s">
        <v>318</v>
      </c>
      <c r="C64" t="s">
        <v>350</v>
      </c>
      <c r="D64" t="s">
        <v>381</v>
      </c>
      <c r="E64" t="s">
        <v>382</v>
      </c>
      <c r="F64" t="s">
        <v>94</v>
      </c>
      <c r="G64" t="s">
        <v>94</v>
      </c>
      <c r="H64" t="s">
        <v>94</v>
      </c>
      <c r="I64" t="s">
        <v>388</v>
      </c>
    </row>
    <row r="66">
      <c r="A66" s="1" t="s">
        <v>389</v>
      </c>
    </row>
    <row r="67">
      <c r="A67" t="s">
        <v>258</v>
      </c>
      <c r="B67" t="s">
        <v>390</v>
      </c>
      <c r="C67" t="s">
        <v>259</v>
      </c>
      <c r="D67" t="s">
        <v>260</v>
      </c>
      <c r="E67" t="s">
        <v>391</v>
      </c>
      <c r="F67" t="s">
        <v>392</v>
      </c>
      <c r="G67" t="s">
        <v>393</v>
      </c>
      <c r="H67" t="s">
        <v>394</v>
      </c>
      <c r="I67" t="s">
        <v>40</v>
      </c>
      <c r="J67" t="s">
        <v>395</v>
      </c>
      <c r="K67" t="s">
        <v>39</v>
      </c>
      <c r="L67" t="s">
        <v>396</v>
      </c>
      <c r="M67" t="s">
        <v>1</v>
      </c>
    </row>
    <row r="68">
      <c r="A68" t="s">
        <v>30</v>
      </c>
      <c r="B68" t="s">
        <v>328</v>
      </c>
      <c r="C68" t="n">
        <v>83</v>
      </c>
      <c r="D68" t="n">
        <v>50</v>
      </c>
      <c r="E68" s="12" t="n">
        <v>9.63855421686747</v>
      </c>
      <c r="F68" s="12" t="n">
        <v>83.1325301204819</v>
      </c>
      <c r="G68" t="n">
        <v>61</v>
      </c>
      <c r="H68" t="n">
        <v>0</v>
      </c>
      <c r="I68" t="s">
        <v>397</v>
      </c>
      <c r="J68" s="10" t="n">
        <v>36.126213592233</v>
      </c>
      <c r="K68" t="s">
        <v>55</v>
      </c>
      <c r="L68" t="s">
        <v>55</v>
      </c>
      <c r="M68" t="s">
        <v>94</v>
      </c>
    </row>
    <row r="69">
      <c r="A69" t="s">
        <v>30</v>
      </c>
      <c r="B69" t="s">
        <v>332</v>
      </c>
      <c r="C69" t="n">
        <v>83</v>
      </c>
      <c r="D69" t="n">
        <v>50</v>
      </c>
      <c r="E69" s="12" t="n">
        <v>36.144578313253</v>
      </c>
      <c r="F69" s="12" t="n">
        <v>96.3855421686747</v>
      </c>
      <c r="G69" t="n">
        <v>50</v>
      </c>
      <c r="H69" t="n">
        <v>0</v>
      </c>
      <c r="I69" t="s">
        <v>397</v>
      </c>
      <c r="J69" s="10" t="n">
        <v>31.25</v>
      </c>
      <c r="K69" t="s">
        <v>55</v>
      </c>
      <c r="L69" t="s">
        <v>55</v>
      </c>
      <c r="M69" t="s">
        <v>94</v>
      </c>
    </row>
    <row r="70">
      <c r="A70" t="s">
        <v>30</v>
      </c>
      <c r="B70" t="s">
        <v>335</v>
      </c>
      <c r="C70" t="n">
        <v>83</v>
      </c>
      <c r="D70" t="n">
        <v>50</v>
      </c>
      <c r="E70" s="12" t="n">
        <v>59.0361445783133</v>
      </c>
      <c r="F70" s="12" t="n">
        <v>100</v>
      </c>
      <c r="G70" t="n">
        <v>34</v>
      </c>
      <c r="H70" t="n">
        <v>0</v>
      </c>
      <c r="I70" t="s">
        <v>397</v>
      </c>
      <c r="J70" s="10" t="n">
        <v>21.4074074074074</v>
      </c>
      <c r="K70" t="s">
        <v>55</v>
      </c>
      <c r="L70" t="s">
        <v>55</v>
      </c>
      <c r="M70" t="s">
        <v>94</v>
      </c>
    </row>
    <row r="71">
      <c r="A71" t="s">
        <v>30</v>
      </c>
      <c r="B71" t="s">
        <v>337</v>
      </c>
      <c r="C71" t="n">
        <v>83</v>
      </c>
      <c r="D71" t="n">
        <v>50</v>
      </c>
      <c r="E71" s="12" t="n">
        <v>72.289156626506</v>
      </c>
      <c r="F71" s="12" t="n">
        <v>100</v>
      </c>
      <c r="G71" t="n">
        <v>23</v>
      </c>
      <c r="H71" t="n">
        <v>0</v>
      </c>
      <c r="I71" t="s">
        <v>398</v>
      </c>
      <c r="J71" s="10"/>
      <c r="K71" t="s">
        <v>55</v>
      </c>
      <c r="L71" t="s">
        <v>55</v>
      </c>
      <c r="M71" t="s">
        <v>94</v>
      </c>
    </row>
    <row r="72">
      <c r="A72" t="s">
        <v>30</v>
      </c>
      <c r="B72" t="s">
        <v>340</v>
      </c>
      <c r="C72" t="n">
        <v>83</v>
      </c>
      <c r="D72" t="n">
        <v>50</v>
      </c>
      <c r="E72" s="12" t="n">
        <v>81.9277108433735</v>
      </c>
      <c r="F72" s="12" t="n">
        <v>100</v>
      </c>
      <c r="G72" t="n">
        <v>15</v>
      </c>
      <c r="H72" t="n">
        <v>0</v>
      </c>
      <c r="I72" t="s">
        <v>398</v>
      </c>
      <c r="J72" s="10"/>
      <c r="K72" t="s">
        <v>55</v>
      </c>
      <c r="L72" t="s">
        <v>399</v>
      </c>
      <c r="M72" t="s">
        <v>94</v>
      </c>
    </row>
    <row r="73">
      <c r="A73" t="s">
        <v>30</v>
      </c>
      <c r="B73" t="s">
        <v>343</v>
      </c>
      <c r="C73" t="n">
        <v>83</v>
      </c>
      <c r="D73" t="n">
        <v>50</v>
      </c>
      <c r="E73" s="12" t="n">
        <v>89.1566265060241</v>
      </c>
      <c r="F73" s="12" t="n">
        <v>100</v>
      </c>
      <c r="G73" t="n">
        <v>9</v>
      </c>
      <c r="H73" t="n">
        <v>0</v>
      </c>
      <c r="I73" t="s">
        <v>398</v>
      </c>
      <c r="J73" s="10"/>
      <c r="K73" t="s">
        <v>184</v>
      </c>
      <c r="L73" t="s">
        <v>400</v>
      </c>
      <c r="M73" t="s">
        <v>94</v>
      </c>
    </row>
    <row r="74">
      <c r="A74" t="s">
        <v>30</v>
      </c>
      <c r="B74" t="s">
        <v>347</v>
      </c>
      <c r="C74" t="n">
        <v>83</v>
      </c>
      <c r="D74" t="n">
        <v>50</v>
      </c>
      <c r="E74" s="12" t="n">
        <v>93.9759036144578</v>
      </c>
      <c r="F74" s="12" t="n">
        <v>100</v>
      </c>
      <c r="G74" t="n">
        <v>5</v>
      </c>
      <c r="H74" t="n">
        <v>0</v>
      </c>
      <c r="I74" t="s">
        <v>398</v>
      </c>
      <c r="J74" s="10"/>
      <c r="K74" t="s">
        <v>349</v>
      </c>
      <c r="L74" t="s">
        <v>143</v>
      </c>
      <c r="M74" t="s">
        <v>94</v>
      </c>
    </row>
    <row r="75">
      <c r="A75" t="s">
        <v>30</v>
      </c>
      <c r="B75" t="s">
        <v>350</v>
      </c>
      <c r="C75" t="n">
        <v>83</v>
      </c>
      <c r="D75" t="n">
        <v>50</v>
      </c>
      <c r="E75" s="12" t="n">
        <v>95.1807228915663</v>
      </c>
      <c r="F75" s="12" t="n">
        <v>100</v>
      </c>
      <c r="G75" t="n">
        <v>4</v>
      </c>
      <c r="H75" t="n">
        <v>0</v>
      </c>
      <c r="I75" t="s">
        <v>398</v>
      </c>
      <c r="J75" s="10"/>
      <c r="K75" t="s">
        <v>143</v>
      </c>
      <c r="L75" t="s">
        <v>143</v>
      </c>
      <c r="M75" t="s">
        <v>94</v>
      </c>
    </row>
    <row r="76">
      <c r="A76" t="s">
        <v>31</v>
      </c>
      <c r="B76" t="s">
        <v>328</v>
      </c>
      <c r="C76" t="n">
        <v>88</v>
      </c>
      <c r="D76" t="n">
        <v>53</v>
      </c>
      <c r="E76" s="12" t="n">
        <v>15.9090909090909</v>
      </c>
      <c r="F76" s="12" t="n">
        <v>89.7727272727273</v>
      </c>
      <c r="G76" t="n">
        <v>65</v>
      </c>
      <c r="H76" t="n">
        <v>0</v>
      </c>
      <c r="I76" t="s">
        <v>397</v>
      </c>
      <c r="J76" s="10" t="n">
        <v>39.4859813084112</v>
      </c>
      <c r="K76" t="s">
        <v>55</v>
      </c>
      <c r="L76" t="s">
        <v>55</v>
      </c>
      <c r="M76" t="s">
        <v>94</v>
      </c>
    </row>
    <row r="77">
      <c r="A77" t="s">
        <v>31</v>
      </c>
      <c r="B77" t="s">
        <v>332</v>
      </c>
      <c r="C77" t="n">
        <v>88</v>
      </c>
      <c r="D77" t="n">
        <v>53</v>
      </c>
      <c r="E77" s="12" t="n">
        <v>47.7272727272727</v>
      </c>
      <c r="F77" s="12" t="n">
        <v>98.8636363636364</v>
      </c>
      <c r="G77" t="n">
        <v>45</v>
      </c>
      <c r="H77" t="n">
        <v>0</v>
      </c>
      <c r="I77" t="s">
        <v>397</v>
      </c>
      <c r="J77" s="10" t="n">
        <v>28.5211267605634</v>
      </c>
      <c r="K77" t="s">
        <v>55</v>
      </c>
      <c r="L77" t="s">
        <v>55</v>
      </c>
      <c r="M77" t="s">
        <v>94</v>
      </c>
    </row>
    <row r="78">
      <c r="A78" t="s">
        <v>31</v>
      </c>
      <c r="B78" t="s">
        <v>335</v>
      </c>
      <c r="C78" t="n">
        <v>88</v>
      </c>
      <c r="D78" t="n">
        <v>53</v>
      </c>
      <c r="E78" s="12" t="n">
        <v>69.3181818181818</v>
      </c>
      <c r="F78" s="12" t="n">
        <v>100</v>
      </c>
      <c r="G78" t="n">
        <v>27</v>
      </c>
      <c r="H78" t="n">
        <v>0</v>
      </c>
      <c r="I78" t="s">
        <v>397</v>
      </c>
      <c r="J78" s="10" t="n">
        <v>17.780487804878</v>
      </c>
      <c r="K78" t="s">
        <v>55</v>
      </c>
      <c r="L78" t="s">
        <v>55</v>
      </c>
      <c r="M78" t="s">
        <v>94</v>
      </c>
    </row>
    <row r="79">
      <c r="A79" t="s">
        <v>31</v>
      </c>
      <c r="B79" t="s">
        <v>337</v>
      </c>
      <c r="C79" t="n">
        <v>88</v>
      </c>
      <c r="D79" t="n">
        <v>53</v>
      </c>
      <c r="E79" s="12" t="n">
        <v>80.6818181818182</v>
      </c>
      <c r="F79" s="12" t="n">
        <v>100</v>
      </c>
      <c r="G79" t="n">
        <v>17</v>
      </c>
      <c r="H79" t="n">
        <v>0</v>
      </c>
      <c r="I79" t="s">
        <v>398</v>
      </c>
      <c r="J79" s="10"/>
      <c r="K79" t="s">
        <v>55</v>
      </c>
      <c r="L79" t="s">
        <v>55</v>
      </c>
      <c r="M79" t="s">
        <v>94</v>
      </c>
    </row>
    <row r="80">
      <c r="A80" t="s">
        <v>31</v>
      </c>
      <c r="B80" t="s">
        <v>340</v>
      </c>
      <c r="C80" t="n">
        <v>88</v>
      </c>
      <c r="D80" t="n">
        <v>53</v>
      </c>
      <c r="E80" s="12" t="n">
        <v>88.6363636363636</v>
      </c>
      <c r="F80" s="12" t="n">
        <v>100</v>
      </c>
      <c r="G80" t="n">
        <v>10</v>
      </c>
      <c r="H80" t="n">
        <v>0</v>
      </c>
      <c r="I80" t="s">
        <v>398</v>
      </c>
      <c r="J80" s="10"/>
      <c r="K80" t="s">
        <v>47</v>
      </c>
      <c r="L80" t="s">
        <v>184</v>
      </c>
      <c r="M80" t="s">
        <v>94</v>
      </c>
    </row>
    <row r="81">
      <c r="A81" t="s">
        <v>31</v>
      </c>
      <c r="B81" t="s">
        <v>343</v>
      </c>
      <c r="C81" t="n">
        <v>88</v>
      </c>
      <c r="D81" t="n">
        <v>53</v>
      </c>
      <c r="E81" s="12" t="n">
        <v>97.7272727272727</v>
      </c>
      <c r="F81" s="12" t="n">
        <v>100</v>
      </c>
      <c r="G81" t="n">
        <v>2</v>
      </c>
      <c r="H81" t="n">
        <v>0</v>
      </c>
      <c r="I81" t="s">
        <v>401</v>
      </c>
      <c r="J81" s="10"/>
      <c r="K81" t="s">
        <v>402</v>
      </c>
      <c r="L81" t="s">
        <v>402</v>
      </c>
      <c r="M81" t="s">
        <v>94</v>
      </c>
    </row>
    <row r="82">
      <c r="A82" t="s">
        <v>31</v>
      </c>
      <c r="B82" t="s">
        <v>347</v>
      </c>
      <c r="C82" t="n">
        <v>88</v>
      </c>
      <c r="D82" t="n">
        <v>53</v>
      </c>
      <c r="E82" s="12" t="n">
        <v>100</v>
      </c>
      <c r="F82" s="12" t="n">
        <v>100</v>
      </c>
      <c r="G82" t="n">
        <v>0</v>
      </c>
      <c r="H82" t="n">
        <v>0</v>
      </c>
      <c r="I82" t="s">
        <v>382</v>
      </c>
      <c r="J82" s="10"/>
      <c r="K82" t="s">
        <v>94</v>
      </c>
      <c r="L82" t="s">
        <v>94</v>
      </c>
      <c r="M82" t="s">
        <v>403</v>
      </c>
    </row>
    <row r="83">
      <c r="A83" t="s">
        <v>31</v>
      </c>
      <c r="B83" t="s">
        <v>350</v>
      </c>
      <c r="C83" t="n">
        <v>88</v>
      </c>
      <c r="D83" t="n">
        <v>53</v>
      </c>
      <c r="E83" s="12" t="n">
        <v>100</v>
      </c>
      <c r="F83" s="12" t="n">
        <v>100</v>
      </c>
      <c r="G83" t="n">
        <v>0</v>
      </c>
      <c r="H83" t="n">
        <v>0</v>
      </c>
      <c r="I83" t="s">
        <v>382</v>
      </c>
      <c r="J83" s="10"/>
      <c r="K83" t="s">
        <v>94</v>
      </c>
      <c r="L83" t="s">
        <v>94</v>
      </c>
      <c r="M83" t="s">
        <v>403</v>
      </c>
    </row>
    <row r="85">
      <c r="A85" s="1" t="s">
        <v>404</v>
      </c>
    </row>
    <row r="86">
      <c r="A86" t="s">
        <v>257</v>
      </c>
      <c r="B86" t="s">
        <v>258</v>
      </c>
      <c r="C86" t="s">
        <v>248</v>
      </c>
      <c r="D86" t="s">
        <v>259</v>
      </c>
      <c r="E86" t="s">
        <v>261</v>
      </c>
      <c r="F86" t="s">
        <v>262</v>
      </c>
      <c r="G86" t="s">
        <v>265</v>
      </c>
    </row>
    <row r="87">
      <c r="A87" t="s">
        <v>276</v>
      </c>
      <c r="B87" t="s">
        <v>30</v>
      </c>
      <c r="C87" t="s">
        <v>253</v>
      </c>
      <c r="D87" t="n">
        <v>45</v>
      </c>
      <c r="E87" s="10" t="n">
        <v>-0.352548669245605</v>
      </c>
      <c r="F87" s="10" t="n">
        <v>-0.0779340847757678</v>
      </c>
      <c r="G87" t="s">
        <v>405</v>
      </c>
    </row>
    <row r="88">
      <c r="A88" t="s">
        <v>276</v>
      </c>
      <c r="B88" t="s">
        <v>30</v>
      </c>
      <c r="C88" t="s">
        <v>254</v>
      </c>
      <c r="D88" t="n">
        <v>45</v>
      </c>
      <c r="E88" s="10" t="n">
        <v>-0.31928277008662</v>
      </c>
      <c r="F88" s="10" t="n">
        <v>0.0672383826117303</v>
      </c>
      <c r="G88" t="s">
        <v>406</v>
      </c>
    </row>
    <row r="89">
      <c r="A89" t="s">
        <v>276</v>
      </c>
      <c r="B89" t="s">
        <v>31</v>
      </c>
      <c r="C89" t="s">
        <v>253</v>
      </c>
      <c r="D89" t="n">
        <v>50</v>
      </c>
      <c r="E89" s="10" t="n">
        <v>-0.33049329841538</v>
      </c>
      <c r="F89" s="10" t="n">
        <v>0.0845114472684048</v>
      </c>
      <c r="G89" t="s">
        <v>407</v>
      </c>
    </row>
    <row r="90">
      <c r="A90" t="s">
        <v>276</v>
      </c>
      <c r="B90" t="s">
        <v>31</v>
      </c>
      <c r="C90" t="s">
        <v>254</v>
      </c>
      <c r="D90" t="n">
        <v>49</v>
      </c>
      <c r="E90" s="10" t="n">
        <v>-0.296796276625089</v>
      </c>
      <c r="F90" s="10" t="n">
        <v>-0.0324029140607278</v>
      </c>
      <c r="G90" t="s">
        <v>408</v>
      </c>
    </row>
    <row r="91">
      <c r="A91" t="s">
        <v>283</v>
      </c>
      <c r="B91" t="s">
        <v>30</v>
      </c>
      <c r="C91" t="s">
        <v>253</v>
      </c>
      <c r="D91" t="n">
        <v>42</v>
      </c>
      <c r="E91" s="10" t="n">
        <v>0.371433673795076</v>
      </c>
      <c r="F91" s="10" t="n">
        <v>0.152325931596155</v>
      </c>
      <c r="G91" t="s">
        <v>409</v>
      </c>
    </row>
    <row r="92">
      <c r="A92" t="s">
        <v>283</v>
      </c>
      <c r="B92" t="s">
        <v>30</v>
      </c>
      <c r="C92" t="s">
        <v>254</v>
      </c>
      <c r="D92" t="n">
        <v>41</v>
      </c>
      <c r="E92" s="10" t="n">
        <v>0.331027665335297</v>
      </c>
      <c r="F92" s="10" t="n">
        <v>-0.0957721857080574</v>
      </c>
      <c r="G92" t="s">
        <v>410</v>
      </c>
    </row>
    <row r="93">
      <c r="A93" t="s">
        <v>283</v>
      </c>
      <c r="B93" t="s">
        <v>31</v>
      </c>
      <c r="C93" t="s">
        <v>253</v>
      </c>
      <c r="D93" t="n">
        <v>45</v>
      </c>
      <c r="E93" s="10" t="n">
        <v>0.337266899943097</v>
      </c>
      <c r="F93" s="10" t="n">
        <v>-0.0481274831304332</v>
      </c>
      <c r="G93" t="s">
        <v>411</v>
      </c>
    </row>
    <row r="94">
      <c r="A94" t="s">
        <v>283</v>
      </c>
      <c r="B94" t="s">
        <v>31</v>
      </c>
      <c r="C94" t="s">
        <v>254</v>
      </c>
      <c r="D94" t="n">
        <v>43</v>
      </c>
      <c r="E94" s="10" t="n">
        <v>0.214844672445914</v>
      </c>
      <c r="F94" s="10" t="n">
        <v>0.0200397869401803</v>
      </c>
      <c r="G94" t="s">
        <v>412</v>
      </c>
    </row>
    <row r="95">
      <c r="A95" t="s">
        <v>290</v>
      </c>
      <c r="B95" t="s">
        <v>30</v>
      </c>
      <c r="C95" t="s">
        <v>253</v>
      </c>
      <c r="D95" t="n">
        <v>42</v>
      </c>
      <c r="E95" s="10" t="n">
        <v>-0.0204018896518407</v>
      </c>
      <c r="F95" s="10" t="n">
        <v>0.0371253279824739</v>
      </c>
      <c r="G95" t="s">
        <v>413</v>
      </c>
    </row>
    <row r="96">
      <c r="A96" t="s">
        <v>290</v>
      </c>
      <c r="B96" t="s">
        <v>30</v>
      </c>
      <c r="C96" t="s">
        <v>254</v>
      </c>
      <c r="D96" t="n">
        <v>41</v>
      </c>
      <c r="E96" s="10" t="n">
        <v>-0.0361054416888397</v>
      </c>
      <c r="F96" s="10" t="n">
        <v>-0.00609919475518851</v>
      </c>
      <c r="G96" t="s">
        <v>414</v>
      </c>
    </row>
    <row r="97">
      <c r="A97" t="s">
        <v>290</v>
      </c>
      <c r="B97" t="s">
        <v>31</v>
      </c>
      <c r="C97" t="s">
        <v>253</v>
      </c>
      <c r="D97" t="n">
        <v>45</v>
      </c>
      <c r="E97" s="10" t="n">
        <v>0.032877525366727</v>
      </c>
      <c r="F97" s="10" t="n">
        <v>0.0221486259788587</v>
      </c>
      <c r="G97" t="s">
        <v>415</v>
      </c>
    </row>
    <row r="98">
      <c r="A98" t="s">
        <v>290</v>
      </c>
      <c r="B98" t="s">
        <v>31</v>
      </c>
      <c r="C98" t="s">
        <v>254</v>
      </c>
      <c r="D98" t="n">
        <v>43</v>
      </c>
      <c r="E98" s="10" t="n">
        <v>-0.0015875563169708</v>
      </c>
      <c r="F98" s="10" t="n">
        <v>0.00770310797316356</v>
      </c>
      <c r="G98" t="s">
        <v>416</v>
      </c>
    </row>
    <row r="100">
      <c r="A100" s="1" t="s">
        <v>417</v>
      </c>
    </row>
    <row r="101">
      <c r="A101" t="s">
        <v>257</v>
      </c>
      <c r="B101" t="s">
        <v>258</v>
      </c>
      <c r="C101" t="s">
        <v>418</v>
      </c>
      <c r="D101" t="s">
        <v>419</v>
      </c>
      <c r="E101" t="s">
        <v>420</v>
      </c>
      <c r="F101" t="s">
        <v>421</v>
      </c>
    </row>
    <row r="102">
      <c r="A102" t="s">
        <v>276</v>
      </c>
      <c r="B102" t="s">
        <v>30</v>
      </c>
      <c r="C102" t="s">
        <v>422</v>
      </c>
      <c r="D102" t="n">
        <v>1</v>
      </c>
      <c r="E102" s="10" t="n">
        <v>1.74893394728342</v>
      </c>
      <c r="F102" s="10" t="n">
        <v>0.0610741192293767</v>
      </c>
    </row>
    <row r="103">
      <c r="A103" t="s">
        <v>276</v>
      </c>
      <c r="B103" t="s">
        <v>30</v>
      </c>
      <c r="C103" t="s">
        <v>422</v>
      </c>
      <c r="D103" t="n">
        <v>2</v>
      </c>
      <c r="E103" s="10" t="n">
        <v>2.08616367277527</v>
      </c>
      <c r="F103" s="10" t="n">
        <v>-0.842864835185802</v>
      </c>
    </row>
    <row r="104">
      <c r="A104" t="s">
        <v>276</v>
      </c>
      <c r="B104" t="s">
        <v>30</v>
      </c>
      <c r="C104" t="s">
        <v>422</v>
      </c>
      <c r="D104" t="n">
        <v>3</v>
      </c>
      <c r="E104" s="10" t="n">
        <v>-0.618033988749895</v>
      </c>
      <c r="F104" s="10" t="n">
        <v>-1.90211303259031</v>
      </c>
    </row>
    <row r="105">
      <c r="A105" t="s">
        <v>276</v>
      </c>
      <c r="B105" t="s">
        <v>30</v>
      </c>
      <c r="C105" t="s">
        <v>422</v>
      </c>
      <c r="D105" t="n">
        <v>4</v>
      </c>
      <c r="E105" s="10" t="n">
        <v>-1.32251681765806</v>
      </c>
      <c r="F105" s="10" t="n">
        <v>-1.82028823734363</v>
      </c>
    </row>
    <row r="106">
      <c r="A106" t="s">
        <v>276</v>
      </c>
      <c r="B106" t="s">
        <v>30</v>
      </c>
      <c r="C106" t="s">
        <v>422</v>
      </c>
      <c r="D106" t="n">
        <v>5</v>
      </c>
      <c r="E106" s="10" t="n">
        <v>-2.42573931568999</v>
      </c>
      <c r="F106" s="10" t="n">
        <v>0.604804738999169</v>
      </c>
    </row>
    <row r="107">
      <c r="A107" t="s">
        <v>276</v>
      </c>
      <c r="B107" t="s">
        <v>30</v>
      </c>
      <c r="C107" t="s">
        <v>422</v>
      </c>
      <c r="D107" t="n">
        <v>6</v>
      </c>
      <c r="E107" s="10" t="n">
        <v>-1.25818403280918</v>
      </c>
      <c r="F107" s="10" t="n">
        <v>1.86533453824884</v>
      </c>
    </row>
    <row r="108">
      <c r="A108" t="s">
        <v>276</v>
      </c>
      <c r="B108" t="s">
        <v>30</v>
      </c>
      <c r="C108" t="s">
        <v>422</v>
      </c>
      <c r="D108" t="n">
        <v>7</v>
      </c>
      <c r="E108" s="10" t="n">
        <v>-0.767149506880886</v>
      </c>
      <c r="F108" s="10" t="n">
        <v>1.57288958102354</v>
      </c>
    </row>
    <row r="109">
      <c r="A109" t="s">
        <v>276</v>
      </c>
      <c r="B109" t="s">
        <v>30</v>
      </c>
      <c r="C109" t="s">
        <v>422</v>
      </c>
      <c r="D109" t="n">
        <v>8</v>
      </c>
      <c r="E109" s="10" t="n">
        <v>0.241921895599668</v>
      </c>
      <c r="F109" s="10" t="n">
        <v>0.970295726275996</v>
      </c>
    </row>
    <row r="110">
      <c r="A110" t="s">
        <v>276</v>
      </c>
      <c r="B110" t="s">
        <v>30</v>
      </c>
      <c r="C110" t="s">
        <v>423</v>
      </c>
      <c r="D110" t="n">
        <v>1</v>
      </c>
      <c r="E110" s="10" t="n">
        <v>-0.0821174209075833</v>
      </c>
      <c r="F110" s="10" t="n">
        <v>-0.0158161425495955</v>
      </c>
    </row>
    <row r="111">
      <c r="A111" t="s">
        <v>276</v>
      </c>
      <c r="B111" t="s">
        <v>30</v>
      </c>
      <c r="C111" t="s">
        <v>423</v>
      </c>
      <c r="D111" t="n">
        <v>2</v>
      </c>
      <c r="E111" s="10" t="n">
        <v>-0.0784290098256317</v>
      </c>
      <c r="F111" s="10" t="n">
        <v>-0.0223814083887728</v>
      </c>
    </row>
    <row r="112">
      <c r="A112" t="s">
        <v>276</v>
      </c>
      <c r="B112" t="s">
        <v>30</v>
      </c>
      <c r="C112" t="s">
        <v>423</v>
      </c>
      <c r="D112" t="n">
        <v>3</v>
      </c>
      <c r="E112" s="10" t="n">
        <v>-0.0727408498197186</v>
      </c>
      <c r="F112" s="10" t="n">
        <v>-0.0360724021564807</v>
      </c>
    </row>
    <row r="113">
      <c r="A113" t="s">
        <v>276</v>
      </c>
      <c r="B113" t="s">
        <v>30</v>
      </c>
      <c r="C113" t="s">
        <v>423</v>
      </c>
      <c r="D113" t="n">
        <v>4</v>
      </c>
      <c r="E113" s="10" t="n">
        <v>-0.133988781324785</v>
      </c>
      <c r="F113" s="10" t="n">
        <v>-0.0619179230666484</v>
      </c>
    </row>
    <row r="114">
      <c r="A114" t="s">
        <v>276</v>
      </c>
      <c r="B114" t="s">
        <v>30</v>
      </c>
      <c r="C114" t="s">
        <v>423</v>
      </c>
      <c r="D114" t="n">
        <v>5</v>
      </c>
      <c r="E114" s="10" t="n">
        <v>-0.207732974899054</v>
      </c>
      <c r="F114" s="10" t="n">
        <v>-0.0859934905854195</v>
      </c>
    </row>
    <row r="115">
      <c r="A115" t="s">
        <v>276</v>
      </c>
      <c r="B115" t="s">
        <v>30</v>
      </c>
      <c r="C115" t="s">
        <v>423</v>
      </c>
      <c r="D115" t="n">
        <v>6</v>
      </c>
      <c r="E115" s="10" t="n">
        <v>-0.229367060542273</v>
      </c>
      <c r="F115" s="10" t="n">
        <v>-0.0905387180421969</v>
      </c>
    </row>
    <row r="116">
      <c r="A116" t="s">
        <v>276</v>
      </c>
      <c r="B116" t="s">
        <v>30</v>
      </c>
      <c r="C116" t="s">
        <v>423</v>
      </c>
      <c r="D116" t="n">
        <v>7</v>
      </c>
      <c r="E116" s="10" t="n">
        <v>-0.361537605511469</v>
      </c>
      <c r="F116" s="10" t="n">
        <v>-0.0922917587327843</v>
      </c>
    </row>
    <row r="117">
      <c r="A117" t="s">
        <v>276</v>
      </c>
      <c r="B117" t="s">
        <v>30</v>
      </c>
      <c r="C117" t="s">
        <v>423</v>
      </c>
      <c r="D117" t="n">
        <v>8</v>
      </c>
      <c r="E117" s="10" t="n">
        <v>-0.460207741956002</v>
      </c>
      <c r="F117" s="10" t="n">
        <v>-0.0773136710147987</v>
      </c>
    </row>
    <row r="118">
      <c r="A118" t="s">
        <v>276</v>
      </c>
      <c r="B118" t="s">
        <v>30</v>
      </c>
      <c r="C118" t="s">
        <v>423</v>
      </c>
      <c r="D118" t="n">
        <v>9</v>
      </c>
      <c r="E118" s="10" t="n">
        <v>-0.548540003482715</v>
      </c>
      <c r="F118" s="10" t="n">
        <v>-0.0538992332479584</v>
      </c>
    </row>
    <row r="119">
      <c r="A119" t="s">
        <v>276</v>
      </c>
      <c r="B119" t="s">
        <v>30</v>
      </c>
      <c r="C119" t="s">
        <v>423</v>
      </c>
      <c r="D119" t="n">
        <v>10</v>
      </c>
      <c r="E119" s="10" t="n">
        <v>-0.581461874262149</v>
      </c>
      <c r="F119" s="10" t="n">
        <v>-0.0228712630423149</v>
      </c>
    </row>
    <row r="120">
      <c r="A120" t="s">
        <v>276</v>
      </c>
      <c r="B120" t="s">
        <v>30</v>
      </c>
      <c r="C120" t="s">
        <v>423</v>
      </c>
      <c r="D120" t="n">
        <v>11</v>
      </c>
      <c r="E120" s="10" t="n">
        <v>-0.598055433189159</v>
      </c>
      <c r="F120" s="10" t="n">
        <v>0.0283497643451523</v>
      </c>
    </row>
    <row r="121">
      <c r="A121" t="s">
        <v>276</v>
      </c>
      <c r="B121" t="s">
        <v>30</v>
      </c>
      <c r="C121" t="s">
        <v>423</v>
      </c>
      <c r="D121" t="n">
        <v>12</v>
      </c>
      <c r="E121" s="10" t="n">
        <v>-0.56887987203049</v>
      </c>
      <c r="F121" s="10" t="n">
        <v>0.048532659276352</v>
      </c>
    </row>
    <row r="122">
      <c r="A122" t="s">
        <v>276</v>
      </c>
      <c r="B122" t="s">
        <v>30</v>
      </c>
      <c r="C122" t="s">
        <v>423</v>
      </c>
      <c r="D122" t="n">
        <v>13</v>
      </c>
      <c r="E122" s="10" t="n">
        <v>-0.437398996199959</v>
      </c>
      <c r="F122" s="10" t="n">
        <v>0.0831121115947066</v>
      </c>
    </row>
    <row r="123">
      <c r="A123" t="s">
        <v>276</v>
      </c>
      <c r="B123" t="s">
        <v>30</v>
      </c>
      <c r="C123" t="s">
        <v>423</v>
      </c>
      <c r="D123" t="n">
        <v>14</v>
      </c>
      <c r="E123" s="10" t="n">
        <v>-0.294405548940666</v>
      </c>
      <c r="F123" s="10" t="n">
        <v>0.0810147477900992</v>
      </c>
    </row>
    <row r="124">
      <c r="A124" t="s">
        <v>276</v>
      </c>
      <c r="B124" t="s">
        <v>30</v>
      </c>
      <c r="C124" t="s">
        <v>423</v>
      </c>
      <c r="D124" t="n">
        <v>15</v>
      </c>
      <c r="E124" s="10" t="n">
        <v>-0.192836526001825</v>
      </c>
      <c r="F124" s="10" t="n">
        <v>0.0610367265036591</v>
      </c>
    </row>
    <row r="125">
      <c r="A125" t="s">
        <v>276</v>
      </c>
      <c r="B125" t="s">
        <v>30</v>
      </c>
      <c r="C125" t="s">
        <v>423</v>
      </c>
      <c r="D125" t="n">
        <v>16</v>
      </c>
      <c r="E125" s="10" t="n">
        <v>-0.127753258973022</v>
      </c>
      <c r="F125" s="10" t="n">
        <v>0.0372066272625848</v>
      </c>
    </row>
    <row r="126">
      <c r="A126" t="s">
        <v>276</v>
      </c>
      <c r="B126" t="s">
        <v>31</v>
      </c>
      <c r="C126" t="s">
        <v>422</v>
      </c>
      <c r="D126" t="n">
        <v>1</v>
      </c>
      <c r="E126" s="10" t="n">
        <v>0.866025403784438</v>
      </c>
      <c r="F126" s="10" t="n">
        <v>-0.5</v>
      </c>
    </row>
    <row r="127">
      <c r="A127" t="s">
        <v>276</v>
      </c>
      <c r="B127" t="s">
        <v>31</v>
      </c>
      <c r="C127" t="s">
        <v>422</v>
      </c>
      <c r="D127" t="n">
        <v>2</v>
      </c>
      <c r="E127" s="10" t="n">
        <v>0.342020143325669</v>
      </c>
      <c r="F127" s="10" t="n">
        <v>-0.939692620785908</v>
      </c>
    </row>
    <row r="128">
      <c r="A128" t="s">
        <v>276</v>
      </c>
      <c r="B128" t="s">
        <v>31</v>
      </c>
      <c r="C128" t="s">
        <v>422</v>
      </c>
      <c r="D128" t="n">
        <v>3</v>
      </c>
      <c r="E128" s="10" t="n">
        <v>-0.362882843399502</v>
      </c>
      <c r="F128" s="10" t="n">
        <v>-1.45544358941399</v>
      </c>
    </row>
    <row r="129">
      <c r="A129" t="s">
        <v>276</v>
      </c>
      <c r="B129" t="s">
        <v>31</v>
      </c>
      <c r="C129" t="s">
        <v>422</v>
      </c>
      <c r="D129" t="n">
        <v>4</v>
      </c>
      <c r="E129" s="10" t="n">
        <v>-2.18316538412099</v>
      </c>
      <c r="F129" s="10" t="n">
        <v>-0.544324265099252</v>
      </c>
    </row>
    <row r="130">
      <c r="A130" t="s">
        <v>276</v>
      </c>
      <c r="B130" t="s">
        <v>31</v>
      </c>
      <c r="C130" t="s">
        <v>422</v>
      </c>
      <c r="D130" t="n">
        <v>5</v>
      </c>
      <c r="E130" s="10" t="n">
        <v>-1.29903810567666</v>
      </c>
      <c r="F130" s="10" t="n">
        <v>0.75</v>
      </c>
    </row>
    <row r="131">
      <c r="A131" t="s">
        <v>276</v>
      </c>
      <c r="B131" t="s">
        <v>31</v>
      </c>
      <c r="C131" t="s">
        <v>422</v>
      </c>
      <c r="D131" t="n">
        <v>6</v>
      </c>
      <c r="E131" s="10" t="n">
        <v>-1.14906666467847</v>
      </c>
      <c r="F131" s="10" t="n">
        <v>0.964181414529809</v>
      </c>
    </row>
    <row r="132">
      <c r="A132" t="s">
        <v>276</v>
      </c>
      <c r="B132" t="s">
        <v>31</v>
      </c>
      <c r="C132" t="s">
        <v>422</v>
      </c>
      <c r="D132" t="n">
        <v>7</v>
      </c>
      <c r="E132" s="10" t="n">
        <v>-0.88167787843871</v>
      </c>
      <c r="F132" s="10" t="n">
        <v>1.21352549156242</v>
      </c>
    </row>
    <row r="133">
      <c r="A133" t="s">
        <v>276</v>
      </c>
      <c r="B133" t="s">
        <v>31</v>
      </c>
      <c r="C133" t="s">
        <v>422</v>
      </c>
      <c r="D133" t="n">
        <v>8</v>
      </c>
      <c r="E133" s="10" t="n">
        <v>0.15679269490148</v>
      </c>
      <c r="F133" s="10" t="n">
        <v>1.49178284305241</v>
      </c>
    </row>
    <row r="134">
      <c r="A134" t="s">
        <v>276</v>
      </c>
      <c r="B134" t="s">
        <v>31</v>
      </c>
      <c r="C134" t="s">
        <v>422</v>
      </c>
      <c r="D134" t="n">
        <v>9</v>
      </c>
      <c r="E134" s="10" t="n">
        <v>0.561909890123868</v>
      </c>
      <c r="F134" s="10" t="n">
        <v>1.39077578185018</v>
      </c>
    </row>
    <row r="135">
      <c r="A135" t="s">
        <v>276</v>
      </c>
      <c r="B135" t="s">
        <v>31</v>
      </c>
      <c r="C135" t="s">
        <v>422</v>
      </c>
      <c r="D135" t="n">
        <v>10</v>
      </c>
      <c r="E135" s="10" t="n">
        <v>1.44189254390748</v>
      </c>
      <c r="F135" s="10" t="n">
        <v>0.413456033725499</v>
      </c>
    </row>
    <row r="136">
      <c r="A136" t="s">
        <v>276</v>
      </c>
      <c r="B136" t="s">
        <v>31</v>
      </c>
      <c r="C136" t="s">
        <v>423</v>
      </c>
      <c r="D136" t="n">
        <v>1</v>
      </c>
      <c r="E136" s="10" t="n">
        <v>-0.108898999465885</v>
      </c>
      <c r="F136" s="10" t="n">
        <v>0.0250168670033227</v>
      </c>
    </row>
    <row r="137">
      <c r="A137" t="s">
        <v>276</v>
      </c>
      <c r="B137" t="s">
        <v>31</v>
      </c>
      <c r="C137" t="s">
        <v>423</v>
      </c>
      <c r="D137" t="n">
        <v>2</v>
      </c>
      <c r="E137" s="10" t="n">
        <v>-0.114362854851894</v>
      </c>
      <c r="F137" s="10" t="n">
        <v>0.0138947317202077</v>
      </c>
    </row>
    <row r="138">
      <c r="A138" t="s">
        <v>276</v>
      </c>
      <c r="B138" t="s">
        <v>31</v>
      </c>
      <c r="C138" t="s">
        <v>423</v>
      </c>
      <c r="D138" t="n">
        <v>3</v>
      </c>
      <c r="E138" s="10" t="n">
        <v>-0.17180194002439</v>
      </c>
      <c r="F138" s="10" t="n">
        <v>-0.0258727357515998</v>
      </c>
    </row>
    <row r="139">
      <c r="A139" t="s">
        <v>276</v>
      </c>
      <c r="B139" t="s">
        <v>31</v>
      </c>
      <c r="C139" t="s">
        <v>423</v>
      </c>
      <c r="D139" t="n">
        <v>4</v>
      </c>
      <c r="E139" s="10" t="n">
        <v>-0.286921586554627</v>
      </c>
      <c r="F139" s="10" t="n">
        <v>-0.0474393634919012</v>
      </c>
    </row>
    <row r="140">
      <c r="A140" t="s">
        <v>276</v>
      </c>
      <c r="B140" t="s">
        <v>31</v>
      </c>
      <c r="C140" t="s">
        <v>423</v>
      </c>
      <c r="D140" t="n">
        <v>5</v>
      </c>
      <c r="E140" s="10" t="n">
        <v>-0.345490132383176</v>
      </c>
      <c r="F140" s="10" t="n">
        <v>-0.0456672843964446</v>
      </c>
    </row>
    <row r="141">
      <c r="A141" t="s">
        <v>276</v>
      </c>
      <c r="B141" t="s">
        <v>31</v>
      </c>
      <c r="C141" t="s">
        <v>423</v>
      </c>
      <c r="D141" t="n">
        <v>6</v>
      </c>
      <c r="E141" s="10" t="n">
        <v>-0.380859529992225</v>
      </c>
      <c r="F141" s="10" t="n">
        <v>-0.0412598593319372</v>
      </c>
    </row>
    <row r="142">
      <c r="A142" t="s">
        <v>276</v>
      </c>
      <c r="B142" t="s">
        <v>31</v>
      </c>
      <c r="C142" t="s">
        <v>423</v>
      </c>
      <c r="D142" t="n">
        <v>7</v>
      </c>
      <c r="E142" s="10" t="n">
        <v>-0.469452496997827</v>
      </c>
      <c r="F142" s="10" t="n">
        <v>-0.0284159752185776</v>
      </c>
    </row>
    <row r="143">
      <c r="A143" t="s">
        <v>276</v>
      </c>
      <c r="B143" t="s">
        <v>31</v>
      </c>
      <c r="C143" t="s">
        <v>423</v>
      </c>
      <c r="D143" t="n">
        <v>8</v>
      </c>
      <c r="E143" s="10" t="n">
        <v>-0.506156398368958</v>
      </c>
      <c r="F143" s="10" t="n">
        <v>0.0127595322363397</v>
      </c>
    </row>
    <row r="144">
      <c r="A144" t="s">
        <v>276</v>
      </c>
      <c r="B144" t="s">
        <v>31</v>
      </c>
      <c r="C144" t="s">
        <v>423</v>
      </c>
      <c r="D144" t="n">
        <v>9</v>
      </c>
      <c r="E144" s="10" t="n">
        <v>-0.515699812759986</v>
      </c>
      <c r="F144" s="10" t="n">
        <v>0.0522210861349343</v>
      </c>
    </row>
    <row r="145">
      <c r="A145" t="s">
        <v>276</v>
      </c>
      <c r="B145" t="s">
        <v>31</v>
      </c>
      <c r="C145" t="s">
        <v>423</v>
      </c>
      <c r="D145" t="n">
        <v>10</v>
      </c>
      <c r="E145" s="10" t="n">
        <v>-0.504722038980791</v>
      </c>
      <c r="F145" s="10" t="n">
        <v>0.0657323531313683</v>
      </c>
    </row>
    <row r="146">
      <c r="A146" t="s">
        <v>276</v>
      </c>
      <c r="B146" t="s">
        <v>31</v>
      </c>
      <c r="C146" t="s">
        <v>423</v>
      </c>
      <c r="D146" t="n">
        <v>11</v>
      </c>
      <c r="E146" s="10" t="n">
        <v>-0.483036582816527</v>
      </c>
      <c r="F146" s="10" t="n">
        <v>0.0760927784806758</v>
      </c>
    </row>
    <row r="147">
      <c r="A147" t="s">
        <v>276</v>
      </c>
      <c r="B147" t="s">
        <v>31</v>
      </c>
      <c r="C147" t="s">
        <v>423</v>
      </c>
      <c r="D147" t="n">
        <v>12</v>
      </c>
      <c r="E147" s="10" t="n">
        <v>-0.330473563530938</v>
      </c>
      <c r="F147" s="10" t="n">
        <v>0.103134000012581</v>
      </c>
    </row>
    <row r="148">
      <c r="A148" t="s">
        <v>276</v>
      </c>
      <c r="B148" t="s">
        <v>31</v>
      </c>
      <c r="C148" t="s">
        <v>423</v>
      </c>
      <c r="D148" t="n">
        <v>13</v>
      </c>
      <c r="E148" s="10" t="n">
        <v>-0.205142049014456</v>
      </c>
      <c r="F148" s="10" t="n">
        <v>0.0841327036429693</v>
      </c>
    </row>
    <row r="149">
      <c r="A149" t="s">
        <v>276</v>
      </c>
      <c r="B149" t="s">
        <v>31</v>
      </c>
      <c r="C149" t="s">
        <v>423</v>
      </c>
      <c r="D149" t="n">
        <v>14</v>
      </c>
      <c r="E149" s="10" t="n">
        <v>-0.191845966613254</v>
      </c>
      <c r="F149" s="10" t="n">
        <v>0.0817330184206942</v>
      </c>
    </row>
    <row r="150">
      <c r="A150" t="s">
        <v>276</v>
      </c>
      <c r="B150" t="s">
        <v>31</v>
      </c>
      <c r="C150" t="s">
        <v>423</v>
      </c>
      <c r="D150" t="n">
        <v>15</v>
      </c>
      <c r="E150" s="10" t="n">
        <v>-0.134196755838813</v>
      </c>
      <c r="F150" s="10" t="n">
        <v>0.0651346964616328</v>
      </c>
    </row>
    <row r="151">
      <c r="A151" t="s">
        <v>276</v>
      </c>
      <c r="B151" t="s">
        <v>31</v>
      </c>
      <c r="C151" t="s">
        <v>423</v>
      </c>
      <c r="D151" t="n">
        <v>16</v>
      </c>
      <c r="E151" s="10" t="n">
        <v>-0.117321586967352</v>
      </c>
      <c r="F151" s="10" t="n">
        <v>0.0501406504098674</v>
      </c>
    </row>
    <row r="152">
      <c r="A152" t="s">
        <v>276</v>
      </c>
      <c r="B152" t="s">
        <v>31</v>
      </c>
      <c r="C152" t="s">
        <v>423</v>
      </c>
      <c r="D152" t="n">
        <v>17</v>
      </c>
      <c r="E152" s="10" t="n">
        <v>-0.111566817914593</v>
      </c>
      <c r="F152" s="10" t="n">
        <v>0.0374543431300776</v>
      </c>
    </row>
    <row r="153">
      <c r="A153" t="s">
        <v>283</v>
      </c>
      <c r="B153" t="s">
        <v>30</v>
      </c>
      <c r="C153" t="s">
        <v>422</v>
      </c>
      <c r="D153" t="n">
        <v>1</v>
      </c>
      <c r="E153" s="10" t="n">
        <v>2.25845666410028</v>
      </c>
      <c r="F153" s="10" t="n">
        <v>-0.419018532629786</v>
      </c>
    </row>
    <row r="154">
      <c r="A154" t="s">
        <v>283</v>
      </c>
      <c r="B154" t="s">
        <v>30</v>
      </c>
      <c r="C154" t="s">
        <v>422</v>
      </c>
      <c r="D154" t="n">
        <v>2</v>
      </c>
      <c r="E154" s="10" t="n">
        <v>1.01786860882461</v>
      </c>
      <c r="F154" s="10" t="n">
        <v>-1.79642519929459</v>
      </c>
    </row>
    <row r="155">
      <c r="A155" t="s">
        <v>283</v>
      </c>
      <c r="B155" t="s">
        <v>30</v>
      </c>
      <c r="C155" t="s">
        <v>422</v>
      </c>
      <c r="D155" t="n">
        <v>3</v>
      </c>
      <c r="E155" s="10" t="n">
        <v>-1.52054758287277</v>
      </c>
      <c r="F155" s="10" t="n">
        <v>-0.162758279998327</v>
      </c>
    </row>
    <row r="156">
      <c r="A156" t="s">
        <v>283</v>
      </c>
      <c r="B156" t="s">
        <v>30</v>
      </c>
      <c r="C156" t="s">
        <v>422</v>
      </c>
      <c r="D156" t="n">
        <v>4</v>
      </c>
      <c r="E156" s="10" t="n">
        <v>-1.71116367277527</v>
      </c>
      <c r="F156" s="10" t="n">
        <v>0.19334578234747</v>
      </c>
    </row>
    <row r="157">
      <c r="A157" t="s">
        <v>283</v>
      </c>
      <c r="B157" t="s">
        <v>30</v>
      </c>
      <c r="C157" t="s">
        <v>422</v>
      </c>
      <c r="D157" t="n">
        <v>5</v>
      </c>
      <c r="E157" s="10" t="n">
        <v>-0.6101049646137</v>
      </c>
      <c r="F157" s="10" t="n">
        <v>1.3703181864639</v>
      </c>
    </row>
    <row r="158">
      <c r="A158" t="s">
        <v>283</v>
      </c>
      <c r="B158" t="s">
        <v>30</v>
      </c>
      <c r="C158" t="s">
        <v>422</v>
      </c>
      <c r="D158" t="n">
        <v>6</v>
      </c>
      <c r="E158" s="10" t="n">
        <v>0.852957143946371</v>
      </c>
      <c r="F158" s="10" t="n">
        <v>1.81660799675889</v>
      </c>
    </row>
    <row r="159">
      <c r="A159" t="s">
        <v>283</v>
      </c>
      <c r="B159" t="s">
        <v>30</v>
      </c>
      <c r="C159" t="s">
        <v>422</v>
      </c>
      <c r="D159" t="n">
        <v>7</v>
      </c>
      <c r="E159" s="10" t="n">
        <v>1.0731258050931</v>
      </c>
      <c r="F159" s="10" t="n">
        <v>1.83772735577966</v>
      </c>
    </row>
    <row r="160">
      <c r="A160" t="s">
        <v>283</v>
      </c>
      <c r="B160" t="s">
        <v>30</v>
      </c>
      <c r="C160" t="s">
        <v>423</v>
      </c>
      <c r="D160" t="n">
        <v>1</v>
      </c>
      <c r="E160" s="10" t="n">
        <v>0.600391233675389</v>
      </c>
      <c r="F160" s="10" t="n">
        <v>0.00596408532917624</v>
      </c>
    </row>
    <row r="161">
      <c r="A161" t="s">
        <v>283</v>
      </c>
      <c r="B161" t="s">
        <v>30</v>
      </c>
      <c r="C161" t="s">
        <v>423</v>
      </c>
      <c r="D161" t="n">
        <v>2</v>
      </c>
      <c r="E161" s="10" t="n">
        <v>0.560399292584939</v>
      </c>
      <c r="F161" s="10" t="n">
        <v>-0.0194997389544599</v>
      </c>
    </row>
    <row r="162">
      <c r="A162" t="s">
        <v>283</v>
      </c>
      <c r="B162" t="s">
        <v>30</v>
      </c>
      <c r="C162" t="s">
        <v>423</v>
      </c>
      <c r="D162" t="n">
        <v>3</v>
      </c>
      <c r="E162" s="10" t="n">
        <v>0.545444117860905</v>
      </c>
      <c r="F162" s="10" t="n">
        <v>-0.0263272090318366</v>
      </c>
    </row>
    <row r="163">
      <c r="A163" t="s">
        <v>283</v>
      </c>
      <c r="B163" t="s">
        <v>30</v>
      </c>
      <c r="C163" t="s">
        <v>423</v>
      </c>
      <c r="D163" t="n">
        <v>4</v>
      </c>
      <c r="E163" s="10" t="n">
        <v>0.48870293527388</v>
      </c>
      <c r="F163" s="10" t="n">
        <v>-0.0344526515150226</v>
      </c>
    </row>
    <row r="164">
      <c r="A164" t="s">
        <v>283</v>
      </c>
      <c r="B164" t="s">
        <v>30</v>
      </c>
      <c r="C164" t="s">
        <v>423</v>
      </c>
      <c r="D164" t="n">
        <v>5</v>
      </c>
      <c r="E164" s="10" t="n">
        <v>0.410454482110976</v>
      </c>
      <c r="F164" s="10" t="n">
        <v>-0.0435951873518666</v>
      </c>
    </row>
    <row r="165">
      <c r="A165" t="s">
        <v>283</v>
      </c>
      <c r="B165" t="s">
        <v>30</v>
      </c>
      <c r="C165" t="s">
        <v>423</v>
      </c>
      <c r="D165" t="n">
        <v>6</v>
      </c>
      <c r="E165" s="10" t="n">
        <v>0.388759050216814</v>
      </c>
      <c r="F165" s="10" t="n">
        <v>-0.0445605767519591</v>
      </c>
    </row>
    <row r="166">
      <c r="A166" t="s">
        <v>283</v>
      </c>
      <c r="B166" t="s">
        <v>30</v>
      </c>
      <c r="C166" t="s">
        <v>423</v>
      </c>
      <c r="D166" t="n">
        <v>7</v>
      </c>
      <c r="E166" s="10" t="n">
        <v>0.295644758864277</v>
      </c>
      <c r="F166" s="10" t="n">
        <v>-0.0419214051438694</v>
      </c>
    </row>
    <row r="167">
      <c r="A167" t="s">
        <v>283</v>
      </c>
      <c r="B167" t="s">
        <v>30</v>
      </c>
      <c r="C167" t="s">
        <v>423</v>
      </c>
      <c r="D167" t="n">
        <v>8</v>
      </c>
      <c r="E167" s="10" t="n">
        <v>0.226670553828586</v>
      </c>
      <c r="F167" s="10" t="n">
        <v>-0.0308462025287165</v>
      </c>
    </row>
    <row r="168">
      <c r="A168" t="s">
        <v>283</v>
      </c>
      <c r="B168" t="s">
        <v>30</v>
      </c>
      <c r="C168" t="s">
        <v>423</v>
      </c>
      <c r="D168" t="n">
        <v>9</v>
      </c>
      <c r="E168" s="10" t="n">
        <v>0.17482658826551</v>
      </c>
      <c r="F168" s="10" t="n">
        <v>-0.0177598584847209</v>
      </c>
    </row>
    <row r="169">
      <c r="A169" t="s">
        <v>283</v>
      </c>
      <c r="B169" t="s">
        <v>30</v>
      </c>
      <c r="C169" t="s">
        <v>423</v>
      </c>
      <c r="D169" t="n">
        <v>10</v>
      </c>
      <c r="E169" s="10" t="n">
        <v>0.114042397226046</v>
      </c>
      <c r="F169" s="10" t="n">
        <v>0.0181104853266981</v>
      </c>
    </row>
    <row r="170">
      <c r="A170" t="s">
        <v>283</v>
      </c>
      <c r="B170" t="s">
        <v>30</v>
      </c>
      <c r="C170" t="s">
        <v>423</v>
      </c>
      <c r="D170" t="n">
        <v>11</v>
      </c>
      <c r="E170" s="10" t="n">
        <v>0.107938241036352</v>
      </c>
      <c r="F170" s="10" t="n">
        <v>0.0293130902126444</v>
      </c>
    </row>
    <row r="171">
      <c r="A171" t="s">
        <v>283</v>
      </c>
      <c r="B171" t="s">
        <v>30</v>
      </c>
      <c r="C171" t="s">
        <v>423</v>
      </c>
      <c r="D171" t="n">
        <v>12</v>
      </c>
      <c r="E171" s="10" t="n">
        <v>0.109261751629771</v>
      </c>
      <c r="F171" s="10" t="n">
        <v>0.0424559640479493</v>
      </c>
    </row>
    <row r="172">
      <c r="A172" t="s">
        <v>283</v>
      </c>
      <c r="B172" t="s">
        <v>30</v>
      </c>
      <c r="C172" t="s">
        <v>423</v>
      </c>
      <c r="D172" t="n">
        <v>13</v>
      </c>
      <c r="E172" s="10" t="n">
        <v>0.117497585096186</v>
      </c>
      <c r="F172" s="10" t="n">
        <v>0.0545227632416783</v>
      </c>
    </row>
    <row r="173">
      <c r="A173" t="s">
        <v>283</v>
      </c>
      <c r="B173" t="s">
        <v>30</v>
      </c>
      <c r="C173" t="s">
        <v>423</v>
      </c>
      <c r="D173" t="n">
        <v>14</v>
      </c>
      <c r="E173" s="10" t="n">
        <v>0.145137625599664</v>
      </c>
      <c r="F173" s="10" t="n">
        <v>0.0808275052757286</v>
      </c>
    </row>
    <row r="174">
      <c r="A174" t="s">
        <v>283</v>
      </c>
      <c r="B174" t="s">
        <v>30</v>
      </c>
      <c r="C174" t="s">
        <v>423</v>
      </c>
      <c r="D174" t="n">
        <v>15</v>
      </c>
      <c r="E174" s="10" t="n">
        <v>0.293225582253392</v>
      </c>
      <c r="F174" s="10" t="n">
        <v>0.105090552425654</v>
      </c>
    </row>
    <row r="175">
      <c r="A175" t="s">
        <v>283</v>
      </c>
      <c r="B175" t="s">
        <v>30</v>
      </c>
      <c r="C175" t="s">
        <v>423</v>
      </c>
      <c r="D175" t="n">
        <v>16</v>
      </c>
      <c r="E175" s="10" t="n">
        <v>0.394891338763779</v>
      </c>
      <c r="F175" s="10" t="n">
        <v>0.102220016919716</v>
      </c>
    </row>
    <row r="176">
      <c r="A176" t="s">
        <v>283</v>
      </c>
      <c r="B176" t="s">
        <v>30</v>
      </c>
      <c r="C176" t="s">
        <v>423</v>
      </c>
      <c r="D176" t="n">
        <v>17</v>
      </c>
      <c r="E176" s="10" t="n">
        <v>0.421037783150837</v>
      </c>
      <c r="F176" s="10" t="n">
        <v>0.097974348235314</v>
      </c>
    </row>
    <row r="177">
      <c r="A177" t="s">
        <v>283</v>
      </c>
      <c r="B177" t="s">
        <v>30</v>
      </c>
      <c r="C177" t="s">
        <v>423</v>
      </c>
      <c r="D177" t="n">
        <v>18</v>
      </c>
      <c r="E177" s="10" t="n">
        <v>0.44939991301124</v>
      </c>
      <c r="F177" s="10" t="n">
        <v>0.0929173552124407</v>
      </c>
    </row>
    <row r="178">
      <c r="A178" t="s">
        <v>283</v>
      </c>
      <c r="B178" t="s">
        <v>30</v>
      </c>
      <c r="C178" t="s">
        <v>423</v>
      </c>
      <c r="D178" t="n">
        <v>19</v>
      </c>
      <c r="E178" s="10" t="n">
        <v>0.474882258318301</v>
      </c>
      <c r="F178" s="10" t="n">
        <v>0.0882611127679846</v>
      </c>
    </row>
    <row r="179">
      <c r="A179" t="s">
        <v>283</v>
      </c>
      <c r="B179" t="s">
        <v>30</v>
      </c>
      <c r="C179" t="s">
        <v>423</v>
      </c>
      <c r="D179" t="n">
        <v>20</v>
      </c>
      <c r="E179" s="10" t="n">
        <v>0.505869004969957</v>
      </c>
      <c r="F179" s="10" t="n">
        <v>0.081571347596716</v>
      </c>
    </row>
    <row r="180">
      <c r="A180" t="s">
        <v>283</v>
      </c>
      <c r="B180" t="s">
        <v>30</v>
      </c>
      <c r="C180" t="s">
        <v>423</v>
      </c>
      <c r="D180" t="n">
        <v>21</v>
      </c>
      <c r="E180" s="10" t="n">
        <v>0.540500241399558</v>
      </c>
      <c r="F180" s="10" t="n">
        <v>0.0685321176549157</v>
      </c>
    </row>
    <row r="181">
      <c r="A181" t="s">
        <v>283</v>
      </c>
      <c r="B181" t="s">
        <v>30</v>
      </c>
      <c r="C181" t="s">
        <v>423</v>
      </c>
      <c r="D181" t="n">
        <v>22</v>
      </c>
      <c r="E181" s="10" t="n">
        <v>0.590196369087906</v>
      </c>
      <c r="F181" s="10" t="n">
        <v>0.0456644885618551</v>
      </c>
    </row>
    <row r="182">
      <c r="A182" t="s">
        <v>283</v>
      </c>
      <c r="B182" t="s">
        <v>30</v>
      </c>
      <c r="C182" t="s">
        <v>423</v>
      </c>
      <c r="D182" t="n">
        <v>23</v>
      </c>
      <c r="E182" s="10" t="n">
        <v>0.593390097001665</v>
      </c>
      <c r="F182" s="10" t="n">
        <v>0.0340048706775683</v>
      </c>
    </row>
    <row r="183">
      <c r="A183" t="s">
        <v>283</v>
      </c>
      <c r="B183" t="s">
        <v>31</v>
      </c>
      <c r="C183" t="s">
        <v>422</v>
      </c>
      <c r="D183" t="n">
        <v>1</v>
      </c>
      <c r="E183" s="10" t="n">
        <v>1.04237478086035</v>
      </c>
      <c r="F183" s="10" t="n">
        <v>-1.02201438078267</v>
      </c>
    </row>
    <row r="184">
      <c r="A184" t="s">
        <v>283</v>
      </c>
      <c r="B184" t="s">
        <v>31</v>
      </c>
      <c r="C184" t="s">
        <v>422</v>
      </c>
      <c r="D184" t="n">
        <v>2</v>
      </c>
      <c r="E184" s="10" t="n">
        <v>-0.165517569077118</v>
      </c>
      <c r="F184" s="10" t="n">
        <v>-1.24193513629763</v>
      </c>
    </row>
    <row r="185">
      <c r="A185" t="s">
        <v>283</v>
      </c>
      <c r="B185" t="s">
        <v>31</v>
      </c>
      <c r="C185" t="s">
        <v>422</v>
      </c>
      <c r="D185" t="n">
        <v>3</v>
      </c>
      <c r="E185" s="10" t="n">
        <v>-1.19931861233848</v>
      </c>
      <c r="F185" s="10" t="n">
        <v>-0.352975559825579</v>
      </c>
    </row>
    <row r="186">
      <c r="A186" t="s">
        <v>283</v>
      </c>
      <c r="B186" t="s">
        <v>31</v>
      </c>
      <c r="C186" t="s">
        <v>422</v>
      </c>
      <c r="D186" t="n">
        <v>4</v>
      </c>
      <c r="E186" s="10" t="n">
        <v>-1.2015771199229</v>
      </c>
      <c r="F186" s="10" t="n">
        <v>-0.344546694771249</v>
      </c>
    </row>
    <row r="187">
      <c r="A187" t="s">
        <v>283</v>
      </c>
      <c r="B187" t="s">
        <v>31</v>
      </c>
      <c r="C187" t="s">
        <v>422</v>
      </c>
      <c r="D187" t="n">
        <v>5</v>
      </c>
      <c r="E187" s="10" t="n">
        <v>-0.983393294480907</v>
      </c>
      <c r="F187" s="10" t="n">
        <v>0.279263101785268</v>
      </c>
    </row>
    <row r="188">
      <c r="A188" t="s">
        <v>283</v>
      </c>
      <c r="B188" t="s">
        <v>31</v>
      </c>
      <c r="C188" t="s">
        <v>422</v>
      </c>
      <c r="D188" t="n">
        <v>6</v>
      </c>
      <c r="E188" s="10" t="n">
        <v>-0.197682644691905</v>
      </c>
      <c r="F188" s="10" t="n">
        <v>0.748173037694868</v>
      </c>
    </row>
    <row r="189">
      <c r="A189" t="s">
        <v>283</v>
      </c>
      <c r="B189" t="s">
        <v>31</v>
      </c>
      <c r="C189" t="s">
        <v>422</v>
      </c>
      <c r="D189" t="n">
        <v>7</v>
      </c>
      <c r="E189" s="10" t="n">
        <v>0.745905064958992</v>
      </c>
      <c r="F189" s="10" t="n">
        <v>1.13404978457073</v>
      </c>
    </row>
    <row r="190">
      <c r="A190" t="s">
        <v>283</v>
      </c>
      <c r="B190" t="s">
        <v>31</v>
      </c>
      <c r="C190" t="s">
        <v>422</v>
      </c>
      <c r="D190" t="n">
        <v>8</v>
      </c>
      <c r="E190" s="10" t="n">
        <v>0.936680235832775</v>
      </c>
      <c r="F190" s="10" t="n">
        <v>1.17055294030645</v>
      </c>
    </row>
    <row r="191">
      <c r="A191" t="s">
        <v>283</v>
      </c>
      <c r="B191" t="s">
        <v>31</v>
      </c>
      <c r="C191" t="s">
        <v>422</v>
      </c>
      <c r="D191" t="n">
        <v>9</v>
      </c>
      <c r="E191" s="10" t="n">
        <v>1.89159325136882</v>
      </c>
      <c r="F191" s="10" t="n">
        <v>0.537510051545829</v>
      </c>
    </row>
    <row r="192">
      <c r="A192" t="s">
        <v>283</v>
      </c>
      <c r="B192" t="s">
        <v>31</v>
      </c>
      <c r="C192" t="s">
        <v>422</v>
      </c>
      <c r="D192" t="n">
        <v>10</v>
      </c>
      <c r="E192" s="10" t="n">
        <v>1.98159959413982</v>
      </c>
      <c r="F192" s="10" t="n">
        <v>0.217420810863202</v>
      </c>
    </row>
    <row r="193">
      <c r="A193" t="s">
        <v>283</v>
      </c>
      <c r="B193" t="s">
        <v>31</v>
      </c>
      <c r="C193" t="s">
        <v>423</v>
      </c>
      <c r="D193" t="n">
        <v>1</v>
      </c>
      <c r="E193" s="10" t="n">
        <v>0.506047882379132</v>
      </c>
      <c r="F193" s="10" t="n">
        <v>-0.0183238149403083</v>
      </c>
    </row>
    <row r="194">
      <c r="A194" t="s">
        <v>283</v>
      </c>
      <c r="B194" t="s">
        <v>31</v>
      </c>
      <c r="C194" t="s">
        <v>423</v>
      </c>
      <c r="D194" t="n">
        <v>2</v>
      </c>
      <c r="E194" s="10" t="n">
        <v>0.41394331263455</v>
      </c>
      <c r="F194" s="10" t="n">
        <v>-0.0846453608355013</v>
      </c>
    </row>
    <row r="195">
      <c r="A195" t="s">
        <v>283</v>
      </c>
      <c r="B195" t="s">
        <v>31</v>
      </c>
      <c r="C195" t="s">
        <v>423</v>
      </c>
      <c r="D195" t="n">
        <v>3</v>
      </c>
      <c r="E195" s="10" t="n">
        <v>0.194205839913928</v>
      </c>
      <c r="F195" s="10" t="n">
        <v>-0.0950226816858294</v>
      </c>
    </row>
    <row r="196">
      <c r="A196" t="s">
        <v>283</v>
      </c>
      <c r="B196" t="s">
        <v>31</v>
      </c>
      <c r="C196" t="s">
        <v>423</v>
      </c>
      <c r="D196" t="n">
        <v>4</v>
      </c>
      <c r="E196" s="10" t="n">
        <v>0.138616842153574</v>
      </c>
      <c r="F196" s="10" t="n">
        <v>-0.0927682720255391</v>
      </c>
    </row>
    <row r="197">
      <c r="A197" t="s">
        <v>283</v>
      </c>
      <c r="B197" t="s">
        <v>31</v>
      </c>
      <c r="C197" t="s">
        <v>423</v>
      </c>
      <c r="D197" t="n">
        <v>5</v>
      </c>
      <c r="E197" s="10" t="n">
        <v>0.0786538642853937</v>
      </c>
      <c r="F197" s="10" t="n">
        <v>-0.0574446773910133</v>
      </c>
    </row>
    <row r="198">
      <c r="A198" t="s">
        <v>283</v>
      </c>
      <c r="B198" t="s">
        <v>31</v>
      </c>
      <c r="C198" t="s">
        <v>423</v>
      </c>
      <c r="D198" t="n">
        <v>6</v>
      </c>
      <c r="E198" s="10" t="n">
        <v>0.0559313557199367</v>
      </c>
      <c r="F198" s="10" t="n">
        <v>-0.0296667781243301</v>
      </c>
    </row>
    <row r="199">
      <c r="A199" t="s">
        <v>283</v>
      </c>
      <c r="B199" t="s">
        <v>31</v>
      </c>
      <c r="C199" t="s">
        <v>423</v>
      </c>
      <c r="D199" t="n">
        <v>7</v>
      </c>
      <c r="E199" s="10" t="n">
        <v>0.0535958421095724</v>
      </c>
      <c r="F199" s="10" t="n">
        <v>-0.0208515667253409</v>
      </c>
    </row>
    <row r="200">
      <c r="A200" t="s">
        <v>283</v>
      </c>
      <c r="B200" t="s">
        <v>31</v>
      </c>
      <c r="C200" t="s">
        <v>423</v>
      </c>
      <c r="D200" t="n">
        <v>8</v>
      </c>
      <c r="E200" s="10" t="n">
        <v>0.0556044520336198</v>
      </c>
      <c r="F200" s="10" t="n">
        <v>0.00242728877321397</v>
      </c>
    </row>
    <row r="201">
      <c r="A201" t="s">
        <v>283</v>
      </c>
      <c r="B201" t="s">
        <v>31</v>
      </c>
      <c r="C201" t="s">
        <v>423</v>
      </c>
      <c r="D201" t="n">
        <v>9</v>
      </c>
      <c r="E201" s="10" t="n">
        <v>0.0820972382481316</v>
      </c>
      <c r="F201" s="10" t="n">
        <v>0.0200810448497827</v>
      </c>
    </row>
    <row r="202">
      <c r="A202" t="s">
        <v>283</v>
      </c>
      <c r="B202" t="s">
        <v>31</v>
      </c>
      <c r="C202" t="s">
        <v>423</v>
      </c>
      <c r="D202" t="n">
        <v>10</v>
      </c>
      <c r="E202" s="10" t="n">
        <v>0.17404870220294</v>
      </c>
      <c r="F202" s="10" t="n">
        <v>0.057009921983412</v>
      </c>
    </row>
    <row r="203">
      <c r="A203" t="s">
        <v>283</v>
      </c>
      <c r="B203" t="s">
        <v>31</v>
      </c>
      <c r="C203" t="s">
        <v>423</v>
      </c>
      <c r="D203" t="n">
        <v>11</v>
      </c>
      <c r="E203" s="10" t="n">
        <v>0.221273727938124</v>
      </c>
      <c r="F203" s="10" t="n">
        <v>0.0673377725338223</v>
      </c>
    </row>
    <row r="204">
      <c r="A204" t="s">
        <v>283</v>
      </c>
      <c r="B204" t="s">
        <v>31</v>
      </c>
      <c r="C204" t="s">
        <v>423</v>
      </c>
      <c r="D204" t="n">
        <v>12</v>
      </c>
      <c r="E204" s="10" t="n">
        <v>0.340896655936092</v>
      </c>
      <c r="F204" s="10" t="n">
        <v>0.0770715057941667</v>
      </c>
    </row>
    <row r="205">
      <c r="A205" t="s">
        <v>283</v>
      </c>
      <c r="B205" t="s">
        <v>31</v>
      </c>
      <c r="C205" t="s">
        <v>423</v>
      </c>
      <c r="D205" t="n">
        <v>13</v>
      </c>
      <c r="E205" s="10" t="n">
        <v>0.427318722158697</v>
      </c>
      <c r="F205" s="10" t="n">
        <v>0.0631216319393286</v>
      </c>
    </row>
    <row r="206">
      <c r="A206" t="s">
        <v>283</v>
      </c>
      <c r="B206" t="s">
        <v>31</v>
      </c>
      <c r="C206" t="s">
        <v>423</v>
      </c>
      <c r="D206" t="n">
        <v>14</v>
      </c>
      <c r="E206" s="10" t="n">
        <v>0.484804258034277</v>
      </c>
      <c r="F206" s="10" t="n">
        <v>0.0319823476516849</v>
      </c>
    </row>
    <row r="207">
      <c r="A207" t="s">
        <v>283</v>
      </c>
      <c r="B207" t="s">
        <v>31</v>
      </c>
      <c r="C207" t="s">
        <v>423</v>
      </c>
      <c r="D207" t="n">
        <v>15</v>
      </c>
      <c r="E207" s="10" t="n">
        <v>0.505624640009933</v>
      </c>
      <c r="F207" s="10" t="n">
        <v>0.00432710873448222</v>
      </c>
    </row>
    <row r="208">
      <c r="A208" t="s">
        <v>290</v>
      </c>
      <c r="B208" t="s">
        <v>30</v>
      </c>
      <c r="C208" t="s">
        <v>422</v>
      </c>
      <c r="D208" t="n">
        <v>1</v>
      </c>
      <c r="E208" s="10" t="n">
        <v>0.375</v>
      </c>
      <c r="F208" s="10" t="n">
        <v>-0.649519052838329</v>
      </c>
    </row>
    <row r="209">
      <c r="A209" t="s">
        <v>290</v>
      </c>
      <c r="B209" t="s">
        <v>30</v>
      </c>
      <c r="C209" t="s">
        <v>422</v>
      </c>
      <c r="D209" t="n">
        <v>2</v>
      </c>
      <c r="E209" s="10" t="n">
        <v>-0.137818677908499</v>
      </c>
      <c r="F209" s="10" t="n">
        <v>-0.48063084796916</v>
      </c>
    </row>
    <row r="210">
      <c r="A210" t="s">
        <v>290</v>
      </c>
      <c r="B210" t="s">
        <v>30</v>
      </c>
      <c r="C210" t="s">
        <v>422</v>
      </c>
      <c r="D210" t="n">
        <v>3</v>
      </c>
      <c r="E210" s="10" t="n">
        <v>-0.334565303179429</v>
      </c>
      <c r="F210" s="10" t="n">
        <v>-0.371572412738697</v>
      </c>
    </row>
    <row r="211">
      <c r="A211" t="s">
        <v>290</v>
      </c>
      <c r="B211" t="s">
        <v>30</v>
      </c>
      <c r="C211" t="s">
        <v>422</v>
      </c>
      <c r="D211" t="n">
        <v>4</v>
      </c>
      <c r="E211" s="10" t="n">
        <v>-0.495134034370785</v>
      </c>
      <c r="F211" s="10" t="n">
        <v>-0.0695865504800329</v>
      </c>
    </row>
    <row r="212">
      <c r="A212" t="s">
        <v>290</v>
      </c>
      <c r="B212" t="s">
        <v>30</v>
      </c>
      <c r="C212" t="s">
        <v>422</v>
      </c>
      <c r="D212" t="n">
        <v>5</v>
      </c>
      <c r="E212" s="10" t="n">
        <v>-0.4567727288213</v>
      </c>
      <c r="F212" s="10" t="n">
        <v>0.2033683215379</v>
      </c>
    </row>
    <row r="213">
      <c r="A213" t="s">
        <v>290</v>
      </c>
      <c r="B213" t="s">
        <v>30</v>
      </c>
      <c r="C213" t="s">
        <v>422</v>
      </c>
      <c r="D213" t="n">
        <v>6</v>
      </c>
      <c r="E213" s="10" t="n">
        <v>-0.359669900169325</v>
      </c>
      <c r="F213" s="10" t="n">
        <v>0.347329185229499</v>
      </c>
    </row>
    <row r="214">
      <c r="A214" t="s">
        <v>290</v>
      </c>
      <c r="B214" t="s">
        <v>30</v>
      </c>
      <c r="C214" t="s">
        <v>422</v>
      </c>
      <c r="D214" t="n">
        <v>7</v>
      </c>
      <c r="E214" s="10" t="n">
        <v>-0.334565303179429</v>
      </c>
      <c r="F214" s="10" t="n">
        <v>0.371572412738697</v>
      </c>
    </row>
    <row r="215">
      <c r="A215" t="s">
        <v>290</v>
      </c>
      <c r="B215" t="s">
        <v>30</v>
      </c>
      <c r="C215" t="s">
        <v>422</v>
      </c>
      <c r="D215" t="n">
        <v>8</v>
      </c>
      <c r="E215" s="10" t="n">
        <v>0.104379825720049</v>
      </c>
      <c r="F215" s="10" t="n">
        <v>0.742701051556178</v>
      </c>
    </row>
    <row r="216">
      <c r="A216" t="s">
        <v>290</v>
      </c>
      <c r="B216" t="s">
        <v>30</v>
      </c>
      <c r="C216" t="s">
        <v>422</v>
      </c>
      <c r="D216" t="n">
        <v>9</v>
      </c>
      <c r="E216" s="10" t="n">
        <v>0.424024048078213</v>
      </c>
      <c r="F216" s="10" t="n">
        <v>0.264959632116602</v>
      </c>
    </row>
    <row r="217">
      <c r="A217" t="s">
        <v>290</v>
      </c>
      <c r="B217" t="s">
        <v>30</v>
      </c>
      <c r="C217" t="s">
        <v>423</v>
      </c>
      <c r="D217" t="n">
        <v>1</v>
      </c>
      <c r="E217" s="10" t="n">
        <v>0.0337756448096083</v>
      </c>
      <c r="F217" s="10" t="n">
        <v>0.00582913612153838</v>
      </c>
    </row>
    <row r="218">
      <c r="A218" t="s">
        <v>290</v>
      </c>
      <c r="B218" t="s">
        <v>30</v>
      </c>
      <c r="C218" t="s">
        <v>423</v>
      </c>
      <c r="D218" t="n">
        <v>2</v>
      </c>
      <c r="E218" s="10" t="n">
        <v>0.0153416709280506</v>
      </c>
      <c r="F218" s="10" t="n">
        <v>-0.0260512954416923</v>
      </c>
    </row>
    <row r="219">
      <c r="A219" t="s">
        <v>290</v>
      </c>
      <c r="B219" t="s">
        <v>30</v>
      </c>
      <c r="C219" t="s">
        <v>423</v>
      </c>
      <c r="D219" t="n">
        <v>3</v>
      </c>
      <c r="E219" s="10" t="n">
        <v>-0.000366508445116514</v>
      </c>
      <c r="F219" s="10" t="n">
        <v>-0.0361238941806294</v>
      </c>
    </row>
    <row r="220">
      <c r="A220" t="s">
        <v>290</v>
      </c>
      <c r="B220" t="s">
        <v>30</v>
      </c>
      <c r="C220" t="s">
        <v>423</v>
      </c>
      <c r="D220" t="n">
        <v>4</v>
      </c>
      <c r="E220" s="10" t="n">
        <v>-0.00613628040117021</v>
      </c>
      <c r="F220" s="10" t="n">
        <v>-0.0379082561371336</v>
      </c>
    </row>
    <row r="221">
      <c r="A221" t="s">
        <v>290</v>
      </c>
      <c r="B221" t="s">
        <v>30</v>
      </c>
      <c r="C221" t="s">
        <v>423</v>
      </c>
      <c r="D221" t="n">
        <v>5</v>
      </c>
      <c r="E221" s="10" t="n">
        <v>-0.0346191724509821</v>
      </c>
      <c r="F221" s="10" t="n">
        <v>-0.0446426489248626</v>
      </c>
    </row>
    <row r="222">
      <c r="A222" t="s">
        <v>290</v>
      </c>
      <c r="B222" t="s">
        <v>30</v>
      </c>
      <c r="C222" t="s">
        <v>423</v>
      </c>
      <c r="D222" t="n">
        <v>6</v>
      </c>
      <c r="E222" s="10" t="n">
        <v>-0.0389272164588153</v>
      </c>
      <c r="F222" s="10" t="n">
        <v>-0.0447927920206272</v>
      </c>
    </row>
    <row r="223">
      <c r="A223" t="s">
        <v>290</v>
      </c>
      <c r="B223" t="s">
        <v>30</v>
      </c>
      <c r="C223" t="s">
        <v>423</v>
      </c>
      <c r="D223" t="n">
        <v>7</v>
      </c>
      <c r="E223" s="10" t="n">
        <v>-0.0792268180613824</v>
      </c>
      <c r="F223" s="10" t="n">
        <v>-0.0327663676037934</v>
      </c>
    </row>
    <row r="224">
      <c r="A224" t="s">
        <v>290</v>
      </c>
      <c r="B224" t="s">
        <v>30</v>
      </c>
      <c r="C224" t="s">
        <v>423</v>
      </c>
      <c r="D224" t="n">
        <v>8</v>
      </c>
      <c r="E224" s="10" t="n">
        <v>-0.0888591728777356</v>
      </c>
      <c r="F224" s="10" t="n">
        <v>-0.0159564057005169</v>
      </c>
    </row>
    <row r="225">
      <c r="A225" t="s">
        <v>290</v>
      </c>
      <c r="B225" t="s">
        <v>30</v>
      </c>
      <c r="C225" t="s">
        <v>423</v>
      </c>
      <c r="D225" t="n">
        <v>9</v>
      </c>
      <c r="E225" s="10" t="n">
        <v>-0.0906603261771486</v>
      </c>
      <c r="F225" s="10" t="n">
        <v>-0.0123717970583454</v>
      </c>
    </row>
    <row r="226">
      <c r="A226" t="s">
        <v>290</v>
      </c>
      <c r="B226" t="s">
        <v>30</v>
      </c>
      <c r="C226" t="s">
        <v>423</v>
      </c>
      <c r="D226" t="n">
        <v>10</v>
      </c>
      <c r="E226" s="10" t="n">
        <v>-0.0948838851429234</v>
      </c>
      <c r="F226" s="10" t="n">
        <v>0.00587940474999233</v>
      </c>
    </row>
    <row r="227">
      <c r="A227" t="s">
        <v>290</v>
      </c>
      <c r="B227" t="s">
        <v>30</v>
      </c>
      <c r="C227" t="s">
        <v>423</v>
      </c>
      <c r="D227" t="n">
        <v>11</v>
      </c>
      <c r="E227" s="10" t="n">
        <v>-0.0950819984271679</v>
      </c>
      <c r="F227" s="10" t="n">
        <v>0.0112581179943765</v>
      </c>
    </row>
    <row r="228">
      <c r="A228" t="s">
        <v>290</v>
      </c>
      <c r="B228" t="s">
        <v>30</v>
      </c>
      <c r="C228" t="s">
        <v>423</v>
      </c>
      <c r="D228" t="n">
        <v>12</v>
      </c>
      <c r="E228" s="10" t="n">
        <v>-0.0897380814983477</v>
      </c>
      <c r="F228" s="10" t="n">
        <v>0.0387127590338</v>
      </c>
    </row>
    <row r="229">
      <c r="A229" t="s">
        <v>290</v>
      </c>
      <c r="B229" t="s">
        <v>30</v>
      </c>
      <c r="C229" t="s">
        <v>423</v>
      </c>
      <c r="D229" t="n">
        <v>13</v>
      </c>
      <c r="E229" s="10" t="n">
        <v>-0.0580744589869438</v>
      </c>
      <c r="F229" s="10" t="n">
        <v>0.0655484094436552</v>
      </c>
    </row>
    <row r="230">
      <c r="A230" t="s">
        <v>290</v>
      </c>
      <c r="B230" t="s">
        <v>30</v>
      </c>
      <c r="C230" t="s">
        <v>423</v>
      </c>
      <c r="D230" t="n">
        <v>14</v>
      </c>
      <c r="E230" s="10" t="n">
        <v>-0.0229852653296265</v>
      </c>
      <c r="F230" s="10" t="n">
        <v>0.0743695830063888</v>
      </c>
    </row>
    <row r="231">
      <c r="A231" t="s">
        <v>290</v>
      </c>
      <c r="B231" t="s">
        <v>30</v>
      </c>
      <c r="C231" t="s">
        <v>423</v>
      </c>
      <c r="D231" t="n">
        <v>15</v>
      </c>
      <c r="E231" s="10" t="n">
        <v>0.00848931783797655</v>
      </c>
      <c r="F231" s="10" t="n">
        <v>0.0668586546824876</v>
      </c>
    </row>
    <row r="232">
      <c r="A232" t="s">
        <v>290</v>
      </c>
      <c r="B232" t="s">
        <v>30</v>
      </c>
      <c r="C232" t="s">
        <v>423</v>
      </c>
      <c r="D232" t="n">
        <v>16</v>
      </c>
      <c r="E232" s="10" t="n">
        <v>0.0255180111522402</v>
      </c>
      <c r="F232" s="10" t="n">
        <v>0.0601774612601843</v>
      </c>
    </row>
    <row r="233">
      <c r="A233" t="s">
        <v>290</v>
      </c>
      <c r="B233" t="s">
        <v>30</v>
      </c>
      <c r="C233" t="s">
        <v>423</v>
      </c>
      <c r="D233" t="n">
        <v>17</v>
      </c>
      <c r="E233" s="10" t="n">
        <v>0.0340691455833488</v>
      </c>
      <c r="F233" s="10" t="n">
        <v>0.032319995632962</v>
      </c>
    </row>
    <row r="234">
      <c r="A234" t="s">
        <v>290</v>
      </c>
      <c r="B234" t="s">
        <v>30</v>
      </c>
      <c r="C234" t="s">
        <v>423</v>
      </c>
      <c r="D234" t="n">
        <v>18</v>
      </c>
      <c r="E234" s="10" t="n">
        <v>0.0373740291444141</v>
      </c>
      <c r="F234" s="10" t="n">
        <v>0.0186206690477749</v>
      </c>
    </row>
    <row r="235">
      <c r="A235" t="s">
        <v>290</v>
      </c>
      <c r="B235" t="s">
        <v>31</v>
      </c>
      <c r="C235" t="s">
        <v>422</v>
      </c>
      <c r="D235" t="n">
        <v>1</v>
      </c>
      <c r="E235" s="10" t="n">
        <v>0.497260947684137</v>
      </c>
      <c r="F235" s="10" t="n">
        <v>0.0522642316338267</v>
      </c>
    </row>
    <row r="236">
      <c r="A236" t="s">
        <v>290</v>
      </c>
      <c r="B236" t="s">
        <v>31</v>
      </c>
      <c r="C236" t="s">
        <v>422</v>
      </c>
      <c r="D236" t="n">
        <v>2</v>
      </c>
      <c r="E236" s="10" t="n">
        <v>0.383022221559489</v>
      </c>
      <c r="F236" s="10" t="n">
        <v>-0.32139380484327</v>
      </c>
    </row>
    <row r="237">
      <c r="A237" t="s">
        <v>290</v>
      </c>
      <c r="B237" t="s">
        <v>31</v>
      </c>
      <c r="C237" t="s">
        <v>422</v>
      </c>
      <c r="D237" t="n">
        <v>3</v>
      </c>
      <c r="E237" s="10" t="n">
        <v>0.130236133250197</v>
      </c>
      <c r="F237" s="10" t="n">
        <v>-0.738605814759156</v>
      </c>
    </row>
    <row r="238">
      <c r="A238" t="s">
        <v>290</v>
      </c>
      <c r="B238" t="s">
        <v>31</v>
      </c>
      <c r="C238" t="s">
        <v>422</v>
      </c>
      <c r="D238" t="n">
        <v>4</v>
      </c>
      <c r="E238" s="10" t="n">
        <v>-0.499695413509548</v>
      </c>
      <c r="F238" s="10" t="n">
        <v>-0.0174497483512506</v>
      </c>
    </row>
    <row r="239">
      <c r="A239" t="s">
        <v>290</v>
      </c>
      <c r="B239" t="s">
        <v>31</v>
      </c>
      <c r="C239" t="s">
        <v>422</v>
      </c>
      <c r="D239" t="n">
        <v>5</v>
      </c>
      <c r="E239" s="10" t="n">
        <v>-0.25</v>
      </c>
      <c r="F239" s="10" t="n">
        <v>0.433012701892219</v>
      </c>
    </row>
    <row r="240">
      <c r="A240" t="s">
        <v>290</v>
      </c>
      <c r="B240" t="s">
        <v>31</v>
      </c>
      <c r="C240" t="s">
        <v>422</v>
      </c>
      <c r="D240" t="n">
        <v>6</v>
      </c>
      <c r="E240" s="10" t="n">
        <v>0.154508497187474</v>
      </c>
      <c r="F240" s="10" t="n">
        <v>0.475528258147577</v>
      </c>
    </row>
    <row r="241">
      <c r="A241" t="s">
        <v>290</v>
      </c>
      <c r="B241" t="s">
        <v>31</v>
      </c>
      <c r="C241" t="s">
        <v>422</v>
      </c>
      <c r="D241" t="n">
        <v>7</v>
      </c>
      <c r="E241" s="10" t="n">
        <v>0.293892626146237</v>
      </c>
      <c r="F241" s="10" t="n">
        <v>0.404508497187474</v>
      </c>
    </row>
    <row r="242">
      <c r="A242" t="s">
        <v>290</v>
      </c>
      <c r="B242" t="s">
        <v>31</v>
      </c>
      <c r="C242" t="s">
        <v>422</v>
      </c>
      <c r="D242" t="n">
        <v>8</v>
      </c>
      <c r="E242" s="10" t="n">
        <v>0.433012701892219</v>
      </c>
      <c r="F242" s="10" t="n">
        <v>0.25</v>
      </c>
    </row>
    <row r="243">
      <c r="A243" t="s">
        <v>290</v>
      </c>
      <c r="B243" t="s">
        <v>31</v>
      </c>
      <c r="C243" t="s">
        <v>422</v>
      </c>
      <c r="D243" t="n">
        <v>9</v>
      </c>
      <c r="E243" s="10" t="n">
        <v>0.489073800366903</v>
      </c>
      <c r="F243" s="10" t="n">
        <v>0.10395584540888</v>
      </c>
    </row>
    <row r="244">
      <c r="A244" t="s">
        <v>290</v>
      </c>
      <c r="B244" t="s">
        <v>31</v>
      </c>
      <c r="C244" t="s">
        <v>423</v>
      </c>
      <c r="D244" t="n">
        <v>1</v>
      </c>
      <c r="E244" s="10" t="n">
        <v>0.0696022444315428</v>
      </c>
      <c r="F244" s="10" t="n">
        <v>0.00104759831880784</v>
      </c>
    </row>
    <row r="245">
      <c r="A245" t="s">
        <v>290</v>
      </c>
      <c r="B245" t="s">
        <v>31</v>
      </c>
      <c r="C245" t="s">
        <v>423</v>
      </c>
      <c r="D245" t="n">
        <v>2</v>
      </c>
      <c r="E245" s="10" t="n">
        <v>0.0665998014480277</v>
      </c>
      <c r="F245" s="10" t="n">
        <v>-0.00746135411721213</v>
      </c>
    </row>
    <row r="246">
      <c r="A246" t="s">
        <v>290</v>
      </c>
      <c r="B246" t="s">
        <v>31</v>
      </c>
      <c r="C246" t="s">
        <v>423</v>
      </c>
      <c r="D246" t="n">
        <v>3</v>
      </c>
      <c r="E246" s="10" t="n">
        <v>0.0480234198825934</v>
      </c>
      <c r="F246" s="10" t="n">
        <v>-0.0187898663461545</v>
      </c>
    </row>
    <row r="247">
      <c r="A247" t="s">
        <v>290</v>
      </c>
      <c r="B247" t="s">
        <v>31</v>
      </c>
      <c r="C247" t="s">
        <v>423</v>
      </c>
      <c r="D247" t="n">
        <v>4</v>
      </c>
      <c r="E247" s="10" t="n">
        <v>0.0349013747103538</v>
      </c>
      <c r="F247" s="10" t="n">
        <v>-0.0252549663200797</v>
      </c>
    </row>
    <row r="248">
      <c r="A248" t="s">
        <v>290</v>
      </c>
      <c r="B248" t="s">
        <v>31</v>
      </c>
      <c r="C248" t="s">
        <v>423</v>
      </c>
      <c r="D248" t="n">
        <v>5</v>
      </c>
      <c r="E248" s="10" t="n">
        <v>0.0201066199913587</v>
      </c>
      <c r="F248" s="10" t="n">
        <v>-0.0309959673575405</v>
      </c>
    </row>
    <row r="249">
      <c r="A249" t="s">
        <v>290</v>
      </c>
      <c r="B249" t="s">
        <v>31</v>
      </c>
      <c r="C249" t="s">
        <v>423</v>
      </c>
      <c r="D249" t="n">
        <v>6</v>
      </c>
      <c r="E249" s="10" t="n">
        <v>0.00952778231121365</v>
      </c>
      <c r="F249" s="10" t="n">
        <v>-0.0290174529598814</v>
      </c>
    </row>
    <row r="250">
      <c r="A250" t="s">
        <v>290</v>
      </c>
      <c r="B250" t="s">
        <v>31</v>
      </c>
      <c r="C250" t="s">
        <v>423</v>
      </c>
      <c r="D250" t="n">
        <v>7</v>
      </c>
      <c r="E250" s="10" t="n">
        <v>-0.0339340730251495</v>
      </c>
      <c r="F250" s="10" t="n">
        <v>-0.0130788851121084</v>
      </c>
    </row>
    <row r="251">
      <c r="A251" t="s">
        <v>290</v>
      </c>
      <c r="B251" t="s">
        <v>31</v>
      </c>
      <c r="C251" t="s">
        <v>423</v>
      </c>
      <c r="D251" t="n">
        <v>8</v>
      </c>
      <c r="E251" s="10" t="n">
        <v>-0.038900092141278</v>
      </c>
      <c r="F251" s="10" t="n">
        <v>0.00133920432990093</v>
      </c>
    </row>
    <row r="252">
      <c r="A252" t="s">
        <v>290</v>
      </c>
      <c r="B252" t="s">
        <v>31</v>
      </c>
      <c r="C252" t="s">
        <v>423</v>
      </c>
      <c r="D252" t="n">
        <v>9</v>
      </c>
      <c r="E252" s="10" t="n">
        <v>-0.0405442087511205</v>
      </c>
      <c r="F252" s="10" t="n">
        <v>0.00960048265539421</v>
      </c>
    </row>
    <row r="253">
      <c r="A253" t="s">
        <v>290</v>
      </c>
      <c r="B253" t="s">
        <v>31</v>
      </c>
      <c r="C253" t="s">
        <v>423</v>
      </c>
      <c r="D253" t="n">
        <v>10</v>
      </c>
      <c r="E253" s="10" t="n">
        <v>-0.0399916906296951</v>
      </c>
      <c r="F253" s="10" t="n">
        <v>0.0168848732230989</v>
      </c>
    </row>
    <row r="254">
      <c r="A254" t="s">
        <v>290</v>
      </c>
      <c r="B254" t="s">
        <v>31</v>
      </c>
      <c r="C254" t="s">
        <v>423</v>
      </c>
      <c r="D254" t="n">
        <v>11</v>
      </c>
      <c r="E254" s="10" t="n">
        <v>-0.033665076697207</v>
      </c>
      <c r="F254" s="10" t="n">
        <v>0.0314561698491474</v>
      </c>
    </row>
    <row r="255">
      <c r="A255" t="s">
        <v>290</v>
      </c>
      <c r="B255" t="s">
        <v>31</v>
      </c>
      <c r="C255" t="s">
        <v>423</v>
      </c>
      <c r="D255" t="n">
        <v>12</v>
      </c>
      <c r="E255" s="10" t="n">
        <v>-0.022338309831166</v>
      </c>
      <c r="F255" s="10" t="n">
        <v>0.0470812688912382</v>
      </c>
    </row>
    <row r="256">
      <c r="A256" t="s">
        <v>290</v>
      </c>
      <c r="B256" t="s">
        <v>31</v>
      </c>
      <c r="C256" t="s">
        <v>423</v>
      </c>
      <c r="D256" t="n">
        <v>13</v>
      </c>
      <c r="E256" s="10" t="n">
        <v>-0.00414213688453134</v>
      </c>
      <c r="F256" s="10" t="n">
        <v>0.056284704854151</v>
      </c>
    </row>
    <row r="257">
      <c r="A257" t="s">
        <v>290</v>
      </c>
      <c r="B257" t="s">
        <v>31</v>
      </c>
      <c r="C257" t="s">
        <v>423</v>
      </c>
      <c r="D257" t="n">
        <v>14</v>
      </c>
      <c r="E257" s="10" t="n">
        <v>0.00686432309680228</v>
      </c>
      <c r="F257" s="10" t="n">
        <v>0.0579662206857219</v>
      </c>
    </row>
    <row r="258">
      <c r="A258" t="s">
        <v>290</v>
      </c>
      <c r="B258" t="s">
        <v>31</v>
      </c>
      <c r="C258" t="s">
        <v>423</v>
      </c>
      <c r="D258" t="n">
        <v>15</v>
      </c>
      <c r="E258" s="10" t="n">
        <v>0.0213304180063358</v>
      </c>
      <c r="F258" s="10" t="n">
        <v>0.0595065587633256</v>
      </c>
    </row>
    <row r="259">
      <c r="A259" t="s">
        <v>290</v>
      </c>
      <c r="B259" t="s">
        <v>31</v>
      </c>
      <c r="C259" t="s">
        <v>423</v>
      </c>
      <c r="D259" t="n">
        <v>16</v>
      </c>
      <c r="E259" s="10" t="n">
        <v>0.0534516769319539</v>
      </c>
      <c r="F259" s="10" t="n">
        <v>0.0528949199507687</v>
      </c>
    </row>
    <row r="260">
      <c r="A260" t="s">
        <v>290</v>
      </c>
      <c r="B260" t="s">
        <v>31</v>
      </c>
      <c r="C260" t="s">
        <v>423</v>
      </c>
      <c r="D260" t="n">
        <v>17</v>
      </c>
      <c r="E260" s="10" t="n">
        <v>0.0721640685750537</v>
      </c>
      <c r="F260" s="10" t="n">
        <v>0.0312375434706599</v>
      </c>
    </row>
    <row r="262">
      <c r="A262" s="1" t="s">
        <v>424</v>
      </c>
    </row>
    <row r="263">
      <c r="A263" t="s">
        <v>1</v>
      </c>
    </row>
    <row r="264">
      <c r="A264" t="s">
        <v>425</v>
      </c>
    </row>
    <row r="265">
      <c r="A265" t="s">
        <v>426</v>
      </c>
    </row>
    <row r="266">
      <c r="A266" t="s">
        <v>427</v>
      </c>
    </row>
    <row r="267">
      <c r="A267" t="s">
        <v>428</v>
      </c>
    </row>
    <row r="268">
      <c r="A268" t="s">
        <v>429</v>
      </c>
    </row>
    <row r="269">
      <c r="A269" t="s">
        <v>430</v>
      </c>
    </row>
    <row r="270">
      <c r="A270" t="s">
        <v>431</v>
      </c>
    </row>
    <row r="271">
      <c r="A271" t="s">
        <v>432</v>
      </c>
    </row>
    <row r="272">
      <c r="A272" t="s">
        <v>433</v>
      </c>
    </row>
    <row r="273">
      <c r="A273" t="s">
        <v>434</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29</v>
      </c>
      <c r="B1" t="s">
        <v>435</v>
      </c>
      <c r="C1" t="s">
        <v>436</v>
      </c>
      <c r="D1" t="s">
        <v>257</v>
      </c>
      <c r="E1" t="s">
        <v>437</v>
      </c>
      <c r="F1" t="s">
        <v>438</v>
      </c>
      <c r="G1" t="s">
        <v>420</v>
      </c>
      <c r="H1" t="s">
        <v>421</v>
      </c>
    </row>
    <row r="2">
      <c r="A2" t="s">
        <v>30</v>
      </c>
      <c r="B2" t="s">
        <v>439</v>
      </c>
      <c r="C2" t="s">
        <v>440</v>
      </c>
      <c r="D2" t="s">
        <v>441</v>
      </c>
      <c r="E2" s="13" t="n">
        <v>0.25</v>
      </c>
      <c r="F2" s="16" t="n">
        <v>156</v>
      </c>
      <c r="G2" s="14" t="n">
        <v>0.167282651589715</v>
      </c>
      <c r="H2" s="15" t="n">
        <v>-0.185786206369349</v>
      </c>
    </row>
    <row r="3">
      <c r="A3" t="s">
        <v>30</v>
      </c>
      <c r="B3" t="s">
        <v>439</v>
      </c>
      <c r="C3" t="s">
        <v>442</v>
      </c>
      <c r="D3" t="s">
        <v>441</v>
      </c>
      <c r="E3" s="13" t="n">
        <v>0.75</v>
      </c>
      <c r="F3" s="16" t="n">
        <v>41</v>
      </c>
      <c r="G3" s="14" t="n">
        <v>0.104379825720049</v>
      </c>
      <c r="H3" s="15" t="n">
        <v>0.742701051556178</v>
      </c>
    </row>
    <row r="4">
      <c r="A4" t="s">
        <v>30</v>
      </c>
      <c r="B4" t="s">
        <v>443</v>
      </c>
      <c r="C4" t="s">
        <v>444</v>
      </c>
      <c r="D4" t="s">
        <v>441</v>
      </c>
      <c r="E4" s="13" t="n">
        <v>0.25</v>
      </c>
      <c r="F4" s="16" t="n">
        <v>2</v>
      </c>
      <c r="G4" s="14" t="n">
        <v>0.249391012564956</v>
      </c>
      <c r="H4" s="15" t="n">
        <v>0.0174391184360313</v>
      </c>
    </row>
    <row r="5">
      <c r="A5" t="s">
        <v>30</v>
      </c>
      <c r="B5" t="s">
        <v>443</v>
      </c>
      <c r="C5" t="s">
        <v>445</v>
      </c>
      <c r="D5" t="s">
        <v>441</v>
      </c>
      <c r="E5" s="13" t="n">
        <v>0.25</v>
      </c>
      <c r="F5" s="16" t="n">
        <v>33</v>
      </c>
      <c r="G5" s="14" t="n">
        <v>0.10168416076895</v>
      </c>
      <c r="H5" s="15" t="n">
        <v>0.22838636441065</v>
      </c>
    </row>
    <row r="6">
      <c r="A6" t="s">
        <v>30</v>
      </c>
      <c r="B6" t="s">
        <v>446</v>
      </c>
      <c r="C6" t="s">
        <v>447</v>
      </c>
      <c r="D6" t="s">
        <v>441</v>
      </c>
      <c r="E6" s="13" t="n">
        <v>0.25</v>
      </c>
      <c r="F6" s="16" t="n">
        <v>66</v>
      </c>
      <c r="G6" s="14" t="n">
        <v>-0.167282651589714</v>
      </c>
      <c r="H6" s="15" t="n">
        <v>0.185786206369349</v>
      </c>
    </row>
    <row r="7">
      <c r="A7" t="s">
        <v>30</v>
      </c>
      <c r="B7" t="s">
        <v>448</v>
      </c>
      <c r="C7" t="s">
        <v>449</v>
      </c>
      <c r="D7" t="s">
        <v>441</v>
      </c>
      <c r="E7" s="13" t="n">
        <v>0.25</v>
      </c>
      <c r="F7" s="16" t="n">
        <v>156</v>
      </c>
      <c r="G7" s="14" t="n">
        <v>0.167282651589715</v>
      </c>
      <c r="H7" s="15" t="n">
        <v>-0.185786206369349</v>
      </c>
    </row>
    <row r="8">
      <c r="A8" t="s">
        <v>30</v>
      </c>
      <c r="B8" t="s">
        <v>448</v>
      </c>
      <c r="C8" t="s">
        <v>450</v>
      </c>
      <c r="D8" t="s">
        <v>441</v>
      </c>
      <c r="E8" s="13" t="n">
        <v>0.25</v>
      </c>
      <c r="F8" s="16" t="n">
        <v>127</v>
      </c>
      <c r="G8" s="14" t="n">
        <v>-0.0689093389542497</v>
      </c>
      <c r="H8" s="15" t="n">
        <v>-0.24031542398458</v>
      </c>
    </row>
    <row r="9">
      <c r="A9" t="s">
        <v>31</v>
      </c>
      <c r="B9" t="s">
        <v>451</v>
      </c>
      <c r="C9" t="s">
        <v>452</v>
      </c>
      <c r="D9" t="s">
        <v>441</v>
      </c>
      <c r="E9" s="13" t="n">
        <v>0.25</v>
      </c>
      <c r="F9" s="16" t="n">
        <v>46</v>
      </c>
      <c r="G9" s="14" t="n">
        <v>-0.00872487417562518</v>
      </c>
      <c r="H9" s="15" t="n">
        <v>0.249847706754774</v>
      </c>
    </row>
    <row r="10">
      <c r="A10" t="s">
        <v>31</v>
      </c>
      <c r="B10" t="s">
        <v>451</v>
      </c>
      <c r="C10" t="s">
        <v>453</v>
      </c>
      <c r="D10" t="s">
        <v>441</v>
      </c>
      <c r="E10" s="13" t="n">
        <v>0.25</v>
      </c>
      <c r="F10" s="16" t="n">
        <v>138</v>
      </c>
      <c r="G10" s="14" t="n">
        <v>0.0261321158169135</v>
      </c>
      <c r="H10" s="15" t="n">
        <v>-0.248630473842068</v>
      </c>
    </row>
    <row r="11">
      <c r="A11" t="s">
        <v>31</v>
      </c>
      <c r="B11" t="s">
        <v>454</v>
      </c>
      <c r="C11" t="s">
        <v>455</v>
      </c>
      <c r="D11" t="s">
        <v>441</v>
      </c>
      <c r="E11" s="13" t="n">
        <v>0.5</v>
      </c>
      <c r="F11" s="16" t="n">
        <v>91</v>
      </c>
      <c r="G11" s="14" t="n">
        <v>-0.499695413509548</v>
      </c>
      <c r="H11" s="15" t="n">
        <v>-0.0174497483512506</v>
      </c>
    </row>
    <row r="12">
      <c r="A12" t="s">
        <v>31</v>
      </c>
      <c r="B12" t="s">
        <v>454</v>
      </c>
      <c r="C12" t="s">
        <v>456</v>
      </c>
      <c r="D12" t="s">
        <v>441</v>
      </c>
      <c r="E12" s="13" t="n">
        <v>0.25</v>
      </c>
      <c r="F12" s="16" t="n">
        <v>76</v>
      </c>
      <c r="G12" s="14" t="n">
        <v>-0.220736898214732</v>
      </c>
      <c r="H12" s="15" t="n">
        <v>0.117367890696473</v>
      </c>
    </row>
    <row r="13">
      <c r="A13" t="s">
        <v>30</v>
      </c>
      <c r="B13" t="s">
        <v>457</v>
      </c>
      <c r="C13" t="s">
        <v>458</v>
      </c>
      <c r="D13" t="s">
        <v>441</v>
      </c>
      <c r="E13" s="13" t="n">
        <v>0</v>
      </c>
      <c r="F13" s="16" t="n">
        <v>131</v>
      </c>
      <c r="G13" s="14" t="n">
        <v>0</v>
      </c>
      <c r="H13" s="15" t="n">
        <v>0</v>
      </c>
    </row>
    <row r="14">
      <c r="A14" t="s">
        <v>31</v>
      </c>
      <c r="B14" t="s">
        <v>459</v>
      </c>
      <c r="C14" t="s">
        <v>460</v>
      </c>
      <c r="D14" t="s">
        <v>441</v>
      </c>
      <c r="E14" s="13" t="n">
        <v>0.5</v>
      </c>
      <c r="F14" s="16" t="n">
        <v>3</v>
      </c>
      <c r="G14" s="14" t="n">
        <v>0.497260947684137</v>
      </c>
      <c r="H14" s="15" t="n">
        <v>0.0522642316338267</v>
      </c>
    </row>
    <row r="15">
      <c r="A15" t="s">
        <v>31</v>
      </c>
      <c r="B15" t="s">
        <v>459</v>
      </c>
      <c r="C15" t="s">
        <v>461</v>
      </c>
      <c r="D15" t="s">
        <v>441</v>
      </c>
      <c r="E15" s="13" t="n">
        <v>0.25</v>
      </c>
      <c r="F15" s="16" t="n">
        <v>7</v>
      </c>
      <c r="G15" s="14" t="n">
        <v>0.242573931568999</v>
      </c>
      <c r="H15" s="15" t="n">
        <v>0.0604804738999169</v>
      </c>
    </row>
    <row r="16">
      <c r="A16" t="s">
        <v>30</v>
      </c>
      <c r="B16" t="s">
        <v>462</v>
      </c>
      <c r="C16" t="s">
        <v>463</v>
      </c>
      <c r="D16" t="s">
        <v>441</v>
      </c>
      <c r="E16" s="13" t="n">
        <v>0</v>
      </c>
      <c r="F16" s="16" t="n">
        <v>84</v>
      </c>
      <c r="G16" s="14" t="n">
        <v>0</v>
      </c>
      <c r="H16" s="15" t="n">
        <v>0</v>
      </c>
    </row>
    <row r="17">
      <c r="A17" t="s">
        <v>30</v>
      </c>
      <c r="B17" t="s">
        <v>462</v>
      </c>
      <c r="C17" t="s">
        <v>464</v>
      </c>
      <c r="D17" t="s">
        <v>441</v>
      </c>
      <c r="E17" s="13" t="n">
        <v>0</v>
      </c>
      <c r="F17" s="16" t="n">
        <v>42</v>
      </c>
      <c r="G17" s="14" t="n">
        <v>0</v>
      </c>
      <c r="H17" s="15" t="n">
        <v>0</v>
      </c>
    </row>
    <row r="18">
      <c r="A18" t="s">
        <v>30</v>
      </c>
      <c r="B18" t="s">
        <v>465</v>
      </c>
      <c r="C18" t="s">
        <v>466</v>
      </c>
      <c r="D18" t="s">
        <v>441</v>
      </c>
      <c r="E18" s="13" t="n">
        <v>0.5</v>
      </c>
      <c r="F18" s="16" t="n">
        <v>127</v>
      </c>
      <c r="G18" s="14" t="n">
        <v>-0.137818677908499</v>
      </c>
      <c r="H18" s="15" t="n">
        <v>-0.48063084796916</v>
      </c>
    </row>
    <row r="19">
      <c r="A19" t="s">
        <v>30</v>
      </c>
      <c r="B19" t="s">
        <v>465</v>
      </c>
      <c r="C19" t="s">
        <v>467</v>
      </c>
      <c r="D19" t="s">
        <v>441</v>
      </c>
      <c r="E19" s="13" t="n">
        <v>0.25</v>
      </c>
      <c r="F19" s="16" t="n">
        <v>74</v>
      </c>
      <c r="G19" s="14" t="n">
        <v>-0.212012024039106</v>
      </c>
      <c r="H19" s="15" t="n">
        <v>0.132479816058301</v>
      </c>
    </row>
    <row r="20">
      <c r="A20" t="s">
        <v>31</v>
      </c>
      <c r="B20" t="s">
        <v>468</v>
      </c>
      <c r="C20" t="s">
        <v>469</v>
      </c>
      <c r="D20" t="s">
        <v>441</v>
      </c>
      <c r="E20" s="13" t="n">
        <v>0.25</v>
      </c>
      <c r="F20" s="16" t="n">
        <v>177</v>
      </c>
      <c r="G20" s="14" t="n">
        <v>0.248630473842068</v>
      </c>
      <c r="H20" s="15" t="n">
        <v>-0.0261321158169134</v>
      </c>
    </row>
    <row r="21">
      <c r="A21" t="s">
        <v>31</v>
      </c>
      <c r="B21" t="s">
        <v>468</v>
      </c>
      <c r="C21" t="s">
        <v>470</v>
      </c>
      <c r="D21" t="s">
        <v>441</v>
      </c>
      <c r="E21" s="13" t="n">
        <v>0.25</v>
      </c>
      <c r="F21" s="16" t="n">
        <v>1</v>
      </c>
      <c r="G21" s="14" t="n">
        <v>0.249847706754774</v>
      </c>
      <c r="H21" s="15" t="n">
        <v>0.00872487417562524</v>
      </c>
    </row>
    <row r="22">
      <c r="A22" t="s">
        <v>30</v>
      </c>
      <c r="B22" t="s">
        <v>471</v>
      </c>
      <c r="C22" t="s">
        <v>472</v>
      </c>
      <c r="D22" t="s">
        <v>441</v>
      </c>
      <c r="E22" s="13" t="n">
        <v>0.25</v>
      </c>
      <c r="F22" s="16" t="n">
        <v>174</v>
      </c>
      <c r="G22" s="14" t="n">
        <v>0.244536900183451</v>
      </c>
      <c r="H22" s="15" t="n">
        <v>-0.0519779227044398</v>
      </c>
    </row>
    <row r="23">
      <c r="A23" t="s">
        <v>30</v>
      </c>
      <c r="B23" t="s">
        <v>473</v>
      </c>
      <c r="C23" t="s">
        <v>474</v>
      </c>
      <c r="D23" t="s">
        <v>441</v>
      </c>
      <c r="E23" s="13" t="n">
        <v>0.25</v>
      </c>
      <c r="F23" s="16" t="n">
        <v>67</v>
      </c>
      <c r="G23" s="14" t="n">
        <v>-0.173664592614749</v>
      </c>
      <c r="H23" s="15" t="n">
        <v>0.179834950084663</v>
      </c>
    </row>
    <row r="24">
      <c r="A24" t="s">
        <v>31</v>
      </c>
      <c r="B24" t="s">
        <v>475</v>
      </c>
      <c r="C24" t="s">
        <v>476</v>
      </c>
      <c r="D24" t="s">
        <v>441</v>
      </c>
      <c r="E24" s="13" t="n">
        <v>0.25</v>
      </c>
      <c r="F24" s="16" t="n">
        <v>31</v>
      </c>
      <c r="G24" s="14" t="n">
        <v>0.117367890696473</v>
      </c>
      <c r="H24" s="15" t="n">
        <v>0.220736898214732</v>
      </c>
    </row>
    <row r="25">
      <c r="A25" t="s">
        <v>31</v>
      </c>
      <c r="B25" t="s">
        <v>477</v>
      </c>
      <c r="C25" t="s">
        <v>478</v>
      </c>
      <c r="D25" t="s">
        <v>441</v>
      </c>
      <c r="E25" s="13" t="n">
        <v>0.5</v>
      </c>
      <c r="F25" s="16" t="n">
        <v>160</v>
      </c>
      <c r="G25" s="14" t="n">
        <v>0.383022221559489</v>
      </c>
      <c r="H25" s="15" t="n">
        <v>-0.32139380484327</v>
      </c>
    </row>
    <row r="26">
      <c r="A26" t="s">
        <v>31</v>
      </c>
      <c r="B26" t="s">
        <v>477</v>
      </c>
      <c r="C26" t="s">
        <v>479</v>
      </c>
      <c r="D26" t="s">
        <v>441</v>
      </c>
      <c r="E26" s="13" t="n">
        <v>0.25</v>
      </c>
      <c r="F26" s="16" t="n">
        <v>46</v>
      </c>
      <c r="G26" s="14" t="n">
        <v>-0.00872487417562518</v>
      </c>
      <c r="H26" s="15" t="n">
        <v>0.249847706754774</v>
      </c>
    </row>
    <row r="27">
      <c r="A27" t="s">
        <v>31</v>
      </c>
      <c r="B27" t="s">
        <v>480</v>
      </c>
      <c r="C27" t="s">
        <v>481</v>
      </c>
      <c r="D27" t="s">
        <v>441</v>
      </c>
      <c r="E27" s="13" t="n">
        <v>0.25</v>
      </c>
      <c r="F27" s="16" t="n">
        <v>86</v>
      </c>
      <c r="G27" s="14" t="n">
        <v>-0.247567017185393</v>
      </c>
      <c r="H27" s="15" t="n">
        <v>0.0347932752400163</v>
      </c>
    </row>
    <row r="28">
      <c r="A28" t="s">
        <v>31</v>
      </c>
      <c r="B28" t="s">
        <v>480</v>
      </c>
      <c r="C28" t="s">
        <v>482</v>
      </c>
      <c r="D28" t="s">
        <v>441</v>
      </c>
      <c r="E28" s="13" t="n">
        <v>0.25</v>
      </c>
      <c r="F28" s="16" t="n">
        <v>60</v>
      </c>
      <c r="G28" s="14" t="n">
        <v>-0.125</v>
      </c>
      <c r="H28" s="15" t="n">
        <v>0.21650635094611</v>
      </c>
    </row>
    <row r="29">
      <c r="A29" t="s">
        <v>30</v>
      </c>
      <c r="B29" t="s">
        <v>483</v>
      </c>
      <c r="C29" t="s">
        <v>484</v>
      </c>
      <c r="D29" t="s">
        <v>441</v>
      </c>
      <c r="E29" s="13" t="n">
        <v>0.25</v>
      </c>
      <c r="F29" s="16" t="n">
        <v>52</v>
      </c>
      <c r="G29" s="14" t="n">
        <v>-0.0604804738999169</v>
      </c>
      <c r="H29" s="15" t="n">
        <v>0.242573931568999</v>
      </c>
    </row>
    <row r="30">
      <c r="A30" t="s">
        <v>30</v>
      </c>
      <c r="B30" t="s">
        <v>485</v>
      </c>
      <c r="C30" t="s">
        <v>486</v>
      </c>
      <c r="D30" t="s">
        <v>441</v>
      </c>
      <c r="E30" s="13" t="n">
        <v>0</v>
      </c>
      <c r="F30" s="16" t="n">
        <v>58</v>
      </c>
      <c r="G30" s="14" t="n">
        <v>0</v>
      </c>
      <c r="H30" s="15" t="n">
        <v>0</v>
      </c>
    </row>
    <row r="31">
      <c r="A31" t="s">
        <v>30</v>
      </c>
      <c r="B31" t="s">
        <v>485</v>
      </c>
      <c r="C31" t="s">
        <v>487</v>
      </c>
      <c r="D31" t="s">
        <v>441</v>
      </c>
      <c r="E31" s="13" t="n">
        <v>0.25</v>
      </c>
      <c r="F31" s="16" t="n">
        <v>75</v>
      </c>
      <c r="G31" s="14" t="n">
        <v>-0.21650635094611</v>
      </c>
      <c r="H31" s="15" t="n">
        <v>0.125</v>
      </c>
    </row>
    <row r="32">
      <c r="A32" t="s">
        <v>30</v>
      </c>
      <c r="B32" t="s">
        <v>488</v>
      </c>
      <c r="C32" t="s">
        <v>489</v>
      </c>
      <c r="D32" t="s">
        <v>441</v>
      </c>
      <c r="E32" s="13" t="n">
        <v>0.25</v>
      </c>
      <c r="F32" s="16" t="n">
        <v>160</v>
      </c>
      <c r="G32" s="14" t="n">
        <v>0.191511110779744</v>
      </c>
      <c r="H32" s="15" t="n">
        <v>-0.160696902421635</v>
      </c>
    </row>
    <row r="33">
      <c r="A33" t="s">
        <v>30</v>
      </c>
      <c r="B33" t="s">
        <v>488</v>
      </c>
      <c r="C33" t="s">
        <v>490</v>
      </c>
      <c r="D33" t="s">
        <v>441</v>
      </c>
      <c r="E33" s="13" t="n">
        <v>0.25</v>
      </c>
      <c r="F33" s="16" t="n">
        <v>18</v>
      </c>
      <c r="G33" s="14" t="n">
        <v>0.202254248593737</v>
      </c>
      <c r="H33" s="15" t="n">
        <v>0.146946313073118</v>
      </c>
    </row>
    <row r="34">
      <c r="A34" t="s">
        <v>30</v>
      </c>
      <c r="B34" t="s">
        <v>491</v>
      </c>
      <c r="C34" t="s">
        <v>492</v>
      </c>
      <c r="D34" t="s">
        <v>441</v>
      </c>
      <c r="E34" s="13" t="n">
        <v>0.5</v>
      </c>
      <c r="F34" s="16" t="n">
        <v>16</v>
      </c>
      <c r="G34" s="14" t="n">
        <v>0.424024048078213</v>
      </c>
      <c r="H34" s="15" t="n">
        <v>0.264959632116602</v>
      </c>
    </row>
    <row r="35">
      <c r="A35" t="s">
        <v>30</v>
      </c>
      <c r="B35" t="s">
        <v>491</v>
      </c>
      <c r="C35" t="s">
        <v>493</v>
      </c>
      <c r="D35" t="s">
        <v>441</v>
      </c>
      <c r="E35" s="13" t="n">
        <v>0</v>
      </c>
      <c r="F35" s="16" t="n">
        <v>111</v>
      </c>
      <c r="G35" s="14" t="n">
        <v>0</v>
      </c>
      <c r="H35" s="15" t="n">
        <v>0</v>
      </c>
    </row>
    <row r="36">
      <c r="A36" t="s">
        <v>30</v>
      </c>
      <c r="B36" t="s">
        <v>494</v>
      </c>
      <c r="C36" t="s">
        <v>495</v>
      </c>
      <c r="D36" t="s">
        <v>441</v>
      </c>
      <c r="E36" s="13" t="n">
        <v>0.25</v>
      </c>
      <c r="F36" s="16" t="n">
        <v>66</v>
      </c>
      <c r="G36" s="14" t="n">
        <v>-0.167282651589714</v>
      </c>
      <c r="H36" s="15" t="n">
        <v>0.185786206369349</v>
      </c>
    </row>
    <row r="37">
      <c r="A37" t="s">
        <v>30</v>
      </c>
      <c r="B37" t="s">
        <v>494</v>
      </c>
      <c r="C37" t="s">
        <v>496</v>
      </c>
      <c r="D37" t="s">
        <v>441</v>
      </c>
      <c r="E37" s="13" t="n">
        <v>0</v>
      </c>
      <c r="F37" s="16" t="n">
        <v>178</v>
      </c>
      <c r="G37" s="14" t="n">
        <v>0</v>
      </c>
      <c r="H37" s="15" t="n">
        <v>0</v>
      </c>
    </row>
    <row r="38">
      <c r="A38" t="s">
        <v>30</v>
      </c>
      <c r="B38" t="s">
        <v>497</v>
      </c>
      <c r="C38" t="s">
        <v>498</v>
      </c>
      <c r="D38" t="s">
        <v>441</v>
      </c>
      <c r="E38" s="13" t="n">
        <v>0.5</v>
      </c>
      <c r="F38" s="16" t="n">
        <v>94</v>
      </c>
      <c r="G38" s="14" t="n">
        <v>-0.495134034370785</v>
      </c>
      <c r="H38" s="15" t="n">
        <v>-0.0695865504800329</v>
      </c>
    </row>
    <row r="39">
      <c r="A39" t="s">
        <v>30</v>
      </c>
      <c r="B39" t="s">
        <v>497</v>
      </c>
      <c r="C39" t="s">
        <v>499</v>
      </c>
      <c r="D39" t="s">
        <v>441</v>
      </c>
      <c r="E39" s="13" t="n">
        <v>0.25</v>
      </c>
      <c r="F39" s="16" t="n">
        <v>85</v>
      </c>
      <c r="G39" s="14" t="n">
        <v>-0.246201938253052</v>
      </c>
      <c r="H39" s="15" t="n">
        <v>0.0434120444167327</v>
      </c>
    </row>
    <row r="40">
      <c r="A40" t="s">
        <v>31</v>
      </c>
      <c r="B40" t="s">
        <v>500</v>
      </c>
      <c r="C40" t="s">
        <v>501</v>
      </c>
      <c r="D40" t="s">
        <v>441</v>
      </c>
      <c r="E40" s="13" t="n">
        <v>0.25</v>
      </c>
      <c r="F40" s="16" t="n">
        <v>73</v>
      </c>
      <c r="G40" s="14" t="n">
        <v>-0.20725939313876</v>
      </c>
      <c r="H40" s="15" t="n">
        <v>0.139798225867687</v>
      </c>
    </row>
    <row r="41">
      <c r="A41" t="s">
        <v>31</v>
      </c>
      <c r="B41" t="s">
        <v>500</v>
      </c>
      <c r="C41" t="s">
        <v>502</v>
      </c>
      <c r="D41" t="s">
        <v>441</v>
      </c>
      <c r="E41" s="13" t="n">
        <v>0</v>
      </c>
      <c r="F41" s="16" t="n">
        <v>127</v>
      </c>
      <c r="G41" s="14" t="n">
        <v>0</v>
      </c>
      <c r="H41" s="15" t="n">
        <v>0</v>
      </c>
    </row>
    <row r="42">
      <c r="A42" t="s">
        <v>30</v>
      </c>
      <c r="B42" t="s">
        <v>503</v>
      </c>
      <c r="C42" t="s">
        <v>504</v>
      </c>
      <c r="D42" t="s">
        <v>441</v>
      </c>
      <c r="E42" s="13" t="n">
        <v>0.25</v>
      </c>
      <c r="F42" s="16" t="n">
        <v>30</v>
      </c>
      <c r="G42" s="14" t="n">
        <v>0.125</v>
      </c>
      <c r="H42" s="15" t="n">
        <v>0.21650635094611</v>
      </c>
    </row>
    <row r="43">
      <c r="A43" t="s">
        <v>30</v>
      </c>
      <c r="B43" t="s">
        <v>503</v>
      </c>
      <c r="C43" t="s">
        <v>505</v>
      </c>
      <c r="D43" t="s">
        <v>441</v>
      </c>
      <c r="E43" s="13" t="n">
        <v>0.25</v>
      </c>
      <c r="F43" s="16" t="n">
        <v>177</v>
      </c>
      <c r="G43" s="14" t="n">
        <v>0.248630473842068</v>
      </c>
      <c r="H43" s="15" t="n">
        <v>-0.0261321158169134</v>
      </c>
    </row>
    <row r="44">
      <c r="A44" t="s">
        <v>30</v>
      </c>
      <c r="B44" t="s">
        <v>506</v>
      </c>
      <c r="C44" t="s">
        <v>507</v>
      </c>
      <c r="D44" t="s">
        <v>441</v>
      </c>
      <c r="E44" s="13" t="n">
        <v>0.25</v>
      </c>
      <c r="F44" s="16" t="n">
        <v>88</v>
      </c>
      <c r="G44" s="14" t="n">
        <v>-0.249391012564956</v>
      </c>
      <c r="H44" s="15" t="n">
        <v>0.0174391184360314</v>
      </c>
    </row>
    <row r="45">
      <c r="A45" t="s">
        <v>30</v>
      </c>
      <c r="B45" t="s">
        <v>506</v>
      </c>
      <c r="C45" t="s">
        <v>508</v>
      </c>
      <c r="D45" t="s">
        <v>441</v>
      </c>
      <c r="E45" s="13" t="n">
        <v>0.25</v>
      </c>
      <c r="F45" s="16" t="n">
        <v>82</v>
      </c>
      <c r="G45" s="14" t="n">
        <v>-0.24031542398458</v>
      </c>
      <c r="H45" s="15" t="n">
        <v>0.0689093389542498</v>
      </c>
    </row>
    <row r="46">
      <c r="A46" t="s">
        <v>31</v>
      </c>
      <c r="B46" t="s">
        <v>509</v>
      </c>
      <c r="C46" t="s">
        <v>510</v>
      </c>
      <c r="D46" t="s">
        <v>441</v>
      </c>
      <c r="E46" s="13" t="n">
        <v>0.25</v>
      </c>
      <c r="F46" s="16" t="n">
        <v>13</v>
      </c>
      <c r="G46" s="14" t="n">
        <v>0.224698511574792</v>
      </c>
      <c r="H46" s="15" t="n">
        <v>0.109592786697269</v>
      </c>
    </row>
    <row r="47">
      <c r="A47" t="s">
        <v>31</v>
      </c>
      <c r="B47" t="s">
        <v>509</v>
      </c>
      <c r="C47" t="s">
        <v>511</v>
      </c>
      <c r="D47" t="s">
        <v>441</v>
      </c>
      <c r="E47" s="13" t="n">
        <v>0.25</v>
      </c>
      <c r="F47" s="16" t="n">
        <v>118</v>
      </c>
      <c r="G47" s="14" t="n">
        <v>-0.139798225867687</v>
      </c>
      <c r="H47" s="15" t="n">
        <v>-0.20725939313876</v>
      </c>
    </row>
    <row r="48">
      <c r="A48" t="s">
        <v>30</v>
      </c>
      <c r="B48" t="s">
        <v>512</v>
      </c>
      <c r="C48" t="s">
        <v>513</v>
      </c>
      <c r="D48" t="s">
        <v>441</v>
      </c>
      <c r="E48" s="13" t="n">
        <v>0.5</v>
      </c>
      <c r="F48" s="16" t="n">
        <v>66</v>
      </c>
      <c r="G48" s="14" t="n">
        <v>-0.334565303179429</v>
      </c>
      <c r="H48" s="15" t="n">
        <v>0.371572412738697</v>
      </c>
    </row>
    <row r="49">
      <c r="A49" t="s">
        <v>30</v>
      </c>
      <c r="B49" t="s">
        <v>512</v>
      </c>
      <c r="C49" t="s">
        <v>514</v>
      </c>
      <c r="D49" t="s">
        <v>441</v>
      </c>
      <c r="E49" s="13" t="n">
        <v>0.5</v>
      </c>
      <c r="F49" s="16" t="n">
        <v>114</v>
      </c>
      <c r="G49" s="14" t="n">
        <v>-0.334565303179429</v>
      </c>
      <c r="H49" s="15" t="n">
        <v>-0.371572412738697</v>
      </c>
    </row>
    <row r="50">
      <c r="A50" t="s">
        <v>30</v>
      </c>
      <c r="B50" t="s">
        <v>515</v>
      </c>
      <c r="C50" t="s">
        <v>516</v>
      </c>
      <c r="D50" t="s">
        <v>441</v>
      </c>
      <c r="E50" s="13" t="n">
        <v>0</v>
      </c>
      <c r="F50" s="16" t="n">
        <v>51</v>
      </c>
      <c r="G50" s="14" t="n">
        <v>0</v>
      </c>
      <c r="H50" s="15" t="n">
        <v>0</v>
      </c>
    </row>
    <row r="51">
      <c r="A51" t="s">
        <v>30</v>
      </c>
      <c r="B51" t="s">
        <v>515</v>
      </c>
      <c r="C51" t="s">
        <v>517</v>
      </c>
      <c r="D51" t="s">
        <v>441</v>
      </c>
      <c r="E51" s="13" t="n">
        <v>0</v>
      </c>
      <c r="F51" s="16" t="n">
        <v>99</v>
      </c>
      <c r="G51" s="14" t="n">
        <v>0</v>
      </c>
      <c r="H51" s="15" t="n">
        <v>0</v>
      </c>
    </row>
    <row r="52">
      <c r="A52" t="s">
        <v>30</v>
      </c>
      <c r="B52" t="s">
        <v>518</v>
      </c>
      <c r="C52" t="s">
        <v>519</v>
      </c>
      <c r="D52" t="s">
        <v>441</v>
      </c>
      <c r="E52" s="13" t="n">
        <v>0.25</v>
      </c>
      <c r="F52" s="16" t="n">
        <v>127</v>
      </c>
      <c r="G52" s="14" t="n">
        <v>-0.0689093389542497</v>
      </c>
      <c r="H52" s="15" t="n">
        <v>-0.24031542398458</v>
      </c>
    </row>
    <row r="53">
      <c r="A53" t="s">
        <v>30</v>
      </c>
      <c r="B53" t="s">
        <v>518</v>
      </c>
      <c r="C53" t="s">
        <v>520</v>
      </c>
      <c r="D53" t="s">
        <v>441</v>
      </c>
      <c r="E53" s="13" t="n">
        <v>0.25</v>
      </c>
      <c r="F53" s="16" t="n">
        <v>92</v>
      </c>
      <c r="G53" s="14" t="n">
        <v>-0.249391012564956</v>
      </c>
      <c r="H53" s="15" t="n">
        <v>-0.0174391184360313</v>
      </c>
    </row>
    <row r="54">
      <c r="A54" t="s">
        <v>31</v>
      </c>
      <c r="B54" t="s">
        <v>521</v>
      </c>
      <c r="C54" t="s">
        <v>522</v>
      </c>
      <c r="D54" t="s">
        <v>441</v>
      </c>
      <c r="E54" s="13" t="n">
        <v>0.25</v>
      </c>
      <c r="F54" s="16" t="n">
        <v>135</v>
      </c>
      <c r="G54" s="14" t="n">
        <v>0</v>
      </c>
      <c r="H54" s="15" t="n">
        <v>-0.25</v>
      </c>
    </row>
    <row r="55">
      <c r="A55" t="s">
        <v>31</v>
      </c>
      <c r="B55" t="s">
        <v>521</v>
      </c>
      <c r="C55" t="s">
        <v>523</v>
      </c>
      <c r="D55" t="s">
        <v>441</v>
      </c>
      <c r="E55" s="13" t="n">
        <v>0.25</v>
      </c>
      <c r="F55" s="16" t="n">
        <v>31</v>
      </c>
      <c r="G55" s="14" t="n">
        <v>0.117367890696473</v>
      </c>
      <c r="H55" s="15" t="n">
        <v>0.220736898214732</v>
      </c>
    </row>
    <row r="56">
      <c r="A56" t="s">
        <v>31</v>
      </c>
      <c r="B56" t="s">
        <v>524</v>
      </c>
      <c r="C56" t="s">
        <v>525</v>
      </c>
      <c r="D56" t="s">
        <v>441</v>
      </c>
      <c r="E56" s="13" t="n">
        <v>0</v>
      </c>
      <c r="F56" s="16" t="n">
        <v>144</v>
      </c>
      <c r="G56" s="14" t="n">
        <v>0</v>
      </c>
      <c r="H56" s="15" t="n">
        <v>0</v>
      </c>
    </row>
    <row r="57">
      <c r="A57" t="s">
        <v>30</v>
      </c>
      <c r="B57" t="s">
        <v>526</v>
      </c>
      <c r="C57" t="s">
        <v>527</v>
      </c>
      <c r="D57" t="s">
        <v>441</v>
      </c>
      <c r="E57" s="13" t="n">
        <v>0.25</v>
      </c>
      <c r="F57" s="16" t="n">
        <v>54</v>
      </c>
      <c r="G57" s="14" t="n">
        <v>-0.0772542485937368</v>
      </c>
      <c r="H57" s="15" t="n">
        <v>0.237764129073788</v>
      </c>
    </row>
    <row r="58">
      <c r="A58" t="s">
        <v>30</v>
      </c>
      <c r="B58" t="s">
        <v>526</v>
      </c>
      <c r="C58" t="s">
        <v>528</v>
      </c>
      <c r="D58" t="s">
        <v>441</v>
      </c>
      <c r="E58" s="13" t="n">
        <v>0.25</v>
      </c>
      <c r="F58" s="16" t="n">
        <v>109</v>
      </c>
      <c r="G58" s="14" t="n">
        <v>-0.197002688401681</v>
      </c>
      <c r="H58" s="15" t="n">
        <v>-0.153915368831415</v>
      </c>
    </row>
    <row r="59">
      <c r="A59" t="s">
        <v>31</v>
      </c>
      <c r="B59" t="s">
        <v>529</v>
      </c>
      <c r="C59" t="s">
        <v>530</v>
      </c>
      <c r="D59" t="s">
        <v>441</v>
      </c>
      <c r="E59" s="13" t="n">
        <v>0.25</v>
      </c>
      <c r="F59" s="16" t="n">
        <v>24</v>
      </c>
      <c r="G59" s="14" t="n">
        <v>0.167282651589715</v>
      </c>
      <c r="H59" s="15" t="n">
        <v>0.185786206369349</v>
      </c>
    </row>
    <row r="60">
      <c r="A60" t="s">
        <v>31</v>
      </c>
      <c r="B60" t="s">
        <v>529</v>
      </c>
      <c r="C60" t="s">
        <v>531</v>
      </c>
      <c r="D60" t="s">
        <v>441</v>
      </c>
      <c r="E60" s="13" t="n">
        <v>0</v>
      </c>
      <c r="F60" s="16" t="n">
        <v>90</v>
      </c>
      <c r="G60" s="14" t="n">
        <v>0</v>
      </c>
      <c r="H60" s="15" t="n">
        <v>0</v>
      </c>
    </row>
    <row r="61">
      <c r="A61" t="s">
        <v>31</v>
      </c>
      <c r="B61" t="s">
        <v>532</v>
      </c>
      <c r="C61" t="s">
        <v>533</v>
      </c>
      <c r="D61" t="s">
        <v>441</v>
      </c>
      <c r="E61" s="13" t="n">
        <v>0</v>
      </c>
      <c r="F61" s="16" t="n">
        <v>8</v>
      </c>
      <c r="G61" s="14" t="n">
        <v>0</v>
      </c>
      <c r="H61" s="15" t="n">
        <v>0</v>
      </c>
    </row>
    <row r="62">
      <c r="A62" t="s">
        <v>30</v>
      </c>
      <c r="B62" t="s">
        <v>534</v>
      </c>
      <c r="C62" t="s">
        <v>535</v>
      </c>
      <c r="D62" t="s">
        <v>441</v>
      </c>
      <c r="E62" s="13" t="n">
        <v>0.25</v>
      </c>
      <c r="F62" s="16" t="n">
        <v>106</v>
      </c>
      <c r="G62" s="14" t="n">
        <v>-0.212012024039107</v>
      </c>
      <c r="H62" s="15" t="n">
        <v>-0.132479816058301</v>
      </c>
    </row>
    <row r="63">
      <c r="A63" t="s">
        <v>31</v>
      </c>
      <c r="B63" t="s">
        <v>536</v>
      </c>
      <c r="C63" t="s">
        <v>537</v>
      </c>
      <c r="D63" t="s">
        <v>441</v>
      </c>
      <c r="E63" s="13" t="n">
        <v>0.25</v>
      </c>
      <c r="F63" s="16" t="n">
        <v>97</v>
      </c>
      <c r="G63" s="14" t="n">
        <v>-0.242573931568999</v>
      </c>
      <c r="H63" s="15" t="n">
        <v>-0.0604804738999169</v>
      </c>
    </row>
    <row r="64">
      <c r="A64" t="s">
        <v>30</v>
      </c>
      <c r="B64" t="s">
        <v>538</v>
      </c>
      <c r="C64" t="s">
        <v>539</v>
      </c>
      <c r="D64" t="s">
        <v>441</v>
      </c>
      <c r="E64" s="13" t="n">
        <v>0.5</v>
      </c>
      <c r="F64" s="16" t="n">
        <v>40</v>
      </c>
      <c r="G64" s="14" t="n">
        <v>0.0868240888334652</v>
      </c>
      <c r="H64" s="15" t="n">
        <v>0.492403876506104</v>
      </c>
    </row>
    <row r="65">
      <c r="A65" t="s">
        <v>31</v>
      </c>
      <c r="B65" t="s">
        <v>540</v>
      </c>
      <c r="C65" t="s">
        <v>541</v>
      </c>
      <c r="D65" t="s">
        <v>441</v>
      </c>
      <c r="E65" s="13" t="n">
        <v>0</v>
      </c>
      <c r="F65" s="16" t="n">
        <v>129</v>
      </c>
      <c r="G65" s="14" t="n">
        <v>0</v>
      </c>
      <c r="H65" s="15" t="n">
        <v>0</v>
      </c>
    </row>
    <row r="66">
      <c r="A66" t="s">
        <v>31</v>
      </c>
      <c r="B66" t="s">
        <v>542</v>
      </c>
      <c r="C66" t="s">
        <v>543</v>
      </c>
      <c r="D66" t="s">
        <v>441</v>
      </c>
      <c r="E66" s="13" t="n">
        <v>0.25</v>
      </c>
      <c r="F66" s="16" t="n">
        <v>144</v>
      </c>
      <c r="G66" s="14" t="n">
        <v>0.0772542485937368</v>
      </c>
      <c r="H66" s="15" t="n">
        <v>-0.237764129073788</v>
      </c>
    </row>
    <row r="67">
      <c r="A67" t="s">
        <v>31</v>
      </c>
      <c r="B67" t="s">
        <v>542</v>
      </c>
      <c r="C67" t="s">
        <v>544</v>
      </c>
      <c r="D67" t="s">
        <v>441</v>
      </c>
      <c r="E67" s="13" t="n">
        <v>0.25</v>
      </c>
      <c r="F67" s="16" t="n">
        <v>47</v>
      </c>
      <c r="G67" s="14" t="n">
        <v>-0.0174391184360313</v>
      </c>
      <c r="H67" s="15" t="n">
        <v>0.249391012564956</v>
      </c>
    </row>
    <row r="68">
      <c r="A68" t="s">
        <v>31</v>
      </c>
      <c r="B68" t="s">
        <v>545</v>
      </c>
      <c r="C68" t="s">
        <v>546</v>
      </c>
      <c r="D68" t="s">
        <v>441</v>
      </c>
      <c r="E68" s="13" t="n">
        <v>0.25</v>
      </c>
      <c r="F68" s="16" t="n">
        <v>65</v>
      </c>
      <c r="G68" s="14" t="n">
        <v>-0.160696902421635</v>
      </c>
      <c r="H68" s="15" t="n">
        <v>0.191511110779745</v>
      </c>
    </row>
    <row r="69">
      <c r="A69" t="s">
        <v>31</v>
      </c>
      <c r="B69" t="s">
        <v>545</v>
      </c>
      <c r="C69" t="s">
        <v>547</v>
      </c>
      <c r="D69" t="s">
        <v>441</v>
      </c>
      <c r="E69" s="13" t="n">
        <v>0.25</v>
      </c>
      <c r="F69" s="16" t="n">
        <v>120</v>
      </c>
      <c r="G69" s="14" t="n">
        <v>-0.125</v>
      </c>
      <c r="H69" s="15" t="n">
        <v>-0.21650635094611</v>
      </c>
    </row>
    <row r="70">
      <c r="A70" t="s">
        <v>30</v>
      </c>
      <c r="B70" t="s">
        <v>548</v>
      </c>
      <c r="C70" t="s">
        <v>549</v>
      </c>
      <c r="D70" t="s">
        <v>441</v>
      </c>
      <c r="E70" s="13" t="n">
        <v>0</v>
      </c>
      <c r="F70" s="16" t="n">
        <v>82</v>
      </c>
      <c r="G70" s="14" t="n">
        <v>0</v>
      </c>
      <c r="H70" s="15" t="n">
        <v>0</v>
      </c>
    </row>
    <row r="71">
      <c r="A71" t="s">
        <v>30</v>
      </c>
      <c r="B71" t="s">
        <v>550</v>
      </c>
      <c r="C71" t="s">
        <v>551</v>
      </c>
      <c r="D71" t="s">
        <v>441</v>
      </c>
      <c r="E71" s="13" t="n">
        <v>0</v>
      </c>
      <c r="F71" s="16" t="n">
        <v>166</v>
      </c>
      <c r="G71" s="14" t="n">
        <v>0</v>
      </c>
      <c r="H71" s="15" t="n">
        <v>0</v>
      </c>
    </row>
    <row r="72">
      <c r="A72" t="s">
        <v>30</v>
      </c>
      <c r="B72" t="s">
        <v>550</v>
      </c>
      <c r="C72" t="s">
        <v>552</v>
      </c>
      <c r="D72" t="s">
        <v>441</v>
      </c>
      <c r="E72" s="13" t="n">
        <v>0</v>
      </c>
      <c r="F72" s="16" t="n">
        <v>6</v>
      </c>
      <c r="G72" s="14" t="n">
        <v>0</v>
      </c>
      <c r="H72" s="15" t="n">
        <v>0</v>
      </c>
    </row>
    <row r="73">
      <c r="A73" t="s">
        <v>30</v>
      </c>
      <c r="B73" t="s">
        <v>553</v>
      </c>
      <c r="C73" t="s">
        <v>554</v>
      </c>
      <c r="D73" t="s">
        <v>441</v>
      </c>
      <c r="E73" s="13" t="n">
        <v>0.25</v>
      </c>
      <c r="F73" s="16" t="n">
        <v>2</v>
      </c>
      <c r="G73" s="14" t="n">
        <v>0.249391012564956</v>
      </c>
      <c r="H73" s="15" t="n">
        <v>0.0174391184360313</v>
      </c>
    </row>
    <row r="74">
      <c r="A74" t="s">
        <v>30</v>
      </c>
      <c r="B74" t="s">
        <v>553</v>
      </c>
      <c r="C74" t="s">
        <v>555</v>
      </c>
      <c r="D74" t="s">
        <v>441</v>
      </c>
      <c r="E74" s="13" t="n">
        <v>0.25</v>
      </c>
      <c r="F74" s="16" t="n">
        <v>170</v>
      </c>
      <c r="G74" s="14" t="n">
        <v>0.234923155196477</v>
      </c>
      <c r="H74" s="15" t="n">
        <v>-0.0855050358314172</v>
      </c>
    </row>
    <row r="75">
      <c r="A75" t="s">
        <v>31</v>
      </c>
      <c r="B75" t="s">
        <v>556</v>
      </c>
      <c r="C75" t="s">
        <v>557</v>
      </c>
      <c r="D75" t="s">
        <v>441</v>
      </c>
      <c r="E75" s="13" t="n">
        <v>0.25</v>
      </c>
      <c r="F75" s="16" t="n">
        <v>77</v>
      </c>
      <c r="G75" s="14" t="n">
        <v>-0.224698511574792</v>
      </c>
      <c r="H75" s="15" t="n">
        <v>0.109592786697269</v>
      </c>
    </row>
    <row r="76">
      <c r="A76" t="s">
        <v>31</v>
      </c>
      <c r="B76" t="s">
        <v>558</v>
      </c>
      <c r="C76" t="s">
        <v>559</v>
      </c>
      <c r="D76" t="s">
        <v>441</v>
      </c>
      <c r="E76" s="13" t="n">
        <v>0.25</v>
      </c>
      <c r="F76" s="16" t="n">
        <v>135</v>
      </c>
      <c r="G76" s="14" t="n">
        <v>0</v>
      </c>
      <c r="H76" s="15" t="n">
        <v>-0.25</v>
      </c>
    </row>
    <row r="77">
      <c r="A77" t="s">
        <v>31</v>
      </c>
      <c r="B77" t="s">
        <v>560</v>
      </c>
      <c r="C77" t="s">
        <v>561</v>
      </c>
      <c r="D77" t="s">
        <v>441</v>
      </c>
      <c r="E77" s="13" t="n">
        <v>0.75</v>
      </c>
      <c r="F77" s="16" t="n">
        <v>140</v>
      </c>
      <c r="G77" s="14" t="n">
        <v>0.130236133250197</v>
      </c>
      <c r="H77" s="15" t="n">
        <v>-0.738605814759156</v>
      </c>
    </row>
    <row r="78">
      <c r="A78" t="s">
        <v>30</v>
      </c>
      <c r="B78" t="s">
        <v>562</v>
      </c>
      <c r="C78" t="s">
        <v>563</v>
      </c>
      <c r="D78" t="s">
        <v>441</v>
      </c>
      <c r="E78" s="13" t="n">
        <v>0.25</v>
      </c>
      <c r="F78" s="16" t="n">
        <v>97</v>
      </c>
      <c r="G78" s="14" t="n">
        <v>-0.242573931568999</v>
      </c>
      <c r="H78" s="15" t="n">
        <v>-0.0604804738999169</v>
      </c>
    </row>
    <row r="79">
      <c r="A79" t="s">
        <v>30</v>
      </c>
      <c r="B79" t="s">
        <v>562</v>
      </c>
      <c r="C79" t="s">
        <v>564</v>
      </c>
      <c r="D79" t="s">
        <v>441</v>
      </c>
      <c r="E79" s="13" t="n">
        <v>0.25</v>
      </c>
      <c r="F79" s="16" t="n">
        <v>123</v>
      </c>
      <c r="G79" s="14" t="n">
        <v>-0.10168416076895</v>
      </c>
      <c r="H79" s="15" t="n">
        <v>-0.22838636441065</v>
      </c>
    </row>
    <row r="80">
      <c r="A80" t="s">
        <v>30</v>
      </c>
      <c r="B80" t="s">
        <v>565</v>
      </c>
      <c r="C80" t="s">
        <v>566</v>
      </c>
      <c r="D80" t="s">
        <v>441</v>
      </c>
      <c r="E80" s="13" t="n">
        <v>0.25</v>
      </c>
      <c r="F80" s="16" t="n">
        <v>36</v>
      </c>
      <c r="G80" s="14" t="n">
        <v>0.0772542485937369</v>
      </c>
      <c r="H80" s="15" t="n">
        <v>0.237764129073788</v>
      </c>
    </row>
    <row r="81">
      <c r="A81" t="s">
        <v>30</v>
      </c>
      <c r="B81" t="s">
        <v>567</v>
      </c>
      <c r="C81" t="s">
        <v>568</v>
      </c>
      <c r="D81" t="s">
        <v>441</v>
      </c>
      <c r="E81" s="13" t="n">
        <v>0.25</v>
      </c>
      <c r="F81" s="16" t="n">
        <v>40</v>
      </c>
      <c r="G81" s="14" t="n">
        <v>0.0434120444167326</v>
      </c>
      <c r="H81" s="15" t="n">
        <v>0.246201938253052</v>
      </c>
    </row>
    <row r="82">
      <c r="A82" t="s">
        <v>30</v>
      </c>
      <c r="B82" t="s">
        <v>567</v>
      </c>
      <c r="C82" t="s">
        <v>569</v>
      </c>
      <c r="D82" t="s">
        <v>441</v>
      </c>
      <c r="E82" s="13" t="n">
        <v>0</v>
      </c>
      <c r="F82" s="16" t="n">
        <v>102</v>
      </c>
      <c r="G82" s="14" t="n">
        <v>0</v>
      </c>
      <c r="H82" s="15" t="n">
        <v>0</v>
      </c>
    </row>
    <row r="83">
      <c r="A83" t="s">
        <v>31</v>
      </c>
      <c r="B83" t="s">
        <v>570</v>
      </c>
      <c r="C83" t="s">
        <v>571</v>
      </c>
      <c r="D83" t="s">
        <v>441</v>
      </c>
      <c r="E83" s="13" t="n">
        <v>0</v>
      </c>
      <c r="F83" s="16" t="n">
        <v>63</v>
      </c>
      <c r="G83" s="14" t="n">
        <v>0</v>
      </c>
      <c r="H83" s="15" t="n">
        <v>0</v>
      </c>
    </row>
    <row r="84">
      <c r="A84" t="s">
        <v>31</v>
      </c>
      <c r="B84" t="s">
        <v>570</v>
      </c>
      <c r="C84" t="s">
        <v>572</v>
      </c>
      <c r="D84" t="s">
        <v>441</v>
      </c>
      <c r="E84" s="13" t="n">
        <v>0.25</v>
      </c>
      <c r="F84" s="16" t="n">
        <v>137</v>
      </c>
      <c r="G84" s="14" t="n">
        <v>0.0174391184360313</v>
      </c>
      <c r="H84" s="15" t="n">
        <v>-0.249391012564956</v>
      </c>
    </row>
    <row r="85">
      <c r="A85" t="s">
        <v>31</v>
      </c>
      <c r="B85" t="s">
        <v>573</v>
      </c>
      <c r="C85" t="s">
        <v>574</v>
      </c>
      <c r="D85" t="s">
        <v>441</v>
      </c>
      <c r="E85" s="13" t="n">
        <v>0.25</v>
      </c>
      <c r="F85" s="16" t="n">
        <v>163</v>
      </c>
      <c r="G85" s="14" t="n">
        <v>0.20725939313876</v>
      </c>
      <c r="H85" s="15" t="n">
        <v>-0.139798225867687</v>
      </c>
    </row>
    <row r="86">
      <c r="A86" t="s">
        <v>31</v>
      </c>
      <c r="B86" t="s">
        <v>573</v>
      </c>
      <c r="C86" t="s">
        <v>575</v>
      </c>
      <c r="D86" t="s">
        <v>441</v>
      </c>
      <c r="E86" s="13" t="n">
        <v>0.5</v>
      </c>
      <c r="F86" s="16" t="n">
        <v>27</v>
      </c>
      <c r="G86" s="14" t="n">
        <v>0.293892626146237</v>
      </c>
      <c r="H86" s="15" t="n">
        <v>0.404508497187474</v>
      </c>
    </row>
    <row r="87">
      <c r="A87" t="s">
        <v>30</v>
      </c>
      <c r="B87" t="s">
        <v>576</v>
      </c>
      <c r="C87" t="s">
        <v>577</v>
      </c>
      <c r="D87" t="s">
        <v>441</v>
      </c>
      <c r="E87" s="13" t="n">
        <v>0</v>
      </c>
      <c r="F87" s="16" t="n">
        <v>58</v>
      </c>
      <c r="G87" s="14" t="n">
        <v>0</v>
      </c>
      <c r="H87" s="15" t="n">
        <v>0</v>
      </c>
    </row>
    <row r="88">
      <c r="A88" t="s">
        <v>30</v>
      </c>
      <c r="B88" t="s">
        <v>576</v>
      </c>
      <c r="C88" t="s">
        <v>578</v>
      </c>
      <c r="D88" t="s">
        <v>441</v>
      </c>
      <c r="E88" s="13" t="n">
        <v>0.25</v>
      </c>
      <c r="F88" s="16" t="n">
        <v>45</v>
      </c>
      <c r="G88" s="14" t="n">
        <v>0</v>
      </c>
      <c r="H88" s="15" t="n">
        <v>0.25</v>
      </c>
    </row>
    <row r="89">
      <c r="A89" t="s">
        <v>31</v>
      </c>
      <c r="B89" t="s">
        <v>579</v>
      </c>
      <c r="C89" t="s">
        <v>580</v>
      </c>
      <c r="D89" t="s">
        <v>441</v>
      </c>
      <c r="E89" s="13" t="n">
        <v>0.5</v>
      </c>
      <c r="F89" s="16" t="n">
        <v>6</v>
      </c>
      <c r="G89" s="14" t="n">
        <v>0.489073800366903</v>
      </c>
      <c r="H89" s="15" t="n">
        <v>0.10395584540888</v>
      </c>
    </row>
    <row r="90">
      <c r="A90" t="s">
        <v>31</v>
      </c>
      <c r="B90" t="s">
        <v>579</v>
      </c>
      <c r="C90" t="s">
        <v>581</v>
      </c>
      <c r="D90" t="s">
        <v>441</v>
      </c>
      <c r="E90" s="13" t="n">
        <v>0</v>
      </c>
      <c r="F90" s="16" t="n">
        <v>66</v>
      </c>
      <c r="G90" s="14" t="n">
        <v>0</v>
      </c>
      <c r="H90" s="15" t="n">
        <v>0</v>
      </c>
    </row>
    <row r="91">
      <c r="A91" t="s">
        <v>30</v>
      </c>
      <c r="B91" t="s">
        <v>582</v>
      </c>
      <c r="C91" t="s">
        <v>583</v>
      </c>
      <c r="D91" t="s">
        <v>441</v>
      </c>
      <c r="E91" s="13" t="n">
        <v>0.25</v>
      </c>
      <c r="F91" s="16" t="n">
        <v>91</v>
      </c>
      <c r="G91" s="14" t="n">
        <v>-0.249847706754774</v>
      </c>
      <c r="H91" s="15" t="n">
        <v>-0.00872487417562529</v>
      </c>
    </row>
    <row r="92">
      <c r="A92" t="s">
        <v>30</v>
      </c>
      <c r="B92" t="s">
        <v>582</v>
      </c>
      <c r="C92" t="s">
        <v>584</v>
      </c>
      <c r="D92" t="s">
        <v>441</v>
      </c>
      <c r="E92" s="13" t="n">
        <v>0.25</v>
      </c>
      <c r="F92" s="16" t="n">
        <v>83</v>
      </c>
      <c r="G92" s="14" t="n">
        <v>-0.242573931568999</v>
      </c>
      <c r="H92" s="15" t="n">
        <v>0.0604804738999169</v>
      </c>
    </row>
    <row r="93">
      <c r="A93" t="s">
        <v>31</v>
      </c>
      <c r="B93" t="s">
        <v>585</v>
      </c>
      <c r="C93" t="s">
        <v>586</v>
      </c>
      <c r="D93" t="s">
        <v>441</v>
      </c>
      <c r="E93" s="13" t="n">
        <v>0.25</v>
      </c>
      <c r="F93" s="16" t="n">
        <v>22</v>
      </c>
      <c r="G93" s="14" t="n">
        <v>0.179834950084663</v>
      </c>
      <c r="H93" s="15" t="n">
        <v>0.173664592614749</v>
      </c>
    </row>
    <row r="94">
      <c r="A94" t="s">
        <v>31</v>
      </c>
      <c r="B94" t="s">
        <v>585</v>
      </c>
      <c r="C94" t="s">
        <v>587</v>
      </c>
      <c r="D94" t="s">
        <v>441</v>
      </c>
      <c r="E94" s="13" t="n">
        <v>0.5</v>
      </c>
      <c r="F94" s="16" t="n">
        <v>36</v>
      </c>
      <c r="G94" s="14" t="n">
        <v>0.154508497187474</v>
      </c>
      <c r="H94" s="15" t="n">
        <v>0.475528258147577</v>
      </c>
    </row>
    <row r="95">
      <c r="A95" t="s">
        <v>31</v>
      </c>
      <c r="B95" t="s">
        <v>588</v>
      </c>
      <c r="C95" t="s">
        <v>589</v>
      </c>
      <c r="D95" t="s">
        <v>441</v>
      </c>
      <c r="E95" s="13" t="n">
        <v>0.25</v>
      </c>
      <c r="F95" s="16" t="n">
        <v>105</v>
      </c>
      <c r="G95" s="14" t="n">
        <v>-0.21650635094611</v>
      </c>
      <c r="H95" s="15" t="n">
        <v>-0.125</v>
      </c>
    </row>
    <row r="96">
      <c r="A96" t="s">
        <v>31</v>
      </c>
      <c r="B96" t="s">
        <v>590</v>
      </c>
      <c r="C96" t="s">
        <v>591</v>
      </c>
      <c r="D96" t="s">
        <v>441</v>
      </c>
      <c r="E96" s="13" t="n">
        <v>0.25</v>
      </c>
      <c r="F96" s="16" t="n">
        <v>39</v>
      </c>
      <c r="G96" s="14" t="n">
        <v>0.0519779227044398</v>
      </c>
      <c r="H96" s="15" t="n">
        <v>0.244536900183451</v>
      </c>
    </row>
    <row r="97">
      <c r="A97" t="s">
        <v>31</v>
      </c>
      <c r="B97" t="s">
        <v>590</v>
      </c>
      <c r="C97" t="s">
        <v>592</v>
      </c>
      <c r="D97" t="s">
        <v>441</v>
      </c>
      <c r="E97" s="13" t="n">
        <v>0.25</v>
      </c>
      <c r="F97" s="16" t="n">
        <v>25</v>
      </c>
      <c r="G97" s="14" t="n">
        <v>0.160696902421635</v>
      </c>
      <c r="H97" s="15" t="n">
        <v>0.191511110779745</v>
      </c>
    </row>
    <row r="98">
      <c r="A98" t="s">
        <v>30</v>
      </c>
      <c r="B98" t="s">
        <v>593</v>
      </c>
      <c r="C98" t="s">
        <v>594</v>
      </c>
      <c r="D98" t="s">
        <v>441</v>
      </c>
      <c r="E98" s="13" t="n">
        <v>0.25</v>
      </c>
      <c r="F98" s="16" t="n">
        <v>111</v>
      </c>
      <c r="G98" s="14" t="n">
        <v>-0.185786206369349</v>
      </c>
      <c r="H98" s="15" t="n">
        <v>-0.167282651589715</v>
      </c>
    </row>
    <row r="99">
      <c r="A99" t="s">
        <v>30</v>
      </c>
      <c r="B99" t="s">
        <v>593</v>
      </c>
      <c r="C99" t="s">
        <v>595</v>
      </c>
      <c r="D99" t="s">
        <v>441</v>
      </c>
      <c r="E99" s="13" t="n">
        <v>0.5</v>
      </c>
      <c r="F99" s="16" t="n">
        <v>68</v>
      </c>
      <c r="G99" s="14" t="n">
        <v>-0.359669900169325</v>
      </c>
      <c r="H99" s="15" t="n">
        <v>0.347329185229499</v>
      </c>
    </row>
    <row r="100">
      <c r="A100" t="s">
        <v>31</v>
      </c>
      <c r="B100" t="s">
        <v>596</v>
      </c>
      <c r="C100" t="s">
        <v>597</v>
      </c>
      <c r="D100" t="s">
        <v>441</v>
      </c>
      <c r="E100" s="13" t="n">
        <v>0</v>
      </c>
      <c r="F100" s="16" t="n">
        <v>150</v>
      </c>
      <c r="G100" s="14" t="n">
        <v>0</v>
      </c>
      <c r="H100" s="15" t="n">
        <v>0</v>
      </c>
    </row>
    <row r="101">
      <c r="A101" t="s">
        <v>31</v>
      </c>
      <c r="B101" t="s">
        <v>596</v>
      </c>
      <c r="C101" t="s">
        <v>598</v>
      </c>
      <c r="D101" t="s">
        <v>441</v>
      </c>
      <c r="E101" s="13" t="n">
        <v>0</v>
      </c>
      <c r="F101" s="16" t="n">
        <v>140</v>
      </c>
      <c r="G101" s="14" t="n">
        <v>0</v>
      </c>
      <c r="H101" s="15" t="n">
        <v>0</v>
      </c>
    </row>
    <row r="102">
      <c r="A102" t="s">
        <v>31</v>
      </c>
      <c r="B102" t="s">
        <v>599</v>
      </c>
      <c r="C102" t="s">
        <v>600</v>
      </c>
      <c r="D102" t="s">
        <v>441</v>
      </c>
      <c r="E102" s="13" t="n">
        <v>0.25</v>
      </c>
      <c r="F102" s="16" t="n">
        <v>148</v>
      </c>
      <c r="G102" s="14" t="n">
        <v>0.109592786697269</v>
      </c>
      <c r="H102" s="15" t="n">
        <v>-0.224698511574792</v>
      </c>
    </row>
    <row r="103">
      <c r="A103" t="s">
        <v>31</v>
      </c>
      <c r="B103" t="s">
        <v>599</v>
      </c>
      <c r="C103" t="s">
        <v>601</v>
      </c>
      <c r="D103" t="s">
        <v>441</v>
      </c>
      <c r="E103" s="13" t="n">
        <v>0.25</v>
      </c>
      <c r="F103" s="16" t="n">
        <v>76</v>
      </c>
      <c r="G103" s="14" t="n">
        <v>-0.220736898214732</v>
      </c>
      <c r="H103" s="15" t="n">
        <v>0.117367890696473</v>
      </c>
    </row>
    <row r="104">
      <c r="A104" t="s">
        <v>31</v>
      </c>
      <c r="B104" t="s">
        <v>602</v>
      </c>
      <c r="C104" t="s">
        <v>603</v>
      </c>
      <c r="D104" t="s">
        <v>441</v>
      </c>
      <c r="E104" s="13" t="n">
        <v>0.25</v>
      </c>
      <c r="F104" s="16" t="n">
        <v>57</v>
      </c>
      <c r="G104" s="14" t="n">
        <v>-0.10168416076895</v>
      </c>
      <c r="H104" s="15" t="n">
        <v>0.22838636441065</v>
      </c>
    </row>
    <row r="105">
      <c r="A105" t="s">
        <v>31</v>
      </c>
      <c r="B105" t="s">
        <v>604</v>
      </c>
      <c r="C105" t="s">
        <v>605</v>
      </c>
      <c r="D105" t="s">
        <v>441</v>
      </c>
      <c r="E105" s="13" t="n">
        <v>0.25</v>
      </c>
      <c r="F105" s="16" t="n">
        <v>65</v>
      </c>
      <c r="G105" s="14" t="n">
        <v>-0.160696902421635</v>
      </c>
      <c r="H105" s="15" t="n">
        <v>0.191511110779745</v>
      </c>
    </row>
    <row r="106">
      <c r="A106" t="s">
        <v>30</v>
      </c>
      <c r="B106" t="s">
        <v>606</v>
      </c>
      <c r="C106" t="s">
        <v>607</v>
      </c>
      <c r="D106" t="s">
        <v>441</v>
      </c>
      <c r="E106" s="13" t="n">
        <v>0.25</v>
      </c>
      <c r="F106" s="16" t="n">
        <v>80</v>
      </c>
      <c r="G106" s="14" t="n">
        <v>-0.234923155196477</v>
      </c>
      <c r="H106" s="15" t="n">
        <v>0.0855050358314172</v>
      </c>
    </row>
    <row r="107">
      <c r="A107" t="s">
        <v>30</v>
      </c>
      <c r="B107" t="s">
        <v>606</v>
      </c>
      <c r="C107" t="s">
        <v>608</v>
      </c>
      <c r="D107" t="s">
        <v>441</v>
      </c>
      <c r="E107" s="13" t="n">
        <v>0.25</v>
      </c>
      <c r="F107" s="16" t="n">
        <v>109</v>
      </c>
      <c r="G107" s="14" t="n">
        <v>-0.197002688401681</v>
      </c>
      <c r="H107" s="15" t="n">
        <v>-0.153915368831415</v>
      </c>
    </row>
    <row r="108">
      <c r="A108" t="s">
        <v>31</v>
      </c>
      <c r="B108" t="s">
        <v>609</v>
      </c>
      <c r="C108" t="s">
        <v>610</v>
      </c>
      <c r="D108" t="s">
        <v>441</v>
      </c>
      <c r="E108" s="13" t="n">
        <v>0.25</v>
      </c>
      <c r="F108" s="16" t="n">
        <v>45</v>
      </c>
      <c r="G108" s="14" t="n">
        <v>0</v>
      </c>
      <c r="H108" s="15" t="n">
        <v>0.25</v>
      </c>
    </row>
    <row r="109">
      <c r="A109" t="s">
        <v>30</v>
      </c>
      <c r="B109" t="s">
        <v>611</v>
      </c>
      <c r="C109" t="s">
        <v>612</v>
      </c>
      <c r="D109" t="s">
        <v>441</v>
      </c>
      <c r="E109" s="13" t="n">
        <v>0</v>
      </c>
      <c r="F109" s="16" t="n">
        <v>20</v>
      </c>
      <c r="G109" s="14" t="n">
        <v>0</v>
      </c>
      <c r="H109" s="15" t="n">
        <v>0</v>
      </c>
    </row>
    <row r="110">
      <c r="A110" t="s">
        <v>30</v>
      </c>
      <c r="B110" t="s">
        <v>611</v>
      </c>
      <c r="C110" t="s">
        <v>613</v>
      </c>
      <c r="D110" t="s">
        <v>441</v>
      </c>
      <c r="E110" s="13" t="n">
        <v>0</v>
      </c>
      <c r="F110" s="16" t="n">
        <v>29</v>
      </c>
      <c r="G110" s="14" t="n">
        <v>0</v>
      </c>
      <c r="H110" s="15" t="n">
        <v>0</v>
      </c>
    </row>
    <row r="111">
      <c r="A111" t="s">
        <v>30</v>
      </c>
      <c r="B111" t="s">
        <v>614</v>
      </c>
      <c r="C111" t="s">
        <v>615</v>
      </c>
      <c r="D111" t="s">
        <v>441</v>
      </c>
      <c r="E111" s="13" t="n">
        <v>0</v>
      </c>
      <c r="F111" s="16" t="n">
        <v>141</v>
      </c>
      <c r="G111" s="14" t="n">
        <v>0</v>
      </c>
      <c r="H111" s="15" t="n">
        <v>0</v>
      </c>
    </row>
    <row r="112">
      <c r="A112" t="s">
        <v>30</v>
      </c>
      <c r="B112" t="s">
        <v>614</v>
      </c>
      <c r="C112" t="s">
        <v>616</v>
      </c>
      <c r="D112" t="s">
        <v>441</v>
      </c>
      <c r="E112" s="13" t="n">
        <v>0.25</v>
      </c>
      <c r="F112" s="16" t="n">
        <v>65</v>
      </c>
      <c r="G112" s="14" t="n">
        <v>-0.160696902421635</v>
      </c>
      <c r="H112" s="15" t="n">
        <v>0.191511110779745</v>
      </c>
    </row>
    <row r="113">
      <c r="A113" t="s">
        <v>31</v>
      </c>
      <c r="B113" t="s">
        <v>617</v>
      </c>
      <c r="C113" t="s">
        <v>618</v>
      </c>
      <c r="D113" t="s">
        <v>441</v>
      </c>
      <c r="E113" s="13" t="n">
        <v>0</v>
      </c>
      <c r="F113" s="16" t="n">
        <v>0</v>
      </c>
      <c r="G113" s="14" t="n">
        <v>0</v>
      </c>
      <c r="H113" s="15" t="n">
        <v>0</v>
      </c>
    </row>
    <row r="114">
      <c r="A114" t="s">
        <v>31</v>
      </c>
      <c r="B114" t="s">
        <v>617</v>
      </c>
      <c r="C114" t="s">
        <v>619</v>
      </c>
      <c r="D114" t="s">
        <v>441</v>
      </c>
      <c r="E114" s="13" t="n">
        <v>0.25</v>
      </c>
      <c r="F114" s="16" t="n">
        <v>116</v>
      </c>
      <c r="G114" s="14" t="n">
        <v>-0.153915368831415</v>
      </c>
      <c r="H114" s="15" t="n">
        <v>-0.197002688401681</v>
      </c>
    </row>
    <row r="115">
      <c r="A115" t="s">
        <v>31</v>
      </c>
      <c r="B115" t="s">
        <v>620</v>
      </c>
      <c r="C115" t="s">
        <v>621</v>
      </c>
      <c r="D115" t="s">
        <v>441</v>
      </c>
      <c r="E115" s="13" t="n">
        <v>0.25</v>
      </c>
      <c r="F115" s="16" t="n">
        <v>90</v>
      </c>
      <c r="G115" s="14" t="n">
        <v>-0.25</v>
      </c>
      <c r="H115" s="15" t="n">
        <v>0</v>
      </c>
    </row>
    <row r="116">
      <c r="A116" t="s">
        <v>31</v>
      </c>
      <c r="B116" t="s">
        <v>620</v>
      </c>
      <c r="C116" t="s">
        <v>622</v>
      </c>
      <c r="D116" t="s">
        <v>441</v>
      </c>
      <c r="E116" s="13" t="n">
        <v>0</v>
      </c>
      <c r="F116" s="16" t="n">
        <v>162</v>
      </c>
      <c r="G116" s="14" t="n">
        <v>0</v>
      </c>
      <c r="H116" s="15" t="n">
        <v>0</v>
      </c>
    </row>
    <row r="117">
      <c r="A117" t="s">
        <v>30</v>
      </c>
      <c r="B117" t="s">
        <v>623</v>
      </c>
      <c r="C117" t="s">
        <v>624</v>
      </c>
      <c r="D117" t="s">
        <v>441</v>
      </c>
      <c r="E117" s="13" t="n">
        <v>0</v>
      </c>
      <c r="F117" s="16" t="n">
        <v>14</v>
      </c>
      <c r="G117" s="14" t="n">
        <v>0</v>
      </c>
      <c r="H117" s="15" t="n">
        <v>0</v>
      </c>
    </row>
    <row r="118">
      <c r="A118" t="s">
        <v>31</v>
      </c>
      <c r="B118" t="s">
        <v>625</v>
      </c>
      <c r="C118" t="s">
        <v>626</v>
      </c>
      <c r="D118" t="s">
        <v>441</v>
      </c>
      <c r="E118" s="13" t="n">
        <v>0.25</v>
      </c>
      <c r="F118" s="16" t="n">
        <v>63</v>
      </c>
      <c r="G118" s="14" t="n">
        <v>-0.146946313073118</v>
      </c>
      <c r="H118" s="15" t="n">
        <v>0.202254248593737</v>
      </c>
    </row>
    <row r="119">
      <c r="A119" t="s">
        <v>31</v>
      </c>
      <c r="B119" t="s">
        <v>625</v>
      </c>
      <c r="C119" t="s">
        <v>627</v>
      </c>
      <c r="D119" t="s">
        <v>441</v>
      </c>
      <c r="E119" s="13" t="n">
        <v>0.25</v>
      </c>
      <c r="F119" s="16" t="n">
        <v>72</v>
      </c>
      <c r="G119" s="14" t="n">
        <v>-0.202254248593737</v>
      </c>
      <c r="H119" s="15" t="n">
        <v>0.146946313073118</v>
      </c>
    </row>
    <row r="120">
      <c r="A120" t="s">
        <v>31</v>
      </c>
      <c r="B120" t="s">
        <v>628</v>
      </c>
      <c r="C120" t="s">
        <v>629</v>
      </c>
      <c r="D120" t="s">
        <v>441</v>
      </c>
      <c r="E120" s="13" t="n">
        <v>0.5</v>
      </c>
      <c r="F120" s="16" t="n">
        <v>15</v>
      </c>
      <c r="G120" s="14" t="n">
        <v>0.433012701892219</v>
      </c>
      <c r="H120" s="15" t="n">
        <v>0.25</v>
      </c>
    </row>
    <row r="121">
      <c r="A121" t="s">
        <v>31</v>
      </c>
      <c r="B121" t="s">
        <v>628</v>
      </c>
      <c r="C121" t="s">
        <v>630</v>
      </c>
      <c r="D121" t="s">
        <v>441</v>
      </c>
      <c r="E121" s="13" t="n">
        <v>0.25</v>
      </c>
      <c r="F121" s="16" t="n">
        <v>148</v>
      </c>
      <c r="G121" s="14" t="n">
        <v>0.109592786697269</v>
      </c>
      <c r="H121" s="15" t="n">
        <v>-0.224698511574792</v>
      </c>
    </row>
    <row r="122">
      <c r="A122" t="s">
        <v>30</v>
      </c>
      <c r="B122" t="s">
        <v>631</v>
      </c>
      <c r="C122" t="s">
        <v>632</v>
      </c>
      <c r="D122" t="s">
        <v>441</v>
      </c>
      <c r="E122" s="13" t="n">
        <v>0.75</v>
      </c>
      <c r="F122" s="16" t="n">
        <v>150</v>
      </c>
      <c r="G122" s="14" t="n">
        <v>0.375</v>
      </c>
      <c r="H122" s="15" t="n">
        <v>-0.649519052838329</v>
      </c>
    </row>
    <row r="123">
      <c r="A123" t="s">
        <v>30</v>
      </c>
      <c r="B123" t="s">
        <v>631</v>
      </c>
      <c r="C123" t="s">
        <v>633</v>
      </c>
      <c r="D123" t="s">
        <v>441</v>
      </c>
      <c r="E123" s="13" t="n">
        <v>0.25</v>
      </c>
      <c r="F123" s="16" t="n">
        <v>168</v>
      </c>
      <c r="G123" s="14" t="n">
        <v>0.22838636441065</v>
      </c>
      <c r="H123" s="15" t="n">
        <v>-0.10168416076895</v>
      </c>
    </row>
    <row r="124">
      <c r="A124" t="s">
        <v>31</v>
      </c>
      <c r="B124" t="s">
        <v>634</v>
      </c>
      <c r="C124" t="s">
        <v>635</v>
      </c>
      <c r="D124" t="s">
        <v>441</v>
      </c>
      <c r="E124" s="13" t="n">
        <v>0</v>
      </c>
      <c r="F124" s="16" t="n">
        <v>154</v>
      </c>
      <c r="G124" s="14" t="n">
        <v>0</v>
      </c>
      <c r="H124" s="15" t="n">
        <v>0</v>
      </c>
    </row>
    <row r="125">
      <c r="A125" t="s">
        <v>30</v>
      </c>
      <c r="B125" t="s">
        <v>636</v>
      </c>
      <c r="C125" t="s">
        <v>637</v>
      </c>
      <c r="D125" t="s">
        <v>441</v>
      </c>
      <c r="E125" s="13" t="n">
        <v>0</v>
      </c>
      <c r="F125" s="16" t="n">
        <v>137</v>
      </c>
      <c r="G125" s="14" t="n">
        <v>0</v>
      </c>
      <c r="H125" s="15" t="n">
        <v>0</v>
      </c>
    </row>
    <row r="126">
      <c r="A126" t="s">
        <v>30</v>
      </c>
      <c r="B126" t="s">
        <v>636</v>
      </c>
      <c r="C126" t="s">
        <v>638</v>
      </c>
      <c r="D126" t="s">
        <v>441</v>
      </c>
      <c r="E126" s="13" t="n">
        <v>0</v>
      </c>
      <c r="F126" s="16" t="n">
        <v>31</v>
      </c>
      <c r="G126" s="14" t="n">
        <v>0</v>
      </c>
      <c r="H126" s="15" t="n">
        <v>0</v>
      </c>
    </row>
    <row r="127">
      <c r="A127" t="s">
        <v>31</v>
      </c>
      <c r="B127" t="s">
        <v>639</v>
      </c>
      <c r="C127" t="s">
        <v>640</v>
      </c>
      <c r="D127" t="s">
        <v>441</v>
      </c>
      <c r="E127" s="13" t="n">
        <v>0.25</v>
      </c>
      <c r="F127" s="16" t="n">
        <v>9</v>
      </c>
      <c r="G127" s="14" t="n">
        <v>0.237764129073788</v>
      </c>
      <c r="H127" s="15" t="n">
        <v>0.0772542485937368</v>
      </c>
    </row>
    <row r="128">
      <c r="A128" t="s">
        <v>31</v>
      </c>
      <c r="B128" t="s">
        <v>639</v>
      </c>
      <c r="C128" t="s">
        <v>641</v>
      </c>
      <c r="D128" t="s">
        <v>441</v>
      </c>
      <c r="E128" s="13" t="n">
        <v>0.25</v>
      </c>
      <c r="F128" s="16" t="n">
        <v>157</v>
      </c>
      <c r="G128" s="14" t="n">
        <v>0.173664592614749</v>
      </c>
      <c r="H128" s="15" t="n">
        <v>-0.179834950084663</v>
      </c>
    </row>
    <row r="129">
      <c r="A129" t="s">
        <v>31</v>
      </c>
      <c r="B129" t="s">
        <v>642</v>
      </c>
      <c r="C129" t="s">
        <v>643</v>
      </c>
      <c r="D129" t="s">
        <v>441</v>
      </c>
      <c r="E129" s="13" t="n">
        <v>0.25</v>
      </c>
      <c r="F129" s="16" t="n">
        <v>92</v>
      </c>
      <c r="G129" s="14" t="n">
        <v>-0.249391012564956</v>
      </c>
      <c r="H129" s="15" t="n">
        <v>-0.0174391184360313</v>
      </c>
    </row>
    <row r="130">
      <c r="A130" t="s">
        <v>31</v>
      </c>
      <c r="B130" t="s">
        <v>642</v>
      </c>
      <c r="C130" t="s">
        <v>644</v>
      </c>
      <c r="D130" t="s">
        <v>441</v>
      </c>
      <c r="E130" s="13" t="n">
        <v>0.25</v>
      </c>
      <c r="F130" s="16" t="n">
        <v>154</v>
      </c>
      <c r="G130" s="14" t="n">
        <v>0.153915368831414</v>
      </c>
      <c r="H130" s="15" t="n">
        <v>-0.197002688401681</v>
      </c>
    </row>
    <row r="131">
      <c r="A131" t="s">
        <v>31</v>
      </c>
      <c r="B131" t="s">
        <v>645</v>
      </c>
      <c r="C131" t="s">
        <v>646</v>
      </c>
      <c r="D131" t="s">
        <v>441</v>
      </c>
      <c r="E131" s="13" t="n">
        <v>0</v>
      </c>
      <c r="F131" s="16" t="n">
        <v>62</v>
      </c>
      <c r="G131" s="14" t="n">
        <v>0</v>
      </c>
      <c r="H131" s="15" t="n">
        <v>0</v>
      </c>
    </row>
    <row r="132">
      <c r="A132" t="s">
        <v>30</v>
      </c>
      <c r="B132" t="s">
        <v>647</v>
      </c>
      <c r="C132" t="s">
        <v>648</v>
      </c>
      <c r="D132" t="s">
        <v>441</v>
      </c>
      <c r="E132" s="13" t="n">
        <v>0.25</v>
      </c>
      <c r="F132" s="16" t="n">
        <v>124</v>
      </c>
      <c r="G132" s="14" t="n">
        <v>-0.0936516483539781</v>
      </c>
      <c r="H132" s="15" t="n">
        <v>-0.231795963641697</v>
      </c>
    </row>
    <row r="133">
      <c r="A133" t="s">
        <v>31</v>
      </c>
      <c r="B133" t="s">
        <v>649</v>
      </c>
      <c r="C133" t="s">
        <v>650</v>
      </c>
      <c r="D133" t="s">
        <v>441</v>
      </c>
      <c r="E133" s="13" t="n">
        <v>0.25</v>
      </c>
      <c r="F133" s="16" t="n">
        <v>17</v>
      </c>
      <c r="G133" s="14" t="n">
        <v>0.20725939313876</v>
      </c>
      <c r="H133" s="15" t="n">
        <v>0.139798225867687</v>
      </c>
    </row>
    <row r="134">
      <c r="A134" t="s">
        <v>31</v>
      </c>
      <c r="B134" t="s">
        <v>651</v>
      </c>
      <c r="C134" t="s">
        <v>652</v>
      </c>
      <c r="D134" t="s">
        <v>441</v>
      </c>
      <c r="E134" s="13" t="n">
        <v>0.25</v>
      </c>
      <c r="F134" s="16" t="n">
        <v>97</v>
      </c>
      <c r="G134" s="14" t="n">
        <v>-0.242573931568999</v>
      </c>
      <c r="H134" s="15" t="n">
        <v>-0.0604804738999169</v>
      </c>
    </row>
    <row r="135">
      <c r="A135" t="s">
        <v>31</v>
      </c>
      <c r="B135" t="s">
        <v>651</v>
      </c>
      <c r="C135" t="s">
        <v>653</v>
      </c>
      <c r="D135" t="s">
        <v>441</v>
      </c>
      <c r="E135" s="13" t="n">
        <v>0.25</v>
      </c>
      <c r="F135" s="16" t="n">
        <v>86</v>
      </c>
      <c r="G135" s="14" t="n">
        <v>-0.247567017185393</v>
      </c>
      <c r="H135" s="15" t="n">
        <v>0.0347932752400163</v>
      </c>
    </row>
    <row r="136">
      <c r="A136" t="s">
        <v>31</v>
      </c>
      <c r="B136" t="s">
        <v>654</v>
      </c>
      <c r="C136" t="s">
        <v>655</v>
      </c>
      <c r="D136" t="s">
        <v>441</v>
      </c>
      <c r="E136" s="13" t="n">
        <v>0.25</v>
      </c>
      <c r="F136" s="16" t="n">
        <v>42</v>
      </c>
      <c r="G136" s="14" t="n">
        <v>0.0261321158169134</v>
      </c>
      <c r="H136" s="15" t="n">
        <v>0.248630473842068</v>
      </c>
    </row>
    <row r="137">
      <c r="A137" t="s">
        <v>31</v>
      </c>
      <c r="B137" t="s">
        <v>654</v>
      </c>
      <c r="C137" t="s">
        <v>656</v>
      </c>
      <c r="D137" t="s">
        <v>441</v>
      </c>
      <c r="E137" s="13" t="n">
        <v>0.25</v>
      </c>
      <c r="F137" s="16" t="n">
        <v>121</v>
      </c>
      <c r="G137" s="14" t="n">
        <v>-0.117367890696473</v>
      </c>
      <c r="H137" s="15" t="n">
        <v>-0.220736898214732</v>
      </c>
    </row>
    <row r="138">
      <c r="A138" t="s">
        <v>31</v>
      </c>
      <c r="B138" t="s">
        <v>657</v>
      </c>
      <c r="C138" t="s">
        <v>658</v>
      </c>
      <c r="D138" t="s">
        <v>441</v>
      </c>
      <c r="E138" s="13" t="n">
        <v>0.25</v>
      </c>
      <c r="F138" s="16" t="n">
        <v>21</v>
      </c>
      <c r="G138" s="14" t="n">
        <v>0.185786206369349</v>
      </c>
      <c r="H138" s="15" t="n">
        <v>0.167282651589715</v>
      </c>
    </row>
    <row r="139">
      <c r="A139" t="s">
        <v>31</v>
      </c>
      <c r="B139" t="s">
        <v>657</v>
      </c>
      <c r="C139" t="s">
        <v>659</v>
      </c>
      <c r="D139" t="s">
        <v>441</v>
      </c>
      <c r="E139" s="13" t="n">
        <v>0.25</v>
      </c>
      <c r="F139" s="16" t="n">
        <v>173</v>
      </c>
      <c r="G139" s="14" t="n">
        <v>0.242573931568999</v>
      </c>
      <c r="H139" s="15" t="n">
        <v>-0.0604804738999169</v>
      </c>
    </row>
    <row r="140">
      <c r="A140" t="s">
        <v>30</v>
      </c>
      <c r="B140" t="s">
        <v>660</v>
      </c>
      <c r="C140" t="s">
        <v>661</v>
      </c>
      <c r="D140" t="s">
        <v>441</v>
      </c>
      <c r="E140" s="13" t="n">
        <v>0.25</v>
      </c>
      <c r="F140" s="16" t="n">
        <v>103</v>
      </c>
      <c r="G140" s="14" t="n">
        <v>-0.224698511574792</v>
      </c>
      <c r="H140" s="15" t="n">
        <v>-0.109592786697269</v>
      </c>
    </row>
    <row r="141">
      <c r="A141" t="s">
        <v>30</v>
      </c>
      <c r="B141" t="s">
        <v>660</v>
      </c>
      <c r="C141" t="s">
        <v>662</v>
      </c>
      <c r="D141" t="s">
        <v>441</v>
      </c>
      <c r="E141" s="13" t="n">
        <v>0.25</v>
      </c>
      <c r="F141" s="16" t="n">
        <v>137</v>
      </c>
      <c r="G141" s="14" t="n">
        <v>0.0174391184360313</v>
      </c>
      <c r="H141" s="15" t="n">
        <v>-0.249391012564956</v>
      </c>
    </row>
    <row r="142">
      <c r="A142" t="s">
        <v>31</v>
      </c>
      <c r="B142" t="s">
        <v>663</v>
      </c>
      <c r="C142" t="s">
        <v>664</v>
      </c>
      <c r="D142" t="s">
        <v>441</v>
      </c>
      <c r="E142" s="13" t="n">
        <v>0.25</v>
      </c>
      <c r="F142" s="16" t="n">
        <v>86</v>
      </c>
      <c r="G142" s="14" t="n">
        <v>-0.247567017185393</v>
      </c>
      <c r="H142" s="15" t="n">
        <v>0.0347932752400163</v>
      </c>
    </row>
    <row r="143">
      <c r="A143" t="s">
        <v>31</v>
      </c>
      <c r="B143" t="s">
        <v>663</v>
      </c>
      <c r="C143" t="s">
        <v>665</v>
      </c>
      <c r="D143" t="s">
        <v>441</v>
      </c>
      <c r="E143" s="13" t="n">
        <v>0.25</v>
      </c>
      <c r="F143" s="16" t="n">
        <v>130</v>
      </c>
      <c r="G143" s="14" t="n">
        <v>-0.0434120444167326</v>
      </c>
      <c r="H143" s="15" t="n">
        <v>-0.246201938253052</v>
      </c>
    </row>
    <row r="144">
      <c r="A144" t="s">
        <v>31</v>
      </c>
      <c r="B144" t="s">
        <v>666</v>
      </c>
      <c r="C144" t="s">
        <v>667</v>
      </c>
      <c r="D144" t="s">
        <v>441</v>
      </c>
      <c r="E144" s="13" t="n">
        <v>0.25</v>
      </c>
      <c r="F144" s="16" t="n">
        <v>35</v>
      </c>
      <c r="G144" s="14" t="n">
        <v>0.0855050358314172</v>
      </c>
      <c r="H144" s="15" t="n">
        <v>0.234923155196477</v>
      </c>
    </row>
    <row r="145">
      <c r="A145" t="s">
        <v>31</v>
      </c>
      <c r="B145" t="s">
        <v>668</v>
      </c>
      <c r="C145" t="s">
        <v>669</v>
      </c>
      <c r="D145" t="s">
        <v>441</v>
      </c>
      <c r="E145" s="13" t="n">
        <v>0.25</v>
      </c>
      <c r="F145" s="16" t="n">
        <v>121</v>
      </c>
      <c r="G145" s="14" t="n">
        <v>-0.117367890696473</v>
      </c>
      <c r="H145" s="15" t="n">
        <v>-0.220736898214732</v>
      </c>
    </row>
    <row r="146">
      <c r="A146" t="s">
        <v>31</v>
      </c>
      <c r="B146" t="s">
        <v>668</v>
      </c>
      <c r="C146" t="s">
        <v>670</v>
      </c>
      <c r="D146" t="s">
        <v>441</v>
      </c>
      <c r="E146" s="13" t="n">
        <v>0.5</v>
      </c>
      <c r="F146" s="16" t="n">
        <v>60</v>
      </c>
      <c r="G146" s="14" t="n">
        <v>-0.25</v>
      </c>
      <c r="H146" s="15" t="n">
        <v>0.433012701892219</v>
      </c>
    </row>
    <row r="147">
      <c r="A147" t="s">
        <v>30</v>
      </c>
      <c r="B147" t="s">
        <v>671</v>
      </c>
      <c r="C147" t="s">
        <v>672</v>
      </c>
      <c r="D147" t="s">
        <v>441</v>
      </c>
      <c r="E147" s="13" t="n">
        <v>0.75</v>
      </c>
      <c r="F147" s="16" t="n">
        <v>41</v>
      </c>
      <c r="G147" s="14" t="n">
        <v>0.104379825720049</v>
      </c>
      <c r="H147" s="15" t="n">
        <v>0.742701051556178</v>
      </c>
    </row>
    <row r="148">
      <c r="A148" t="s">
        <v>31</v>
      </c>
      <c r="B148" t="s">
        <v>673</v>
      </c>
      <c r="C148" t="s">
        <v>674</v>
      </c>
      <c r="D148" t="s">
        <v>441</v>
      </c>
      <c r="E148" s="13" t="n">
        <v>0.25</v>
      </c>
      <c r="F148" s="16" t="n">
        <v>45</v>
      </c>
      <c r="G148" s="14" t="n">
        <v>0</v>
      </c>
      <c r="H148" s="15" t="n">
        <v>0.25</v>
      </c>
    </row>
    <row r="149">
      <c r="A149" t="s">
        <v>31</v>
      </c>
      <c r="B149" t="s">
        <v>673</v>
      </c>
      <c r="C149" t="s">
        <v>675</v>
      </c>
      <c r="D149" t="s">
        <v>441</v>
      </c>
      <c r="E149" s="13" t="n">
        <v>0.25</v>
      </c>
      <c r="F149" s="16" t="n">
        <v>122</v>
      </c>
      <c r="G149" s="14" t="n">
        <v>-0.109592786697269</v>
      </c>
      <c r="H149" s="15" t="n">
        <v>-0.224698511574792</v>
      </c>
    </row>
    <row r="150">
      <c r="A150" t="s">
        <v>30</v>
      </c>
      <c r="B150" t="s">
        <v>676</v>
      </c>
      <c r="C150" t="s">
        <v>677</v>
      </c>
      <c r="D150" t="s">
        <v>441</v>
      </c>
      <c r="E150" s="13" t="n">
        <v>0.5</v>
      </c>
      <c r="F150" s="16" t="n">
        <v>37</v>
      </c>
      <c r="G150" s="14" t="n">
        <v>0.1378186779085</v>
      </c>
      <c r="H150" s="15" t="n">
        <v>0.480630847969159</v>
      </c>
    </row>
    <row r="151">
      <c r="A151" t="s">
        <v>30</v>
      </c>
      <c r="B151" t="s">
        <v>678</v>
      </c>
      <c r="C151" t="s">
        <v>679</v>
      </c>
      <c r="D151" t="s">
        <v>441</v>
      </c>
      <c r="E151" s="13" t="n">
        <v>0</v>
      </c>
      <c r="F151" s="16" t="n">
        <v>66</v>
      </c>
      <c r="G151" s="14" t="n">
        <v>0</v>
      </c>
      <c r="H151" s="15" t="n">
        <v>0</v>
      </c>
    </row>
    <row r="152">
      <c r="A152" t="s">
        <v>30</v>
      </c>
      <c r="B152" t="s">
        <v>678</v>
      </c>
      <c r="C152" t="s">
        <v>680</v>
      </c>
      <c r="D152" t="s">
        <v>441</v>
      </c>
      <c r="E152" s="13" t="n">
        <v>0.25</v>
      </c>
      <c r="F152" s="16" t="n">
        <v>22</v>
      </c>
      <c r="G152" s="14" t="n">
        <v>0.179834950084663</v>
      </c>
      <c r="H152" s="15" t="n">
        <v>0.173664592614749</v>
      </c>
    </row>
    <row r="153">
      <c r="A153" t="s">
        <v>30</v>
      </c>
      <c r="B153" t="s">
        <v>681</v>
      </c>
      <c r="C153" t="s">
        <v>682</v>
      </c>
      <c r="D153" t="s">
        <v>441</v>
      </c>
      <c r="E153" s="13" t="n">
        <v>0</v>
      </c>
      <c r="F153" s="16" t="n">
        <v>166</v>
      </c>
      <c r="G153" s="14" t="n">
        <v>0</v>
      </c>
      <c r="H153" s="15" t="n">
        <v>0</v>
      </c>
    </row>
    <row r="154">
      <c r="A154" t="s">
        <v>30</v>
      </c>
      <c r="B154" t="s">
        <v>683</v>
      </c>
      <c r="C154" t="s">
        <v>684</v>
      </c>
      <c r="D154" t="s">
        <v>441</v>
      </c>
      <c r="E154" s="13" t="n">
        <v>0.5</v>
      </c>
      <c r="F154" s="16" t="n">
        <v>78</v>
      </c>
      <c r="G154" s="14" t="n">
        <v>-0.4567727288213</v>
      </c>
      <c r="H154" s="15" t="n">
        <v>0.2033683215379</v>
      </c>
    </row>
    <row r="155">
      <c r="A155" t="s">
        <v>30</v>
      </c>
      <c r="B155" t="s">
        <v>683</v>
      </c>
      <c r="C155" t="s">
        <v>685</v>
      </c>
      <c r="D155" t="s">
        <v>441</v>
      </c>
      <c r="E155" s="13" t="n">
        <v>0.5</v>
      </c>
      <c r="F155" s="16" t="n">
        <v>130</v>
      </c>
      <c r="G155" s="14" t="n">
        <v>-0.0868240888334652</v>
      </c>
      <c r="H155" s="15" t="n">
        <v>-0.492403876506104</v>
      </c>
    </row>
    <row r="156">
      <c r="A156" t="s">
        <v>31</v>
      </c>
      <c r="B156" t="s">
        <v>686</v>
      </c>
      <c r="C156" t="s">
        <v>687</v>
      </c>
      <c r="D156" t="s">
        <v>441</v>
      </c>
      <c r="E156" s="13" t="n">
        <v>0</v>
      </c>
      <c r="F156" s="16" t="n">
        <v>171</v>
      </c>
      <c r="G156" s="14" t="n">
        <v>0</v>
      </c>
      <c r="H156" s="15" t="n">
        <v>0</v>
      </c>
    </row>
    <row r="157">
      <c r="A157" t="s">
        <v>31</v>
      </c>
      <c r="B157" t="s">
        <v>688</v>
      </c>
      <c r="C157" t="s">
        <v>689</v>
      </c>
      <c r="D157" t="s">
        <v>441</v>
      </c>
      <c r="E157" s="13" t="n">
        <v>0</v>
      </c>
      <c r="F157" s="16" t="n">
        <v>114</v>
      </c>
      <c r="G157" s="14" t="n">
        <v>0</v>
      </c>
      <c r="H157" s="15" t="n">
        <v>0</v>
      </c>
    </row>
    <row r="158">
      <c r="A158" t="s">
        <v>31</v>
      </c>
      <c r="B158" t="s">
        <v>688</v>
      </c>
      <c r="C158" t="s">
        <v>690</v>
      </c>
      <c r="D158" t="s">
        <v>441</v>
      </c>
      <c r="E158" s="13" t="n">
        <v>0.25</v>
      </c>
      <c r="F158" s="16" t="n">
        <v>138</v>
      </c>
      <c r="G158" s="14" t="n">
        <v>0.0261321158169135</v>
      </c>
      <c r="H158" s="15" t="n">
        <v>-0.248630473842068</v>
      </c>
    </row>
    <row r="159">
      <c r="A159" t="s">
        <v>31</v>
      </c>
      <c r="B159" t="s">
        <v>691</v>
      </c>
      <c r="C159" t="s">
        <v>692</v>
      </c>
      <c r="D159" t="s">
        <v>441</v>
      </c>
      <c r="E159" s="13" t="n">
        <v>0.25</v>
      </c>
      <c r="F159" s="16" t="n">
        <v>18</v>
      </c>
      <c r="G159" s="14" t="n">
        <v>0.202254248593737</v>
      </c>
      <c r="H159" s="15" t="n">
        <v>0.146946313073118</v>
      </c>
    </row>
    <row r="160">
      <c r="A160" t="s">
        <v>31</v>
      </c>
      <c r="B160" t="s">
        <v>691</v>
      </c>
      <c r="C160" t="s">
        <v>693</v>
      </c>
      <c r="D160" t="s">
        <v>441</v>
      </c>
      <c r="E160" s="13" t="n">
        <v>0.25</v>
      </c>
      <c r="F160" s="16" t="n">
        <v>165</v>
      </c>
      <c r="G160" s="14" t="n">
        <v>0.21650635094611</v>
      </c>
      <c r="H160" s="15" t="n">
        <v>-0.125</v>
      </c>
    </row>
    <row r="161">
      <c r="A161" t="s">
        <v>30</v>
      </c>
      <c r="B161" t="s">
        <v>694</v>
      </c>
      <c r="C161" t="s">
        <v>695</v>
      </c>
      <c r="D161" t="s">
        <v>441</v>
      </c>
      <c r="E161" s="13" t="n">
        <v>0.25</v>
      </c>
      <c r="F161" s="16" t="n">
        <v>158</v>
      </c>
      <c r="G161" s="14" t="n">
        <v>0.179834950084663</v>
      </c>
      <c r="H161" s="15" t="n">
        <v>-0.173664592614749</v>
      </c>
    </row>
    <row r="162">
      <c r="A162" t="s">
        <v>30</v>
      </c>
      <c r="B162" t="s">
        <v>694</v>
      </c>
      <c r="C162" t="s">
        <v>696</v>
      </c>
      <c r="D162" t="s">
        <v>441</v>
      </c>
      <c r="E162" s="13" t="n">
        <v>0.25</v>
      </c>
      <c r="F162" s="16" t="n">
        <v>131</v>
      </c>
      <c r="G162" s="14" t="n">
        <v>-0.0347932752400165</v>
      </c>
      <c r="H162" s="15" t="n">
        <v>-0.247567017185393</v>
      </c>
    </row>
    <row r="163">
      <c r="A163" t="s">
        <v>30</v>
      </c>
      <c r="B163" t="s">
        <v>697</v>
      </c>
      <c r="C163" t="s">
        <v>698</v>
      </c>
      <c r="D163" t="s">
        <v>441</v>
      </c>
      <c r="E163" s="13" t="n">
        <v>0</v>
      </c>
      <c r="F163" s="16" t="n">
        <v>108</v>
      </c>
      <c r="G163" s="14" t="n">
        <v>0</v>
      </c>
      <c r="H163" s="15" t="n">
        <v>0</v>
      </c>
    </row>
    <row r="164">
      <c r="A164" t="s">
        <v>30</v>
      </c>
      <c r="B164" t="s">
        <v>697</v>
      </c>
      <c r="C164" t="s">
        <v>699</v>
      </c>
      <c r="D164" t="s">
        <v>441</v>
      </c>
      <c r="E164" s="13" t="n">
        <v>0</v>
      </c>
      <c r="F164" s="16" t="n">
        <v>97</v>
      </c>
      <c r="G164" s="14" t="n">
        <v>0</v>
      </c>
      <c r="H164" s="15" t="n">
        <v>0</v>
      </c>
    </row>
    <row r="165">
      <c r="A165" t="s">
        <v>31</v>
      </c>
      <c r="B165" t="s">
        <v>700</v>
      </c>
      <c r="C165" t="s">
        <v>701</v>
      </c>
      <c r="D165" t="s">
        <v>441</v>
      </c>
      <c r="E165" s="13" t="n">
        <v>0</v>
      </c>
      <c r="F165" s="16" t="n">
        <v>167</v>
      </c>
      <c r="G165" s="14" t="n">
        <v>0</v>
      </c>
      <c r="H165" s="15" t="n">
        <v>0</v>
      </c>
    </row>
    <row r="166">
      <c r="A166" t="s">
        <v>31</v>
      </c>
      <c r="B166" t="s">
        <v>700</v>
      </c>
      <c r="C166" t="s">
        <v>702</v>
      </c>
      <c r="D166" t="s">
        <v>441</v>
      </c>
      <c r="E166" s="13" t="n">
        <v>0</v>
      </c>
      <c r="F166" s="16" t="n">
        <v>163</v>
      </c>
      <c r="G166" s="14" t="n">
        <v>0</v>
      </c>
      <c r="H166" s="15" t="n">
        <v>0</v>
      </c>
    </row>
    <row r="167">
      <c r="A167" t="s">
        <v>30</v>
      </c>
      <c r="B167" t="s">
        <v>703</v>
      </c>
      <c r="C167" t="s">
        <v>704</v>
      </c>
      <c r="D167" t="s">
        <v>441</v>
      </c>
      <c r="E167" s="13" t="n">
        <v>0.25</v>
      </c>
      <c r="F167" s="16" t="n">
        <v>6</v>
      </c>
      <c r="G167" s="14" t="n">
        <v>0.244536900183451</v>
      </c>
      <c r="H167" s="15" t="n">
        <v>0.0519779227044398</v>
      </c>
    </row>
    <row r="168">
      <c r="A168" t="s">
        <v>31</v>
      </c>
      <c r="B168" t="s">
        <v>705</v>
      </c>
      <c r="C168" t="s">
        <v>706</v>
      </c>
      <c r="D168" t="s">
        <v>441</v>
      </c>
      <c r="E168" s="13" t="n">
        <v>0</v>
      </c>
      <c r="F168" s="16" t="n">
        <v>32</v>
      </c>
      <c r="G168" s="14" t="n">
        <v>0</v>
      </c>
      <c r="H168" s="15" t="n">
        <v>0</v>
      </c>
    </row>
    <row r="169">
      <c r="A169" t="s">
        <v>31</v>
      </c>
      <c r="B169" t="s">
        <v>707</v>
      </c>
      <c r="C169" t="s">
        <v>708</v>
      </c>
      <c r="D169" t="s">
        <v>441</v>
      </c>
      <c r="E169" s="13" t="n">
        <v>0.25</v>
      </c>
      <c r="F169" s="16" t="n">
        <v>174</v>
      </c>
      <c r="G169" s="14" t="n">
        <v>0.244536900183451</v>
      </c>
      <c r="H169" s="15" t="n">
        <v>-0.0519779227044398</v>
      </c>
    </row>
    <row r="170">
      <c r="A170" t="s">
        <v>31</v>
      </c>
      <c r="B170" t="s">
        <v>707</v>
      </c>
      <c r="C170" t="s">
        <v>709</v>
      </c>
      <c r="D170" t="s">
        <v>441</v>
      </c>
      <c r="E170" s="13" t="n">
        <v>0.25</v>
      </c>
      <c r="F170" s="16" t="n">
        <v>138</v>
      </c>
      <c r="G170" s="14" t="n">
        <v>0.0261321158169135</v>
      </c>
      <c r="H170" s="15" t="n">
        <v>-0.248630473842068</v>
      </c>
    </row>
    <row r="171">
      <c r="A171" t="s">
        <v>30</v>
      </c>
      <c r="B171" t="s">
        <v>710</v>
      </c>
      <c r="C171" t="s">
        <v>711</v>
      </c>
      <c r="D171" t="s">
        <v>441</v>
      </c>
      <c r="E171" s="13" t="n">
        <v>0.25</v>
      </c>
      <c r="F171" s="16" t="n">
        <v>91</v>
      </c>
      <c r="G171" s="14" t="n">
        <v>-0.249847706754774</v>
      </c>
      <c r="H171" s="15" t="n">
        <v>-0.00872487417562529</v>
      </c>
    </row>
    <row r="172">
      <c r="A172" t="s">
        <v>30</v>
      </c>
      <c r="B172" t="s">
        <v>712</v>
      </c>
      <c r="C172" t="s">
        <v>713</v>
      </c>
      <c r="D172" t="s">
        <v>441</v>
      </c>
      <c r="E172" s="13" t="n">
        <v>0.5</v>
      </c>
      <c r="F172" s="16" t="n">
        <v>154</v>
      </c>
      <c r="G172" s="14" t="n">
        <v>0.307830737662829</v>
      </c>
      <c r="H172" s="15" t="n">
        <v>-0.394005376803361</v>
      </c>
    </row>
    <row r="173">
      <c r="A173" t="s">
        <v>30</v>
      </c>
      <c r="B173" t="s">
        <v>439</v>
      </c>
      <c r="C173" t="s">
        <v>440</v>
      </c>
      <c r="D173" t="s">
        <v>714</v>
      </c>
      <c r="E173" s="13" t="n">
        <v>0.697255041297479</v>
      </c>
      <c r="F173" s="16" t="n">
        <v>171.526706498309</v>
      </c>
      <c r="G173" s="14" t="n">
        <v>0.666978065099262</v>
      </c>
      <c r="H173" s="15" t="n">
        <v>-0.203235954720599</v>
      </c>
    </row>
    <row r="174">
      <c r="A174" t="s">
        <v>30</v>
      </c>
      <c r="B174" t="s">
        <v>439</v>
      </c>
      <c r="C174" t="s">
        <v>442</v>
      </c>
      <c r="D174" t="s">
        <v>714</v>
      </c>
      <c r="E174" s="13" t="n">
        <v>1.11831679937903</v>
      </c>
      <c r="F174" s="16" t="n">
        <v>10.4975856353608</v>
      </c>
      <c r="G174" s="14" t="n">
        <v>1.04407244650596</v>
      </c>
      <c r="H174" s="15" t="n">
        <v>0.400680908230509</v>
      </c>
    </row>
    <row r="175">
      <c r="A175" t="s">
        <v>30</v>
      </c>
      <c r="B175" t="s">
        <v>443</v>
      </c>
      <c r="C175" t="s">
        <v>444</v>
      </c>
      <c r="D175" t="s">
        <v>714</v>
      </c>
      <c r="E175" s="13" t="n">
        <v>0.502050086382721</v>
      </c>
      <c r="F175" s="16" t="n">
        <v>96.4918201359158</v>
      </c>
      <c r="G175" s="14" t="n">
        <v>-0.4892148021942</v>
      </c>
      <c r="H175" s="15" t="n">
        <v>-0.112797014814166</v>
      </c>
    </row>
    <row r="176">
      <c r="A176" t="s">
        <v>30</v>
      </c>
      <c r="B176" t="s">
        <v>443</v>
      </c>
      <c r="C176" t="s">
        <v>445</v>
      </c>
      <c r="D176" t="s">
        <v>714</v>
      </c>
      <c r="E176" s="13" t="n">
        <v>0.324408086923306</v>
      </c>
      <c r="F176" s="16" t="n">
        <v>93.2365999646575</v>
      </c>
      <c r="G176" s="14" t="n">
        <v>-0.322339887309263</v>
      </c>
      <c r="H176" s="15" t="n">
        <v>-0.0365732677059522</v>
      </c>
    </row>
    <row r="177">
      <c r="A177" t="s">
        <v>30</v>
      </c>
      <c r="B177" t="s">
        <v>446</v>
      </c>
      <c r="C177" t="s">
        <v>447</v>
      </c>
      <c r="D177" t="s">
        <v>714</v>
      </c>
      <c r="E177" s="13" t="n">
        <v>0.644439804169847</v>
      </c>
      <c r="F177" s="16" t="n">
        <v>13.3802114236752</v>
      </c>
      <c r="G177" s="14" t="n">
        <v>0.575418399966463</v>
      </c>
      <c r="H177" s="15" t="n">
        <v>0.290166032089398</v>
      </c>
    </row>
    <row r="178">
      <c r="A178" t="s">
        <v>30</v>
      </c>
      <c r="B178" t="s">
        <v>448</v>
      </c>
      <c r="C178" t="s">
        <v>449</v>
      </c>
      <c r="D178" t="s">
        <v>714</v>
      </c>
      <c r="E178" s="13" t="n">
        <v>1.75041797450606</v>
      </c>
      <c r="F178" s="16" t="n">
        <v>18.9044518775901</v>
      </c>
      <c r="G178" s="14" t="n">
        <v>1.38293479989296</v>
      </c>
      <c r="H178" s="15" t="n">
        <v>1.07305844422329</v>
      </c>
    </row>
    <row r="179">
      <c r="A179" t="s">
        <v>30</v>
      </c>
      <c r="B179" t="s">
        <v>448</v>
      </c>
      <c r="C179" t="s">
        <v>450</v>
      </c>
      <c r="D179" t="s">
        <v>714</v>
      </c>
      <c r="E179" s="13" t="n">
        <v>1.52069063257456</v>
      </c>
      <c r="F179" s="16" t="n">
        <v>167.268838895987</v>
      </c>
      <c r="G179" s="14" t="n">
        <v>1.37298320495323</v>
      </c>
      <c r="H179" s="15" t="n">
        <v>-0.653771457710079</v>
      </c>
    </row>
    <row r="180">
      <c r="A180" t="s">
        <v>31</v>
      </c>
      <c r="B180" t="s">
        <v>451</v>
      </c>
      <c r="C180" t="s">
        <v>452</v>
      </c>
      <c r="D180" t="s">
        <v>714</v>
      </c>
      <c r="E180" s="13" t="n">
        <v>0.756842181131559</v>
      </c>
      <c r="F180" s="16" t="n">
        <v>6.54658355721604</v>
      </c>
      <c r="G180" s="14" t="n">
        <v>0.73716654735058</v>
      </c>
      <c r="H180" s="15" t="n">
        <v>0.171451359304034</v>
      </c>
    </row>
    <row r="181">
      <c r="A181" t="s">
        <v>31</v>
      </c>
      <c r="B181" t="s">
        <v>451</v>
      </c>
      <c r="C181" t="s">
        <v>453</v>
      </c>
      <c r="D181" t="s">
        <v>714</v>
      </c>
      <c r="E181" s="13" t="n">
        <v>0.279596451735374</v>
      </c>
      <c r="F181" s="16" t="n">
        <v>166</v>
      </c>
      <c r="G181" s="14" t="n">
        <v>0.246869014031645</v>
      </c>
      <c r="H181" s="15" t="n">
        <v>-0.131262583145596</v>
      </c>
    </row>
    <row r="182">
      <c r="A182" t="s">
        <v>31</v>
      </c>
      <c r="B182" t="s">
        <v>454</v>
      </c>
      <c r="C182" t="s">
        <v>455</v>
      </c>
      <c r="D182" t="s">
        <v>714</v>
      </c>
      <c r="E182" s="13" t="n">
        <v>0.838670567945424</v>
      </c>
      <c r="F182" s="16" t="n">
        <v>107.5</v>
      </c>
      <c r="G182" s="14" t="n">
        <v>-0.686998710217504</v>
      </c>
      <c r="H182" s="15" t="n">
        <v>-0.481041675634644</v>
      </c>
    </row>
    <row r="183">
      <c r="A183" t="s">
        <v>31</v>
      </c>
      <c r="B183" t="s">
        <v>454</v>
      </c>
      <c r="C183" t="s">
        <v>456</v>
      </c>
      <c r="D183" t="s">
        <v>714</v>
      </c>
      <c r="E183" s="13" t="n">
        <v>0.478152377981518</v>
      </c>
      <c r="F183" s="16" t="n">
        <v>67.5</v>
      </c>
      <c r="G183" s="14" t="n">
        <v>-0.338104788911204</v>
      </c>
      <c r="H183" s="15" t="n">
        <v>0.338104788911204</v>
      </c>
    </row>
    <row r="184">
      <c r="A184" t="s">
        <v>30</v>
      </c>
      <c r="B184" t="s">
        <v>457</v>
      </c>
      <c r="C184" t="s">
        <v>458</v>
      </c>
      <c r="D184" t="s">
        <v>714</v>
      </c>
      <c r="E184" s="13" t="n">
        <v>0.5</v>
      </c>
      <c r="F184" s="16" t="n">
        <v>85</v>
      </c>
      <c r="G184" s="14" t="n">
        <v>-0.492403876506104</v>
      </c>
      <c r="H184" s="15" t="n">
        <v>0.0868240888334653</v>
      </c>
    </row>
    <row r="185">
      <c r="A185" t="s">
        <v>31</v>
      </c>
      <c r="B185" t="s">
        <v>459</v>
      </c>
      <c r="C185" t="s">
        <v>460</v>
      </c>
      <c r="D185" t="s">
        <v>714</v>
      </c>
      <c r="E185" s="13" t="n">
        <v>0.264194906165547</v>
      </c>
      <c r="F185" s="16" t="n">
        <v>81.3643173027078</v>
      </c>
      <c r="G185" s="14" t="n">
        <v>-0.252282172580185</v>
      </c>
      <c r="H185" s="15" t="n">
        <v>0.0784388541607024</v>
      </c>
    </row>
    <row r="186">
      <c r="A186" t="s">
        <v>31</v>
      </c>
      <c r="B186" t="s">
        <v>459</v>
      </c>
      <c r="C186" t="s">
        <v>461</v>
      </c>
      <c r="D186" t="s">
        <v>714</v>
      </c>
      <c r="E186" s="13" t="n">
        <v>1.25018273853692</v>
      </c>
      <c r="F186" s="16" t="n">
        <v>98.199931781823</v>
      </c>
      <c r="G186" s="14" t="n">
        <v>-1.19931861233848</v>
      </c>
      <c r="H186" s="15" t="n">
        <v>-0.352975559825581</v>
      </c>
    </row>
    <row r="187">
      <c r="A187" t="s">
        <v>30</v>
      </c>
      <c r="B187" t="s">
        <v>462</v>
      </c>
      <c r="C187" t="s">
        <v>463</v>
      </c>
      <c r="D187" t="s">
        <v>714</v>
      </c>
      <c r="E187" s="13" t="n">
        <v>1.5</v>
      </c>
      <c r="F187" s="16" t="n">
        <v>57</v>
      </c>
      <c r="G187" s="14" t="n">
        <v>-0.610104964613699</v>
      </c>
      <c r="H187" s="15" t="n">
        <v>1.3703181864639</v>
      </c>
    </row>
    <row r="188">
      <c r="A188" t="s">
        <v>30</v>
      </c>
      <c r="B188" t="s">
        <v>462</v>
      </c>
      <c r="C188" t="s">
        <v>464</v>
      </c>
      <c r="D188" t="s">
        <v>714</v>
      </c>
      <c r="E188" s="13" t="n">
        <v>1</v>
      </c>
      <c r="F188" s="16" t="n">
        <v>128</v>
      </c>
      <c r="G188" s="14" t="n">
        <v>-0.241921895599668</v>
      </c>
      <c r="H188" s="15" t="n">
        <v>-0.970295726275996</v>
      </c>
    </row>
    <row r="189">
      <c r="A189" t="s">
        <v>30</v>
      </c>
      <c r="B189" t="s">
        <v>465</v>
      </c>
      <c r="C189" t="s">
        <v>466</v>
      </c>
      <c r="D189" t="s">
        <v>714</v>
      </c>
      <c r="E189" s="13" t="n">
        <v>0.955680516478539</v>
      </c>
      <c r="F189" s="16" t="n">
        <v>4.34430295936188</v>
      </c>
      <c r="G189" s="14" t="n">
        <v>0.944713076822049</v>
      </c>
      <c r="H189" s="15" t="n">
        <v>0.144369152030841</v>
      </c>
    </row>
    <row r="190">
      <c r="A190" t="s">
        <v>30</v>
      </c>
      <c r="B190" t="s">
        <v>465</v>
      </c>
      <c r="C190" t="s">
        <v>467</v>
      </c>
      <c r="D190" t="s">
        <v>714</v>
      </c>
      <c r="E190" s="13" t="n">
        <v>0.364232137400501</v>
      </c>
      <c r="F190" s="16" t="n">
        <v>20.2381908710744</v>
      </c>
      <c r="G190" s="14" t="n">
        <v>0.277061776327796</v>
      </c>
      <c r="H190" s="15" t="n">
        <v>0.236435661467181</v>
      </c>
    </row>
    <row r="191">
      <c r="A191" t="s">
        <v>31</v>
      </c>
      <c r="B191" t="s">
        <v>468</v>
      </c>
      <c r="C191" t="s">
        <v>469</v>
      </c>
      <c r="D191" t="s">
        <v>714</v>
      </c>
      <c r="E191" s="13" t="n">
        <v>1.99349160030623</v>
      </c>
      <c r="F191" s="16" t="n">
        <v>3.13071925634203</v>
      </c>
      <c r="G191" s="14" t="n">
        <v>1.98159959413982</v>
      </c>
      <c r="H191" s="15" t="n">
        <v>0.217420810863202</v>
      </c>
    </row>
    <row r="192">
      <c r="A192" t="s">
        <v>31</v>
      </c>
      <c r="B192" t="s">
        <v>468</v>
      </c>
      <c r="C192" t="s">
        <v>470</v>
      </c>
      <c r="D192" t="s">
        <v>714</v>
      </c>
      <c r="E192" s="13" t="n">
        <v>1.24987815946577</v>
      </c>
      <c r="F192" s="16" t="n">
        <v>1.8000194966076</v>
      </c>
      <c r="G192" s="14" t="n">
        <v>1.2474117570146</v>
      </c>
      <c r="H192" s="15" t="n">
        <v>0.0784813479197503</v>
      </c>
    </row>
    <row r="193">
      <c r="A193" t="s">
        <v>30</v>
      </c>
      <c r="B193" t="s">
        <v>471</v>
      </c>
      <c r="C193" t="s">
        <v>472</v>
      </c>
      <c r="D193" t="s">
        <v>714</v>
      </c>
      <c r="E193" s="13" t="n">
        <v>0.469846310392954</v>
      </c>
      <c r="F193" s="16" t="n">
        <v>4</v>
      </c>
      <c r="G193" s="14" t="n">
        <v>0.465273798398183</v>
      </c>
      <c r="H193" s="15" t="n">
        <v>0.0653899679920329</v>
      </c>
    </row>
    <row r="194">
      <c r="A194" t="s">
        <v>30</v>
      </c>
      <c r="B194" t="s">
        <v>473</v>
      </c>
      <c r="C194" t="s">
        <v>474</v>
      </c>
      <c r="D194" t="s">
        <v>714</v>
      </c>
      <c r="E194" s="13" t="n">
        <v>1.10600982994995</v>
      </c>
      <c r="F194" s="16" t="n">
        <v>6.98565361760673</v>
      </c>
      <c r="G194" s="14" t="n">
        <v>1.07329047021003</v>
      </c>
      <c r="H194" s="15" t="n">
        <v>0.267030542264819</v>
      </c>
    </row>
    <row r="195">
      <c r="A195" t="s">
        <v>31</v>
      </c>
      <c r="B195" t="s">
        <v>475</v>
      </c>
      <c r="C195" t="s">
        <v>476</v>
      </c>
      <c r="D195" t="s">
        <v>714</v>
      </c>
      <c r="E195" s="13" t="n">
        <v>0.739616871051046</v>
      </c>
      <c r="F195" s="16" t="n">
        <v>72.3465985817567</v>
      </c>
      <c r="G195" s="14" t="n">
        <v>-0.603578381257266</v>
      </c>
      <c r="H195" s="15" t="n">
        <v>0.427464915077481</v>
      </c>
    </row>
    <row r="196">
      <c r="A196" t="s">
        <v>31</v>
      </c>
      <c r="B196" t="s">
        <v>477</v>
      </c>
      <c r="C196" t="s">
        <v>478</v>
      </c>
      <c r="D196" t="s">
        <v>714</v>
      </c>
      <c r="E196" s="13" t="n">
        <v>1.35736630274086</v>
      </c>
      <c r="F196" s="16" t="n">
        <v>28.3328257030126</v>
      </c>
      <c r="G196" s="14" t="n">
        <v>0.745905064958991</v>
      </c>
      <c r="H196" s="15" t="n">
        <v>1.13404978457072</v>
      </c>
    </row>
    <row r="197">
      <c r="A197" t="s">
        <v>31</v>
      </c>
      <c r="B197" t="s">
        <v>477</v>
      </c>
      <c r="C197" t="s">
        <v>479</v>
      </c>
      <c r="D197" t="s">
        <v>714</v>
      </c>
      <c r="E197" s="13" t="n">
        <v>1.25291617774048</v>
      </c>
      <c r="F197" s="16" t="n">
        <v>131.204350549853</v>
      </c>
      <c r="G197" s="14" t="n">
        <v>-0.165517569077105</v>
      </c>
      <c r="H197" s="15" t="n">
        <v>-1.24193513629764</v>
      </c>
    </row>
    <row r="198">
      <c r="A198" t="s">
        <v>31</v>
      </c>
      <c r="B198" t="s">
        <v>480</v>
      </c>
      <c r="C198" t="s">
        <v>481</v>
      </c>
      <c r="D198" t="s">
        <v>714</v>
      </c>
      <c r="E198" s="13" t="n">
        <v>0.264435376663186</v>
      </c>
      <c r="F198" s="16" t="n">
        <v>162.389269668407</v>
      </c>
      <c r="G198" s="14" t="n">
        <v>0.216024910098001</v>
      </c>
      <c r="H198" s="15" t="n">
        <v>-0.15251002146794</v>
      </c>
    </row>
    <row r="199">
      <c r="A199" t="s">
        <v>31</v>
      </c>
      <c r="B199" t="s">
        <v>480</v>
      </c>
      <c r="C199" t="s">
        <v>482</v>
      </c>
      <c r="D199" t="s">
        <v>714</v>
      </c>
      <c r="E199" s="13" t="n">
        <v>0.510413633532217</v>
      </c>
      <c r="F199" s="16" t="n">
        <v>23.3131737851372</v>
      </c>
      <c r="G199" s="14" t="n">
        <v>0.350528258147577</v>
      </c>
      <c r="H199" s="15" t="n">
        <v>0.371014848133584</v>
      </c>
    </row>
    <row r="200">
      <c r="A200" t="s">
        <v>30</v>
      </c>
      <c r="B200" t="s">
        <v>483</v>
      </c>
      <c r="C200" t="s">
        <v>484</v>
      </c>
      <c r="D200" t="s">
        <v>714</v>
      </c>
      <c r="E200" s="13" t="n">
        <v>0.860875249473889</v>
      </c>
      <c r="F200" s="16" t="n">
        <v>173.426808321276</v>
      </c>
      <c r="G200" s="14" t="n">
        <v>0.83831357239925</v>
      </c>
      <c r="H200" s="15" t="n">
        <v>-0.195797215220079</v>
      </c>
    </row>
    <row r="201">
      <c r="A201" t="s">
        <v>30</v>
      </c>
      <c r="B201" t="s">
        <v>485</v>
      </c>
      <c r="C201" t="s">
        <v>486</v>
      </c>
      <c r="D201" t="s">
        <v>714</v>
      </c>
      <c r="E201" s="13" t="n">
        <v>1</v>
      </c>
      <c r="F201" s="16" t="n">
        <v>101</v>
      </c>
      <c r="G201" s="14" t="n">
        <v>-0.927183854566788</v>
      </c>
      <c r="H201" s="15" t="n">
        <v>-0.374606593415911</v>
      </c>
    </row>
    <row r="202">
      <c r="A202" t="s">
        <v>30</v>
      </c>
      <c r="B202" t="s">
        <v>485</v>
      </c>
      <c r="C202" t="s">
        <v>487</v>
      </c>
      <c r="D202" t="s">
        <v>714</v>
      </c>
      <c r="E202" s="13" t="n">
        <v>1.24222817870517</v>
      </c>
      <c r="F202" s="16" t="n">
        <v>81.4100175536772</v>
      </c>
      <c r="G202" s="14" t="n">
        <v>-1.18680207722211</v>
      </c>
      <c r="H202" s="15" t="n">
        <v>0.366921895599668</v>
      </c>
    </row>
    <row r="203">
      <c r="A203" t="s">
        <v>30</v>
      </c>
      <c r="B203" t="s">
        <v>488</v>
      </c>
      <c r="C203" t="s">
        <v>489</v>
      </c>
      <c r="D203" t="s">
        <v>714</v>
      </c>
      <c r="E203" s="13" t="n">
        <v>1.23787976410997</v>
      </c>
      <c r="F203" s="16" t="n">
        <v>168.019604994497</v>
      </c>
      <c r="G203" s="14" t="n">
        <v>1.13120373156565</v>
      </c>
      <c r="H203" s="15" t="n">
        <v>-0.502717045747304</v>
      </c>
    </row>
    <row r="204">
      <c r="A204" t="s">
        <v>30</v>
      </c>
      <c r="B204" t="s">
        <v>488</v>
      </c>
      <c r="C204" t="s">
        <v>490</v>
      </c>
      <c r="D204" t="s">
        <v>714</v>
      </c>
      <c r="E204" s="13" t="n">
        <v>1.40516745075782</v>
      </c>
      <c r="F204" s="16" t="n">
        <v>174.240979952073</v>
      </c>
      <c r="G204" s="14" t="n">
        <v>1.37687002457612</v>
      </c>
      <c r="H204" s="15" t="n">
        <v>-0.280578866083969</v>
      </c>
    </row>
    <row r="205">
      <c r="A205" t="s">
        <v>30</v>
      </c>
      <c r="B205" t="s">
        <v>491</v>
      </c>
      <c r="C205" t="s">
        <v>492</v>
      </c>
      <c r="D205" t="s">
        <v>714</v>
      </c>
      <c r="E205" s="13" t="n">
        <v>1.72148932368529</v>
      </c>
      <c r="F205" s="16" t="n">
        <v>168.017685628057</v>
      </c>
      <c r="G205" s="14" t="n">
        <v>1.57309071275668</v>
      </c>
      <c r="H205" s="15" t="n">
        <v>-0.699221782413206</v>
      </c>
    </row>
    <row r="206">
      <c r="A206" t="s">
        <v>30</v>
      </c>
      <c r="B206" t="s">
        <v>491</v>
      </c>
      <c r="C206" t="s">
        <v>493</v>
      </c>
      <c r="D206" t="s">
        <v>714</v>
      </c>
      <c r="E206" s="13" t="n">
        <v>0.5</v>
      </c>
      <c r="F206" s="16" t="n">
        <v>11</v>
      </c>
      <c r="G206" s="14" t="n">
        <v>0.463591927283394</v>
      </c>
      <c r="H206" s="15" t="n">
        <v>0.187303296707956</v>
      </c>
    </row>
    <row r="207">
      <c r="A207" t="s">
        <v>30</v>
      </c>
      <c r="B207" t="s">
        <v>494</v>
      </c>
      <c r="C207" t="s">
        <v>495</v>
      </c>
      <c r="D207" t="s">
        <v>714</v>
      </c>
      <c r="E207" s="13" t="n">
        <v>2.29699870141587</v>
      </c>
      <c r="F207" s="16" t="n">
        <v>174.744624725092</v>
      </c>
      <c r="G207" s="14" t="n">
        <v>2.25845666410028</v>
      </c>
      <c r="H207" s="15" t="n">
        <v>-0.419018532629819</v>
      </c>
    </row>
    <row r="208">
      <c r="A208" t="s">
        <v>30</v>
      </c>
      <c r="B208" t="s">
        <v>494</v>
      </c>
      <c r="C208" t="s">
        <v>496</v>
      </c>
      <c r="D208" t="s">
        <v>714</v>
      </c>
      <c r="E208" s="13" t="n">
        <v>1.5</v>
      </c>
      <c r="F208" s="16" t="n">
        <v>4.00000000000001</v>
      </c>
      <c r="G208" s="14" t="n">
        <v>1.48540210311236</v>
      </c>
      <c r="H208" s="15" t="n">
        <v>0.208759651440099</v>
      </c>
    </row>
    <row r="209">
      <c r="A209" t="s">
        <v>30</v>
      </c>
      <c r="B209" t="s">
        <v>497</v>
      </c>
      <c r="C209" t="s">
        <v>498</v>
      </c>
      <c r="D209" t="s">
        <v>714</v>
      </c>
      <c r="E209" s="13" t="n">
        <v>1.26310719177603</v>
      </c>
      <c r="F209" s="16" t="n">
        <v>55.4721284357144</v>
      </c>
      <c r="G209" s="14" t="n">
        <v>-0.45150966349266</v>
      </c>
      <c r="H209" s="15" t="n">
        <v>1.17965198329384</v>
      </c>
    </row>
    <row r="210">
      <c r="A210" t="s">
        <v>30</v>
      </c>
      <c r="B210" t="s">
        <v>497</v>
      </c>
      <c r="C210" t="s">
        <v>499</v>
      </c>
      <c r="D210" t="s">
        <v>714</v>
      </c>
      <c r="E210" s="13" t="n">
        <v>0.45914686019949</v>
      </c>
      <c r="F210" s="16" t="n">
        <v>127.085449985547</v>
      </c>
      <c r="G210" s="14" t="n">
        <v>-0.125240990453218</v>
      </c>
      <c r="H210" s="15" t="n">
        <v>-0.441735818721266</v>
      </c>
    </row>
    <row r="211">
      <c r="A211" t="s">
        <v>31</v>
      </c>
      <c r="B211" t="s">
        <v>500</v>
      </c>
      <c r="C211" t="s">
        <v>501</v>
      </c>
      <c r="D211" t="s">
        <v>714</v>
      </c>
      <c r="E211" s="13" t="n">
        <v>0.433012701892219</v>
      </c>
      <c r="F211" s="16" t="n">
        <v>28</v>
      </c>
      <c r="G211" s="14" t="n">
        <v>0.242137630010823</v>
      </c>
      <c r="H211" s="15" t="n">
        <v>0.358983799262225</v>
      </c>
    </row>
    <row r="212">
      <c r="A212" t="s">
        <v>31</v>
      </c>
      <c r="B212" t="s">
        <v>500</v>
      </c>
      <c r="C212" t="s">
        <v>502</v>
      </c>
      <c r="D212" t="s">
        <v>714</v>
      </c>
      <c r="E212" s="13" t="n">
        <v>0.5</v>
      </c>
      <c r="F212" s="16" t="n">
        <v>166</v>
      </c>
      <c r="G212" s="14" t="n">
        <v>0.441473796429463</v>
      </c>
      <c r="H212" s="15" t="n">
        <v>-0.234735781392945</v>
      </c>
    </row>
    <row r="213">
      <c r="A213" t="s">
        <v>30</v>
      </c>
      <c r="B213" t="s">
        <v>503</v>
      </c>
      <c r="C213" t="s">
        <v>504</v>
      </c>
      <c r="D213" t="s">
        <v>714</v>
      </c>
      <c r="E213" s="13" t="n">
        <v>0.713794570168253</v>
      </c>
      <c r="F213" s="16" t="n">
        <v>17.2262389739372</v>
      </c>
      <c r="G213" s="14" t="n">
        <v>0.588591927283394</v>
      </c>
      <c r="H213" s="15" t="n">
        <v>0.403809647654066</v>
      </c>
    </row>
    <row r="214">
      <c r="A214" t="s">
        <v>30</v>
      </c>
      <c r="B214" t="s">
        <v>503</v>
      </c>
      <c r="C214" t="s">
        <v>505</v>
      </c>
      <c r="D214" t="s">
        <v>714</v>
      </c>
      <c r="E214" s="13" t="n">
        <v>0.935908103065986</v>
      </c>
      <c r="F214" s="16" t="n">
        <v>158.724892243503</v>
      </c>
      <c r="G214" s="14" t="n">
        <v>0.689469413061423</v>
      </c>
      <c r="H214" s="15" t="n">
        <v>-0.632894861598124</v>
      </c>
    </row>
    <row r="215">
      <c r="A215" t="s">
        <v>30</v>
      </c>
      <c r="B215" t="s">
        <v>506</v>
      </c>
      <c r="C215" t="s">
        <v>507</v>
      </c>
      <c r="D215" t="s">
        <v>714</v>
      </c>
      <c r="E215" s="13" t="n">
        <v>2.12810733463743</v>
      </c>
      <c r="F215" s="16" t="n">
        <v>29.8587793099162</v>
      </c>
      <c r="G215" s="14" t="n">
        <v>1.07312580509311</v>
      </c>
      <c r="H215" s="15" t="n">
        <v>1.83772735577966</v>
      </c>
    </row>
    <row r="216">
      <c r="A216" t="s">
        <v>30</v>
      </c>
      <c r="B216" t="s">
        <v>506</v>
      </c>
      <c r="C216" t="s">
        <v>508</v>
      </c>
      <c r="D216" t="s">
        <v>714</v>
      </c>
      <c r="E216" s="13" t="n">
        <v>2.06475180142582</v>
      </c>
      <c r="F216" s="16" t="n">
        <v>149.76811554301</v>
      </c>
      <c r="G216" s="14" t="n">
        <v>1.0178686088246</v>
      </c>
      <c r="H216" s="15" t="n">
        <v>-1.79642519929459</v>
      </c>
    </row>
    <row r="217">
      <c r="A217" t="s">
        <v>31</v>
      </c>
      <c r="B217" t="s">
        <v>509</v>
      </c>
      <c r="C217" t="s">
        <v>510</v>
      </c>
      <c r="D217" t="s">
        <v>714</v>
      </c>
      <c r="E217" s="13" t="n">
        <v>0.389619169931826</v>
      </c>
      <c r="F217" s="16" t="n">
        <v>142.720731971294</v>
      </c>
      <c r="G217" s="14" t="n">
        <v>0.103737563774958</v>
      </c>
      <c r="H217" s="15" t="n">
        <v>-0.375555076440729</v>
      </c>
    </row>
    <row r="218">
      <c r="A218" t="s">
        <v>31</v>
      </c>
      <c r="B218" t="s">
        <v>509</v>
      </c>
      <c r="C218" t="s">
        <v>511</v>
      </c>
      <c r="D218" t="s">
        <v>714</v>
      </c>
      <c r="E218" s="13" t="n">
        <v>0.588490178716669</v>
      </c>
      <c r="F218" s="16" t="n">
        <v>57.2572306125401</v>
      </c>
      <c r="G218" s="14" t="n">
        <v>-0.244178051587736</v>
      </c>
      <c r="H218" s="15" t="n">
        <v>0.535441658417417</v>
      </c>
    </row>
    <row r="219">
      <c r="A219" t="s">
        <v>30</v>
      </c>
      <c r="B219" t="s">
        <v>512</v>
      </c>
      <c r="C219" t="s">
        <v>513</v>
      </c>
      <c r="D219" t="s">
        <v>714</v>
      </c>
      <c r="E219" s="13" t="n">
        <v>1.1180339887499</v>
      </c>
      <c r="F219" s="16" t="n">
        <v>34.282525588539</v>
      </c>
      <c r="G219" s="14" t="n">
        <v>0.408579522297965</v>
      </c>
      <c r="H219" s="15" t="n">
        <v>1.04070301909756</v>
      </c>
    </row>
    <row r="220">
      <c r="A220" t="s">
        <v>30</v>
      </c>
      <c r="B220" t="s">
        <v>512</v>
      </c>
      <c r="C220" t="s">
        <v>514</v>
      </c>
      <c r="D220" t="s">
        <v>714</v>
      </c>
      <c r="E220" s="13" t="n">
        <v>1.73453615963544</v>
      </c>
      <c r="F220" s="16" t="n">
        <v>155.753979164169</v>
      </c>
      <c r="G220" s="14" t="n">
        <v>1.14951886509432</v>
      </c>
      <c r="H220" s="15" t="n">
        <v>-1.29893112514681</v>
      </c>
    </row>
    <row r="221">
      <c r="A221" t="s">
        <v>30</v>
      </c>
      <c r="B221" t="s">
        <v>515</v>
      </c>
      <c r="C221" t="s">
        <v>516</v>
      </c>
      <c r="D221" t="s">
        <v>714</v>
      </c>
      <c r="E221" s="13" t="n">
        <v>0.5</v>
      </c>
      <c r="F221" s="16" t="n">
        <v>174</v>
      </c>
      <c r="G221" s="14" t="n">
        <v>0.489073800366903</v>
      </c>
      <c r="H221" s="15" t="n">
        <v>-0.10395584540888</v>
      </c>
    </row>
    <row r="222">
      <c r="A222" t="s">
        <v>30</v>
      </c>
      <c r="B222" t="s">
        <v>515</v>
      </c>
      <c r="C222" t="s">
        <v>517</v>
      </c>
      <c r="D222" t="s">
        <v>714</v>
      </c>
      <c r="E222" s="13" t="n">
        <v>0.5</v>
      </c>
      <c r="F222" s="16" t="n">
        <v>1.99999999999999</v>
      </c>
      <c r="G222" s="14" t="n">
        <v>0.498782025129912</v>
      </c>
      <c r="H222" s="15" t="n">
        <v>0.0348782368720625</v>
      </c>
    </row>
    <row r="223">
      <c r="A223" t="s">
        <v>30</v>
      </c>
      <c r="B223" t="s">
        <v>518</v>
      </c>
      <c r="C223" t="s">
        <v>519</v>
      </c>
      <c r="D223" t="s">
        <v>714</v>
      </c>
      <c r="E223" s="13" t="n">
        <v>0.339848954093314</v>
      </c>
      <c r="F223" s="16" t="n">
        <v>4.53526126615687</v>
      </c>
      <c r="G223" s="14" t="n">
        <v>0.335599158233224</v>
      </c>
      <c r="H223" s="15" t="n">
        <v>0.0535772021616569</v>
      </c>
    </row>
    <row r="224">
      <c r="A224" t="s">
        <v>30</v>
      </c>
      <c r="B224" t="s">
        <v>518</v>
      </c>
      <c r="C224" t="s">
        <v>520</v>
      </c>
      <c r="D224" t="s">
        <v>714</v>
      </c>
      <c r="E224" s="13" t="n">
        <v>0.526598570580527</v>
      </c>
      <c r="F224" s="16" t="n">
        <v>165.877939334051</v>
      </c>
      <c r="G224" s="14" t="n">
        <v>0.463901374656409</v>
      </c>
      <c r="H224" s="15" t="n">
        <v>-0.249201864217242</v>
      </c>
    </row>
    <row r="225">
      <c r="A225" t="s">
        <v>31</v>
      </c>
      <c r="B225" t="s">
        <v>521</v>
      </c>
      <c r="C225" t="s">
        <v>522</v>
      </c>
      <c r="D225" t="s">
        <v>714</v>
      </c>
      <c r="E225" s="13" t="n">
        <v>1.02227699360239</v>
      </c>
      <c r="F225" s="16" t="n">
        <v>173.926718056654</v>
      </c>
      <c r="G225" s="14" t="n">
        <v>0.999390827019096</v>
      </c>
      <c r="H225" s="15" t="n">
        <v>-0.215100503297498</v>
      </c>
    </row>
    <row r="226">
      <c r="A226" t="s">
        <v>31</v>
      </c>
      <c r="B226" t="s">
        <v>521</v>
      </c>
      <c r="C226" t="s">
        <v>523</v>
      </c>
      <c r="D226" t="s">
        <v>714</v>
      </c>
      <c r="E226" s="13" t="n">
        <v>1.03077640640442</v>
      </c>
      <c r="F226" s="16" t="n">
        <v>173.018121733963</v>
      </c>
      <c r="G226" s="14" t="n">
        <v>1.0003154835554</v>
      </c>
      <c r="H226" s="15" t="n">
        <v>-0.248734664571159</v>
      </c>
    </row>
    <row r="227">
      <c r="A227" t="s">
        <v>31</v>
      </c>
      <c r="B227" t="s">
        <v>524</v>
      </c>
      <c r="C227" t="s">
        <v>525</v>
      </c>
      <c r="D227" t="s">
        <v>714</v>
      </c>
      <c r="E227" s="13" t="n">
        <v>0.5</v>
      </c>
      <c r="F227" s="16" t="n">
        <v>17</v>
      </c>
      <c r="G227" s="14" t="n">
        <v>0.414518786277521</v>
      </c>
      <c r="H227" s="15" t="n">
        <v>0.279596451735373</v>
      </c>
    </row>
    <row r="228">
      <c r="A228" t="s">
        <v>30</v>
      </c>
      <c r="B228" t="s">
        <v>526</v>
      </c>
      <c r="C228" t="s">
        <v>527</v>
      </c>
      <c r="D228" t="s">
        <v>714</v>
      </c>
      <c r="E228" s="13" t="n">
        <v>0.499695413509548</v>
      </c>
      <c r="F228" s="16" t="n">
        <v>53</v>
      </c>
      <c r="G228" s="14" t="n">
        <v>-0.137734722493654</v>
      </c>
      <c r="H228" s="15" t="n">
        <v>0.480338060642788</v>
      </c>
    </row>
    <row r="229">
      <c r="A229" t="s">
        <v>30</v>
      </c>
      <c r="B229" t="s">
        <v>526</v>
      </c>
      <c r="C229" t="s">
        <v>528</v>
      </c>
      <c r="D229" t="s">
        <v>714</v>
      </c>
      <c r="E229" s="13" t="n">
        <v>0.4567727288213</v>
      </c>
      <c r="F229" s="16" t="n">
        <v>121</v>
      </c>
      <c r="G229" s="14" t="n">
        <v>-0.214441806837712</v>
      </c>
      <c r="H229" s="15" t="n">
        <v>-0.403306381396371</v>
      </c>
    </row>
    <row r="230">
      <c r="A230" t="s">
        <v>31</v>
      </c>
      <c r="B230" t="s">
        <v>529</v>
      </c>
      <c r="C230" t="s">
        <v>530</v>
      </c>
      <c r="D230" t="s">
        <v>714</v>
      </c>
      <c r="E230" s="13" t="n">
        <v>0.502015464004928</v>
      </c>
      <c r="F230" s="16" t="n">
        <v>166.447308105937</v>
      </c>
      <c r="G230" s="14" t="n">
        <v>0.446879103325088</v>
      </c>
      <c r="H230" s="15" t="n">
        <v>-0.228732579908172</v>
      </c>
    </row>
    <row r="231">
      <c r="A231" t="s">
        <v>31</v>
      </c>
      <c r="B231" t="s">
        <v>529</v>
      </c>
      <c r="C231" t="s">
        <v>531</v>
      </c>
      <c r="D231" t="s">
        <v>714</v>
      </c>
      <c r="E231" s="13" t="n">
        <v>0.5</v>
      </c>
      <c r="F231" s="16" t="n">
        <v>43</v>
      </c>
      <c r="G231" s="14" t="n">
        <v>0.0348782368720628</v>
      </c>
      <c r="H231" s="15" t="n">
        <v>0.498782025129912</v>
      </c>
    </row>
    <row r="232">
      <c r="A232" t="s">
        <v>31</v>
      </c>
      <c r="B232" t="s">
        <v>532</v>
      </c>
      <c r="C232" t="s">
        <v>533</v>
      </c>
      <c r="D232" t="s">
        <v>714</v>
      </c>
      <c r="E232" s="13" t="n">
        <v>0.5</v>
      </c>
      <c r="F232" s="16" t="n">
        <v>141</v>
      </c>
      <c r="G232" s="14" t="n">
        <v>0.10395584540888</v>
      </c>
      <c r="H232" s="15" t="n">
        <v>-0.489073800366903</v>
      </c>
    </row>
    <row r="233">
      <c r="A233" t="s">
        <v>30</v>
      </c>
      <c r="B233" t="s">
        <v>534</v>
      </c>
      <c r="C233" t="s">
        <v>535</v>
      </c>
      <c r="D233" t="s">
        <v>714</v>
      </c>
      <c r="E233" s="13" t="n">
        <v>1.0520701103791</v>
      </c>
      <c r="F233" s="16" t="n">
        <v>175.181999176586</v>
      </c>
      <c r="G233" s="14" t="n">
        <v>1.03722650973476</v>
      </c>
      <c r="H233" s="15" t="n">
        <v>-0.176104186936428</v>
      </c>
    </row>
    <row r="234">
      <c r="A234" t="s">
        <v>31</v>
      </c>
      <c r="B234" t="s">
        <v>536</v>
      </c>
      <c r="C234" t="s">
        <v>537</v>
      </c>
      <c r="D234" t="s">
        <v>714</v>
      </c>
      <c r="E234" s="13" t="n">
        <v>0.502050086382721</v>
      </c>
      <c r="F234" s="16" t="n">
        <v>2.50817986408419</v>
      </c>
      <c r="G234" s="14" t="n">
        <v>0.500127119987179</v>
      </c>
      <c r="H234" s="15" t="n">
        <v>0.0438993518201324</v>
      </c>
    </row>
    <row r="235">
      <c r="A235" t="s">
        <v>30</v>
      </c>
      <c r="B235" t="s">
        <v>538</v>
      </c>
      <c r="C235" t="s">
        <v>539</v>
      </c>
      <c r="D235" t="s">
        <v>714</v>
      </c>
      <c r="E235" s="13" t="n">
        <v>1.10231597253124</v>
      </c>
      <c r="F235" s="16" t="n">
        <v>7.47825759066065</v>
      </c>
      <c r="G235" s="14" t="n">
        <v>1.06497168956727</v>
      </c>
      <c r="H235" s="15" t="n">
        <v>0.284492185688345</v>
      </c>
    </row>
    <row r="236">
      <c r="A236" t="s">
        <v>31</v>
      </c>
      <c r="B236" t="s">
        <v>540</v>
      </c>
      <c r="C236" t="s">
        <v>541</v>
      </c>
      <c r="D236" t="s">
        <v>714</v>
      </c>
      <c r="E236" s="13" t="n">
        <v>0.5</v>
      </c>
      <c r="F236" s="16" t="n">
        <v>82</v>
      </c>
      <c r="G236" s="14" t="n">
        <v>-0.48063084796916</v>
      </c>
      <c r="H236" s="15" t="n">
        <v>0.137818677908499</v>
      </c>
    </row>
    <row r="237">
      <c r="A237" t="s">
        <v>31</v>
      </c>
      <c r="B237" t="s">
        <v>542</v>
      </c>
      <c r="C237" t="s">
        <v>543</v>
      </c>
      <c r="D237" t="s">
        <v>714</v>
      </c>
      <c r="E237" s="13" t="n">
        <v>0.935908103065986</v>
      </c>
      <c r="F237" s="16" t="n">
        <v>162.275107756497</v>
      </c>
      <c r="G237" s="14" t="n">
        <v>0.762413341825688</v>
      </c>
      <c r="H237" s="15" t="n">
        <v>-0.542816611380638</v>
      </c>
    </row>
    <row r="238">
      <c r="A238" t="s">
        <v>31</v>
      </c>
      <c r="B238" t="s">
        <v>542</v>
      </c>
      <c r="C238" t="s">
        <v>544</v>
      </c>
      <c r="D238" t="s">
        <v>714</v>
      </c>
      <c r="E238" s="13" t="n">
        <v>0.895014992078182</v>
      </c>
      <c r="F238" s="16" t="n">
        <v>23.1390696269879</v>
      </c>
      <c r="G238" s="14" t="n">
        <v>0.618596953681288</v>
      </c>
      <c r="H238" s="15" t="n">
        <v>0.64683046073986</v>
      </c>
    </row>
    <row r="239">
      <c r="A239" t="s">
        <v>31</v>
      </c>
      <c r="B239" t="s">
        <v>545</v>
      </c>
      <c r="C239" t="s">
        <v>546</v>
      </c>
      <c r="D239" t="s">
        <v>714</v>
      </c>
      <c r="E239" s="13" t="n">
        <v>0.476439885157176</v>
      </c>
      <c r="F239" s="16" t="n">
        <v>24.7716236401297</v>
      </c>
      <c r="G239" s="14" t="n">
        <v>0.309149407971319</v>
      </c>
      <c r="H239" s="15" t="n">
        <v>0.362521182442579</v>
      </c>
    </row>
    <row r="240">
      <c r="A240" t="s">
        <v>31</v>
      </c>
      <c r="B240" t="s">
        <v>545</v>
      </c>
      <c r="C240" t="s">
        <v>547</v>
      </c>
      <c r="D240" t="s">
        <v>714</v>
      </c>
      <c r="E240" s="13" t="n">
        <v>0.637300281150085</v>
      </c>
      <c r="F240" s="16" t="n">
        <v>143.335724421154</v>
      </c>
      <c r="G240" s="14" t="n">
        <v>0.182830737662829</v>
      </c>
      <c r="H240" s="15" t="n">
        <v>-0.610511727749471</v>
      </c>
    </row>
    <row r="241">
      <c r="A241" t="s">
        <v>30</v>
      </c>
      <c r="B241" t="s">
        <v>548</v>
      </c>
      <c r="C241" t="s">
        <v>549</v>
      </c>
      <c r="D241" t="s">
        <v>714</v>
      </c>
      <c r="E241" s="13" t="n">
        <v>0.5</v>
      </c>
      <c r="F241" s="16" t="n">
        <v>41</v>
      </c>
      <c r="G241" s="14" t="n">
        <v>0.0695865504800331</v>
      </c>
      <c r="H241" s="15" t="n">
        <v>0.495134034370785</v>
      </c>
    </row>
    <row r="242">
      <c r="A242" t="s">
        <v>30</v>
      </c>
      <c r="B242" t="s">
        <v>550</v>
      </c>
      <c r="C242" t="s">
        <v>551</v>
      </c>
      <c r="D242" t="s">
        <v>714</v>
      </c>
      <c r="E242" s="13" t="n">
        <v>0.75</v>
      </c>
      <c r="F242" s="16" t="n">
        <v>100</v>
      </c>
      <c r="G242" s="14" t="n">
        <v>-0.704769465589431</v>
      </c>
      <c r="H242" s="15" t="n">
        <v>-0.256515107494252</v>
      </c>
    </row>
    <row r="243">
      <c r="A243" t="s">
        <v>30</v>
      </c>
      <c r="B243" t="s">
        <v>550</v>
      </c>
      <c r="C243" t="s">
        <v>552</v>
      </c>
      <c r="D243" t="s">
        <v>714</v>
      </c>
      <c r="E243" s="13" t="n">
        <v>0.5</v>
      </c>
      <c r="F243" s="16" t="n">
        <v>96</v>
      </c>
      <c r="G243" s="14" t="n">
        <v>-0.489073800366903</v>
      </c>
      <c r="H243" s="15" t="n">
        <v>-0.10395584540888</v>
      </c>
    </row>
    <row r="244">
      <c r="A244" t="s">
        <v>30</v>
      </c>
      <c r="B244" t="s">
        <v>553</v>
      </c>
      <c r="C244" t="s">
        <v>554</v>
      </c>
      <c r="D244" t="s">
        <v>714</v>
      </c>
      <c r="E244" s="13" t="n">
        <v>1.4176700681324</v>
      </c>
      <c r="F244" s="16" t="n">
        <v>159.993901639639</v>
      </c>
      <c r="G244" s="14" t="n">
        <v>1.08580427051353</v>
      </c>
      <c r="H244" s="15" t="n">
        <v>-0.911491913410712</v>
      </c>
    </row>
    <row r="245">
      <c r="A245" t="s">
        <v>30</v>
      </c>
      <c r="B245" t="s">
        <v>553</v>
      </c>
      <c r="C245" t="s">
        <v>555</v>
      </c>
      <c r="D245" t="s">
        <v>714</v>
      </c>
      <c r="E245" s="13" t="n">
        <v>2.0068882637799</v>
      </c>
      <c r="F245" s="16" t="n">
        <v>32.4242010017015</v>
      </c>
      <c r="G245" s="14" t="n">
        <v>0.852957143946372</v>
      </c>
      <c r="H245" s="15" t="n">
        <v>1.81660799675889</v>
      </c>
    </row>
    <row r="246">
      <c r="A246" t="s">
        <v>31</v>
      </c>
      <c r="B246" t="s">
        <v>556</v>
      </c>
      <c r="C246" t="s">
        <v>557</v>
      </c>
      <c r="D246" t="s">
        <v>714</v>
      </c>
      <c r="E246" s="13" t="n">
        <v>0.355968809912682</v>
      </c>
      <c r="F246" s="16" t="n">
        <v>22.0150795917093</v>
      </c>
      <c r="G246" s="14" t="n">
        <v>0.255932336394368</v>
      </c>
      <c r="H246" s="15" t="n">
        <v>0.247411464605769</v>
      </c>
    </row>
    <row r="247">
      <c r="A247" t="s">
        <v>31</v>
      </c>
      <c r="B247" t="s">
        <v>558</v>
      </c>
      <c r="C247" t="s">
        <v>559</v>
      </c>
      <c r="D247" t="s">
        <v>714</v>
      </c>
      <c r="E247" s="13" t="n">
        <v>0.383022221559489</v>
      </c>
      <c r="F247" s="16" t="n">
        <v>155</v>
      </c>
      <c r="G247" s="14" t="n">
        <v>0.246201938253052</v>
      </c>
      <c r="H247" s="15" t="n">
        <v>-0.293412044416733</v>
      </c>
    </row>
    <row r="248">
      <c r="A248" t="s">
        <v>31</v>
      </c>
      <c r="B248" t="s">
        <v>560</v>
      </c>
      <c r="C248" t="s">
        <v>561</v>
      </c>
      <c r="D248" t="s">
        <v>714</v>
      </c>
      <c r="E248" s="13" t="n">
        <v>1.43511791978318</v>
      </c>
      <c r="F248" s="16" t="n">
        <v>170.257115150736</v>
      </c>
      <c r="G248" s="14" t="n">
        <v>1.35292063416745</v>
      </c>
      <c r="H248" s="15" t="n">
        <v>-0.478716201236958</v>
      </c>
    </row>
    <row r="249">
      <c r="A249" t="s">
        <v>30</v>
      </c>
      <c r="B249" t="s">
        <v>562</v>
      </c>
      <c r="C249" t="s">
        <v>563</v>
      </c>
      <c r="D249" t="s">
        <v>714</v>
      </c>
      <c r="E249" s="13" t="n">
        <v>0.644439804169846</v>
      </c>
      <c r="F249" s="16" t="n">
        <v>44.3802114236752</v>
      </c>
      <c r="G249" s="14" t="n">
        <v>0.0139411759252527</v>
      </c>
      <c r="H249" s="15" t="n">
        <v>0.644288991689514</v>
      </c>
    </row>
    <row r="250">
      <c r="A250" t="s">
        <v>30</v>
      </c>
      <c r="B250" t="s">
        <v>562</v>
      </c>
      <c r="C250" t="s">
        <v>564</v>
      </c>
      <c r="D250" t="s">
        <v>714</v>
      </c>
      <c r="E250" s="13" t="n">
        <v>0.709937399197806</v>
      </c>
      <c r="F250" s="16" t="n">
        <v>136.458755582983</v>
      </c>
      <c r="G250" s="14" t="n">
        <v>0.0361345171395495</v>
      </c>
      <c r="H250" s="15" t="n">
        <v>-0.70901721237981</v>
      </c>
    </row>
    <row r="251">
      <c r="A251" t="s">
        <v>30</v>
      </c>
      <c r="B251" t="s">
        <v>565</v>
      </c>
      <c r="C251" t="s">
        <v>566</v>
      </c>
      <c r="D251" t="s">
        <v>714</v>
      </c>
      <c r="E251" s="13" t="n">
        <v>0.649686683484639</v>
      </c>
      <c r="F251" s="16" t="n">
        <v>57.8829487549767</v>
      </c>
      <c r="G251" s="14" t="n">
        <v>-0.282415651575588</v>
      </c>
      <c r="H251" s="15" t="n">
        <v>0.585093314303287</v>
      </c>
    </row>
    <row r="252">
      <c r="A252" t="s">
        <v>30</v>
      </c>
      <c r="B252" t="s">
        <v>567</v>
      </c>
      <c r="C252" t="s">
        <v>568</v>
      </c>
      <c r="D252" t="s">
        <v>714</v>
      </c>
      <c r="E252" s="13" t="n">
        <v>0.822915495576566</v>
      </c>
      <c r="F252" s="16" t="n">
        <v>72.2459279105828</v>
      </c>
      <c r="G252" s="14" t="n">
        <v>-0.669880342804633</v>
      </c>
      <c r="H252" s="15" t="n">
        <v>0.477964684034262</v>
      </c>
    </row>
    <row r="253">
      <c r="A253" t="s">
        <v>30</v>
      </c>
      <c r="B253" t="s">
        <v>567</v>
      </c>
      <c r="C253" t="s">
        <v>569</v>
      </c>
      <c r="D253" t="s">
        <v>714</v>
      </c>
      <c r="E253" s="13" t="n">
        <v>0.75</v>
      </c>
      <c r="F253" s="16" t="n">
        <v>93</v>
      </c>
      <c r="G253" s="14" t="n">
        <v>-0.745891421526205</v>
      </c>
      <c r="H253" s="15" t="n">
        <v>-0.07839634745074</v>
      </c>
    </row>
    <row r="254">
      <c r="A254" t="s">
        <v>31</v>
      </c>
      <c r="B254" t="s">
        <v>570</v>
      </c>
      <c r="C254" t="s">
        <v>571</v>
      </c>
      <c r="D254" t="s">
        <v>714</v>
      </c>
      <c r="E254" s="13" t="n">
        <v>1.25</v>
      </c>
      <c r="F254" s="16" t="n">
        <v>98</v>
      </c>
      <c r="G254" s="14" t="n">
        <v>-1.2015771199229</v>
      </c>
      <c r="H254" s="15" t="n">
        <v>-0.344546694771249</v>
      </c>
    </row>
    <row r="255">
      <c r="A255" t="s">
        <v>31</v>
      </c>
      <c r="B255" t="s">
        <v>570</v>
      </c>
      <c r="C255" t="s">
        <v>572</v>
      </c>
      <c r="D255" t="s">
        <v>714</v>
      </c>
      <c r="E255" s="13" t="n">
        <v>0.467812303863443</v>
      </c>
      <c r="F255" s="16" t="n">
        <v>95.8510083272988</v>
      </c>
      <c r="G255" s="14" t="n">
        <v>-0.458089139711545</v>
      </c>
      <c r="H255" s="15" t="n">
        <v>-0.0948825153774825</v>
      </c>
    </row>
    <row r="256">
      <c r="A256" t="s">
        <v>31</v>
      </c>
      <c r="B256" t="s">
        <v>573</v>
      </c>
      <c r="C256" t="s">
        <v>574</v>
      </c>
      <c r="D256" t="s">
        <v>714</v>
      </c>
      <c r="E256" s="13" t="n">
        <v>0.749086426149926</v>
      </c>
      <c r="F256" s="16" t="n">
        <v>160.999593471956</v>
      </c>
      <c r="G256" s="14" t="n">
        <v>0.590281614698249</v>
      </c>
      <c r="H256" s="15" t="n">
        <v>-0.461192030710957</v>
      </c>
    </row>
    <row r="257">
      <c r="A257" t="s">
        <v>31</v>
      </c>
      <c r="B257" t="s">
        <v>573</v>
      </c>
      <c r="C257" t="s">
        <v>575</v>
      </c>
      <c r="D257" t="s">
        <v>714</v>
      </c>
      <c r="E257" s="13" t="n">
        <v>1.49918779686196</v>
      </c>
      <c r="F257" s="16" t="n">
        <v>25.6665462750858</v>
      </c>
      <c r="G257" s="14" t="n">
        <v>0.936680235832776</v>
      </c>
      <c r="H257" s="15" t="n">
        <v>1.17055294030645</v>
      </c>
    </row>
    <row r="258">
      <c r="A258" t="s">
        <v>30</v>
      </c>
      <c r="B258" t="s">
        <v>576</v>
      </c>
      <c r="C258" t="s">
        <v>577</v>
      </c>
      <c r="D258" t="s">
        <v>714</v>
      </c>
      <c r="E258" s="13" t="n">
        <v>0.25</v>
      </c>
      <c r="F258" s="16" t="n">
        <v>13</v>
      </c>
      <c r="G258" s="14" t="n">
        <v>0.224698511574792</v>
      </c>
      <c r="H258" s="15" t="n">
        <v>0.109592786697269</v>
      </c>
    </row>
    <row r="259">
      <c r="A259" t="s">
        <v>30</v>
      </c>
      <c r="B259" t="s">
        <v>576</v>
      </c>
      <c r="C259" t="s">
        <v>578</v>
      </c>
      <c r="D259" t="s">
        <v>714</v>
      </c>
      <c r="E259" s="13" t="n">
        <v>1.03077640640442</v>
      </c>
      <c r="F259" s="16" t="n">
        <v>7.01812173396324</v>
      </c>
      <c r="G259" s="14" t="n">
        <v>1</v>
      </c>
      <c r="H259" s="15" t="n">
        <v>0.25</v>
      </c>
    </row>
    <row r="260">
      <c r="A260" t="s">
        <v>31</v>
      </c>
      <c r="B260" t="s">
        <v>579</v>
      </c>
      <c r="C260" t="s">
        <v>580</v>
      </c>
      <c r="D260" t="s">
        <v>714</v>
      </c>
      <c r="E260" s="13" t="n">
        <v>0.64425193195294</v>
      </c>
      <c r="F260" s="16" t="n">
        <v>145.580036023002</v>
      </c>
      <c r="G260" s="14" t="n">
        <v>0.232558692872651</v>
      </c>
      <c r="H260" s="15" t="n">
        <v>-0.600813620180552</v>
      </c>
    </row>
    <row r="261">
      <c r="A261" t="s">
        <v>31</v>
      </c>
      <c r="B261" t="s">
        <v>579</v>
      </c>
      <c r="C261" t="s">
        <v>581</v>
      </c>
      <c r="D261" t="s">
        <v>714</v>
      </c>
      <c r="E261" s="13" t="n">
        <v>0.5</v>
      </c>
      <c r="F261" s="16" t="n">
        <v>69</v>
      </c>
      <c r="G261" s="14" t="n">
        <v>-0.371572412738697</v>
      </c>
      <c r="H261" s="15" t="n">
        <v>0.334565303179429</v>
      </c>
    </row>
    <row r="262">
      <c r="A262" t="s">
        <v>30</v>
      </c>
      <c r="B262" t="s">
        <v>582</v>
      </c>
      <c r="C262" t="s">
        <v>583</v>
      </c>
      <c r="D262" t="s">
        <v>714</v>
      </c>
      <c r="E262" s="13" t="n">
        <v>0.500228387706894</v>
      </c>
      <c r="F262" s="16" t="n">
        <v>2.49969556803006</v>
      </c>
      <c r="G262" s="14" t="n">
        <v>0.498325330940094</v>
      </c>
      <c r="H262" s="15" t="n">
        <v>0.0435924811324685</v>
      </c>
    </row>
    <row r="263">
      <c r="A263" t="s">
        <v>30</v>
      </c>
      <c r="B263" t="s">
        <v>582</v>
      </c>
      <c r="C263" t="s">
        <v>584</v>
      </c>
      <c r="D263" t="s">
        <v>714</v>
      </c>
      <c r="E263" s="13" t="n">
        <v>0.511017712654367</v>
      </c>
      <c r="F263" s="16" t="n">
        <v>3.39852921854602</v>
      </c>
      <c r="G263" s="14" t="n">
        <v>0.507426068431001</v>
      </c>
      <c r="H263" s="15" t="n">
        <v>0.0604804738999169</v>
      </c>
    </row>
    <row r="264">
      <c r="A264" t="s">
        <v>31</v>
      </c>
      <c r="B264" t="s">
        <v>585</v>
      </c>
      <c r="C264" t="s">
        <v>586</v>
      </c>
      <c r="D264" t="s">
        <v>714</v>
      </c>
      <c r="E264" s="13" t="n">
        <v>1.96647961701536</v>
      </c>
      <c r="F264" s="16" t="n">
        <v>7.93144331081421</v>
      </c>
      <c r="G264" s="14" t="n">
        <v>1.89159325136882</v>
      </c>
      <c r="H264" s="15" t="n">
        <v>0.537510051545828</v>
      </c>
    </row>
    <row r="265">
      <c r="A265" t="s">
        <v>31</v>
      </c>
      <c r="B265" t="s">
        <v>585</v>
      </c>
      <c r="C265" t="s">
        <v>587</v>
      </c>
      <c r="D265" t="s">
        <v>714</v>
      </c>
      <c r="E265" s="13" t="n">
        <v>1.58476847815018</v>
      </c>
      <c r="F265" s="16" t="n">
        <v>15.5814498805939</v>
      </c>
      <c r="G265" s="14" t="n">
        <v>1.35608561711037</v>
      </c>
      <c r="H265" s="15" t="n">
        <v>0.820074952918825</v>
      </c>
    </row>
    <row r="266">
      <c r="A266" t="s">
        <v>31</v>
      </c>
      <c r="B266" t="s">
        <v>588</v>
      </c>
      <c r="C266" t="s">
        <v>589</v>
      </c>
      <c r="D266" t="s">
        <v>714</v>
      </c>
      <c r="E266" s="13" t="n">
        <v>1.12144291754739</v>
      </c>
      <c r="F266" s="16" t="n">
        <v>162.80487409231</v>
      </c>
      <c r="G266" s="14" t="n">
        <v>0.925425471107142</v>
      </c>
      <c r="H266" s="15" t="n">
        <v>-0.63342080384475</v>
      </c>
    </row>
    <row r="267">
      <c r="A267" t="s">
        <v>31</v>
      </c>
      <c r="B267" t="s">
        <v>590</v>
      </c>
      <c r="C267" t="s">
        <v>591</v>
      </c>
      <c r="D267" t="s">
        <v>714</v>
      </c>
      <c r="E267" s="13" t="n">
        <v>1.54625235568155</v>
      </c>
      <c r="F267" s="16" t="n">
        <v>1.62653744308195</v>
      </c>
      <c r="G267" s="14" t="n">
        <v>1.54376076575685</v>
      </c>
      <c r="H267" s="15" t="n">
        <v>0.0877442052819708</v>
      </c>
    </row>
    <row r="268">
      <c r="A268" t="s">
        <v>31</v>
      </c>
      <c r="B268" t="s">
        <v>590</v>
      </c>
      <c r="C268" t="s">
        <v>592</v>
      </c>
      <c r="D268" t="s">
        <v>714</v>
      </c>
      <c r="E268" s="13" t="n">
        <v>1.45981456983421</v>
      </c>
      <c r="F268" s="16" t="n">
        <v>157.782535675125</v>
      </c>
      <c r="G268" s="14" t="n">
        <v>1.04237478086034</v>
      </c>
      <c r="H268" s="15" t="n">
        <v>-1.02201438078268</v>
      </c>
    </row>
    <row r="269">
      <c r="A269" t="s">
        <v>30</v>
      </c>
      <c r="B269" t="s">
        <v>593</v>
      </c>
      <c r="C269" t="s">
        <v>594</v>
      </c>
      <c r="D269" t="s">
        <v>714</v>
      </c>
      <c r="E269" s="13" t="n">
        <v>0.372606236374609</v>
      </c>
      <c r="F269" s="16" t="n">
        <v>58.429007742695</v>
      </c>
      <c r="G269" s="14" t="n">
        <v>-0.168336458018098</v>
      </c>
      <c r="H269" s="15" t="n">
        <v>0.332412761919833</v>
      </c>
    </row>
    <row r="270">
      <c r="A270" t="s">
        <v>30</v>
      </c>
      <c r="B270" t="s">
        <v>593</v>
      </c>
      <c r="C270" t="s">
        <v>595</v>
      </c>
      <c r="D270" t="s">
        <v>714</v>
      </c>
      <c r="E270" s="13" t="n">
        <v>0.544639035015027</v>
      </c>
      <c r="F270" s="16" t="n">
        <v>96.5</v>
      </c>
      <c r="G270" s="14" t="n">
        <v>-0.53067997183216</v>
      </c>
      <c r="H270" s="15" t="n">
        <v>-0.122517125163456</v>
      </c>
    </row>
    <row r="271">
      <c r="A271" t="s">
        <v>31</v>
      </c>
      <c r="B271" t="s">
        <v>596</v>
      </c>
      <c r="C271" t="s">
        <v>597</v>
      </c>
      <c r="D271" t="s">
        <v>714</v>
      </c>
      <c r="E271" s="13" t="n">
        <v>0.5</v>
      </c>
      <c r="F271" s="16" t="n">
        <v>140</v>
      </c>
      <c r="G271" s="14" t="n">
        <v>0.086824088833465</v>
      </c>
      <c r="H271" s="15" t="n">
        <v>-0.492403876506104</v>
      </c>
    </row>
    <row r="272">
      <c r="A272" t="s">
        <v>31</v>
      </c>
      <c r="B272" t="s">
        <v>596</v>
      </c>
      <c r="C272" t="s">
        <v>598</v>
      </c>
      <c r="D272" t="s">
        <v>714</v>
      </c>
      <c r="E272" s="13" t="n">
        <v>0.75</v>
      </c>
      <c r="F272" s="16" t="n">
        <v>41</v>
      </c>
      <c r="G272" s="14" t="n">
        <v>0.10437982572005</v>
      </c>
      <c r="H272" s="15" t="n">
        <v>0.742701051556178</v>
      </c>
    </row>
    <row r="273">
      <c r="A273" t="s">
        <v>31</v>
      </c>
      <c r="B273" t="s">
        <v>599</v>
      </c>
      <c r="C273" t="s">
        <v>600</v>
      </c>
      <c r="D273" t="s">
        <v>714</v>
      </c>
      <c r="E273" s="13" t="n">
        <v>1.36349885254258</v>
      </c>
      <c r="F273" s="16" t="n">
        <v>177.106065766893</v>
      </c>
      <c r="G273" s="14" t="n">
        <v>1.35654784952205</v>
      </c>
      <c r="H273" s="15" t="n">
        <v>-0.137502919394635</v>
      </c>
    </row>
    <row r="274">
      <c r="A274" t="s">
        <v>31</v>
      </c>
      <c r="B274" t="s">
        <v>599</v>
      </c>
      <c r="C274" t="s">
        <v>601</v>
      </c>
      <c r="D274" t="s">
        <v>714</v>
      </c>
      <c r="E274" s="13" t="n">
        <v>1.25018273853692</v>
      </c>
      <c r="F274" s="16" t="n">
        <v>164.800068218177</v>
      </c>
      <c r="G274" s="14" t="n">
        <v>1.07830120746193</v>
      </c>
      <c r="H274" s="15" t="n">
        <v>-0.632632109303527</v>
      </c>
    </row>
    <row r="275">
      <c r="A275" t="s">
        <v>31</v>
      </c>
      <c r="B275" t="s">
        <v>602</v>
      </c>
      <c r="C275" t="s">
        <v>603</v>
      </c>
      <c r="D275" t="s">
        <v>714</v>
      </c>
      <c r="E275" s="13" t="n">
        <v>0.419335283972712</v>
      </c>
      <c r="F275" s="16" t="n">
        <v>73.5</v>
      </c>
      <c r="G275" s="14" t="n">
        <v>-0.35168416076895</v>
      </c>
      <c r="H275" s="15" t="n">
        <v>0.22838636441065</v>
      </c>
    </row>
    <row r="276">
      <c r="A276" t="s">
        <v>31</v>
      </c>
      <c r="B276" t="s">
        <v>604</v>
      </c>
      <c r="C276" t="s">
        <v>605</v>
      </c>
      <c r="D276" t="s">
        <v>714</v>
      </c>
      <c r="E276" s="13" t="n">
        <v>0.278526201287281</v>
      </c>
      <c r="F276" s="16" t="n">
        <v>173.938993572167</v>
      </c>
      <c r="G276" s="14" t="n">
        <v>0.272315799470584</v>
      </c>
      <c r="H276" s="15" t="n">
        <v>-0.0584888892202552</v>
      </c>
    </row>
    <row r="277">
      <c r="A277" t="s">
        <v>30</v>
      </c>
      <c r="B277" t="s">
        <v>606</v>
      </c>
      <c r="C277" t="s">
        <v>607</v>
      </c>
      <c r="D277" t="s">
        <v>714</v>
      </c>
      <c r="E277" s="13" t="n">
        <v>0.257484099988617</v>
      </c>
      <c r="F277" s="16" t="n">
        <v>160.146759548539</v>
      </c>
      <c r="G277" s="14" t="n">
        <v>0.198089546695742</v>
      </c>
      <c r="H277" s="15" t="n">
        <v>-0.164494964168583</v>
      </c>
    </row>
    <row r="278">
      <c r="A278" t="s">
        <v>30</v>
      </c>
      <c r="B278" t="s">
        <v>606</v>
      </c>
      <c r="C278" t="s">
        <v>608</v>
      </c>
      <c r="D278" t="s">
        <v>714</v>
      </c>
      <c r="E278" s="13" t="n">
        <v>0.251215022311652</v>
      </c>
      <c r="F278" s="16" t="n">
        <v>22.990311202362</v>
      </c>
      <c r="G278" s="14" t="n">
        <v>0.174569724337017</v>
      </c>
      <c r="H278" s="15" t="n">
        <v>0.180649934348015</v>
      </c>
    </row>
    <row r="279">
      <c r="A279" t="s">
        <v>31</v>
      </c>
      <c r="B279" t="s">
        <v>609</v>
      </c>
      <c r="C279" t="s">
        <v>610</v>
      </c>
      <c r="D279" t="s">
        <v>714</v>
      </c>
      <c r="E279" s="13" t="n">
        <v>1.31663590678738</v>
      </c>
      <c r="F279" s="16" t="n">
        <v>10.3886807553051</v>
      </c>
      <c r="G279" s="14" t="n">
        <v>1.23100969126526</v>
      </c>
      <c r="H279" s="15" t="n">
        <v>0.467060222083663</v>
      </c>
    </row>
    <row r="280">
      <c r="A280" t="s">
        <v>30</v>
      </c>
      <c r="B280" t="s">
        <v>611</v>
      </c>
      <c r="C280" t="s">
        <v>612</v>
      </c>
      <c r="D280" t="s">
        <v>714</v>
      </c>
      <c r="E280" s="13" t="n">
        <v>0.25</v>
      </c>
      <c r="F280" s="16" t="n">
        <v>35</v>
      </c>
      <c r="G280" s="14" t="n">
        <v>0.0855050358314173</v>
      </c>
      <c r="H280" s="15" t="n">
        <v>0.234923155196477</v>
      </c>
    </row>
    <row r="281">
      <c r="A281" t="s">
        <v>30</v>
      </c>
      <c r="B281" t="s">
        <v>611</v>
      </c>
      <c r="C281" t="s">
        <v>613</v>
      </c>
      <c r="D281" t="s">
        <v>714</v>
      </c>
      <c r="E281" s="13" t="n">
        <v>0.25</v>
      </c>
      <c r="F281" s="16" t="n">
        <v>147</v>
      </c>
      <c r="G281" s="14" t="n">
        <v>0.10168416076895</v>
      </c>
      <c r="H281" s="15" t="n">
        <v>-0.22838636441065</v>
      </c>
    </row>
    <row r="282">
      <c r="A282" t="s">
        <v>30</v>
      </c>
      <c r="B282" t="s">
        <v>614</v>
      </c>
      <c r="C282" t="s">
        <v>615</v>
      </c>
      <c r="D282" t="s">
        <v>714</v>
      </c>
      <c r="E282" s="13" t="n">
        <v>0.25</v>
      </c>
      <c r="F282" s="16" t="n">
        <v>97</v>
      </c>
      <c r="G282" s="14" t="n">
        <v>-0.242573931568999</v>
      </c>
      <c r="H282" s="15" t="n">
        <v>-0.0604804738999169</v>
      </c>
    </row>
    <row r="283">
      <c r="A283" t="s">
        <v>30</v>
      </c>
      <c r="B283" t="s">
        <v>614</v>
      </c>
      <c r="C283" t="s">
        <v>616</v>
      </c>
      <c r="D283" t="s">
        <v>714</v>
      </c>
      <c r="E283" s="13" t="n">
        <v>0.91361772027557</v>
      </c>
      <c r="F283" s="16" t="n">
        <v>86.4439878018167</v>
      </c>
      <c r="G283" s="14" t="n">
        <v>-0.90658832394784</v>
      </c>
      <c r="H283" s="15" t="n">
        <v>0.113114763329004</v>
      </c>
    </row>
    <row r="284">
      <c r="A284" t="s">
        <v>31</v>
      </c>
      <c r="B284" t="s">
        <v>617</v>
      </c>
      <c r="C284" t="s">
        <v>618</v>
      </c>
      <c r="D284" t="s">
        <v>714</v>
      </c>
      <c r="E284" s="13" t="n">
        <v>0.75</v>
      </c>
      <c r="F284" s="16" t="n">
        <v>21</v>
      </c>
      <c r="G284" s="14" t="n">
        <v>0.557358619108046</v>
      </c>
      <c r="H284" s="15" t="n">
        <v>0.501847954769144</v>
      </c>
    </row>
    <row r="285">
      <c r="A285" t="s">
        <v>31</v>
      </c>
      <c r="B285" t="s">
        <v>617</v>
      </c>
      <c r="C285" t="s">
        <v>619</v>
      </c>
      <c r="D285" t="s">
        <v>714</v>
      </c>
      <c r="E285" s="13" t="n">
        <v>0.518736884733742</v>
      </c>
      <c r="F285" s="16" t="n">
        <v>151.832754782128</v>
      </c>
      <c r="G285" s="14" t="n">
        <v>0.287558427598049</v>
      </c>
      <c r="H285" s="15" t="n">
        <v>-0.431738469794626</v>
      </c>
    </row>
    <row r="286">
      <c r="A286" t="s">
        <v>31</v>
      </c>
      <c r="B286" t="s">
        <v>620</v>
      </c>
      <c r="C286" t="s">
        <v>621</v>
      </c>
      <c r="D286" t="s">
        <v>714</v>
      </c>
      <c r="E286" s="13" t="n">
        <v>0.773848384598658</v>
      </c>
      <c r="F286" s="16" t="n">
        <v>52.4002434336508</v>
      </c>
      <c r="G286" s="14" t="n">
        <v>-0.197682644691906</v>
      </c>
      <c r="H286" s="15" t="n">
        <v>0.748173037694868</v>
      </c>
    </row>
    <row r="287">
      <c r="A287" t="s">
        <v>31</v>
      </c>
      <c r="B287" t="s">
        <v>620</v>
      </c>
      <c r="C287" t="s">
        <v>622</v>
      </c>
      <c r="D287" t="s">
        <v>714</v>
      </c>
      <c r="E287" s="13" t="n">
        <v>0.5</v>
      </c>
      <c r="F287" s="16" t="n">
        <v>141</v>
      </c>
      <c r="G287" s="14" t="n">
        <v>0.10395584540888</v>
      </c>
      <c r="H287" s="15" t="n">
        <v>-0.489073800366903</v>
      </c>
    </row>
    <row r="288">
      <c r="A288" t="s">
        <v>30</v>
      </c>
      <c r="B288" t="s">
        <v>623</v>
      </c>
      <c r="C288" t="s">
        <v>624</v>
      </c>
      <c r="D288" t="s">
        <v>714</v>
      </c>
      <c r="E288" s="13" t="n">
        <v>0.75</v>
      </c>
      <c r="F288" s="16" t="n">
        <v>14</v>
      </c>
      <c r="G288" s="14" t="n">
        <v>0.662210694644195</v>
      </c>
      <c r="H288" s="15" t="n">
        <v>0.352103672089418</v>
      </c>
    </row>
    <row r="289">
      <c r="A289" t="s">
        <v>31</v>
      </c>
      <c r="B289" t="s">
        <v>625</v>
      </c>
      <c r="C289" t="s">
        <v>626</v>
      </c>
      <c r="D289" t="s">
        <v>714</v>
      </c>
      <c r="E289" s="13" t="n">
        <v>0.522125719731641</v>
      </c>
      <c r="F289" s="16" t="n">
        <v>167.712700070341</v>
      </c>
      <c r="G289" s="14" t="n">
        <v>0.474831866343163</v>
      </c>
      <c r="H289" s="15" t="n">
        <v>-0.217140429009323</v>
      </c>
    </row>
    <row r="290">
      <c r="A290" t="s">
        <v>31</v>
      </c>
      <c r="B290" t="s">
        <v>625</v>
      </c>
      <c r="C290" t="s">
        <v>627</v>
      </c>
      <c r="D290" t="s">
        <v>714</v>
      </c>
      <c r="E290" s="13" t="n">
        <v>0.603740930431155</v>
      </c>
      <c r="F290" s="16" t="n">
        <v>13.6647899609804</v>
      </c>
      <c r="G290" s="14" t="n">
        <v>0.536351566165419</v>
      </c>
      <c r="H290" s="15" t="n">
        <v>0.277182446323316</v>
      </c>
    </row>
    <row r="291">
      <c r="A291" t="s">
        <v>31</v>
      </c>
      <c r="B291" t="s">
        <v>628</v>
      </c>
      <c r="C291" t="s">
        <v>629</v>
      </c>
      <c r="D291" t="s">
        <v>714</v>
      </c>
      <c r="E291" s="13" t="n">
        <v>1.14803478587973</v>
      </c>
      <c r="F291" s="16" t="n">
        <v>131.776722239967</v>
      </c>
      <c r="G291" s="14" t="n">
        <v>-0.128897188231649</v>
      </c>
      <c r="H291" s="15" t="n">
        <v>-1.14077578185018</v>
      </c>
    </row>
    <row r="292">
      <c r="A292" t="s">
        <v>31</v>
      </c>
      <c r="B292" t="s">
        <v>628</v>
      </c>
      <c r="C292" t="s">
        <v>630</v>
      </c>
      <c r="D292" t="s">
        <v>714</v>
      </c>
      <c r="E292" s="13" t="n">
        <v>0.751823817337455</v>
      </c>
      <c r="F292" s="16" t="n">
        <v>54.0040475184305</v>
      </c>
      <c r="G292" s="14" t="n">
        <v>-0.2324273566284</v>
      </c>
      <c r="H292" s="15" t="n">
        <v>0.714994109211116</v>
      </c>
    </row>
    <row r="293">
      <c r="A293" t="s">
        <v>30</v>
      </c>
      <c r="B293" t="s">
        <v>631</v>
      </c>
      <c r="C293" t="s">
        <v>632</v>
      </c>
      <c r="D293" t="s">
        <v>714</v>
      </c>
      <c r="E293" s="13" t="n">
        <v>1.72205217881959</v>
      </c>
      <c r="F293" s="16" t="n">
        <v>86.7767222399672</v>
      </c>
      <c r="G293" s="14" t="n">
        <v>-1.71116367277527</v>
      </c>
      <c r="H293" s="15" t="n">
        <v>0.193345782347473</v>
      </c>
    </row>
    <row r="294">
      <c r="A294" t="s">
        <v>30</v>
      </c>
      <c r="B294" t="s">
        <v>631</v>
      </c>
      <c r="C294" t="s">
        <v>633</v>
      </c>
      <c r="D294" t="s">
        <v>714</v>
      </c>
      <c r="E294" s="13" t="n">
        <v>1.52923353660853</v>
      </c>
      <c r="F294" s="16" t="n">
        <v>93.0548174440788</v>
      </c>
      <c r="G294" s="14" t="n">
        <v>-1.52054758287277</v>
      </c>
      <c r="H294" s="15" t="n">
        <v>-0.162758279998327</v>
      </c>
    </row>
    <row r="295">
      <c r="A295" t="s">
        <v>31</v>
      </c>
      <c r="B295" t="s">
        <v>634</v>
      </c>
      <c r="C295" t="s">
        <v>635</v>
      </c>
      <c r="D295" t="s">
        <v>714</v>
      </c>
      <c r="E295" s="13" t="n">
        <v>0.25</v>
      </c>
      <c r="F295" s="16" t="n">
        <v>4.00000000000001</v>
      </c>
      <c r="G295" s="14" t="n">
        <v>0.247567017185393</v>
      </c>
      <c r="H295" s="15" t="n">
        <v>0.0347932752400164</v>
      </c>
    </row>
    <row r="296">
      <c r="A296" t="s">
        <v>30</v>
      </c>
      <c r="B296" t="s">
        <v>636</v>
      </c>
      <c r="C296" t="s">
        <v>637</v>
      </c>
      <c r="D296" t="s">
        <v>714</v>
      </c>
      <c r="E296" s="13" t="n">
        <v>0.75</v>
      </c>
      <c r="F296" s="16" t="n">
        <v>168</v>
      </c>
      <c r="G296" s="14" t="n">
        <v>0.685159093231951</v>
      </c>
      <c r="H296" s="15" t="n">
        <v>-0.30505248230685</v>
      </c>
    </row>
    <row r="297">
      <c r="A297" t="s">
        <v>30</v>
      </c>
      <c r="B297" t="s">
        <v>636</v>
      </c>
      <c r="C297" t="s">
        <v>638</v>
      </c>
      <c r="D297" t="s">
        <v>714</v>
      </c>
      <c r="E297" s="13" t="n">
        <v>0.75</v>
      </c>
      <c r="F297" s="16" t="n">
        <v>17</v>
      </c>
      <c r="G297" s="14" t="n">
        <v>0.621778179416281</v>
      </c>
      <c r="H297" s="15" t="n">
        <v>0.41939467760306</v>
      </c>
    </row>
    <row r="298">
      <c r="A298" t="s">
        <v>31</v>
      </c>
      <c r="B298" t="s">
        <v>639</v>
      </c>
      <c r="C298" t="s">
        <v>640</v>
      </c>
      <c r="D298" t="s">
        <v>714</v>
      </c>
      <c r="E298" s="13" t="n">
        <v>0.661437827766148</v>
      </c>
      <c r="F298" s="16" t="n">
        <v>138.553302675435</v>
      </c>
      <c r="G298" s="14" t="n">
        <v>0.0818303609604691</v>
      </c>
      <c r="H298" s="15" t="n">
        <v>-0.656356451956617</v>
      </c>
    </row>
    <row r="299">
      <c r="A299" t="s">
        <v>31</v>
      </c>
      <c r="B299" t="s">
        <v>639</v>
      </c>
      <c r="C299" t="s">
        <v>641</v>
      </c>
      <c r="D299" t="s">
        <v>714</v>
      </c>
      <c r="E299" s="13" t="n">
        <v>0.502050086382721</v>
      </c>
      <c r="F299" s="16" t="n">
        <v>62.5081798640842</v>
      </c>
      <c r="G299" s="14" t="n">
        <v>-0.288081513879494</v>
      </c>
      <c r="H299" s="15" t="n">
        <v>0.411173115120379</v>
      </c>
    </row>
    <row r="300">
      <c r="A300" t="s">
        <v>31</v>
      </c>
      <c r="B300" t="s">
        <v>642</v>
      </c>
      <c r="C300" t="s">
        <v>643</v>
      </c>
      <c r="D300" t="s">
        <v>714</v>
      </c>
      <c r="E300" s="13" t="n">
        <v>1.33153863997483</v>
      </c>
      <c r="F300" s="16" t="n">
        <v>156.252952897844</v>
      </c>
      <c r="G300" s="14" t="n">
        <v>0.899675652113511</v>
      </c>
      <c r="H300" s="15" t="n">
        <v>-0.981620532965841</v>
      </c>
    </row>
    <row r="301">
      <c r="A301" t="s">
        <v>31</v>
      </c>
      <c r="B301" t="s">
        <v>642</v>
      </c>
      <c r="C301" t="s">
        <v>644</v>
      </c>
      <c r="D301" t="s">
        <v>714</v>
      </c>
      <c r="E301" s="13" t="n">
        <v>0.617583467196337</v>
      </c>
      <c r="F301" s="16" t="n">
        <v>179.550055104995</v>
      </c>
      <c r="G301" s="14" t="n">
        <v>0.617507296114808</v>
      </c>
      <c r="H301" s="15" t="n">
        <v>-0.00969939169372478</v>
      </c>
    </row>
    <row r="302">
      <c r="A302" t="s">
        <v>31</v>
      </c>
      <c r="B302" t="s">
        <v>645</v>
      </c>
      <c r="C302" t="s">
        <v>646</v>
      </c>
      <c r="D302" t="s">
        <v>714</v>
      </c>
      <c r="E302" s="13" t="n">
        <v>0.25</v>
      </c>
      <c r="F302" s="16" t="n">
        <v>96</v>
      </c>
      <c r="G302" s="14" t="n">
        <v>-0.244536900183451</v>
      </c>
      <c r="H302" s="15" t="n">
        <v>-0.0519779227044398</v>
      </c>
    </row>
    <row r="303">
      <c r="A303" t="s">
        <v>30</v>
      </c>
      <c r="B303" t="s">
        <v>647</v>
      </c>
      <c r="C303" t="s">
        <v>648</v>
      </c>
      <c r="D303" t="s">
        <v>714</v>
      </c>
      <c r="E303" s="13" t="n">
        <v>1.36042415940976</v>
      </c>
      <c r="F303" s="16" t="n">
        <v>3.83686867713337</v>
      </c>
      <c r="G303" s="14" t="n">
        <v>1.3482408955535</v>
      </c>
      <c r="H303" s="15" t="n">
        <v>0.181660070083801</v>
      </c>
    </row>
    <row r="304">
      <c r="A304" t="s">
        <v>31</v>
      </c>
      <c r="B304" t="s">
        <v>649</v>
      </c>
      <c r="C304" t="s">
        <v>650</v>
      </c>
      <c r="D304" t="s">
        <v>714</v>
      </c>
      <c r="E304" s="13" t="n">
        <v>0.480630847969159</v>
      </c>
      <c r="F304" s="16" t="n">
        <v>9</v>
      </c>
      <c r="G304" s="14" t="n">
        <v>0.457107099893534</v>
      </c>
      <c r="H304" s="15" t="n">
        <v>0.148523100043312</v>
      </c>
    </row>
    <row r="305">
      <c r="A305" t="s">
        <v>31</v>
      </c>
      <c r="B305" t="s">
        <v>651</v>
      </c>
      <c r="C305" t="s">
        <v>652</v>
      </c>
      <c r="D305" t="s">
        <v>714</v>
      </c>
      <c r="E305" s="13" t="n">
        <v>0.290023508683951</v>
      </c>
      <c r="F305" s="16" t="n">
        <v>164.737788547731</v>
      </c>
      <c r="G305" s="14" t="n">
        <v>0.249829944937105</v>
      </c>
      <c r="H305" s="15" t="n">
        <v>-0.147304562733382</v>
      </c>
    </row>
    <row r="306">
      <c r="A306" t="s">
        <v>31</v>
      </c>
      <c r="B306" t="s">
        <v>651</v>
      </c>
      <c r="C306" t="s">
        <v>653</v>
      </c>
      <c r="D306" t="s">
        <v>714</v>
      </c>
      <c r="E306" s="13" t="n">
        <v>0.0522642316338267</v>
      </c>
      <c r="F306" s="16" t="n">
        <v>44</v>
      </c>
      <c r="G306" s="14" t="n">
        <v>0.0018239953795635</v>
      </c>
      <c r="H306" s="15" t="n">
        <v>0.0522323936760476</v>
      </c>
    </row>
    <row r="307">
      <c r="A307" t="s">
        <v>31</v>
      </c>
      <c r="B307" t="s">
        <v>654</v>
      </c>
      <c r="C307" t="s">
        <v>655</v>
      </c>
      <c r="D307" t="s">
        <v>714</v>
      </c>
      <c r="E307" s="13" t="n">
        <v>0.730944108089069</v>
      </c>
      <c r="F307" s="16" t="n">
        <v>84.3090284110738</v>
      </c>
      <c r="G307" s="14" t="n">
        <v>-0.716568935739265</v>
      </c>
      <c r="H307" s="15" t="n">
        <v>0.144250648122019</v>
      </c>
    </row>
    <row r="308">
      <c r="A308" t="s">
        <v>31</v>
      </c>
      <c r="B308" t="s">
        <v>654</v>
      </c>
      <c r="C308" t="s">
        <v>656</v>
      </c>
      <c r="D308" t="s">
        <v>714</v>
      </c>
      <c r="E308" s="13" t="n">
        <v>1.02227699360239</v>
      </c>
      <c r="F308" s="16" t="n">
        <v>82.0732819433461</v>
      </c>
      <c r="G308" s="14" t="n">
        <v>-0.983393294480911</v>
      </c>
      <c r="H308" s="15" t="n">
        <v>0.279263101785269</v>
      </c>
    </row>
    <row r="309">
      <c r="A309" t="s">
        <v>31</v>
      </c>
      <c r="B309" t="s">
        <v>657</v>
      </c>
      <c r="C309" t="s">
        <v>658</v>
      </c>
      <c r="D309" t="s">
        <v>714</v>
      </c>
      <c r="E309" s="13" t="n">
        <v>0.567114298099946</v>
      </c>
      <c r="F309" s="16" t="n">
        <v>85.49130095293</v>
      </c>
      <c r="G309" s="14" t="n">
        <v>-0.560105215156857</v>
      </c>
      <c r="H309" s="15" t="n">
        <v>0.0888863041389746</v>
      </c>
    </row>
    <row r="310">
      <c r="A310" t="s">
        <v>31</v>
      </c>
      <c r="B310" t="s">
        <v>657</v>
      </c>
      <c r="C310" t="s">
        <v>659</v>
      </c>
      <c r="D310" t="s">
        <v>714</v>
      </c>
      <c r="E310" s="13" t="n">
        <v>0.252724209679112</v>
      </c>
      <c r="F310" s="16" t="n">
        <v>77.0324549373813</v>
      </c>
      <c r="G310" s="14" t="n">
        <v>-0.227272378823955</v>
      </c>
      <c r="H310" s="15" t="n">
        <v>0.110529597762918</v>
      </c>
    </row>
    <row r="311">
      <c r="A311" t="s">
        <v>30</v>
      </c>
      <c r="B311" t="s">
        <v>660</v>
      </c>
      <c r="C311" t="s">
        <v>661</v>
      </c>
      <c r="D311" t="s">
        <v>714</v>
      </c>
      <c r="E311" s="13" t="n">
        <v>0.756842181131559</v>
      </c>
      <c r="F311" s="16" t="n">
        <v>142.453416442784</v>
      </c>
      <c r="G311" s="14" t="n">
        <v>0.194696166028268</v>
      </c>
      <c r="H311" s="15" t="n">
        <v>-0.731370966113551</v>
      </c>
    </row>
    <row r="312">
      <c r="A312" t="s">
        <v>30</v>
      </c>
      <c r="B312" t="s">
        <v>660</v>
      </c>
      <c r="C312" t="s">
        <v>662</v>
      </c>
      <c r="D312" t="s">
        <v>714</v>
      </c>
      <c r="E312" s="13" t="n">
        <v>0.811166754010867</v>
      </c>
      <c r="F312" s="16" t="n">
        <v>23.7815002997865</v>
      </c>
      <c r="G312" s="14" t="n">
        <v>0.547358382669236</v>
      </c>
      <c r="H312" s="15" t="n">
        <v>0.59865708359147</v>
      </c>
    </row>
    <row r="313">
      <c r="A313" t="s">
        <v>31</v>
      </c>
      <c r="B313" t="s">
        <v>663</v>
      </c>
      <c r="C313" t="s">
        <v>664</v>
      </c>
      <c r="D313" t="s">
        <v>714</v>
      </c>
      <c r="E313" s="13" t="n">
        <v>0.762803481921026</v>
      </c>
      <c r="F313" s="16" t="n">
        <v>165.408504106056</v>
      </c>
      <c r="G313" s="14" t="n">
        <v>0.665978440457208</v>
      </c>
      <c r="H313" s="15" t="n">
        <v>-0.371943367835784</v>
      </c>
    </row>
    <row r="314">
      <c r="A314" t="s">
        <v>31</v>
      </c>
      <c r="B314" t="s">
        <v>663</v>
      </c>
      <c r="C314" t="s">
        <v>665</v>
      </c>
      <c r="D314" t="s">
        <v>714</v>
      </c>
      <c r="E314" s="13" t="n">
        <v>0.678683151370429</v>
      </c>
      <c r="F314" s="16" t="n">
        <v>178.332825703013</v>
      </c>
      <c r="G314" s="14" t="n">
        <v>0.677534227537007</v>
      </c>
      <c r="H314" s="15" t="n">
        <v>-0.0394739213903027</v>
      </c>
    </row>
    <row r="315">
      <c r="A315" t="s">
        <v>31</v>
      </c>
      <c r="B315" t="s">
        <v>666</v>
      </c>
      <c r="C315" t="s">
        <v>667</v>
      </c>
      <c r="D315" t="s">
        <v>714</v>
      </c>
      <c r="E315" s="13" t="n">
        <v>1.39864203431248</v>
      </c>
      <c r="F315" s="16" t="n">
        <v>10.3593720138992</v>
      </c>
      <c r="G315" s="14" t="n">
        <v>1.30818953674867</v>
      </c>
      <c r="H315" s="15" t="n">
        <v>0.494812768718676</v>
      </c>
    </row>
    <row r="316">
      <c r="A316" t="s">
        <v>31</v>
      </c>
      <c r="B316" t="s">
        <v>668</v>
      </c>
      <c r="C316" t="s">
        <v>669</v>
      </c>
      <c r="D316" t="s">
        <v>714</v>
      </c>
      <c r="E316" s="13" t="n">
        <v>0.272319517507513</v>
      </c>
      <c r="F316" s="16" t="n">
        <v>92.5</v>
      </c>
      <c r="G316" s="14" t="n">
        <v>-0.271283259527887</v>
      </c>
      <c r="H316" s="15" t="n">
        <v>-0.0237342098130512</v>
      </c>
    </row>
    <row r="317">
      <c r="A317" t="s">
        <v>31</v>
      </c>
      <c r="B317" t="s">
        <v>668</v>
      </c>
      <c r="C317" t="s">
        <v>670</v>
      </c>
      <c r="D317" t="s">
        <v>714</v>
      </c>
      <c r="E317" s="13" t="n">
        <v>0.745212472749217</v>
      </c>
      <c r="F317" s="16" t="n">
        <v>112.570992257305</v>
      </c>
      <c r="G317" s="14" t="n">
        <v>-0.525637355816999</v>
      </c>
      <c r="H317" s="15" t="n">
        <v>-0.528248994046099</v>
      </c>
    </row>
    <row r="318">
      <c r="A318" t="s">
        <v>30</v>
      </c>
      <c r="B318" t="s">
        <v>671</v>
      </c>
      <c r="C318" t="s">
        <v>672</v>
      </c>
      <c r="D318" t="s">
        <v>714</v>
      </c>
      <c r="E318" s="13" t="n">
        <v>0.975907288314981</v>
      </c>
      <c r="F318" s="16" t="n">
        <v>6.29681786844829</v>
      </c>
      <c r="G318" s="14" t="n">
        <v>0.952427921876475</v>
      </c>
      <c r="H318" s="15" t="n">
        <v>0.212781787322973</v>
      </c>
    </row>
    <row r="319">
      <c r="A319" t="s">
        <v>31</v>
      </c>
      <c r="B319" t="s">
        <v>673</v>
      </c>
      <c r="C319" t="s">
        <v>674</v>
      </c>
      <c r="D319" t="s">
        <v>714</v>
      </c>
      <c r="E319" s="13" t="n">
        <v>0.300907511576024</v>
      </c>
      <c r="F319" s="16" t="n">
        <v>18.5</v>
      </c>
      <c r="G319" s="14" t="n">
        <v>0.24031542398458</v>
      </c>
      <c r="H319" s="15" t="n">
        <v>0.18109066104575</v>
      </c>
    </row>
    <row r="320">
      <c r="A320" t="s">
        <v>31</v>
      </c>
      <c r="B320" t="s">
        <v>673</v>
      </c>
      <c r="C320" t="s">
        <v>675</v>
      </c>
      <c r="D320" t="s">
        <v>714</v>
      </c>
      <c r="E320" s="13" t="n">
        <v>0.424287855048549</v>
      </c>
      <c r="F320" s="16" t="n">
        <v>168.010282830728</v>
      </c>
      <c r="G320" s="14" t="n">
        <v>0.387668160986867</v>
      </c>
      <c r="H320" s="15" t="n">
        <v>-0.172434279940965</v>
      </c>
    </row>
    <row r="321">
      <c r="A321" t="s">
        <v>30</v>
      </c>
      <c r="B321" t="s">
        <v>676</v>
      </c>
      <c r="C321" t="s">
        <v>677</v>
      </c>
      <c r="D321" t="s">
        <v>714</v>
      </c>
      <c r="E321" s="13" t="n">
        <v>0.587785252292473</v>
      </c>
      <c r="F321" s="16" t="n">
        <v>10</v>
      </c>
      <c r="G321" s="14" t="n">
        <v>0.55233746418602</v>
      </c>
      <c r="H321" s="15" t="n">
        <v>0.201034396233786</v>
      </c>
    </row>
    <row r="322">
      <c r="A322" t="s">
        <v>30</v>
      </c>
      <c r="B322" t="s">
        <v>678</v>
      </c>
      <c r="C322" t="s">
        <v>679</v>
      </c>
      <c r="D322" t="s">
        <v>714</v>
      </c>
      <c r="E322" s="13" t="n">
        <v>0.75</v>
      </c>
      <c r="F322" s="16" t="n">
        <v>26</v>
      </c>
      <c r="G322" s="14" t="n">
        <v>0.461746106494244</v>
      </c>
      <c r="H322" s="15" t="n">
        <v>0.591008065205042</v>
      </c>
    </row>
    <row r="323">
      <c r="A323" t="s">
        <v>30</v>
      </c>
      <c r="B323" t="s">
        <v>678</v>
      </c>
      <c r="C323" t="s">
        <v>680</v>
      </c>
      <c r="D323" t="s">
        <v>714</v>
      </c>
      <c r="E323" s="13" t="n">
        <v>1.68955915253711</v>
      </c>
      <c r="F323" s="16" t="n">
        <v>152.044916227102</v>
      </c>
      <c r="G323" s="14" t="n">
        <v>0.946984456965548</v>
      </c>
      <c r="H323" s="15" t="n">
        <v>-1.39922498840879</v>
      </c>
    </row>
    <row r="324">
      <c r="A324" t="s">
        <v>30</v>
      </c>
      <c r="B324" t="s">
        <v>681</v>
      </c>
      <c r="C324" t="s">
        <v>682</v>
      </c>
      <c r="D324" t="s">
        <v>714</v>
      </c>
      <c r="E324" s="13" t="n">
        <v>0.25</v>
      </c>
      <c r="F324" s="16" t="n">
        <v>97</v>
      </c>
      <c r="G324" s="14" t="n">
        <v>-0.242573931568999</v>
      </c>
      <c r="H324" s="15" t="n">
        <v>-0.0604804738999169</v>
      </c>
    </row>
    <row r="325">
      <c r="A325" t="s">
        <v>30</v>
      </c>
      <c r="B325" t="s">
        <v>683</v>
      </c>
      <c r="C325" t="s">
        <v>684</v>
      </c>
      <c r="D325" t="s">
        <v>714</v>
      </c>
      <c r="E325" s="13" t="n">
        <v>0.854381791279198</v>
      </c>
      <c r="F325" s="16" t="n">
        <v>11.5071158498467</v>
      </c>
      <c r="G325" s="14" t="n">
        <v>0.786379640389041</v>
      </c>
      <c r="H325" s="15" t="n">
        <v>0.334028900622467</v>
      </c>
    </row>
    <row r="326">
      <c r="A326" t="s">
        <v>30</v>
      </c>
      <c r="B326" t="s">
        <v>683</v>
      </c>
      <c r="C326" t="s">
        <v>685</v>
      </c>
      <c r="D326" t="s">
        <v>714</v>
      </c>
      <c r="E326" s="13" t="n">
        <v>1.223235092066</v>
      </c>
      <c r="F326" s="16" t="n">
        <v>7.15814898248389</v>
      </c>
      <c r="G326" s="14" t="n">
        <v>1.18524805540117</v>
      </c>
      <c r="H326" s="15" t="n">
        <v>0.302475019843703</v>
      </c>
    </row>
    <row r="327">
      <c r="A327" t="s">
        <v>31</v>
      </c>
      <c r="B327" t="s">
        <v>686</v>
      </c>
      <c r="C327" t="s">
        <v>687</v>
      </c>
      <c r="D327" t="s">
        <v>714</v>
      </c>
      <c r="E327" s="13" t="n">
        <v>1</v>
      </c>
      <c r="F327" s="16" t="n">
        <v>14</v>
      </c>
      <c r="G327" s="14" t="n">
        <v>0.882947592858927</v>
      </c>
      <c r="H327" s="15" t="n">
        <v>0.469471562785891</v>
      </c>
    </row>
    <row r="328">
      <c r="A328" t="s">
        <v>31</v>
      </c>
      <c r="B328" t="s">
        <v>688</v>
      </c>
      <c r="C328" t="s">
        <v>689</v>
      </c>
      <c r="D328" t="s">
        <v>714</v>
      </c>
      <c r="E328" s="13" t="n">
        <v>0.25</v>
      </c>
      <c r="F328" s="16" t="n">
        <v>9.00000000000001</v>
      </c>
      <c r="G328" s="14" t="n">
        <v>0.237764129073788</v>
      </c>
      <c r="H328" s="15" t="n">
        <v>0.077254248593737</v>
      </c>
    </row>
    <row r="329">
      <c r="A329" t="s">
        <v>31</v>
      </c>
      <c r="B329" t="s">
        <v>688</v>
      </c>
      <c r="C329" t="s">
        <v>690</v>
      </c>
      <c r="D329" t="s">
        <v>714</v>
      </c>
      <c r="E329" s="13" t="n">
        <v>0.559016994374947</v>
      </c>
      <c r="F329" s="16" t="n">
        <v>169.717474411461</v>
      </c>
      <c r="G329" s="14" t="n">
        <v>0.52339306350105</v>
      </c>
      <c r="H329" s="15" t="n">
        <v>-0.196366242208241</v>
      </c>
    </row>
    <row r="330">
      <c r="A330" t="s">
        <v>31</v>
      </c>
      <c r="B330" t="s">
        <v>691</v>
      </c>
      <c r="C330" t="s">
        <v>692</v>
      </c>
      <c r="D330" t="s">
        <v>714</v>
      </c>
      <c r="E330" s="13" t="n">
        <v>0.499314767377287</v>
      </c>
      <c r="F330" s="16" t="n">
        <v>19.5</v>
      </c>
      <c r="G330" s="14" t="n">
        <v>0.388040454963085</v>
      </c>
      <c r="H330" s="15" t="n">
        <v>0.314228964662833</v>
      </c>
    </row>
    <row r="331">
      <c r="A331" t="s">
        <v>31</v>
      </c>
      <c r="B331" t="s">
        <v>691</v>
      </c>
      <c r="C331" t="s">
        <v>693</v>
      </c>
      <c r="D331" t="s">
        <v>714</v>
      </c>
      <c r="E331" s="13" t="n">
        <v>0.472759287799658</v>
      </c>
      <c r="F331" s="16" t="n">
        <v>155.5</v>
      </c>
      <c r="G331" s="14" t="n">
        <v>0.310157999300088</v>
      </c>
      <c r="H331" s="15" t="n">
        <v>-0.356795963641697</v>
      </c>
    </row>
    <row r="332">
      <c r="A332" t="s">
        <v>30</v>
      </c>
      <c r="B332" t="s">
        <v>694</v>
      </c>
      <c r="C332" t="s">
        <v>695</v>
      </c>
      <c r="D332" t="s">
        <v>714</v>
      </c>
      <c r="E332" s="13" t="n">
        <v>0.888475762216339</v>
      </c>
      <c r="F332" s="16" t="n">
        <v>2.67530738468621</v>
      </c>
      <c r="G332" s="14" t="n">
        <v>0.884604415674094</v>
      </c>
      <c r="H332" s="15" t="n">
        <v>0.0828505148795023</v>
      </c>
    </row>
    <row r="333">
      <c r="A333" t="s">
        <v>30</v>
      </c>
      <c r="B333" t="s">
        <v>694</v>
      </c>
      <c r="C333" t="s">
        <v>696</v>
      </c>
      <c r="D333" t="s">
        <v>714</v>
      </c>
      <c r="E333" s="13" t="n">
        <v>1.31663590678738</v>
      </c>
      <c r="F333" s="16" t="n">
        <v>165.611319244695</v>
      </c>
      <c r="G333" s="14" t="n">
        <v>1.15402737012893</v>
      </c>
      <c r="H333" s="15" t="n">
        <v>-0.633838260154077</v>
      </c>
    </row>
    <row r="334">
      <c r="A334" t="s">
        <v>30</v>
      </c>
      <c r="B334" t="s">
        <v>697</v>
      </c>
      <c r="C334" t="s">
        <v>698</v>
      </c>
      <c r="D334" t="s">
        <v>714</v>
      </c>
      <c r="E334" s="13" t="n">
        <v>0.5</v>
      </c>
      <c r="F334" s="16" t="n">
        <v>157</v>
      </c>
      <c r="G334" s="14" t="n">
        <v>0.347329185229499</v>
      </c>
      <c r="H334" s="15" t="n">
        <v>-0.359669900169326</v>
      </c>
    </row>
    <row r="335">
      <c r="A335" t="s">
        <v>30</v>
      </c>
      <c r="B335" t="s">
        <v>697</v>
      </c>
      <c r="C335" t="s">
        <v>699</v>
      </c>
      <c r="D335" t="s">
        <v>714</v>
      </c>
      <c r="E335" s="13" t="n">
        <v>0.75</v>
      </c>
      <c r="F335" s="16" t="n">
        <v>28</v>
      </c>
      <c r="G335" s="14" t="n">
        <v>0.41939467760306</v>
      </c>
      <c r="H335" s="15" t="n">
        <v>0.621778179416281</v>
      </c>
    </row>
    <row r="336">
      <c r="A336" t="s">
        <v>31</v>
      </c>
      <c r="B336" t="s">
        <v>700</v>
      </c>
      <c r="C336" t="s">
        <v>701</v>
      </c>
      <c r="D336" t="s">
        <v>714</v>
      </c>
      <c r="E336" s="13" t="n">
        <v>0.25</v>
      </c>
      <c r="F336" s="16" t="n">
        <v>0</v>
      </c>
      <c r="G336" s="14" t="n">
        <v>0.25</v>
      </c>
      <c r="H336" s="15" t="n">
        <v>0</v>
      </c>
    </row>
    <row r="337">
      <c r="A337" t="s">
        <v>31</v>
      </c>
      <c r="B337" t="s">
        <v>700</v>
      </c>
      <c r="C337" t="s">
        <v>702</v>
      </c>
      <c r="D337" t="s">
        <v>714</v>
      </c>
      <c r="E337" s="13" t="n">
        <v>0.5</v>
      </c>
      <c r="F337" s="16" t="n">
        <v>19</v>
      </c>
      <c r="G337" s="14" t="n">
        <v>0.394005376803361</v>
      </c>
      <c r="H337" s="15" t="n">
        <v>0.307830737662829</v>
      </c>
    </row>
    <row r="338">
      <c r="A338" t="s">
        <v>30</v>
      </c>
      <c r="B338" t="s">
        <v>703</v>
      </c>
      <c r="C338" t="s">
        <v>704</v>
      </c>
      <c r="D338" t="s">
        <v>714</v>
      </c>
      <c r="E338" s="13" t="n">
        <v>0.692663447562894</v>
      </c>
      <c r="F338" s="16" t="n">
        <v>169.779187654991</v>
      </c>
      <c r="G338" s="14" t="n">
        <v>0.649045397370925</v>
      </c>
      <c r="H338" s="15" t="n">
        <v>-0.241914703441797</v>
      </c>
    </row>
    <row r="339">
      <c r="A339" t="s">
        <v>31</v>
      </c>
      <c r="B339" t="s">
        <v>705</v>
      </c>
      <c r="C339" t="s">
        <v>706</v>
      </c>
      <c r="D339" t="s">
        <v>714</v>
      </c>
      <c r="E339" s="13" t="n">
        <v>1</v>
      </c>
      <c r="F339" s="16" t="n">
        <v>95</v>
      </c>
      <c r="G339" s="14" t="n">
        <v>-0.984807753012208</v>
      </c>
      <c r="H339" s="15" t="n">
        <v>-0.173648177666931</v>
      </c>
    </row>
    <row r="340">
      <c r="A340" t="s">
        <v>31</v>
      </c>
      <c r="B340" t="s">
        <v>707</v>
      </c>
      <c r="C340" t="s">
        <v>708</v>
      </c>
      <c r="D340" t="s">
        <v>714</v>
      </c>
      <c r="E340" s="13" t="n">
        <v>0.581148289019578</v>
      </c>
      <c r="F340" s="16" t="n">
        <v>112.026194366194</v>
      </c>
      <c r="G340" s="14" t="n">
        <v>-0.417673794460744</v>
      </c>
      <c r="H340" s="15" t="n">
        <v>-0.404081594793858</v>
      </c>
    </row>
    <row r="341">
      <c r="A341" t="s">
        <v>31</v>
      </c>
      <c r="B341" t="s">
        <v>707</v>
      </c>
      <c r="C341" t="s">
        <v>709</v>
      </c>
      <c r="D341" t="s">
        <v>714</v>
      </c>
      <c r="E341" s="13" t="n">
        <v>0.424287855048549</v>
      </c>
      <c r="F341" s="16" t="n">
        <v>91.9897171692716</v>
      </c>
      <c r="G341" s="14" t="n">
        <v>-0.42326490733267</v>
      </c>
      <c r="H341" s="15" t="n">
        <v>-0.0294449004475297</v>
      </c>
    </row>
    <row r="342">
      <c r="A342" t="s">
        <v>30</v>
      </c>
      <c r="B342" t="s">
        <v>710</v>
      </c>
      <c r="C342" t="s">
        <v>711</v>
      </c>
      <c r="D342" t="s">
        <v>714</v>
      </c>
      <c r="E342" s="13" t="n">
        <v>0.424287855048549</v>
      </c>
      <c r="F342" s="16" t="n">
        <v>137.010282830728</v>
      </c>
      <c r="G342" s="14" t="n">
        <v>0.029748744980599</v>
      </c>
      <c r="H342" s="15" t="n">
        <v>-0.423243660453146</v>
      </c>
    </row>
    <row r="343">
      <c r="A343" t="s">
        <v>30</v>
      </c>
      <c r="B343" t="s">
        <v>712</v>
      </c>
      <c r="C343" t="s">
        <v>713</v>
      </c>
      <c r="D343" t="s">
        <v>714</v>
      </c>
      <c r="E343" s="13" t="n">
        <v>0.644251931952941</v>
      </c>
      <c r="F343" s="16" t="n">
        <v>113.580036023002</v>
      </c>
      <c r="G343" s="14" t="n">
        <v>-0.438060683863376</v>
      </c>
      <c r="H343" s="15" t="n">
        <v>-0.472401724254101</v>
      </c>
    </row>
    <row r="344">
      <c r="A344" t="s">
        <v>30</v>
      </c>
      <c r="B344" t="s">
        <v>439</v>
      </c>
      <c r="C344" t="s">
        <v>440</v>
      </c>
      <c r="D344" t="s">
        <v>715</v>
      </c>
      <c r="E344" s="13" t="n">
        <v>0.5</v>
      </c>
      <c r="F344" s="16" t="n">
        <v>89</v>
      </c>
      <c r="G344" s="14" t="n">
        <v>-0.499695413509548</v>
      </c>
      <c r="H344" s="15" t="n">
        <v>0.0174497483512506</v>
      </c>
    </row>
    <row r="345">
      <c r="A345" t="s">
        <v>30</v>
      </c>
      <c r="B345" t="s">
        <v>439</v>
      </c>
      <c r="C345" t="s">
        <v>442</v>
      </c>
      <c r="D345" t="s">
        <v>715</v>
      </c>
      <c r="E345" s="13" t="n">
        <v>1</v>
      </c>
      <c r="F345" s="16" t="n">
        <v>80</v>
      </c>
      <c r="G345" s="14" t="n">
        <v>-0.939692620785908</v>
      </c>
      <c r="H345" s="15" t="n">
        <v>0.342020143325669</v>
      </c>
    </row>
    <row r="346">
      <c r="A346" t="s">
        <v>30</v>
      </c>
      <c r="B346" t="s">
        <v>443</v>
      </c>
      <c r="C346" t="s">
        <v>444</v>
      </c>
      <c r="D346" t="s">
        <v>715</v>
      </c>
      <c r="E346" s="13" t="n">
        <v>0.75</v>
      </c>
      <c r="F346" s="16" t="n">
        <v>5</v>
      </c>
      <c r="G346" s="14" t="n">
        <v>0.738605814759156</v>
      </c>
      <c r="H346" s="15" t="n">
        <v>0.130236133250198</v>
      </c>
    </row>
    <row r="347">
      <c r="A347" t="s">
        <v>30</v>
      </c>
      <c r="B347" t="s">
        <v>443</v>
      </c>
      <c r="C347" t="s">
        <v>445</v>
      </c>
      <c r="D347" t="s">
        <v>715</v>
      </c>
      <c r="E347" s="13" t="n">
        <v>0.5</v>
      </c>
      <c r="F347" s="16" t="n">
        <v>16</v>
      </c>
      <c r="G347" s="14" t="n">
        <v>0.424024048078213</v>
      </c>
      <c r="H347" s="15" t="n">
        <v>0.264959632116602</v>
      </c>
    </row>
    <row r="348">
      <c r="A348" t="s">
        <v>30</v>
      </c>
      <c r="B348" t="s">
        <v>446</v>
      </c>
      <c r="C348" t="s">
        <v>447</v>
      </c>
      <c r="D348" t="s">
        <v>715</v>
      </c>
      <c r="E348" s="13" t="n">
        <v>0.75</v>
      </c>
      <c r="F348" s="16" t="n">
        <v>94</v>
      </c>
      <c r="G348" s="14" t="n">
        <v>-0.742701051556178</v>
      </c>
      <c r="H348" s="15" t="n">
        <v>-0.104379825720049</v>
      </c>
    </row>
    <row r="349">
      <c r="A349" t="s">
        <v>30</v>
      </c>
      <c r="B349" t="s">
        <v>448</v>
      </c>
      <c r="C349" t="s">
        <v>449</v>
      </c>
      <c r="D349" t="s">
        <v>715</v>
      </c>
      <c r="E349" s="13" t="n">
        <v>1.75</v>
      </c>
      <c r="F349" s="16" t="n">
        <v>113</v>
      </c>
      <c r="G349" s="14" t="n">
        <v>-1.21565214830325</v>
      </c>
      <c r="H349" s="15" t="n">
        <v>-1.25884465059264</v>
      </c>
    </row>
    <row r="350">
      <c r="A350" t="s">
        <v>30</v>
      </c>
      <c r="B350" t="s">
        <v>448</v>
      </c>
      <c r="C350" t="s">
        <v>450</v>
      </c>
      <c r="D350" t="s">
        <v>715</v>
      </c>
      <c r="E350" s="13" t="n">
        <v>1.5</v>
      </c>
      <c r="F350" s="16" t="n">
        <v>82</v>
      </c>
      <c r="G350" s="14" t="n">
        <v>-1.44189254390748</v>
      </c>
      <c r="H350" s="15" t="n">
        <v>0.413456033725499</v>
      </c>
    </row>
    <row r="351">
      <c r="A351" t="s">
        <v>31</v>
      </c>
      <c r="B351" t="s">
        <v>451</v>
      </c>
      <c r="C351" t="s">
        <v>452</v>
      </c>
      <c r="D351" t="s">
        <v>715</v>
      </c>
      <c r="E351" s="13" t="n">
        <v>0.75</v>
      </c>
      <c r="F351" s="16" t="n">
        <v>87</v>
      </c>
      <c r="G351" s="14" t="n">
        <v>-0.745891421526205</v>
      </c>
      <c r="H351" s="15" t="n">
        <v>0.0783963474507403</v>
      </c>
    </row>
    <row r="352">
      <c r="A352" t="s">
        <v>31</v>
      </c>
      <c r="B352" t="s">
        <v>451</v>
      </c>
      <c r="C352" t="s">
        <v>453</v>
      </c>
      <c r="D352" t="s">
        <v>715</v>
      </c>
      <c r="E352" s="13" t="n">
        <v>0.25</v>
      </c>
      <c r="F352" s="16" t="n">
        <v>104</v>
      </c>
      <c r="G352" s="14" t="n">
        <v>-0.220736898214732</v>
      </c>
      <c r="H352" s="15" t="n">
        <v>-0.117367890696473</v>
      </c>
    </row>
    <row r="353">
      <c r="A353" t="s">
        <v>31</v>
      </c>
      <c r="B353" t="s">
        <v>454</v>
      </c>
      <c r="C353" t="s">
        <v>455</v>
      </c>
      <c r="D353" t="s">
        <v>715</v>
      </c>
      <c r="E353" s="13" t="n">
        <v>0.5</v>
      </c>
      <c r="F353" s="16" t="n">
        <v>34</v>
      </c>
      <c r="G353" s="14" t="n">
        <v>0.187303296707956</v>
      </c>
      <c r="H353" s="15" t="n">
        <v>0.463591927283394</v>
      </c>
    </row>
    <row r="354">
      <c r="A354" t="s">
        <v>31</v>
      </c>
      <c r="B354" t="s">
        <v>454</v>
      </c>
      <c r="C354" t="s">
        <v>456</v>
      </c>
      <c r="D354" t="s">
        <v>715</v>
      </c>
      <c r="E354" s="13" t="n">
        <v>0.25</v>
      </c>
      <c r="F354" s="16" t="n">
        <v>149</v>
      </c>
      <c r="G354" s="14" t="n">
        <v>0.117367890696473</v>
      </c>
      <c r="H354" s="15" t="n">
        <v>-0.220736898214732</v>
      </c>
    </row>
    <row r="355">
      <c r="A355" t="s">
        <v>30</v>
      </c>
      <c r="B355" t="s">
        <v>457</v>
      </c>
      <c r="C355" t="s">
        <v>458</v>
      </c>
      <c r="D355" t="s">
        <v>715</v>
      </c>
      <c r="E355" s="13" t="n">
        <v>0.5</v>
      </c>
      <c r="F355" s="16" t="n">
        <v>175</v>
      </c>
      <c r="G355" s="14" t="n">
        <v>0.492403876506104</v>
      </c>
      <c r="H355" s="15" t="n">
        <v>-0.0868240888334652</v>
      </c>
    </row>
    <row r="356">
      <c r="A356" t="s">
        <v>31</v>
      </c>
      <c r="B356" t="s">
        <v>459</v>
      </c>
      <c r="C356" t="s">
        <v>460</v>
      </c>
      <c r="D356" t="s">
        <v>715</v>
      </c>
      <c r="E356" s="13" t="n">
        <v>0.75</v>
      </c>
      <c r="F356" s="16" t="n">
        <v>179</v>
      </c>
      <c r="G356" s="14" t="n">
        <v>0.749543120264322</v>
      </c>
      <c r="H356" s="15" t="n">
        <v>-0.0261746225268756</v>
      </c>
    </row>
    <row r="357">
      <c r="A357" t="s">
        <v>31</v>
      </c>
      <c r="B357" t="s">
        <v>459</v>
      </c>
      <c r="C357" t="s">
        <v>461</v>
      </c>
      <c r="D357" t="s">
        <v>715</v>
      </c>
      <c r="E357" s="13" t="n">
        <v>1.5</v>
      </c>
      <c r="F357" s="16" t="n">
        <v>8</v>
      </c>
      <c r="G357" s="14" t="n">
        <v>1.44189254390748</v>
      </c>
      <c r="H357" s="15" t="n">
        <v>0.413456033725499</v>
      </c>
    </row>
    <row r="358">
      <c r="A358" t="s">
        <v>30</v>
      </c>
      <c r="B358" t="s">
        <v>462</v>
      </c>
      <c r="C358" t="s">
        <v>463</v>
      </c>
      <c r="D358" t="s">
        <v>715</v>
      </c>
      <c r="E358" s="13" t="n">
        <v>1.5</v>
      </c>
      <c r="F358" s="16" t="n">
        <v>147</v>
      </c>
      <c r="G358" s="14" t="n">
        <v>0.6101049646137</v>
      </c>
      <c r="H358" s="15" t="n">
        <v>-1.3703181864639</v>
      </c>
    </row>
    <row r="359">
      <c r="A359" t="s">
        <v>30</v>
      </c>
      <c r="B359" t="s">
        <v>462</v>
      </c>
      <c r="C359" t="s">
        <v>464</v>
      </c>
      <c r="D359" t="s">
        <v>715</v>
      </c>
      <c r="E359" s="13" t="n">
        <v>1</v>
      </c>
      <c r="F359" s="16" t="n">
        <v>38</v>
      </c>
      <c r="G359" s="14" t="n">
        <v>0.241921895599668</v>
      </c>
      <c r="H359" s="15" t="n">
        <v>0.970295726275996</v>
      </c>
    </row>
    <row r="360">
      <c r="A360" t="s">
        <v>30</v>
      </c>
      <c r="B360" t="s">
        <v>465</v>
      </c>
      <c r="C360" t="s">
        <v>466</v>
      </c>
      <c r="D360" t="s">
        <v>715</v>
      </c>
      <c r="E360" s="13" t="n">
        <v>1.25</v>
      </c>
      <c r="F360" s="16" t="n">
        <v>105</v>
      </c>
      <c r="G360" s="14" t="n">
        <v>-1.08253175473055</v>
      </c>
      <c r="H360" s="15" t="n">
        <v>-0.625</v>
      </c>
    </row>
    <row r="361">
      <c r="A361" t="s">
        <v>30</v>
      </c>
      <c r="B361" t="s">
        <v>465</v>
      </c>
      <c r="C361" t="s">
        <v>467</v>
      </c>
      <c r="D361" t="s">
        <v>715</v>
      </c>
      <c r="E361" s="13" t="n">
        <v>0.5</v>
      </c>
      <c r="F361" s="16" t="n">
        <v>96</v>
      </c>
      <c r="G361" s="14" t="n">
        <v>-0.489073800366903</v>
      </c>
      <c r="H361" s="15" t="n">
        <v>-0.10395584540888</v>
      </c>
    </row>
    <row r="362">
      <c r="A362" t="s">
        <v>31</v>
      </c>
      <c r="B362" t="s">
        <v>468</v>
      </c>
      <c r="C362" t="s">
        <v>469</v>
      </c>
      <c r="D362" t="s">
        <v>715</v>
      </c>
      <c r="E362" s="13" t="n">
        <v>1.75</v>
      </c>
      <c r="F362" s="16" t="n">
        <v>94</v>
      </c>
      <c r="G362" s="14" t="n">
        <v>-1.73296912029775</v>
      </c>
      <c r="H362" s="15" t="n">
        <v>-0.243552926680115</v>
      </c>
    </row>
    <row r="363">
      <c r="A363" t="s">
        <v>31</v>
      </c>
      <c r="B363" t="s">
        <v>468</v>
      </c>
      <c r="C363" t="s">
        <v>470</v>
      </c>
      <c r="D363" t="s">
        <v>715</v>
      </c>
      <c r="E363" s="13" t="n">
        <v>1</v>
      </c>
      <c r="F363" s="16" t="n">
        <v>92</v>
      </c>
      <c r="G363" s="14" t="n">
        <v>-0.997564050259824</v>
      </c>
      <c r="H363" s="15" t="n">
        <v>-0.0697564737441251</v>
      </c>
    </row>
    <row r="364">
      <c r="A364" t="s">
        <v>31</v>
      </c>
      <c r="B364" t="s">
        <v>716</v>
      </c>
      <c r="C364" t="s">
        <v>717</v>
      </c>
      <c r="D364" t="s">
        <v>715</v>
      </c>
      <c r="E364" s="13" t="n">
        <v>1</v>
      </c>
      <c r="F364" s="16" t="n">
        <v>87</v>
      </c>
      <c r="G364" s="14" t="n">
        <v>-0.994521895368273</v>
      </c>
      <c r="H364" s="15" t="n">
        <v>0.104528463267654</v>
      </c>
    </row>
    <row r="365">
      <c r="A365" t="s">
        <v>31</v>
      </c>
      <c r="B365" t="s">
        <v>716</v>
      </c>
      <c r="C365" t="s">
        <v>718</v>
      </c>
      <c r="D365" t="s">
        <v>715</v>
      </c>
      <c r="E365" s="13" t="n">
        <v>2.25</v>
      </c>
      <c r="F365" s="16" t="n">
        <v>97</v>
      </c>
      <c r="G365" s="14" t="n">
        <v>-2.18316538412099</v>
      </c>
      <c r="H365" s="15" t="n">
        <v>-0.544324265099252</v>
      </c>
    </row>
    <row r="366">
      <c r="A366" t="s">
        <v>30</v>
      </c>
      <c r="B366" t="s">
        <v>471</v>
      </c>
      <c r="C366" t="s">
        <v>472</v>
      </c>
      <c r="D366" t="s">
        <v>715</v>
      </c>
      <c r="E366" s="13" t="n">
        <v>0.25</v>
      </c>
      <c r="F366" s="16" t="n">
        <v>104</v>
      </c>
      <c r="G366" s="14" t="n">
        <v>-0.220736898214732</v>
      </c>
      <c r="H366" s="15" t="n">
        <v>-0.117367890696473</v>
      </c>
    </row>
    <row r="367">
      <c r="A367" t="s">
        <v>30</v>
      </c>
      <c r="B367" t="s">
        <v>473</v>
      </c>
      <c r="C367" t="s">
        <v>474</v>
      </c>
      <c r="D367" t="s">
        <v>715</v>
      </c>
      <c r="E367" s="13" t="n">
        <v>1.25</v>
      </c>
      <c r="F367" s="16" t="n">
        <v>92</v>
      </c>
      <c r="G367" s="14" t="n">
        <v>-1.24695506282478</v>
      </c>
      <c r="H367" s="15" t="n">
        <v>-0.0871955921801564</v>
      </c>
    </row>
    <row r="368">
      <c r="A368" t="s">
        <v>31</v>
      </c>
      <c r="B368" t="s">
        <v>475</v>
      </c>
      <c r="C368" t="s">
        <v>476</v>
      </c>
      <c r="D368" t="s">
        <v>715</v>
      </c>
      <c r="E368" s="13" t="n">
        <v>0.75</v>
      </c>
      <c r="F368" s="16" t="n">
        <v>172</v>
      </c>
      <c r="G368" s="14" t="n">
        <v>0.720946271953739</v>
      </c>
      <c r="H368" s="15" t="n">
        <v>-0.206728016862749</v>
      </c>
    </row>
    <row r="369">
      <c r="A369" t="s">
        <v>31</v>
      </c>
      <c r="B369" t="s">
        <v>477</v>
      </c>
      <c r="C369" t="s">
        <v>478</v>
      </c>
      <c r="D369" t="s">
        <v>715</v>
      </c>
      <c r="E369" s="13" t="n">
        <v>1.5</v>
      </c>
      <c r="F369" s="16" t="n">
        <v>128</v>
      </c>
      <c r="G369" s="14" t="n">
        <v>-0.362882843399502</v>
      </c>
      <c r="H369" s="15" t="n">
        <v>-1.45544358941399</v>
      </c>
    </row>
    <row r="370">
      <c r="A370" t="s">
        <v>31</v>
      </c>
      <c r="B370" t="s">
        <v>477</v>
      </c>
      <c r="C370" t="s">
        <v>479</v>
      </c>
      <c r="D370" t="s">
        <v>715</v>
      </c>
      <c r="E370" s="13" t="n">
        <v>1.5</v>
      </c>
      <c r="F370" s="16" t="n">
        <v>42</v>
      </c>
      <c r="G370" s="14" t="n">
        <v>0.15679269490148</v>
      </c>
      <c r="H370" s="15" t="n">
        <v>1.49178284305241</v>
      </c>
    </row>
    <row r="371">
      <c r="A371" t="s">
        <v>31</v>
      </c>
      <c r="B371" t="s">
        <v>480</v>
      </c>
      <c r="C371" t="s">
        <v>481</v>
      </c>
      <c r="D371" t="s">
        <v>715</v>
      </c>
      <c r="E371" s="13" t="n">
        <v>0.5</v>
      </c>
      <c r="F371" s="16" t="n">
        <v>79</v>
      </c>
      <c r="G371" s="14" t="n">
        <v>-0.463591927283394</v>
      </c>
      <c r="H371" s="15" t="n">
        <v>0.187303296707956</v>
      </c>
    </row>
    <row r="372">
      <c r="A372" t="s">
        <v>31</v>
      </c>
      <c r="B372" t="s">
        <v>480</v>
      </c>
      <c r="C372" t="s">
        <v>482</v>
      </c>
      <c r="D372" t="s">
        <v>715</v>
      </c>
      <c r="E372" s="13" t="n">
        <v>0.5</v>
      </c>
      <c r="F372" s="16" t="n">
        <v>99</v>
      </c>
      <c r="G372" s="14" t="n">
        <v>-0.475528258147577</v>
      </c>
      <c r="H372" s="15" t="n">
        <v>-0.154508497187474</v>
      </c>
    </row>
    <row r="373">
      <c r="A373" t="s">
        <v>30</v>
      </c>
      <c r="B373" t="s">
        <v>483</v>
      </c>
      <c r="C373" t="s">
        <v>484</v>
      </c>
      <c r="D373" t="s">
        <v>715</v>
      </c>
      <c r="E373" s="13" t="n">
        <v>1</v>
      </c>
      <c r="F373" s="16" t="n">
        <v>77</v>
      </c>
      <c r="G373" s="14" t="n">
        <v>-0.898794046299167</v>
      </c>
      <c r="H373" s="15" t="n">
        <v>0.438371146789078</v>
      </c>
    </row>
    <row r="374">
      <c r="A374" t="s">
        <v>30</v>
      </c>
      <c r="B374" t="s">
        <v>719</v>
      </c>
      <c r="C374" t="s">
        <v>720</v>
      </c>
      <c r="D374" t="s">
        <v>715</v>
      </c>
      <c r="E374" s="13" t="n">
        <v>0.75</v>
      </c>
      <c r="F374" s="16" t="n">
        <v>26</v>
      </c>
      <c r="G374" s="14" t="n">
        <v>0.461746106494244</v>
      </c>
      <c r="H374" s="15" t="n">
        <v>0.591008065205041</v>
      </c>
    </row>
    <row r="375">
      <c r="A375" t="s">
        <v>30</v>
      </c>
      <c r="B375" t="s">
        <v>719</v>
      </c>
      <c r="C375" t="s">
        <v>721</v>
      </c>
      <c r="D375" t="s">
        <v>715</v>
      </c>
      <c r="E375" s="13" t="n">
        <v>1</v>
      </c>
      <c r="F375" s="16" t="n">
        <v>149</v>
      </c>
      <c r="G375" s="14" t="n">
        <v>0.46947156278589</v>
      </c>
      <c r="H375" s="15" t="n">
        <v>-0.882947592858927</v>
      </c>
    </row>
    <row r="376">
      <c r="A376" t="s">
        <v>30</v>
      </c>
      <c r="B376" t="s">
        <v>485</v>
      </c>
      <c r="C376" t="s">
        <v>486</v>
      </c>
      <c r="D376" t="s">
        <v>715</v>
      </c>
      <c r="E376" s="13" t="n">
        <v>1</v>
      </c>
      <c r="F376" s="16" t="n">
        <v>11</v>
      </c>
      <c r="G376" s="14" t="n">
        <v>0.927183854566787</v>
      </c>
      <c r="H376" s="15" t="n">
        <v>0.374606593415912</v>
      </c>
    </row>
    <row r="377">
      <c r="A377" t="s">
        <v>30</v>
      </c>
      <c r="B377" t="s">
        <v>485</v>
      </c>
      <c r="C377" t="s">
        <v>487</v>
      </c>
      <c r="D377" t="s">
        <v>715</v>
      </c>
      <c r="E377" s="13" t="n">
        <v>1</v>
      </c>
      <c r="F377" s="16" t="n">
        <v>173</v>
      </c>
      <c r="G377" s="14" t="n">
        <v>0.970295726275996</v>
      </c>
      <c r="H377" s="15" t="n">
        <v>-0.241921895599668</v>
      </c>
    </row>
    <row r="378">
      <c r="A378" t="s">
        <v>30</v>
      </c>
      <c r="B378" t="s">
        <v>488</v>
      </c>
      <c r="C378" t="s">
        <v>489</v>
      </c>
      <c r="D378" t="s">
        <v>715</v>
      </c>
      <c r="E378" s="13" t="n">
        <v>1</v>
      </c>
      <c r="F378" s="16" t="n">
        <v>80</v>
      </c>
      <c r="G378" s="14" t="n">
        <v>-0.939692620785908</v>
      </c>
      <c r="H378" s="15" t="n">
        <v>0.342020143325669</v>
      </c>
    </row>
    <row r="379">
      <c r="A379" t="s">
        <v>30</v>
      </c>
      <c r="B379" t="s">
        <v>488</v>
      </c>
      <c r="C379" t="s">
        <v>490</v>
      </c>
      <c r="D379" t="s">
        <v>715</v>
      </c>
      <c r="E379" s="13" t="n">
        <v>1.25</v>
      </c>
      <c r="F379" s="16" t="n">
        <v>80</v>
      </c>
      <c r="G379" s="14" t="n">
        <v>-1.17461577598239</v>
      </c>
      <c r="H379" s="15" t="n">
        <v>0.427525179157086</v>
      </c>
    </row>
    <row r="380">
      <c r="A380" t="s">
        <v>30</v>
      </c>
      <c r="B380" t="s">
        <v>491</v>
      </c>
      <c r="C380" t="s">
        <v>492</v>
      </c>
      <c r="D380" t="s">
        <v>715</v>
      </c>
      <c r="E380" s="13" t="n">
        <v>1.5</v>
      </c>
      <c r="F380" s="16" t="n">
        <v>70</v>
      </c>
      <c r="G380" s="14" t="n">
        <v>-1.14906666467847</v>
      </c>
      <c r="H380" s="15" t="n">
        <v>0.964181414529809</v>
      </c>
    </row>
    <row r="381">
      <c r="A381" t="s">
        <v>30</v>
      </c>
      <c r="B381" t="s">
        <v>491</v>
      </c>
      <c r="C381" t="s">
        <v>493</v>
      </c>
      <c r="D381" t="s">
        <v>715</v>
      </c>
      <c r="E381" s="13" t="n">
        <v>0.5</v>
      </c>
      <c r="F381" s="16" t="n">
        <v>101</v>
      </c>
      <c r="G381" s="14" t="n">
        <v>-0.463591927283394</v>
      </c>
      <c r="H381" s="15" t="n">
        <v>-0.187303296707956</v>
      </c>
    </row>
    <row r="382">
      <c r="A382" t="s">
        <v>30</v>
      </c>
      <c r="B382" t="s">
        <v>494</v>
      </c>
      <c r="C382" t="s">
        <v>495</v>
      </c>
      <c r="D382" t="s">
        <v>715</v>
      </c>
      <c r="E382" s="13" t="n">
        <v>2.5</v>
      </c>
      <c r="F382" s="16" t="n">
        <v>83</v>
      </c>
      <c r="G382" s="14" t="n">
        <v>-2.42573931568999</v>
      </c>
      <c r="H382" s="15" t="n">
        <v>0.604804738999169</v>
      </c>
    </row>
    <row r="383">
      <c r="A383" t="s">
        <v>30</v>
      </c>
      <c r="B383" t="s">
        <v>494</v>
      </c>
      <c r="C383" t="s">
        <v>496</v>
      </c>
      <c r="D383" t="s">
        <v>715</v>
      </c>
      <c r="E383" s="13" t="n">
        <v>1.5</v>
      </c>
      <c r="F383" s="16" t="n">
        <v>94</v>
      </c>
      <c r="G383" s="14" t="n">
        <v>-1.48540210311236</v>
      </c>
      <c r="H383" s="15" t="n">
        <v>-0.208759651440099</v>
      </c>
    </row>
    <row r="384">
      <c r="A384" t="s">
        <v>30</v>
      </c>
      <c r="B384" t="s">
        <v>497</v>
      </c>
      <c r="C384" t="s">
        <v>498</v>
      </c>
      <c r="D384" t="s">
        <v>715</v>
      </c>
      <c r="E384" s="13" t="n">
        <v>1.25</v>
      </c>
      <c r="F384" s="16" t="n">
        <v>134</v>
      </c>
      <c r="G384" s="14" t="n">
        <v>-0.0436243708781259</v>
      </c>
      <c r="H384" s="15" t="n">
        <v>-1.24923853377387</v>
      </c>
    </row>
    <row r="385">
      <c r="A385" t="s">
        <v>30</v>
      </c>
      <c r="B385" t="s">
        <v>497</v>
      </c>
      <c r="C385" t="s">
        <v>499</v>
      </c>
      <c r="D385" t="s">
        <v>715</v>
      </c>
      <c r="E385" s="13" t="n">
        <v>0.5</v>
      </c>
      <c r="F385" s="16" t="n">
        <v>52</v>
      </c>
      <c r="G385" s="14" t="n">
        <v>-0.120960947799834</v>
      </c>
      <c r="H385" s="15" t="n">
        <v>0.485147863137998</v>
      </c>
    </row>
    <row r="386">
      <c r="A386" t="s">
        <v>31</v>
      </c>
      <c r="B386" t="s">
        <v>500</v>
      </c>
      <c r="C386" t="s">
        <v>501</v>
      </c>
      <c r="D386" t="s">
        <v>715</v>
      </c>
      <c r="E386" s="13" t="n">
        <v>0.5</v>
      </c>
      <c r="F386" s="16" t="n">
        <v>103</v>
      </c>
      <c r="G386" s="14" t="n">
        <v>-0.449397023149584</v>
      </c>
      <c r="H386" s="15" t="n">
        <v>-0.219185573394539</v>
      </c>
    </row>
    <row r="387">
      <c r="A387" t="s">
        <v>31</v>
      </c>
      <c r="B387" t="s">
        <v>500</v>
      </c>
      <c r="C387" t="s">
        <v>502</v>
      </c>
      <c r="D387" t="s">
        <v>715</v>
      </c>
      <c r="E387" s="13" t="n">
        <v>0.5</v>
      </c>
      <c r="F387" s="16" t="n">
        <v>76</v>
      </c>
      <c r="G387" s="14" t="n">
        <v>-0.441473796429463</v>
      </c>
      <c r="H387" s="15" t="n">
        <v>0.234735781392945</v>
      </c>
    </row>
    <row r="388">
      <c r="A388" t="s">
        <v>30</v>
      </c>
      <c r="B388" t="s">
        <v>503</v>
      </c>
      <c r="C388" t="s">
        <v>504</v>
      </c>
      <c r="D388" t="s">
        <v>715</v>
      </c>
      <c r="E388" s="13" t="n">
        <v>0.5</v>
      </c>
      <c r="F388" s="16" t="n">
        <v>101</v>
      </c>
      <c r="G388" s="14" t="n">
        <v>-0.463591927283394</v>
      </c>
      <c r="H388" s="15" t="n">
        <v>-0.187303296707956</v>
      </c>
    </row>
    <row r="389">
      <c r="A389" t="s">
        <v>30</v>
      </c>
      <c r="B389" t="s">
        <v>503</v>
      </c>
      <c r="C389" t="s">
        <v>505</v>
      </c>
      <c r="D389" t="s">
        <v>715</v>
      </c>
      <c r="E389" s="13" t="n">
        <v>0.75</v>
      </c>
      <c r="F389" s="16" t="n">
        <v>63</v>
      </c>
      <c r="G389" s="14" t="n">
        <v>-0.440838939219355</v>
      </c>
      <c r="H389" s="15" t="n">
        <v>0.606762745781211</v>
      </c>
    </row>
    <row r="390">
      <c r="A390" t="s">
        <v>30</v>
      </c>
      <c r="B390" t="s">
        <v>506</v>
      </c>
      <c r="C390" t="s">
        <v>507</v>
      </c>
      <c r="D390" t="s">
        <v>715</v>
      </c>
      <c r="E390" s="13" t="n">
        <v>2.25</v>
      </c>
      <c r="F390" s="16" t="n">
        <v>117</v>
      </c>
      <c r="G390" s="14" t="n">
        <v>-1.32251681765806</v>
      </c>
      <c r="H390" s="15" t="n">
        <v>-1.82028823734363</v>
      </c>
    </row>
    <row r="391">
      <c r="A391" t="s">
        <v>30</v>
      </c>
      <c r="B391" t="s">
        <v>506</v>
      </c>
      <c r="C391" t="s">
        <v>508</v>
      </c>
      <c r="D391" t="s">
        <v>715</v>
      </c>
      <c r="E391" s="13" t="n">
        <v>2.25</v>
      </c>
      <c r="F391" s="16" t="n">
        <v>62</v>
      </c>
      <c r="G391" s="14" t="n">
        <v>-1.25818403280918</v>
      </c>
      <c r="H391" s="15" t="n">
        <v>1.86533453824884</v>
      </c>
    </row>
    <row r="392">
      <c r="A392" t="s">
        <v>31</v>
      </c>
      <c r="B392" t="s">
        <v>509</v>
      </c>
      <c r="C392" t="s">
        <v>510</v>
      </c>
      <c r="D392" t="s">
        <v>715</v>
      </c>
      <c r="E392" s="13" t="n">
        <v>0.5</v>
      </c>
      <c r="F392" s="16" t="n">
        <v>38</v>
      </c>
      <c r="G392" s="14" t="n">
        <v>0.120960947799834</v>
      </c>
      <c r="H392" s="15" t="n">
        <v>0.485147863137998</v>
      </c>
    </row>
    <row r="393">
      <c r="A393" t="s">
        <v>31</v>
      </c>
      <c r="B393" t="s">
        <v>509</v>
      </c>
      <c r="C393" t="s">
        <v>511</v>
      </c>
      <c r="D393" t="s">
        <v>715</v>
      </c>
      <c r="E393" s="13" t="n">
        <v>0.75</v>
      </c>
      <c r="F393" s="16" t="n">
        <v>139</v>
      </c>
      <c r="G393" s="14" t="n">
        <v>0.104379825720049</v>
      </c>
      <c r="H393" s="15" t="n">
        <v>-0.742701051556178</v>
      </c>
    </row>
    <row r="394">
      <c r="A394" t="s">
        <v>30</v>
      </c>
      <c r="B394" t="s">
        <v>512</v>
      </c>
      <c r="C394" t="s">
        <v>513</v>
      </c>
      <c r="D394" t="s">
        <v>715</v>
      </c>
      <c r="E394" s="13" t="n">
        <v>1</v>
      </c>
      <c r="F394" s="16" t="n">
        <v>111</v>
      </c>
      <c r="G394" s="14" t="n">
        <v>-0.743144825477394</v>
      </c>
      <c r="H394" s="15" t="n">
        <v>-0.669130606358858</v>
      </c>
    </row>
    <row r="395">
      <c r="A395" t="s">
        <v>30</v>
      </c>
      <c r="B395" t="s">
        <v>512</v>
      </c>
      <c r="C395" t="s">
        <v>514</v>
      </c>
      <c r="D395" t="s">
        <v>715</v>
      </c>
      <c r="E395" s="13" t="n">
        <v>1.75</v>
      </c>
      <c r="F395" s="16" t="n">
        <v>74</v>
      </c>
      <c r="G395" s="14" t="n">
        <v>-1.48408416827375</v>
      </c>
      <c r="H395" s="15" t="n">
        <v>0.927358712408109</v>
      </c>
    </row>
    <row r="396">
      <c r="A396" t="s">
        <v>30</v>
      </c>
      <c r="B396" t="s">
        <v>515</v>
      </c>
      <c r="C396" t="s">
        <v>516</v>
      </c>
      <c r="D396" t="s">
        <v>715</v>
      </c>
      <c r="E396" s="13" t="n">
        <v>0.5</v>
      </c>
      <c r="F396" s="16" t="n">
        <v>84</v>
      </c>
      <c r="G396" s="14" t="n">
        <v>-0.489073800366903</v>
      </c>
      <c r="H396" s="15" t="n">
        <v>0.10395584540888</v>
      </c>
    </row>
    <row r="397">
      <c r="A397" t="s">
        <v>30</v>
      </c>
      <c r="B397" t="s">
        <v>515</v>
      </c>
      <c r="C397" t="s">
        <v>517</v>
      </c>
      <c r="D397" t="s">
        <v>715</v>
      </c>
      <c r="E397" s="13" t="n">
        <v>0.5</v>
      </c>
      <c r="F397" s="16" t="n">
        <v>92</v>
      </c>
      <c r="G397" s="14" t="n">
        <v>-0.498782025129912</v>
      </c>
      <c r="H397" s="15" t="n">
        <v>-0.0348782368720625</v>
      </c>
    </row>
    <row r="398">
      <c r="A398" t="s">
        <v>30</v>
      </c>
      <c r="B398" t="s">
        <v>518</v>
      </c>
      <c r="C398" t="s">
        <v>519</v>
      </c>
      <c r="D398" t="s">
        <v>715</v>
      </c>
      <c r="E398" s="13" t="n">
        <v>0.5</v>
      </c>
      <c r="F398" s="16" t="n">
        <v>108</v>
      </c>
      <c r="G398" s="14" t="n">
        <v>-0.404508497187474</v>
      </c>
      <c r="H398" s="15" t="n">
        <v>-0.293892626146237</v>
      </c>
    </row>
    <row r="399">
      <c r="A399" t="s">
        <v>30</v>
      </c>
      <c r="B399" t="s">
        <v>518</v>
      </c>
      <c r="C399" t="s">
        <v>520</v>
      </c>
      <c r="D399" t="s">
        <v>715</v>
      </c>
      <c r="E399" s="13" t="n">
        <v>0.75</v>
      </c>
      <c r="F399" s="16" t="n">
        <v>81</v>
      </c>
      <c r="G399" s="14" t="n">
        <v>-0.713292387221365</v>
      </c>
      <c r="H399" s="15" t="n">
        <v>0.231762745781211</v>
      </c>
    </row>
    <row r="400">
      <c r="A400" t="s">
        <v>31</v>
      </c>
      <c r="B400" t="s">
        <v>521</v>
      </c>
      <c r="C400" t="s">
        <v>522</v>
      </c>
      <c r="D400" t="s">
        <v>715</v>
      </c>
      <c r="E400" s="13" t="n">
        <v>1</v>
      </c>
      <c r="F400" s="16" t="n">
        <v>91</v>
      </c>
      <c r="G400" s="14" t="n">
        <v>-0.999390827019096</v>
      </c>
      <c r="H400" s="15" t="n">
        <v>-0.0348994967025011</v>
      </c>
    </row>
    <row r="401">
      <c r="A401" t="s">
        <v>31</v>
      </c>
      <c r="B401" t="s">
        <v>521</v>
      </c>
      <c r="C401" t="s">
        <v>523</v>
      </c>
      <c r="D401" t="s">
        <v>715</v>
      </c>
      <c r="E401" s="13" t="n">
        <v>1</v>
      </c>
      <c r="F401" s="16" t="n">
        <v>76</v>
      </c>
      <c r="G401" s="14" t="n">
        <v>-0.882947592858927</v>
      </c>
      <c r="H401" s="15" t="n">
        <v>0.469471562785891</v>
      </c>
    </row>
    <row r="402">
      <c r="A402" t="s">
        <v>31</v>
      </c>
      <c r="B402" t="s">
        <v>524</v>
      </c>
      <c r="C402" t="s">
        <v>525</v>
      </c>
      <c r="D402" t="s">
        <v>715</v>
      </c>
      <c r="E402" s="13" t="n">
        <v>0.5</v>
      </c>
      <c r="F402" s="16" t="n">
        <v>107</v>
      </c>
      <c r="G402" s="14" t="n">
        <v>-0.414518786277521</v>
      </c>
      <c r="H402" s="15" t="n">
        <v>-0.279596451735373</v>
      </c>
    </row>
    <row r="403">
      <c r="A403" t="s">
        <v>30</v>
      </c>
      <c r="B403" t="s">
        <v>526</v>
      </c>
      <c r="C403" t="s">
        <v>527</v>
      </c>
      <c r="D403" t="s">
        <v>715</v>
      </c>
      <c r="E403" s="13" t="n">
        <v>0.25</v>
      </c>
      <c r="F403" s="16" t="n">
        <v>142</v>
      </c>
      <c r="G403" s="14" t="n">
        <v>0.0604804738999169</v>
      </c>
      <c r="H403" s="15" t="n">
        <v>-0.242573931568999</v>
      </c>
    </row>
    <row r="404">
      <c r="A404" t="s">
        <v>30</v>
      </c>
      <c r="B404" t="s">
        <v>526</v>
      </c>
      <c r="C404" t="s">
        <v>528</v>
      </c>
      <c r="D404" t="s">
        <v>715</v>
      </c>
      <c r="E404" s="13" t="n">
        <v>0.25</v>
      </c>
      <c r="F404" s="16" t="n">
        <v>43</v>
      </c>
      <c r="G404" s="14" t="n">
        <v>0.0174391184360313</v>
      </c>
      <c r="H404" s="15" t="n">
        <v>0.249391012564956</v>
      </c>
    </row>
    <row r="405">
      <c r="A405" t="s">
        <v>31</v>
      </c>
      <c r="B405" t="s">
        <v>722</v>
      </c>
      <c r="C405" t="s">
        <v>723</v>
      </c>
      <c r="D405" t="s">
        <v>715</v>
      </c>
      <c r="E405" s="13" t="n">
        <v>0.75</v>
      </c>
      <c r="F405" s="16" t="n">
        <v>81</v>
      </c>
      <c r="G405" s="14" t="n">
        <v>-0.713292387221365</v>
      </c>
      <c r="H405" s="15" t="n">
        <v>0.231762745781211</v>
      </c>
    </row>
    <row r="406">
      <c r="A406" t="s">
        <v>31</v>
      </c>
      <c r="B406" t="s">
        <v>722</v>
      </c>
      <c r="C406" t="s">
        <v>724</v>
      </c>
      <c r="D406" t="s">
        <v>715</v>
      </c>
      <c r="E406" s="13" t="n">
        <v>1</v>
      </c>
      <c r="F406" s="16" t="n">
        <v>88</v>
      </c>
      <c r="G406" s="14" t="n">
        <v>-0.997564050259824</v>
      </c>
      <c r="H406" s="15" t="n">
        <v>0.0697564737441255</v>
      </c>
    </row>
    <row r="407">
      <c r="A407" t="s">
        <v>31</v>
      </c>
      <c r="B407" t="s">
        <v>529</v>
      </c>
      <c r="C407" t="s">
        <v>530</v>
      </c>
      <c r="D407" t="s">
        <v>715</v>
      </c>
      <c r="E407" s="13" t="n">
        <v>0.5</v>
      </c>
      <c r="F407" s="16" t="n">
        <v>62</v>
      </c>
      <c r="G407" s="14" t="n">
        <v>-0.279596451735373</v>
      </c>
      <c r="H407" s="15" t="n">
        <v>0.414518786277521</v>
      </c>
    </row>
    <row r="408">
      <c r="A408" t="s">
        <v>31</v>
      </c>
      <c r="B408" t="s">
        <v>529</v>
      </c>
      <c r="C408" t="s">
        <v>531</v>
      </c>
      <c r="D408" t="s">
        <v>715</v>
      </c>
      <c r="E408" s="13" t="n">
        <v>0.5</v>
      </c>
      <c r="F408" s="16" t="n">
        <v>133</v>
      </c>
      <c r="G408" s="14" t="n">
        <v>-0.0348782368720628</v>
      </c>
      <c r="H408" s="15" t="n">
        <v>-0.498782025129912</v>
      </c>
    </row>
    <row r="409">
      <c r="A409" t="s">
        <v>31</v>
      </c>
      <c r="B409" t="s">
        <v>532</v>
      </c>
      <c r="C409" t="s">
        <v>533</v>
      </c>
      <c r="D409" t="s">
        <v>715</v>
      </c>
      <c r="E409" s="13" t="n">
        <v>0.5</v>
      </c>
      <c r="F409" s="16" t="n">
        <v>51</v>
      </c>
      <c r="G409" s="14" t="n">
        <v>-0.10395584540888</v>
      </c>
      <c r="H409" s="15" t="n">
        <v>0.489073800366903</v>
      </c>
    </row>
    <row r="410">
      <c r="A410" t="s">
        <v>30</v>
      </c>
      <c r="B410" t="s">
        <v>534</v>
      </c>
      <c r="C410" t="s">
        <v>535</v>
      </c>
      <c r="D410" t="s">
        <v>715</v>
      </c>
      <c r="E410" s="13" t="n">
        <v>1.25</v>
      </c>
      <c r="F410" s="16" t="n">
        <v>89</v>
      </c>
      <c r="G410" s="14" t="n">
        <v>-1.24923853377387</v>
      </c>
      <c r="H410" s="15" t="n">
        <v>0.0436243708781264</v>
      </c>
    </row>
    <row r="411">
      <c r="A411" t="s">
        <v>31</v>
      </c>
      <c r="B411" t="s">
        <v>536</v>
      </c>
      <c r="C411" t="s">
        <v>537</v>
      </c>
      <c r="D411" t="s">
        <v>715</v>
      </c>
      <c r="E411" s="13" t="n">
        <v>0.75</v>
      </c>
      <c r="F411" s="16" t="n">
        <v>94</v>
      </c>
      <c r="G411" s="14" t="n">
        <v>-0.742701051556178</v>
      </c>
      <c r="H411" s="15" t="n">
        <v>-0.104379825720049</v>
      </c>
    </row>
    <row r="412">
      <c r="A412" t="s">
        <v>31</v>
      </c>
      <c r="B412" t="s">
        <v>725</v>
      </c>
      <c r="C412" t="s">
        <v>726</v>
      </c>
      <c r="D412" t="s">
        <v>715</v>
      </c>
      <c r="E412" s="13" t="n">
        <v>0.5</v>
      </c>
      <c r="F412" s="16" t="n">
        <v>40</v>
      </c>
      <c r="G412" s="14" t="n">
        <v>0.0868240888334652</v>
      </c>
      <c r="H412" s="15" t="n">
        <v>0.492403876506104</v>
      </c>
    </row>
    <row r="413">
      <c r="A413" t="s">
        <v>31</v>
      </c>
      <c r="B413" t="s">
        <v>725</v>
      </c>
      <c r="C413" t="s">
        <v>727</v>
      </c>
      <c r="D413" t="s">
        <v>715</v>
      </c>
      <c r="E413" s="13" t="n">
        <v>1</v>
      </c>
      <c r="F413" s="16" t="n">
        <v>134</v>
      </c>
      <c r="G413" s="14" t="n">
        <v>-0.0348994967025008</v>
      </c>
      <c r="H413" s="15" t="n">
        <v>-0.999390827019096</v>
      </c>
    </row>
    <row r="414">
      <c r="A414" t="s">
        <v>30</v>
      </c>
      <c r="B414" t="s">
        <v>728</v>
      </c>
      <c r="C414" t="s">
        <v>729</v>
      </c>
      <c r="D414" t="s">
        <v>715</v>
      </c>
      <c r="E414" s="13" t="n">
        <v>0.25</v>
      </c>
      <c r="F414" s="16" t="n">
        <v>126</v>
      </c>
      <c r="G414" s="14" t="n">
        <v>-0.0772542485937369</v>
      </c>
      <c r="H414" s="15" t="n">
        <v>-0.237764129073788</v>
      </c>
    </row>
    <row r="415">
      <c r="A415" t="s">
        <v>30</v>
      </c>
      <c r="B415" t="s">
        <v>728</v>
      </c>
      <c r="C415" t="s">
        <v>730</v>
      </c>
      <c r="D415" t="s">
        <v>715</v>
      </c>
      <c r="E415" s="13" t="n">
        <v>0.5</v>
      </c>
      <c r="F415" s="16" t="n">
        <v>55</v>
      </c>
      <c r="G415" s="14" t="n">
        <v>-0.171010071662834</v>
      </c>
      <c r="H415" s="15" t="n">
        <v>0.469846310392954</v>
      </c>
    </row>
    <row r="416">
      <c r="A416" t="s">
        <v>30</v>
      </c>
      <c r="B416" t="s">
        <v>538</v>
      </c>
      <c r="C416" t="s">
        <v>539</v>
      </c>
      <c r="D416" t="s">
        <v>715</v>
      </c>
      <c r="E416" s="13" t="n">
        <v>1</v>
      </c>
      <c r="F416" s="16" t="n">
        <v>84</v>
      </c>
      <c r="G416" s="14" t="n">
        <v>-0.978147600733806</v>
      </c>
      <c r="H416" s="15" t="n">
        <v>0.207911690817759</v>
      </c>
    </row>
    <row r="417">
      <c r="A417" t="s">
        <v>31</v>
      </c>
      <c r="B417" t="s">
        <v>540</v>
      </c>
      <c r="C417" t="s">
        <v>541</v>
      </c>
      <c r="D417" t="s">
        <v>715</v>
      </c>
      <c r="E417" s="13" t="n">
        <v>0.5</v>
      </c>
      <c r="F417" s="16" t="n">
        <v>172</v>
      </c>
      <c r="G417" s="14" t="n">
        <v>0.480630847969159</v>
      </c>
      <c r="H417" s="15" t="n">
        <v>-0.137818677908499</v>
      </c>
    </row>
    <row r="418">
      <c r="A418" t="s">
        <v>31</v>
      </c>
      <c r="B418" t="s">
        <v>542</v>
      </c>
      <c r="C418" t="s">
        <v>543</v>
      </c>
      <c r="D418" t="s">
        <v>715</v>
      </c>
      <c r="E418" s="13" t="n">
        <v>0.75</v>
      </c>
      <c r="F418" s="16" t="n">
        <v>78</v>
      </c>
      <c r="G418" s="14" t="n">
        <v>-0.685159093231951</v>
      </c>
      <c r="H418" s="15" t="n">
        <v>0.30505248230685</v>
      </c>
    </row>
    <row r="419">
      <c r="A419" t="s">
        <v>31</v>
      </c>
      <c r="B419" t="s">
        <v>542</v>
      </c>
      <c r="C419" t="s">
        <v>544</v>
      </c>
      <c r="D419" t="s">
        <v>715</v>
      </c>
      <c r="E419" s="13" t="n">
        <v>0.75</v>
      </c>
      <c r="F419" s="16" t="n">
        <v>106</v>
      </c>
      <c r="G419" s="14" t="n">
        <v>-0.636036072117319</v>
      </c>
      <c r="H419" s="15" t="n">
        <v>-0.397439448174904</v>
      </c>
    </row>
    <row r="420">
      <c r="A420" t="s">
        <v>31</v>
      </c>
      <c r="B420" t="s">
        <v>731</v>
      </c>
      <c r="C420" t="s">
        <v>732</v>
      </c>
      <c r="D420" t="s">
        <v>715</v>
      </c>
      <c r="E420" s="13" t="n">
        <v>1.25</v>
      </c>
      <c r="F420" s="16" t="n">
        <v>68</v>
      </c>
      <c r="G420" s="14" t="n">
        <v>-0.899174750423314</v>
      </c>
      <c r="H420" s="15" t="n">
        <v>0.868322963073747</v>
      </c>
    </row>
    <row r="421">
      <c r="A421" t="s">
        <v>31</v>
      </c>
      <c r="B421" t="s">
        <v>545</v>
      </c>
      <c r="C421" t="s">
        <v>546</v>
      </c>
      <c r="D421" t="s">
        <v>715</v>
      </c>
      <c r="E421" s="13" t="n">
        <v>0.5</v>
      </c>
      <c r="F421" s="16" t="n">
        <v>100</v>
      </c>
      <c r="G421" s="14" t="n">
        <v>-0.469846310392954</v>
      </c>
      <c r="H421" s="15" t="n">
        <v>-0.171010071662834</v>
      </c>
    </row>
    <row r="422">
      <c r="A422" t="s">
        <v>31</v>
      </c>
      <c r="B422" t="s">
        <v>545</v>
      </c>
      <c r="C422" t="s">
        <v>547</v>
      </c>
      <c r="D422" t="s">
        <v>715</v>
      </c>
      <c r="E422" s="13" t="n">
        <v>0.5</v>
      </c>
      <c r="F422" s="16" t="n">
        <v>64</v>
      </c>
      <c r="G422" s="14" t="n">
        <v>-0.307830737662829</v>
      </c>
      <c r="H422" s="15" t="n">
        <v>0.394005376803361</v>
      </c>
    </row>
    <row r="423">
      <c r="A423" t="s">
        <v>31</v>
      </c>
      <c r="B423" t="s">
        <v>733</v>
      </c>
      <c r="C423" t="s">
        <v>734</v>
      </c>
      <c r="D423" t="s">
        <v>715</v>
      </c>
      <c r="E423" s="13" t="n">
        <v>0.75</v>
      </c>
      <c r="F423" s="16" t="n">
        <v>67</v>
      </c>
      <c r="G423" s="14" t="n">
        <v>-0.520993777844248</v>
      </c>
      <c r="H423" s="15" t="n">
        <v>0.539504850253988</v>
      </c>
    </row>
    <row r="424">
      <c r="A424" t="s">
        <v>31</v>
      </c>
      <c r="B424" t="s">
        <v>733</v>
      </c>
      <c r="C424" t="s">
        <v>735</v>
      </c>
      <c r="D424" t="s">
        <v>715</v>
      </c>
      <c r="E424" s="13" t="n">
        <v>0.5</v>
      </c>
      <c r="F424" s="16" t="n">
        <v>110</v>
      </c>
      <c r="G424" s="14" t="n">
        <v>-0.383022221559489</v>
      </c>
      <c r="H424" s="15" t="n">
        <v>-0.32139380484327</v>
      </c>
    </row>
    <row r="425">
      <c r="A425" t="s">
        <v>30</v>
      </c>
      <c r="B425" t="s">
        <v>548</v>
      </c>
      <c r="C425" t="s">
        <v>549</v>
      </c>
      <c r="D425" t="s">
        <v>715</v>
      </c>
      <c r="E425" s="13" t="n">
        <v>0.5</v>
      </c>
      <c r="F425" s="16" t="n">
        <v>131</v>
      </c>
      <c r="G425" s="14" t="n">
        <v>-0.0695865504800329</v>
      </c>
      <c r="H425" s="15" t="n">
        <v>-0.495134034370785</v>
      </c>
    </row>
    <row r="426">
      <c r="A426" t="s">
        <v>30</v>
      </c>
      <c r="B426" t="s">
        <v>550</v>
      </c>
      <c r="C426" t="s">
        <v>551</v>
      </c>
      <c r="D426" t="s">
        <v>715</v>
      </c>
      <c r="E426" s="13" t="n">
        <v>0.75</v>
      </c>
      <c r="F426" s="16" t="n">
        <v>10</v>
      </c>
      <c r="G426" s="14" t="n">
        <v>0.704769465589431</v>
      </c>
      <c r="H426" s="15" t="n">
        <v>0.256515107494252</v>
      </c>
    </row>
    <row r="427">
      <c r="A427" t="s">
        <v>30</v>
      </c>
      <c r="B427" t="s">
        <v>550</v>
      </c>
      <c r="C427" t="s">
        <v>552</v>
      </c>
      <c r="D427" t="s">
        <v>715</v>
      </c>
      <c r="E427" s="13" t="n">
        <v>0.5</v>
      </c>
      <c r="F427" s="16" t="n">
        <v>6</v>
      </c>
      <c r="G427" s="14" t="n">
        <v>0.489073800366903</v>
      </c>
      <c r="H427" s="15" t="n">
        <v>0.10395584540888</v>
      </c>
    </row>
    <row r="428">
      <c r="A428" t="s">
        <v>30</v>
      </c>
      <c r="B428" t="s">
        <v>553</v>
      </c>
      <c r="C428" t="s">
        <v>554</v>
      </c>
      <c r="D428" t="s">
        <v>715</v>
      </c>
      <c r="E428" s="13" t="n">
        <v>1.25</v>
      </c>
      <c r="F428" s="16" t="n">
        <v>66</v>
      </c>
      <c r="G428" s="14" t="n">
        <v>-0.836413257948572</v>
      </c>
      <c r="H428" s="15" t="n">
        <v>0.928931031846743</v>
      </c>
    </row>
    <row r="429">
      <c r="A429" t="s">
        <v>30</v>
      </c>
      <c r="B429" t="s">
        <v>553</v>
      </c>
      <c r="C429" t="s">
        <v>555</v>
      </c>
      <c r="D429" t="s">
        <v>715</v>
      </c>
      <c r="E429" s="13" t="n">
        <v>2</v>
      </c>
      <c r="F429" s="16" t="n">
        <v>126</v>
      </c>
      <c r="G429" s="14" t="n">
        <v>-0.618033988749895</v>
      </c>
      <c r="H429" s="15" t="n">
        <v>-1.90211303259031</v>
      </c>
    </row>
    <row r="430">
      <c r="A430" t="s">
        <v>31</v>
      </c>
      <c r="B430" t="s">
        <v>556</v>
      </c>
      <c r="C430" t="s">
        <v>557</v>
      </c>
      <c r="D430" t="s">
        <v>715</v>
      </c>
      <c r="E430" s="13" t="n">
        <v>0.5</v>
      </c>
      <c r="F430" s="16" t="n">
        <v>98</v>
      </c>
      <c r="G430" s="14" t="n">
        <v>-0.48063084796916</v>
      </c>
      <c r="H430" s="15" t="n">
        <v>-0.137818677908499</v>
      </c>
    </row>
    <row r="431">
      <c r="A431" t="s">
        <v>31</v>
      </c>
      <c r="B431" t="s">
        <v>558</v>
      </c>
      <c r="C431" t="s">
        <v>559</v>
      </c>
      <c r="D431" t="s">
        <v>715</v>
      </c>
      <c r="E431" s="13" t="n">
        <v>0.25</v>
      </c>
      <c r="F431" s="16" t="n">
        <v>85</v>
      </c>
      <c r="G431" s="14" t="n">
        <v>-0.246201938253052</v>
      </c>
      <c r="H431" s="15" t="n">
        <v>0.0434120444167327</v>
      </c>
    </row>
    <row r="432">
      <c r="A432" t="s">
        <v>31</v>
      </c>
      <c r="B432" t="s">
        <v>560</v>
      </c>
      <c r="C432" t="s">
        <v>561</v>
      </c>
      <c r="D432" t="s">
        <v>715</v>
      </c>
      <c r="E432" s="13" t="n">
        <v>1.25</v>
      </c>
      <c r="F432" s="16" t="n">
        <v>96</v>
      </c>
      <c r="G432" s="14" t="n">
        <v>-1.22268450091726</v>
      </c>
      <c r="H432" s="15" t="n">
        <v>-0.259889613522199</v>
      </c>
    </row>
    <row r="433">
      <c r="A433" t="s">
        <v>30</v>
      </c>
      <c r="B433" t="s">
        <v>562</v>
      </c>
      <c r="C433" t="s">
        <v>563</v>
      </c>
      <c r="D433" t="s">
        <v>715</v>
      </c>
      <c r="E433" s="13" t="n">
        <v>0.75</v>
      </c>
      <c r="F433" s="16" t="n">
        <v>125</v>
      </c>
      <c r="G433" s="14" t="n">
        <v>-0.256515107494252</v>
      </c>
      <c r="H433" s="15" t="n">
        <v>-0.704769465589431</v>
      </c>
    </row>
    <row r="434">
      <c r="A434" t="s">
        <v>30</v>
      </c>
      <c r="B434" t="s">
        <v>562</v>
      </c>
      <c r="C434" t="s">
        <v>564</v>
      </c>
      <c r="D434" t="s">
        <v>715</v>
      </c>
      <c r="E434" s="13" t="n">
        <v>0.5</v>
      </c>
      <c r="F434" s="16" t="n">
        <v>53</v>
      </c>
      <c r="G434" s="14" t="n">
        <v>-0.1378186779085</v>
      </c>
      <c r="H434" s="15" t="n">
        <v>0.480630847969159</v>
      </c>
    </row>
    <row r="435">
      <c r="A435" t="s">
        <v>30</v>
      </c>
      <c r="B435" t="s">
        <v>565</v>
      </c>
      <c r="C435" t="s">
        <v>566</v>
      </c>
      <c r="D435" t="s">
        <v>715</v>
      </c>
      <c r="E435" s="13" t="n">
        <v>0.5</v>
      </c>
      <c r="F435" s="16" t="n">
        <v>158</v>
      </c>
      <c r="G435" s="14" t="n">
        <v>0.359669900169325</v>
      </c>
      <c r="H435" s="15" t="n">
        <v>-0.347329185229499</v>
      </c>
    </row>
    <row r="436">
      <c r="A436" t="s">
        <v>30</v>
      </c>
      <c r="B436" t="s">
        <v>567</v>
      </c>
      <c r="C436" t="s">
        <v>568</v>
      </c>
      <c r="D436" t="s">
        <v>715</v>
      </c>
      <c r="E436" s="13" t="n">
        <v>0.75</v>
      </c>
      <c r="F436" s="16" t="n">
        <v>171</v>
      </c>
      <c r="G436" s="14" t="n">
        <v>0.713292387221365</v>
      </c>
      <c r="H436" s="15" t="n">
        <v>-0.231762745781211</v>
      </c>
    </row>
    <row r="437">
      <c r="A437" t="s">
        <v>30</v>
      </c>
      <c r="B437" t="s">
        <v>567</v>
      </c>
      <c r="C437" t="s">
        <v>569</v>
      </c>
      <c r="D437" t="s">
        <v>715</v>
      </c>
      <c r="E437" s="13" t="n">
        <v>0.75</v>
      </c>
      <c r="F437" s="16" t="n">
        <v>3</v>
      </c>
      <c r="G437" s="14" t="n">
        <v>0.745891421526205</v>
      </c>
      <c r="H437" s="15" t="n">
        <v>0.0783963474507401</v>
      </c>
    </row>
    <row r="438">
      <c r="A438" t="s">
        <v>31</v>
      </c>
      <c r="B438" t="s">
        <v>570</v>
      </c>
      <c r="C438" t="s">
        <v>571</v>
      </c>
      <c r="D438" t="s">
        <v>715</v>
      </c>
      <c r="E438" s="13" t="n">
        <v>1.25</v>
      </c>
      <c r="F438" s="16" t="n">
        <v>8</v>
      </c>
      <c r="G438" s="14" t="n">
        <v>1.2015771199229</v>
      </c>
      <c r="H438" s="15" t="n">
        <v>0.344546694771249</v>
      </c>
    </row>
    <row r="439">
      <c r="A439" t="s">
        <v>31</v>
      </c>
      <c r="B439" t="s">
        <v>570</v>
      </c>
      <c r="C439" t="s">
        <v>572</v>
      </c>
      <c r="D439" t="s">
        <v>715</v>
      </c>
      <c r="E439" s="13" t="n">
        <v>0.5</v>
      </c>
      <c r="F439" s="16" t="n">
        <v>171</v>
      </c>
      <c r="G439" s="14" t="n">
        <v>0.475528258147577</v>
      </c>
      <c r="H439" s="15" t="n">
        <v>-0.154508497187474</v>
      </c>
    </row>
    <row r="440">
      <c r="A440" t="s">
        <v>31</v>
      </c>
      <c r="B440" t="s">
        <v>573</v>
      </c>
      <c r="C440" t="s">
        <v>574</v>
      </c>
      <c r="D440" t="s">
        <v>715</v>
      </c>
      <c r="E440" s="13" t="n">
        <v>0.5</v>
      </c>
      <c r="F440" s="16" t="n">
        <v>70</v>
      </c>
      <c r="G440" s="14" t="n">
        <v>-0.383022221559489</v>
      </c>
      <c r="H440" s="15" t="n">
        <v>0.32139380484327</v>
      </c>
    </row>
    <row r="441">
      <c r="A441" t="s">
        <v>31</v>
      </c>
      <c r="B441" t="s">
        <v>573</v>
      </c>
      <c r="C441" t="s">
        <v>575</v>
      </c>
      <c r="D441" t="s">
        <v>715</v>
      </c>
      <c r="E441" s="13" t="n">
        <v>1</v>
      </c>
      <c r="F441" s="16" t="n">
        <v>115</v>
      </c>
      <c r="G441" s="14" t="n">
        <v>-0.642787609686539</v>
      </c>
      <c r="H441" s="15" t="n">
        <v>-0.766044443118978</v>
      </c>
    </row>
    <row r="442">
      <c r="A442" t="s">
        <v>30</v>
      </c>
      <c r="B442" t="s">
        <v>576</v>
      </c>
      <c r="C442" t="s">
        <v>577</v>
      </c>
      <c r="D442" t="s">
        <v>715</v>
      </c>
      <c r="E442" s="13" t="n">
        <v>0.25</v>
      </c>
      <c r="F442" s="16" t="n">
        <v>103</v>
      </c>
      <c r="G442" s="14" t="n">
        <v>-0.224698511574792</v>
      </c>
      <c r="H442" s="15" t="n">
        <v>-0.109592786697269</v>
      </c>
    </row>
    <row r="443">
      <c r="A443" t="s">
        <v>30</v>
      </c>
      <c r="B443" t="s">
        <v>576</v>
      </c>
      <c r="C443" t="s">
        <v>578</v>
      </c>
      <c r="D443" t="s">
        <v>715</v>
      </c>
      <c r="E443" s="13" t="n">
        <v>1</v>
      </c>
      <c r="F443" s="16" t="n">
        <v>90</v>
      </c>
      <c r="G443" s="14" t="n">
        <v>-1</v>
      </c>
      <c r="H443" s="15" t="n">
        <v>0</v>
      </c>
    </row>
    <row r="444">
      <c r="A444" t="s">
        <v>31</v>
      </c>
      <c r="B444" t="s">
        <v>579</v>
      </c>
      <c r="C444" t="s">
        <v>580</v>
      </c>
      <c r="D444" t="s">
        <v>715</v>
      </c>
      <c r="E444" s="13" t="n">
        <v>0.75</v>
      </c>
      <c r="F444" s="16" t="n">
        <v>35</v>
      </c>
      <c r="G444" s="14" t="n">
        <v>0.256515107494252</v>
      </c>
      <c r="H444" s="15" t="n">
        <v>0.704769465589431</v>
      </c>
    </row>
    <row r="445">
      <c r="A445" t="s">
        <v>31</v>
      </c>
      <c r="B445" t="s">
        <v>579</v>
      </c>
      <c r="C445" t="s">
        <v>581</v>
      </c>
      <c r="D445" t="s">
        <v>715</v>
      </c>
      <c r="E445" s="13" t="n">
        <v>0.5</v>
      </c>
      <c r="F445" s="16" t="n">
        <v>159</v>
      </c>
      <c r="G445" s="14" t="n">
        <v>0.371572412738697</v>
      </c>
      <c r="H445" s="15" t="n">
        <v>-0.334565303179429</v>
      </c>
    </row>
    <row r="446">
      <c r="A446" t="s">
        <v>30</v>
      </c>
      <c r="B446" t="s">
        <v>582</v>
      </c>
      <c r="C446" t="s">
        <v>583</v>
      </c>
      <c r="D446" t="s">
        <v>715</v>
      </c>
      <c r="E446" s="13" t="n">
        <v>0.75</v>
      </c>
      <c r="F446" s="16" t="n">
        <v>92</v>
      </c>
      <c r="G446" s="14" t="n">
        <v>-0.748173037694868</v>
      </c>
      <c r="H446" s="15" t="n">
        <v>-0.0523173553080938</v>
      </c>
    </row>
    <row r="447">
      <c r="A447" t="s">
        <v>30</v>
      </c>
      <c r="B447" t="s">
        <v>582</v>
      </c>
      <c r="C447" t="s">
        <v>584</v>
      </c>
      <c r="D447" t="s">
        <v>715</v>
      </c>
      <c r="E447" s="13" t="n">
        <v>0.75</v>
      </c>
      <c r="F447" s="16" t="n">
        <v>90</v>
      </c>
      <c r="G447" s="14" t="n">
        <v>-0.75</v>
      </c>
      <c r="H447" s="15" t="n">
        <v>0</v>
      </c>
    </row>
    <row r="448">
      <c r="A448" t="s">
        <v>31</v>
      </c>
      <c r="B448" t="s">
        <v>585</v>
      </c>
      <c r="C448" t="s">
        <v>586</v>
      </c>
      <c r="D448" t="s">
        <v>715</v>
      </c>
      <c r="E448" s="13" t="n">
        <v>1.75</v>
      </c>
      <c r="F448" s="16" t="n">
        <v>96</v>
      </c>
      <c r="G448" s="14" t="n">
        <v>-1.71175830128416</v>
      </c>
      <c r="H448" s="15" t="n">
        <v>-0.363845458931079</v>
      </c>
    </row>
    <row r="449">
      <c r="A449" t="s">
        <v>31</v>
      </c>
      <c r="B449" t="s">
        <v>585</v>
      </c>
      <c r="C449" t="s">
        <v>587</v>
      </c>
      <c r="D449" t="s">
        <v>715</v>
      </c>
      <c r="E449" s="13" t="n">
        <v>1.25</v>
      </c>
      <c r="F449" s="16" t="n">
        <v>98</v>
      </c>
      <c r="G449" s="14" t="n">
        <v>-1.2015771199229</v>
      </c>
      <c r="H449" s="15" t="n">
        <v>-0.344546694771249</v>
      </c>
    </row>
    <row r="450">
      <c r="A450" t="s">
        <v>31</v>
      </c>
      <c r="B450" t="s">
        <v>588</v>
      </c>
      <c r="C450" t="s">
        <v>589</v>
      </c>
      <c r="D450" t="s">
        <v>715</v>
      </c>
      <c r="E450" s="13" t="n">
        <v>1.25</v>
      </c>
      <c r="F450" s="16" t="n">
        <v>78</v>
      </c>
      <c r="G450" s="14" t="n">
        <v>-1.14193182205325</v>
      </c>
      <c r="H450" s="15" t="n">
        <v>0.50842080384475</v>
      </c>
    </row>
    <row r="451">
      <c r="A451" t="s">
        <v>31</v>
      </c>
      <c r="B451" t="s">
        <v>590</v>
      </c>
      <c r="C451" t="s">
        <v>591</v>
      </c>
      <c r="D451" t="s">
        <v>715</v>
      </c>
      <c r="E451" s="13" t="n">
        <v>1.5</v>
      </c>
      <c r="F451" s="16" t="n">
        <v>87</v>
      </c>
      <c r="G451" s="14" t="n">
        <v>-1.49178284305241</v>
      </c>
      <c r="H451" s="15" t="n">
        <v>0.156792694901481</v>
      </c>
    </row>
    <row r="452">
      <c r="A452" t="s">
        <v>31</v>
      </c>
      <c r="B452" t="s">
        <v>590</v>
      </c>
      <c r="C452" t="s">
        <v>592</v>
      </c>
      <c r="D452" t="s">
        <v>715</v>
      </c>
      <c r="E452" s="13" t="n">
        <v>1.5</v>
      </c>
      <c r="F452" s="16" t="n">
        <v>63</v>
      </c>
      <c r="G452" s="14" t="n">
        <v>-0.88167787843871</v>
      </c>
      <c r="H452" s="15" t="n">
        <v>1.21352549156242</v>
      </c>
    </row>
    <row r="453">
      <c r="A453" t="s">
        <v>30</v>
      </c>
      <c r="B453" t="s">
        <v>593</v>
      </c>
      <c r="C453" t="s">
        <v>594</v>
      </c>
      <c r="D453" t="s">
        <v>715</v>
      </c>
      <c r="E453" s="13" t="n">
        <v>0.5</v>
      </c>
      <c r="F453" s="16" t="n">
        <v>134</v>
      </c>
      <c r="G453" s="14" t="n">
        <v>-0.0174497483512504</v>
      </c>
      <c r="H453" s="15" t="n">
        <v>-0.499695413509548</v>
      </c>
    </row>
    <row r="454">
      <c r="A454" t="s">
        <v>30</v>
      </c>
      <c r="B454" t="s">
        <v>593</v>
      </c>
      <c r="C454" t="s">
        <v>595</v>
      </c>
      <c r="D454" t="s">
        <v>715</v>
      </c>
      <c r="E454" s="13" t="n">
        <v>0.5</v>
      </c>
      <c r="F454" s="16" t="n">
        <v>35</v>
      </c>
      <c r="G454" s="14" t="n">
        <v>0.171010071662834</v>
      </c>
      <c r="H454" s="15" t="n">
        <v>0.469846310392954</v>
      </c>
    </row>
    <row r="455">
      <c r="A455" t="s">
        <v>31</v>
      </c>
      <c r="B455" t="s">
        <v>596</v>
      </c>
      <c r="C455" t="s">
        <v>597</v>
      </c>
      <c r="D455" t="s">
        <v>715</v>
      </c>
      <c r="E455" s="13" t="n">
        <v>0.5</v>
      </c>
      <c r="F455" s="16" t="n">
        <v>50</v>
      </c>
      <c r="G455" s="14" t="n">
        <v>-0.0868240888334652</v>
      </c>
      <c r="H455" s="15" t="n">
        <v>0.492403876506104</v>
      </c>
    </row>
    <row r="456">
      <c r="A456" t="s">
        <v>31</v>
      </c>
      <c r="B456" t="s">
        <v>596</v>
      </c>
      <c r="C456" t="s">
        <v>598</v>
      </c>
      <c r="D456" t="s">
        <v>715</v>
      </c>
      <c r="E456" s="13" t="n">
        <v>0.75</v>
      </c>
      <c r="F456" s="16" t="n">
        <v>131</v>
      </c>
      <c r="G456" s="14" t="n">
        <v>-0.104379825720049</v>
      </c>
      <c r="H456" s="15" t="n">
        <v>-0.742701051556178</v>
      </c>
    </row>
    <row r="457">
      <c r="A457" t="s">
        <v>31</v>
      </c>
      <c r="B457" t="s">
        <v>599</v>
      </c>
      <c r="C457" t="s">
        <v>600</v>
      </c>
      <c r="D457" t="s">
        <v>715</v>
      </c>
      <c r="E457" s="13" t="n">
        <v>1.25</v>
      </c>
      <c r="F457" s="16" t="n">
        <v>92</v>
      </c>
      <c r="G457" s="14" t="n">
        <v>-1.24695506282478</v>
      </c>
      <c r="H457" s="15" t="n">
        <v>-0.0871955921801564</v>
      </c>
    </row>
    <row r="458">
      <c r="A458" t="s">
        <v>31</v>
      </c>
      <c r="B458" t="s">
        <v>599</v>
      </c>
      <c r="C458" t="s">
        <v>601</v>
      </c>
      <c r="D458" t="s">
        <v>715</v>
      </c>
      <c r="E458" s="13" t="n">
        <v>1.5</v>
      </c>
      <c r="F458" s="16" t="n">
        <v>75</v>
      </c>
      <c r="G458" s="14" t="n">
        <v>-1.29903810567666</v>
      </c>
      <c r="H458" s="15" t="n">
        <v>0.75</v>
      </c>
    </row>
    <row r="459">
      <c r="A459" t="s">
        <v>31</v>
      </c>
      <c r="B459" t="s">
        <v>602</v>
      </c>
      <c r="C459" t="s">
        <v>603</v>
      </c>
      <c r="D459" t="s">
        <v>715</v>
      </c>
      <c r="E459" s="13" t="n">
        <v>0.25</v>
      </c>
      <c r="F459" s="16" t="n">
        <v>0</v>
      </c>
      <c r="G459" s="14" t="n">
        <v>0.25</v>
      </c>
      <c r="H459" s="15" t="n">
        <v>0</v>
      </c>
    </row>
    <row r="460">
      <c r="A460" t="s">
        <v>31</v>
      </c>
      <c r="B460" t="s">
        <v>604</v>
      </c>
      <c r="C460" t="s">
        <v>605</v>
      </c>
      <c r="D460" t="s">
        <v>715</v>
      </c>
      <c r="E460" s="13" t="n">
        <v>0.5</v>
      </c>
      <c r="F460" s="16" t="n">
        <v>75</v>
      </c>
      <c r="G460" s="14" t="n">
        <v>-0.433012701892219</v>
      </c>
      <c r="H460" s="15" t="n">
        <v>0.25</v>
      </c>
    </row>
    <row r="461">
      <c r="A461" t="s">
        <v>30</v>
      </c>
      <c r="B461" t="s">
        <v>606</v>
      </c>
      <c r="C461" t="s">
        <v>607</v>
      </c>
      <c r="D461" t="s">
        <v>715</v>
      </c>
      <c r="E461" s="13" t="n">
        <v>0.5</v>
      </c>
      <c r="F461" s="16" t="n">
        <v>75</v>
      </c>
      <c r="G461" s="14" t="n">
        <v>-0.433012701892219</v>
      </c>
      <c r="H461" s="15" t="n">
        <v>0.25</v>
      </c>
    </row>
    <row r="462">
      <c r="A462" t="s">
        <v>30</v>
      </c>
      <c r="B462" t="s">
        <v>606</v>
      </c>
      <c r="C462" t="s">
        <v>608</v>
      </c>
      <c r="D462" t="s">
        <v>715</v>
      </c>
      <c r="E462" s="13" t="n">
        <v>0.5</v>
      </c>
      <c r="F462" s="16" t="n">
        <v>111</v>
      </c>
      <c r="G462" s="14" t="n">
        <v>-0.371572412738697</v>
      </c>
      <c r="H462" s="15" t="n">
        <v>-0.334565303179429</v>
      </c>
    </row>
    <row r="463">
      <c r="A463" t="s">
        <v>31</v>
      </c>
      <c r="B463" t="s">
        <v>609</v>
      </c>
      <c r="C463" t="s">
        <v>610</v>
      </c>
      <c r="D463" t="s">
        <v>715</v>
      </c>
      <c r="E463" s="13" t="n">
        <v>1.25</v>
      </c>
      <c r="F463" s="16" t="n">
        <v>95</v>
      </c>
      <c r="G463" s="14" t="n">
        <v>-1.23100969126526</v>
      </c>
      <c r="H463" s="15" t="n">
        <v>-0.217060222083663</v>
      </c>
    </row>
    <row r="464">
      <c r="A464" t="s">
        <v>30</v>
      </c>
      <c r="B464" t="s">
        <v>611</v>
      </c>
      <c r="C464" t="s">
        <v>612</v>
      </c>
      <c r="D464" t="s">
        <v>715</v>
      </c>
      <c r="E464" s="13" t="n">
        <v>0.25</v>
      </c>
      <c r="F464" s="16" t="n">
        <v>125</v>
      </c>
      <c r="G464" s="14" t="n">
        <v>-0.0855050358314173</v>
      </c>
      <c r="H464" s="15" t="n">
        <v>-0.234923155196477</v>
      </c>
    </row>
    <row r="465">
      <c r="A465" t="s">
        <v>30</v>
      </c>
      <c r="B465" t="s">
        <v>611</v>
      </c>
      <c r="C465" t="s">
        <v>613</v>
      </c>
      <c r="D465" t="s">
        <v>715</v>
      </c>
      <c r="E465" s="13" t="n">
        <v>0.25</v>
      </c>
      <c r="F465" s="16" t="n">
        <v>57</v>
      </c>
      <c r="G465" s="14" t="n">
        <v>-0.10168416076895</v>
      </c>
      <c r="H465" s="15" t="n">
        <v>0.22838636441065</v>
      </c>
    </row>
    <row r="466">
      <c r="A466" t="s">
        <v>30</v>
      </c>
      <c r="B466" t="s">
        <v>614</v>
      </c>
      <c r="C466" t="s">
        <v>615</v>
      </c>
      <c r="D466" t="s">
        <v>715</v>
      </c>
      <c r="E466" s="13" t="n">
        <v>0.25</v>
      </c>
      <c r="F466" s="16" t="n">
        <v>7</v>
      </c>
      <c r="G466" s="14" t="n">
        <v>0.242573931568999</v>
      </c>
      <c r="H466" s="15" t="n">
        <v>0.0604804738999169</v>
      </c>
    </row>
    <row r="467">
      <c r="A467" t="s">
        <v>30</v>
      </c>
      <c r="B467" t="s">
        <v>614</v>
      </c>
      <c r="C467" t="s">
        <v>616</v>
      </c>
      <c r="D467" t="s">
        <v>715</v>
      </c>
      <c r="E467" s="13" t="n">
        <v>0.75</v>
      </c>
      <c r="F467" s="16" t="n">
        <v>3</v>
      </c>
      <c r="G467" s="14" t="n">
        <v>0.745891421526205</v>
      </c>
      <c r="H467" s="15" t="n">
        <v>0.0783963474507401</v>
      </c>
    </row>
    <row r="468">
      <c r="A468" t="s">
        <v>31</v>
      </c>
      <c r="B468" t="s">
        <v>617</v>
      </c>
      <c r="C468" t="s">
        <v>618</v>
      </c>
      <c r="D468" t="s">
        <v>715</v>
      </c>
      <c r="E468" s="13" t="n">
        <v>0.75</v>
      </c>
      <c r="F468" s="16" t="n">
        <v>111</v>
      </c>
      <c r="G468" s="14" t="n">
        <v>-0.557358619108046</v>
      </c>
      <c r="H468" s="15" t="n">
        <v>-0.501847954769144</v>
      </c>
    </row>
    <row r="469">
      <c r="A469" t="s">
        <v>31</v>
      </c>
      <c r="B469" t="s">
        <v>617</v>
      </c>
      <c r="C469" t="s">
        <v>619</v>
      </c>
      <c r="D469" t="s">
        <v>715</v>
      </c>
      <c r="E469" s="13" t="n">
        <v>0.5</v>
      </c>
      <c r="F469" s="16" t="n">
        <v>76</v>
      </c>
      <c r="G469" s="14" t="n">
        <v>-0.441473796429463</v>
      </c>
      <c r="H469" s="15" t="n">
        <v>0.234735781392945</v>
      </c>
    </row>
    <row r="470">
      <c r="A470" t="s">
        <v>31</v>
      </c>
      <c r="B470" t="s">
        <v>620</v>
      </c>
      <c r="C470" t="s">
        <v>621</v>
      </c>
      <c r="D470" t="s">
        <v>715</v>
      </c>
      <c r="E470" s="13" t="n">
        <v>0.75</v>
      </c>
      <c r="F470" s="16" t="n">
        <v>133</v>
      </c>
      <c r="G470" s="14" t="n">
        <v>-0.0523173553080942</v>
      </c>
      <c r="H470" s="15" t="n">
        <v>-0.748173037694868</v>
      </c>
    </row>
    <row r="471">
      <c r="A471" t="s">
        <v>31</v>
      </c>
      <c r="B471" t="s">
        <v>620</v>
      </c>
      <c r="C471" t="s">
        <v>622</v>
      </c>
      <c r="D471" t="s">
        <v>715</v>
      </c>
      <c r="E471" s="13" t="n">
        <v>0.5</v>
      </c>
      <c r="F471" s="16" t="n">
        <v>51</v>
      </c>
      <c r="G471" s="14" t="n">
        <v>-0.10395584540888</v>
      </c>
      <c r="H471" s="15" t="n">
        <v>0.489073800366903</v>
      </c>
    </row>
    <row r="472">
      <c r="A472" t="s">
        <v>30</v>
      </c>
      <c r="B472" t="s">
        <v>623</v>
      </c>
      <c r="C472" t="s">
        <v>624</v>
      </c>
      <c r="D472" t="s">
        <v>715</v>
      </c>
      <c r="E472" s="13" t="n">
        <v>0.75</v>
      </c>
      <c r="F472" s="16" t="n">
        <v>104</v>
      </c>
      <c r="G472" s="14" t="n">
        <v>-0.662210694644195</v>
      </c>
      <c r="H472" s="15" t="n">
        <v>-0.352103672089418</v>
      </c>
    </row>
    <row r="473">
      <c r="A473" t="s">
        <v>31</v>
      </c>
      <c r="B473" t="s">
        <v>625</v>
      </c>
      <c r="C473" t="s">
        <v>626</v>
      </c>
      <c r="D473" t="s">
        <v>715</v>
      </c>
      <c r="E473" s="13" t="n">
        <v>0.75</v>
      </c>
      <c r="F473" s="16" t="n">
        <v>73</v>
      </c>
      <c r="G473" s="14" t="n">
        <v>-0.621778179416281</v>
      </c>
      <c r="H473" s="15" t="n">
        <v>0.41939467760306</v>
      </c>
    </row>
    <row r="474">
      <c r="A474" t="s">
        <v>31</v>
      </c>
      <c r="B474" t="s">
        <v>625</v>
      </c>
      <c r="C474" t="s">
        <v>627</v>
      </c>
      <c r="D474" t="s">
        <v>715</v>
      </c>
      <c r="E474" s="13" t="n">
        <v>0.75</v>
      </c>
      <c r="F474" s="16" t="n">
        <v>95</v>
      </c>
      <c r="G474" s="14" t="n">
        <v>-0.738605814759156</v>
      </c>
      <c r="H474" s="15" t="n">
        <v>-0.130236133250198</v>
      </c>
    </row>
    <row r="475">
      <c r="A475" t="s">
        <v>31</v>
      </c>
      <c r="B475" t="s">
        <v>628</v>
      </c>
      <c r="C475" t="s">
        <v>629</v>
      </c>
      <c r="D475" t="s">
        <v>715</v>
      </c>
      <c r="E475" s="13" t="n">
        <v>1.5</v>
      </c>
      <c r="F475" s="16" t="n">
        <v>34</v>
      </c>
      <c r="G475" s="14" t="n">
        <v>0.561909890123868</v>
      </c>
      <c r="H475" s="15" t="n">
        <v>1.39077578185018</v>
      </c>
    </row>
    <row r="476">
      <c r="A476" t="s">
        <v>31</v>
      </c>
      <c r="B476" t="s">
        <v>628</v>
      </c>
      <c r="C476" t="s">
        <v>630</v>
      </c>
      <c r="D476" t="s">
        <v>715</v>
      </c>
      <c r="E476" s="13" t="n">
        <v>1</v>
      </c>
      <c r="F476" s="16" t="n">
        <v>145</v>
      </c>
      <c r="G476" s="14" t="n">
        <v>0.342020143325669</v>
      </c>
      <c r="H476" s="15" t="n">
        <v>-0.939692620785908</v>
      </c>
    </row>
    <row r="477">
      <c r="A477" t="s">
        <v>30</v>
      </c>
      <c r="B477" t="s">
        <v>631</v>
      </c>
      <c r="C477" t="s">
        <v>632</v>
      </c>
      <c r="D477" t="s">
        <v>715</v>
      </c>
      <c r="E477" s="13" t="n">
        <v>2.25</v>
      </c>
      <c r="F477" s="16" t="n">
        <v>169</v>
      </c>
      <c r="G477" s="14" t="n">
        <v>2.08616367277527</v>
      </c>
      <c r="H477" s="15" t="n">
        <v>-0.842864835185802</v>
      </c>
    </row>
    <row r="478">
      <c r="A478" t="s">
        <v>30</v>
      </c>
      <c r="B478" t="s">
        <v>631</v>
      </c>
      <c r="C478" t="s">
        <v>633</v>
      </c>
      <c r="D478" t="s">
        <v>715</v>
      </c>
      <c r="E478" s="13" t="n">
        <v>1.75</v>
      </c>
      <c r="F478" s="16" t="n">
        <v>1</v>
      </c>
      <c r="G478" s="14" t="n">
        <v>1.74893394728342</v>
      </c>
      <c r="H478" s="15" t="n">
        <v>0.0610741192293767</v>
      </c>
    </row>
    <row r="479">
      <c r="A479" t="s">
        <v>31</v>
      </c>
      <c r="B479" t="s">
        <v>634</v>
      </c>
      <c r="C479" t="s">
        <v>635</v>
      </c>
      <c r="D479" t="s">
        <v>715</v>
      </c>
      <c r="E479" s="13" t="n">
        <v>0.25</v>
      </c>
      <c r="F479" s="16" t="n">
        <v>94</v>
      </c>
      <c r="G479" s="14" t="n">
        <v>-0.247567017185393</v>
      </c>
      <c r="H479" s="15" t="n">
        <v>-0.0347932752400164</v>
      </c>
    </row>
    <row r="480">
      <c r="A480" t="s">
        <v>30</v>
      </c>
      <c r="B480" t="s">
        <v>636</v>
      </c>
      <c r="C480" t="s">
        <v>637</v>
      </c>
      <c r="D480" t="s">
        <v>715</v>
      </c>
      <c r="E480" s="13" t="n">
        <v>0.75</v>
      </c>
      <c r="F480" s="16" t="n">
        <v>78</v>
      </c>
      <c r="G480" s="14" t="n">
        <v>-0.685159093231951</v>
      </c>
      <c r="H480" s="15" t="n">
        <v>0.30505248230685</v>
      </c>
    </row>
    <row r="481">
      <c r="A481" t="s">
        <v>30</v>
      </c>
      <c r="B481" t="s">
        <v>636</v>
      </c>
      <c r="C481" t="s">
        <v>638</v>
      </c>
      <c r="D481" t="s">
        <v>715</v>
      </c>
      <c r="E481" s="13" t="n">
        <v>0.75</v>
      </c>
      <c r="F481" s="16" t="n">
        <v>107</v>
      </c>
      <c r="G481" s="14" t="n">
        <v>-0.621778179416281</v>
      </c>
      <c r="H481" s="15" t="n">
        <v>-0.41939467760306</v>
      </c>
    </row>
    <row r="482">
      <c r="A482" t="s">
        <v>31</v>
      </c>
      <c r="B482" t="s">
        <v>639</v>
      </c>
      <c r="C482" t="s">
        <v>640</v>
      </c>
      <c r="D482" t="s">
        <v>715</v>
      </c>
      <c r="E482" s="13" t="n">
        <v>0.75</v>
      </c>
      <c r="F482" s="16" t="n">
        <v>39</v>
      </c>
      <c r="G482" s="14" t="n">
        <v>0.155933768113319</v>
      </c>
      <c r="H482" s="15" t="n">
        <v>0.733610700550354</v>
      </c>
    </row>
    <row r="483">
      <c r="A483" t="s">
        <v>31</v>
      </c>
      <c r="B483" t="s">
        <v>639</v>
      </c>
      <c r="C483" t="s">
        <v>641</v>
      </c>
      <c r="D483" t="s">
        <v>715</v>
      </c>
      <c r="E483" s="13" t="n">
        <v>0.75</v>
      </c>
      <c r="F483" s="16" t="n">
        <v>154</v>
      </c>
      <c r="G483" s="14" t="n">
        <v>0.461746106494243</v>
      </c>
      <c r="H483" s="15" t="n">
        <v>-0.591008065205042</v>
      </c>
    </row>
    <row r="484">
      <c r="A484" t="s">
        <v>31</v>
      </c>
      <c r="B484" t="s">
        <v>642</v>
      </c>
      <c r="C484" t="s">
        <v>643</v>
      </c>
      <c r="D484" t="s">
        <v>715</v>
      </c>
      <c r="E484" s="13" t="n">
        <v>1.5</v>
      </c>
      <c r="F484" s="16" t="n">
        <v>70</v>
      </c>
      <c r="G484" s="14" t="n">
        <v>-1.14906666467847</v>
      </c>
      <c r="H484" s="15" t="n">
        <v>0.964181414529809</v>
      </c>
    </row>
    <row r="485">
      <c r="A485" t="s">
        <v>31</v>
      </c>
      <c r="B485" t="s">
        <v>642</v>
      </c>
      <c r="C485" t="s">
        <v>644</v>
      </c>
      <c r="D485" t="s">
        <v>715</v>
      </c>
      <c r="E485" s="13" t="n">
        <v>0.5</v>
      </c>
      <c r="F485" s="16" t="n">
        <v>101</v>
      </c>
      <c r="G485" s="14" t="n">
        <v>-0.463591927283394</v>
      </c>
      <c r="H485" s="15" t="n">
        <v>-0.187303296707956</v>
      </c>
    </row>
    <row r="486">
      <c r="A486" t="s">
        <v>31</v>
      </c>
      <c r="B486" t="s">
        <v>645</v>
      </c>
      <c r="C486" t="s">
        <v>646</v>
      </c>
      <c r="D486" t="s">
        <v>715</v>
      </c>
      <c r="E486" s="13" t="n">
        <v>0.25</v>
      </c>
      <c r="F486" s="16" t="n">
        <v>6</v>
      </c>
      <c r="G486" s="14" t="n">
        <v>0.244536900183451</v>
      </c>
      <c r="H486" s="15" t="n">
        <v>0.0519779227044398</v>
      </c>
    </row>
    <row r="487">
      <c r="A487" t="s">
        <v>30</v>
      </c>
      <c r="B487" t="s">
        <v>647</v>
      </c>
      <c r="C487" t="s">
        <v>648</v>
      </c>
      <c r="D487" t="s">
        <v>715</v>
      </c>
      <c r="E487" s="13" t="n">
        <v>1.5</v>
      </c>
      <c r="F487" s="16" t="n">
        <v>98</v>
      </c>
      <c r="G487" s="14" t="n">
        <v>-1.44189254390748</v>
      </c>
      <c r="H487" s="15" t="n">
        <v>-0.413456033725498</v>
      </c>
    </row>
    <row r="488">
      <c r="A488" t="s">
        <v>31</v>
      </c>
      <c r="B488" t="s">
        <v>649</v>
      </c>
      <c r="C488" t="s">
        <v>650</v>
      </c>
      <c r="D488" t="s">
        <v>715</v>
      </c>
      <c r="E488" s="13" t="n">
        <v>0.25</v>
      </c>
      <c r="F488" s="16" t="n">
        <v>91</v>
      </c>
      <c r="G488" s="14" t="n">
        <v>-0.249847706754774</v>
      </c>
      <c r="H488" s="15" t="n">
        <v>-0.00872487417562529</v>
      </c>
    </row>
    <row r="489">
      <c r="A489" t="s">
        <v>31</v>
      </c>
      <c r="B489" t="s">
        <v>651</v>
      </c>
      <c r="C489" t="s">
        <v>652</v>
      </c>
      <c r="D489" t="s">
        <v>715</v>
      </c>
      <c r="E489" s="13" t="n">
        <v>0.5</v>
      </c>
      <c r="F489" s="16" t="n">
        <v>85</v>
      </c>
      <c r="G489" s="14" t="n">
        <v>-0.492403876506104</v>
      </c>
      <c r="H489" s="15" t="n">
        <v>0.0868240888334653</v>
      </c>
    </row>
    <row r="490">
      <c r="A490" t="s">
        <v>31</v>
      </c>
      <c r="B490" t="s">
        <v>651</v>
      </c>
      <c r="C490" t="s">
        <v>653</v>
      </c>
      <c r="D490" t="s">
        <v>715</v>
      </c>
      <c r="E490" s="13" t="n">
        <v>0.25</v>
      </c>
      <c r="F490" s="16" t="n">
        <v>92</v>
      </c>
      <c r="G490" s="14" t="n">
        <v>-0.249391012564956</v>
      </c>
      <c r="H490" s="15" t="n">
        <v>-0.0174391184360313</v>
      </c>
    </row>
    <row r="491">
      <c r="A491" t="s">
        <v>31</v>
      </c>
      <c r="B491" t="s">
        <v>654</v>
      </c>
      <c r="C491" t="s">
        <v>655</v>
      </c>
      <c r="D491" t="s">
        <v>715</v>
      </c>
      <c r="E491" s="13" t="n">
        <v>0.75</v>
      </c>
      <c r="F491" s="16" t="n">
        <v>4</v>
      </c>
      <c r="G491" s="14" t="n">
        <v>0.742701051556178</v>
      </c>
      <c r="H491" s="15" t="n">
        <v>0.104379825720049</v>
      </c>
    </row>
    <row r="492">
      <c r="A492" t="s">
        <v>31</v>
      </c>
      <c r="B492" t="s">
        <v>654</v>
      </c>
      <c r="C492" t="s">
        <v>656</v>
      </c>
      <c r="D492" t="s">
        <v>715</v>
      </c>
      <c r="E492" s="13" t="n">
        <v>1</v>
      </c>
      <c r="F492" s="16" t="n">
        <v>165</v>
      </c>
      <c r="G492" s="14" t="n">
        <v>0.866025403784438</v>
      </c>
      <c r="H492" s="15" t="n">
        <v>-0.5</v>
      </c>
    </row>
    <row r="493">
      <c r="A493" t="s">
        <v>31</v>
      </c>
      <c r="B493" t="s">
        <v>657</v>
      </c>
      <c r="C493" t="s">
        <v>658</v>
      </c>
      <c r="D493" t="s">
        <v>715</v>
      </c>
      <c r="E493" s="13" t="n">
        <v>0.75</v>
      </c>
      <c r="F493" s="16" t="n">
        <v>3</v>
      </c>
      <c r="G493" s="14" t="n">
        <v>0.745891421526205</v>
      </c>
      <c r="H493" s="15" t="n">
        <v>0.0783963474507401</v>
      </c>
    </row>
    <row r="494">
      <c r="A494" t="s">
        <v>31</v>
      </c>
      <c r="B494" t="s">
        <v>657</v>
      </c>
      <c r="C494" t="s">
        <v>659</v>
      </c>
      <c r="D494" t="s">
        <v>715</v>
      </c>
      <c r="E494" s="13" t="n">
        <v>0.5</v>
      </c>
      <c r="F494" s="16" t="n">
        <v>170</v>
      </c>
      <c r="G494" s="14" t="n">
        <v>0.469846310392954</v>
      </c>
      <c r="H494" s="15" t="n">
        <v>-0.171010071662834</v>
      </c>
    </row>
    <row r="495">
      <c r="A495" t="s">
        <v>30</v>
      </c>
      <c r="B495" t="s">
        <v>660</v>
      </c>
      <c r="C495" t="s">
        <v>661</v>
      </c>
      <c r="D495" t="s">
        <v>715</v>
      </c>
      <c r="E495" s="13" t="n">
        <v>0.75</v>
      </c>
      <c r="F495" s="16" t="n">
        <v>62</v>
      </c>
      <c r="G495" s="14" t="n">
        <v>-0.41939467760306</v>
      </c>
      <c r="H495" s="15" t="n">
        <v>0.621778179416281</v>
      </c>
    </row>
    <row r="496">
      <c r="A496" t="s">
        <v>30</v>
      </c>
      <c r="B496" t="s">
        <v>660</v>
      </c>
      <c r="C496" t="s">
        <v>662</v>
      </c>
      <c r="D496" t="s">
        <v>715</v>
      </c>
      <c r="E496" s="13" t="n">
        <v>1</v>
      </c>
      <c r="F496" s="16" t="n">
        <v>119</v>
      </c>
      <c r="G496" s="14" t="n">
        <v>-0.529919264233205</v>
      </c>
      <c r="H496" s="15" t="n">
        <v>-0.848048096156426</v>
      </c>
    </row>
    <row r="497">
      <c r="A497" t="s">
        <v>31</v>
      </c>
      <c r="B497" t="s">
        <v>663</v>
      </c>
      <c r="C497" t="s">
        <v>664</v>
      </c>
      <c r="D497" t="s">
        <v>715</v>
      </c>
      <c r="E497" s="13" t="n">
        <v>1</v>
      </c>
      <c r="F497" s="16" t="n">
        <v>78</v>
      </c>
      <c r="G497" s="14" t="n">
        <v>-0.913545457642601</v>
      </c>
      <c r="H497" s="15" t="n">
        <v>0.4067366430758</v>
      </c>
    </row>
    <row r="498">
      <c r="A498" t="s">
        <v>31</v>
      </c>
      <c r="B498" t="s">
        <v>663</v>
      </c>
      <c r="C498" t="s">
        <v>665</v>
      </c>
      <c r="D498" t="s">
        <v>715</v>
      </c>
      <c r="E498" s="13" t="n">
        <v>0.75</v>
      </c>
      <c r="F498" s="16" t="n">
        <v>98</v>
      </c>
      <c r="G498" s="14" t="n">
        <v>-0.720946271953739</v>
      </c>
      <c r="H498" s="15" t="n">
        <v>-0.206728016862749</v>
      </c>
    </row>
    <row r="499">
      <c r="A499" t="s">
        <v>31</v>
      </c>
      <c r="B499" t="s">
        <v>666</v>
      </c>
      <c r="C499" t="s">
        <v>667</v>
      </c>
      <c r="D499" t="s">
        <v>715</v>
      </c>
      <c r="E499" s="13" t="n">
        <v>1.25</v>
      </c>
      <c r="F499" s="16" t="n">
        <v>96</v>
      </c>
      <c r="G499" s="14" t="n">
        <v>-1.22268450091726</v>
      </c>
      <c r="H499" s="15" t="n">
        <v>-0.259889613522199</v>
      </c>
    </row>
    <row r="500">
      <c r="A500" t="s">
        <v>31</v>
      </c>
      <c r="B500" t="s">
        <v>668</v>
      </c>
      <c r="C500" t="s">
        <v>669</v>
      </c>
      <c r="D500" t="s">
        <v>715</v>
      </c>
      <c r="E500" s="13" t="n">
        <v>0.25</v>
      </c>
      <c r="F500" s="16" t="n">
        <v>154</v>
      </c>
      <c r="G500" s="14" t="n">
        <v>0.153915368831414</v>
      </c>
      <c r="H500" s="15" t="n">
        <v>-0.197002688401681</v>
      </c>
    </row>
    <row r="501">
      <c r="A501" t="s">
        <v>31</v>
      </c>
      <c r="B501" t="s">
        <v>668</v>
      </c>
      <c r="C501" t="s">
        <v>670</v>
      </c>
      <c r="D501" t="s">
        <v>715</v>
      </c>
      <c r="E501" s="13" t="n">
        <v>1</v>
      </c>
      <c r="F501" s="16" t="n">
        <v>37</v>
      </c>
      <c r="G501" s="14" t="n">
        <v>0.275637355816999</v>
      </c>
      <c r="H501" s="15" t="n">
        <v>0.961261695938319</v>
      </c>
    </row>
    <row r="502">
      <c r="A502" t="s">
        <v>30</v>
      </c>
      <c r="B502" t="s">
        <v>671</v>
      </c>
      <c r="C502" t="s">
        <v>672</v>
      </c>
      <c r="D502" t="s">
        <v>715</v>
      </c>
      <c r="E502" s="13" t="n">
        <v>1</v>
      </c>
      <c r="F502" s="16" t="n">
        <v>74</v>
      </c>
      <c r="G502" s="14" t="n">
        <v>-0.848048096156426</v>
      </c>
      <c r="H502" s="15" t="n">
        <v>0.529919264233205</v>
      </c>
    </row>
    <row r="503">
      <c r="A503" t="s">
        <v>31</v>
      </c>
      <c r="B503" t="s">
        <v>673</v>
      </c>
      <c r="C503" t="s">
        <v>674</v>
      </c>
      <c r="D503" t="s">
        <v>715</v>
      </c>
      <c r="E503" s="13" t="n">
        <v>0.25</v>
      </c>
      <c r="F503" s="16" t="n">
        <v>82</v>
      </c>
      <c r="G503" s="14" t="n">
        <v>-0.24031542398458</v>
      </c>
      <c r="H503" s="15" t="n">
        <v>0.0689093389542498</v>
      </c>
    </row>
    <row r="504">
      <c r="A504" t="s">
        <v>31</v>
      </c>
      <c r="B504" t="s">
        <v>673</v>
      </c>
      <c r="C504" t="s">
        <v>675</v>
      </c>
      <c r="D504" t="s">
        <v>715</v>
      </c>
      <c r="E504" s="13" t="n">
        <v>0.5</v>
      </c>
      <c r="F504" s="16" t="n">
        <v>93</v>
      </c>
      <c r="G504" s="14" t="n">
        <v>-0.497260947684137</v>
      </c>
      <c r="H504" s="15" t="n">
        <v>-0.0522642316338269</v>
      </c>
    </row>
    <row r="505">
      <c r="A505" t="s">
        <v>30</v>
      </c>
      <c r="B505" t="s">
        <v>676</v>
      </c>
      <c r="C505" t="s">
        <v>677</v>
      </c>
      <c r="D505" t="s">
        <v>715</v>
      </c>
      <c r="E505" s="13" t="n">
        <v>0.5</v>
      </c>
      <c r="F505" s="16" t="n">
        <v>73</v>
      </c>
      <c r="G505" s="14" t="n">
        <v>-0.414518786277521</v>
      </c>
      <c r="H505" s="15" t="n">
        <v>0.279596451735373</v>
      </c>
    </row>
    <row r="506">
      <c r="A506" t="s">
        <v>30</v>
      </c>
      <c r="B506" t="s">
        <v>678</v>
      </c>
      <c r="C506" t="s">
        <v>679</v>
      </c>
      <c r="D506" t="s">
        <v>715</v>
      </c>
      <c r="E506" s="13" t="n">
        <v>0.75</v>
      </c>
      <c r="F506" s="16" t="n">
        <v>116</v>
      </c>
      <c r="G506" s="14" t="n">
        <v>-0.461746106494244</v>
      </c>
      <c r="H506" s="15" t="n">
        <v>-0.591008065205042</v>
      </c>
    </row>
    <row r="507">
      <c r="A507" t="s">
        <v>30</v>
      </c>
      <c r="B507" t="s">
        <v>678</v>
      </c>
      <c r="C507" t="s">
        <v>680</v>
      </c>
      <c r="D507" t="s">
        <v>715</v>
      </c>
      <c r="E507" s="13" t="n">
        <v>1.75</v>
      </c>
      <c r="F507" s="16" t="n">
        <v>58</v>
      </c>
      <c r="G507" s="14" t="n">
        <v>-0.767149506880886</v>
      </c>
      <c r="H507" s="15" t="n">
        <v>1.57288958102354</v>
      </c>
    </row>
    <row r="508">
      <c r="A508" t="s">
        <v>30</v>
      </c>
      <c r="B508" t="s">
        <v>681</v>
      </c>
      <c r="C508" t="s">
        <v>682</v>
      </c>
      <c r="D508" t="s">
        <v>715</v>
      </c>
      <c r="E508" s="13" t="n">
        <v>0.25</v>
      </c>
      <c r="F508" s="16" t="n">
        <v>7</v>
      </c>
      <c r="G508" s="14" t="n">
        <v>0.242573931568999</v>
      </c>
      <c r="H508" s="15" t="n">
        <v>0.0604804738999169</v>
      </c>
    </row>
    <row r="509">
      <c r="A509" t="s">
        <v>30</v>
      </c>
      <c r="B509" t="s">
        <v>683</v>
      </c>
      <c r="C509" t="s">
        <v>684</v>
      </c>
      <c r="D509" t="s">
        <v>715</v>
      </c>
      <c r="E509" s="13" t="n">
        <v>1.25</v>
      </c>
      <c r="F509" s="16" t="n">
        <v>93</v>
      </c>
      <c r="G509" s="14" t="n">
        <v>-1.24315236921034</v>
      </c>
      <c r="H509" s="15" t="n">
        <v>-0.130660579084567</v>
      </c>
    </row>
    <row r="510">
      <c r="A510" t="s">
        <v>30</v>
      </c>
      <c r="B510" t="s">
        <v>683</v>
      </c>
      <c r="C510" t="s">
        <v>685</v>
      </c>
      <c r="D510" t="s">
        <v>715</v>
      </c>
      <c r="E510" s="13" t="n">
        <v>1.5</v>
      </c>
      <c r="F510" s="16" t="n">
        <v>106</v>
      </c>
      <c r="G510" s="14" t="n">
        <v>-1.27207214423464</v>
      </c>
      <c r="H510" s="15" t="n">
        <v>-0.794878896349807</v>
      </c>
    </row>
    <row r="511">
      <c r="A511" t="s">
        <v>31</v>
      </c>
      <c r="B511" t="s">
        <v>686</v>
      </c>
      <c r="C511" t="s">
        <v>687</v>
      </c>
      <c r="D511" t="s">
        <v>715</v>
      </c>
      <c r="E511" s="13" t="n">
        <v>1</v>
      </c>
      <c r="F511" s="16" t="n">
        <v>104</v>
      </c>
      <c r="G511" s="14" t="n">
        <v>-0.882947592858927</v>
      </c>
      <c r="H511" s="15" t="n">
        <v>-0.469471562785891</v>
      </c>
    </row>
    <row r="512">
      <c r="A512" t="s">
        <v>30</v>
      </c>
      <c r="B512" t="s">
        <v>736</v>
      </c>
      <c r="C512" t="s">
        <v>737</v>
      </c>
      <c r="D512" t="s">
        <v>715</v>
      </c>
      <c r="E512" s="13" t="n">
        <v>1</v>
      </c>
      <c r="F512" s="16" t="n">
        <v>39</v>
      </c>
      <c r="G512" s="14" t="n">
        <v>0.207911690817759</v>
      </c>
      <c r="H512" s="15" t="n">
        <v>0.978147600733806</v>
      </c>
    </row>
    <row r="513">
      <c r="A513" t="s">
        <v>30</v>
      </c>
      <c r="B513" t="s">
        <v>736</v>
      </c>
      <c r="C513" t="s">
        <v>738</v>
      </c>
      <c r="D513" t="s">
        <v>715</v>
      </c>
      <c r="E513" s="13" t="n">
        <v>0.75</v>
      </c>
      <c r="F513" s="16" t="n">
        <v>144</v>
      </c>
      <c r="G513" s="14" t="n">
        <v>0.23176274578121</v>
      </c>
      <c r="H513" s="15" t="n">
        <v>-0.713292387221365</v>
      </c>
    </row>
    <row r="514">
      <c r="A514" t="s">
        <v>31</v>
      </c>
      <c r="B514" t="s">
        <v>688</v>
      </c>
      <c r="C514" t="s">
        <v>689</v>
      </c>
      <c r="D514" t="s">
        <v>715</v>
      </c>
      <c r="E514" s="13" t="n">
        <v>0.25</v>
      </c>
      <c r="F514" s="16" t="n">
        <v>99</v>
      </c>
      <c r="G514" s="14" t="n">
        <v>-0.237764129073788</v>
      </c>
      <c r="H514" s="15" t="n">
        <v>-0.077254248593737</v>
      </c>
    </row>
    <row r="515">
      <c r="A515" t="s">
        <v>31</v>
      </c>
      <c r="B515" t="s">
        <v>688</v>
      </c>
      <c r="C515" t="s">
        <v>690</v>
      </c>
      <c r="D515" t="s">
        <v>715</v>
      </c>
      <c r="E515" s="13" t="n">
        <v>0.5</v>
      </c>
      <c r="F515" s="16" t="n">
        <v>93</v>
      </c>
      <c r="G515" s="14" t="n">
        <v>-0.497260947684137</v>
      </c>
      <c r="H515" s="15" t="n">
        <v>-0.0522642316338269</v>
      </c>
    </row>
    <row r="516">
      <c r="A516" t="s">
        <v>31</v>
      </c>
      <c r="B516" t="s">
        <v>691</v>
      </c>
      <c r="C516" t="s">
        <v>692</v>
      </c>
      <c r="D516" t="s">
        <v>715</v>
      </c>
      <c r="E516" s="13" t="n">
        <v>0.25</v>
      </c>
      <c r="F516" s="16" t="n">
        <v>111</v>
      </c>
      <c r="G516" s="14" t="n">
        <v>-0.185786206369349</v>
      </c>
      <c r="H516" s="15" t="n">
        <v>-0.167282651589715</v>
      </c>
    </row>
    <row r="517">
      <c r="A517" t="s">
        <v>31</v>
      </c>
      <c r="B517" t="s">
        <v>691</v>
      </c>
      <c r="C517" t="s">
        <v>693</v>
      </c>
      <c r="D517" t="s">
        <v>715</v>
      </c>
      <c r="E517" s="13" t="n">
        <v>0.25</v>
      </c>
      <c r="F517" s="16" t="n">
        <v>56</v>
      </c>
      <c r="G517" s="14" t="n">
        <v>-0.093651648353978</v>
      </c>
      <c r="H517" s="15" t="n">
        <v>0.231795963641697</v>
      </c>
    </row>
    <row r="518">
      <c r="A518" t="s">
        <v>30</v>
      </c>
      <c r="B518" t="s">
        <v>694</v>
      </c>
      <c r="C518" t="s">
        <v>695</v>
      </c>
      <c r="D518" t="s">
        <v>715</v>
      </c>
      <c r="E518" s="13" t="n">
        <v>0.75</v>
      </c>
      <c r="F518" s="16" t="n">
        <v>100</v>
      </c>
      <c r="G518" s="14" t="n">
        <v>-0.704769465589431</v>
      </c>
      <c r="H518" s="15" t="n">
        <v>-0.256515107494252</v>
      </c>
    </row>
    <row r="519">
      <c r="A519" t="s">
        <v>30</v>
      </c>
      <c r="B519" t="s">
        <v>694</v>
      </c>
      <c r="C519" t="s">
        <v>696</v>
      </c>
      <c r="D519" t="s">
        <v>715</v>
      </c>
      <c r="E519" s="13" t="n">
        <v>1.25</v>
      </c>
      <c r="F519" s="16" t="n">
        <v>81</v>
      </c>
      <c r="G519" s="14" t="n">
        <v>-1.18882064536894</v>
      </c>
      <c r="H519" s="15" t="n">
        <v>0.386271242968684</v>
      </c>
    </row>
    <row r="520">
      <c r="A520" t="s">
        <v>30</v>
      </c>
      <c r="B520" t="s">
        <v>697</v>
      </c>
      <c r="C520" t="s">
        <v>698</v>
      </c>
      <c r="D520" t="s">
        <v>715</v>
      </c>
      <c r="E520" s="13" t="n">
        <v>0.5</v>
      </c>
      <c r="F520" s="16" t="n">
        <v>67</v>
      </c>
      <c r="G520" s="14" t="n">
        <v>-0.347329185229499</v>
      </c>
      <c r="H520" s="15" t="n">
        <v>0.359669900169326</v>
      </c>
    </row>
    <row r="521">
      <c r="A521" t="s">
        <v>30</v>
      </c>
      <c r="B521" t="s">
        <v>697</v>
      </c>
      <c r="C521" t="s">
        <v>699</v>
      </c>
      <c r="D521" t="s">
        <v>715</v>
      </c>
      <c r="E521" s="13" t="n">
        <v>0.75</v>
      </c>
      <c r="F521" s="16" t="n">
        <v>118</v>
      </c>
      <c r="G521" s="14" t="n">
        <v>-0.41939467760306</v>
      </c>
      <c r="H521" s="15" t="n">
        <v>-0.621778179416281</v>
      </c>
    </row>
    <row r="522">
      <c r="A522" t="s">
        <v>31</v>
      </c>
      <c r="B522" t="s">
        <v>700</v>
      </c>
      <c r="C522" t="s">
        <v>701</v>
      </c>
      <c r="D522" t="s">
        <v>715</v>
      </c>
      <c r="E522" s="13" t="n">
        <v>0.25</v>
      </c>
      <c r="F522" s="16" t="n">
        <v>90</v>
      </c>
      <c r="G522" s="14" t="n">
        <v>-0.25</v>
      </c>
      <c r="H522" s="15" t="n">
        <v>0</v>
      </c>
    </row>
    <row r="523">
      <c r="A523" t="s">
        <v>31</v>
      </c>
      <c r="B523" t="s">
        <v>700</v>
      </c>
      <c r="C523" t="s">
        <v>702</v>
      </c>
      <c r="D523" t="s">
        <v>715</v>
      </c>
      <c r="E523" s="13" t="n">
        <v>0.5</v>
      </c>
      <c r="F523" s="16" t="n">
        <v>109</v>
      </c>
      <c r="G523" s="14" t="n">
        <v>-0.394005376803361</v>
      </c>
      <c r="H523" s="15" t="n">
        <v>-0.307830737662829</v>
      </c>
    </row>
    <row r="524">
      <c r="A524" t="s">
        <v>30</v>
      </c>
      <c r="B524" t="s">
        <v>739</v>
      </c>
      <c r="C524" t="s">
        <v>740</v>
      </c>
      <c r="D524" t="s">
        <v>715</v>
      </c>
      <c r="E524" s="13" t="n">
        <v>0.5</v>
      </c>
      <c r="F524" s="16" t="n">
        <v>36</v>
      </c>
      <c r="G524" s="14" t="n">
        <v>0.154508497187474</v>
      </c>
      <c r="H524" s="15" t="n">
        <v>0.475528258147577</v>
      </c>
    </row>
    <row r="525">
      <c r="A525" t="s">
        <v>30</v>
      </c>
      <c r="B525" t="s">
        <v>703</v>
      </c>
      <c r="C525" t="s">
        <v>704</v>
      </c>
      <c r="D525" t="s">
        <v>715</v>
      </c>
      <c r="E525" s="13" t="n">
        <v>0.5</v>
      </c>
      <c r="F525" s="16" t="n">
        <v>72</v>
      </c>
      <c r="G525" s="14" t="n">
        <v>-0.404508497187474</v>
      </c>
      <c r="H525" s="15" t="n">
        <v>0.293892626146237</v>
      </c>
    </row>
    <row r="526">
      <c r="A526" t="s">
        <v>31</v>
      </c>
      <c r="B526" t="s">
        <v>705</v>
      </c>
      <c r="C526" t="s">
        <v>706</v>
      </c>
      <c r="D526" t="s">
        <v>715</v>
      </c>
      <c r="E526" s="13" t="n">
        <v>1</v>
      </c>
      <c r="F526" s="16" t="n">
        <v>5</v>
      </c>
      <c r="G526" s="14" t="n">
        <v>0.984807753012208</v>
      </c>
      <c r="H526" s="15" t="n">
        <v>0.17364817766693</v>
      </c>
    </row>
    <row r="527">
      <c r="A527" t="s">
        <v>31</v>
      </c>
      <c r="B527" t="s">
        <v>707</v>
      </c>
      <c r="C527" t="s">
        <v>708</v>
      </c>
      <c r="D527" t="s">
        <v>715</v>
      </c>
      <c r="E527" s="13" t="n">
        <v>0.75</v>
      </c>
      <c r="F527" s="16" t="n">
        <v>14</v>
      </c>
      <c r="G527" s="14" t="n">
        <v>0.662210694644195</v>
      </c>
      <c r="H527" s="15" t="n">
        <v>0.352103672089418</v>
      </c>
    </row>
    <row r="528">
      <c r="A528" t="s">
        <v>31</v>
      </c>
      <c r="B528" t="s">
        <v>707</v>
      </c>
      <c r="C528" t="s">
        <v>709</v>
      </c>
      <c r="D528" t="s">
        <v>715</v>
      </c>
      <c r="E528" s="13" t="n">
        <v>0.5</v>
      </c>
      <c r="F528" s="16" t="n">
        <v>167</v>
      </c>
      <c r="G528" s="14" t="n">
        <v>0.449397023149583</v>
      </c>
      <c r="H528" s="15" t="n">
        <v>-0.219185573394539</v>
      </c>
    </row>
    <row r="529">
      <c r="A529" t="s">
        <v>31</v>
      </c>
      <c r="B529" t="s">
        <v>741</v>
      </c>
      <c r="C529" t="s">
        <v>742</v>
      </c>
      <c r="D529" t="s">
        <v>715</v>
      </c>
      <c r="E529" s="13" t="n">
        <v>0.75</v>
      </c>
      <c r="F529" s="16" t="n">
        <v>102</v>
      </c>
      <c r="G529" s="14" t="n">
        <v>-0.685159093231951</v>
      </c>
      <c r="H529" s="15" t="n">
        <v>-0.30505248230685</v>
      </c>
    </row>
    <row r="530">
      <c r="A530" t="s">
        <v>31</v>
      </c>
      <c r="B530" t="s">
        <v>741</v>
      </c>
      <c r="C530" t="s">
        <v>743</v>
      </c>
      <c r="D530" t="s">
        <v>715</v>
      </c>
      <c r="E530" s="13" t="n">
        <v>0.75</v>
      </c>
      <c r="F530" s="16" t="n">
        <v>95</v>
      </c>
      <c r="G530" s="14" t="n">
        <v>-0.738605814759156</v>
      </c>
      <c r="H530" s="15" t="n">
        <v>-0.130236133250198</v>
      </c>
    </row>
    <row r="531">
      <c r="A531" t="s">
        <v>30</v>
      </c>
      <c r="B531" t="s">
        <v>710</v>
      </c>
      <c r="C531" t="s">
        <v>711</v>
      </c>
      <c r="D531" t="s">
        <v>715</v>
      </c>
      <c r="E531" s="13" t="n">
        <v>0.5</v>
      </c>
      <c r="F531" s="16" t="n">
        <v>62</v>
      </c>
      <c r="G531" s="14" t="n">
        <v>-0.279596451735373</v>
      </c>
      <c r="H531" s="15" t="n">
        <v>0.414518786277521</v>
      </c>
    </row>
    <row r="532">
      <c r="A532" t="s">
        <v>30</v>
      </c>
      <c r="B532" t="s">
        <v>712</v>
      </c>
      <c r="C532" t="s">
        <v>713</v>
      </c>
      <c r="D532" t="s">
        <v>715</v>
      </c>
      <c r="E532" s="13" t="n">
        <v>0.75</v>
      </c>
      <c r="F532" s="16" t="n">
        <v>3</v>
      </c>
      <c r="G532" s="14" t="n">
        <v>0.745891421526205</v>
      </c>
      <c r="H532" s="15" t="n">
        <v>0.0783963474507401</v>
      </c>
    </row>
    <row r="533">
      <c r="A533" t="s">
        <v>30</v>
      </c>
      <c r="B533" t="s">
        <v>439</v>
      </c>
      <c r="C533" t="s">
        <v>440</v>
      </c>
      <c r="D533" t="s">
        <v>744</v>
      </c>
      <c r="E533" s="13" t="n">
        <v>0.25</v>
      </c>
      <c r="F533" s="16" t="n">
        <v>156</v>
      </c>
      <c r="G533" s="14" t="n">
        <v>0.167282651589715</v>
      </c>
      <c r="H533" s="15" t="n">
        <v>-0.185786206369349</v>
      </c>
    </row>
    <row r="534">
      <c r="A534" t="s">
        <v>30</v>
      </c>
      <c r="B534" t="s">
        <v>439</v>
      </c>
      <c r="C534" t="s">
        <v>442</v>
      </c>
      <c r="D534" t="s">
        <v>744</v>
      </c>
      <c r="E534" s="13" t="n">
        <v>0.75</v>
      </c>
      <c r="F534" s="16" t="n">
        <v>41</v>
      </c>
      <c r="G534" s="14" t="n">
        <v>0.104379825720049</v>
      </c>
      <c r="H534" s="15" t="n">
        <v>0.742701051556178</v>
      </c>
    </row>
    <row r="535">
      <c r="A535" t="s">
        <v>30</v>
      </c>
      <c r="B535" t="s">
        <v>443</v>
      </c>
      <c r="C535" t="s">
        <v>444</v>
      </c>
      <c r="D535" t="s">
        <v>744</v>
      </c>
      <c r="E535" s="13" t="n">
        <v>0.25</v>
      </c>
      <c r="F535" s="16" t="n">
        <v>2</v>
      </c>
      <c r="G535" s="14" t="n">
        <v>0.249391012564956</v>
      </c>
      <c r="H535" s="15" t="n">
        <v>0.0174391184360313</v>
      </c>
    </row>
    <row r="536">
      <c r="A536" t="s">
        <v>30</v>
      </c>
      <c r="B536" t="s">
        <v>443</v>
      </c>
      <c r="C536" t="s">
        <v>445</v>
      </c>
      <c r="D536" t="s">
        <v>744</v>
      </c>
      <c r="E536" s="13" t="n">
        <v>0.25</v>
      </c>
      <c r="F536" s="16" t="n">
        <v>33</v>
      </c>
      <c r="G536" s="14" t="n">
        <v>0.10168416076895</v>
      </c>
      <c r="H536" s="15" t="n">
        <v>0.22838636441065</v>
      </c>
    </row>
    <row r="537">
      <c r="A537" t="s">
        <v>30</v>
      </c>
      <c r="B537" t="s">
        <v>446</v>
      </c>
      <c r="C537" t="s">
        <v>447</v>
      </c>
      <c r="D537" t="s">
        <v>744</v>
      </c>
      <c r="E537" s="13" t="n">
        <v>0.25</v>
      </c>
      <c r="F537" s="16" t="n">
        <v>66</v>
      </c>
      <c r="G537" s="14" t="n">
        <v>-0.167282651589714</v>
      </c>
      <c r="H537" s="15" t="n">
        <v>0.185786206369349</v>
      </c>
    </row>
    <row r="538">
      <c r="A538" t="s">
        <v>30</v>
      </c>
      <c r="B538" t="s">
        <v>448</v>
      </c>
      <c r="C538" t="s">
        <v>449</v>
      </c>
      <c r="D538" t="s">
        <v>744</v>
      </c>
      <c r="E538" s="13" t="n">
        <v>0.25</v>
      </c>
      <c r="F538" s="16" t="n">
        <v>156</v>
      </c>
      <c r="G538" s="14" t="n">
        <v>0.167282651589715</v>
      </c>
      <c r="H538" s="15" t="n">
        <v>-0.185786206369349</v>
      </c>
    </row>
    <row r="539">
      <c r="A539" t="s">
        <v>30</v>
      </c>
      <c r="B539" t="s">
        <v>448</v>
      </c>
      <c r="C539" t="s">
        <v>450</v>
      </c>
      <c r="D539" t="s">
        <v>744</v>
      </c>
      <c r="E539" s="13" t="n">
        <v>0.25</v>
      </c>
      <c r="F539" s="16" t="n">
        <v>127</v>
      </c>
      <c r="G539" s="14" t="n">
        <v>-0.0689093389542497</v>
      </c>
      <c r="H539" s="15" t="n">
        <v>-0.24031542398458</v>
      </c>
    </row>
    <row r="540">
      <c r="A540" t="s">
        <v>31</v>
      </c>
      <c r="B540" t="s">
        <v>451</v>
      </c>
      <c r="C540" t="s">
        <v>452</v>
      </c>
      <c r="D540" t="s">
        <v>744</v>
      </c>
      <c r="E540" s="13" t="n">
        <v>0.25</v>
      </c>
      <c r="F540" s="16" t="n">
        <v>46</v>
      </c>
      <c r="G540" s="14" t="n">
        <v>-0.00872487417562518</v>
      </c>
      <c r="H540" s="15" t="n">
        <v>0.249847706754774</v>
      </c>
    </row>
    <row r="541">
      <c r="A541" t="s">
        <v>31</v>
      </c>
      <c r="B541" t="s">
        <v>451</v>
      </c>
      <c r="C541" t="s">
        <v>453</v>
      </c>
      <c r="D541" t="s">
        <v>744</v>
      </c>
      <c r="E541" s="13" t="n">
        <v>0.25</v>
      </c>
      <c r="F541" s="16" t="n">
        <v>138</v>
      </c>
      <c r="G541" s="14" t="n">
        <v>0.0261321158169135</v>
      </c>
      <c r="H541" s="15" t="n">
        <v>-0.248630473842068</v>
      </c>
    </row>
    <row r="542">
      <c r="A542" t="s">
        <v>31</v>
      </c>
      <c r="B542" t="s">
        <v>454</v>
      </c>
      <c r="C542" t="s">
        <v>455</v>
      </c>
      <c r="D542" t="s">
        <v>744</v>
      </c>
      <c r="E542" s="13" t="n">
        <v>0.5</v>
      </c>
      <c r="F542" s="16" t="n">
        <v>91</v>
      </c>
      <c r="G542" s="14" t="n">
        <v>-0.499695413509548</v>
      </c>
      <c r="H542" s="15" t="n">
        <v>-0.0174497483512506</v>
      </c>
    </row>
    <row r="543">
      <c r="A543" t="s">
        <v>31</v>
      </c>
      <c r="B543" t="s">
        <v>454</v>
      </c>
      <c r="C543" t="s">
        <v>456</v>
      </c>
      <c r="D543" t="s">
        <v>744</v>
      </c>
      <c r="E543" s="13" t="n">
        <v>0.25</v>
      </c>
      <c r="F543" s="16" t="n">
        <v>76</v>
      </c>
      <c r="G543" s="14" t="n">
        <v>-0.220736898214732</v>
      </c>
      <c r="H543" s="15" t="n">
        <v>0.117367890696473</v>
      </c>
    </row>
    <row r="544">
      <c r="A544" t="s">
        <v>30</v>
      </c>
      <c r="B544" t="s">
        <v>457</v>
      </c>
      <c r="C544" t="s">
        <v>458</v>
      </c>
      <c r="D544" t="s">
        <v>744</v>
      </c>
      <c r="E544" s="13" t="n">
        <v>0</v>
      </c>
      <c r="F544" s="16" t="n">
        <v>131</v>
      </c>
      <c r="G544" s="14" t="n">
        <v>0</v>
      </c>
      <c r="H544" s="15" t="n">
        <v>0</v>
      </c>
    </row>
    <row r="545">
      <c r="A545" t="s">
        <v>31</v>
      </c>
      <c r="B545" t="s">
        <v>459</v>
      </c>
      <c r="C545" t="s">
        <v>460</v>
      </c>
      <c r="D545" t="s">
        <v>744</v>
      </c>
      <c r="E545" s="13" t="n">
        <v>0.5</v>
      </c>
      <c r="F545" s="16" t="n">
        <v>3</v>
      </c>
      <c r="G545" s="14" t="n">
        <v>0.497260947684137</v>
      </c>
      <c r="H545" s="15" t="n">
        <v>0.0522642316338267</v>
      </c>
    </row>
    <row r="546">
      <c r="A546" t="s">
        <v>31</v>
      </c>
      <c r="B546" t="s">
        <v>459</v>
      </c>
      <c r="C546" t="s">
        <v>461</v>
      </c>
      <c r="D546" t="s">
        <v>744</v>
      </c>
      <c r="E546" s="13" t="n">
        <v>0.25</v>
      </c>
      <c r="F546" s="16" t="n">
        <v>7</v>
      </c>
      <c r="G546" s="14" t="n">
        <v>0.242573931568999</v>
      </c>
      <c r="H546" s="15" t="n">
        <v>0.0604804738999169</v>
      </c>
    </row>
    <row r="547">
      <c r="A547" t="s">
        <v>30</v>
      </c>
      <c r="B547" t="s">
        <v>462</v>
      </c>
      <c r="C547" t="s">
        <v>463</v>
      </c>
      <c r="D547" t="s">
        <v>744</v>
      </c>
      <c r="E547" s="13" t="n">
        <v>0</v>
      </c>
      <c r="F547" s="16" t="n">
        <v>84</v>
      </c>
      <c r="G547" s="14" t="n">
        <v>0</v>
      </c>
      <c r="H547" s="15" t="n">
        <v>0</v>
      </c>
    </row>
    <row r="548">
      <c r="A548" t="s">
        <v>30</v>
      </c>
      <c r="B548" t="s">
        <v>462</v>
      </c>
      <c r="C548" t="s">
        <v>464</v>
      </c>
      <c r="D548" t="s">
        <v>744</v>
      </c>
      <c r="E548" s="13" t="n">
        <v>0</v>
      </c>
      <c r="F548" s="16" t="n">
        <v>42</v>
      </c>
      <c r="G548" s="14" t="n">
        <v>0</v>
      </c>
      <c r="H548" s="15" t="n">
        <v>0</v>
      </c>
    </row>
    <row r="549">
      <c r="A549" t="s">
        <v>30</v>
      </c>
      <c r="B549" t="s">
        <v>465</v>
      </c>
      <c r="C549" t="s">
        <v>466</v>
      </c>
      <c r="D549" t="s">
        <v>744</v>
      </c>
      <c r="E549" s="13" t="n">
        <v>0.5</v>
      </c>
      <c r="F549" s="16" t="n">
        <v>127</v>
      </c>
      <c r="G549" s="14" t="n">
        <v>-0.137818677908499</v>
      </c>
      <c r="H549" s="15" t="n">
        <v>-0.48063084796916</v>
      </c>
    </row>
    <row r="550">
      <c r="A550" t="s">
        <v>30</v>
      </c>
      <c r="B550" t="s">
        <v>465</v>
      </c>
      <c r="C550" t="s">
        <v>467</v>
      </c>
      <c r="D550" t="s">
        <v>744</v>
      </c>
      <c r="E550" s="13" t="n">
        <v>0.25</v>
      </c>
      <c r="F550" s="16" t="n">
        <v>74</v>
      </c>
      <c r="G550" s="14" t="n">
        <v>-0.212012024039106</v>
      </c>
      <c r="H550" s="15" t="n">
        <v>0.132479816058301</v>
      </c>
    </row>
    <row r="551">
      <c r="A551" t="s">
        <v>31</v>
      </c>
      <c r="B551" t="s">
        <v>468</v>
      </c>
      <c r="C551" t="s">
        <v>469</v>
      </c>
      <c r="D551" t="s">
        <v>744</v>
      </c>
      <c r="E551" s="13" t="n">
        <v>0.25</v>
      </c>
      <c r="F551" s="16" t="n">
        <v>177</v>
      </c>
      <c r="G551" s="14" t="n">
        <v>0.248630473842068</v>
      </c>
      <c r="H551" s="15" t="n">
        <v>-0.0261321158169134</v>
      </c>
    </row>
    <row r="552">
      <c r="A552" t="s">
        <v>31</v>
      </c>
      <c r="B552" t="s">
        <v>468</v>
      </c>
      <c r="C552" t="s">
        <v>470</v>
      </c>
      <c r="D552" t="s">
        <v>744</v>
      </c>
      <c r="E552" s="13" t="n">
        <v>0.25</v>
      </c>
      <c r="F552" s="16" t="n">
        <v>1</v>
      </c>
      <c r="G552" s="14" t="n">
        <v>0.249847706754774</v>
      </c>
      <c r="H552" s="15" t="n">
        <v>0.00872487417562524</v>
      </c>
    </row>
    <row r="553">
      <c r="A553" t="s">
        <v>30</v>
      </c>
      <c r="B553" t="s">
        <v>471</v>
      </c>
      <c r="C553" t="s">
        <v>472</v>
      </c>
      <c r="D553" t="s">
        <v>744</v>
      </c>
      <c r="E553" s="13" t="n">
        <v>0.25</v>
      </c>
      <c r="F553" s="16" t="n">
        <v>174</v>
      </c>
      <c r="G553" s="14" t="n">
        <v>0.244536900183451</v>
      </c>
      <c r="H553" s="15" t="n">
        <v>-0.0519779227044398</v>
      </c>
    </row>
    <row r="554">
      <c r="A554" t="s">
        <v>30</v>
      </c>
      <c r="B554" t="s">
        <v>473</v>
      </c>
      <c r="C554" t="s">
        <v>474</v>
      </c>
      <c r="D554" t="s">
        <v>744</v>
      </c>
      <c r="E554" s="13" t="n">
        <v>0.25</v>
      </c>
      <c r="F554" s="16" t="n">
        <v>67</v>
      </c>
      <c r="G554" s="14" t="n">
        <v>-0.173664592614749</v>
      </c>
      <c r="H554" s="15" t="n">
        <v>0.179834950084663</v>
      </c>
    </row>
    <row r="555">
      <c r="A555" t="s">
        <v>31</v>
      </c>
      <c r="B555" t="s">
        <v>475</v>
      </c>
      <c r="C555" t="s">
        <v>476</v>
      </c>
      <c r="D555" t="s">
        <v>744</v>
      </c>
      <c r="E555" s="13" t="n">
        <v>0.25</v>
      </c>
      <c r="F555" s="16" t="n">
        <v>31</v>
      </c>
      <c r="G555" s="14" t="n">
        <v>0.117367890696473</v>
      </c>
      <c r="H555" s="15" t="n">
        <v>0.220736898214732</v>
      </c>
    </row>
    <row r="556">
      <c r="A556" t="s">
        <v>31</v>
      </c>
      <c r="B556" t="s">
        <v>477</v>
      </c>
      <c r="C556" t="s">
        <v>478</v>
      </c>
      <c r="D556" t="s">
        <v>744</v>
      </c>
      <c r="E556" s="13" t="n">
        <v>0.5</v>
      </c>
      <c r="F556" s="16" t="n">
        <v>160</v>
      </c>
      <c r="G556" s="14" t="n">
        <v>0.383022221559489</v>
      </c>
      <c r="H556" s="15" t="n">
        <v>-0.32139380484327</v>
      </c>
    </row>
    <row r="557">
      <c r="A557" t="s">
        <v>31</v>
      </c>
      <c r="B557" t="s">
        <v>477</v>
      </c>
      <c r="C557" t="s">
        <v>479</v>
      </c>
      <c r="D557" t="s">
        <v>744</v>
      </c>
      <c r="E557" s="13" t="n">
        <v>0.25</v>
      </c>
      <c r="F557" s="16" t="n">
        <v>46</v>
      </c>
      <c r="G557" s="14" t="n">
        <v>-0.00872487417562518</v>
      </c>
      <c r="H557" s="15" t="n">
        <v>0.249847706754774</v>
      </c>
    </row>
    <row r="558">
      <c r="A558" t="s">
        <v>31</v>
      </c>
      <c r="B558" t="s">
        <v>480</v>
      </c>
      <c r="C558" t="s">
        <v>481</v>
      </c>
      <c r="D558" t="s">
        <v>744</v>
      </c>
      <c r="E558" s="13" t="n">
        <v>0.25</v>
      </c>
      <c r="F558" s="16" t="n">
        <v>86</v>
      </c>
      <c r="G558" s="14" t="n">
        <v>-0.247567017185393</v>
      </c>
      <c r="H558" s="15" t="n">
        <v>0.0347932752400163</v>
      </c>
    </row>
    <row r="559">
      <c r="A559" t="s">
        <v>31</v>
      </c>
      <c r="B559" t="s">
        <v>480</v>
      </c>
      <c r="C559" t="s">
        <v>482</v>
      </c>
      <c r="D559" t="s">
        <v>744</v>
      </c>
      <c r="E559" s="13" t="n">
        <v>0.25</v>
      </c>
      <c r="F559" s="16" t="n">
        <v>60</v>
      </c>
      <c r="G559" s="14" t="n">
        <v>-0.125</v>
      </c>
      <c r="H559" s="15" t="n">
        <v>0.21650635094611</v>
      </c>
    </row>
    <row r="560">
      <c r="A560" t="s">
        <v>30</v>
      </c>
      <c r="B560" t="s">
        <v>483</v>
      </c>
      <c r="C560" t="s">
        <v>484</v>
      </c>
      <c r="D560" t="s">
        <v>744</v>
      </c>
      <c r="E560" s="13" t="n">
        <v>0.25</v>
      </c>
      <c r="F560" s="16" t="n">
        <v>52</v>
      </c>
      <c r="G560" s="14" t="n">
        <v>-0.0604804738999169</v>
      </c>
      <c r="H560" s="15" t="n">
        <v>0.242573931568999</v>
      </c>
    </row>
    <row r="561">
      <c r="A561" t="s">
        <v>30</v>
      </c>
      <c r="B561" t="s">
        <v>485</v>
      </c>
      <c r="C561" t="s">
        <v>486</v>
      </c>
      <c r="D561" t="s">
        <v>744</v>
      </c>
      <c r="E561" s="13" t="n">
        <v>0</v>
      </c>
      <c r="F561" s="16" t="n">
        <v>58</v>
      </c>
      <c r="G561" s="14" t="n">
        <v>0</v>
      </c>
      <c r="H561" s="15" t="n">
        <v>0</v>
      </c>
    </row>
    <row r="562">
      <c r="A562" t="s">
        <v>30</v>
      </c>
      <c r="B562" t="s">
        <v>485</v>
      </c>
      <c r="C562" t="s">
        <v>487</v>
      </c>
      <c r="D562" t="s">
        <v>744</v>
      </c>
      <c r="E562" s="13" t="n">
        <v>0.25</v>
      </c>
      <c r="F562" s="16" t="n">
        <v>75</v>
      </c>
      <c r="G562" s="14" t="n">
        <v>-0.21650635094611</v>
      </c>
      <c r="H562" s="15" t="n">
        <v>0.125</v>
      </c>
    </row>
    <row r="563">
      <c r="A563" t="s">
        <v>30</v>
      </c>
      <c r="B563" t="s">
        <v>488</v>
      </c>
      <c r="C563" t="s">
        <v>489</v>
      </c>
      <c r="D563" t="s">
        <v>744</v>
      </c>
      <c r="E563" s="13" t="n">
        <v>0.25</v>
      </c>
      <c r="F563" s="16" t="n">
        <v>160</v>
      </c>
      <c r="G563" s="14" t="n">
        <v>0.191511110779744</v>
      </c>
      <c r="H563" s="15" t="n">
        <v>-0.160696902421635</v>
      </c>
    </row>
    <row r="564">
      <c r="A564" t="s">
        <v>30</v>
      </c>
      <c r="B564" t="s">
        <v>488</v>
      </c>
      <c r="C564" t="s">
        <v>490</v>
      </c>
      <c r="D564" t="s">
        <v>744</v>
      </c>
      <c r="E564" s="13" t="n">
        <v>0.25</v>
      </c>
      <c r="F564" s="16" t="n">
        <v>18</v>
      </c>
      <c r="G564" s="14" t="n">
        <v>0.202254248593737</v>
      </c>
      <c r="H564" s="15" t="n">
        <v>0.146946313073118</v>
      </c>
    </row>
    <row r="565">
      <c r="A565" t="s">
        <v>30</v>
      </c>
      <c r="B565" t="s">
        <v>491</v>
      </c>
      <c r="C565" t="s">
        <v>492</v>
      </c>
      <c r="D565" t="s">
        <v>744</v>
      </c>
      <c r="E565" s="13" t="n">
        <v>0.5</v>
      </c>
      <c r="F565" s="16" t="n">
        <v>16</v>
      </c>
      <c r="G565" s="14" t="n">
        <v>0.424024048078213</v>
      </c>
      <c r="H565" s="15" t="n">
        <v>0.264959632116602</v>
      </c>
    </row>
    <row r="566">
      <c r="A566" t="s">
        <v>30</v>
      </c>
      <c r="B566" t="s">
        <v>491</v>
      </c>
      <c r="C566" t="s">
        <v>493</v>
      </c>
      <c r="D566" t="s">
        <v>744</v>
      </c>
      <c r="E566" s="13" t="n">
        <v>0</v>
      </c>
      <c r="F566" s="16" t="n">
        <v>111</v>
      </c>
      <c r="G566" s="14" t="n">
        <v>0</v>
      </c>
      <c r="H566" s="15" t="n">
        <v>0</v>
      </c>
    </row>
    <row r="567">
      <c r="A567" t="s">
        <v>30</v>
      </c>
      <c r="B567" t="s">
        <v>494</v>
      </c>
      <c r="C567" t="s">
        <v>495</v>
      </c>
      <c r="D567" t="s">
        <v>744</v>
      </c>
      <c r="E567" s="13" t="n">
        <v>0.25</v>
      </c>
      <c r="F567" s="16" t="n">
        <v>66</v>
      </c>
      <c r="G567" s="14" t="n">
        <v>-0.167282651589714</v>
      </c>
      <c r="H567" s="15" t="n">
        <v>0.185786206369349</v>
      </c>
    </row>
    <row r="568">
      <c r="A568" t="s">
        <v>30</v>
      </c>
      <c r="B568" t="s">
        <v>494</v>
      </c>
      <c r="C568" t="s">
        <v>496</v>
      </c>
      <c r="D568" t="s">
        <v>744</v>
      </c>
      <c r="E568" s="13" t="n">
        <v>0</v>
      </c>
      <c r="F568" s="16" t="n">
        <v>178</v>
      </c>
      <c r="G568" s="14" t="n">
        <v>0</v>
      </c>
      <c r="H568" s="15" t="n">
        <v>0</v>
      </c>
    </row>
    <row r="569">
      <c r="A569" t="s">
        <v>30</v>
      </c>
      <c r="B569" t="s">
        <v>497</v>
      </c>
      <c r="C569" t="s">
        <v>498</v>
      </c>
      <c r="D569" t="s">
        <v>744</v>
      </c>
      <c r="E569" s="13" t="n">
        <v>0.5</v>
      </c>
      <c r="F569" s="16" t="n">
        <v>94</v>
      </c>
      <c r="G569" s="14" t="n">
        <v>-0.495134034370785</v>
      </c>
      <c r="H569" s="15" t="n">
        <v>-0.0695865504800329</v>
      </c>
    </row>
    <row r="570">
      <c r="A570" t="s">
        <v>30</v>
      </c>
      <c r="B570" t="s">
        <v>497</v>
      </c>
      <c r="C570" t="s">
        <v>499</v>
      </c>
      <c r="D570" t="s">
        <v>744</v>
      </c>
      <c r="E570" s="13" t="n">
        <v>0.25</v>
      </c>
      <c r="F570" s="16" t="n">
        <v>85</v>
      </c>
      <c r="G570" s="14" t="n">
        <v>-0.246201938253052</v>
      </c>
      <c r="H570" s="15" t="n">
        <v>0.0434120444167327</v>
      </c>
    </row>
    <row r="571">
      <c r="A571" t="s">
        <v>31</v>
      </c>
      <c r="B571" t="s">
        <v>500</v>
      </c>
      <c r="C571" t="s">
        <v>501</v>
      </c>
      <c r="D571" t="s">
        <v>744</v>
      </c>
      <c r="E571" s="13" t="n">
        <v>0.25</v>
      </c>
      <c r="F571" s="16" t="n">
        <v>73</v>
      </c>
      <c r="G571" s="14" t="n">
        <v>-0.20725939313876</v>
      </c>
      <c r="H571" s="15" t="n">
        <v>0.139798225867687</v>
      </c>
    </row>
    <row r="572">
      <c r="A572" t="s">
        <v>31</v>
      </c>
      <c r="B572" t="s">
        <v>500</v>
      </c>
      <c r="C572" t="s">
        <v>502</v>
      </c>
      <c r="D572" t="s">
        <v>744</v>
      </c>
      <c r="E572" s="13" t="n">
        <v>0</v>
      </c>
      <c r="F572" s="16" t="n">
        <v>127</v>
      </c>
      <c r="G572" s="14" t="n">
        <v>0</v>
      </c>
      <c r="H572" s="15" t="n">
        <v>0</v>
      </c>
    </row>
    <row r="573">
      <c r="A573" t="s">
        <v>30</v>
      </c>
      <c r="B573" t="s">
        <v>503</v>
      </c>
      <c r="C573" t="s">
        <v>504</v>
      </c>
      <c r="D573" t="s">
        <v>744</v>
      </c>
      <c r="E573" s="13" t="n">
        <v>0.25</v>
      </c>
      <c r="F573" s="16" t="n">
        <v>30</v>
      </c>
      <c r="G573" s="14" t="n">
        <v>0.125</v>
      </c>
      <c r="H573" s="15" t="n">
        <v>0.21650635094611</v>
      </c>
    </row>
    <row r="574">
      <c r="A574" t="s">
        <v>30</v>
      </c>
      <c r="B574" t="s">
        <v>503</v>
      </c>
      <c r="C574" t="s">
        <v>505</v>
      </c>
      <c r="D574" t="s">
        <v>744</v>
      </c>
      <c r="E574" s="13" t="n">
        <v>0.25</v>
      </c>
      <c r="F574" s="16" t="n">
        <v>177</v>
      </c>
      <c r="G574" s="14" t="n">
        <v>0.248630473842068</v>
      </c>
      <c r="H574" s="15" t="n">
        <v>-0.0261321158169134</v>
      </c>
    </row>
    <row r="575">
      <c r="A575" t="s">
        <v>30</v>
      </c>
      <c r="B575" t="s">
        <v>506</v>
      </c>
      <c r="C575" t="s">
        <v>507</v>
      </c>
      <c r="D575" t="s">
        <v>744</v>
      </c>
      <c r="E575" s="13" t="n">
        <v>0.25</v>
      </c>
      <c r="F575" s="16" t="n">
        <v>88</v>
      </c>
      <c r="G575" s="14" t="n">
        <v>-0.249391012564956</v>
      </c>
      <c r="H575" s="15" t="n">
        <v>0.0174391184360314</v>
      </c>
    </row>
    <row r="576">
      <c r="A576" t="s">
        <v>30</v>
      </c>
      <c r="B576" t="s">
        <v>506</v>
      </c>
      <c r="C576" t="s">
        <v>508</v>
      </c>
      <c r="D576" t="s">
        <v>744</v>
      </c>
      <c r="E576" s="13" t="n">
        <v>0.25</v>
      </c>
      <c r="F576" s="16" t="n">
        <v>82</v>
      </c>
      <c r="G576" s="14" t="n">
        <v>-0.24031542398458</v>
      </c>
      <c r="H576" s="15" t="n">
        <v>0.0689093389542498</v>
      </c>
    </row>
    <row r="577">
      <c r="A577" t="s">
        <v>31</v>
      </c>
      <c r="B577" t="s">
        <v>509</v>
      </c>
      <c r="C577" t="s">
        <v>510</v>
      </c>
      <c r="D577" t="s">
        <v>744</v>
      </c>
      <c r="E577" s="13" t="n">
        <v>0.25</v>
      </c>
      <c r="F577" s="16" t="n">
        <v>13</v>
      </c>
      <c r="G577" s="14" t="n">
        <v>0.224698511574792</v>
      </c>
      <c r="H577" s="15" t="n">
        <v>0.109592786697269</v>
      </c>
    </row>
    <row r="578">
      <c r="A578" t="s">
        <v>31</v>
      </c>
      <c r="B578" t="s">
        <v>509</v>
      </c>
      <c r="C578" t="s">
        <v>511</v>
      </c>
      <c r="D578" t="s">
        <v>744</v>
      </c>
      <c r="E578" s="13" t="n">
        <v>0.25</v>
      </c>
      <c r="F578" s="16" t="n">
        <v>118</v>
      </c>
      <c r="G578" s="14" t="n">
        <v>-0.139798225867687</v>
      </c>
      <c r="H578" s="15" t="n">
        <v>-0.20725939313876</v>
      </c>
    </row>
    <row r="579">
      <c r="A579" t="s">
        <v>30</v>
      </c>
      <c r="B579" t="s">
        <v>512</v>
      </c>
      <c r="C579" t="s">
        <v>513</v>
      </c>
      <c r="D579" t="s">
        <v>744</v>
      </c>
      <c r="E579" s="13" t="n">
        <v>0.5</v>
      </c>
      <c r="F579" s="16" t="n">
        <v>66</v>
      </c>
      <c r="G579" s="14" t="n">
        <v>-0.334565303179429</v>
      </c>
      <c r="H579" s="15" t="n">
        <v>0.371572412738697</v>
      </c>
    </row>
    <row r="580">
      <c r="A580" t="s">
        <v>30</v>
      </c>
      <c r="B580" t="s">
        <v>512</v>
      </c>
      <c r="C580" t="s">
        <v>514</v>
      </c>
      <c r="D580" t="s">
        <v>744</v>
      </c>
      <c r="E580" s="13" t="n">
        <v>0.5</v>
      </c>
      <c r="F580" s="16" t="n">
        <v>114</v>
      </c>
      <c r="G580" s="14" t="n">
        <v>-0.334565303179429</v>
      </c>
      <c r="H580" s="15" t="n">
        <v>-0.371572412738697</v>
      </c>
    </row>
    <row r="581">
      <c r="A581" t="s">
        <v>30</v>
      </c>
      <c r="B581" t="s">
        <v>515</v>
      </c>
      <c r="C581" t="s">
        <v>516</v>
      </c>
      <c r="D581" t="s">
        <v>744</v>
      </c>
      <c r="E581" s="13" t="n">
        <v>0</v>
      </c>
      <c r="F581" s="16" t="n">
        <v>51</v>
      </c>
      <c r="G581" s="14" t="n">
        <v>0</v>
      </c>
      <c r="H581" s="15" t="n">
        <v>0</v>
      </c>
    </row>
    <row r="582">
      <c r="A582" t="s">
        <v>30</v>
      </c>
      <c r="B582" t="s">
        <v>515</v>
      </c>
      <c r="C582" t="s">
        <v>517</v>
      </c>
      <c r="D582" t="s">
        <v>744</v>
      </c>
      <c r="E582" s="13" t="n">
        <v>0</v>
      </c>
      <c r="F582" s="16" t="n">
        <v>99</v>
      </c>
      <c r="G582" s="14" t="n">
        <v>0</v>
      </c>
      <c r="H582" s="15" t="n">
        <v>0</v>
      </c>
    </row>
    <row r="583">
      <c r="A583" t="s">
        <v>30</v>
      </c>
      <c r="B583" t="s">
        <v>518</v>
      </c>
      <c r="C583" t="s">
        <v>519</v>
      </c>
      <c r="D583" t="s">
        <v>744</v>
      </c>
      <c r="E583" s="13" t="n">
        <v>0.25</v>
      </c>
      <c r="F583" s="16" t="n">
        <v>127</v>
      </c>
      <c r="G583" s="14" t="n">
        <v>-0.0689093389542497</v>
      </c>
      <c r="H583" s="15" t="n">
        <v>-0.24031542398458</v>
      </c>
    </row>
    <row r="584">
      <c r="A584" t="s">
        <v>30</v>
      </c>
      <c r="B584" t="s">
        <v>518</v>
      </c>
      <c r="C584" t="s">
        <v>520</v>
      </c>
      <c r="D584" t="s">
        <v>744</v>
      </c>
      <c r="E584" s="13" t="n">
        <v>0.25</v>
      </c>
      <c r="F584" s="16" t="n">
        <v>92</v>
      </c>
      <c r="G584" s="14" t="n">
        <v>-0.249391012564956</v>
      </c>
      <c r="H584" s="15" t="n">
        <v>-0.0174391184360313</v>
      </c>
    </row>
    <row r="585">
      <c r="A585" t="s">
        <v>31</v>
      </c>
      <c r="B585" t="s">
        <v>521</v>
      </c>
      <c r="C585" t="s">
        <v>522</v>
      </c>
      <c r="D585" t="s">
        <v>744</v>
      </c>
      <c r="E585" s="13" t="n">
        <v>0.25</v>
      </c>
      <c r="F585" s="16" t="n">
        <v>135</v>
      </c>
      <c r="G585" s="14" t="n">
        <v>0</v>
      </c>
      <c r="H585" s="15" t="n">
        <v>-0.25</v>
      </c>
    </row>
    <row r="586">
      <c r="A586" t="s">
        <v>31</v>
      </c>
      <c r="B586" t="s">
        <v>521</v>
      </c>
      <c r="C586" t="s">
        <v>523</v>
      </c>
      <c r="D586" t="s">
        <v>744</v>
      </c>
      <c r="E586" s="13" t="n">
        <v>0.25</v>
      </c>
      <c r="F586" s="16" t="n">
        <v>31</v>
      </c>
      <c r="G586" s="14" t="n">
        <v>0.117367890696473</v>
      </c>
      <c r="H586" s="15" t="n">
        <v>0.220736898214732</v>
      </c>
    </row>
    <row r="587">
      <c r="A587" t="s">
        <v>31</v>
      </c>
      <c r="B587" t="s">
        <v>524</v>
      </c>
      <c r="C587" t="s">
        <v>525</v>
      </c>
      <c r="D587" t="s">
        <v>744</v>
      </c>
      <c r="E587" s="13" t="n">
        <v>0</v>
      </c>
      <c r="F587" s="16" t="n">
        <v>144</v>
      </c>
      <c r="G587" s="14" t="n">
        <v>0</v>
      </c>
      <c r="H587" s="15" t="n">
        <v>0</v>
      </c>
    </row>
    <row r="588">
      <c r="A588" t="s">
        <v>30</v>
      </c>
      <c r="B588" t="s">
        <v>526</v>
      </c>
      <c r="C588" t="s">
        <v>527</v>
      </c>
      <c r="D588" t="s">
        <v>744</v>
      </c>
      <c r="E588" s="13" t="n">
        <v>0.25</v>
      </c>
      <c r="F588" s="16" t="n">
        <v>54</v>
      </c>
      <c r="G588" s="14" t="n">
        <v>-0.0772542485937368</v>
      </c>
      <c r="H588" s="15" t="n">
        <v>0.237764129073788</v>
      </c>
    </row>
    <row r="589">
      <c r="A589" t="s">
        <v>30</v>
      </c>
      <c r="B589" t="s">
        <v>526</v>
      </c>
      <c r="C589" t="s">
        <v>528</v>
      </c>
      <c r="D589" t="s">
        <v>744</v>
      </c>
      <c r="E589" s="13" t="n">
        <v>0.25</v>
      </c>
      <c r="F589" s="16" t="n">
        <v>109</v>
      </c>
      <c r="G589" s="14" t="n">
        <v>-0.197002688401681</v>
      </c>
      <c r="H589" s="15" t="n">
        <v>-0.153915368831415</v>
      </c>
    </row>
    <row r="590">
      <c r="A590" t="s">
        <v>31</v>
      </c>
      <c r="B590" t="s">
        <v>529</v>
      </c>
      <c r="C590" t="s">
        <v>530</v>
      </c>
      <c r="D590" t="s">
        <v>744</v>
      </c>
      <c r="E590" s="13" t="n">
        <v>0.25</v>
      </c>
      <c r="F590" s="16" t="n">
        <v>24</v>
      </c>
      <c r="G590" s="14" t="n">
        <v>0.167282651589715</v>
      </c>
      <c r="H590" s="15" t="n">
        <v>0.185786206369349</v>
      </c>
    </row>
    <row r="591">
      <c r="A591" t="s">
        <v>31</v>
      </c>
      <c r="B591" t="s">
        <v>529</v>
      </c>
      <c r="C591" t="s">
        <v>531</v>
      </c>
      <c r="D591" t="s">
        <v>744</v>
      </c>
      <c r="E591" s="13" t="n">
        <v>0</v>
      </c>
      <c r="F591" s="16" t="n">
        <v>90</v>
      </c>
      <c r="G591" s="14" t="n">
        <v>0</v>
      </c>
      <c r="H591" s="15" t="n">
        <v>0</v>
      </c>
    </row>
    <row r="592">
      <c r="A592" t="s">
        <v>31</v>
      </c>
      <c r="B592" t="s">
        <v>532</v>
      </c>
      <c r="C592" t="s">
        <v>533</v>
      </c>
      <c r="D592" t="s">
        <v>744</v>
      </c>
      <c r="E592" s="13" t="n">
        <v>0</v>
      </c>
      <c r="F592" s="16" t="n">
        <v>8</v>
      </c>
      <c r="G592" s="14" t="n">
        <v>0</v>
      </c>
      <c r="H592" s="15" t="n">
        <v>0</v>
      </c>
    </row>
    <row r="593">
      <c r="A593" t="s">
        <v>30</v>
      </c>
      <c r="B593" t="s">
        <v>534</v>
      </c>
      <c r="C593" t="s">
        <v>535</v>
      </c>
      <c r="D593" t="s">
        <v>744</v>
      </c>
      <c r="E593" s="13" t="n">
        <v>0.25</v>
      </c>
      <c r="F593" s="16" t="n">
        <v>106</v>
      </c>
      <c r="G593" s="14" t="n">
        <v>-0.212012024039107</v>
      </c>
      <c r="H593" s="15" t="n">
        <v>-0.132479816058301</v>
      </c>
    </row>
    <row r="594">
      <c r="A594" t="s">
        <v>31</v>
      </c>
      <c r="B594" t="s">
        <v>536</v>
      </c>
      <c r="C594" t="s">
        <v>537</v>
      </c>
      <c r="D594" t="s">
        <v>744</v>
      </c>
      <c r="E594" s="13" t="n">
        <v>0.25</v>
      </c>
      <c r="F594" s="16" t="n">
        <v>97</v>
      </c>
      <c r="G594" s="14" t="n">
        <v>-0.242573931568999</v>
      </c>
      <c r="H594" s="15" t="n">
        <v>-0.0604804738999169</v>
      </c>
    </row>
    <row r="595">
      <c r="A595" t="s">
        <v>30</v>
      </c>
      <c r="B595" t="s">
        <v>538</v>
      </c>
      <c r="C595" t="s">
        <v>539</v>
      </c>
      <c r="D595" t="s">
        <v>744</v>
      </c>
      <c r="E595" s="13" t="n">
        <v>0.5</v>
      </c>
      <c r="F595" s="16" t="n">
        <v>40</v>
      </c>
      <c r="G595" s="14" t="n">
        <v>0.0868240888334652</v>
      </c>
      <c r="H595" s="15" t="n">
        <v>0.492403876506104</v>
      </c>
    </row>
    <row r="596">
      <c r="A596" t="s">
        <v>31</v>
      </c>
      <c r="B596" t="s">
        <v>540</v>
      </c>
      <c r="C596" t="s">
        <v>541</v>
      </c>
      <c r="D596" t="s">
        <v>744</v>
      </c>
      <c r="E596" s="13" t="n">
        <v>0</v>
      </c>
      <c r="F596" s="16" t="n">
        <v>129</v>
      </c>
      <c r="G596" s="14" t="n">
        <v>0</v>
      </c>
      <c r="H596" s="15" t="n">
        <v>0</v>
      </c>
    </row>
    <row r="597">
      <c r="A597" t="s">
        <v>31</v>
      </c>
      <c r="B597" t="s">
        <v>542</v>
      </c>
      <c r="C597" t="s">
        <v>543</v>
      </c>
      <c r="D597" t="s">
        <v>744</v>
      </c>
      <c r="E597" s="13" t="n">
        <v>0.25</v>
      </c>
      <c r="F597" s="16" t="n">
        <v>144</v>
      </c>
      <c r="G597" s="14" t="n">
        <v>0.0772542485937368</v>
      </c>
      <c r="H597" s="15" t="n">
        <v>-0.237764129073788</v>
      </c>
    </row>
    <row r="598">
      <c r="A598" t="s">
        <v>31</v>
      </c>
      <c r="B598" t="s">
        <v>542</v>
      </c>
      <c r="C598" t="s">
        <v>544</v>
      </c>
      <c r="D598" t="s">
        <v>744</v>
      </c>
      <c r="E598" s="13" t="n">
        <v>0.25</v>
      </c>
      <c r="F598" s="16" t="n">
        <v>47</v>
      </c>
      <c r="G598" s="14" t="n">
        <v>-0.0174391184360313</v>
      </c>
      <c r="H598" s="15" t="n">
        <v>0.249391012564956</v>
      </c>
    </row>
    <row r="599">
      <c r="A599" t="s">
        <v>31</v>
      </c>
      <c r="B599" t="s">
        <v>545</v>
      </c>
      <c r="C599" t="s">
        <v>546</v>
      </c>
      <c r="D599" t="s">
        <v>744</v>
      </c>
      <c r="E599" s="13" t="n">
        <v>0.25</v>
      </c>
      <c r="F599" s="16" t="n">
        <v>65</v>
      </c>
      <c r="G599" s="14" t="n">
        <v>-0.160696902421635</v>
      </c>
      <c r="H599" s="15" t="n">
        <v>0.191511110779745</v>
      </c>
    </row>
    <row r="600">
      <c r="A600" t="s">
        <v>31</v>
      </c>
      <c r="B600" t="s">
        <v>545</v>
      </c>
      <c r="C600" t="s">
        <v>547</v>
      </c>
      <c r="D600" t="s">
        <v>744</v>
      </c>
      <c r="E600" s="13" t="n">
        <v>0.25</v>
      </c>
      <c r="F600" s="16" t="n">
        <v>120</v>
      </c>
      <c r="G600" s="14" t="n">
        <v>-0.125</v>
      </c>
      <c r="H600" s="15" t="n">
        <v>-0.21650635094611</v>
      </c>
    </row>
    <row r="601">
      <c r="A601" t="s">
        <v>30</v>
      </c>
      <c r="B601" t="s">
        <v>548</v>
      </c>
      <c r="C601" t="s">
        <v>549</v>
      </c>
      <c r="D601" t="s">
        <v>744</v>
      </c>
      <c r="E601" s="13" t="n">
        <v>0</v>
      </c>
      <c r="F601" s="16" t="n">
        <v>82</v>
      </c>
      <c r="G601" s="14" t="n">
        <v>0</v>
      </c>
      <c r="H601" s="15" t="n">
        <v>0</v>
      </c>
    </row>
    <row r="602">
      <c r="A602" t="s">
        <v>30</v>
      </c>
      <c r="B602" t="s">
        <v>550</v>
      </c>
      <c r="C602" t="s">
        <v>551</v>
      </c>
      <c r="D602" t="s">
        <v>744</v>
      </c>
      <c r="E602" s="13" t="n">
        <v>0</v>
      </c>
      <c r="F602" s="16" t="n">
        <v>166</v>
      </c>
      <c r="G602" s="14" t="n">
        <v>0</v>
      </c>
      <c r="H602" s="15" t="n">
        <v>0</v>
      </c>
    </row>
    <row r="603">
      <c r="A603" t="s">
        <v>30</v>
      </c>
      <c r="B603" t="s">
        <v>550</v>
      </c>
      <c r="C603" t="s">
        <v>552</v>
      </c>
      <c r="D603" t="s">
        <v>744</v>
      </c>
      <c r="E603" s="13" t="n">
        <v>0</v>
      </c>
      <c r="F603" s="16" t="n">
        <v>6</v>
      </c>
      <c r="G603" s="14" t="n">
        <v>0</v>
      </c>
      <c r="H603" s="15" t="n">
        <v>0</v>
      </c>
    </row>
    <row r="604">
      <c r="A604" t="s">
        <v>30</v>
      </c>
      <c r="B604" t="s">
        <v>553</v>
      </c>
      <c r="C604" t="s">
        <v>554</v>
      </c>
      <c r="D604" t="s">
        <v>744</v>
      </c>
      <c r="E604" s="13" t="n">
        <v>0.25</v>
      </c>
      <c r="F604" s="16" t="n">
        <v>2</v>
      </c>
      <c r="G604" s="14" t="n">
        <v>0.249391012564956</v>
      </c>
      <c r="H604" s="15" t="n">
        <v>0.0174391184360313</v>
      </c>
    </row>
    <row r="605">
      <c r="A605" t="s">
        <v>30</v>
      </c>
      <c r="B605" t="s">
        <v>553</v>
      </c>
      <c r="C605" t="s">
        <v>555</v>
      </c>
      <c r="D605" t="s">
        <v>744</v>
      </c>
      <c r="E605" s="13" t="n">
        <v>0.25</v>
      </c>
      <c r="F605" s="16" t="n">
        <v>170</v>
      </c>
      <c r="G605" s="14" t="n">
        <v>0.234923155196477</v>
      </c>
      <c r="H605" s="15" t="n">
        <v>-0.0855050358314172</v>
      </c>
    </row>
    <row r="606">
      <c r="A606" t="s">
        <v>31</v>
      </c>
      <c r="B606" t="s">
        <v>556</v>
      </c>
      <c r="C606" t="s">
        <v>557</v>
      </c>
      <c r="D606" t="s">
        <v>744</v>
      </c>
      <c r="E606" s="13" t="n">
        <v>0.25</v>
      </c>
      <c r="F606" s="16" t="n">
        <v>77</v>
      </c>
      <c r="G606" s="14" t="n">
        <v>-0.224698511574792</v>
      </c>
      <c r="H606" s="15" t="n">
        <v>0.109592786697269</v>
      </c>
    </row>
    <row r="607">
      <c r="A607" t="s">
        <v>31</v>
      </c>
      <c r="B607" t="s">
        <v>558</v>
      </c>
      <c r="C607" t="s">
        <v>559</v>
      </c>
      <c r="D607" t="s">
        <v>744</v>
      </c>
      <c r="E607" s="13" t="n">
        <v>0.25</v>
      </c>
      <c r="F607" s="16" t="n">
        <v>135</v>
      </c>
      <c r="G607" s="14" t="n">
        <v>0</v>
      </c>
      <c r="H607" s="15" t="n">
        <v>-0.25</v>
      </c>
    </row>
    <row r="608">
      <c r="A608" t="s">
        <v>31</v>
      </c>
      <c r="B608" t="s">
        <v>560</v>
      </c>
      <c r="C608" t="s">
        <v>561</v>
      </c>
      <c r="D608" t="s">
        <v>744</v>
      </c>
      <c r="E608" s="13" t="n">
        <v>0.75</v>
      </c>
      <c r="F608" s="16" t="n">
        <v>140</v>
      </c>
      <c r="G608" s="14" t="n">
        <v>0.130236133250197</v>
      </c>
      <c r="H608" s="15" t="n">
        <v>-0.738605814759156</v>
      </c>
    </row>
    <row r="609">
      <c r="A609" t="s">
        <v>30</v>
      </c>
      <c r="B609" t="s">
        <v>562</v>
      </c>
      <c r="C609" t="s">
        <v>563</v>
      </c>
      <c r="D609" t="s">
        <v>744</v>
      </c>
      <c r="E609" s="13" t="n">
        <v>0.25</v>
      </c>
      <c r="F609" s="16" t="n">
        <v>97</v>
      </c>
      <c r="G609" s="14" t="n">
        <v>-0.242573931568999</v>
      </c>
      <c r="H609" s="15" t="n">
        <v>-0.0604804738999169</v>
      </c>
    </row>
    <row r="610">
      <c r="A610" t="s">
        <v>30</v>
      </c>
      <c r="B610" t="s">
        <v>562</v>
      </c>
      <c r="C610" t="s">
        <v>564</v>
      </c>
      <c r="D610" t="s">
        <v>744</v>
      </c>
      <c r="E610" s="13" t="n">
        <v>0.25</v>
      </c>
      <c r="F610" s="16" t="n">
        <v>123</v>
      </c>
      <c r="G610" s="14" t="n">
        <v>-0.10168416076895</v>
      </c>
      <c r="H610" s="15" t="n">
        <v>-0.22838636441065</v>
      </c>
    </row>
    <row r="611">
      <c r="A611" t="s">
        <v>30</v>
      </c>
      <c r="B611" t="s">
        <v>565</v>
      </c>
      <c r="C611" t="s">
        <v>566</v>
      </c>
      <c r="D611" t="s">
        <v>744</v>
      </c>
      <c r="E611" s="13" t="n">
        <v>0.25</v>
      </c>
      <c r="F611" s="16" t="n">
        <v>36</v>
      </c>
      <c r="G611" s="14" t="n">
        <v>0.0772542485937369</v>
      </c>
      <c r="H611" s="15" t="n">
        <v>0.237764129073788</v>
      </c>
    </row>
    <row r="612">
      <c r="A612" t="s">
        <v>30</v>
      </c>
      <c r="B612" t="s">
        <v>567</v>
      </c>
      <c r="C612" t="s">
        <v>568</v>
      </c>
      <c r="D612" t="s">
        <v>744</v>
      </c>
      <c r="E612" s="13" t="n">
        <v>0.25</v>
      </c>
      <c r="F612" s="16" t="n">
        <v>40</v>
      </c>
      <c r="G612" s="14" t="n">
        <v>0.0434120444167326</v>
      </c>
      <c r="H612" s="15" t="n">
        <v>0.246201938253052</v>
      </c>
    </row>
    <row r="613">
      <c r="A613" t="s">
        <v>30</v>
      </c>
      <c r="B613" t="s">
        <v>567</v>
      </c>
      <c r="C613" t="s">
        <v>569</v>
      </c>
      <c r="D613" t="s">
        <v>744</v>
      </c>
      <c r="E613" s="13" t="n">
        <v>0</v>
      </c>
      <c r="F613" s="16" t="n">
        <v>102</v>
      </c>
      <c r="G613" s="14" t="n">
        <v>0</v>
      </c>
      <c r="H613" s="15" t="n">
        <v>0</v>
      </c>
    </row>
    <row r="614">
      <c r="A614" t="s">
        <v>31</v>
      </c>
      <c r="B614" t="s">
        <v>570</v>
      </c>
      <c r="C614" t="s">
        <v>571</v>
      </c>
      <c r="D614" t="s">
        <v>744</v>
      </c>
      <c r="E614" s="13" t="n">
        <v>0</v>
      </c>
      <c r="F614" s="16" t="n">
        <v>63</v>
      </c>
      <c r="G614" s="14" t="n">
        <v>0</v>
      </c>
      <c r="H614" s="15" t="n">
        <v>0</v>
      </c>
    </row>
    <row r="615">
      <c r="A615" t="s">
        <v>31</v>
      </c>
      <c r="B615" t="s">
        <v>570</v>
      </c>
      <c r="C615" t="s">
        <v>572</v>
      </c>
      <c r="D615" t="s">
        <v>744</v>
      </c>
      <c r="E615" s="13" t="n">
        <v>0.25</v>
      </c>
      <c r="F615" s="16" t="n">
        <v>137</v>
      </c>
      <c r="G615" s="14" t="n">
        <v>0.0174391184360313</v>
      </c>
      <c r="H615" s="15" t="n">
        <v>-0.249391012564956</v>
      </c>
    </row>
    <row r="616">
      <c r="A616" t="s">
        <v>31</v>
      </c>
      <c r="B616" t="s">
        <v>573</v>
      </c>
      <c r="C616" t="s">
        <v>574</v>
      </c>
      <c r="D616" t="s">
        <v>744</v>
      </c>
      <c r="E616" s="13" t="n">
        <v>0.25</v>
      </c>
      <c r="F616" s="16" t="n">
        <v>163</v>
      </c>
      <c r="G616" s="14" t="n">
        <v>0.20725939313876</v>
      </c>
      <c r="H616" s="15" t="n">
        <v>-0.139798225867687</v>
      </c>
    </row>
    <row r="617">
      <c r="A617" t="s">
        <v>31</v>
      </c>
      <c r="B617" t="s">
        <v>573</v>
      </c>
      <c r="C617" t="s">
        <v>575</v>
      </c>
      <c r="D617" t="s">
        <v>744</v>
      </c>
      <c r="E617" s="13" t="n">
        <v>0.5</v>
      </c>
      <c r="F617" s="16" t="n">
        <v>27</v>
      </c>
      <c r="G617" s="14" t="n">
        <v>0.293892626146237</v>
      </c>
      <c r="H617" s="15" t="n">
        <v>0.404508497187474</v>
      </c>
    </row>
    <row r="618">
      <c r="A618" t="s">
        <v>30</v>
      </c>
      <c r="B618" t="s">
        <v>576</v>
      </c>
      <c r="C618" t="s">
        <v>577</v>
      </c>
      <c r="D618" t="s">
        <v>744</v>
      </c>
      <c r="E618" s="13" t="n">
        <v>0</v>
      </c>
      <c r="F618" s="16" t="n">
        <v>58</v>
      </c>
      <c r="G618" s="14" t="n">
        <v>0</v>
      </c>
      <c r="H618" s="15" t="n">
        <v>0</v>
      </c>
    </row>
    <row r="619">
      <c r="A619" t="s">
        <v>30</v>
      </c>
      <c r="B619" t="s">
        <v>576</v>
      </c>
      <c r="C619" t="s">
        <v>578</v>
      </c>
      <c r="D619" t="s">
        <v>744</v>
      </c>
      <c r="E619" s="13" t="n">
        <v>0.25</v>
      </c>
      <c r="F619" s="16" t="n">
        <v>45</v>
      </c>
      <c r="G619" s="14" t="n">
        <v>0</v>
      </c>
      <c r="H619" s="15" t="n">
        <v>0.25</v>
      </c>
    </row>
    <row r="620">
      <c r="A620" t="s">
        <v>31</v>
      </c>
      <c r="B620" t="s">
        <v>579</v>
      </c>
      <c r="C620" t="s">
        <v>580</v>
      </c>
      <c r="D620" t="s">
        <v>744</v>
      </c>
      <c r="E620" s="13" t="n">
        <v>0.5</v>
      </c>
      <c r="F620" s="16" t="n">
        <v>6</v>
      </c>
      <c r="G620" s="14" t="n">
        <v>0.489073800366903</v>
      </c>
      <c r="H620" s="15" t="n">
        <v>0.10395584540888</v>
      </c>
    </row>
    <row r="621">
      <c r="A621" t="s">
        <v>31</v>
      </c>
      <c r="B621" t="s">
        <v>579</v>
      </c>
      <c r="C621" t="s">
        <v>581</v>
      </c>
      <c r="D621" t="s">
        <v>744</v>
      </c>
      <c r="E621" s="13" t="n">
        <v>0</v>
      </c>
      <c r="F621" s="16" t="n">
        <v>66</v>
      </c>
      <c r="G621" s="14" t="n">
        <v>0</v>
      </c>
      <c r="H621" s="15" t="n">
        <v>0</v>
      </c>
    </row>
    <row r="622">
      <c r="A622" t="s">
        <v>30</v>
      </c>
      <c r="B622" t="s">
        <v>582</v>
      </c>
      <c r="C622" t="s">
        <v>583</v>
      </c>
      <c r="D622" t="s">
        <v>744</v>
      </c>
      <c r="E622" s="13" t="n">
        <v>0.25</v>
      </c>
      <c r="F622" s="16" t="n">
        <v>91</v>
      </c>
      <c r="G622" s="14" t="n">
        <v>-0.249847706754774</v>
      </c>
      <c r="H622" s="15" t="n">
        <v>-0.00872487417562529</v>
      </c>
    </row>
    <row r="623">
      <c r="A623" t="s">
        <v>30</v>
      </c>
      <c r="B623" t="s">
        <v>582</v>
      </c>
      <c r="C623" t="s">
        <v>584</v>
      </c>
      <c r="D623" t="s">
        <v>744</v>
      </c>
      <c r="E623" s="13" t="n">
        <v>0.25</v>
      </c>
      <c r="F623" s="16" t="n">
        <v>83</v>
      </c>
      <c r="G623" s="14" t="n">
        <v>-0.242573931568999</v>
      </c>
      <c r="H623" s="15" t="n">
        <v>0.0604804738999169</v>
      </c>
    </row>
    <row r="624">
      <c r="A624" t="s">
        <v>31</v>
      </c>
      <c r="B624" t="s">
        <v>585</v>
      </c>
      <c r="C624" t="s">
        <v>586</v>
      </c>
      <c r="D624" t="s">
        <v>744</v>
      </c>
      <c r="E624" s="13" t="n">
        <v>0.25</v>
      </c>
      <c r="F624" s="16" t="n">
        <v>22</v>
      </c>
      <c r="G624" s="14" t="n">
        <v>0.179834950084663</v>
      </c>
      <c r="H624" s="15" t="n">
        <v>0.173664592614749</v>
      </c>
    </row>
    <row r="625">
      <c r="A625" t="s">
        <v>31</v>
      </c>
      <c r="B625" t="s">
        <v>585</v>
      </c>
      <c r="C625" t="s">
        <v>587</v>
      </c>
      <c r="D625" t="s">
        <v>744</v>
      </c>
      <c r="E625" s="13" t="n">
        <v>0.5</v>
      </c>
      <c r="F625" s="16" t="n">
        <v>36</v>
      </c>
      <c r="G625" s="14" t="n">
        <v>0.154508497187474</v>
      </c>
      <c r="H625" s="15" t="n">
        <v>0.475528258147577</v>
      </c>
    </row>
    <row r="626">
      <c r="A626" t="s">
        <v>31</v>
      </c>
      <c r="B626" t="s">
        <v>588</v>
      </c>
      <c r="C626" t="s">
        <v>589</v>
      </c>
      <c r="D626" t="s">
        <v>744</v>
      </c>
      <c r="E626" s="13" t="n">
        <v>0.25</v>
      </c>
      <c r="F626" s="16" t="n">
        <v>105</v>
      </c>
      <c r="G626" s="14" t="n">
        <v>-0.21650635094611</v>
      </c>
      <c r="H626" s="15" t="n">
        <v>-0.125</v>
      </c>
    </row>
    <row r="627">
      <c r="A627" t="s">
        <v>31</v>
      </c>
      <c r="B627" t="s">
        <v>590</v>
      </c>
      <c r="C627" t="s">
        <v>591</v>
      </c>
      <c r="D627" t="s">
        <v>744</v>
      </c>
      <c r="E627" s="13" t="n">
        <v>0.25</v>
      </c>
      <c r="F627" s="16" t="n">
        <v>39</v>
      </c>
      <c r="G627" s="14" t="n">
        <v>0.0519779227044398</v>
      </c>
      <c r="H627" s="15" t="n">
        <v>0.244536900183451</v>
      </c>
    </row>
    <row r="628">
      <c r="A628" t="s">
        <v>31</v>
      </c>
      <c r="B628" t="s">
        <v>590</v>
      </c>
      <c r="C628" t="s">
        <v>592</v>
      </c>
      <c r="D628" t="s">
        <v>744</v>
      </c>
      <c r="E628" s="13" t="n">
        <v>0.25</v>
      </c>
      <c r="F628" s="16" t="n">
        <v>25</v>
      </c>
      <c r="G628" s="14" t="n">
        <v>0.160696902421635</v>
      </c>
      <c r="H628" s="15" t="n">
        <v>0.191511110779745</v>
      </c>
    </row>
    <row r="629">
      <c r="A629" t="s">
        <v>30</v>
      </c>
      <c r="B629" t="s">
        <v>593</v>
      </c>
      <c r="C629" t="s">
        <v>594</v>
      </c>
      <c r="D629" t="s">
        <v>744</v>
      </c>
      <c r="E629" s="13" t="n">
        <v>0.25</v>
      </c>
      <c r="F629" s="16" t="n">
        <v>111</v>
      </c>
      <c r="G629" s="14" t="n">
        <v>-0.185786206369349</v>
      </c>
      <c r="H629" s="15" t="n">
        <v>-0.167282651589715</v>
      </c>
    </row>
    <row r="630">
      <c r="A630" t="s">
        <v>30</v>
      </c>
      <c r="B630" t="s">
        <v>593</v>
      </c>
      <c r="C630" t="s">
        <v>595</v>
      </c>
      <c r="D630" t="s">
        <v>744</v>
      </c>
      <c r="E630" s="13" t="n">
        <v>0.5</v>
      </c>
      <c r="F630" s="16" t="n">
        <v>68</v>
      </c>
      <c r="G630" s="14" t="n">
        <v>-0.359669900169325</v>
      </c>
      <c r="H630" s="15" t="n">
        <v>0.347329185229499</v>
      </c>
    </row>
    <row r="631">
      <c r="A631" t="s">
        <v>31</v>
      </c>
      <c r="B631" t="s">
        <v>596</v>
      </c>
      <c r="C631" t="s">
        <v>597</v>
      </c>
      <c r="D631" t="s">
        <v>744</v>
      </c>
      <c r="E631" s="13" t="n">
        <v>0</v>
      </c>
      <c r="F631" s="16" t="n">
        <v>150</v>
      </c>
      <c r="G631" s="14" t="n">
        <v>0</v>
      </c>
      <c r="H631" s="15" t="n">
        <v>0</v>
      </c>
    </row>
    <row r="632">
      <c r="A632" t="s">
        <v>31</v>
      </c>
      <c r="B632" t="s">
        <v>596</v>
      </c>
      <c r="C632" t="s">
        <v>598</v>
      </c>
      <c r="D632" t="s">
        <v>744</v>
      </c>
      <c r="E632" s="13" t="n">
        <v>0</v>
      </c>
      <c r="F632" s="16" t="n">
        <v>140</v>
      </c>
      <c r="G632" s="14" t="n">
        <v>0</v>
      </c>
      <c r="H632" s="15" t="n">
        <v>0</v>
      </c>
    </row>
    <row r="633">
      <c r="A633" t="s">
        <v>31</v>
      </c>
      <c r="B633" t="s">
        <v>599</v>
      </c>
      <c r="C633" t="s">
        <v>600</v>
      </c>
      <c r="D633" t="s">
        <v>744</v>
      </c>
      <c r="E633" s="13" t="n">
        <v>0.25</v>
      </c>
      <c r="F633" s="16" t="n">
        <v>148</v>
      </c>
      <c r="G633" s="14" t="n">
        <v>0.109592786697269</v>
      </c>
      <c r="H633" s="15" t="n">
        <v>-0.224698511574792</v>
      </c>
    </row>
    <row r="634">
      <c r="A634" t="s">
        <v>31</v>
      </c>
      <c r="B634" t="s">
        <v>599</v>
      </c>
      <c r="C634" t="s">
        <v>601</v>
      </c>
      <c r="D634" t="s">
        <v>744</v>
      </c>
      <c r="E634" s="13" t="n">
        <v>0.25</v>
      </c>
      <c r="F634" s="16" t="n">
        <v>76</v>
      </c>
      <c r="G634" s="14" t="n">
        <v>-0.220736898214732</v>
      </c>
      <c r="H634" s="15" t="n">
        <v>0.117367890696473</v>
      </c>
    </row>
    <row r="635">
      <c r="A635" t="s">
        <v>31</v>
      </c>
      <c r="B635" t="s">
        <v>602</v>
      </c>
      <c r="C635" t="s">
        <v>603</v>
      </c>
      <c r="D635" t="s">
        <v>744</v>
      </c>
      <c r="E635" s="13" t="n">
        <v>0.25</v>
      </c>
      <c r="F635" s="16" t="n">
        <v>57</v>
      </c>
      <c r="G635" s="14" t="n">
        <v>-0.10168416076895</v>
      </c>
      <c r="H635" s="15" t="n">
        <v>0.22838636441065</v>
      </c>
    </row>
    <row r="636">
      <c r="A636" t="s">
        <v>31</v>
      </c>
      <c r="B636" t="s">
        <v>604</v>
      </c>
      <c r="C636" t="s">
        <v>605</v>
      </c>
      <c r="D636" t="s">
        <v>744</v>
      </c>
      <c r="E636" s="13" t="n">
        <v>0.25</v>
      </c>
      <c r="F636" s="16" t="n">
        <v>65</v>
      </c>
      <c r="G636" s="14" t="n">
        <v>-0.160696902421635</v>
      </c>
      <c r="H636" s="15" t="n">
        <v>0.191511110779745</v>
      </c>
    </row>
    <row r="637">
      <c r="A637" t="s">
        <v>30</v>
      </c>
      <c r="B637" t="s">
        <v>606</v>
      </c>
      <c r="C637" t="s">
        <v>607</v>
      </c>
      <c r="D637" t="s">
        <v>744</v>
      </c>
      <c r="E637" s="13" t="n">
        <v>0.25</v>
      </c>
      <c r="F637" s="16" t="n">
        <v>80</v>
      </c>
      <c r="G637" s="14" t="n">
        <v>-0.234923155196477</v>
      </c>
      <c r="H637" s="15" t="n">
        <v>0.0855050358314172</v>
      </c>
    </row>
    <row r="638">
      <c r="A638" t="s">
        <v>30</v>
      </c>
      <c r="B638" t="s">
        <v>606</v>
      </c>
      <c r="C638" t="s">
        <v>608</v>
      </c>
      <c r="D638" t="s">
        <v>744</v>
      </c>
      <c r="E638" s="13" t="n">
        <v>0.25</v>
      </c>
      <c r="F638" s="16" t="n">
        <v>109</v>
      </c>
      <c r="G638" s="14" t="n">
        <v>-0.197002688401681</v>
      </c>
      <c r="H638" s="15" t="n">
        <v>-0.153915368831415</v>
      </c>
    </row>
    <row r="639">
      <c r="A639" t="s">
        <v>31</v>
      </c>
      <c r="B639" t="s">
        <v>609</v>
      </c>
      <c r="C639" t="s">
        <v>610</v>
      </c>
      <c r="D639" t="s">
        <v>744</v>
      </c>
      <c r="E639" s="13" t="n">
        <v>0.25</v>
      </c>
      <c r="F639" s="16" t="n">
        <v>45</v>
      </c>
      <c r="G639" s="14" t="n">
        <v>0</v>
      </c>
      <c r="H639" s="15" t="n">
        <v>0.25</v>
      </c>
    </row>
    <row r="640">
      <c r="A640" t="s">
        <v>30</v>
      </c>
      <c r="B640" t="s">
        <v>611</v>
      </c>
      <c r="C640" t="s">
        <v>612</v>
      </c>
      <c r="D640" t="s">
        <v>744</v>
      </c>
      <c r="E640" s="13" t="n">
        <v>0</v>
      </c>
      <c r="F640" s="16" t="n">
        <v>20</v>
      </c>
      <c r="G640" s="14" t="n">
        <v>0</v>
      </c>
      <c r="H640" s="15" t="n">
        <v>0</v>
      </c>
    </row>
    <row r="641">
      <c r="A641" t="s">
        <v>30</v>
      </c>
      <c r="B641" t="s">
        <v>611</v>
      </c>
      <c r="C641" t="s">
        <v>613</v>
      </c>
      <c r="D641" t="s">
        <v>744</v>
      </c>
      <c r="E641" s="13" t="n">
        <v>0</v>
      </c>
      <c r="F641" s="16" t="n">
        <v>29</v>
      </c>
      <c r="G641" s="14" t="n">
        <v>0</v>
      </c>
      <c r="H641" s="15" t="n">
        <v>0</v>
      </c>
    </row>
    <row r="642">
      <c r="A642" t="s">
        <v>30</v>
      </c>
      <c r="B642" t="s">
        <v>614</v>
      </c>
      <c r="C642" t="s">
        <v>615</v>
      </c>
      <c r="D642" t="s">
        <v>744</v>
      </c>
      <c r="E642" s="13" t="n">
        <v>0</v>
      </c>
      <c r="F642" s="16" t="n">
        <v>141</v>
      </c>
      <c r="G642" s="14" t="n">
        <v>0</v>
      </c>
      <c r="H642" s="15" t="n">
        <v>0</v>
      </c>
    </row>
    <row r="643">
      <c r="A643" t="s">
        <v>30</v>
      </c>
      <c r="B643" t="s">
        <v>614</v>
      </c>
      <c r="C643" t="s">
        <v>616</v>
      </c>
      <c r="D643" t="s">
        <v>744</v>
      </c>
      <c r="E643" s="13" t="n">
        <v>0.25</v>
      </c>
      <c r="F643" s="16" t="n">
        <v>65</v>
      </c>
      <c r="G643" s="14" t="n">
        <v>-0.160696902421635</v>
      </c>
      <c r="H643" s="15" t="n">
        <v>0.191511110779745</v>
      </c>
    </row>
    <row r="644">
      <c r="A644" t="s">
        <v>31</v>
      </c>
      <c r="B644" t="s">
        <v>617</v>
      </c>
      <c r="C644" t="s">
        <v>618</v>
      </c>
      <c r="D644" t="s">
        <v>744</v>
      </c>
      <c r="E644" s="13" t="n">
        <v>0</v>
      </c>
      <c r="F644" s="16" t="n">
        <v>0</v>
      </c>
      <c r="G644" s="14" t="n">
        <v>0</v>
      </c>
      <c r="H644" s="15" t="n">
        <v>0</v>
      </c>
    </row>
    <row r="645">
      <c r="A645" t="s">
        <v>31</v>
      </c>
      <c r="B645" t="s">
        <v>617</v>
      </c>
      <c r="C645" t="s">
        <v>619</v>
      </c>
      <c r="D645" t="s">
        <v>744</v>
      </c>
      <c r="E645" s="13" t="n">
        <v>0.25</v>
      </c>
      <c r="F645" s="16" t="n">
        <v>116</v>
      </c>
      <c r="G645" s="14" t="n">
        <v>-0.153915368831415</v>
      </c>
      <c r="H645" s="15" t="n">
        <v>-0.197002688401681</v>
      </c>
    </row>
    <row r="646">
      <c r="A646" t="s">
        <v>31</v>
      </c>
      <c r="B646" t="s">
        <v>620</v>
      </c>
      <c r="C646" t="s">
        <v>621</v>
      </c>
      <c r="D646" t="s">
        <v>744</v>
      </c>
      <c r="E646" s="13" t="n">
        <v>0.25</v>
      </c>
      <c r="F646" s="16" t="n">
        <v>90</v>
      </c>
      <c r="G646" s="14" t="n">
        <v>-0.25</v>
      </c>
      <c r="H646" s="15" t="n">
        <v>0</v>
      </c>
    </row>
    <row r="647">
      <c r="A647" t="s">
        <v>31</v>
      </c>
      <c r="B647" t="s">
        <v>620</v>
      </c>
      <c r="C647" t="s">
        <v>622</v>
      </c>
      <c r="D647" t="s">
        <v>744</v>
      </c>
      <c r="E647" s="13" t="n">
        <v>0</v>
      </c>
      <c r="F647" s="16" t="n">
        <v>162</v>
      </c>
      <c r="G647" s="14" t="n">
        <v>0</v>
      </c>
      <c r="H647" s="15" t="n">
        <v>0</v>
      </c>
    </row>
    <row r="648">
      <c r="A648" t="s">
        <v>30</v>
      </c>
      <c r="B648" t="s">
        <v>623</v>
      </c>
      <c r="C648" t="s">
        <v>624</v>
      </c>
      <c r="D648" t="s">
        <v>744</v>
      </c>
      <c r="E648" s="13" t="n">
        <v>0</v>
      </c>
      <c r="F648" s="16" t="n">
        <v>14</v>
      </c>
      <c r="G648" s="14" t="n">
        <v>0</v>
      </c>
      <c r="H648" s="15" t="n">
        <v>0</v>
      </c>
    </row>
    <row r="649">
      <c r="A649" t="s">
        <v>31</v>
      </c>
      <c r="B649" t="s">
        <v>625</v>
      </c>
      <c r="C649" t="s">
        <v>626</v>
      </c>
      <c r="D649" t="s">
        <v>744</v>
      </c>
      <c r="E649" s="13" t="n">
        <v>0.25</v>
      </c>
      <c r="F649" s="16" t="n">
        <v>63</v>
      </c>
      <c r="G649" s="14" t="n">
        <v>-0.146946313073118</v>
      </c>
      <c r="H649" s="15" t="n">
        <v>0.202254248593737</v>
      </c>
    </row>
    <row r="650">
      <c r="A650" t="s">
        <v>31</v>
      </c>
      <c r="B650" t="s">
        <v>625</v>
      </c>
      <c r="C650" t="s">
        <v>627</v>
      </c>
      <c r="D650" t="s">
        <v>744</v>
      </c>
      <c r="E650" s="13" t="n">
        <v>0.25</v>
      </c>
      <c r="F650" s="16" t="n">
        <v>72</v>
      </c>
      <c r="G650" s="14" t="n">
        <v>-0.202254248593737</v>
      </c>
      <c r="H650" s="15" t="n">
        <v>0.146946313073118</v>
      </c>
    </row>
    <row r="651">
      <c r="A651" t="s">
        <v>31</v>
      </c>
      <c r="B651" t="s">
        <v>628</v>
      </c>
      <c r="C651" t="s">
        <v>629</v>
      </c>
      <c r="D651" t="s">
        <v>744</v>
      </c>
      <c r="E651" s="13" t="n">
        <v>0.5</v>
      </c>
      <c r="F651" s="16" t="n">
        <v>15</v>
      </c>
      <c r="G651" s="14" t="n">
        <v>0.433012701892219</v>
      </c>
      <c r="H651" s="15" t="n">
        <v>0.25</v>
      </c>
    </row>
    <row r="652">
      <c r="A652" t="s">
        <v>31</v>
      </c>
      <c r="B652" t="s">
        <v>628</v>
      </c>
      <c r="C652" t="s">
        <v>630</v>
      </c>
      <c r="D652" t="s">
        <v>744</v>
      </c>
      <c r="E652" s="13" t="n">
        <v>0.25</v>
      </c>
      <c r="F652" s="16" t="n">
        <v>148</v>
      </c>
      <c r="G652" s="14" t="n">
        <v>0.109592786697269</v>
      </c>
      <c r="H652" s="15" t="n">
        <v>-0.224698511574792</v>
      </c>
    </row>
    <row r="653">
      <c r="A653" t="s">
        <v>30</v>
      </c>
      <c r="B653" t="s">
        <v>631</v>
      </c>
      <c r="C653" t="s">
        <v>632</v>
      </c>
      <c r="D653" t="s">
        <v>744</v>
      </c>
      <c r="E653" s="13" t="n">
        <v>0.75</v>
      </c>
      <c r="F653" s="16" t="n">
        <v>150</v>
      </c>
      <c r="G653" s="14" t="n">
        <v>0.375</v>
      </c>
      <c r="H653" s="15" t="n">
        <v>-0.649519052838329</v>
      </c>
    </row>
    <row r="654">
      <c r="A654" t="s">
        <v>30</v>
      </c>
      <c r="B654" t="s">
        <v>631</v>
      </c>
      <c r="C654" t="s">
        <v>633</v>
      </c>
      <c r="D654" t="s">
        <v>744</v>
      </c>
      <c r="E654" s="13" t="n">
        <v>0.25</v>
      </c>
      <c r="F654" s="16" t="n">
        <v>168</v>
      </c>
      <c r="G654" s="14" t="n">
        <v>0.22838636441065</v>
      </c>
      <c r="H654" s="15" t="n">
        <v>-0.10168416076895</v>
      </c>
    </row>
    <row r="655">
      <c r="A655" t="s">
        <v>31</v>
      </c>
      <c r="B655" t="s">
        <v>634</v>
      </c>
      <c r="C655" t="s">
        <v>635</v>
      </c>
      <c r="D655" t="s">
        <v>744</v>
      </c>
      <c r="E655" s="13" t="n">
        <v>0</v>
      </c>
      <c r="F655" s="16" t="n">
        <v>154</v>
      </c>
      <c r="G655" s="14" t="n">
        <v>0</v>
      </c>
      <c r="H655" s="15" t="n">
        <v>0</v>
      </c>
    </row>
    <row r="656">
      <c r="A656" t="s">
        <v>30</v>
      </c>
      <c r="B656" t="s">
        <v>636</v>
      </c>
      <c r="C656" t="s">
        <v>637</v>
      </c>
      <c r="D656" t="s">
        <v>744</v>
      </c>
      <c r="E656" s="13" t="n">
        <v>0</v>
      </c>
      <c r="F656" s="16" t="n">
        <v>137</v>
      </c>
      <c r="G656" s="14" t="n">
        <v>0</v>
      </c>
      <c r="H656" s="15" t="n">
        <v>0</v>
      </c>
    </row>
    <row r="657">
      <c r="A657" t="s">
        <v>30</v>
      </c>
      <c r="B657" t="s">
        <v>636</v>
      </c>
      <c r="C657" t="s">
        <v>638</v>
      </c>
      <c r="D657" t="s">
        <v>744</v>
      </c>
      <c r="E657" s="13" t="n">
        <v>0</v>
      </c>
      <c r="F657" s="16" t="n">
        <v>31</v>
      </c>
      <c r="G657" s="14" t="n">
        <v>0</v>
      </c>
      <c r="H657" s="15" t="n">
        <v>0</v>
      </c>
    </row>
    <row r="658">
      <c r="A658" t="s">
        <v>31</v>
      </c>
      <c r="B658" t="s">
        <v>639</v>
      </c>
      <c r="C658" t="s">
        <v>640</v>
      </c>
      <c r="D658" t="s">
        <v>744</v>
      </c>
      <c r="E658" s="13" t="n">
        <v>0.25</v>
      </c>
      <c r="F658" s="16" t="n">
        <v>9</v>
      </c>
      <c r="G658" s="14" t="n">
        <v>0.237764129073788</v>
      </c>
      <c r="H658" s="15" t="n">
        <v>0.0772542485937368</v>
      </c>
    </row>
    <row r="659">
      <c r="A659" t="s">
        <v>31</v>
      </c>
      <c r="B659" t="s">
        <v>639</v>
      </c>
      <c r="C659" t="s">
        <v>641</v>
      </c>
      <c r="D659" t="s">
        <v>744</v>
      </c>
      <c r="E659" s="13" t="n">
        <v>0.25</v>
      </c>
      <c r="F659" s="16" t="n">
        <v>157</v>
      </c>
      <c r="G659" s="14" t="n">
        <v>0.173664592614749</v>
      </c>
      <c r="H659" s="15" t="n">
        <v>-0.179834950084663</v>
      </c>
    </row>
    <row r="660">
      <c r="A660" t="s">
        <v>31</v>
      </c>
      <c r="B660" t="s">
        <v>642</v>
      </c>
      <c r="C660" t="s">
        <v>643</v>
      </c>
      <c r="D660" t="s">
        <v>744</v>
      </c>
      <c r="E660" s="13" t="n">
        <v>0.25</v>
      </c>
      <c r="F660" s="16" t="n">
        <v>92</v>
      </c>
      <c r="G660" s="14" t="n">
        <v>-0.249391012564956</v>
      </c>
      <c r="H660" s="15" t="n">
        <v>-0.0174391184360313</v>
      </c>
    </row>
    <row r="661">
      <c r="A661" t="s">
        <v>31</v>
      </c>
      <c r="B661" t="s">
        <v>642</v>
      </c>
      <c r="C661" t="s">
        <v>644</v>
      </c>
      <c r="D661" t="s">
        <v>744</v>
      </c>
      <c r="E661" s="13" t="n">
        <v>0.25</v>
      </c>
      <c r="F661" s="16" t="n">
        <v>154</v>
      </c>
      <c r="G661" s="14" t="n">
        <v>0.153915368831414</v>
      </c>
      <c r="H661" s="15" t="n">
        <v>-0.197002688401681</v>
      </c>
    </row>
    <row r="662">
      <c r="A662" t="s">
        <v>31</v>
      </c>
      <c r="B662" t="s">
        <v>645</v>
      </c>
      <c r="C662" t="s">
        <v>646</v>
      </c>
      <c r="D662" t="s">
        <v>744</v>
      </c>
      <c r="E662" s="13" t="n">
        <v>0</v>
      </c>
      <c r="F662" s="16" t="n">
        <v>62</v>
      </c>
      <c r="G662" s="14" t="n">
        <v>0</v>
      </c>
      <c r="H662" s="15" t="n">
        <v>0</v>
      </c>
    </row>
    <row r="663">
      <c r="A663" t="s">
        <v>30</v>
      </c>
      <c r="B663" t="s">
        <v>647</v>
      </c>
      <c r="C663" t="s">
        <v>648</v>
      </c>
      <c r="D663" t="s">
        <v>744</v>
      </c>
      <c r="E663" s="13" t="n">
        <v>0.25</v>
      </c>
      <c r="F663" s="16" t="n">
        <v>124</v>
      </c>
      <c r="G663" s="14" t="n">
        <v>-0.0936516483539781</v>
      </c>
      <c r="H663" s="15" t="n">
        <v>-0.231795963641697</v>
      </c>
    </row>
    <row r="664">
      <c r="A664" t="s">
        <v>31</v>
      </c>
      <c r="B664" t="s">
        <v>649</v>
      </c>
      <c r="C664" t="s">
        <v>650</v>
      </c>
      <c r="D664" t="s">
        <v>744</v>
      </c>
      <c r="E664" s="13" t="n">
        <v>0.25</v>
      </c>
      <c r="F664" s="16" t="n">
        <v>17</v>
      </c>
      <c r="G664" s="14" t="n">
        <v>0.20725939313876</v>
      </c>
      <c r="H664" s="15" t="n">
        <v>0.139798225867687</v>
      </c>
    </row>
    <row r="665">
      <c r="A665" t="s">
        <v>31</v>
      </c>
      <c r="B665" t="s">
        <v>651</v>
      </c>
      <c r="C665" t="s">
        <v>652</v>
      </c>
      <c r="D665" t="s">
        <v>744</v>
      </c>
      <c r="E665" s="13" t="n">
        <v>0.25</v>
      </c>
      <c r="F665" s="16" t="n">
        <v>97</v>
      </c>
      <c r="G665" s="14" t="n">
        <v>-0.242573931568999</v>
      </c>
      <c r="H665" s="15" t="n">
        <v>-0.0604804738999169</v>
      </c>
    </row>
    <row r="666">
      <c r="A666" t="s">
        <v>31</v>
      </c>
      <c r="B666" t="s">
        <v>651</v>
      </c>
      <c r="C666" t="s">
        <v>653</v>
      </c>
      <c r="D666" t="s">
        <v>744</v>
      </c>
      <c r="E666" s="13" t="n">
        <v>0.25</v>
      </c>
      <c r="F666" s="16" t="n">
        <v>86</v>
      </c>
      <c r="G666" s="14" t="n">
        <v>-0.247567017185393</v>
      </c>
      <c r="H666" s="15" t="n">
        <v>0.0347932752400163</v>
      </c>
    </row>
    <row r="667">
      <c r="A667" t="s">
        <v>31</v>
      </c>
      <c r="B667" t="s">
        <v>654</v>
      </c>
      <c r="C667" t="s">
        <v>655</v>
      </c>
      <c r="D667" t="s">
        <v>744</v>
      </c>
      <c r="E667" s="13" t="n">
        <v>0.25</v>
      </c>
      <c r="F667" s="16" t="n">
        <v>42</v>
      </c>
      <c r="G667" s="14" t="n">
        <v>0.0261321158169134</v>
      </c>
      <c r="H667" s="15" t="n">
        <v>0.248630473842068</v>
      </c>
    </row>
    <row r="668">
      <c r="A668" t="s">
        <v>31</v>
      </c>
      <c r="B668" t="s">
        <v>654</v>
      </c>
      <c r="C668" t="s">
        <v>656</v>
      </c>
      <c r="D668" t="s">
        <v>744</v>
      </c>
      <c r="E668" s="13" t="n">
        <v>0.25</v>
      </c>
      <c r="F668" s="16" t="n">
        <v>121</v>
      </c>
      <c r="G668" s="14" t="n">
        <v>-0.117367890696473</v>
      </c>
      <c r="H668" s="15" t="n">
        <v>-0.220736898214732</v>
      </c>
    </row>
    <row r="669">
      <c r="A669" t="s">
        <v>31</v>
      </c>
      <c r="B669" t="s">
        <v>657</v>
      </c>
      <c r="C669" t="s">
        <v>658</v>
      </c>
      <c r="D669" t="s">
        <v>744</v>
      </c>
      <c r="E669" s="13" t="n">
        <v>0.25</v>
      </c>
      <c r="F669" s="16" t="n">
        <v>21</v>
      </c>
      <c r="G669" s="14" t="n">
        <v>0.185786206369349</v>
      </c>
      <c r="H669" s="15" t="n">
        <v>0.167282651589715</v>
      </c>
    </row>
    <row r="670">
      <c r="A670" t="s">
        <v>31</v>
      </c>
      <c r="B670" t="s">
        <v>657</v>
      </c>
      <c r="C670" t="s">
        <v>659</v>
      </c>
      <c r="D670" t="s">
        <v>744</v>
      </c>
      <c r="E670" s="13" t="n">
        <v>0.25</v>
      </c>
      <c r="F670" s="16" t="n">
        <v>173</v>
      </c>
      <c r="G670" s="14" t="n">
        <v>0.242573931568999</v>
      </c>
      <c r="H670" s="15" t="n">
        <v>-0.0604804738999169</v>
      </c>
    </row>
    <row r="671">
      <c r="A671" t="s">
        <v>30</v>
      </c>
      <c r="B671" t="s">
        <v>660</v>
      </c>
      <c r="C671" t="s">
        <v>661</v>
      </c>
      <c r="D671" t="s">
        <v>744</v>
      </c>
      <c r="E671" s="13" t="n">
        <v>0.25</v>
      </c>
      <c r="F671" s="16" t="n">
        <v>103</v>
      </c>
      <c r="G671" s="14" t="n">
        <v>-0.224698511574792</v>
      </c>
      <c r="H671" s="15" t="n">
        <v>-0.109592786697269</v>
      </c>
    </row>
    <row r="672">
      <c r="A672" t="s">
        <v>30</v>
      </c>
      <c r="B672" t="s">
        <v>660</v>
      </c>
      <c r="C672" t="s">
        <v>662</v>
      </c>
      <c r="D672" t="s">
        <v>744</v>
      </c>
      <c r="E672" s="13" t="n">
        <v>0.25</v>
      </c>
      <c r="F672" s="16" t="n">
        <v>137</v>
      </c>
      <c r="G672" s="14" t="n">
        <v>0.0174391184360313</v>
      </c>
      <c r="H672" s="15" t="n">
        <v>-0.249391012564956</v>
      </c>
    </row>
    <row r="673">
      <c r="A673" t="s">
        <v>31</v>
      </c>
      <c r="B673" t="s">
        <v>663</v>
      </c>
      <c r="C673" t="s">
        <v>664</v>
      </c>
      <c r="D673" t="s">
        <v>744</v>
      </c>
      <c r="E673" s="13" t="n">
        <v>0.25</v>
      </c>
      <c r="F673" s="16" t="n">
        <v>86</v>
      </c>
      <c r="G673" s="14" t="n">
        <v>-0.247567017185393</v>
      </c>
      <c r="H673" s="15" t="n">
        <v>0.0347932752400163</v>
      </c>
    </row>
    <row r="674">
      <c r="A674" t="s">
        <v>31</v>
      </c>
      <c r="B674" t="s">
        <v>663</v>
      </c>
      <c r="C674" t="s">
        <v>665</v>
      </c>
      <c r="D674" t="s">
        <v>744</v>
      </c>
      <c r="E674" s="13" t="n">
        <v>0.25</v>
      </c>
      <c r="F674" s="16" t="n">
        <v>130</v>
      </c>
      <c r="G674" s="14" t="n">
        <v>-0.0434120444167326</v>
      </c>
      <c r="H674" s="15" t="n">
        <v>-0.246201938253052</v>
      </c>
    </row>
    <row r="675">
      <c r="A675" t="s">
        <v>31</v>
      </c>
      <c r="B675" t="s">
        <v>666</v>
      </c>
      <c r="C675" t="s">
        <v>667</v>
      </c>
      <c r="D675" t="s">
        <v>744</v>
      </c>
      <c r="E675" s="13" t="n">
        <v>0.25</v>
      </c>
      <c r="F675" s="16" t="n">
        <v>35</v>
      </c>
      <c r="G675" s="14" t="n">
        <v>0.0855050358314172</v>
      </c>
      <c r="H675" s="15" t="n">
        <v>0.234923155196477</v>
      </c>
    </row>
    <row r="676">
      <c r="A676" t="s">
        <v>31</v>
      </c>
      <c r="B676" t="s">
        <v>668</v>
      </c>
      <c r="C676" t="s">
        <v>669</v>
      </c>
      <c r="D676" t="s">
        <v>744</v>
      </c>
      <c r="E676" s="13" t="n">
        <v>0.25</v>
      </c>
      <c r="F676" s="16" t="n">
        <v>121</v>
      </c>
      <c r="G676" s="14" t="n">
        <v>-0.117367890696473</v>
      </c>
      <c r="H676" s="15" t="n">
        <v>-0.220736898214732</v>
      </c>
    </row>
    <row r="677">
      <c r="A677" t="s">
        <v>31</v>
      </c>
      <c r="B677" t="s">
        <v>668</v>
      </c>
      <c r="C677" t="s">
        <v>670</v>
      </c>
      <c r="D677" t="s">
        <v>744</v>
      </c>
      <c r="E677" s="13" t="n">
        <v>0.5</v>
      </c>
      <c r="F677" s="16" t="n">
        <v>60</v>
      </c>
      <c r="G677" s="14" t="n">
        <v>-0.25</v>
      </c>
      <c r="H677" s="15" t="n">
        <v>0.433012701892219</v>
      </c>
    </row>
    <row r="678">
      <c r="A678" t="s">
        <v>30</v>
      </c>
      <c r="B678" t="s">
        <v>671</v>
      </c>
      <c r="C678" t="s">
        <v>672</v>
      </c>
      <c r="D678" t="s">
        <v>744</v>
      </c>
      <c r="E678" s="13" t="n">
        <v>0.75</v>
      </c>
      <c r="F678" s="16" t="n">
        <v>41</v>
      </c>
      <c r="G678" s="14" t="n">
        <v>0.104379825720049</v>
      </c>
      <c r="H678" s="15" t="n">
        <v>0.742701051556178</v>
      </c>
    </row>
    <row r="679">
      <c r="A679" t="s">
        <v>31</v>
      </c>
      <c r="B679" t="s">
        <v>673</v>
      </c>
      <c r="C679" t="s">
        <v>674</v>
      </c>
      <c r="D679" t="s">
        <v>744</v>
      </c>
      <c r="E679" s="13" t="n">
        <v>0.25</v>
      </c>
      <c r="F679" s="16" t="n">
        <v>45</v>
      </c>
      <c r="G679" s="14" t="n">
        <v>0</v>
      </c>
      <c r="H679" s="15" t="n">
        <v>0.25</v>
      </c>
    </row>
    <row r="680">
      <c r="A680" t="s">
        <v>31</v>
      </c>
      <c r="B680" t="s">
        <v>673</v>
      </c>
      <c r="C680" t="s">
        <v>675</v>
      </c>
      <c r="D680" t="s">
        <v>744</v>
      </c>
      <c r="E680" s="13" t="n">
        <v>0.25</v>
      </c>
      <c r="F680" s="16" t="n">
        <v>122</v>
      </c>
      <c r="G680" s="14" t="n">
        <v>-0.109592786697269</v>
      </c>
      <c r="H680" s="15" t="n">
        <v>-0.224698511574792</v>
      </c>
    </row>
    <row r="681">
      <c r="A681" t="s">
        <v>30</v>
      </c>
      <c r="B681" t="s">
        <v>676</v>
      </c>
      <c r="C681" t="s">
        <v>677</v>
      </c>
      <c r="D681" t="s">
        <v>744</v>
      </c>
      <c r="E681" s="13" t="n">
        <v>0.5</v>
      </c>
      <c r="F681" s="16" t="n">
        <v>37</v>
      </c>
      <c r="G681" s="14" t="n">
        <v>0.1378186779085</v>
      </c>
      <c r="H681" s="15" t="n">
        <v>0.480630847969159</v>
      </c>
    </row>
    <row r="682">
      <c r="A682" t="s">
        <v>30</v>
      </c>
      <c r="B682" t="s">
        <v>678</v>
      </c>
      <c r="C682" t="s">
        <v>679</v>
      </c>
      <c r="D682" t="s">
        <v>744</v>
      </c>
      <c r="E682" s="13" t="n">
        <v>0</v>
      </c>
      <c r="F682" s="16" t="n">
        <v>66</v>
      </c>
      <c r="G682" s="14" t="n">
        <v>0</v>
      </c>
      <c r="H682" s="15" t="n">
        <v>0</v>
      </c>
    </row>
    <row r="683">
      <c r="A683" t="s">
        <v>30</v>
      </c>
      <c r="B683" t="s">
        <v>678</v>
      </c>
      <c r="C683" t="s">
        <v>680</v>
      </c>
      <c r="D683" t="s">
        <v>744</v>
      </c>
      <c r="E683" s="13" t="n">
        <v>0.25</v>
      </c>
      <c r="F683" s="16" t="n">
        <v>22</v>
      </c>
      <c r="G683" s="14" t="n">
        <v>0.179834950084663</v>
      </c>
      <c r="H683" s="15" t="n">
        <v>0.173664592614749</v>
      </c>
    </row>
    <row r="684">
      <c r="A684" t="s">
        <v>30</v>
      </c>
      <c r="B684" t="s">
        <v>681</v>
      </c>
      <c r="C684" t="s">
        <v>682</v>
      </c>
      <c r="D684" t="s">
        <v>744</v>
      </c>
      <c r="E684" s="13" t="n">
        <v>0</v>
      </c>
      <c r="F684" s="16" t="n">
        <v>166</v>
      </c>
      <c r="G684" s="14" t="n">
        <v>0</v>
      </c>
      <c r="H684" s="15" t="n">
        <v>0</v>
      </c>
    </row>
    <row r="685">
      <c r="A685" t="s">
        <v>30</v>
      </c>
      <c r="B685" t="s">
        <v>683</v>
      </c>
      <c r="C685" t="s">
        <v>684</v>
      </c>
      <c r="D685" t="s">
        <v>744</v>
      </c>
      <c r="E685" s="13" t="n">
        <v>0.5</v>
      </c>
      <c r="F685" s="16" t="n">
        <v>78</v>
      </c>
      <c r="G685" s="14" t="n">
        <v>-0.4567727288213</v>
      </c>
      <c r="H685" s="15" t="n">
        <v>0.2033683215379</v>
      </c>
    </row>
    <row r="686">
      <c r="A686" t="s">
        <v>30</v>
      </c>
      <c r="B686" t="s">
        <v>683</v>
      </c>
      <c r="C686" t="s">
        <v>685</v>
      </c>
      <c r="D686" t="s">
        <v>744</v>
      </c>
      <c r="E686" s="13" t="n">
        <v>0.5</v>
      </c>
      <c r="F686" s="16" t="n">
        <v>130</v>
      </c>
      <c r="G686" s="14" t="n">
        <v>-0.0868240888334652</v>
      </c>
      <c r="H686" s="15" t="n">
        <v>-0.492403876506104</v>
      </c>
    </row>
    <row r="687">
      <c r="A687" t="s">
        <v>31</v>
      </c>
      <c r="B687" t="s">
        <v>686</v>
      </c>
      <c r="C687" t="s">
        <v>687</v>
      </c>
      <c r="D687" t="s">
        <v>744</v>
      </c>
      <c r="E687" s="13" t="n">
        <v>0</v>
      </c>
      <c r="F687" s="16" t="n">
        <v>171</v>
      </c>
      <c r="G687" s="14" t="n">
        <v>0</v>
      </c>
      <c r="H687" s="15" t="n">
        <v>0</v>
      </c>
    </row>
    <row r="688">
      <c r="A688" t="s">
        <v>31</v>
      </c>
      <c r="B688" t="s">
        <v>688</v>
      </c>
      <c r="C688" t="s">
        <v>689</v>
      </c>
      <c r="D688" t="s">
        <v>744</v>
      </c>
      <c r="E688" s="13" t="n">
        <v>0</v>
      </c>
      <c r="F688" s="16" t="n">
        <v>114</v>
      </c>
      <c r="G688" s="14" t="n">
        <v>0</v>
      </c>
      <c r="H688" s="15" t="n">
        <v>0</v>
      </c>
    </row>
    <row r="689">
      <c r="A689" t="s">
        <v>31</v>
      </c>
      <c r="B689" t="s">
        <v>688</v>
      </c>
      <c r="C689" t="s">
        <v>690</v>
      </c>
      <c r="D689" t="s">
        <v>744</v>
      </c>
      <c r="E689" s="13" t="n">
        <v>0.25</v>
      </c>
      <c r="F689" s="16" t="n">
        <v>138</v>
      </c>
      <c r="G689" s="14" t="n">
        <v>0.0261321158169135</v>
      </c>
      <c r="H689" s="15" t="n">
        <v>-0.248630473842068</v>
      </c>
    </row>
    <row r="690">
      <c r="A690" t="s">
        <v>31</v>
      </c>
      <c r="B690" t="s">
        <v>691</v>
      </c>
      <c r="C690" t="s">
        <v>692</v>
      </c>
      <c r="D690" t="s">
        <v>744</v>
      </c>
      <c r="E690" s="13" t="n">
        <v>0.25</v>
      </c>
      <c r="F690" s="16" t="n">
        <v>18</v>
      </c>
      <c r="G690" s="14" t="n">
        <v>0.202254248593737</v>
      </c>
      <c r="H690" s="15" t="n">
        <v>0.146946313073118</v>
      </c>
    </row>
    <row r="691">
      <c r="A691" t="s">
        <v>31</v>
      </c>
      <c r="B691" t="s">
        <v>691</v>
      </c>
      <c r="C691" t="s">
        <v>693</v>
      </c>
      <c r="D691" t="s">
        <v>744</v>
      </c>
      <c r="E691" s="13" t="n">
        <v>0.25</v>
      </c>
      <c r="F691" s="16" t="n">
        <v>165</v>
      </c>
      <c r="G691" s="14" t="n">
        <v>0.21650635094611</v>
      </c>
      <c r="H691" s="15" t="n">
        <v>-0.125</v>
      </c>
    </row>
    <row r="692">
      <c r="A692" t="s">
        <v>30</v>
      </c>
      <c r="B692" t="s">
        <v>694</v>
      </c>
      <c r="C692" t="s">
        <v>695</v>
      </c>
      <c r="D692" t="s">
        <v>744</v>
      </c>
      <c r="E692" s="13" t="n">
        <v>0.25</v>
      </c>
      <c r="F692" s="16" t="n">
        <v>158</v>
      </c>
      <c r="G692" s="14" t="n">
        <v>0.179834950084663</v>
      </c>
      <c r="H692" s="15" t="n">
        <v>-0.173664592614749</v>
      </c>
    </row>
    <row r="693">
      <c r="A693" t="s">
        <v>30</v>
      </c>
      <c r="B693" t="s">
        <v>694</v>
      </c>
      <c r="C693" t="s">
        <v>696</v>
      </c>
      <c r="D693" t="s">
        <v>744</v>
      </c>
      <c r="E693" s="13" t="n">
        <v>0.25</v>
      </c>
      <c r="F693" s="16" t="n">
        <v>131</v>
      </c>
      <c r="G693" s="14" t="n">
        <v>-0.0347932752400165</v>
      </c>
      <c r="H693" s="15" t="n">
        <v>-0.247567017185393</v>
      </c>
    </row>
    <row r="694">
      <c r="A694" t="s">
        <v>30</v>
      </c>
      <c r="B694" t="s">
        <v>697</v>
      </c>
      <c r="C694" t="s">
        <v>698</v>
      </c>
      <c r="D694" t="s">
        <v>744</v>
      </c>
      <c r="E694" s="13" t="n">
        <v>0</v>
      </c>
      <c r="F694" s="16" t="n">
        <v>108</v>
      </c>
      <c r="G694" s="14" t="n">
        <v>0</v>
      </c>
      <c r="H694" s="15" t="n">
        <v>0</v>
      </c>
    </row>
    <row r="695">
      <c r="A695" t="s">
        <v>30</v>
      </c>
      <c r="B695" t="s">
        <v>697</v>
      </c>
      <c r="C695" t="s">
        <v>699</v>
      </c>
      <c r="D695" t="s">
        <v>744</v>
      </c>
      <c r="E695" s="13" t="n">
        <v>0</v>
      </c>
      <c r="F695" s="16" t="n">
        <v>97</v>
      </c>
      <c r="G695" s="14" t="n">
        <v>0</v>
      </c>
      <c r="H695" s="15" t="n">
        <v>0</v>
      </c>
    </row>
    <row r="696">
      <c r="A696" t="s">
        <v>31</v>
      </c>
      <c r="B696" t="s">
        <v>700</v>
      </c>
      <c r="C696" t="s">
        <v>701</v>
      </c>
      <c r="D696" t="s">
        <v>744</v>
      </c>
      <c r="E696" s="13" t="n">
        <v>0</v>
      </c>
      <c r="F696" s="16" t="n">
        <v>167</v>
      </c>
      <c r="G696" s="14" t="n">
        <v>0</v>
      </c>
      <c r="H696" s="15" t="n">
        <v>0</v>
      </c>
    </row>
    <row r="697">
      <c r="A697" t="s">
        <v>31</v>
      </c>
      <c r="B697" t="s">
        <v>700</v>
      </c>
      <c r="C697" t="s">
        <v>702</v>
      </c>
      <c r="D697" t="s">
        <v>744</v>
      </c>
      <c r="E697" s="13" t="n">
        <v>0</v>
      </c>
      <c r="F697" s="16" t="n">
        <v>163</v>
      </c>
      <c r="G697" s="14" t="n">
        <v>0</v>
      </c>
      <c r="H697" s="15" t="n">
        <v>0</v>
      </c>
    </row>
    <row r="698">
      <c r="A698" t="s">
        <v>30</v>
      </c>
      <c r="B698" t="s">
        <v>703</v>
      </c>
      <c r="C698" t="s">
        <v>704</v>
      </c>
      <c r="D698" t="s">
        <v>744</v>
      </c>
      <c r="E698" s="13" t="n">
        <v>0.25</v>
      </c>
      <c r="F698" s="16" t="n">
        <v>6</v>
      </c>
      <c r="G698" s="14" t="n">
        <v>0.244536900183451</v>
      </c>
      <c r="H698" s="15" t="n">
        <v>0.0519779227044398</v>
      </c>
    </row>
    <row r="699">
      <c r="A699" t="s">
        <v>31</v>
      </c>
      <c r="B699" t="s">
        <v>705</v>
      </c>
      <c r="C699" t="s">
        <v>706</v>
      </c>
      <c r="D699" t="s">
        <v>744</v>
      </c>
      <c r="E699" s="13" t="n">
        <v>0</v>
      </c>
      <c r="F699" s="16" t="n">
        <v>32</v>
      </c>
      <c r="G699" s="14" t="n">
        <v>0</v>
      </c>
      <c r="H699" s="15" t="n">
        <v>0</v>
      </c>
    </row>
    <row r="700">
      <c r="A700" t="s">
        <v>31</v>
      </c>
      <c r="B700" t="s">
        <v>707</v>
      </c>
      <c r="C700" t="s">
        <v>708</v>
      </c>
      <c r="D700" t="s">
        <v>744</v>
      </c>
      <c r="E700" s="13" t="n">
        <v>0.25</v>
      </c>
      <c r="F700" s="16" t="n">
        <v>174</v>
      </c>
      <c r="G700" s="14" t="n">
        <v>0.244536900183451</v>
      </c>
      <c r="H700" s="15" t="n">
        <v>-0.0519779227044398</v>
      </c>
    </row>
    <row r="701">
      <c r="A701" t="s">
        <v>31</v>
      </c>
      <c r="B701" t="s">
        <v>707</v>
      </c>
      <c r="C701" t="s">
        <v>709</v>
      </c>
      <c r="D701" t="s">
        <v>744</v>
      </c>
      <c r="E701" s="13" t="n">
        <v>0.25</v>
      </c>
      <c r="F701" s="16" t="n">
        <v>138</v>
      </c>
      <c r="G701" s="14" t="n">
        <v>0.0261321158169135</v>
      </c>
      <c r="H701" s="15" t="n">
        <v>-0.248630473842068</v>
      </c>
    </row>
    <row r="702">
      <c r="A702" t="s">
        <v>30</v>
      </c>
      <c r="B702" t="s">
        <v>710</v>
      </c>
      <c r="C702" t="s">
        <v>711</v>
      </c>
      <c r="D702" t="s">
        <v>744</v>
      </c>
      <c r="E702" s="13" t="n">
        <v>0.25</v>
      </c>
      <c r="F702" s="16" t="n">
        <v>91</v>
      </c>
      <c r="G702" s="14" t="n">
        <v>-0.249847706754774</v>
      </c>
      <c r="H702" s="15" t="n">
        <v>-0.00872487417562529</v>
      </c>
    </row>
    <row r="703">
      <c r="A703" t="s">
        <v>30</v>
      </c>
      <c r="B703" t="s">
        <v>712</v>
      </c>
      <c r="C703" t="s">
        <v>713</v>
      </c>
      <c r="D703" t="s">
        <v>744</v>
      </c>
      <c r="E703" s="13" t="n">
        <v>0.5</v>
      </c>
      <c r="F703" s="16" t="n">
        <v>154</v>
      </c>
      <c r="G703" s="14" t="n">
        <v>0.307830737662829</v>
      </c>
      <c r="H703" s="15" t="n">
        <v>-0.394005376803361</v>
      </c>
    </row>
    <row r="704">
      <c r="A704" t="s">
        <v>30</v>
      </c>
      <c r="B704" t="s">
        <v>439</v>
      </c>
      <c r="C704" t="s">
        <v>440</v>
      </c>
      <c r="D704" t="s">
        <v>745</v>
      </c>
      <c r="E704" s="13" t="n">
        <v>0.5</v>
      </c>
      <c r="F704" s="16" t="n">
        <v>179</v>
      </c>
      <c r="G704" s="14" t="n">
        <v>0.499695413509548</v>
      </c>
      <c r="H704" s="15" t="n">
        <v>-0.0174497483512504</v>
      </c>
    </row>
    <row r="705">
      <c r="A705" t="s">
        <v>30</v>
      </c>
      <c r="B705" t="s">
        <v>439</v>
      </c>
      <c r="C705" t="s">
        <v>442</v>
      </c>
      <c r="D705" t="s">
        <v>745</v>
      </c>
      <c r="E705" s="13" t="n">
        <v>1</v>
      </c>
      <c r="F705" s="16" t="n">
        <v>170</v>
      </c>
      <c r="G705" s="14" t="n">
        <v>0.939692620785908</v>
      </c>
      <c r="H705" s="15" t="n">
        <v>-0.342020143325669</v>
      </c>
    </row>
    <row r="706">
      <c r="A706" t="s">
        <v>30</v>
      </c>
      <c r="B706" t="s">
        <v>443</v>
      </c>
      <c r="C706" t="s">
        <v>444</v>
      </c>
      <c r="D706" t="s">
        <v>745</v>
      </c>
      <c r="E706" s="13" t="n">
        <v>0.75</v>
      </c>
      <c r="F706" s="16" t="n">
        <v>95</v>
      </c>
      <c r="G706" s="14" t="n">
        <v>-0.738605814759156</v>
      </c>
      <c r="H706" s="15" t="n">
        <v>-0.130236133250198</v>
      </c>
    </row>
    <row r="707">
      <c r="A707" t="s">
        <v>30</v>
      </c>
      <c r="B707" t="s">
        <v>443</v>
      </c>
      <c r="C707" t="s">
        <v>445</v>
      </c>
      <c r="D707" t="s">
        <v>745</v>
      </c>
      <c r="E707" s="13" t="n">
        <v>0.5</v>
      </c>
      <c r="F707" s="16" t="n">
        <v>106</v>
      </c>
      <c r="G707" s="14" t="n">
        <v>-0.424024048078213</v>
      </c>
      <c r="H707" s="15" t="n">
        <v>-0.264959632116602</v>
      </c>
    </row>
    <row r="708">
      <c r="A708" t="s">
        <v>30</v>
      </c>
      <c r="B708" t="s">
        <v>446</v>
      </c>
      <c r="C708" t="s">
        <v>447</v>
      </c>
      <c r="D708" t="s">
        <v>745</v>
      </c>
      <c r="E708" s="13" t="n">
        <v>0.75</v>
      </c>
      <c r="F708" s="16" t="n">
        <v>4</v>
      </c>
      <c r="G708" s="14" t="n">
        <v>0.742701051556178</v>
      </c>
      <c r="H708" s="15" t="n">
        <v>0.104379825720049</v>
      </c>
    </row>
    <row r="709">
      <c r="A709" t="s">
        <v>30</v>
      </c>
      <c r="B709" t="s">
        <v>448</v>
      </c>
      <c r="C709" t="s">
        <v>449</v>
      </c>
      <c r="D709" t="s">
        <v>745</v>
      </c>
      <c r="E709" s="13" t="n">
        <v>1.75</v>
      </c>
      <c r="F709" s="16" t="n">
        <v>23</v>
      </c>
      <c r="G709" s="14" t="n">
        <v>1.21565214830325</v>
      </c>
      <c r="H709" s="15" t="n">
        <v>1.25884465059264</v>
      </c>
    </row>
    <row r="710">
      <c r="A710" t="s">
        <v>30</v>
      </c>
      <c r="B710" t="s">
        <v>448</v>
      </c>
      <c r="C710" t="s">
        <v>450</v>
      </c>
      <c r="D710" t="s">
        <v>745</v>
      </c>
      <c r="E710" s="13" t="n">
        <v>1.5</v>
      </c>
      <c r="F710" s="16" t="n">
        <v>172</v>
      </c>
      <c r="G710" s="14" t="n">
        <v>1.44189254390748</v>
      </c>
      <c r="H710" s="15" t="n">
        <v>-0.413456033725498</v>
      </c>
    </row>
    <row r="711">
      <c r="A711" t="s">
        <v>31</v>
      </c>
      <c r="B711" t="s">
        <v>451</v>
      </c>
      <c r="C711" t="s">
        <v>452</v>
      </c>
      <c r="D711" t="s">
        <v>745</v>
      </c>
      <c r="E711" s="13" t="n">
        <v>0.75</v>
      </c>
      <c r="F711" s="16" t="n">
        <v>177</v>
      </c>
      <c r="G711" s="14" t="n">
        <v>0.745891421526205</v>
      </c>
      <c r="H711" s="15" t="n">
        <v>-0.0783963474507403</v>
      </c>
    </row>
    <row r="712">
      <c r="A712" t="s">
        <v>31</v>
      </c>
      <c r="B712" t="s">
        <v>451</v>
      </c>
      <c r="C712" t="s">
        <v>453</v>
      </c>
      <c r="D712" t="s">
        <v>745</v>
      </c>
      <c r="E712" s="13" t="n">
        <v>0.25</v>
      </c>
      <c r="F712" s="16" t="n">
        <v>14</v>
      </c>
      <c r="G712" s="14" t="n">
        <v>0.220736898214732</v>
      </c>
      <c r="H712" s="15" t="n">
        <v>0.117367890696473</v>
      </c>
    </row>
    <row r="713">
      <c r="A713" t="s">
        <v>31</v>
      </c>
      <c r="B713" t="s">
        <v>454</v>
      </c>
      <c r="C713" t="s">
        <v>455</v>
      </c>
      <c r="D713" t="s">
        <v>745</v>
      </c>
      <c r="E713" s="13" t="n">
        <v>0.5</v>
      </c>
      <c r="F713" s="16" t="n">
        <v>124</v>
      </c>
      <c r="G713" s="14" t="n">
        <v>-0.187303296707956</v>
      </c>
      <c r="H713" s="15" t="n">
        <v>-0.463591927283394</v>
      </c>
    </row>
    <row r="714">
      <c r="A714" t="s">
        <v>31</v>
      </c>
      <c r="B714" t="s">
        <v>454</v>
      </c>
      <c r="C714" t="s">
        <v>456</v>
      </c>
      <c r="D714" t="s">
        <v>745</v>
      </c>
      <c r="E714" s="13" t="n">
        <v>0.25</v>
      </c>
      <c r="F714" s="16" t="n">
        <v>59</v>
      </c>
      <c r="G714" s="14" t="n">
        <v>-0.117367890696473</v>
      </c>
      <c r="H714" s="15" t="n">
        <v>0.220736898214732</v>
      </c>
    </row>
    <row r="715">
      <c r="A715" t="s">
        <v>30</v>
      </c>
      <c r="B715" t="s">
        <v>457</v>
      </c>
      <c r="C715" t="s">
        <v>458</v>
      </c>
      <c r="D715" t="s">
        <v>745</v>
      </c>
      <c r="E715" s="13" t="n">
        <v>0.5</v>
      </c>
      <c r="F715" s="16" t="n">
        <v>85</v>
      </c>
      <c r="G715" s="14" t="n">
        <v>-0.492403876506104</v>
      </c>
      <c r="H715" s="15" t="n">
        <v>0.0868240888334653</v>
      </c>
    </row>
    <row r="716">
      <c r="A716" t="s">
        <v>31</v>
      </c>
      <c r="B716" t="s">
        <v>459</v>
      </c>
      <c r="C716" t="s">
        <v>460</v>
      </c>
      <c r="D716" t="s">
        <v>745</v>
      </c>
      <c r="E716" s="13" t="n">
        <v>0.75</v>
      </c>
      <c r="F716" s="16" t="n">
        <v>89</v>
      </c>
      <c r="G716" s="14" t="n">
        <v>-0.749543120264322</v>
      </c>
      <c r="H716" s="15" t="n">
        <v>0.0261746225268759</v>
      </c>
    </row>
    <row r="717">
      <c r="A717" t="s">
        <v>31</v>
      </c>
      <c r="B717" t="s">
        <v>459</v>
      </c>
      <c r="C717" t="s">
        <v>461</v>
      </c>
      <c r="D717" t="s">
        <v>745</v>
      </c>
      <c r="E717" s="13" t="n">
        <v>1.5</v>
      </c>
      <c r="F717" s="16" t="n">
        <v>98</v>
      </c>
      <c r="G717" s="14" t="n">
        <v>-1.44189254390748</v>
      </c>
      <c r="H717" s="15" t="n">
        <v>-0.413456033725498</v>
      </c>
    </row>
    <row r="718">
      <c r="A718" t="s">
        <v>30</v>
      </c>
      <c r="B718" t="s">
        <v>462</v>
      </c>
      <c r="C718" t="s">
        <v>463</v>
      </c>
      <c r="D718" t="s">
        <v>745</v>
      </c>
      <c r="E718" s="13" t="n">
        <v>1.5</v>
      </c>
      <c r="F718" s="16" t="n">
        <v>57</v>
      </c>
      <c r="G718" s="14" t="n">
        <v>-0.6101049646137</v>
      </c>
      <c r="H718" s="15" t="n">
        <v>1.3703181864639</v>
      </c>
    </row>
    <row r="719">
      <c r="A719" t="s">
        <v>30</v>
      </c>
      <c r="B719" t="s">
        <v>462</v>
      </c>
      <c r="C719" t="s">
        <v>464</v>
      </c>
      <c r="D719" t="s">
        <v>745</v>
      </c>
      <c r="E719" s="13" t="n">
        <v>1</v>
      </c>
      <c r="F719" s="16" t="n">
        <v>128</v>
      </c>
      <c r="G719" s="14" t="n">
        <v>-0.241921895599668</v>
      </c>
      <c r="H719" s="15" t="n">
        <v>-0.970295726275996</v>
      </c>
    </row>
    <row r="720">
      <c r="A720" t="s">
        <v>30</v>
      </c>
      <c r="B720" t="s">
        <v>465</v>
      </c>
      <c r="C720" t="s">
        <v>466</v>
      </c>
      <c r="D720" t="s">
        <v>745</v>
      </c>
      <c r="E720" s="13" t="n">
        <v>1.25</v>
      </c>
      <c r="F720" s="16" t="n">
        <v>15</v>
      </c>
      <c r="G720" s="14" t="n">
        <v>1.08253175473055</v>
      </c>
      <c r="H720" s="15" t="n">
        <v>0.625</v>
      </c>
    </row>
    <row r="721">
      <c r="A721" t="s">
        <v>30</v>
      </c>
      <c r="B721" t="s">
        <v>465</v>
      </c>
      <c r="C721" t="s">
        <v>467</v>
      </c>
      <c r="D721" t="s">
        <v>745</v>
      </c>
      <c r="E721" s="13" t="n">
        <v>0.5</v>
      </c>
      <c r="F721" s="16" t="n">
        <v>6</v>
      </c>
      <c r="G721" s="14" t="n">
        <v>0.489073800366903</v>
      </c>
      <c r="H721" s="15" t="n">
        <v>0.10395584540888</v>
      </c>
    </row>
    <row r="722">
      <c r="A722" t="s">
        <v>31</v>
      </c>
      <c r="B722" t="s">
        <v>468</v>
      </c>
      <c r="C722" t="s">
        <v>469</v>
      </c>
      <c r="D722" t="s">
        <v>745</v>
      </c>
      <c r="E722" s="13" t="n">
        <v>1.75</v>
      </c>
      <c r="F722" s="16" t="n">
        <v>4</v>
      </c>
      <c r="G722" s="14" t="n">
        <v>1.73296912029775</v>
      </c>
      <c r="H722" s="15" t="n">
        <v>0.243552926680115</v>
      </c>
    </row>
    <row r="723">
      <c r="A723" t="s">
        <v>31</v>
      </c>
      <c r="B723" t="s">
        <v>468</v>
      </c>
      <c r="C723" t="s">
        <v>470</v>
      </c>
      <c r="D723" t="s">
        <v>745</v>
      </c>
      <c r="E723" s="13" t="n">
        <v>1</v>
      </c>
      <c r="F723" s="16" t="n">
        <v>2</v>
      </c>
      <c r="G723" s="14" t="n">
        <v>0.997564050259824</v>
      </c>
      <c r="H723" s="15" t="n">
        <v>0.0697564737441253</v>
      </c>
    </row>
    <row r="724">
      <c r="A724" t="s">
        <v>31</v>
      </c>
      <c r="B724" t="s">
        <v>716</v>
      </c>
      <c r="C724" t="s">
        <v>717</v>
      </c>
      <c r="D724" t="s">
        <v>745</v>
      </c>
      <c r="E724" s="13" t="n">
        <v>1</v>
      </c>
      <c r="F724" s="16" t="n">
        <v>177</v>
      </c>
      <c r="G724" s="14" t="n">
        <v>0.994521895368273</v>
      </c>
      <c r="H724" s="15" t="n">
        <v>-0.104528463267654</v>
      </c>
    </row>
    <row r="725">
      <c r="A725" t="s">
        <v>31</v>
      </c>
      <c r="B725" t="s">
        <v>716</v>
      </c>
      <c r="C725" t="s">
        <v>718</v>
      </c>
      <c r="D725" t="s">
        <v>745</v>
      </c>
      <c r="E725" s="13" t="n">
        <v>2.25</v>
      </c>
      <c r="F725" s="16" t="n">
        <v>7</v>
      </c>
      <c r="G725" s="14" t="n">
        <v>2.18316538412099</v>
      </c>
      <c r="H725" s="15" t="n">
        <v>0.544324265099252</v>
      </c>
    </row>
    <row r="726">
      <c r="A726" t="s">
        <v>30</v>
      </c>
      <c r="B726" t="s">
        <v>471</v>
      </c>
      <c r="C726" t="s">
        <v>472</v>
      </c>
      <c r="D726" t="s">
        <v>745</v>
      </c>
      <c r="E726" s="13" t="n">
        <v>0.25</v>
      </c>
      <c r="F726" s="16" t="n">
        <v>14</v>
      </c>
      <c r="G726" s="14" t="n">
        <v>0.220736898214732</v>
      </c>
      <c r="H726" s="15" t="n">
        <v>0.117367890696473</v>
      </c>
    </row>
    <row r="727">
      <c r="A727" t="s">
        <v>30</v>
      </c>
      <c r="B727" t="s">
        <v>473</v>
      </c>
      <c r="C727" t="s">
        <v>474</v>
      </c>
      <c r="D727" t="s">
        <v>745</v>
      </c>
      <c r="E727" s="13" t="n">
        <v>1.25</v>
      </c>
      <c r="F727" s="16" t="n">
        <v>2</v>
      </c>
      <c r="G727" s="14" t="n">
        <v>1.24695506282478</v>
      </c>
      <c r="H727" s="15" t="n">
        <v>0.0871955921801566</v>
      </c>
    </row>
    <row r="728">
      <c r="A728" t="s">
        <v>31</v>
      </c>
      <c r="B728" t="s">
        <v>475</v>
      </c>
      <c r="C728" t="s">
        <v>476</v>
      </c>
      <c r="D728" t="s">
        <v>745</v>
      </c>
      <c r="E728" s="13" t="n">
        <v>0.75</v>
      </c>
      <c r="F728" s="16" t="n">
        <v>82</v>
      </c>
      <c r="G728" s="14" t="n">
        <v>-0.720946271953739</v>
      </c>
      <c r="H728" s="15" t="n">
        <v>0.206728016862749</v>
      </c>
    </row>
    <row r="729">
      <c r="A729" t="s">
        <v>31</v>
      </c>
      <c r="B729" t="s">
        <v>477</v>
      </c>
      <c r="C729" t="s">
        <v>478</v>
      </c>
      <c r="D729" t="s">
        <v>745</v>
      </c>
      <c r="E729" s="13" t="n">
        <v>1.5</v>
      </c>
      <c r="F729" s="16" t="n">
        <v>38</v>
      </c>
      <c r="G729" s="14" t="n">
        <v>0.362882843399501</v>
      </c>
      <c r="H729" s="15" t="n">
        <v>1.45544358941399</v>
      </c>
    </row>
    <row r="730">
      <c r="A730" t="s">
        <v>31</v>
      </c>
      <c r="B730" t="s">
        <v>477</v>
      </c>
      <c r="C730" t="s">
        <v>479</v>
      </c>
      <c r="D730" t="s">
        <v>745</v>
      </c>
      <c r="E730" s="13" t="n">
        <v>1.5</v>
      </c>
      <c r="F730" s="16" t="n">
        <v>132</v>
      </c>
      <c r="G730" s="14" t="n">
        <v>-0.156792694901481</v>
      </c>
      <c r="H730" s="15" t="n">
        <v>-1.49178284305241</v>
      </c>
    </row>
    <row r="731">
      <c r="A731" t="s">
        <v>31</v>
      </c>
      <c r="B731" t="s">
        <v>480</v>
      </c>
      <c r="C731" t="s">
        <v>481</v>
      </c>
      <c r="D731" t="s">
        <v>745</v>
      </c>
      <c r="E731" s="13" t="n">
        <v>0.5</v>
      </c>
      <c r="F731" s="16" t="n">
        <v>169</v>
      </c>
      <c r="G731" s="14" t="n">
        <v>0.463591927283394</v>
      </c>
      <c r="H731" s="15" t="n">
        <v>-0.187303296707956</v>
      </c>
    </row>
    <row r="732">
      <c r="A732" t="s">
        <v>31</v>
      </c>
      <c r="B732" t="s">
        <v>480</v>
      </c>
      <c r="C732" t="s">
        <v>482</v>
      </c>
      <c r="D732" t="s">
        <v>745</v>
      </c>
      <c r="E732" s="13" t="n">
        <v>0.5</v>
      </c>
      <c r="F732" s="16" t="n">
        <v>9</v>
      </c>
      <c r="G732" s="14" t="n">
        <v>0.475528258147577</v>
      </c>
      <c r="H732" s="15" t="n">
        <v>0.154508497187474</v>
      </c>
    </row>
    <row r="733">
      <c r="A733" t="s">
        <v>30</v>
      </c>
      <c r="B733" t="s">
        <v>483</v>
      </c>
      <c r="C733" t="s">
        <v>484</v>
      </c>
      <c r="D733" t="s">
        <v>745</v>
      </c>
      <c r="E733" s="13" t="n">
        <v>1</v>
      </c>
      <c r="F733" s="16" t="n">
        <v>167</v>
      </c>
      <c r="G733" s="14" t="n">
        <v>0.898794046299167</v>
      </c>
      <c r="H733" s="15" t="n">
        <v>-0.438371146789077</v>
      </c>
    </row>
    <row r="734">
      <c r="A734" t="s">
        <v>30</v>
      </c>
      <c r="B734" t="s">
        <v>719</v>
      </c>
      <c r="C734" t="s">
        <v>720</v>
      </c>
      <c r="D734" t="s">
        <v>745</v>
      </c>
      <c r="E734" s="13" t="n">
        <v>0.75</v>
      </c>
      <c r="F734" s="16" t="n">
        <v>116</v>
      </c>
      <c r="G734" s="14" t="n">
        <v>-0.461746106494244</v>
      </c>
      <c r="H734" s="15" t="n">
        <v>-0.591008065205042</v>
      </c>
    </row>
    <row r="735">
      <c r="A735" t="s">
        <v>30</v>
      </c>
      <c r="B735" t="s">
        <v>719</v>
      </c>
      <c r="C735" t="s">
        <v>721</v>
      </c>
      <c r="D735" t="s">
        <v>745</v>
      </c>
      <c r="E735" s="13" t="n">
        <v>1</v>
      </c>
      <c r="F735" s="16" t="n">
        <v>59</v>
      </c>
      <c r="G735" s="14" t="n">
        <v>-0.469471562785891</v>
      </c>
      <c r="H735" s="15" t="n">
        <v>0.882947592858927</v>
      </c>
    </row>
    <row r="736">
      <c r="A736" t="s">
        <v>30</v>
      </c>
      <c r="B736" t="s">
        <v>485</v>
      </c>
      <c r="C736" t="s">
        <v>486</v>
      </c>
      <c r="D736" t="s">
        <v>745</v>
      </c>
      <c r="E736" s="13" t="n">
        <v>1</v>
      </c>
      <c r="F736" s="16" t="n">
        <v>101</v>
      </c>
      <c r="G736" s="14" t="n">
        <v>-0.927183854566787</v>
      </c>
      <c r="H736" s="15" t="n">
        <v>-0.374606593415912</v>
      </c>
    </row>
    <row r="737">
      <c r="A737" t="s">
        <v>30</v>
      </c>
      <c r="B737" t="s">
        <v>485</v>
      </c>
      <c r="C737" t="s">
        <v>487</v>
      </c>
      <c r="D737" t="s">
        <v>745</v>
      </c>
      <c r="E737" s="13" t="n">
        <v>1</v>
      </c>
      <c r="F737" s="16" t="n">
        <v>83</v>
      </c>
      <c r="G737" s="14" t="n">
        <v>-0.970295726275996</v>
      </c>
      <c r="H737" s="15" t="n">
        <v>0.241921895599668</v>
      </c>
    </row>
    <row r="738">
      <c r="A738" t="s">
        <v>30</v>
      </c>
      <c r="B738" t="s">
        <v>488</v>
      </c>
      <c r="C738" t="s">
        <v>489</v>
      </c>
      <c r="D738" t="s">
        <v>745</v>
      </c>
      <c r="E738" s="13" t="n">
        <v>1</v>
      </c>
      <c r="F738" s="16" t="n">
        <v>170</v>
      </c>
      <c r="G738" s="14" t="n">
        <v>0.939692620785908</v>
      </c>
      <c r="H738" s="15" t="n">
        <v>-0.342020143325669</v>
      </c>
    </row>
    <row r="739">
      <c r="A739" t="s">
        <v>30</v>
      </c>
      <c r="B739" t="s">
        <v>488</v>
      </c>
      <c r="C739" t="s">
        <v>490</v>
      </c>
      <c r="D739" t="s">
        <v>745</v>
      </c>
      <c r="E739" s="13" t="n">
        <v>1.25</v>
      </c>
      <c r="F739" s="16" t="n">
        <v>170</v>
      </c>
      <c r="G739" s="14" t="n">
        <v>1.17461577598239</v>
      </c>
      <c r="H739" s="15" t="n">
        <v>-0.427525179157086</v>
      </c>
    </row>
    <row r="740">
      <c r="A740" t="s">
        <v>30</v>
      </c>
      <c r="B740" t="s">
        <v>491</v>
      </c>
      <c r="C740" t="s">
        <v>492</v>
      </c>
      <c r="D740" t="s">
        <v>745</v>
      </c>
      <c r="E740" s="13" t="n">
        <v>1.5</v>
      </c>
      <c r="F740" s="16" t="n">
        <v>160</v>
      </c>
      <c r="G740" s="14" t="n">
        <v>1.14906666467847</v>
      </c>
      <c r="H740" s="15" t="n">
        <v>-0.964181414529809</v>
      </c>
    </row>
    <row r="741">
      <c r="A741" t="s">
        <v>30</v>
      </c>
      <c r="B741" t="s">
        <v>491</v>
      </c>
      <c r="C741" t="s">
        <v>493</v>
      </c>
      <c r="D741" t="s">
        <v>745</v>
      </c>
      <c r="E741" s="13" t="n">
        <v>0.5</v>
      </c>
      <c r="F741" s="16" t="n">
        <v>11</v>
      </c>
      <c r="G741" s="14" t="n">
        <v>0.463591927283394</v>
      </c>
      <c r="H741" s="15" t="n">
        <v>0.187303296707956</v>
      </c>
    </row>
    <row r="742">
      <c r="A742" t="s">
        <v>30</v>
      </c>
      <c r="B742" t="s">
        <v>494</v>
      </c>
      <c r="C742" t="s">
        <v>495</v>
      </c>
      <c r="D742" t="s">
        <v>745</v>
      </c>
      <c r="E742" s="13" t="n">
        <v>2.5</v>
      </c>
      <c r="F742" s="16" t="n">
        <v>173</v>
      </c>
      <c r="G742" s="14" t="n">
        <v>2.42573931568999</v>
      </c>
      <c r="H742" s="15" t="n">
        <v>-0.604804738999169</v>
      </c>
    </row>
    <row r="743">
      <c r="A743" t="s">
        <v>30</v>
      </c>
      <c r="B743" t="s">
        <v>494</v>
      </c>
      <c r="C743" t="s">
        <v>496</v>
      </c>
      <c r="D743" t="s">
        <v>745</v>
      </c>
      <c r="E743" s="13" t="n">
        <v>1.5</v>
      </c>
      <c r="F743" s="16" t="n">
        <v>4</v>
      </c>
      <c r="G743" s="14" t="n">
        <v>1.48540210311236</v>
      </c>
      <c r="H743" s="15" t="n">
        <v>0.208759651440098</v>
      </c>
    </row>
    <row r="744">
      <c r="A744" t="s">
        <v>30</v>
      </c>
      <c r="B744" t="s">
        <v>497</v>
      </c>
      <c r="C744" t="s">
        <v>498</v>
      </c>
      <c r="D744" t="s">
        <v>745</v>
      </c>
      <c r="E744" s="13" t="n">
        <v>1.25</v>
      </c>
      <c r="F744" s="16" t="n">
        <v>44</v>
      </c>
      <c r="G744" s="14" t="n">
        <v>0.0436243708781264</v>
      </c>
      <c r="H744" s="15" t="n">
        <v>1.24923853377387</v>
      </c>
    </row>
    <row r="745">
      <c r="A745" t="s">
        <v>30</v>
      </c>
      <c r="B745" t="s">
        <v>497</v>
      </c>
      <c r="C745" t="s">
        <v>499</v>
      </c>
      <c r="D745" t="s">
        <v>745</v>
      </c>
      <c r="E745" s="13" t="n">
        <v>0.5</v>
      </c>
      <c r="F745" s="16" t="n">
        <v>142</v>
      </c>
      <c r="G745" s="14" t="n">
        <v>0.120960947799834</v>
      </c>
      <c r="H745" s="15" t="n">
        <v>-0.485147863137998</v>
      </c>
    </row>
    <row r="746">
      <c r="A746" t="s">
        <v>31</v>
      </c>
      <c r="B746" t="s">
        <v>500</v>
      </c>
      <c r="C746" t="s">
        <v>501</v>
      </c>
      <c r="D746" t="s">
        <v>745</v>
      </c>
      <c r="E746" s="13" t="n">
        <v>0.5</v>
      </c>
      <c r="F746" s="16" t="n">
        <v>13</v>
      </c>
      <c r="G746" s="14" t="n">
        <v>0.449397023149584</v>
      </c>
      <c r="H746" s="15" t="n">
        <v>0.219185573394539</v>
      </c>
    </row>
    <row r="747">
      <c r="A747" t="s">
        <v>31</v>
      </c>
      <c r="B747" t="s">
        <v>500</v>
      </c>
      <c r="C747" t="s">
        <v>502</v>
      </c>
      <c r="D747" t="s">
        <v>745</v>
      </c>
      <c r="E747" s="13" t="n">
        <v>0.5</v>
      </c>
      <c r="F747" s="16" t="n">
        <v>166</v>
      </c>
      <c r="G747" s="14" t="n">
        <v>0.441473796429463</v>
      </c>
      <c r="H747" s="15" t="n">
        <v>-0.234735781392945</v>
      </c>
    </row>
    <row r="748">
      <c r="A748" t="s">
        <v>30</v>
      </c>
      <c r="B748" t="s">
        <v>503</v>
      </c>
      <c r="C748" t="s">
        <v>504</v>
      </c>
      <c r="D748" t="s">
        <v>745</v>
      </c>
      <c r="E748" s="13" t="n">
        <v>0.5</v>
      </c>
      <c r="F748" s="16" t="n">
        <v>11</v>
      </c>
      <c r="G748" s="14" t="n">
        <v>0.463591927283394</v>
      </c>
      <c r="H748" s="15" t="n">
        <v>0.187303296707956</v>
      </c>
    </row>
    <row r="749">
      <c r="A749" t="s">
        <v>30</v>
      </c>
      <c r="B749" t="s">
        <v>503</v>
      </c>
      <c r="C749" t="s">
        <v>505</v>
      </c>
      <c r="D749" t="s">
        <v>745</v>
      </c>
      <c r="E749" s="13" t="n">
        <v>0.75</v>
      </c>
      <c r="F749" s="16" t="n">
        <v>153</v>
      </c>
      <c r="G749" s="14" t="n">
        <v>0.440838939219355</v>
      </c>
      <c r="H749" s="15" t="n">
        <v>-0.606762745781211</v>
      </c>
    </row>
    <row r="750">
      <c r="A750" t="s">
        <v>30</v>
      </c>
      <c r="B750" t="s">
        <v>506</v>
      </c>
      <c r="C750" t="s">
        <v>507</v>
      </c>
      <c r="D750" t="s">
        <v>745</v>
      </c>
      <c r="E750" s="13" t="n">
        <v>2.25</v>
      </c>
      <c r="F750" s="16" t="n">
        <v>27</v>
      </c>
      <c r="G750" s="14" t="n">
        <v>1.32251681765806</v>
      </c>
      <c r="H750" s="15" t="n">
        <v>1.82028823734363</v>
      </c>
    </row>
    <row r="751">
      <c r="A751" t="s">
        <v>30</v>
      </c>
      <c r="B751" t="s">
        <v>506</v>
      </c>
      <c r="C751" t="s">
        <v>508</v>
      </c>
      <c r="D751" t="s">
        <v>745</v>
      </c>
      <c r="E751" s="13" t="n">
        <v>2.25</v>
      </c>
      <c r="F751" s="16" t="n">
        <v>152</v>
      </c>
      <c r="G751" s="14" t="n">
        <v>1.25818403280918</v>
      </c>
      <c r="H751" s="15" t="n">
        <v>-1.86533453824884</v>
      </c>
    </row>
    <row r="752">
      <c r="A752" t="s">
        <v>31</v>
      </c>
      <c r="B752" t="s">
        <v>509</v>
      </c>
      <c r="C752" t="s">
        <v>510</v>
      </c>
      <c r="D752" t="s">
        <v>745</v>
      </c>
      <c r="E752" s="13" t="n">
        <v>0.5</v>
      </c>
      <c r="F752" s="16" t="n">
        <v>128</v>
      </c>
      <c r="G752" s="14" t="n">
        <v>-0.120960947799834</v>
      </c>
      <c r="H752" s="15" t="n">
        <v>-0.485147863137998</v>
      </c>
    </row>
    <row r="753">
      <c r="A753" t="s">
        <v>31</v>
      </c>
      <c r="B753" t="s">
        <v>509</v>
      </c>
      <c r="C753" t="s">
        <v>511</v>
      </c>
      <c r="D753" t="s">
        <v>745</v>
      </c>
      <c r="E753" s="13" t="n">
        <v>0.75</v>
      </c>
      <c r="F753" s="16" t="n">
        <v>49</v>
      </c>
      <c r="G753" s="14" t="n">
        <v>-0.104379825720049</v>
      </c>
      <c r="H753" s="15" t="n">
        <v>0.742701051556178</v>
      </c>
    </row>
    <row r="754">
      <c r="A754" t="s">
        <v>30</v>
      </c>
      <c r="B754" t="s">
        <v>512</v>
      </c>
      <c r="C754" t="s">
        <v>513</v>
      </c>
      <c r="D754" t="s">
        <v>745</v>
      </c>
      <c r="E754" s="13" t="n">
        <v>1</v>
      </c>
      <c r="F754" s="16" t="n">
        <v>21</v>
      </c>
      <c r="G754" s="14" t="n">
        <v>0.743144825477394</v>
      </c>
      <c r="H754" s="15" t="n">
        <v>0.669130606358858</v>
      </c>
    </row>
    <row r="755">
      <c r="A755" t="s">
        <v>30</v>
      </c>
      <c r="B755" t="s">
        <v>512</v>
      </c>
      <c r="C755" t="s">
        <v>514</v>
      </c>
      <c r="D755" t="s">
        <v>745</v>
      </c>
      <c r="E755" s="13" t="n">
        <v>1.75</v>
      </c>
      <c r="F755" s="16" t="n">
        <v>164</v>
      </c>
      <c r="G755" s="14" t="n">
        <v>1.48408416827375</v>
      </c>
      <c r="H755" s="15" t="n">
        <v>-0.927358712408109</v>
      </c>
    </row>
    <row r="756">
      <c r="A756" t="s">
        <v>30</v>
      </c>
      <c r="B756" t="s">
        <v>515</v>
      </c>
      <c r="C756" t="s">
        <v>516</v>
      </c>
      <c r="D756" t="s">
        <v>745</v>
      </c>
      <c r="E756" s="13" t="n">
        <v>0.5</v>
      </c>
      <c r="F756" s="16" t="n">
        <v>174</v>
      </c>
      <c r="G756" s="14" t="n">
        <v>0.489073800366903</v>
      </c>
      <c r="H756" s="15" t="n">
        <v>-0.10395584540888</v>
      </c>
    </row>
    <row r="757">
      <c r="A757" t="s">
        <v>30</v>
      </c>
      <c r="B757" t="s">
        <v>515</v>
      </c>
      <c r="C757" t="s">
        <v>517</v>
      </c>
      <c r="D757" t="s">
        <v>745</v>
      </c>
      <c r="E757" s="13" t="n">
        <v>0.5</v>
      </c>
      <c r="F757" s="16" t="n">
        <v>2</v>
      </c>
      <c r="G757" s="14" t="n">
        <v>0.498782025129912</v>
      </c>
      <c r="H757" s="15" t="n">
        <v>0.0348782368720627</v>
      </c>
    </row>
    <row r="758">
      <c r="A758" t="s">
        <v>30</v>
      </c>
      <c r="B758" t="s">
        <v>518</v>
      </c>
      <c r="C758" t="s">
        <v>519</v>
      </c>
      <c r="D758" t="s">
        <v>745</v>
      </c>
      <c r="E758" s="13" t="n">
        <v>0.5</v>
      </c>
      <c r="F758" s="16" t="n">
        <v>18</v>
      </c>
      <c r="G758" s="14" t="n">
        <v>0.404508497187474</v>
      </c>
      <c r="H758" s="15" t="n">
        <v>0.293892626146237</v>
      </c>
    </row>
    <row r="759">
      <c r="A759" t="s">
        <v>30</v>
      </c>
      <c r="B759" t="s">
        <v>518</v>
      </c>
      <c r="C759" t="s">
        <v>520</v>
      </c>
      <c r="D759" t="s">
        <v>745</v>
      </c>
      <c r="E759" s="13" t="n">
        <v>0.75</v>
      </c>
      <c r="F759" s="16" t="n">
        <v>171</v>
      </c>
      <c r="G759" s="14" t="n">
        <v>0.713292387221365</v>
      </c>
      <c r="H759" s="15" t="n">
        <v>-0.231762745781211</v>
      </c>
    </row>
    <row r="760">
      <c r="A760" t="s">
        <v>31</v>
      </c>
      <c r="B760" t="s">
        <v>521</v>
      </c>
      <c r="C760" t="s">
        <v>522</v>
      </c>
      <c r="D760" t="s">
        <v>745</v>
      </c>
      <c r="E760" s="13" t="n">
        <v>1</v>
      </c>
      <c r="F760" s="16" t="n">
        <v>1</v>
      </c>
      <c r="G760" s="14" t="n">
        <v>0.999390827019096</v>
      </c>
      <c r="H760" s="15" t="n">
        <v>0.034899496702501</v>
      </c>
    </row>
    <row r="761">
      <c r="A761" t="s">
        <v>31</v>
      </c>
      <c r="B761" t="s">
        <v>521</v>
      </c>
      <c r="C761" t="s">
        <v>523</v>
      </c>
      <c r="D761" t="s">
        <v>745</v>
      </c>
      <c r="E761" s="13" t="n">
        <v>1</v>
      </c>
      <c r="F761" s="16" t="n">
        <v>166</v>
      </c>
      <c r="G761" s="14" t="n">
        <v>0.882947592858927</v>
      </c>
      <c r="H761" s="15" t="n">
        <v>-0.46947156278589</v>
      </c>
    </row>
    <row r="762">
      <c r="A762" t="s">
        <v>31</v>
      </c>
      <c r="B762" t="s">
        <v>524</v>
      </c>
      <c r="C762" t="s">
        <v>525</v>
      </c>
      <c r="D762" t="s">
        <v>745</v>
      </c>
      <c r="E762" s="13" t="n">
        <v>0.5</v>
      </c>
      <c r="F762" s="16" t="n">
        <v>17</v>
      </c>
      <c r="G762" s="14" t="n">
        <v>0.414518786277521</v>
      </c>
      <c r="H762" s="15" t="n">
        <v>0.279596451735373</v>
      </c>
    </row>
    <row r="763">
      <c r="A763" t="s">
        <v>30</v>
      </c>
      <c r="B763" t="s">
        <v>526</v>
      </c>
      <c r="C763" t="s">
        <v>527</v>
      </c>
      <c r="D763" t="s">
        <v>745</v>
      </c>
      <c r="E763" s="13" t="n">
        <v>0.25</v>
      </c>
      <c r="F763" s="16" t="n">
        <v>52</v>
      </c>
      <c r="G763" s="14" t="n">
        <v>-0.0604804738999169</v>
      </c>
      <c r="H763" s="15" t="n">
        <v>0.242573931568999</v>
      </c>
    </row>
    <row r="764">
      <c r="A764" t="s">
        <v>30</v>
      </c>
      <c r="B764" t="s">
        <v>526</v>
      </c>
      <c r="C764" t="s">
        <v>528</v>
      </c>
      <c r="D764" t="s">
        <v>745</v>
      </c>
      <c r="E764" s="13" t="n">
        <v>0.25</v>
      </c>
      <c r="F764" s="16" t="n">
        <v>133</v>
      </c>
      <c r="G764" s="14" t="n">
        <v>-0.0174391184360314</v>
      </c>
      <c r="H764" s="15" t="n">
        <v>-0.249391012564956</v>
      </c>
    </row>
    <row r="765">
      <c r="A765" t="s">
        <v>31</v>
      </c>
      <c r="B765" t="s">
        <v>722</v>
      </c>
      <c r="C765" t="s">
        <v>723</v>
      </c>
      <c r="D765" t="s">
        <v>745</v>
      </c>
      <c r="E765" s="13" t="n">
        <v>0.75</v>
      </c>
      <c r="F765" s="16" t="n">
        <v>171</v>
      </c>
      <c r="G765" s="14" t="n">
        <v>0.713292387221365</v>
      </c>
      <c r="H765" s="15" t="n">
        <v>-0.231762745781211</v>
      </c>
    </row>
    <row r="766">
      <c r="A766" t="s">
        <v>31</v>
      </c>
      <c r="B766" t="s">
        <v>722</v>
      </c>
      <c r="C766" t="s">
        <v>724</v>
      </c>
      <c r="D766" t="s">
        <v>745</v>
      </c>
      <c r="E766" s="13" t="n">
        <v>1</v>
      </c>
      <c r="F766" s="16" t="n">
        <v>178</v>
      </c>
      <c r="G766" s="14" t="n">
        <v>0.997564050259824</v>
      </c>
      <c r="H766" s="15" t="n">
        <v>-0.0697564737441251</v>
      </c>
    </row>
    <row r="767">
      <c r="A767" t="s">
        <v>31</v>
      </c>
      <c r="B767" t="s">
        <v>529</v>
      </c>
      <c r="C767" t="s">
        <v>530</v>
      </c>
      <c r="D767" t="s">
        <v>745</v>
      </c>
      <c r="E767" s="13" t="n">
        <v>0.5</v>
      </c>
      <c r="F767" s="16" t="n">
        <v>152</v>
      </c>
      <c r="G767" s="14" t="n">
        <v>0.279596451735374</v>
      </c>
      <c r="H767" s="15" t="n">
        <v>-0.414518786277521</v>
      </c>
    </row>
    <row r="768">
      <c r="A768" t="s">
        <v>31</v>
      </c>
      <c r="B768" t="s">
        <v>529</v>
      </c>
      <c r="C768" t="s">
        <v>531</v>
      </c>
      <c r="D768" t="s">
        <v>745</v>
      </c>
      <c r="E768" s="13" t="n">
        <v>0.5</v>
      </c>
      <c r="F768" s="16" t="n">
        <v>43</v>
      </c>
      <c r="G768" s="14" t="n">
        <v>0.0348782368720626</v>
      </c>
      <c r="H768" s="15" t="n">
        <v>0.498782025129912</v>
      </c>
    </row>
    <row r="769">
      <c r="A769" t="s">
        <v>31</v>
      </c>
      <c r="B769" t="s">
        <v>532</v>
      </c>
      <c r="C769" t="s">
        <v>533</v>
      </c>
      <c r="D769" t="s">
        <v>745</v>
      </c>
      <c r="E769" s="13" t="n">
        <v>0.5</v>
      </c>
      <c r="F769" s="16" t="n">
        <v>141</v>
      </c>
      <c r="G769" s="14" t="n">
        <v>0.10395584540888</v>
      </c>
      <c r="H769" s="15" t="n">
        <v>-0.489073800366903</v>
      </c>
    </row>
    <row r="770">
      <c r="A770" t="s">
        <v>30</v>
      </c>
      <c r="B770" t="s">
        <v>534</v>
      </c>
      <c r="C770" t="s">
        <v>535</v>
      </c>
      <c r="D770" t="s">
        <v>745</v>
      </c>
      <c r="E770" s="13" t="n">
        <v>1.25</v>
      </c>
      <c r="F770" s="16" t="n">
        <v>179</v>
      </c>
      <c r="G770" s="14" t="n">
        <v>1.24923853377387</v>
      </c>
      <c r="H770" s="15" t="n">
        <v>-0.0436243708781261</v>
      </c>
    </row>
    <row r="771">
      <c r="A771" t="s">
        <v>31</v>
      </c>
      <c r="B771" t="s">
        <v>536</v>
      </c>
      <c r="C771" t="s">
        <v>537</v>
      </c>
      <c r="D771" t="s">
        <v>745</v>
      </c>
      <c r="E771" s="13" t="n">
        <v>0.75</v>
      </c>
      <c r="F771" s="16" t="n">
        <v>4</v>
      </c>
      <c r="G771" s="14" t="n">
        <v>0.742701051556178</v>
      </c>
      <c r="H771" s="15" t="n">
        <v>0.104379825720049</v>
      </c>
    </row>
    <row r="772">
      <c r="A772" t="s">
        <v>31</v>
      </c>
      <c r="B772" t="s">
        <v>725</v>
      </c>
      <c r="C772" t="s">
        <v>726</v>
      </c>
      <c r="D772" t="s">
        <v>745</v>
      </c>
      <c r="E772" s="13" t="n">
        <v>0.5</v>
      </c>
      <c r="F772" s="16" t="n">
        <v>130</v>
      </c>
      <c r="G772" s="14" t="n">
        <v>-0.0868240888334652</v>
      </c>
      <c r="H772" s="15" t="n">
        <v>-0.492403876506104</v>
      </c>
    </row>
    <row r="773">
      <c r="A773" t="s">
        <v>31</v>
      </c>
      <c r="B773" t="s">
        <v>725</v>
      </c>
      <c r="C773" t="s">
        <v>727</v>
      </c>
      <c r="D773" t="s">
        <v>745</v>
      </c>
      <c r="E773" s="13" t="n">
        <v>1</v>
      </c>
      <c r="F773" s="16" t="n">
        <v>44</v>
      </c>
      <c r="G773" s="14" t="n">
        <v>0.0348994967025011</v>
      </c>
      <c r="H773" s="15" t="n">
        <v>0.999390827019096</v>
      </c>
    </row>
    <row r="774">
      <c r="A774" t="s">
        <v>30</v>
      </c>
      <c r="B774" t="s">
        <v>728</v>
      </c>
      <c r="C774" t="s">
        <v>729</v>
      </c>
      <c r="D774" t="s">
        <v>745</v>
      </c>
      <c r="E774" s="13" t="n">
        <v>0.25</v>
      </c>
      <c r="F774" s="16" t="n">
        <v>36</v>
      </c>
      <c r="G774" s="14" t="n">
        <v>0.0772542485937369</v>
      </c>
      <c r="H774" s="15" t="n">
        <v>0.237764129073788</v>
      </c>
    </row>
    <row r="775">
      <c r="A775" t="s">
        <v>30</v>
      </c>
      <c r="B775" t="s">
        <v>728</v>
      </c>
      <c r="C775" t="s">
        <v>730</v>
      </c>
      <c r="D775" t="s">
        <v>745</v>
      </c>
      <c r="E775" s="13" t="n">
        <v>0.5</v>
      </c>
      <c r="F775" s="16" t="n">
        <v>145</v>
      </c>
      <c r="G775" s="14" t="n">
        <v>0.171010071662834</v>
      </c>
      <c r="H775" s="15" t="n">
        <v>-0.469846310392954</v>
      </c>
    </row>
    <row r="776">
      <c r="A776" t="s">
        <v>30</v>
      </c>
      <c r="B776" t="s">
        <v>538</v>
      </c>
      <c r="C776" t="s">
        <v>539</v>
      </c>
      <c r="D776" t="s">
        <v>745</v>
      </c>
      <c r="E776" s="13" t="n">
        <v>1</v>
      </c>
      <c r="F776" s="16" t="n">
        <v>174</v>
      </c>
      <c r="G776" s="14" t="n">
        <v>0.978147600733806</v>
      </c>
      <c r="H776" s="15" t="n">
        <v>-0.207911690817759</v>
      </c>
    </row>
    <row r="777">
      <c r="A777" t="s">
        <v>31</v>
      </c>
      <c r="B777" t="s">
        <v>540</v>
      </c>
      <c r="C777" t="s">
        <v>541</v>
      </c>
      <c r="D777" t="s">
        <v>745</v>
      </c>
      <c r="E777" s="13" t="n">
        <v>0.5</v>
      </c>
      <c r="F777" s="16" t="n">
        <v>82</v>
      </c>
      <c r="G777" s="14" t="n">
        <v>-0.480630847969159</v>
      </c>
      <c r="H777" s="15" t="n">
        <v>0.1378186779085</v>
      </c>
    </row>
    <row r="778">
      <c r="A778" t="s">
        <v>31</v>
      </c>
      <c r="B778" t="s">
        <v>542</v>
      </c>
      <c r="C778" t="s">
        <v>543</v>
      </c>
      <c r="D778" t="s">
        <v>745</v>
      </c>
      <c r="E778" s="13" t="n">
        <v>0.75</v>
      </c>
      <c r="F778" s="16" t="n">
        <v>168</v>
      </c>
      <c r="G778" s="14" t="n">
        <v>0.685159093231951</v>
      </c>
      <c r="H778" s="15" t="n">
        <v>-0.30505248230685</v>
      </c>
    </row>
    <row r="779">
      <c r="A779" t="s">
        <v>31</v>
      </c>
      <c r="B779" t="s">
        <v>542</v>
      </c>
      <c r="C779" t="s">
        <v>544</v>
      </c>
      <c r="D779" t="s">
        <v>745</v>
      </c>
      <c r="E779" s="13" t="n">
        <v>0.75</v>
      </c>
      <c r="F779" s="16" t="n">
        <v>16</v>
      </c>
      <c r="G779" s="14" t="n">
        <v>0.636036072117319</v>
      </c>
      <c r="H779" s="15" t="n">
        <v>0.397439448174904</v>
      </c>
    </row>
    <row r="780">
      <c r="A780" t="s">
        <v>31</v>
      </c>
      <c r="B780" t="s">
        <v>731</v>
      </c>
      <c r="C780" t="s">
        <v>732</v>
      </c>
      <c r="D780" t="s">
        <v>745</v>
      </c>
      <c r="E780" s="13" t="n">
        <v>1.25</v>
      </c>
      <c r="F780" s="16" t="n">
        <v>158</v>
      </c>
      <c r="G780" s="14" t="n">
        <v>0.899174750423314</v>
      </c>
      <c r="H780" s="15" t="n">
        <v>-0.868322963073747</v>
      </c>
    </row>
    <row r="781">
      <c r="A781" t="s">
        <v>31</v>
      </c>
      <c r="B781" t="s">
        <v>545</v>
      </c>
      <c r="C781" t="s">
        <v>546</v>
      </c>
      <c r="D781" t="s">
        <v>745</v>
      </c>
      <c r="E781" s="13" t="n">
        <v>0.5</v>
      </c>
      <c r="F781" s="16" t="n">
        <v>10</v>
      </c>
      <c r="G781" s="14" t="n">
        <v>0.469846310392954</v>
      </c>
      <c r="H781" s="15" t="n">
        <v>0.171010071662834</v>
      </c>
    </row>
    <row r="782">
      <c r="A782" t="s">
        <v>31</v>
      </c>
      <c r="B782" t="s">
        <v>545</v>
      </c>
      <c r="C782" t="s">
        <v>547</v>
      </c>
      <c r="D782" t="s">
        <v>745</v>
      </c>
      <c r="E782" s="13" t="n">
        <v>0.5</v>
      </c>
      <c r="F782" s="16" t="n">
        <v>154</v>
      </c>
      <c r="G782" s="14" t="n">
        <v>0.307830737662829</v>
      </c>
      <c r="H782" s="15" t="n">
        <v>-0.394005376803361</v>
      </c>
    </row>
    <row r="783">
      <c r="A783" t="s">
        <v>31</v>
      </c>
      <c r="B783" t="s">
        <v>733</v>
      </c>
      <c r="C783" t="s">
        <v>734</v>
      </c>
      <c r="D783" t="s">
        <v>745</v>
      </c>
      <c r="E783" s="13" t="n">
        <v>0.75</v>
      </c>
      <c r="F783" s="16" t="n">
        <v>157</v>
      </c>
      <c r="G783" s="14" t="n">
        <v>0.520993777844248</v>
      </c>
      <c r="H783" s="15" t="n">
        <v>-0.539504850253988</v>
      </c>
    </row>
    <row r="784">
      <c r="A784" t="s">
        <v>31</v>
      </c>
      <c r="B784" t="s">
        <v>733</v>
      </c>
      <c r="C784" t="s">
        <v>735</v>
      </c>
      <c r="D784" t="s">
        <v>745</v>
      </c>
      <c r="E784" s="13" t="n">
        <v>0.5</v>
      </c>
      <c r="F784" s="16" t="n">
        <v>20</v>
      </c>
      <c r="G784" s="14" t="n">
        <v>0.383022221559489</v>
      </c>
      <c r="H784" s="15" t="n">
        <v>0.32139380484327</v>
      </c>
    </row>
    <row r="785">
      <c r="A785" t="s">
        <v>30</v>
      </c>
      <c r="B785" t="s">
        <v>548</v>
      </c>
      <c r="C785" t="s">
        <v>549</v>
      </c>
      <c r="D785" t="s">
        <v>745</v>
      </c>
      <c r="E785" s="13" t="n">
        <v>0.5</v>
      </c>
      <c r="F785" s="16" t="n">
        <v>41</v>
      </c>
      <c r="G785" s="14" t="n">
        <v>0.0695865504800327</v>
      </c>
      <c r="H785" s="15" t="n">
        <v>0.495134034370785</v>
      </c>
    </row>
    <row r="786">
      <c r="A786" t="s">
        <v>30</v>
      </c>
      <c r="B786" t="s">
        <v>550</v>
      </c>
      <c r="C786" t="s">
        <v>551</v>
      </c>
      <c r="D786" t="s">
        <v>745</v>
      </c>
      <c r="E786" s="13" t="n">
        <v>0.75</v>
      </c>
      <c r="F786" s="16" t="n">
        <v>100</v>
      </c>
      <c r="G786" s="14" t="n">
        <v>-0.704769465589431</v>
      </c>
      <c r="H786" s="15" t="n">
        <v>-0.256515107494252</v>
      </c>
    </row>
    <row r="787">
      <c r="A787" t="s">
        <v>30</v>
      </c>
      <c r="B787" t="s">
        <v>550</v>
      </c>
      <c r="C787" t="s">
        <v>552</v>
      </c>
      <c r="D787" t="s">
        <v>745</v>
      </c>
      <c r="E787" s="13" t="n">
        <v>0.5</v>
      </c>
      <c r="F787" s="16" t="n">
        <v>96</v>
      </c>
      <c r="G787" s="14" t="n">
        <v>-0.489073800366903</v>
      </c>
      <c r="H787" s="15" t="n">
        <v>-0.10395584540888</v>
      </c>
    </row>
    <row r="788">
      <c r="A788" t="s">
        <v>30</v>
      </c>
      <c r="B788" t="s">
        <v>553</v>
      </c>
      <c r="C788" t="s">
        <v>554</v>
      </c>
      <c r="D788" t="s">
        <v>745</v>
      </c>
      <c r="E788" s="13" t="n">
        <v>1.25</v>
      </c>
      <c r="F788" s="16" t="n">
        <v>156</v>
      </c>
      <c r="G788" s="14" t="n">
        <v>0.836413257948573</v>
      </c>
      <c r="H788" s="15" t="n">
        <v>-0.928931031846743</v>
      </c>
    </row>
    <row r="789">
      <c r="A789" t="s">
        <v>30</v>
      </c>
      <c r="B789" t="s">
        <v>553</v>
      </c>
      <c r="C789" t="s">
        <v>555</v>
      </c>
      <c r="D789" t="s">
        <v>745</v>
      </c>
      <c r="E789" s="13" t="n">
        <v>2</v>
      </c>
      <c r="F789" s="16" t="n">
        <v>36</v>
      </c>
      <c r="G789" s="14" t="n">
        <v>0.618033988749895</v>
      </c>
      <c r="H789" s="15" t="n">
        <v>1.90211303259031</v>
      </c>
    </row>
    <row r="790">
      <c r="A790" t="s">
        <v>31</v>
      </c>
      <c r="B790" t="s">
        <v>556</v>
      </c>
      <c r="C790" t="s">
        <v>557</v>
      </c>
      <c r="D790" t="s">
        <v>745</v>
      </c>
      <c r="E790" s="13" t="n">
        <v>0.5</v>
      </c>
      <c r="F790" s="16" t="n">
        <v>8</v>
      </c>
      <c r="G790" s="14" t="n">
        <v>0.480630847969159</v>
      </c>
      <c r="H790" s="15" t="n">
        <v>0.1378186779085</v>
      </c>
    </row>
    <row r="791">
      <c r="A791" t="s">
        <v>31</v>
      </c>
      <c r="B791" t="s">
        <v>558</v>
      </c>
      <c r="C791" t="s">
        <v>559</v>
      </c>
      <c r="D791" t="s">
        <v>745</v>
      </c>
      <c r="E791" s="13" t="n">
        <v>0.25</v>
      </c>
      <c r="F791" s="16" t="n">
        <v>175</v>
      </c>
      <c r="G791" s="14" t="n">
        <v>0.246201938253052</v>
      </c>
      <c r="H791" s="15" t="n">
        <v>-0.0434120444167326</v>
      </c>
    </row>
    <row r="792">
      <c r="A792" t="s">
        <v>31</v>
      </c>
      <c r="B792" t="s">
        <v>560</v>
      </c>
      <c r="C792" t="s">
        <v>561</v>
      </c>
      <c r="D792" t="s">
        <v>745</v>
      </c>
      <c r="E792" s="13" t="n">
        <v>1.25</v>
      </c>
      <c r="F792" s="16" t="n">
        <v>6</v>
      </c>
      <c r="G792" s="14" t="n">
        <v>1.22268450091726</v>
      </c>
      <c r="H792" s="15" t="n">
        <v>0.259889613522199</v>
      </c>
    </row>
    <row r="793">
      <c r="A793" t="s">
        <v>30</v>
      </c>
      <c r="B793" t="s">
        <v>562</v>
      </c>
      <c r="C793" t="s">
        <v>563</v>
      </c>
      <c r="D793" t="s">
        <v>745</v>
      </c>
      <c r="E793" s="13" t="n">
        <v>0.75</v>
      </c>
      <c r="F793" s="16" t="n">
        <v>35</v>
      </c>
      <c r="G793" s="14" t="n">
        <v>0.256515107494252</v>
      </c>
      <c r="H793" s="15" t="n">
        <v>0.704769465589431</v>
      </c>
    </row>
    <row r="794">
      <c r="A794" t="s">
        <v>30</v>
      </c>
      <c r="B794" t="s">
        <v>562</v>
      </c>
      <c r="C794" t="s">
        <v>564</v>
      </c>
      <c r="D794" t="s">
        <v>745</v>
      </c>
      <c r="E794" s="13" t="n">
        <v>0.5</v>
      </c>
      <c r="F794" s="16" t="n">
        <v>143</v>
      </c>
      <c r="G794" s="14" t="n">
        <v>0.137818677908499</v>
      </c>
      <c r="H794" s="15" t="n">
        <v>-0.480630847969159</v>
      </c>
    </row>
    <row r="795">
      <c r="A795" t="s">
        <v>30</v>
      </c>
      <c r="B795" t="s">
        <v>565</v>
      </c>
      <c r="C795" t="s">
        <v>566</v>
      </c>
      <c r="D795" t="s">
        <v>745</v>
      </c>
      <c r="E795" s="13" t="n">
        <v>0.5</v>
      </c>
      <c r="F795" s="16" t="n">
        <v>68</v>
      </c>
      <c r="G795" s="14" t="n">
        <v>-0.359669900169325</v>
      </c>
      <c r="H795" s="15" t="n">
        <v>0.347329185229499</v>
      </c>
    </row>
    <row r="796">
      <c r="A796" t="s">
        <v>30</v>
      </c>
      <c r="B796" t="s">
        <v>567</v>
      </c>
      <c r="C796" t="s">
        <v>568</v>
      </c>
      <c r="D796" t="s">
        <v>745</v>
      </c>
      <c r="E796" s="13" t="n">
        <v>0.75</v>
      </c>
      <c r="F796" s="16" t="n">
        <v>81</v>
      </c>
      <c r="G796" s="14" t="n">
        <v>-0.713292387221365</v>
      </c>
      <c r="H796" s="15" t="n">
        <v>0.231762745781211</v>
      </c>
    </row>
    <row r="797">
      <c r="A797" t="s">
        <v>30</v>
      </c>
      <c r="B797" t="s">
        <v>567</v>
      </c>
      <c r="C797" t="s">
        <v>569</v>
      </c>
      <c r="D797" t="s">
        <v>745</v>
      </c>
      <c r="E797" s="13" t="n">
        <v>0.75</v>
      </c>
      <c r="F797" s="16" t="n">
        <v>93</v>
      </c>
      <c r="G797" s="14" t="n">
        <v>-0.745891421526205</v>
      </c>
      <c r="H797" s="15" t="n">
        <v>-0.0783963474507403</v>
      </c>
    </row>
    <row r="798">
      <c r="A798" t="s">
        <v>31</v>
      </c>
      <c r="B798" t="s">
        <v>570</v>
      </c>
      <c r="C798" t="s">
        <v>571</v>
      </c>
      <c r="D798" t="s">
        <v>745</v>
      </c>
      <c r="E798" s="13" t="n">
        <v>1.25</v>
      </c>
      <c r="F798" s="16" t="n">
        <v>98</v>
      </c>
      <c r="G798" s="14" t="n">
        <v>-1.2015771199229</v>
      </c>
      <c r="H798" s="15" t="n">
        <v>-0.344546694771249</v>
      </c>
    </row>
    <row r="799">
      <c r="A799" t="s">
        <v>31</v>
      </c>
      <c r="B799" t="s">
        <v>570</v>
      </c>
      <c r="C799" t="s">
        <v>572</v>
      </c>
      <c r="D799" t="s">
        <v>745</v>
      </c>
      <c r="E799" s="13" t="n">
        <v>0.5</v>
      </c>
      <c r="F799" s="16" t="n">
        <v>81</v>
      </c>
      <c r="G799" s="14" t="n">
        <v>-0.475528258147577</v>
      </c>
      <c r="H799" s="15" t="n">
        <v>0.154508497187474</v>
      </c>
    </row>
    <row r="800">
      <c r="A800" t="s">
        <v>31</v>
      </c>
      <c r="B800" t="s">
        <v>573</v>
      </c>
      <c r="C800" t="s">
        <v>574</v>
      </c>
      <c r="D800" t="s">
        <v>745</v>
      </c>
      <c r="E800" s="13" t="n">
        <v>0.5</v>
      </c>
      <c r="F800" s="16" t="n">
        <v>160</v>
      </c>
      <c r="G800" s="14" t="n">
        <v>0.383022221559489</v>
      </c>
      <c r="H800" s="15" t="n">
        <v>-0.32139380484327</v>
      </c>
    </row>
    <row r="801">
      <c r="A801" t="s">
        <v>31</v>
      </c>
      <c r="B801" t="s">
        <v>573</v>
      </c>
      <c r="C801" t="s">
        <v>575</v>
      </c>
      <c r="D801" t="s">
        <v>745</v>
      </c>
      <c r="E801" s="13" t="n">
        <v>1</v>
      </c>
      <c r="F801" s="16" t="n">
        <v>25</v>
      </c>
      <c r="G801" s="14" t="n">
        <v>0.642787609686539</v>
      </c>
      <c r="H801" s="15" t="n">
        <v>0.766044443118978</v>
      </c>
    </row>
    <row r="802">
      <c r="A802" t="s">
        <v>30</v>
      </c>
      <c r="B802" t="s">
        <v>576</v>
      </c>
      <c r="C802" t="s">
        <v>577</v>
      </c>
      <c r="D802" t="s">
        <v>745</v>
      </c>
      <c r="E802" s="13" t="n">
        <v>0.25</v>
      </c>
      <c r="F802" s="16" t="n">
        <v>13</v>
      </c>
      <c r="G802" s="14" t="n">
        <v>0.224698511574792</v>
      </c>
      <c r="H802" s="15" t="n">
        <v>0.109592786697269</v>
      </c>
    </row>
    <row r="803">
      <c r="A803" t="s">
        <v>30</v>
      </c>
      <c r="B803" t="s">
        <v>576</v>
      </c>
      <c r="C803" t="s">
        <v>578</v>
      </c>
      <c r="D803" t="s">
        <v>745</v>
      </c>
      <c r="E803" s="13" t="n">
        <v>1</v>
      </c>
      <c r="F803" s="16" t="n">
        <v>0</v>
      </c>
      <c r="G803" s="14" t="n">
        <v>1</v>
      </c>
      <c r="H803" s="15" t="n">
        <v>0</v>
      </c>
    </row>
    <row r="804">
      <c r="A804" t="s">
        <v>31</v>
      </c>
      <c r="B804" t="s">
        <v>579</v>
      </c>
      <c r="C804" t="s">
        <v>580</v>
      </c>
      <c r="D804" t="s">
        <v>745</v>
      </c>
      <c r="E804" s="13" t="n">
        <v>0.75</v>
      </c>
      <c r="F804" s="16" t="n">
        <v>125</v>
      </c>
      <c r="G804" s="14" t="n">
        <v>-0.256515107494252</v>
      </c>
      <c r="H804" s="15" t="n">
        <v>-0.704769465589431</v>
      </c>
    </row>
    <row r="805">
      <c r="A805" t="s">
        <v>31</v>
      </c>
      <c r="B805" t="s">
        <v>579</v>
      </c>
      <c r="C805" t="s">
        <v>581</v>
      </c>
      <c r="D805" t="s">
        <v>745</v>
      </c>
      <c r="E805" s="13" t="n">
        <v>0.5</v>
      </c>
      <c r="F805" s="16" t="n">
        <v>69</v>
      </c>
      <c r="G805" s="14" t="n">
        <v>-0.371572412738697</v>
      </c>
      <c r="H805" s="15" t="n">
        <v>0.334565303179429</v>
      </c>
    </row>
    <row r="806">
      <c r="A806" t="s">
        <v>30</v>
      </c>
      <c r="B806" t="s">
        <v>582</v>
      </c>
      <c r="C806" t="s">
        <v>583</v>
      </c>
      <c r="D806" t="s">
        <v>745</v>
      </c>
      <c r="E806" s="13" t="n">
        <v>0.75</v>
      </c>
      <c r="F806" s="16" t="n">
        <v>2</v>
      </c>
      <c r="G806" s="14" t="n">
        <v>0.748173037694868</v>
      </c>
      <c r="H806" s="15" t="n">
        <v>0.052317355308094</v>
      </c>
    </row>
    <row r="807">
      <c r="A807" t="s">
        <v>30</v>
      </c>
      <c r="B807" t="s">
        <v>582</v>
      </c>
      <c r="C807" t="s">
        <v>584</v>
      </c>
      <c r="D807" t="s">
        <v>745</v>
      </c>
      <c r="E807" s="13" t="n">
        <v>0.75</v>
      </c>
      <c r="F807" s="16" t="n">
        <v>0</v>
      </c>
      <c r="G807" s="14" t="n">
        <v>0.75</v>
      </c>
      <c r="H807" s="15" t="n">
        <v>0</v>
      </c>
    </row>
    <row r="808">
      <c r="A808" t="s">
        <v>31</v>
      </c>
      <c r="B808" t="s">
        <v>585</v>
      </c>
      <c r="C808" t="s">
        <v>586</v>
      </c>
      <c r="D808" t="s">
        <v>745</v>
      </c>
      <c r="E808" s="13" t="n">
        <v>1.75</v>
      </c>
      <c r="F808" s="16" t="n">
        <v>6</v>
      </c>
      <c r="G808" s="14" t="n">
        <v>1.71175830128416</v>
      </c>
      <c r="H808" s="15" t="n">
        <v>0.363845458931079</v>
      </c>
    </row>
    <row r="809">
      <c r="A809" t="s">
        <v>31</v>
      </c>
      <c r="B809" t="s">
        <v>585</v>
      </c>
      <c r="C809" t="s">
        <v>587</v>
      </c>
      <c r="D809" t="s">
        <v>745</v>
      </c>
      <c r="E809" s="13" t="n">
        <v>1.25</v>
      </c>
      <c r="F809" s="16" t="n">
        <v>8</v>
      </c>
      <c r="G809" s="14" t="n">
        <v>1.2015771199229</v>
      </c>
      <c r="H809" s="15" t="n">
        <v>0.344546694771249</v>
      </c>
    </row>
    <row r="810">
      <c r="A810" t="s">
        <v>31</v>
      </c>
      <c r="B810" t="s">
        <v>588</v>
      </c>
      <c r="C810" t="s">
        <v>589</v>
      </c>
      <c r="D810" t="s">
        <v>745</v>
      </c>
      <c r="E810" s="13" t="n">
        <v>1.25</v>
      </c>
      <c r="F810" s="16" t="n">
        <v>168</v>
      </c>
      <c r="G810" s="14" t="n">
        <v>1.14193182205325</v>
      </c>
      <c r="H810" s="15" t="n">
        <v>-0.50842080384475</v>
      </c>
    </row>
    <row r="811">
      <c r="A811" t="s">
        <v>31</v>
      </c>
      <c r="B811" t="s">
        <v>590</v>
      </c>
      <c r="C811" t="s">
        <v>591</v>
      </c>
      <c r="D811" t="s">
        <v>745</v>
      </c>
      <c r="E811" s="13" t="n">
        <v>1.5</v>
      </c>
      <c r="F811" s="16" t="n">
        <v>177</v>
      </c>
      <c r="G811" s="14" t="n">
        <v>1.49178284305241</v>
      </c>
      <c r="H811" s="15" t="n">
        <v>-0.156792694901481</v>
      </c>
    </row>
    <row r="812">
      <c r="A812" t="s">
        <v>31</v>
      </c>
      <c r="B812" t="s">
        <v>590</v>
      </c>
      <c r="C812" t="s">
        <v>592</v>
      </c>
      <c r="D812" t="s">
        <v>745</v>
      </c>
      <c r="E812" s="13" t="n">
        <v>1.5</v>
      </c>
      <c r="F812" s="16" t="n">
        <v>153</v>
      </c>
      <c r="G812" s="14" t="n">
        <v>0.881677878438709</v>
      </c>
      <c r="H812" s="15" t="n">
        <v>-1.21352549156242</v>
      </c>
    </row>
    <row r="813">
      <c r="A813" t="s">
        <v>30</v>
      </c>
      <c r="B813" t="s">
        <v>593</v>
      </c>
      <c r="C813" t="s">
        <v>594</v>
      </c>
      <c r="D813" t="s">
        <v>745</v>
      </c>
      <c r="E813" s="13" t="n">
        <v>0.5</v>
      </c>
      <c r="F813" s="16" t="n">
        <v>44</v>
      </c>
      <c r="G813" s="14" t="n">
        <v>0.0174497483512505</v>
      </c>
      <c r="H813" s="15" t="n">
        <v>0.499695413509548</v>
      </c>
    </row>
    <row r="814">
      <c r="A814" t="s">
        <v>30</v>
      </c>
      <c r="B814" t="s">
        <v>593</v>
      </c>
      <c r="C814" t="s">
        <v>595</v>
      </c>
      <c r="D814" t="s">
        <v>745</v>
      </c>
      <c r="E814" s="13" t="n">
        <v>0.5</v>
      </c>
      <c r="F814" s="16" t="n">
        <v>125</v>
      </c>
      <c r="G814" s="14" t="n">
        <v>-0.171010071662835</v>
      </c>
      <c r="H814" s="15" t="n">
        <v>-0.469846310392954</v>
      </c>
    </row>
    <row r="815">
      <c r="A815" t="s">
        <v>31</v>
      </c>
      <c r="B815" t="s">
        <v>596</v>
      </c>
      <c r="C815" t="s">
        <v>597</v>
      </c>
      <c r="D815" t="s">
        <v>745</v>
      </c>
      <c r="E815" s="13" t="n">
        <v>0.5</v>
      </c>
      <c r="F815" s="16" t="n">
        <v>140</v>
      </c>
      <c r="G815" s="14" t="n">
        <v>0.086824088833465</v>
      </c>
      <c r="H815" s="15" t="n">
        <v>-0.492403876506104</v>
      </c>
    </row>
    <row r="816">
      <c r="A816" t="s">
        <v>31</v>
      </c>
      <c r="B816" t="s">
        <v>596</v>
      </c>
      <c r="C816" t="s">
        <v>598</v>
      </c>
      <c r="D816" t="s">
        <v>745</v>
      </c>
      <c r="E816" s="13" t="n">
        <v>0.75</v>
      </c>
      <c r="F816" s="16" t="n">
        <v>41</v>
      </c>
      <c r="G816" s="14" t="n">
        <v>0.104379825720049</v>
      </c>
      <c r="H816" s="15" t="n">
        <v>0.742701051556178</v>
      </c>
    </row>
    <row r="817">
      <c r="A817" t="s">
        <v>31</v>
      </c>
      <c r="B817" t="s">
        <v>599</v>
      </c>
      <c r="C817" t="s">
        <v>600</v>
      </c>
      <c r="D817" t="s">
        <v>745</v>
      </c>
      <c r="E817" s="13" t="n">
        <v>1.25</v>
      </c>
      <c r="F817" s="16" t="n">
        <v>2</v>
      </c>
      <c r="G817" s="14" t="n">
        <v>1.24695506282478</v>
      </c>
      <c r="H817" s="15" t="n">
        <v>0.0871955921801566</v>
      </c>
    </row>
    <row r="818">
      <c r="A818" t="s">
        <v>31</v>
      </c>
      <c r="B818" t="s">
        <v>599</v>
      </c>
      <c r="C818" t="s">
        <v>601</v>
      </c>
      <c r="D818" t="s">
        <v>745</v>
      </c>
      <c r="E818" s="13" t="n">
        <v>1.5</v>
      </c>
      <c r="F818" s="16" t="n">
        <v>165</v>
      </c>
      <c r="G818" s="14" t="n">
        <v>1.29903810567666</v>
      </c>
      <c r="H818" s="15" t="n">
        <v>-0.75</v>
      </c>
    </row>
    <row r="819">
      <c r="A819" t="s">
        <v>31</v>
      </c>
      <c r="B819" t="s">
        <v>602</v>
      </c>
      <c r="C819" t="s">
        <v>603</v>
      </c>
      <c r="D819" t="s">
        <v>745</v>
      </c>
      <c r="E819" s="13" t="n">
        <v>0.25</v>
      </c>
      <c r="F819" s="16" t="n">
        <v>90</v>
      </c>
      <c r="G819" s="14" t="n">
        <v>-0.25</v>
      </c>
      <c r="H819" s="15" t="n">
        <v>0</v>
      </c>
    </row>
    <row r="820">
      <c r="A820" t="s">
        <v>31</v>
      </c>
      <c r="B820" t="s">
        <v>604</v>
      </c>
      <c r="C820" t="s">
        <v>605</v>
      </c>
      <c r="D820" t="s">
        <v>745</v>
      </c>
      <c r="E820" s="13" t="n">
        <v>0.5</v>
      </c>
      <c r="F820" s="16" t="n">
        <v>165</v>
      </c>
      <c r="G820" s="14" t="n">
        <v>0.433012701892219</v>
      </c>
      <c r="H820" s="15" t="n">
        <v>-0.25</v>
      </c>
    </row>
    <row r="821">
      <c r="A821" t="s">
        <v>30</v>
      </c>
      <c r="B821" t="s">
        <v>606</v>
      </c>
      <c r="C821" t="s">
        <v>607</v>
      </c>
      <c r="D821" t="s">
        <v>745</v>
      </c>
      <c r="E821" s="13" t="n">
        <v>0.5</v>
      </c>
      <c r="F821" s="16" t="n">
        <v>165</v>
      </c>
      <c r="G821" s="14" t="n">
        <v>0.433012701892219</v>
      </c>
      <c r="H821" s="15" t="n">
        <v>-0.25</v>
      </c>
    </row>
    <row r="822">
      <c r="A822" t="s">
        <v>30</v>
      </c>
      <c r="B822" t="s">
        <v>606</v>
      </c>
      <c r="C822" t="s">
        <v>608</v>
      </c>
      <c r="D822" t="s">
        <v>745</v>
      </c>
      <c r="E822" s="13" t="n">
        <v>0.5</v>
      </c>
      <c r="F822" s="16" t="n">
        <v>21</v>
      </c>
      <c r="G822" s="14" t="n">
        <v>0.371572412738697</v>
      </c>
      <c r="H822" s="15" t="n">
        <v>0.334565303179429</v>
      </c>
    </row>
    <row r="823">
      <c r="A823" t="s">
        <v>31</v>
      </c>
      <c r="B823" t="s">
        <v>609</v>
      </c>
      <c r="C823" t="s">
        <v>610</v>
      </c>
      <c r="D823" t="s">
        <v>745</v>
      </c>
      <c r="E823" s="13" t="n">
        <v>1.25</v>
      </c>
      <c r="F823" s="16" t="n">
        <v>5</v>
      </c>
      <c r="G823" s="14" t="n">
        <v>1.23100969126526</v>
      </c>
      <c r="H823" s="15" t="n">
        <v>0.217060222083663</v>
      </c>
    </row>
    <row r="824">
      <c r="A824" t="s">
        <v>30</v>
      </c>
      <c r="B824" t="s">
        <v>611</v>
      </c>
      <c r="C824" t="s">
        <v>612</v>
      </c>
      <c r="D824" t="s">
        <v>745</v>
      </c>
      <c r="E824" s="13" t="n">
        <v>0.25</v>
      </c>
      <c r="F824" s="16" t="n">
        <v>35</v>
      </c>
      <c r="G824" s="14" t="n">
        <v>0.0855050358314172</v>
      </c>
      <c r="H824" s="15" t="n">
        <v>0.234923155196477</v>
      </c>
    </row>
    <row r="825">
      <c r="A825" t="s">
        <v>30</v>
      </c>
      <c r="B825" t="s">
        <v>611</v>
      </c>
      <c r="C825" t="s">
        <v>613</v>
      </c>
      <c r="D825" t="s">
        <v>745</v>
      </c>
      <c r="E825" s="13" t="n">
        <v>0.25</v>
      </c>
      <c r="F825" s="16" t="n">
        <v>147</v>
      </c>
      <c r="G825" s="14" t="n">
        <v>0.10168416076895</v>
      </c>
      <c r="H825" s="15" t="n">
        <v>-0.22838636441065</v>
      </c>
    </row>
    <row r="826">
      <c r="A826" t="s">
        <v>30</v>
      </c>
      <c r="B826" t="s">
        <v>614</v>
      </c>
      <c r="C826" t="s">
        <v>615</v>
      </c>
      <c r="D826" t="s">
        <v>745</v>
      </c>
      <c r="E826" s="13" t="n">
        <v>0.25</v>
      </c>
      <c r="F826" s="16" t="n">
        <v>97</v>
      </c>
      <c r="G826" s="14" t="n">
        <v>-0.242573931568999</v>
      </c>
      <c r="H826" s="15" t="n">
        <v>-0.0604804738999169</v>
      </c>
    </row>
    <row r="827">
      <c r="A827" t="s">
        <v>30</v>
      </c>
      <c r="B827" t="s">
        <v>614</v>
      </c>
      <c r="C827" t="s">
        <v>616</v>
      </c>
      <c r="D827" t="s">
        <v>745</v>
      </c>
      <c r="E827" s="13" t="n">
        <v>0.75</v>
      </c>
      <c r="F827" s="16" t="n">
        <v>93</v>
      </c>
      <c r="G827" s="14" t="n">
        <v>-0.745891421526205</v>
      </c>
      <c r="H827" s="15" t="n">
        <v>-0.0783963474507403</v>
      </c>
    </row>
    <row r="828">
      <c r="A828" t="s">
        <v>31</v>
      </c>
      <c r="B828" t="s">
        <v>617</v>
      </c>
      <c r="C828" t="s">
        <v>618</v>
      </c>
      <c r="D828" t="s">
        <v>745</v>
      </c>
      <c r="E828" s="13" t="n">
        <v>0.75</v>
      </c>
      <c r="F828" s="16" t="n">
        <v>21</v>
      </c>
      <c r="G828" s="14" t="n">
        <v>0.557358619108046</v>
      </c>
      <c r="H828" s="15" t="n">
        <v>0.501847954769144</v>
      </c>
    </row>
    <row r="829">
      <c r="A829" t="s">
        <v>31</v>
      </c>
      <c r="B829" t="s">
        <v>617</v>
      </c>
      <c r="C829" t="s">
        <v>619</v>
      </c>
      <c r="D829" t="s">
        <v>745</v>
      </c>
      <c r="E829" s="13" t="n">
        <v>0.5</v>
      </c>
      <c r="F829" s="16" t="n">
        <v>166</v>
      </c>
      <c r="G829" s="14" t="n">
        <v>0.441473796429463</v>
      </c>
      <c r="H829" s="15" t="n">
        <v>-0.234735781392945</v>
      </c>
    </row>
    <row r="830">
      <c r="A830" t="s">
        <v>31</v>
      </c>
      <c r="B830" t="s">
        <v>620</v>
      </c>
      <c r="C830" t="s">
        <v>621</v>
      </c>
      <c r="D830" t="s">
        <v>745</v>
      </c>
      <c r="E830" s="13" t="n">
        <v>0.75</v>
      </c>
      <c r="F830" s="16" t="n">
        <v>43</v>
      </c>
      <c r="G830" s="14" t="n">
        <v>0.0523173553080939</v>
      </c>
      <c r="H830" s="15" t="n">
        <v>0.748173037694868</v>
      </c>
    </row>
    <row r="831">
      <c r="A831" t="s">
        <v>31</v>
      </c>
      <c r="B831" t="s">
        <v>620</v>
      </c>
      <c r="C831" t="s">
        <v>622</v>
      </c>
      <c r="D831" t="s">
        <v>745</v>
      </c>
      <c r="E831" s="13" t="n">
        <v>0.5</v>
      </c>
      <c r="F831" s="16" t="n">
        <v>141</v>
      </c>
      <c r="G831" s="14" t="n">
        <v>0.10395584540888</v>
      </c>
      <c r="H831" s="15" t="n">
        <v>-0.489073800366903</v>
      </c>
    </row>
    <row r="832">
      <c r="A832" t="s">
        <v>30</v>
      </c>
      <c r="B832" t="s">
        <v>623</v>
      </c>
      <c r="C832" t="s">
        <v>624</v>
      </c>
      <c r="D832" t="s">
        <v>745</v>
      </c>
      <c r="E832" s="13" t="n">
        <v>0.75</v>
      </c>
      <c r="F832" s="16" t="n">
        <v>14</v>
      </c>
      <c r="G832" s="14" t="n">
        <v>0.662210694644195</v>
      </c>
      <c r="H832" s="15" t="n">
        <v>0.352103672089418</v>
      </c>
    </row>
    <row r="833">
      <c r="A833" t="s">
        <v>31</v>
      </c>
      <c r="B833" t="s">
        <v>625</v>
      </c>
      <c r="C833" t="s">
        <v>626</v>
      </c>
      <c r="D833" t="s">
        <v>745</v>
      </c>
      <c r="E833" s="13" t="n">
        <v>0.75</v>
      </c>
      <c r="F833" s="16" t="n">
        <v>163</v>
      </c>
      <c r="G833" s="14" t="n">
        <v>0.621778179416281</v>
      </c>
      <c r="H833" s="15" t="n">
        <v>-0.41939467760306</v>
      </c>
    </row>
    <row r="834">
      <c r="A834" t="s">
        <v>31</v>
      </c>
      <c r="B834" t="s">
        <v>625</v>
      </c>
      <c r="C834" t="s">
        <v>627</v>
      </c>
      <c r="D834" t="s">
        <v>745</v>
      </c>
      <c r="E834" s="13" t="n">
        <v>0.75</v>
      </c>
      <c r="F834" s="16" t="n">
        <v>5</v>
      </c>
      <c r="G834" s="14" t="n">
        <v>0.738605814759156</v>
      </c>
      <c r="H834" s="15" t="n">
        <v>0.130236133250198</v>
      </c>
    </row>
    <row r="835">
      <c r="A835" t="s">
        <v>31</v>
      </c>
      <c r="B835" t="s">
        <v>628</v>
      </c>
      <c r="C835" t="s">
        <v>629</v>
      </c>
      <c r="D835" t="s">
        <v>745</v>
      </c>
      <c r="E835" s="13" t="n">
        <v>1.5</v>
      </c>
      <c r="F835" s="16" t="n">
        <v>124</v>
      </c>
      <c r="G835" s="14" t="n">
        <v>-0.561909890123868</v>
      </c>
      <c r="H835" s="15" t="n">
        <v>-1.39077578185018</v>
      </c>
    </row>
    <row r="836">
      <c r="A836" t="s">
        <v>31</v>
      </c>
      <c r="B836" t="s">
        <v>628</v>
      </c>
      <c r="C836" t="s">
        <v>630</v>
      </c>
      <c r="D836" t="s">
        <v>745</v>
      </c>
      <c r="E836" s="13" t="n">
        <v>1</v>
      </c>
      <c r="F836" s="16" t="n">
        <v>55</v>
      </c>
      <c r="G836" s="14" t="n">
        <v>-0.342020143325669</v>
      </c>
      <c r="H836" s="15" t="n">
        <v>0.939692620785908</v>
      </c>
    </row>
    <row r="837">
      <c r="A837" t="s">
        <v>30</v>
      </c>
      <c r="B837" t="s">
        <v>631</v>
      </c>
      <c r="C837" t="s">
        <v>632</v>
      </c>
      <c r="D837" t="s">
        <v>745</v>
      </c>
      <c r="E837" s="13" t="n">
        <v>2.25</v>
      </c>
      <c r="F837" s="16" t="n">
        <v>79</v>
      </c>
      <c r="G837" s="14" t="n">
        <v>-2.08616367277527</v>
      </c>
      <c r="H837" s="15" t="n">
        <v>0.842864835185803</v>
      </c>
    </row>
    <row r="838">
      <c r="A838" t="s">
        <v>30</v>
      </c>
      <c r="B838" t="s">
        <v>631</v>
      </c>
      <c r="C838" t="s">
        <v>633</v>
      </c>
      <c r="D838" t="s">
        <v>745</v>
      </c>
      <c r="E838" s="13" t="n">
        <v>1.75</v>
      </c>
      <c r="F838" s="16" t="n">
        <v>91</v>
      </c>
      <c r="G838" s="14" t="n">
        <v>-1.74893394728342</v>
      </c>
      <c r="H838" s="15" t="n">
        <v>-0.061074119229377</v>
      </c>
    </row>
    <row r="839">
      <c r="A839" t="s">
        <v>31</v>
      </c>
      <c r="B839" t="s">
        <v>634</v>
      </c>
      <c r="C839" t="s">
        <v>635</v>
      </c>
      <c r="D839" t="s">
        <v>745</v>
      </c>
      <c r="E839" s="13" t="n">
        <v>0.25</v>
      </c>
      <c r="F839" s="16" t="n">
        <v>4</v>
      </c>
      <c r="G839" s="14" t="n">
        <v>0.247567017185393</v>
      </c>
      <c r="H839" s="15" t="n">
        <v>0.0347932752400164</v>
      </c>
    </row>
    <row r="840">
      <c r="A840" t="s">
        <v>30</v>
      </c>
      <c r="B840" t="s">
        <v>636</v>
      </c>
      <c r="C840" t="s">
        <v>637</v>
      </c>
      <c r="D840" t="s">
        <v>745</v>
      </c>
      <c r="E840" s="13" t="n">
        <v>0.75</v>
      </c>
      <c r="F840" s="16" t="n">
        <v>168</v>
      </c>
      <c r="G840" s="14" t="n">
        <v>0.685159093231951</v>
      </c>
      <c r="H840" s="15" t="n">
        <v>-0.30505248230685</v>
      </c>
    </row>
    <row r="841">
      <c r="A841" t="s">
        <v>30</v>
      </c>
      <c r="B841" t="s">
        <v>636</v>
      </c>
      <c r="C841" t="s">
        <v>638</v>
      </c>
      <c r="D841" t="s">
        <v>745</v>
      </c>
      <c r="E841" s="13" t="n">
        <v>0.75</v>
      </c>
      <c r="F841" s="16" t="n">
        <v>17</v>
      </c>
      <c r="G841" s="14" t="n">
        <v>0.621778179416281</v>
      </c>
      <c r="H841" s="15" t="n">
        <v>0.41939467760306</v>
      </c>
    </row>
    <row r="842">
      <c r="A842" t="s">
        <v>31</v>
      </c>
      <c r="B842" t="s">
        <v>639</v>
      </c>
      <c r="C842" t="s">
        <v>640</v>
      </c>
      <c r="D842" t="s">
        <v>745</v>
      </c>
      <c r="E842" s="13" t="n">
        <v>0.75</v>
      </c>
      <c r="F842" s="16" t="n">
        <v>129</v>
      </c>
      <c r="G842" s="14" t="n">
        <v>-0.15593376811332</v>
      </c>
      <c r="H842" s="15" t="n">
        <v>-0.733610700550354</v>
      </c>
    </row>
    <row r="843">
      <c r="A843" t="s">
        <v>31</v>
      </c>
      <c r="B843" t="s">
        <v>639</v>
      </c>
      <c r="C843" t="s">
        <v>641</v>
      </c>
      <c r="D843" t="s">
        <v>745</v>
      </c>
      <c r="E843" s="13" t="n">
        <v>0.75</v>
      </c>
      <c r="F843" s="16" t="n">
        <v>64</v>
      </c>
      <c r="G843" s="14" t="n">
        <v>-0.461746106494244</v>
      </c>
      <c r="H843" s="15" t="n">
        <v>0.591008065205042</v>
      </c>
    </row>
    <row r="844">
      <c r="A844" t="s">
        <v>31</v>
      </c>
      <c r="B844" t="s">
        <v>642</v>
      </c>
      <c r="C844" t="s">
        <v>643</v>
      </c>
      <c r="D844" t="s">
        <v>745</v>
      </c>
      <c r="E844" s="13" t="n">
        <v>1.5</v>
      </c>
      <c r="F844" s="16" t="n">
        <v>160</v>
      </c>
      <c r="G844" s="14" t="n">
        <v>1.14906666467847</v>
      </c>
      <c r="H844" s="15" t="n">
        <v>-0.964181414529809</v>
      </c>
    </row>
    <row r="845">
      <c r="A845" t="s">
        <v>31</v>
      </c>
      <c r="B845" t="s">
        <v>642</v>
      </c>
      <c r="C845" t="s">
        <v>644</v>
      </c>
      <c r="D845" t="s">
        <v>745</v>
      </c>
      <c r="E845" s="13" t="n">
        <v>0.5</v>
      </c>
      <c r="F845" s="16" t="n">
        <v>11</v>
      </c>
      <c r="G845" s="14" t="n">
        <v>0.463591927283394</v>
      </c>
      <c r="H845" s="15" t="n">
        <v>0.187303296707956</v>
      </c>
    </row>
    <row r="846">
      <c r="A846" t="s">
        <v>31</v>
      </c>
      <c r="B846" t="s">
        <v>645</v>
      </c>
      <c r="C846" t="s">
        <v>646</v>
      </c>
      <c r="D846" t="s">
        <v>745</v>
      </c>
      <c r="E846" s="13" t="n">
        <v>0.25</v>
      </c>
      <c r="F846" s="16" t="n">
        <v>96</v>
      </c>
      <c r="G846" s="14" t="n">
        <v>-0.244536900183451</v>
      </c>
      <c r="H846" s="15" t="n">
        <v>-0.0519779227044398</v>
      </c>
    </row>
    <row r="847">
      <c r="A847" t="s">
        <v>30</v>
      </c>
      <c r="B847" t="s">
        <v>647</v>
      </c>
      <c r="C847" t="s">
        <v>648</v>
      </c>
      <c r="D847" t="s">
        <v>745</v>
      </c>
      <c r="E847" s="13" t="n">
        <v>1.5</v>
      </c>
      <c r="F847" s="16" t="n">
        <v>8</v>
      </c>
      <c r="G847" s="14" t="n">
        <v>1.44189254390748</v>
      </c>
      <c r="H847" s="15" t="n">
        <v>0.413456033725499</v>
      </c>
    </row>
    <row r="848">
      <c r="A848" t="s">
        <v>31</v>
      </c>
      <c r="B848" t="s">
        <v>649</v>
      </c>
      <c r="C848" t="s">
        <v>650</v>
      </c>
      <c r="D848" t="s">
        <v>745</v>
      </c>
      <c r="E848" s="13" t="n">
        <v>0.25</v>
      </c>
      <c r="F848" s="16" t="n">
        <v>1</v>
      </c>
      <c r="G848" s="14" t="n">
        <v>0.249847706754774</v>
      </c>
      <c r="H848" s="15" t="n">
        <v>0.00872487417562524</v>
      </c>
    </row>
    <row r="849">
      <c r="A849" t="s">
        <v>31</v>
      </c>
      <c r="B849" t="s">
        <v>651</v>
      </c>
      <c r="C849" t="s">
        <v>652</v>
      </c>
      <c r="D849" t="s">
        <v>745</v>
      </c>
      <c r="E849" s="13" t="n">
        <v>0.5</v>
      </c>
      <c r="F849" s="16" t="n">
        <v>175</v>
      </c>
      <c r="G849" s="14" t="n">
        <v>0.492403876506104</v>
      </c>
      <c r="H849" s="15" t="n">
        <v>-0.0868240888334652</v>
      </c>
    </row>
    <row r="850">
      <c r="A850" t="s">
        <v>31</v>
      </c>
      <c r="B850" t="s">
        <v>651</v>
      </c>
      <c r="C850" t="s">
        <v>653</v>
      </c>
      <c r="D850" t="s">
        <v>745</v>
      </c>
      <c r="E850" s="13" t="n">
        <v>0.25</v>
      </c>
      <c r="F850" s="16" t="n">
        <v>2</v>
      </c>
      <c r="G850" s="14" t="n">
        <v>0.249391012564956</v>
      </c>
      <c r="H850" s="15" t="n">
        <v>0.0174391184360313</v>
      </c>
    </row>
    <row r="851">
      <c r="A851" t="s">
        <v>31</v>
      </c>
      <c r="B851" t="s">
        <v>654</v>
      </c>
      <c r="C851" t="s">
        <v>655</v>
      </c>
      <c r="D851" t="s">
        <v>745</v>
      </c>
      <c r="E851" s="13" t="n">
        <v>0.75</v>
      </c>
      <c r="F851" s="16" t="n">
        <v>94</v>
      </c>
      <c r="G851" s="14" t="n">
        <v>-0.742701051556178</v>
      </c>
      <c r="H851" s="15" t="n">
        <v>-0.104379825720049</v>
      </c>
    </row>
    <row r="852">
      <c r="A852" t="s">
        <v>31</v>
      </c>
      <c r="B852" t="s">
        <v>654</v>
      </c>
      <c r="C852" t="s">
        <v>656</v>
      </c>
      <c r="D852" t="s">
        <v>745</v>
      </c>
      <c r="E852" s="13" t="n">
        <v>1</v>
      </c>
      <c r="F852" s="16" t="n">
        <v>75</v>
      </c>
      <c r="G852" s="14" t="n">
        <v>-0.866025403784439</v>
      </c>
      <c r="H852" s="15" t="n">
        <v>0.5</v>
      </c>
    </row>
    <row r="853">
      <c r="A853" t="s">
        <v>31</v>
      </c>
      <c r="B853" t="s">
        <v>657</v>
      </c>
      <c r="C853" t="s">
        <v>658</v>
      </c>
      <c r="D853" t="s">
        <v>745</v>
      </c>
      <c r="E853" s="13" t="n">
        <v>0.75</v>
      </c>
      <c r="F853" s="16" t="n">
        <v>93</v>
      </c>
      <c r="G853" s="14" t="n">
        <v>-0.745891421526205</v>
      </c>
      <c r="H853" s="15" t="n">
        <v>-0.0783963474507403</v>
      </c>
    </row>
    <row r="854">
      <c r="A854" t="s">
        <v>31</v>
      </c>
      <c r="B854" t="s">
        <v>657</v>
      </c>
      <c r="C854" t="s">
        <v>659</v>
      </c>
      <c r="D854" t="s">
        <v>745</v>
      </c>
      <c r="E854" s="13" t="n">
        <v>0.5</v>
      </c>
      <c r="F854" s="16" t="n">
        <v>80</v>
      </c>
      <c r="G854" s="14" t="n">
        <v>-0.469846310392954</v>
      </c>
      <c r="H854" s="15" t="n">
        <v>0.171010071662834</v>
      </c>
    </row>
    <row r="855">
      <c r="A855" t="s">
        <v>30</v>
      </c>
      <c r="B855" t="s">
        <v>660</v>
      </c>
      <c r="C855" t="s">
        <v>661</v>
      </c>
      <c r="D855" t="s">
        <v>745</v>
      </c>
      <c r="E855" s="13" t="n">
        <v>0.75</v>
      </c>
      <c r="F855" s="16" t="n">
        <v>152</v>
      </c>
      <c r="G855" s="14" t="n">
        <v>0.41939467760306</v>
      </c>
      <c r="H855" s="15" t="n">
        <v>-0.621778179416281</v>
      </c>
    </row>
    <row r="856">
      <c r="A856" t="s">
        <v>30</v>
      </c>
      <c r="B856" t="s">
        <v>660</v>
      </c>
      <c r="C856" t="s">
        <v>662</v>
      </c>
      <c r="D856" t="s">
        <v>745</v>
      </c>
      <c r="E856" s="13" t="n">
        <v>1</v>
      </c>
      <c r="F856" s="16" t="n">
        <v>29</v>
      </c>
      <c r="G856" s="14" t="n">
        <v>0.529919264233205</v>
      </c>
      <c r="H856" s="15" t="n">
        <v>0.848048096156426</v>
      </c>
    </row>
    <row r="857">
      <c r="A857" t="s">
        <v>31</v>
      </c>
      <c r="B857" t="s">
        <v>663</v>
      </c>
      <c r="C857" t="s">
        <v>664</v>
      </c>
      <c r="D857" t="s">
        <v>745</v>
      </c>
      <c r="E857" s="13" t="n">
        <v>1</v>
      </c>
      <c r="F857" s="16" t="n">
        <v>168</v>
      </c>
      <c r="G857" s="14" t="n">
        <v>0.913545457642601</v>
      </c>
      <c r="H857" s="15" t="n">
        <v>-0.4067366430758</v>
      </c>
    </row>
    <row r="858">
      <c r="A858" t="s">
        <v>31</v>
      </c>
      <c r="B858" t="s">
        <v>663</v>
      </c>
      <c r="C858" t="s">
        <v>665</v>
      </c>
      <c r="D858" t="s">
        <v>745</v>
      </c>
      <c r="E858" s="13" t="n">
        <v>0.75</v>
      </c>
      <c r="F858" s="16" t="n">
        <v>8</v>
      </c>
      <c r="G858" s="14" t="n">
        <v>0.720946271953739</v>
      </c>
      <c r="H858" s="15" t="n">
        <v>0.206728016862749</v>
      </c>
    </row>
    <row r="859">
      <c r="A859" t="s">
        <v>31</v>
      </c>
      <c r="B859" t="s">
        <v>666</v>
      </c>
      <c r="C859" t="s">
        <v>667</v>
      </c>
      <c r="D859" t="s">
        <v>745</v>
      </c>
      <c r="E859" s="13" t="n">
        <v>1.25</v>
      </c>
      <c r="F859" s="16" t="n">
        <v>6</v>
      </c>
      <c r="G859" s="14" t="n">
        <v>1.22268450091726</v>
      </c>
      <c r="H859" s="15" t="n">
        <v>0.259889613522199</v>
      </c>
    </row>
    <row r="860">
      <c r="A860" t="s">
        <v>31</v>
      </c>
      <c r="B860" t="s">
        <v>668</v>
      </c>
      <c r="C860" t="s">
        <v>669</v>
      </c>
      <c r="D860" t="s">
        <v>745</v>
      </c>
      <c r="E860" s="13" t="n">
        <v>0.25</v>
      </c>
      <c r="F860" s="16" t="n">
        <v>64</v>
      </c>
      <c r="G860" s="14" t="n">
        <v>-0.153915368831415</v>
      </c>
      <c r="H860" s="15" t="n">
        <v>0.197002688401681</v>
      </c>
    </row>
    <row r="861">
      <c r="A861" t="s">
        <v>31</v>
      </c>
      <c r="B861" t="s">
        <v>668</v>
      </c>
      <c r="C861" t="s">
        <v>670</v>
      </c>
      <c r="D861" t="s">
        <v>745</v>
      </c>
      <c r="E861" s="13" t="n">
        <v>1</v>
      </c>
      <c r="F861" s="16" t="n">
        <v>127</v>
      </c>
      <c r="G861" s="14" t="n">
        <v>-0.275637355816999</v>
      </c>
      <c r="H861" s="15" t="n">
        <v>-0.961261695938319</v>
      </c>
    </row>
    <row r="862">
      <c r="A862" t="s">
        <v>30</v>
      </c>
      <c r="B862" t="s">
        <v>671</v>
      </c>
      <c r="C862" t="s">
        <v>672</v>
      </c>
      <c r="D862" t="s">
        <v>745</v>
      </c>
      <c r="E862" s="13" t="n">
        <v>1</v>
      </c>
      <c r="F862" s="16" t="n">
        <v>164</v>
      </c>
      <c r="G862" s="14" t="n">
        <v>0.848048096156426</v>
      </c>
      <c r="H862" s="15" t="n">
        <v>-0.529919264233205</v>
      </c>
    </row>
    <row r="863">
      <c r="A863" t="s">
        <v>31</v>
      </c>
      <c r="B863" t="s">
        <v>673</v>
      </c>
      <c r="C863" t="s">
        <v>674</v>
      </c>
      <c r="D863" t="s">
        <v>745</v>
      </c>
      <c r="E863" s="13" t="n">
        <v>0.25</v>
      </c>
      <c r="F863" s="16" t="n">
        <v>172</v>
      </c>
      <c r="G863" s="14" t="n">
        <v>0.24031542398458</v>
      </c>
      <c r="H863" s="15" t="n">
        <v>-0.0689093389542497</v>
      </c>
    </row>
    <row r="864">
      <c r="A864" t="s">
        <v>31</v>
      </c>
      <c r="B864" t="s">
        <v>673</v>
      </c>
      <c r="C864" t="s">
        <v>675</v>
      </c>
      <c r="D864" t="s">
        <v>745</v>
      </c>
      <c r="E864" s="13" t="n">
        <v>0.5</v>
      </c>
      <c r="F864" s="16" t="n">
        <v>3</v>
      </c>
      <c r="G864" s="14" t="n">
        <v>0.497260947684137</v>
      </c>
      <c r="H864" s="15" t="n">
        <v>0.0522642316338267</v>
      </c>
    </row>
    <row r="865">
      <c r="A865" t="s">
        <v>30</v>
      </c>
      <c r="B865" t="s">
        <v>676</v>
      </c>
      <c r="C865" t="s">
        <v>677</v>
      </c>
      <c r="D865" t="s">
        <v>745</v>
      </c>
      <c r="E865" s="13" t="n">
        <v>0.5</v>
      </c>
      <c r="F865" s="16" t="n">
        <v>163</v>
      </c>
      <c r="G865" s="14" t="n">
        <v>0.414518786277521</v>
      </c>
      <c r="H865" s="15" t="n">
        <v>-0.279596451735373</v>
      </c>
    </row>
    <row r="866">
      <c r="A866" t="s">
        <v>30</v>
      </c>
      <c r="B866" t="s">
        <v>678</v>
      </c>
      <c r="C866" t="s">
        <v>679</v>
      </c>
      <c r="D866" t="s">
        <v>745</v>
      </c>
      <c r="E866" s="13" t="n">
        <v>0.75</v>
      </c>
      <c r="F866" s="16" t="n">
        <v>26</v>
      </c>
      <c r="G866" s="14" t="n">
        <v>0.461746106494244</v>
      </c>
      <c r="H866" s="15" t="n">
        <v>0.591008065205041</v>
      </c>
    </row>
    <row r="867">
      <c r="A867" t="s">
        <v>30</v>
      </c>
      <c r="B867" t="s">
        <v>678</v>
      </c>
      <c r="C867" t="s">
        <v>680</v>
      </c>
      <c r="D867" t="s">
        <v>745</v>
      </c>
      <c r="E867" s="13" t="n">
        <v>1.75</v>
      </c>
      <c r="F867" s="16" t="n">
        <v>148</v>
      </c>
      <c r="G867" s="14" t="n">
        <v>0.767149506880885</v>
      </c>
      <c r="H867" s="15" t="n">
        <v>-1.57288958102354</v>
      </c>
    </row>
    <row r="868">
      <c r="A868" t="s">
        <v>30</v>
      </c>
      <c r="B868" t="s">
        <v>681</v>
      </c>
      <c r="C868" t="s">
        <v>682</v>
      </c>
      <c r="D868" t="s">
        <v>745</v>
      </c>
      <c r="E868" s="13" t="n">
        <v>0.25</v>
      </c>
      <c r="F868" s="16" t="n">
        <v>97</v>
      </c>
      <c r="G868" s="14" t="n">
        <v>-0.242573931568999</v>
      </c>
      <c r="H868" s="15" t="n">
        <v>-0.0604804738999169</v>
      </c>
    </row>
    <row r="869">
      <c r="A869" t="s">
        <v>30</v>
      </c>
      <c r="B869" t="s">
        <v>683</v>
      </c>
      <c r="C869" t="s">
        <v>684</v>
      </c>
      <c r="D869" t="s">
        <v>745</v>
      </c>
      <c r="E869" s="13" t="n">
        <v>1.25</v>
      </c>
      <c r="F869" s="16" t="n">
        <v>3</v>
      </c>
      <c r="G869" s="14" t="n">
        <v>1.24315236921034</v>
      </c>
      <c r="H869" s="15" t="n">
        <v>0.130660579084567</v>
      </c>
    </row>
    <row r="870">
      <c r="A870" t="s">
        <v>30</v>
      </c>
      <c r="B870" t="s">
        <v>683</v>
      </c>
      <c r="C870" t="s">
        <v>685</v>
      </c>
      <c r="D870" t="s">
        <v>745</v>
      </c>
      <c r="E870" s="13" t="n">
        <v>1.5</v>
      </c>
      <c r="F870" s="16" t="n">
        <v>16</v>
      </c>
      <c r="G870" s="14" t="n">
        <v>1.27207214423464</v>
      </c>
      <c r="H870" s="15" t="n">
        <v>0.794878896349807</v>
      </c>
    </row>
    <row r="871">
      <c r="A871" t="s">
        <v>31</v>
      </c>
      <c r="B871" t="s">
        <v>686</v>
      </c>
      <c r="C871" t="s">
        <v>687</v>
      </c>
      <c r="D871" t="s">
        <v>745</v>
      </c>
      <c r="E871" s="13" t="n">
        <v>1</v>
      </c>
      <c r="F871" s="16" t="n">
        <v>14</v>
      </c>
      <c r="G871" s="14" t="n">
        <v>0.882947592858927</v>
      </c>
      <c r="H871" s="15" t="n">
        <v>0.469471562785891</v>
      </c>
    </row>
    <row r="872">
      <c r="A872" t="s">
        <v>30</v>
      </c>
      <c r="B872" t="s">
        <v>736</v>
      </c>
      <c r="C872" t="s">
        <v>737</v>
      </c>
      <c r="D872" t="s">
        <v>745</v>
      </c>
      <c r="E872" s="13" t="n">
        <v>1</v>
      </c>
      <c r="F872" s="16" t="n">
        <v>129</v>
      </c>
      <c r="G872" s="14" t="n">
        <v>-0.20791169081776</v>
      </c>
      <c r="H872" s="15" t="n">
        <v>-0.978147600733806</v>
      </c>
    </row>
    <row r="873">
      <c r="A873" t="s">
        <v>30</v>
      </c>
      <c r="B873" t="s">
        <v>736</v>
      </c>
      <c r="C873" t="s">
        <v>738</v>
      </c>
      <c r="D873" t="s">
        <v>745</v>
      </c>
      <c r="E873" s="13" t="n">
        <v>0.75</v>
      </c>
      <c r="F873" s="16" t="n">
        <v>54</v>
      </c>
      <c r="G873" s="14" t="n">
        <v>-0.231762745781211</v>
      </c>
      <c r="H873" s="15" t="n">
        <v>0.713292387221365</v>
      </c>
    </row>
    <row r="874">
      <c r="A874" t="s">
        <v>31</v>
      </c>
      <c r="B874" t="s">
        <v>688</v>
      </c>
      <c r="C874" t="s">
        <v>689</v>
      </c>
      <c r="D874" t="s">
        <v>745</v>
      </c>
      <c r="E874" s="13" t="n">
        <v>0.25</v>
      </c>
      <c r="F874" s="16" t="n">
        <v>9</v>
      </c>
      <c r="G874" s="14" t="n">
        <v>0.237764129073788</v>
      </c>
      <c r="H874" s="15" t="n">
        <v>0.0772542485937368</v>
      </c>
    </row>
    <row r="875">
      <c r="A875" t="s">
        <v>31</v>
      </c>
      <c r="B875" t="s">
        <v>688</v>
      </c>
      <c r="C875" t="s">
        <v>690</v>
      </c>
      <c r="D875" t="s">
        <v>745</v>
      </c>
      <c r="E875" s="13" t="n">
        <v>0.5</v>
      </c>
      <c r="F875" s="16" t="n">
        <v>3</v>
      </c>
      <c r="G875" s="14" t="n">
        <v>0.497260947684137</v>
      </c>
      <c r="H875" s="15" t="n">
        <v>0.0522642316338267</v>
      </c>
    </row>
    <row r="876">
      <c r="A876" t="s">
        <v>31</v>
      </c>
      <c r="B876" t="s">
        <v>691</v>
      </c>
      <c r="C876" t="s">
        <v>692</v>
      </c>
      <c r="D876" t="s">
        <v>745</v>
      </c>
      <c r="E876" s="13" t="n">
        <v>0.25</v>
      </c>
      <c r="F876" s="16" t="n">
        <v>21</v>
      </c>
      <c r="G876" s="14" t="n">
        <v>0.185786206369349</v>
      </c>
      <c r="H876" s="15" t="n">
        <v>0.167282651589715</v>
      </c>
    </row>
    <row r="877">
      <c r="A877" t="s">
        <v>31</v>
      </c>
      <c r="B877" t="s">
        <v>691</v>
      </c>
      <c r="C877" t="s">
        <v>693</v>
      </c>
      <c r="D877" t="s">
        <v>745</v>
      </c>
      <c r="E877" s="13" t="n">
        <v>0.25</v>
      </c>
      <c r="F877" s="16" t="n">
        <v>146</v>
      </c>
      <c r="G877" s="14" t="n">
        <v>0.093651648353978</v>
      </c>
      <c r="H877" s="15" t="n">
        <v>-0.231795963641697</v>
      </c>
    </row>
    <row r="878">
      <c r="A878" t="s">
        <v>30</v>
      </c>
      <c r="B878" t="s">
        <v>694</v>
      </c>
      <c r="C878" t="s">
        <v>695</v>
      </c>
      <c r="D878" t="s">
        <v>745</v>
      </c>
      <c r="E878" s="13" t="n">
        <v>0.75</v>
      </c>
      <c r="F878" s="16" t="n">
        <v>10</v>
      </c>
      <c r="G878" s="14" t="n">
        <v>0.704769465589431</v>
      </c>
      <c r="H878" s="15" t="n">
        <v>0.256515107494252</v>
      </c>
    </row>
    <row r="879">
      <c r="A879" t="s">
        <v>30</v>
      </c>
      <c r="B879" t="s">
        <v>694</v>
      </c>
      <c r="C879" t="s">
        <v>696</v>
      </c>
      <c r="D879" t="s">
        <v>745</v>
      </c>
      <c r="E879" s="13" t="n">
        <v>1.25</v>
      </c>
      <c r="F879" s="16" t="n">
        <v>171</v>
      </c>
      <c r="G879" s="14" t="n">
        <v>1.18882064536894</v>
      </c>
      <c r="H879" s="15" t="n">
        <v>-0.386271242968685</v>
      </c>
    </row>
    <row r="880">
      <c r="A880" t="s">
        <v>30</v>
      </c>
      <c r="B880" t="s">
        <v>697</v>
      </c>
      <c r="C880" t="s">
        <v>698</v>
      </c>
      <c r="D880" t="s">
        <v>745</v>
      </c>
      <c r="E880" s="13" t="n">
        <v>0.5</v>
      </c>
      <c r="F880" s="16" t="n">
        <v>157</v>
      </c>
      <c r="G880" s="14" t="n">
        <v>0.347329185229499</v>
      </c>
      <c r="H880" s="15" t="n">
        <v>-0.359669900169326</v>
      </c>
    </row>
    <row r="881">
      <c r="A881" t="s">
        <v>30</v>
      </c>
      <c r="B881" t="s">
        <v>697</v>
      </c>
      <c r="C881" t="s">
        <v>699</v>
      </c>
      <c r="D881" t="s">
        <v>745</v>
      </c>
      <c r="E881" s="13" t="n">
        <v>0.75</v>
      </c>
      <c r="F881" s="16" t="n">
        <v>28</v>
      </c>
      <c r="G881" s="14" t="n">
        <v>0.41939467760306</v>
      </c>
      <c r="H881" s="15" t="n">
        <v>0.621778179416281</v>
      </c>
    </row>
    <row r="882">
      <c r="A882" t="s">
        <v>31</v>
      </c>
      <c r="B882" t="s">
        <v>700</v>
      </c>
      <c r="C882" t="s">
        <v>701</v>
      </c>
      <c r="D882" t="s">
        <v>745</v>
      </c>
      <c r="E882" s="13" t="n">
        <v>0.25</v>
      </c>
      <c r="F882" s="16" t="n">
        <v>0</v>
      </c>
      <c r="G882" s="14" t="n">
        <v>0.25</v>
      </c>
      <c r="H882" s="15" t="n">
        <v>0</v>
      </c>
    </row>
    <row r="883">
      <c r="A883" t="s">
        <v>31</v>
      </c>
      <c r="B883" t="s">
        <v>700</v>
      </c>
      <c r="C883" t="s">
        <v>702</v>
      </c>
      <c r="D883" t="s">
        <v>745</v>
      </c>
      <c r="E883" s="13" t="n">
        <v>0.5</v>
      </c>
      <c r="F883" s="16" t="n">
        <v>19</v>
      </c>
      <c r="G883" s="14" t="n">
        <v>0.394005376803361</v>
      </c>
      <c r="H883" s="15" t="n">
        <v>0.307830737662829</v>
      </c>
    </row>
    <row r="884">
      <c r="A884" t="s">
        <v>30</v>
      </c>
      <c r="B884" t="s">
        <v>739</v>
      </c>
      <c r="C884" t="s">
        <v>740</v>
      </c>
      <c r="D884" t="s">
        <v>745</v>
      </c>
      <c r="E884" s="13" t="n">
        <v>0.5</v>
      </c>
      <c r="F884" s="16" t="n">
        <v>126</v>
      </c>
      <c r="G884" s="14" t="n">
        <v>-0.154508497187474</v>
      </c>
      <c r="H884" s="15" t="n">
        <v>-0.475528258147577</v>
      </c>
    </row>
    <row r="885">
      <c r="A885" t="s">
        <v>30</v>
      </c>
      <c r="B885" t="s">
        <v>703</v>
      </c>
      <c r="C885" t="s">
        <v>704</v>
      </c>
      <c r="D885" t="s">
        <v>745</v>
      </c>
      <c r="E885" s="13" t="n">
        <v>0.5</v>
      </c>
      <c r="F885" s="16" t="n">
        <v>162</v>
      </c>
      <c r="G885" s="14" t="n">
        <v>0.404508497187474</v>
      </c>
      <c r="H885" s="15" t="n">
        <v>-0.293892626146237</v>
      </c>
    </row>
    <row r="886">
      <c r="A886" t="s">
        <v>31</v>
      </c>
      <c r="B886" t="s">
        <v>705</v>
      </c>
      <c r="C886" t="s">
        <v>706</v>
      </c>
      <c r="D886" t="s">
        <v>745</v>
      </c>
      <c r="E886" s="13" t="n">
        <v>1</v>
      </c>
      <c r="F886" s="16" t="n">
        <v>95</v>
      </c>
      <c r="G886" s="14" t="n">
        <v>-0.984807753012208</v>
      </c>
      <c r="H886" s="15" t="n">
        <v>-0.173648177666931</v>
      </c>
    </row>
    <row r="887">
      <c r="A887" t="s">
        <v>31</v>
      </c>
      <c r="B887" t="s">
        <v>707</v>
      </c>
      <c r="C887" t="s">
        <v>708</v>
      </c>
      <c r="D887" t="s">
        <v>745</v>
      </c>
      <c r="E887" s="13" t="n">
        <v>0.75</v>
      </c>
      <c r="F887" s="16" t="n">
        <v>104</v>
      </c>
      <c r="G887" s="14" t="n">
        <v>-0.662210694644195</v>
      </c>
      <c r="H887" s="15" t="n">
        <v>-0.352103672089418</v>
      </c>
    </row>
    <row r="888">
      <c r="A888" t="s">
        <v>31</v>
      </c>
      <c r="B888" t="s">
        <v>707</v>
      </c>
      <c r="C888" t="s">
        <v>709</v>
      </c>
      <c r="D888" t="s">
        <v>745</v>
      </c>
      <c r="E888" s="13" t="n">
        <v>0.5</v>
      </c>
      <c r="F888" s="16" t="n">
        <v>77</v>
      </c>
      <c r="G888" s="14" t="n">
        <v>-0.449397023149583</v>
      </c>
      <c r="H888" s="15" t="n">
        <v>0.219185573394539</v>
      </c>
    </row>
    <row r="889">
      <c r="A889" t="s">
        <v>31</v>
      </c>
      <c r="B889" t="s">
        <v>741</v>
      </c>
      <c r="C889" t="s">
        <v>742</v>
      </c>
      <c r="D889" t="s">
        <v>745</v>
      </c>
      <c r="E889" s="13" t="n">
        <v>0.75</v>
      </c>
      <c r="F889" s="16" t="n">
        <v>12</v>
      </c>
      <c r="G889" s="14" t="n">
        <v>0.685159093231951</v>
      </c>
      <c r="H889" s="15" t="n">
        <v>0.30505248230685</v>
      </c>
    </row>
    <row r="890">
      <c r="A890" t="s">
        <v>31</v>
      </c>
      <c r="B890" t="s">
        <v>741</v>
      </c>
      <c r="C890" t="s">
        <v>743</v>
      </c>
      <c r="D890" t="s">
        <v>745</v>
      </c>
      <c r="E890" s="13" t="n">
        <v>0.75</v>
      </c>
      <c r="F890" s="16" t="n">
        <v>5</v>
      </c>
      <c r="G890" s="14" t="n">
        <v>0.738605814759156</v>
      </c>
      <c r="H890" s="15" t="n">
        <v>0.130236133250198</v>
      </c>
    </row>
    <row r="891">
      <c r="A891" t="s">
        <v>30</v>
      </c>
      <c r="B891" t="s">
        <v>710</v>
      </c>
      <c r="C891" t="s">
        <v>711</v>
      </c>
      <c r="D891" t="s">
        <v>745</v>
      </c>
      <c r="E891" s="13" t="n">
        <v>0.5</v>
      </c>
      <c r="F891" s="16" t="n">
        <v>152</v>
      </c>
      <c r="G891" s="14" t="n">
        <v>0.279596451735374</v>
      </c>
      <c r="H891" s="15" t="n">
        <v>-0.414518786277521</v>
      </c>
    </row>
    <row r="892">
      <c r="A892" t="s">
        <v>30</v>
      </c>
      <c r="B892" t="s">
        <v>712</v>
      </c>
      <c r="C892" t="s">
        <v>713</v>
      </c>
      <c r="D892" t="s">
        <v>745</v>
      </c>
      <c r="E892" s="13" t="n">
        <v>0.75</v>
      </c>
      <c r="F892" s="16" t="n">
        <v>93</v>
      </c>
      <c r="G892" s="14" t="n">
        <v>-0.745891421526205</v>
      </c>
      <c r="H892" s="15" t="n">
        <v>-0.0783963474507403</v>
      </c>
    </row>
    <row r="893">
      <c r="A893" t="s">
        <v>30</v>
      </c>
      <c r="B893" t="s">
        <v>439</v>
      </c>
      <c r="C893" t="s">
        <v>440</v>
      </c>
      <c r="D893" t="s">
        <v>746</v>
      </c>
      <c r="E893" s="13" t="n">
        <v>0.25</v>
      </c>
      <c r="F893" s="16" t="n">
        <v>66</v>
      </c>
      <c r="G893" s="14" t="n">
        <v>-0.167282651589714</v>
      </c>
      <c r="H893" s="15" t="n">
        <v>0.185786206369349</v>
      </c>
    </row>
    <row r="894">
      <c r="A894" t="s">
        <v>30</v>
      </c>
      <c r="B894" t="s">
        <v>439</v>
      </c>
      <c r="C894" t="s">
        <v>442</v>
      </c>
      <c r="D894" t="s">
        <v>746</v>
      </c>
      <c r="E894" s="13" t="n">
        <v>0.75</v>
      </c>
      <c r="F894" s="16" t="n">
        <v>131</v>
      </c>
      <c r="G894" s="14" t="n">
        <v>-0.104379825720049</v>
      </c>
      <c r="H894" s="15" t="n">
        <v>-0.742701051556178</v>
      </c>
    </row>
    <row r="895">
      <c r="A895" t="s">
        <v>30</v>
      </c>
      <c r="B895" t="s">
        <v>443</v>
      </c>
      <c r="C895" t="s">
        <v>444</v>
      </c>
      <c r="D895" t="s">
        <v>746</v>
      </c>
      <c r="E895" s="13" t="n">
        <v>0.25</v>
      </c>
      <c r="F895" s="16" t="n">
        <v>92</v>
      </c>
      <c r="G895" s="14" t="n">
        <v>-0.249391012564956</v>
      </c>
      <c r="H895" s="15" t="n">
        <v>-0.0174391184360313</v>
      </c>
    </row>
    <row r="896">
      <c r="A896" t="s">
        <v>30</v>
      </c>
      <c r="B896" t="s">
        <v>443</v>
      </c>
      <c r="C896" t="s">
        <v>445</v>
      </c>
      <c r="D896" t="s">
        <v>746</v>
      </c>
      <c r="E896" s="13" t="n">
        <v>0.25</v>
      </c>
      <c r="F896" s="16" t="n">
        <v>123</v>
      </c>
      <c r="G896" s="14" t="n">
        <v>-0.10168416076895</v>
      </c>
      <c r="H896" s="15" t="n">
        <v>-0.22838636441065</v>
      </c>
    </row>
    <row r="897">
      <c r="A897" t="s">
        <v>30</v>
      </c>
      <c r="B897" t="s">
        <v>446</v>
      </c>
      <c r="C897" t="s">
        <v>447</v>
      </c>
      <c r="D897" t="s">
        <v>746</v>
      </c>
      <c r="E897" s="13" t="n">
        <v>0.25</v>
      </c>
      <c r="F897" s="16" t="n">
        <v>156</v>
      </c>
      <c r="G897" s="14" t="n">
        <v>0.167282651589715</v>
      </c>
      <c r="H897" s="15" t="n">
        <v>-0.185786206369349</v>
      </c>
    </row>
    <row r="898">
      <c r="A898" t="s">
        <v>30</v>
      </c>
      <c r="B898" t="s">
        <v>448</v>
      </c>
      <c r="C898" t="s">
        <v>449</v>
      </c>
      <c r="D898" t="s">
        <v>746</v>
      </c>
      <c r="E898" s="13" t="n">
        <v>0.25</v>
      </c>
      <c r="F898" s="16" t="n">
        <v>66</v>
      </c>
      <c r="G898" s="14" t="n">
        <v>-0.167282651589714</v>
      </c>
      <c r="H898" s="15" t="n">
        <v>0.185786206369349</v>
      </c>
    </row>
    <row r="899">
      <c r="A899" t="s">
        <v>30</v>
      </c>
      <c r="B899" t="s">
        <v>448</v>
      </c>
      <c r="C899" t="s">
        <v>450</v>
      </c>
      <c r="D899" t="s">
        <v>746</v>
      </c>
      <c r="E899" s="13" t="n">
        <v>0.25</v>
      </c>
      <c r="F899" s="16" t="n">
        <v>37</v>
      </c>
      <c r="G899" s="14" t="n">
        <v>0.0689093389542498</v>
      </c>
      <c r="H899" s="15" t="n">
        <v>0.24031542398458</v>
      </c>
    </row>
    <row r="900">
      <c r="A900" t="s">
        <v>31</v>
      </c>
      <c r="B900" t="s">
        <v>451</v>
      </c>
      <c r="C900" t="s">
        <v>452</v>
      </c>
      <c r="D900" t="s">
        <v>746</v>
      </c>
      <c r="E900" s="13" t="n">
        <v>0.25</v>
      </c>
      <c r="F900" s="16" t="n">
        <v>136</v>
      </c>
      <c r="G900" s="14" t="n">
        <v>0.0087248741756251</v>
      </c>
      <c r="H900" s="15" t="n">
        <v>-0.249847706754774</v>
      </c>
    </row>
    <row r="901">
      <c r="A901" t="s">
        <v>31</v>
      </c>
      <c r="B901" t="s">
        <v>451</v>
      </c>
      <c r="C901" t="s">
        <v>453</v>
      </c>
      <c r="D901" t="s">
        <v>746</v>
      </c>
      <c r="E901" s="13" t="n">
        <v>0.25</v>
      </c>
      <c r="F901" s="16" t="n">
        <v>48</v>
      </c>
      <c r="G901" s="14" t="n">
        <v>-0.0261321158169133</v>
      </c>
      <c r="H901" s="15" t="n">
        <v>0.248630473842068</v>
      </c>
    </row>
    <row r="902">
      <c r="A902" t="s">
        <v>31</v>
      </c>
      <c r="B902" t="s">
        <v>454</v>
      </c>
      <c r="C902" t="s">
        <v>455</v>
      </c>
      <c r="D902" t="s">
        <v>746</v>
      </c>
      <c r="E902" s="13" t="n">
        <v>0.5</v>
      </c>
      <c r="F902" s="16" t="n">
        <v>1</v>
      </c>
      <c r="G902" s="14" t="n">
        <v>0.499695413509548</v>
      </c>
      <c r="H902" s="15" t="n">
        <v>0.0174497483512505</v>
      </c>
    </row>
    <row r="903">
      <c r="A903" t="s">
        <v>31</v>
      </c>
      <c r="B903" t="s">
        <v>454</v>
      </c>
      <c r="C903" t="s">
        <v>456</v>
      </c>
      <c r="D903" t="s">
        <v>746</v>
      </c>
      <c r="E903" s="13" t="n">
        <v>0.25</v>
      </c>
      <c r="F903" s="16" t="n">
        <v>166</v>
      </c>
      <c r="G903" s="14" t="n">
        <v>0.220736898214732</v>
      </c>
      <c r="H903" s="15" t="n">
        <v>-0.117367890696473</v>
      </c>
    </row>
    <row r="904">
      <c r="A904" t="s">
        <v>30</v>
      </c>
      <c r="B904" t="s">
        <v>457</v>
      </c>
      <c r="C904" t="s">
        <v>458</v>
      </c>
      <c r="D904" t="s">
        <v>746</v>
      </c>
      <c r="E904" s="13" t="n">
        <v>0</v>
      </c>
      <c r="F904" s="16" t="n">
        <v>41</v>
      </c>
      <c r="G904" s="14" t="n">
        <v>0</v>
      </c>
      <c r="H904" s="15" t="n">
        <v>0</v>
      </c>
    </row>
    <row r="905">
      <c r="A905" t="s">
        <v>31</v>
      </c>
      <c r="B905" t="s">
        <v>459</v>
      </c>
      <c r="C905" t="s">
        <v>460</v>
      </c>
      <c r="D905" t="s">
        <v>746</v>
      </c>
      <c r="E905" s="13" t="n">
        <v>0.5</v>
      </c>
      <c r="F905" s="16" t="n">
        <v>93</v>
      </c>
      <c r="G905" s="14" t="n">
        <v>-0.497260947684137</v>
      </c>
      <c r="H905" s="15" t="n">
        <v>-0.0522642316338269</v>
      </c>
    </row>
    <row r="906">
      <c r="A906" t="s">
        <v>31</v>
      </c>
      <c r="B906" t="s">
        <v>459</v>
      </c>
      <c r="C906" t="s">
        <v>461</v>
      </c>
      <c r="D906" t="s">
        <v>746</v>
      </c>
      <c r="E906" s="13" t="n">
        <v>0.25</v>
      </c>
      <c r="F906" s="16" t="n">
        <v>97</v>
      </c>
      <c r="G906" s="14" t="n">
        <v>-0.242573931568999</v>
      </c>
      <c r="H906" s="15" t="n">
        <v>-0.0604804738999169</v>
      </c>
    </row>
    <row r="907">
      <c r="A907" t="s">
        <v>30</v>
      </c>
      <c r="B907" t="s">
        <v>462</v>
      </c>
      <c r="C907" t="s">
        <v>463</v>
      </c>
      <c r="D907" t="s">
        <v>746</v>
      </c>
      <c r="E907" s="13" t="n">
        <v>0</v>
      </c>
      <c r="F907" s="16" t="n">
        <v>174</v>
      </c>
      <c r="G907" s="14" t="n">
        <v>0</v>
      </c>
      <c r="H907" s="15" t="n">
        <v>0</v>
      </c>
    </row>
    <row r="908">
      <c r="A908" t="s">
        <v>30</v>
      </c>
      <c r="B908" t="s">
        <v>462</v>
      </c>
      <c r="C908" t="s">
        <v>464</v>
      </c>
      <c r="D908" t="s">
        <v>746</v>
      </c>
      <c r="E908" s="13" t="n">
        <v>0</v>
      </c>
      <c r="F908" s="16" t="n">
        <v>132</v>
      </c>
      <c r="G908" s="14" t="n">
        <v>0</v>
      </c>
      <c r="H908" s="15" t="n">
        <v>0</v>
      </c>
    </row>
    <row r="909">
      <c r="A909" t="s">
        <v>30</v>
      </c>
      <c r="B909" t="s">
        <v>465</v>
      </c>
      <c r="C909" t="s">
        <v>466</v>
      </c>
      <c r="D909" t="s">
        <v>746</v>
      </c>
      <c r="E909" s="13" t="n">
        <v>0.5</v>
      </c>
      <c r="F909" s="16" t="n">
        <v>37</v>
      </c>
      <c r="G909" s="14" t="n">
        <v>0.1378186779085</v>
      </c>
      <c r="H909" s="15" t="n">
        <v>0.480630847969159</v>
      </c>
    </row>
    <row r="910">
      <c r="A910" t="s">
        <v>30</v>
      </c>
      <c r="B910" t="s">
        <v>465</v>
      </c>
      <c r="C910" t="s">
        <v>467</v>
      </c>
      <c r="D910" t="s">
        <v>746</v>
      </c>
      <c r="E910" s="13" t="n">
        <v>0.25</v>
      </c>
      <c r="F910" s="16" t="n">
        <v>164</v>
      </c>
      <c r="G910" s="14" t="n">
        <v>0.212012024039106</v>
      </c>
      <c r="H910" s="15" t="n">
        <v>-0.132479816058301</v>
      </c>
    </row>
    <row r="911">
      <c r="A911" t="s">
        <v>31</v>
      </c>
      <c r="B911" t="s">
        <v>468</v>
      </c>
      <c r="C911" t="s">
        <v>469</v>
      </c>
      <c r="D911" t="s">
        <v>746</v>
      </c>
      <c r="E911" s="13" t="n">
        <v>0.25</v>
      </c>
      <c r="F911" s="16" t="n">
        <v>87</v>
      </c>
      <c r="G911" s="14" t="n">
        <v>-0.248630473842068</v>
      </c>
      <c r="H911" s="15" t="n">
        <v>0.0261321158169134</v>
      </c>
    </row>
    <row r="912">
      <c r="A912" t="s">
        <v>31</v>
      </c>
      <c r="B912" t="s">
        <v>468</v>
      </c>
      <c r="C912" t="s">
        <v>470</v>
      </c>
      <c r="D912" t="s">
        <v>746</v>
      </c>
      <c r="E912" s="13" t="n">
        <v>0.25</v>
      </c>
      <c r="F912" s="16" t="n">
        <v>91</v>
      </c>
      <c r="G912" s="14" t="n">
        <v>-0.249847706754774</v>
      </c>
      <c r="H912" s="15" t="n">
        <v>-0.00872487417562529</v>
      </c>
    </row>
    <row r="913">
      <c r="A913" t="s">
        <v>30</v>
      </c>
      <c r="B913" t="s">
        <v>471</v>
      </c>
      <c r="C913" t="s">
        <v>472</v>
      </c>
      <c r="D913" t="s">
        <v>746</v>
      </c>
      <c r="E913" s="13" t="n">
        <v>0.25</v>
      </c>
      <c r="F913" s="16" t="n">
        <v>84</v>
      </c>
      <c r="G913" s="14" t="n">
        <v>-0.244536900183451</v>
      </c>
      <c r="H913" s="15" t="n">
        <v>0.0519779227044398</v>
      </c>
    </row>
    <row r="914">
      <c r="A914" t="s">
        <v>30</v>
      </c>
      <c r="B914" t="s">
        <v>473</v>
      </c>
      <c r="C914" t="s">
        <v>474</v>
      </c>
      <c r="D914" t="s">
        <v>746</v>
      </c>
      <c r="E914" s="13" t="n">
        <v>0.25</v>
      </c>
      <c r="F914" s="16" t="n">
        <v>157</v>
      </c>
      <c r="G914" s="14" t="n">
        <v>0.173664592614749</v>
      </c>
      <c r="H914" s="15" t="n">
        <v>-0.179834950084663</v>
      </c>
    </row>
    <row r="915">
      <c r="A915" t="s">
        <v>31</v>
      </c>
      <c r="B915" t="s">
        <v>475</v>
      </c>
      <c r="C915" t="s">
        <v>476</v>
      </c>
      <c r="D915" t="s">
        <v>746</v>
      </c>
      <c r="E915" s="13" t="n">
        <v>0.25</v>
      </c>
      <c r="F915" s="16" t="n">
        <v>121</v>
      </c>
      <c r="G915" s="14" t="n">
        <v>-0.117367890696473</v>
      </c>
      <c r="H915" s="15" t="n">
        <v>-0.220736898214732</v>
      </c>
    </row>
    <row r="916">
      <c r="A916" t="s">
        <v>31</v>
      </c>
      <c r="B916" t="s">
        <v>477</v>
      </c>
      <c r="C916" t="s">
        <v>478</v>
      </c>
      <c r="D916" t="s">
        <v>746</v>
      </c>
      <c r="E916" s="13" t="n">
        <v>0.5</v>
      </c>
      <c r="F916" s="16" t="n">
        <v>70</v>
      </c>
      <c r="G916" s="14" t="n">
        <v>-0.383022221559489</v>
      </c>
      <c r="H916" s="15" t="n">
        <v>0.32139380484327</v>
      </c>
    </row>
    <row r="917">
      <c r="A917" t="s">
        <v>31</v>
      </c>
      <c r="B917" t="s">
        <v>477</v>
      </c>
      <c r="C917" t="s">
        <v>479</v>
      </c>
      <c r="D917" t="s">
        <v>746</v>
      </c>
      <c r="E917" s="13" t="n">
        <v>0.25</v>
      </c>
      <c r="F917" s="16" t="n">
        <v>136</v>
      </c>
      <c r="G917" s="14" t="n">
        <v>0.0087248741756251</v>
      </c>
      <c r="H917" s="15" t="n">
        <v>-0.249847706754774</v>
      </c>
    </row>
    <row r="918">
      <c r="A918" t="s">
        <v>31</v>
      </c>
      <c r="B918" t="s">
        <v>480</v>
      </c>
      <c r="C918" t="s">
        <v>481</v>
      </c>
      <c r="D918" t="s">
        <v>746</v>
      </c>
      <c r="E918" s="13" t="n">
        <v>0.25</v>
      </c>
      <c r="F918" s="16" t="n">
        <v>176</v>
      </c>
      <c r="G918" s="14" t="n">
        <v>0.247567017185393</v>
      </c>
      <c r="H918" s="15" t="n">
        <v>-0.0347932752400164</v>
      </c>
    </row>
    <row r="919">
      <c r="A919" t="s">
        <v>31</v>
      </c>
      <c r="B919" t="s">
        <v>480</v>
      </c>
      <c r="C919" t="s">
        <v>482</v>
      </c>
      <c r="D919" t="s">
        <v>746</v>
      </c>
      <c r="E919" s="13" t="n">
        <v>0.25</v>
      </c>
      <c r="F919" s="16" t="n">
        <v>150</v>
      </c>
      <c r="G919" s="14" t="n">
        <v>0.125</v>
      </c>
      <c r="H919" s="15" t="n">
        <v>-0.21650635094611</v>
      </c>
    </row>
    <row r="920">
      <c r="A920" t="s">
        <v>30</v>
      </c>
      <c r="B920" t="s">
        <v>483</v>
      </c>
      <c r="C920" t="s">
        <v>484</v>
      </c>
      <c r="D920" t="s">
        <v>746</v>
      </c>
      <c r="E920" s="13" t="n">
        <v>0.25</v>
      </c>
      <c r="F920" s="16" t="n">
        <v>142</v>
      </c>
      <c r="G920" s="14" t="n">
        <v>0.0604804738999169</v>
      </c>
      <c r="H920" s="15" t="n">
        <v>-0.242573931568999</v>
      </c>
    </row>
    <row r="921">
      <c r="A921" t="s">
        <v>30</v>
      </c>
      <c r="B921" t="s">
        <v>485</v>
      </c>
      <c r="C921" t="s">
        <v>486</v>
      </c>
      <c r="D921" t="s">
        <v>746</v>
      </c>
      <c r="E921" s="13" t="n">
        <v>0</v>
      </c>
      <c r="F921" s="16" t="n">
        <v>148</v>
      </c>
      <c r="G921" s="14" t="n">
        <v>0</v>
      </c>
      <c r="H921" s="15" t="n">
        <v>0</v>
      </c>
    </row>
    <row r="922">
      <c r="A922" t="s">
        <v>30</v>
      </c>
      <c r="B922" t="s">
        <v>485</v>
      </c>
      <c r="C922" t="s">
        <v>487</v>
      </c>
      <c r="D922" t="s">
        <v>746</v>
      </c>
      <c r="E922" s="13" t="n">
        <v>0.25</v>
      </c>
      <c r="F922" s="16" t="n">
        <v>165</v>
      </c>
      <c r="G922" s="14" t="n">
        <v>0.21650635094611</v>
      </c>
      <c r="H922" s="15" t="n">
        <v>-0.125</v>
      </c>
    </row>
    <row r="923">
      <c r="A923" t="s">
        <v>30</v>
      </c>
      <c r="B923" t="s">
        <v>488</v>
      </c>
      <c r="C923" t="s">
        <v>489</v>
      </c>
      <c r="D923" t="s">
        <v>746</v>
      </c>
      <c r="E923" s="13" t="n">
        <v>0.25</v>
      </c>
      <c r="F923" s="16" t="n">
        <v>70</v>
      </c>
      <c r="G923" s="14" t="n">
        <v>-0.191511110779744</v>
      </c>
      <c r="H923" s="15" t="n">
        <v>0.160696902421635</v>
      </c>
    </row>
    <row r="924">
      <c r="A924" t="s">
        <v>30</v>
      </c>
      <c r="B924" t="s">
        <v>488</v>
      </c>
      <c r="C924" t="s">
        <v>490</v>
      </c>
      <c r="D924" t="s">
        <v>746</v>
      </c>
      <c r="E924" s="13" t="n">
        <v>0.25</v>
      </c>
      <c r="F924" s="16" t="n">
        <v>108</v>
      </c>
      <c r="G924" s="14" t="n">
        <v>-0.202254248593737</v>
      </c>
      <c r="H924" s="15" t="n">
        <v>-0.146946313073118</v>
      </c>
    </row>
    <row r="925">
      <c r="A925" t="s">
        <v>30</v>
      </c>
      <c r="B925" t="s">
        <v>491</v>
      </c>
      <c r="C925" t="s">
        <v>492</v>
      </c>
      <c r="D925" t="s">
        <v>746</v>
      </c>
      <c r="E925" s="13" t="n">
        <v>0.5</v>
      </c>
      <c r="F925" s="16" t="n">
        <v>106</v>
      </c>
      <c r="G925" s="14" t="n">
        <v>-0.424024048078213</v>
      </c>
      <c r="H925" s="15" t="n">
        <v>-0.264959632116602</v>
      </c>
    </row>
    <row r="926">
      <c r="A926" t="s">
        <v>30</v>
      </c>
      <c r="B926" t="s">
        <v>491</v>
      </c>
      <c r="C926" t="s">
        <v>493</v>
      </c>
      <c r="D926" t="s">
        <v>746</v>
      </c>
      <c r="E926" s="13" t="n">
        <v>0</v>
      </c>
      <c r="F926" s="16" t="n">
        <v>21</v>
      </c>
      <c r="G926" s="14" t="n">
        <v>0</v>
      </c>
      <c r="H926" s="15" t="n">
        <v>0</v>
      </c>
    </row>
    <row r="927">
      <c r="A927" t="s">
        <v>30</v>
      </c>
      <c r="B927" t="s">
        <v>494</v>
      </c>
      <c r="C927" t="s">
        <v>495</v>
      </c>
      <c r="D927" t="s">
        <v>746</v>
      </c>
      <c r="E927" s="13" t="n">
        <v>0.25</v>
      </c>
      <c r="F927" s="16" t="n">
        <v>156</v>
      </c>
      <c r="G927" s="14" t="n">
        <v>0.167282651589715</v>
      </c>
      <c r="H927" s="15" t="n">
        <v>-0.185786206369349</v>
      </c>
    </row>
    <row r="928">
      <c r="A928" t="s">
        <v>30</v>
      </c>
      <c r="B928" t="s">
        <v>494</v>
      </c>
      <c r="C928" t="s">
        <v>496</v>
      </c>
      <c r="D928" t="s">
        <v>746</v>
      </c>
      <c r="E928" s="13" t="n">
        <v>0</v>
      </c>
      <c r="F928" s="16" t="n">
        <v>88</v>
      </c>
      <c r="G928" s="14" t="n">
        <v>0</v>
      </c>
      <c r="H928" s="15" t="n">
        <v>0</v>
      </c>
    </row>
    <row r="929">
      <c r="A929" t="s">
        <v>30</v>
      </c>
      <c r="B929" t="s">
        <v>497</v>
      </c>
      <c r="C929" t="s">
        <v>498</v>
      </c>
      <c r="D929" t="s">
        <v>746</v>
      </c>
      <c r="E929" s="13" t="n">
        <v>0.5</v>
      </c>
      <c r="F929" s="16" t="n">
        <v>4</v>
      </c>
      <c r="G929" s="14" t="n">
        <v>0.495134034370785</v>
      </c>
      <c r="H929" s="15" t="n">
        <v>0.0695865504800327</v>
      </c>
    </row>
    <row r="930">
      <c r="A930" t="s">
        <v>30</v>
      </c>
      <c r="B930" t="s">
        <v>497</v>
      </c>
      <c r="C930" t="s">
        <v>499</v>
      </c>
      <c r="D930" t="s">
        <v>746</v>
      </c>
      <c r="E930" s="13" t="n">
        <v>0.25</v>
      </c>
      <c r="F930" s="16" t="n">
        <v>175</v>
      </c>
      <c r="G930" s="14" t="n">
        <v>0.246201938253052</v>
      </c>
      <c r="H930" s="15" t="n">
        <v>-0.0434120444167326</v>
      </c>
    </row>
    <row r="931">
      <c r="A931" t="s">
        <v>31</v>
      </c>
      <c r="B931" t="s">
        <v>500</v>
      </c>
      <c r="C931" t="s">
        <v>501</v>
      </c>
      <c r="D931" t="s">
        <v>746</v>
      </c>
      <c r="E931" s="13" t="n">
        <v>0.25</v>
      </c>
      <c r="F931" s="16" t="n">
        <v>163</v>
      </c>
      <c r="G931" s="14" t="n">
        <v>0.20725939313876</v>
      </c>
      <c r="H931" s="15" t="n">
        <v>-0.139798225867687</v>
      </c>
    </row>
    <row r="932">
      <c r="A932" t="s">
        <v>31</v>
      </c>
      <c r="B932" t="s">
        <v>500</v>
      </c>
      <c r="C932" t="s">
        <v>502</v>
      </c>
      <c r="D932" t="s">
        <v>746</v>
      </c>
      <c r="E932" s="13" t="n">
        <v>0</v>
      </c>
      <c r="F932" s="16" t="n">
        <v>37</v>
      </c>
      <c r="G932" s="14" t="n">
        <v>0</v>
      </c>
      <c r="H932" s="15" t="n">
        <v>0</v>
      </c>
    </row>
    <row r="933">
      <c r="A933" t="s">
        <v>30</v>
      </c>
      <c r="B933" t="s">
        <v>503</v>
      </c>
      <c r="C933" t="s">
        <v>504</v>
      </c>
      <c r="D933" t="s">
        <v>746</v>
      </c>
      <c r="E933" s="13" t="n">
        <v>0.25</v>
      </c>
      <c r="F933" s="16" t="n">
        <v>120</v>
      </c>
      <c r="G933" s="14" t="n">
        <v>-0.125</v>
      </c>
      <c r="H933" s="15" t="n">
        <v>-0.21650635094611</v>
      </c>
    </row>
    <row r="934">
      <c r="A934" t="s">
        <v>30</v>
      </c>
      <c r="B934" t="s">
        <v>503</v>
      </c>
      <c r="C934" t="s">
        <v>505</v>
      </c>
      <c r="D934" t="s">
        <v>746</v>
      </c>
      <c r="E934" s="13" t="n">
        <v>0.25</v>
      </c>
      <c r="F934" s="16" t="n">
        <v>87</v>
      </c>
      <c r="G934" s="14" t="n">
        <v>-0.248630473842068</v>
      </c>
      <c r="H934" s="15" t="n">
        <v>0.0261321158169134</v>
      </c>
    </row>
    <row r="935">
      <c r="A935" t="s">
        <v>30</v>
      </c>
      <c r="B935" t="s">
        <v>506</v>
      </c>
      <c r="C935" t="s">
        <v>507</v>
      </c>
      <c r="D935" t="s">
        <v>746</v>
      </c>
      <c r="E935" s="13" t="n">
        <v>0.25</v>
      </c>
      <c r="F935" s="16" t="n">
        <v>178</v>
      </c>
      <c r="G935" s="14" t="n">
        <v>0.249391012564956</v>
      </c>
      <c r="H935" s="15" t="n">
        <v>-0.0174391184360313</v>
      </c>
    </row>
    <row r="936">
      <c r="A936" t="s">
        <v>30</v>
      </c>
      <c r="B936" t="s">
        <v>506</v>
      </c>
      <c r="C936" t="s">
        <v>508</v>
      </c>
      <c r="D936" t="s">
        <v>746</v>
      </c>
      <c r="E936" s="13" t="n">
        <v>0.25</v>
      </c>
      <c r="F936" s="16" t="n">
        <v>172</v>
      </c>
      <c r="G936" s="14" t="n">
        <v>0.24031542398458</v>
      </c>
      <c r="H936" s="15" t="n">
        <v>-0.0689093389542497</v>
      </c>
    </row>
    <row r="937">
      <c r="A937" t="s">
        <v>31</v>
      </c>
      <c r="B937" t="s">
        <v>509</v>
      </c>
      <c r="C937" t="s">
        <v>510</v>
      </c>
      <c r="D937" t="s">
        <v>746</v>
      </c>
      <c r="E937" s="13" t="n">
        <v>0.25</v>
      </c>
      <c r="F937" s="16" t="n">
        <v>103</v>
      </c>
      <c r="G937" s="14" t="n">
        <v>-0.224698511574792</v>
      </c>
      <c r="H937" s="15" t="n">
        <v>-0.109592786697269</v>
      </c>
    </row>
    <row r="938">
      <c r="A938" t="s">
        <v>31</v>
      </c>
      <c r="B938" t="s">
        <v>509</v>
      </c>
      <c r="C938" t="s">
        <v>511</v>
      </c>
      <c r="D938" t="s">
        <v>746</v>
      </c>
      <c r="E938" s="13" t="n">
        <v>0.25</v>
      </c>
      <c r="F938" s="16" t="n">
        <v>28</v>
      </c>
      <c r="G938" s="14" t="n">
        <v>0.139798225867687</v>
      </c>
      <c r="H938" s="15" t="n">
        <v>0.20725939313876</v>
      </c>
    </row>
    <row r="939">
      <c r="A939" t="s">
        <v>30</v>
      </c>
      <c r="B939" t="s">
        <v>512</v>
      </c>
      <c r="C939" t="s">
        <v>513</v>
      </c>
      <c r="D939" t="s">
        <v>746</v>
      </c>
      <c r="E939" s="13" t="n">
        <v>0.5</v>
      </c>
      <c r="F939" s="16" t="n">
        <v>156</v>
      </c>
      <c r="G939" s="14" t="n">
        <v>0.334565303179429</v>
      </c>
      <c r="H939" s="15" t="n">
        <v>-0.371572412738697</v>
      </c>
    </row>
    <row r="940">
      <c r="A940" t="s">
        <v>30</v>
      </c>
      <c r="B940" t="s">
        <v>512</v>
      </c>
      <c r="C940" t="s">
        <v>514</v>
      </c>
      <c r="D940" t="s">
        <v>746</v>
      </c>
      <c r="E940" s="13" t="n">
        <v>0.5</v>
      </c>
      <c r="F940" s="16" t="n">
        <v>24</v>
      </c>
      <c r="G940" s="14" t="n">
        <v>0.334565303179429</v>
      </c>
      <c r="H940" s="15" t="n">
        <v>0.371572412738697</v>
      </c>
    </row>
    <row r="941">
      <c r="A941" t="s">
        <v>30</v>
      </c>
      <c r="B941" t="s">
        <v>515</v>
      </c>
      <c r="C941" t="s">
        <v>516</v>
      </c>
      <c r="D941" t="s">
        <v>746</v>
      </c>
      <c r="E941" s="13" t="n">
        <v>0</v>
      </c>
      <c r="F941" s="16" t="n">
        <v>141</v>
      </c>
      <c r="G941" s="14" t="n">
        <v>0</v>
      </c>
      <c r="H941" s="15" t="n">
        <v>0</v>
      </c>
    </row>
    <row r="942">
      <c r="A942" t="s">
        <v>30</v>
      </c>
      <c r="B942" t="s">
        <v>515</v>
      </c>
      <c r="C942" t="s">
        <v>517</v>
      </c>
      <c r="D942" t="s">
        <v>746</v>
      </c>
      <c r="E942" s="13" t="n">
        <v>0</v>
      </c>
      <c r="F942" s="16" t="n">
        <v>9</v>
      </c>
      <c r="G942" s="14" t="n">
        <v>0</v>
      </c>
      <c r="H942" s="15" t="n">
        <v>0</v>
      </c>
    </row>
    <row r="943">
      <c r="A943" t="s">
        <v>30</v>
      </c>
      <c r="B943" t="s">
        <v>518</v>
      </c>
      <c r="C943" t="s">
        <v>519</v>
      </c>
      <c r="D943" t="s">
        <v>746</v>
      </c>
      <c r="E943" s="13" t="n">
        <v>0.25</v>
      </c>
      <c r="F943" s="16" t="n">
        <v>37</v>
      </c>
      <c r="G943" s="14" t="n">
        <v>0.0689093389542498</v>
      </c>
      <c r="H943" s="15" t="n">
        <v>0.24031542398458</v>
      </c>
    </row>
    <row r="944">
      <c r="A944" t="s">
        <v>30</v>
      </c>
      <c r="B944" t="s">
        <v>518</v>
      </c>
      <c r="C944" t="s">
        <v>520</v>
      </c>
      <c r="D944" t="s">
        <v>746</v>
      </c>
      <c r="E944" s="13" t="n">
        <v>0.25</v>
      </c>
      <c r="F944" s="16" t="n">
        <v>2</v>
      </c>
      <c r="G944" s="14" t="n">
        <v>0.249391012564956</v>
      </c>
      <c r="H944" s="15" t="n">
        <v>0.0174391184360313</v>
      </c>
    </row>
    <row r="945">
      <c r="A945" t="s">
        <v>31</v>
      </c>
      <c r="B945" t="s">
        <v>521</v>
      </c>
      <c r="C945" t="s">
        <v>522</v>
      </c>
      <c r="D945" t="s">
        <v>746</v>
      </c>
      <c r="E945" s="13" t="n">
        <v>0.25</v>
      </c>
      <c r="F945" s="16" t="n">
        <v>45</v>
      </c>
      <c r="G945" s="14" t="n">
        <v>0</v>
      </c>
      <c r="H945" s="15" t="n">
        <v>0.25</v>
      </c>
    </row>
    <row r="946">
      <c r="A946" t="s">
        <v>31</v>
      </c>
      <c r="B946" t="s">
        <v>521</v>
      </c>
      <c r="C946" t="s">
        <v>523</v>
      </c>
      <c r="D946" t="s">
        <v>746</v>
      </c>
      <c r="E946" s="13" t="n">
        <v>0.25</v>
      </c>
      <c r="F946" s="16" t="n">
        <v>121</v>
      </c>
      <c r="G946" s="14" t="n">
        <v>-0.117367890696473</v>
      </c>
      <c r="H946" s="15" t="n">
        <v>-0.220736898214732</v>
      </c>
    </row>
    <row r="947">
      <c r="A947" t="s">
        <v>31</v>
      </c>
      <c r="B947" t="s">
        <v>524</v>
      </c>
      <c r="C947" t="s">
        <v>525</v>
      </c>
      <c r="D947" t="s">
        <v>746</v>
      </c>
      <c r="E947" s="13" t="n">
        <v>0</v>
      </c>
      <c r="F947" s="16" t="n">
        <v>54</v>
      </c>
      <c r="G947" s="14" t="n">
        <v>0</v>
      </c>
      <c r="H947" s="15" t="n">
        <v>0</v>
      </c>
    </row>
    <row r="948">
      <c r="A948" t="s">
        <v>30</v>
      </c>
      <c r="B948" t="s">
        <v>526</v>
      </c>
      <c r="C948" t="s">
        <v>527</v>
      </c>
      <c r="D948" t="s">
        <v>746</v>
      </c>
      <c r="E948" s="13" t="n">
        <v>0.25</v>
      </c>
      <c r="F948" s="16" t="n">
        <v>144</v>
      </c>
      <c r="G948" s="14" t="n">
        <v>0.0772542485937368</v>
      </c>
      <c r="H948" s="15" t="n">
        <v>-0.237764129073788</v>
      </c>
    </row>
    <row r="949">
      <c r="A949" t="s">
        <v>30</v>
      </c>
      <c r="B949" t="s">
        <v>526</v>
      </c>
      <c r="C949" t="s">
        <v>528</v>
      </c>
      <c r="D949" t="s">
        <v>746</v>
      </c>
      <c r="E949" s="13" t="n">
        <v>0.25</v>
      </c>
      <c r="F949" s="16" t="n">
        <v>19</v>
      </c>
      <c r="G949" s="14" t="n">
        <v>0.19700268840168</v>
      </c>
      <c r="H949" s="15" t="n">
        <v>0.153915368831415</v>
      </c>
    </row>
    <row r="950">
      <c r="A950" t="s">
        <v>31</v>
      </c>
      <c r="B950" t="s">
        <v>529</v>
      </c>
      <c r="C950" t="s">
        <v>530</v>
      </c>
      <c r="D950" t="s">
        <v>746</v>
      </c>
      <c r="E950" s="13" t="n">
        <v>0.25</v>
      </c>
      <c r="F950" s="16" t="n">
        <v>114</v>
      </c>
      <c r="G950" s="14" t="n">
        <v>-0.167282651589715</v>
      </c>
      <c r="H950" s="15" t="n">
        <v>-0.185786206369349</v>
      </c>
    </row>
    <row r="951">
      <c r="A951" t="s">
        <v>31</v>
      </c>
      <c r="B951" t="s">
        <v>529</v>
      </c>
      <c r="C951" t="s">
        <v>531</v>
      </c>
      <c r="D951" t="s">
        <v>746</v>
      </c>
      <c r="E951" s="13" t="n">
        <v>0</v>
      </c>
      <c r="F951" s="16" t="n">
        <v>0</v>
      </c>
      <c r="G951" s="14" t="n">
        <v>0</v>
      </c>
      <c r="H951" s="15" t="n">
        <v>0</v>
      </c>
    </row>
    <row r="952">
      <c r="A952" t="s">
        <v>31</v>
      </c>
      <c r="B952" t="s">
        <v>532</v>
      </c>
      <c r="C952" t="s">
        <v>533</v>
      </c>
      <c r="D952" t="s">
        <v>746</v>
      </c>
      <c r="E952" s="13" t="n">
        <v>0</v>
      </c>
      <c r="F952" s="16" t="n">
        <v>98</v>
      </c>
      <c r="G952" s="14" t="n">
        <v>0</v>
      </c>
      <c r="H952" s="15" t="n">
        <v>0</v>
      </c>
    </row>
    <row r="953">
      <c r="A953" t="s">
        <v>30</v>
      </c>
      <c r="B953" t="s">
        <v>534</v>
      </c>
      <c r="C953" t="s">
        <v>535</v>
      </c>
      <c r="D953" t="s">
        <v>746</v>
      </c>
      <c r="E953" s="13" t="n">
        <v>0.25</v>
      </c>
      <c r="F953" s="16" t="n">
        <v>16</v>
      </c>
      <c r="G953" s="14" t="n">
        <v>0.212012024039106</v>
      </c>
      <c r="H953" s="15" t="n">
        <v>0.132479816058301</v>
      </c>
    </row>
    <row r="954">
      <c r="A954" t="s">
        <v>31</v>
      </c>
      <c r="B954" t="s">
        <v>536</v>
      </c>
      <c r="C954" t="s">
        <v>537</v>
      </c>
      <c r="D954" t="s">
        <v>746</v>
      </c>
      <c r="E954" s="13" t="n">
        <v>0.25</v>
      </c>
      <c r="F954" s="16" t="n">
        <v>7</v>
      </c>
      <c r="G954" s="14" t="n">
        <v>0.242573931568999</v>
      </c>
      <c r="H954" s="15" t="n">
        <v>0.0604804738999169</v>
      </c>
    </row>
    <row r="955">
      <c r="A955" t="s">
        <v>30</v>
      </c>
      <c r="B955" t="s">
        <v>538</v>
      </c>
      <c r="C955" t="s">
        <v>539</v>
      </c>
      <c r="D955" t="s">
        <v>746</v>
      </c>
      <c r="E955" s="13" t="n">
        <v>0.5</v>
      </c>
      <c r="F955" s="16" t="n">
        <v>130</v>
      </c>
      <c r="G955" s="14" t="n">
        <v>-0.0868240888334652</v>
      </c>
      <c r="H955" s="15" t="n">
        <v>-0.492403876506104</v>
      </c>
    </row>
    <row r="956">
      <c r="A956" t="s">
        <v>31</v>
      </c>
      <c r="B956" t="s">
        <v>540</v>
      </c>
      <c r="C956" t="s">
        <v>541</v>
      </c>
      <c r="D956" t="s">
        <v>746</v>
      </c>
      <c r="E956" s="13" t="n">
        <v>0</v>
      </c>
      <c r="F956" s="16" t="n">
        <v>39</v>
      </c>
      <c r="G956" s="14" t="n">
        <v>0</v>
      </c>
      <c r="H956" s="15" t="n">
        <v>0</v>
      </c>
    </row>
    <row r="957">
      <c r="A957" t="s">
        <v>31</v>
      </c>
      <c r="B957" t="s">
        <v>542</v>
      </c>
      <c r="C957" t="s">
        <v>543</v>
      </c>
      <c r="D957" t="s">
        <v>746</v>
      </c>
      <c r="E957" s="13" t="n">
        <v>0.25</v>
      </c>
      <c r="F957" s="16" t="n">
        <v>54</v>
      </c>
      <c r="G957" s="14" t="n">
        <v>-0.0772542485937368</v>
      </c>
      <c r="H957" s="15" t="n">
        <v>0.237764129073788</v>
      </c>
    </row>
    <row r="958">
      <c r="A958" t="s">
        <v>31</v>
      </c>
      <c r="B958" t="s">
        <v>542</v>
      </c>
      <c r="C958" t="s">
        <v>544</v>
      </c>
      <c r="D958" t="s">
        <v>746</v>
      </c>
      <c r="E958" s="13" t="n">
        <v>0.25</v>
      </c>
      <c r="F958" s="16" t="n">
        <v>137</v>
      </c>
      <c r="G958" s="14" t="n">
        <v>0.0174391184360313</v>
      </c>
      <c r="H958" s="15" t="n">
        <v>-0.249391012564956</v>
      </c>
    </row>
    <row r="959">
      <c r="A959" t="s">
        <v>31</v>
      </c>
      <c r="B959" t="s">
        <v>545</v>
      </c>
      <c r="C959" t="s">
        <v>546</v>
      </c>
      <c r="D959" t="s">
        <v>746</v>
      </c>
      <c r="E959" s="13" t="n">
        <v>0.25</v>
      </c>
      <c r="F959" s="16" t="n">
        <v>155</v>
      </c>
      <c r="G959" s="14" t="n">
        <v>0.160696902421635</v>
      </c>
      <c r="H959" s="15" t="n">
        <v>-0.191511110779744</v>
      </c>
    </row>
    <row r="960">
      <c r="A960" t="s">
        <v>31</v>
      </c>
      <c r="B960" t="s">
        <v>545</v>
      </c>
      <c r="C960" t="s">
        <v>547</v>
      </c>
      <c r="D960" t="s">
        <v>746</v>
      </c>
      <c r="E960" s="13" t="n">
        <v>0.25</v>
      </c>
      <c r="F960" s="16" t="n">
        <v>30</v>
      </c>
      <c r="G960" s="14" t="n">
        <v>0.125</v>
      </c>
      <c r="H960" s="15" t="n">
        <v>0.21650635094611</v>
      </c>
    </row>
    <row r="961">
      <c r="A961" t="s">
        <v>30</v>
      </c>
      <c r="B961" t="s">
        <v>548</v>
      </c>
      <c r="C961" t="s">
        <v>549</v>
      </c>
      <c r="D961" t="s">
        <v>746</v>
      </c>
      <c r="E961" s="13" t="n">
        <v>0</v>
      </c>
      <c r="F961" s="16" t="n">
        <v>172</v>
      </c>
      <c r="G961" s="14" t="n">
        <v>0</v>
      </c>
      <c r="H961" s="15" t="n">
        <v>0</v>
      </c>
    </row>
    <row r="962">
      <c r="A962" t="s">
        <v>30</v>
      </c>
      <c r="B962" t="s">
        <v>550</v>
      </c>
      <c r="C962" t="s">
        <v>551</v>
      </c>
      <c r="D962" t="s">
        <v>746</v>
      </c>
      <c r="E962" s="13" t="n">
        <v>0</v>
      </c>
      <c r="F962" s="16" t="n">
        <v>76</v>
      </c>
      <c r="G962" s="14" t="n">
        <v>0</v>
      </c>
      <c r="H962" s="15" t="n">
        <v>0</v>
      </c>
    </row>
    <row r="963">
      <c r="A963" t="s">
        <v>30</v>
      </c>
      <c r="B963" t="s">
        <v>550</v>
      </c>
      <c r="C963" t="s">
        <v>552</v>
      </c>
      <c r="D963" t="s">
        <v>746</v>
      </c>
      <c r="E963" s="13" t="n">
        <v>0</v>
      </c>
      <c r="F963" s="16" t="n">
        <v>96</v>
      </c>
      <c r="G963" s="14" t="n">
        <v>0</v>
      </c>
      <c r="H963" s="15" t="n">
        <v>0</v>
      </c>
    </row>
    <row r="964">
      <c r="A964" t="s">
        <v>30</v>
      </c>
      <c r="B964" t="s">
        <v>553</v>
      </c>
      <c r="C964" t="s">
        <v>554</v>
      </c>
      <c r="D964" t="s">
        <v>746</v>
      </c>
      <c r="E964" s="13" t="n">
        <v>0.25</v>
      </c>
      <c r="F964" s="16" t="n">
        <v>92</v>
      </c>
      <c r="G964" s="14" t="n">
        <v>-0.249391012564956</v>
      </c>
      <c r="H964" s="15" t="n">
        <v>-0.0174391184360313</v>
      </c>
    </row>
    <row r="965">
      <c r="A965" t="s">
        <v>30</v>
      </c>
      <c r="B965" t="s">
        <v>553</v>
      </c>
      <c r="C965" t="s">
        <v>555</v>
      </c>
      <c r="D965" t="s">
        <v>746</v>
      </c>
      <c r="E965" s="13" t="n">
        <v>0.25</v>
      </c>
      <c r="F965" s="16" t="n">
        <v>80</v>
      </c>
      <c r="G965" s="14" t="n">
        <v>-0.234923155196477</v>
      </c>
      <c r="H965" s="15" t="n">
        <v>0.0855050358314172</v>
      </c>
    </row>
    <row r="966">
      <c r="A966" t="s">
        <v>31</v>
      </c>
      <c r="B966" t="s">
        <v>556</v>
      </c>
      <c r="C966" t="s">
        <v>557</v>
      </c>
      <c r="D966" t="s">
        <v>746</v>
      </c>
      <c r="E966" s="13" t="n">
        <v>0.25</v>
      </c>
      <c r="F966" s="16" t="n">
        <v>167</v>
      </c>
      <c r="G966" s="14" t="n">
        <v>0.224698511574792</v>
      </c>
      <c r="H966" s="15" t="n">
        <v>-0.109592786697269</v>
      </c>
    </row>
    <row r="967">
      <c r="A967" t="s">
        <v>31</v>
      </c>
      <c r="B967" t="s">
        <v>558</v>
      </c>
      <c r="C967" t="s">
        <v>559</v>
      </c>
      <c r="D967" t="s">
        <v>746</v>
      </c>
      <c r="E967" s="13" t="n">
        <v>0.25</v>
      </c>
      <c r="F967" s="16" t="n">
        <v>45</v>
      </c>
      <c r="G967" s="14" t="n">
        <v>0</v>
      </c>
      <c r="H967" s="15" t="n">
        <v>0.25</v>
      </c>
    </row>
    <row r="968">
      <c r="A968" t="s">
        <v>31</v>
      </c>
      <c r="B968" t="s">
        <v>560</v>
      </c>
      <c r="C968" t="s">
        <v>561</v>
      </c>
      <c r="D968" t="s">
        <v>746</v>
      </c>
      <c r="E968" s="13" t="n">
        <v>0.75</v>
      </c>
      <c r="F968" s="16" t="n">
        <v>50</v>
      </c>
      <c r="G968" s="14" t="n">
        <v>-0.130236133250198</v>
      </c>
      <c r="H968" s="15" t="n">
        <v>0.738605814759156</v>
      </c>
    </row>
    <row r="969">
      <c r="A969" t="s">
        <v>30</v>
      </c>
      <c r="B969" t="s">
        <v>562</v>
      </c>
      <c r="C969" t="s">
        <v>563</v>
      </c>
      <c r="D969" t="s">
        <v>746</v>
      </c>
      <c r="E969" s="13" t="n">
        <v>0.25</v>
      </c>
      <c r="F969" s="16" t="n">
        <v>7</v>
      </c>
      <c r="G969" s="14" t="n">
        <v>0.242573931568999</v>
      </c>
      <c r="H969" s="15" t="n">
        <v>0.0604804738999169</v>
      </c>
    </row>
    <row r="970">
      <c r="A970" t="s">
        <v>30</v>
      </c>
      <c r="B970" t="s">
        <v>562</v>
      </c>
      <c r="C970" t="s">
        <v>564</v>
      </c>
      <c r="D970" t="s">
        <v>746</v>
      </c>
      <c r="E970" s="13" t="n">
        <v>0.25</v>
      </c>
      <c r="F970" s="16" t="n">
        <v>33</v>
      </c>
      <c r="G970" s="14" t="n">
        <v>0.10168416076895</v>
      </c>
      <c r="H970" s="15" t="n">
        <v>0.22838636441065</v>
      </c>
    </row>
    <row r="971">
      <c r="A971" t="s">
        <v>30</v>
      </c>
      <c r="B971" t="s">
        <v>565</v>
      </c>
      <c r="C971" t="s">
        <v>566</v>
      </c>
      <c r="D971" t="s">
        <v>746</v>
      </c>
      <c r="E971" s="13" t="n">
        <v>0.25</v>
      </c>
      <c r="F971" s="16" t="n">
        <v>126</v>
      </c>
      <c r="G971" s="14" t="n">
        <v>-0.0772542485937369</v>
      </c>
      <c r="H971" s="15" t="n">
        <v>-0.237764129073788</v>
      </c>
    </row>
    <row r="972">
      <c r="A972" t="s">
        <v>30</v>
      </c>
      <c r="B972" t="s">
        <v>567</v>
      </c>
      <c r="C972" t="s">
        <v>568</v>
      </c>
      <c r="D972" t="s">
        <v>746</v>
      </c>
      <c r="E972" s="13" t="n">
        <v>0.25</v>
      </c>
      <c r="F972" s="16" t="n">
        <v>130</v>
      </c>
      <c r="G972" s="14" t="n">
        <v>-0.0434120444167326</v>
      </c>
      <c r="H972" s="15" t="n">
        <v>-0.246201938253052</v>
      </c>
    </row>
    <row r="973">
      <c r="A973" t="s">
        <v>30</v>
      </c>
      <c r="B973" t="s">
        <v>567</v>
      </c>
      <c r="C973" t="s">
        <v>569</v>
      </c>
      <c r="D973" t="s">
        <v>746</v>
      </c>
      <c r="E973" s="13" t="n">
        <v>0</v>
      </c>
      <c r="F973" s="16" t="n">
        <v>12</v>
      </c>
      <c r="G973" s="14" t="n">
        <v>0</v>
      </c>
      <c r="H973" s="15" t="n">
        <v>0</v>
      </c>
    </row>
    <row r="974">
      <c r="A974" t="s">
        <v>31</v>
      </c>
      <c r="B974" t="s">
        <v>570</v>
      </c>
      <c r="C974" t="s">
        <v>571</v>
      </c>
      <c r="D974" t="s">
        <v>746</v>
      </c>
      <c r="E974" s="13" t="n">
        <v>0</v>
      </c>
      <c r="F974" s="16" t="n">
        <v>153</v>
      </c>
      <c r="G974" s="14" t="n">
        <v>0</v>
      </c>
      <c r="H974" s="15" t="n">
        <v>0</v>
      </c>
    </row>
    <row r="975">
      <c r="A975" t="s">
        <v>31</v>
      </c>
      <c r="B975" t="s">
        <v>570</v>
      </c>
      <c r="C975" t="s">
        <v>572</v>
      </c>
      <c r="D975" t="s">
        <v>746</v>
      </c>
      <c r="E975" s="13" t="n">
        <v>0.25</v>
      </c>
      <c r="F975" s="16" t="n">
        <v>47</v>
      </c>
      <c r="G975" s="14" t="n">
        <v>-0.0174391184360313</v>
      </c>
      <c r="H975" s="15" t="n">
        <v>0.249391012564956</v>
      </c>
    </row>
    <row r="976">
      <c r="A976" t="s">
        <v>31</v>
      </c>
      <c r="B976" t="s">
        <v>573</v>
      </c>
      <c r="C976" t="s">
        <v>574</v>
      </c>
      <c r="D976" t="s">
        <v>746</v>
      </c>
      <c r="E976" s="13" t="n">
        <v>0.25</v>
      </c>
      <c r="F976" s="16" t="n">
        <v>73</v>
      </c>
      <c r="G976" s="14" t="n">
        <v>-0.20725939313876</v>
      </c>
      <c r="H976" s="15" t="n">
        <v>0.139798225867687</v>
      </c>
    </row>
    <row r="977">
      <c r="A977" t="s">
        <v>31</v>
      </c>
      <c r="B977" t="s">
        <v>573</v>
      </c>
      <c r="C977" t="s">
        <v>575</v>
      </c>
      <c r="D977" t="s">
        <v>746</v>
      </c>
      <c r="E977" s="13" t="n">
        <v>0.5</v>
      </c>
      <c r="F977" s="16" t="n">
        <v>117</v>
      </c>
      <c r="G977" s="14" t="n">
        <v>-0.293892626146237</v>
      </c>
      <c r="H977" s="15" t="n">
        <v>-0.404508497187474</v>
      </c>
    </row>
    <row r="978">
      <c r="A978" t="s">
        <v>30</v>
      </c>
      <c r="B978" t="s">
        <v>576</v>
      </c>
      <c r="C978" t="s">
        <v>577</v>
      </c>
      <c r="D978" t="s">
        <v>746</v>
      </c>
      <c r="E978" s="13" t="n">
        <v>0</v>
      </c>
      <c r="F978" s="16" t="n">
        <v>148</v>
      </c>
      <c r="G978" s="14" t="n">
        <v>0</v>
      </c>
      <c r="H978" s="15" t="n">
        <v>0</v>
      </c>
    </row>
    <row r="979">
      <c r="A979" t="s">
        <v>30</v>
      </c>
      <c r="B979" t="s">
        <v>576</v>
      </c>
      <c r="C979" t="s">
        <v>578</v>
      </c>
      <c r="D979" t="s">
        <v>746</v>
      </c>
      <c r="E979" s="13" t="n">
        <v>0.25</v>
      </c>
      <c r="F979" s="16" t="n">
        <v>135</v>
      </c>
      <c r="G979" s="14" t="n">
        <v>0</v>
      </c>
      <c r="H979" s="15" t="n">
        <v>-0.25</v>
      </c>
    </row>
    <row r="980">
      <c r="A980" t="s">
        <v>31</v>
      </c>
      <c r="B980" t="s">
        <v>579</v>
      </c>
      <c r="C980" t="s">
        <v>580</v>
      </c>
      <c r="D980" t="s">
        <v>746</v>
      </c>
      <c r="E980" s="13" t="n">
        <v>0.5</v>
      </c>
      <c r="F980" s="16" t="n">
        <v>96</v>
      </c>
      <c r="G980" s="14" t="n">
        <v>-0.489073800366903</v>
      </c>
      <c r="H980" s="15" t="n">
        <v>-0.10395584540888</v>
      </c>
    </row>
    <row r="981">
      <c r="A981" t="s">
        <v>31</v>
      </c>
      <c r="B981" t="s">
        <v>579</v>
      </c>
      <c r="C981" t="s">
        <v>581</v>
      </c>
      <c r="D981" t="s">
        <v>746</v>
      </c>
      <c r="E981" s="13" t="n">
        <v>0</v>
      </c>
      <c r="F981" s="16" t="n">
        <v>156</v>
      </c>
      <c r="G981" s="14" t="n">
        <v>0</v>
      </c>
      <c r="H981" s="15" t="n">
        <v>0</v>
      </c>
    </row>
    <row r="982">
      <c r="A982" t="s">
        <v>30</v>
      </c>
      <c r="B982" t="s">
        <v>582</v>
      </c>
      <c r="C982" t="s">
        <v>583</v>
      </c>
      <c r="D982" t="s">
        <v>746</v>
      </c>
      <c r="E982" s="13" t="n">
        <v>0.25</v>
      </c>
      <c r="F982" s="16" t="n">
        <v>1</v>
      </c>
      <c r="G982" s="14" t="n">
        <v>0.249847706754774</v>
      </c>
      <c r="H982" s="15" t="n">
        <v>0.00872487417562524</v>
      </c>
    </row>
    <row r="983">
      <c r="A983" t="s">
        <v>30</v>
      </c>
      <c r="B983" t="s">
        <v>582</v>
      </c>
      <c r="C983" t="s">
        <v>584</v>
      </c>
      <c r="D983" t="s">
        <v>746</v>
      </c>
      <c r="E983" s="13" t="n">
        <v>0.25</v>
      </c>
      <c r="F983" s="16" t="n">
        <v>173</v>
      </c>
      <c r="G983" s="14" t="n">
        <v>0.242573931568999</v>
      </c>
      <c r="H983" s="15" t="n">
        <v>-0.0604804738999169</v>
      </c>
    </row>
    <row r="984">
      <c r="A984" t="s">
        <v>31</v>
      </c>
      <c r="B984" t="s">
        <v>585</v>
      </c>
      <c r="C984" t="s">
        <v>586</v>
      </c>
      <c r="D984" t="s">
        <v>746</v>
      </c>
      <c r="E984" s="13" t="n">
        <v>0.25</v>
      </c>
      <c r="F984" s="16" t="n">
        <v>112</v>
      </c>
      <c r="G984" s="14" t="n">
        <v>-0.179834950084663</v>
      </c>
      <c r="H984" s="15" t="n">
        <v>-0.173664592614749</v>
      </c>
    </row>
    <row r="985">
      <c r="A985" t="s">
        <v>31</v>
      </c>
      <c r="B985" t="s">
        <v>585</v>
      </c>
      <c r="C985" t="s">
        <v>587</v>
      </c>
      <c r="D985" t="s">
        <v>746</v>
      </c>
      <c r="E985" s="13" t="n">
        <v>0.5</v>
      </c>
      <c r="F985" s="16" t="n">
        <v>126</v>
      </c>
      <c r="G985" s="14" t="n">
        <v>-0.154508497187474</v>
      </c>
      <c r="H985" s="15" t="n">
        <v>-0.475528258147577</v>
      </c>
    </row>
    <row r="986">
      <c r="A986" t="s">
        <v>31</v>
      </c>
      <c r="B986" t="s">
        <v>588</v>
      </c>
      <c r="C986" t="s">
        <v>589</v>
      </c>
      <c r="D986" t="s">
        <v>746</v>
      </c>
      <c r="E986" s="13" t="n">
        <v>0.25</v>
      </c>
      <c r="F986" s="16" t="n">
        <v>15</v>
      </c>
      <c r="G986" s="14" t="n">
        <v>0.21650635094611</v>
      </c>
      <c r="H986" s="15" t="n">
        <v>0.125</v>
      </c>
    </row>
    <row r="987">
      <c r="A987" t="s">
        <v>31</v>
      </c>
      <c r="B987" t="s">
        <v>590</v>
      </c>
      <c r="C987" t="s">
        <v>591</v>
      </c>
      <c r="D987" t="s">
        <v>746</v>
      </c>
      <c r="E987" s="13" t="n">
        <v>0.25</v>
      </c>
      <c r="F987" s="16" t="n">
        <v>129</v>
      </c>
      <c r="G987" s="14" t="n">
        <v>-0.0519779227044399</v>
      </c>
      <c r="H987" s="15" t="n">
        <v>-0.244536900183451</v>
      </c>
    </row>
    <row r="988">
      <c r="A988" t="s">
        <v>31</v>
      </c>
      <c r="B988" t="s">
        <v>590</v>
      </c>
      <c r="C988" t="s">
        <v>592</v>
      </c>
      <c r="D988" t="s">
        <v>746</v>
      </c>
      <c r="E988" s="13" t="n">
        <v>0.25</v>
      </c>
      <c r="F988" s="16" t="n">
        <v>115</v>
      </c>
      <c r="G988" s="14" t="n">
        <v>-0.160696902421635</v>
      </c>
      <c r="H988" s="15" t="n">
        <v>-0.191511110779745</v>
      </c>
    </row>
    <row r="989">
      <c r="A989" t="s">
        <v>30</v>
      </c>
      <c r="B989" t="s">
        <v>593</v>
      </c>
      <c r="C989" t="s">
        <v>594</v>
      </c>
      <c r="D989" t="s">
        <v>746</v>
      </c>
      <c r="E989" s="13" t="n">
        <v>0.25</v>
      </c>
      <c r="F989" s="16" t="n">
        <v>21</v>
      </c>
      <c r="G989" s="14" t="n">
        <v>0.185786206369349</v>
      </c>
      <c r="H989" s="15" t="n">
        <v>0.167282651589715</v>
      </c>
    </row>
    <row r="990">
      <c r="A990" t="s">
        <v>30</v>
      </c>
      <c r="B990" t="s">
        <v>593</v>
      </c>
      <c r="C990" t="s">
        <v>595</v>
      </c>
      <c r="D990" t="s">
        <v>746</v>
      </c>
      <c r="E990" s="13" t="n">
        <v>0.5</v>
      </c>
      <c r="F990" s="16" t="n">
        <v>158</v>
      </c>
      <c r="G990" s="14" t="n">
        <v>0.359669900169325</v>
      </c>
      <c r="H990" s="15" t="n">
        <v>-0.347329185229499</v>
      </c>
    </row>
    <row r="991">
      <c r="A991" t="s">
        <v>31</v>
      </c>
      <c r="B991" t="s">
        <v>596</v>
      </c>
      <c r="C991" t="s">
        <v>597</v>
      </c>
      <c r="D991" t="s">
        <v>746</v>
      </c>
      <c r="E991" s="13" t="n">
        <v>0</v>
      </c>
      <c r="F991" s="16" t="n">
        <v>60</v>
      </c>
      <c r="G991" s="14" t="n">
        <v>0</v>
      </c>
      <c r="H991" s="15" t="n">
        <v>0</v>
      </c>
    </row>
    <row r="992">
      <c r="A992" t="s">
        <v>31</v>
      </c>
      <c r="B992" t="s">
        <v>596</v>
      </c>
      <c r="C992" t="s">
        <v>598</v>
      </c>
      <c r="D992" t="s">
        <v>746</v>
      </c>
      <c r="E992" s="13" t="n">
        <v>0</v>
      </c>
      <c r="F992" s="16" t="n">
        <v>50</v>
      </c>
      <c r="G992" s="14" t="n">
        <v>0</v>
      </c>
      <c r="H992" s="15" t="n">
        <v>0</v>
      </c>
    </row>
    <row r="993">
      <c r="A993" t="s">
        <v>31</v>
      </c>
      <c r="B993" t="s">
        <v>599</v>
      </c>
      <c r="C993" t="s">
        <v>600</v>
      </c>
      <c r="D993" t="s">
        <v>746</v>
      </c>
      <c r="E993" s="13" t="n">
        <v>0.25</v>
      </c>
      <c r="F993" s="16" t="n">
        <v>58</v>
      </c>
      <c r="G993" s="14" t="n">
        <v>-0.109592786697269</v>
      </c>
      <c r="H993" s="15" t="n">
        <v>0.224698511574792</v>
      </c>
    </row>
    <row r="994">
      <c r="A994" t="s">
        <v>31</v>
      </c>
      <c r="B994" t="s">
        <v>599</v>
      </c>
      <c r="C994" t="s">
        <v>601</v>
      </c>
      <c r="D994" t="s">
        <v>746</v>
      </c>
      <c r="E994" s="13" t="n">
        <v>0.25</v>
      </c>
      <c r="F994" s="16" t="n">
        <v>166</v>
      </c>
      <c r="G994" s="14" t="n">
        <v>0.220736898214732</v>
      </c>
      <c r="H994" s="15" t="n">
        <v>-0.117367890696473</v>
      </c>
    </row>
    <row r="995">
      <c r="A995" t="s">
        <v>31</v>
      </c>
      <c r="B995" t="s">
        <v>602</v>
      </c>
      <c r="C995" t="s">
        <v>603</v>
      </c>
      <c r="D995" t="s">
        <v>746</v>
      </c>
      <c r="E995" s="13" t="n">
        <v>0.25</v>
      </c>
      <c r="F995" s="16" t="n">
        <v>147</v>
      </c>
      <c r="G995" s="14" t="n">
        <v>0.10168416076895</v>
      </c>
      <c r="H995" s="15" t="n">
        <v>-0.22838636441065</v>
      </c>
    </row>
    <row r="996">
      <c r="A996" t="s">
        <v>31</v>
      </c>
      <c r="B996" t="s">
        <v>604</v>
      </c>
      <c r="C996" t="s">
        <v>605</v>
      </c>
      <c r="D996" t="s">
        <v>746</v>
      </c>
      <c r="E996" s="13" t="n">
        <v>0.25</v>
      </c>
      <c r="F996" s="16" t="n">
        <v>155</v>
      </c>
      <c r="G996" s="14" t="n">
        <v>0.160696902421635</v>
      </c>
      <c r="H996" s="15" t="n">
        <v>-0.191511110779744</v>
      </c>
    </row>
    <row r="997">
      <c r="A997" t="s">
        <v>30</v>
      </c>
      <c r="B997" t="s">
        <v>606</v>
      </c>
      <c r="C997" t="s">
        <v>607</v>
      </c>
      <c r="D997" t="s">
        <v>746</v>
      </c>
      <c r="E997" s="13" t="n">
        <v>0.25</v>
      </c>
      <c r="F997" s="16" t="n">
        <v>170</v>
      </c>
      <c r="G997" s="14" t="n">
        <v>0.234923155196477</v>
      </c>
      <c r="H997" s="15" t="n">
        <v>-0.0855050358314172</v>
      </c>
    </row>
    <row r="998">
      <c r="A998" t="s">
        <v>30</v>
      </c>
      <c r="B998" t="s">
        <v>606</v>
      </c>
      <c r="C998" t="s">
        <v>608</v>
      </c>
      <c r="D998" t="s">
        <v>746</v>
      </c>
      <c r="E998" s="13" t="n">
        <v>0.25</v>
      </c>
      <c r="F998" s="16" t="n">
        <v>19</v>
      </c>
      <c r="G998" s="14" t="n">
        <v>0.19700268840168</v>
      </c>
      <c r="H998" s="15" t="n">
        <v>0.153915368831415</v>
      </c>
    </row>
    <row r="999">
      <c r="A999" t="s">
        <v>31</v>
      </c>
      <c r="B999" t="s">
        <v>609</v>
      </c>
      <c r="C999" t="s">
        <v>610</v>
      </c>
      <c r="D999" t="s">
        <v>746</v>
      </c>
      <c r="E999" s="13" t="n">
        <v>0.25</v>
      </c>
      <c r="F999" s="16" t="n">
        <v>135</v>
      </c>
      <c r="G999" s="14" t="n">
        <v>0</v>
      </c>
      <c r="H999" s="15" t="n">
        <v>-0.25</v>
      </c>
    </row>
    <row r="1000">
      <c r="A1000" t="s">
        <v>30</v>
      </c>
      <c r="B1000" t="s">
        <v>611</v>
      </c>
      <c r="C1000" t="s">
        <v>612</v>
      </c>
      <c r="D1000" t="s">
        <v>746</v>
      </c>
      <c r="E1000" s="13" t="n">
        <v>0</v>
      </c>
      <c r="F1000" s="16" t="n">
        <v>110</v>
      </c>
      <c r="G1000" s="14" t="n">
        <v>0</v>
      </c>
      <c r="H1000" s="15" t="n">
        <v>0</v>
      </c>
    </row>
    <row r="1001">
      <c r="A1001" t="s">
        <v>30</v>
      </c>
      <c r="B1001" t="s">
        <v>611</v>
      </c>
      <c r="C1001" t="s">
        <v>613</v>
      </c>
      <c r="D1001" t="s">
        <v>746</v>
      </c>
      <c r="E1001" s="13" t="n">
        <v>0</v>
      </c>
      <c r="F1001" s="16" t="n">
        <v>119</v>
      </c>
      <c r="G1001" s="14" t="n">
        <v>0</v>
      </c>
      <c r="H1001" s="15" t="n">
        <v>0</v>
      </c>
    </row>
    <row r="1002">
      <c r="A1002" t="s">
        <v>30</v>
      </c>
      <c r="B1002" t="s">
        <v>614</v>
      </c>
      <c r="C1002" t="s">
        <v>615</v>
      </c>
      <c r="D1002" t="s">
        <v>746</v>
      </c>
      <c r="E1002" s="13" t="n">
        <v>0</v>
      </c>
      <c r="F1002" s="16" t="n">
        <v>51</v>
      </c>
      <c r="G1002" s="14" t="n">
        <v>0</v>
      </c>
      <c r="H1002" s="15" t="n">
        <v>0</v>
      </c>
    </row>
    <row r="1003">
      <c r="A1003" t="s">
        <v>30</v>
      </c>
      <c r="B1003" t="s">
        <v>614</v>
      </c>
      <c r="C1003" t="s">
        <v>616</v>
      </c>
      <c r="D1003" t="s">
        <v>746</v>
      </c>
      <c r="E1003" s="13" t="n">
        <v>0.25</v>
      </c>
      <c r="F1003" s="16" t="n">
        <v>155</v>
      </c>
      <c r="G1003" s="14" t="n">
        <v>0.160696902421635</v>
      </c>
      <c r="H1003" s="15" t="n">
        <v>-0.191511110779744</v>
      </c>
    </row>
    <row r="1004">
      <c r="A1004" t="s">
        <v>31</v>
      </c>
      <c r="B1004" t="s">
        <v>617</v>
      </c>
      <c r="C1004" t="s">
        <v>618</v>
      </c>
      <c r="D1004" t="s">
        <v>746</v>
      </c>
      <c r="E1004" s="13" t="n">
        <v>0</v>
      </c>
      <c r="F1004" s="16" t="n">
        <v>90</v>
      </c>
      <c r="G1004" s="14" t="n">
        <v>0</v>
      </c>
      <c r="H1004" s="15" t="n">
        <v>0</v>
      </c>
    </row>
    <row r="1005">
      <c r="A1005" t="s">
        <v>31</v>
      </c>
      <c r="B1005" t="s">
        <v>617</v>
      </c>
      <c r="C1005" t="s">
        <v>619</v>
      </c>
      <c r="D1005" t="s">
        <v>746</v>
      </c>
      <c r="E1005" s="13" t="n">
        <v>0.25</v>
      </c>
      <c r="F1005" s="16" t="n">
        <v>26</v>
      </c>
      <c r="G1005" s="14" t="n">
        <v>0.153915368831415</v>
      </c>
      <c r="H1005" s="15" t="n">
        <v>0.19700268840168</v>
      </c>
    </row>
    <row r="1006">
      <c r="A1006" t="s">
        <v>31</v>
      </c>
      <c r="B1006" t="s">
        <v>620</v>
      </c>
      <c r="C1006" t="s">
        <v>621</v>
      </c>
      <c r="D1006" t="s">
        <v>746</v>
      </c>
      <c r="E1006" s="13" t="n">
        <v>0.25</v>
      </c>
      <c r="F1006" s="16" t="n">
        <v>0</v>
      </c>
      <c r="G1006" s="14" t="n">
        <v>0.25</v>
      </c>
      <c r="H1006" s="15" t="n">
        <v>0</v>
      </c>
    </row>
    <row r="1007">
      <c r="A1007" t="s">
        <v>31</v>
      </c>
      <c r="B1007" t="s">
        <v>620</v>
      </c>
      <c r="C1007" t="s">
        <v>622</v>
      </c>
      <c r="D1007" t="s">
        <v>746</v>
      </c>
      <c r="E1007" s="13" t="n">
        <v>0</v>
      </c>
      <c r="F1007" s="16" t="n">
        <v>72</v>
      </c>
      <c r="G1007" s="14" t="n">
        <v>0</v>
      </c>
      <c r="H1007" s="15" t="n">
        <v>0</v>
      </c>
    </row>
    <row r="1008">
      <c r="A1008" t="s">
        <v>30</v>
      </c>
      <c r="B1008" t="s">
        <v>623</v>
      </c>
      <c r="C1008" t="s">
        <v>624</v>
      </c>
      <c r="D1008" t="s">
        <v>746</v>
      </c>
      <c r="E1008" s="13" t="n">
        <v>0</v>
      </c>
      <c r="F1008" s="16" t="n">
        <v>104</v>
      </c>
      <c r="G1008" s="14" t="n">
        <v>0</v>
      </c>
      <c r="H1008" s="15" t="n">
        <v>0</v>
      </c>
    </row>
    <row r="1009">
      <c r="A1009" t="s">
        <v>31</v>
      </c>
      <c r="B1009" t="s">
        <v>625</v>
      </c>
      <c r="C1009" t="s">
        <v>626</v>
      </c>
      <c r="D1009" t="s">
        <v>746</v>
      </c>
      <c r="E1009" s="13" t="n">
        <v>0.25</v>
      </c>
      <c r="F1009" s="16" t="n">
        <v>153</v>
      </c>
      <c r="G1009" s="14" t="n">
        <v>0.146946313073118</v>
      </c>
      <c r="H1009" s="15" t="n">
        <v>-0.202254248593737</v>
      </c>
    </row>
    <row r="1010">
      <c r="A1010" t="s">
        <v>31</v>
      </c>
      <c r="B1010" t="s">
        <v>625</v>
      </c>
      <c r="C1010" t="s">
        <v>627</v>
      </c>
      <c r="D1010" t="s">
        <v>746</v>
      </c>
      <c r="E1010" s="13" t="n">
        <v>0.25</v>
      </c>
      <c r="F1010" s="16" t="n">
        <v>162</v>
      </c>
      <c r="G1010" s="14" t="n">
        <v>0.202254248593737</v>
      </c>
      <c r="H1010" s="15" t="n">
        <v>-0.146946313073118</v>
      </c>
    </row>
    <row r="1011">
      <c r="A1011" t="s">
        <v>31</v>
      </c>
      <c r="B1011" t="s">
        <v>628</v>
      </c>
      <c r="C1011" t="s">
        <v>629</v>
      </c>
      <c r="D1011" t="s">
        <v>746</v>
      </c>
      <c r="E1011" s="13" t="n">
        <v>0.5</v>
      </c>
      <c r="F1011" s="16" t="n">
        <v>105</v>
      </c>
      <c r="G1011" s="14" t="n">
        <v>-0.433012701892219</v>
      </c>
      <c r="H1011" s="15" t="n">
        <v>-0.25</v>
      </c>
    </row>
    <row r="1012">
      <c r="A1012" t="s">
        <v>31</v>
      </c>
      <c r="B1012" t="s">
        <v>628</v>
      </c>
      <c r="C1012" t="s">
        <v>630</v>
      </c>
      <c r="D1012" t="s">
        <v>746</v>
      </c>
      <c r="E1012" s="13" t="n">
        <v>0.25</v>
      </c>
      <c r="F1012" s="16" t="n">
        <v>58</v>
      </c>
      <c r="G1012" s="14" t="n">
        <v>-0.109592786697269</v>
      </c>
      <c r="H1012" s="15" t="n">
        <v>0.224698511574792</v>
      </c>
    </row>
    <row r="1013">
      <c r="A1013" t="s">
        <v>30</v>
      </c>
      <c r="B1013" t="s">
        <v>631</v>
      </c>
      <c r="C1013" t="s">
        <v>632</v>
      </c>
      <c r="D1013" t="s">
        <v>746</v>
      </c>
      <c r="E1013" s="13" t="n">
        <v>0.75</v>
      </c>
      <c r="F1013" s="16" t="n">
        <v>60</v>
      </c>
      <c r="G1013" s="14" t="n">
        <v>-0.375</v>
      </c>
      <c r="H1013" s="15" t="n">
        <v>0.649519052838329</v>
      </c>
    </row>
    <row r="1014">
      <c r="A1014" t="s">
        <v>30</v>
      </c>
      <c r="B1014" t="s">
        <v>631</v>
      </c>
      <c r="C1014" t="s">
        <v>633</v>
      </c>
      <c r="D1014" t="s">
        <v>746</v>
      </c>
      <c r="E1014" s="13" t="n">
        <v>0.25</v>
      </c>
      <c r="F1014" s="16" t="n">
        <v>78</v>
      </c>
      <c r="G1014" s="14" t="n">
        <v>-0.22838636441065</v>
      </c>
      <c r="H1014" s="15" t="n">
        <v>0.10168416076895</v>
      </c>
    </row>
    <row r="1015">
      <c r="A1015" t="s">
        <v>31</v>
      </c>
      <c r="B1015" t="s">
        <v>634</v>
      </c>
      <c r="C1015" t="s">
        <v>635</v>
      </c>
      <c r="D1015" t="s">
        <v>746</v>
      </c>
      <c r="E1015" s="13" t="n">
        <v>0</v>
      </c>
      <c r="F1015" s="16" t="n">
        <v>64</v>
      </c>
      <c r="G1015" s="14" t="n">
        <v>0</v>
      </c>
      <c r="H1015" s="15" t="n">
        <v>0</v>
      </c>
    </row>
    <row r="1016">
      <c r="A1016" t="s">
        <v>30</v>
      </c>
      <c r="B1016" t="s">
        <v>636</v>
      </c>
      <c r="C1016" t="s">
        <v>637</v>
      </c>
      <c r="D1016" t="s">
        <v>746</v>
      </c>
      <c r="E1016" s="13" t="n">
        <v>0</v>
      </c>
      <c r="F1016" s="16" t="n">
        <v>47</v>
      </c>
      <c r="G1016" s="14" t="n">
        <v>0</v>
      </c>
      <c r="H1016" s="15" t="n">
        <v>0</v>
      </c>
    </row>
    <row r="1017">
      <c r="A1017" t="s">
        <v>30</v>
      </c>
      <c r="B1017" t="s">
        <v>636</v>
      </c>
      <c r="C1017" t="s">
        <v>638</v>
      </c>
      <c r="D1017" t="s">
        <v>746</v>
      </c>
      <c r="E1017" s="13" t="n">
        <v>0</v>
      </c>
      <c r="F1017" s="16" t="n">
        <v>121</v>
      </c>
      <c r="G1017" s="14" t="n">
        <v>0</v>
      </c>
      <c r="H1017" s="15" t="n">
        <v>0</v>
      </c>
    </row>
    <row r="1018">
      <c r="A1018" t="s">
        <v>31</v>
      </c>
      <c r="B1018" t="s">
        <v>639</v>
      </c>
      <c r="C1018" t="s">
        <v>640</v>
      </c>
      <c r="D1018" t="s">
        <v>746</v>
      </c>
      <c r="E1018" s="13" t="n">
        <v>0.25</v>
      </c>
      <c r="F1018" s="16" t="n">
        <v>99</v>
      </c>
      <c r="G1018" s="14" t="n">
        <v>-0.237764129073788</v>
      </c>
      <c r="H1018" s="15" t="n">
        <v>-0.077254248593737</v>
      </c>
    </row>
    <row r="1019">
      <c r="A1019" t="s">
        <v>31</v>
      </c>
      <c r="B1019" t="s">
        <v>639</v>
      </c>
      <c r="C1019" t="s">
        <v>641</v>
      </c>
      <c r="D1019" t="s">
        <v>746</v>
      </c>
      <c r="E1019" s="13" t="n">
        <v>0.25</v>
      </c>
      <c r="F1019" s="16" t="n">
        <v>67</v>
      </c>
      <c r="G1019" s="14" t="n">
        <v>-0.173664592614749</v>
      </c>
      <c r="H1019" s="15" t="n">
        <v>0.179834950084663</v>
      </c>
    </row>
    <row r="1020">
      <c r="A1020" t="s">
        <v>31</v>
      </c>
      <c r="B1020" t="s">
        <v>642</v>
      </c>
      <c r="C1020" t="s">
        <v>643</v>
      </c>
      <c r="D1020" t="s">
        <v>746</v>
      </c>
      <c r="E1020" s="13" t="n">
        <v>0.25</v>
      </c>
      <c r="F1020" s="16" t="n">
        <v>2</v>
      </c>
      <c r="G1020" s="14" t="n">
        <v>0.249391012564956</v>
      </c>
      <c r="H1020" s="15" t="n">
        <v>0.0174391184360313</v>
      </c>
    </row>
    <row r="1021">
      <c r="A1021" t="s">
        <v>31</v>
      </c>
      <c r="B1021" t="s">
        <v>642</v>
      </c>
      <c r="C1021" t="s">
        <v>644</v>
      </c>
      <c r="D1021" t="s">
        <v>746</v>
      </c>
      <c r="E1021" s="13" t="n">
        <v>0.25</v>
      </c>
      <c r="F1021" s="16" t="n">
        <v>64</v>
      </c>
      <c r="G1021" s="14" t="n">
        <v>-0.153915368831415</v>
      </c>
      <c r="H1021" s="15" t="n">
        <v>0.197002688401681</v>
      </c>
    </row>
    <row r="1022">
      <c r="A1022" t="s">
        <v>31</v>
      </c>
      <c r="B1022" t="s">
        <v>645</v>
      </c>
      <c r="C1022" t="s">
        <v>646</v>
      </c>
      <c r="D1022" t="s">
        <v>746</v>
      </c>
      <c r="E1022" s="13" t="n">
        <v>0</v>
      </c>
      <c r="F1022" s="16" t="n">
        <v>152</v>
      </c>
      <c r="G1022" s="14" t="n">
        <v>0</v>
      </c>
      <c r="H1022" s="15" t="n">
        <v>0</v>
      </c>
    </row>
    <row r="1023">
      <c r="A1023" t="s">
        <v>30</v>
      </c>
      <c r="B1023" t="s">
        <v>647</v>
      </c>
      <c r="C1023" t="s">
        <v>648</v>
      </c>
      <c r="D1023" t="s">
        <v>746</v>
      </c>
      <c r="E1023" s="13" t="n">
        <v>0.25</v>
      </c>
      <c r="F1023" s="16" t="n">
        <v>34</v>
      </c>
      <c r="G1023" s="14" t="n">
        <v>0.093651648353978</v>
      </c>
      <c r="H1023" s="15" t="n">
        <v>0.231795963641697</v>
      </c>
    </row>
    <row r="1024">
      <c r="A1024" t="s">
        <v>31</v>
      </c>
      <c r="B1024" t="s">
        <v>649</v>
      </c>
      <c r="C1024" t="s">
        <v>650</v>
      </c>
      <c r="D1024" t="s">
        <v>746</v>
      </c>
      <c r="E1024" s="13" t="n">
        <v>0.25</v>
      </c>
      <c r="F1024" s="16" t="n">
        <v>107</v>
      </c>
      <c r="G1024" s="14" t="n">
        <v>-0.20725939313876</v>
      </c>
      <c r="H1024" s="15" t="n">
        <v>-0.139798225867687</v>
      </c>
    </row>
    <row r="1025">
      <c r="A1025" t="s">
        <v>31</v>
      </c>
      <c r="B1025" t="s">
        <v>651</v>
      </c>
      <c r="C1025" t="s">
        <v>652</v>
      </c>
      <c r="D1025" t="s">
        <v>746</v>
      </c>
      <c r="E1025" s="13" t="n">
        <v>0.25</v>
      </c>
      <c r="F1025" s="16" t="n">
        <v>7</v>
      </c>
      <c r="G1025" s="14" t="n">
        <v>0.242573931568999</v>
      </c>
      <c r="H1025" s="15" t="n">
        <v>0.0604804738999169</v>
      </c>
    </row>
    <row r="1026">
      <c r="A1026" t="s">
        <v>31</v>
      </c>
      <c r="B1026" t="s">
        <v>651</v>
      </c>
      <c r="C1026" t="s">
        <v>653</v>
      </c>
      <c r="D1026" t="s">
        <v>746</v>
      </c>
      <c r="E1026" s="13" t="n">
        <v>0.25</v>
      </c>
      <c r="F1026" s="16" t="n">
        <v>176</v>
      </c>
      <c r="G1026" s="14" t="n">
        <v>0.247567017185393</v>
      </c>
      <c r="H1026" s="15" t="n">
        <v>-0.0347932752400164</v>
      </c>
    </row>
    <row r="1027">
      <c r="A1027" t="s">
        <v>31</v>
      </c>
      <c r="B1027" t="s">
        <v>654</v>
      </c>
      <c r="C1027" t="s">
        <v>655</v>
      </c>
      <c r="D1027" t="s">
        <v>746</v>
      </c>
      <c r="E1027" s="13" t="n">
        <v>0.25</v>
      </c>
      <c r="F1027" s="16" t="n">
        <v>132</v>
      </c>
      <c r="G1027" s="14" t="n">
        <v>-0.0261321158169136</v>
      </c>
      <c r="H1027" s="15" t="n">
        <v>-0.248630473842068</v>
      </c>
    </row>
    <row r="1028">
      <c r="A1028" t="s">
        <v>31</v>
      </c>
      <c r="B1028" t="s">
        <v>654</v>
      </c>
      <c r="C1028" t="s">
        <v>656</v>
      </c>
      <c r="D1028" t="s">
        <v>746</v>
      </c>
      <c r="E1028" s="13" t="n">
        <v>0.25</v>
      </c>
      <c r="F1028" s="16" t="n">
        <v>31</v>
      </c>
      <c r="G1028" s="14" t="n">
        <v>0.117367890696473</v>
      </c>
      <c r="H1028" s="15" t="n">
        <v>0.220736898214732</v>
      </c>
    </row>
    <row r="1029">
      <c r="A1029" t="s">
        <v>31</v>
      </c>
      <c r="B1029" t="s">
        <v>657</v>
      </c>
      <c r="C1029" t="s">
        <v>658</v>
      </c>
      <c r="D1029" t="s">
        <v>746</v>
      </c>
      <c r="E1029" s="13" t="n">
        <v>0.25</v>
      </c>
      <c r="F1029" s="16" t="n">
        <v>111</v>
      </c>
      <c r="G1029" s="14" t="n">
        <v>-0.185786206369349</v>
      </c>
      <c r="H1029" s="15" t="n">
        <v>-0.167282651589715</v>
      </c>
    </row>
    <row r="1030">
      <c r="A1030" t="s">
        <v>31</v>
      </c>
      <c r="B1030" t="s">
        <v>657</v>
      </c>
      <c r="C1030" t="s">
        <v>659</v>
      </c>
      <c r="D1030" t="s">
        <v>746</v>
      </c>
      <c r="E1030" s="13" t="n">
        <v>0.25</v>
      </c>
      <c r="F1030" s="16" t="n">
        <v>83</v>
      </c>
      <c r="G1030" s="14" t="n">
        <v>-0.242573931568999</v>
      </c>
      <c r="H1030" s="15" t="n">
        <v>0.0604804738999169</v>
      </c>
    </row>
    <row r="1031">
      <c r="A1031" t="s">
        <v>30</v>
      </c>
      <c r="B1031" t="s">
        <v>660</v>
      </c>
      <c r="C1031" t="s">
        <v>661</v>
      </c>
      <c r="D1031" t="s">
        <v>746</v>
      </c>
      <c r="E1031" s="13" t="n">
        <v>0.25</v>
      </c>
      <c r="F1031" s="16" t="n">
        <v>13</v>
      </c>
      <c r="G1031" s="14" t="n">
        <v>0.224698511574792</v>
      </c>
      <c r="H1031" s="15" t="n">
        <v>0.109592786697269</v>
      </c>
    </row>
    <row r="1032">
      <c r="A1032" t="s">
        <v>30</v>
      </c>
      <c r="B1032" t="s">
        <v>660</v>
      </c>
      <c r="C1032" t="s">
        <v>662</v>
      </c>
      <c r="D1032" t="s">
        <v>746</v>
      </c>
      <c r="E1032" s="13" t="n">
        <v>0.25</v>
      </c>
      <c r="F1032" s="16" t="n">
        <v>47</v>
      </c>
      <c r="G1032" s="14" t="n">
        <v>-0.0174391184360313</v>
      </c>
      <c r="H1032" s="15" t="n">
        <v>0.249391012564956</v>
      </c>
    </row>
    <row r="1033">
      <c r="A1033" t="s">
        <v>31</v>
      </c>
      <c r="B1033" t="s">
        <v>663</v>
      </c>
      <c r="C1033" t="s">
        <v>664</v>
      </c>
      <c r="D1033" t="s">
        <v>746</v>
      </c>
      <c r="E1033" s="13" t="n">
        <v>0.25</v>
      </c>
      <c r="F1033" s="16" t="n">
        <v>176</v>
      </c>
      <c r="G1033" s="14" t="n">
        <v>0.247567017185393</v>
      </c>
      <c r="H1033" s="15" t="n">
        <v>-0.0347932752400164</v>
      </c>
    </row>
    <row r="1034">
      <c r="A1034" t="s">
        <v>31</v>
      </c>
      <c r="B1034" t="s">
        <v>663</v>
      </c>
      <c r="C1034" t="s">
        <v>665</v>
      </c>
      <c r="D1034" t="s">
        <v>746</v>
      </c>
      <c r="E1034" s="13" t="n">
        <v>0.25</v>
      </c>
      <c r="F1034" s="16" t="n">
        <v>40</v>
      </c>
      <c r="G1034" s="14" t="n">
        <v>0.0434120444167326</v>
      </c>
      <c r="H1034" s="15" t="n">
        <v>0.246201938253052</v>
      </c>
    </row>
    <row r="1035">
      <c r="A1035" t="s">
        <v>31</v>
      </c>
      <c r="B1035" t="s">
        <v>666</v>
      </c>
      <c r="C1035" t="s">
        <v>667</v>
      </c>
      <c r="D1035" t="s">
        <v>746</v>
      </c>
      <c r="E1035" s="13" t="n">
        <v>0.25</v>
      </c>
      <c r="F1035" s="16" t="n">
        <v>125</v>
      </c>
      <c r="G1035" s="14" t="n">
        <v>-0.0855050358314173</v>
      </c>
      <c r="H1035" s="15" t="n">
        <v>-0.234923155196477</v>
      </c>
    </row>
    <row r="1036">
      <c r="A1036" t="s">
        <v>31</v>
      </c>
      <c r="B1036" t="s">
        <v>668</v>
      </c>
      <c r="C1036" t="s">
        <v>669</v>
      </c>
      <c r="D1036" t="s">
        <v>746</v>
      </c>
      <c r="E1036" s="13" t="n">
        <v>0.25</v>
      </c>
      <c r="F1036" s="16" t="n">
        <v>31</v>
      </c>
      <c r="G1036" s="14" t="n">
        <v>0.117367890696473</v>
      </c>
      <c r="H1036" s="15" t="n">
        <v>0.220736898214732</v>
      </c>
    </row>
    <row r="1037">
      <c r="A1037" t="s">
        <v>31</v>
      </c>
      <c r="B1037" t="s">
        <v>668</v>
      </c>
      <c r="C1037" t="s">
        <v>670</v>
      </c>
      <c r="D1037" t="s">
        <v>746</v>
      </c>
      <c r="E1037" s="13" t="n">
        <v>0.5</v>
      </c>
      <c r="F1037" s="16" t="n">
        <v>150</v>
      </c>
      <c r="G1037" s="14" t="n">
        <v>0.25</v>
      </c>
      <c r="H1037" s="15" t="n">
        <v>-0.433012701892219</v>
      </c>
    </row>
    <row r="1038">
      <c r="A1038" t="s">
        <v>30</v>
      </c>
      <c r="B1038" t="s">
        <v>671</v>
      </c>
      <c r="C1038" t="s">
        <v>672</v>
      </c>
      <c r="D1038" t="s">
        <v>746</v>
      </c>
      <c r="E1038" s="13" t="n">
        <v>0.75</v>
      </c>
      <c r="F1038" s="16" t="n">
        <v>131</v>
      </c>
      <c r="G1038" s="14" t="n">
        <v>-0.104379825720049</v>
      </c>
      <c r="H1038" s="15" t="n">
        <v>-0.742701051556178</v>
      </c>
    </row>
    <row r="1039">
      <c r="A1039" t="s">
        <v>31</v>
      </c>
      <c r="B1039" t="s">
        <v>673</v>
      </c>
      <c r="C1039" t="s">
        <v>674</v>
      </c>
      <c r="D1039" t="s">
        <v>746</v>
      </c>
      <c r="E1039" s="13" t="n">
        <v>0.25</v>
      </c>
      <c r="F1039" s="16" t="n">
        <v>135</v>
      </c>
      <c r="G1039" s="14" t="n">
        <v>0</v>
      </c>
      <c r="H1039" s="15" t="n">
        <v>-0.25</v>
      </c>
    </row>
    <row r="1040">
      <c r="A1040" t="s">
        <v>31</v>
      </c>
      <c r="B1040" t="s">
        <v>673</v>
      </c>
      <c r="C1040" t="s">
        <v>675</v>
      </c>
      <c r="D1040" t="s">
        <v>746</v>
      </c>
      <c r="E1040" s="13" t="n">
        <v>0.25</v>
      </c>
      <c r="F1040" s="16" t="n">
        <v>32</v>
      </c>
      <c r="G1040" s="14" t="n">
        <v>0.109592786697269</v>
      </c>
      <c r="H1040" s="15" t="n">
        <v>0.224698511574792</v>
      </c>
    </row>
    <row r="1041">
      <c r="A1041" t="s">
        <v>30</v>
      </c>
      <c r="B1041" t="s">
        <v>676</v>
      </c>
      <c r="C1041" t="s">
        <v>677</v>
      </c>
      <c r="D1041" t="s">
        <v>746</v>
      </c>
      <c r="E1041" s="13" t="n">
        <v>0.5</v>
      </c>
      <c r="F1041" s="16" t="n">
        <v>127</v>
      </c>
      <c r="G1041" s="14" t="n">
        <v>-0.137818677908499</v>
      </c>
      <c r="H1041" s="15" t="n">
        <v>-0.48063084796916</v>
      </c>
    </row>
    <row r="1042">
      <c r="A1042" t="s">
        <v>30</v>
      </c>
      <c r="B1042" t="s">
        <v>678</v>
      </c>
      <c r="C1042" t="s">
        <v>679</v>
      </c>
      <c r="D1042" t="s">
        <v>746</v>
      </c>
      <c r="E1042" s="13" t="n">
        <v>0</v>
      </c>
      <c r="F1042" s="16" t="n">
        <v>156</v>
      </c>
      <c r="G1042" s="14" t="n">
        <v>0</v>
      </c>
      <c r="H1042" s="15" t="n">
        <v>0</v>
      </c>
    </row>
    <row r="1043">
      <c r="A1043" t="s">
        <v>30</v>
      </c>
      <c r="B1043" t="s">
        <v>678</v>
      </c>
      <c r="C1043" t="s">
        <v>680</v>
      </c>
      <c r="D1043" t="s">
        <v>746</v>
      </c>
      <c r="E1043" s="13" t="n">
        <v>0.25</v>
      </c>
      <c r="F1043" s="16" t="n">
        <v>112</v>
      </c>
      <c r="G1043" s="14" t="n">
        <v>-0.179834950084663</v>
      </c>
      <c r="H1043" s="15" t="n">
        <v>-0.173664592614749</v>
      </c>
    </row>
    <row r="1044">
      <c r="A1044" t="s">
        <v>30</v>
      </c>
      <c r="B1044" t="s">
        <v>681</v>
      </c>
      <c r="C1044" t="s">
        <v>682</v>
      </c>
      <c r="D1044" t="s">
        <v>746</v>
      </c>
      <c r="E1044" s="13" t="n">
        <v>0</v>
      </c>
      <c r="F1044" s="16" t="n">
        <v>76</v>
      </c>
      <c r="G1044" s="14" t="n">
        <v>0</v>
      </c>
      <c r="H1044" s="15" t="n">
        <v>0</v>
      </c>
    </row>
    <row r="1045">
      <c r="A1045" t="s">
        <v>30</v>
      </c>
      <c r="B1045" t="s">
        <v>683</v>
      </c>
      <c r="C1045" t="s">
        <v>684</v>
      </c>
      <c r="D1045" t="s">
        <v>746</v>
      </c>
      <c r="E1045" s="13" t="n">
        <v>0.5</v>
      </c>
      <c r="F1045" s="16" t="n">
        <v>168</v>
      </c>
      <c r="G1045" s="14" t="n">
        <v>0.4567727288213</v>
      </c>
      <c r="H1045" s="15" t="n">
        <v>-0.2033683215379</v>
      </c>
    </row>
    <row r="1046">
      <c r="A1046" t="s">
        <v>30</v>
      </c>
      <c r="B1046" t="s">
        <v>683</v>
      </c>
      <c r="C1046" t="s">
        <v>685</v>
      </c>
      <c r="D1046" t="s">
        <v>746</v>
      </c>
      <c r="E1046" s="13" t="n">
        <v>0.5</v>
      </c>
      <c r="F1046" s="16" t="n">
        <v>40</v>
      </c>
      <c r="G1046" s="14" t="n">
        <v>0.0868240888334652</v>
      </c>
      <c r="H1046" s="15" t="n">
        <v>0.492403876506104</v>
      </c>
    </row>
    <row r="1047">
      <c r="A1047" t="s">
        <v>31</v>
      </c>
      <c r="B1047" t="s">
        <v>686</v>
      </c>
      <c r="C1047" t="s">
        <v>687</v>
      </c>
      <c r="D1047" t="s">
        <v>746</v>
      </c>
      <c r="E1047" s="13" t="n">
        <v>0</v>
      </c>
      <c r="F1047" s="16" t="n">
        <v>81</v>
      </c>
      <c r="G1047" s="14" t="n">
        <v>0</v>
      </c>
      <c r="H1047" s="15" t="n">
        <v>0</v>
      </c>
    </row>
    <row r="1048">
      <c r="A1048" t="s">
        <v>31</v>
      </c>
      <c r="B1048" t="s">
        <v>688</v>
      </c>
      <c r="C1048" t="s">
        <v>689</v>
      </c>
      <c r="D1048" t="s">
        <v>746</v>
      </c>
      <c r="E1048" s="13" t="n">
        <v>0</v>
      </c>
      <c r="F1048" s="16" t="n">
        <v>24</v>
      </c>
      <c r="G1048" s="14" t="n">
        <v>0</v>
      </c>
      <c r="H1048" s="15" t="n">
        <v>0</v>
      </c>
    </row>
    <row r="1049">
      <c r="A1049" t="s">
        <v>31</v>
      </c>
      <c r="B1049" t="s">
        <v>688</v>
      </c>
      <c r="C1049" t="s">
        <v>690</v>
      </c>
      <c r="D1049" t="s">
        <v>746</v>
      </c>
      <c r="E1049" s="13" t="n">
        <v>0.25</v>
      </c>
      <c r="F1049" s="16" t="n">
        <v>48</v>
      </c>
      <c r="G1049" s="14" t="n">
        <v>-0.0261321158169133</v>
      </c>
      <c r="H1049" s="15" t="n">
        <v>0.248630473842068</v>
      </c>
    </row>
    <row r="1050">
      <c r="A1050" t="s">
        <v>31</v>
      </c>
      <c r="B1050" t="s">
        <v>691</v>
      </c>
      <c r="C1050" t="s">
        <v>692</v>
      </c>
      <c r="D1050" t="s">
        <v>746</v>
      </c>
      <c r="E1050" s="13" t="n">
        <v>0.25</v>
      </c>
      <c r="F1050" s="16" t="n">
        <v>108</v>
      </c>
      <c r="G1050" s="14" t="n">
        <v>-0.202254248593737</v>
      </c>
      <c r="H1050" s="15" t="n">
        <v>-0.146946313073118</v>
      </c>
    </row>
    <row r="1051">
      <c r="A1051" t="s">
        <v>31</v>
      </c>
      <c r="B1051" t="s">
        <v>691</v>
      </c>
      <c r="C1051" t="s">
        <v>693</v>
      </c>
      <c r="D1051" t="s">
        <v>746</v>
      </c>
      <c r="E1051" s="13" t="n">
        <v>0.25</v>
      </c>
      <c r="F1051" s="16" t="n">
        <v>75</v>
      </c>
      <c r="G1051" s="14" t="n">
        <v>-0.21650635094611</v>
      </c>
      <c r="H1051" s="15" t="n">
        <v>0.125</v>
      </c>
    </row>
    <row r="1052">
      <c r="A1052" t="s">
        <v>30</v>
      </c>
      <c r="B1052" t="s">
        <v>694</v>
      </c>
      <c r="C1052" t="s">
        <v>695</v>
      </c>
      <c r="D1052" t="s">
        <v>746</v>
      </c>
      <c r="E1052" s="13" t="n">
        <v>0.25</v>
      </c>
      <c r="F1052" s="16" t="n">
        <v>68</v>
      </c>
      <c r="G1052" s="14" t="n">
        <v>-0.179834950084663</v>
      </c>
      <c r="H1052" s="15" t="n">
        <v>0.173664592614749</v>
      </c>
    </row>
    <row r="1053">
      <c r="A1053" t="s">
        <v>30</v>
      </c>
      <c r="B1053" t="s">
        <v>694</v>
      </c>
      <c r="C1053" t="s">
        <v>696</v>
      </c>
      <c r="D1053" t="s">
        <v>746</v>
      </c>
      <c r="E1053" s="13" t="n">
        <v>0.25</v>
      </c>
      <c r="F1053" s="16" t="n">
        <v>41</v>
      </c>
      <c r="G1053" s="14" t="n">
        <v>0.0347932752400164</v>
      </c>
      <c r="H1053" s="15" t="n">
        <v>0.247567017185393</v>
      </c>
    </row>
    <row r="1054">
      <c r="A1054" t="s">
        <v>30</v>
      </c>
      <c r="B1054" t="s">
        <v>697</v>
      </c>
      <c r="C1054" t="s">
        <v>698</v>
      </c>
      <c r="D1054" t="s">
        <v>746</v>
      </c>
      <c r="E1054" s="13" t="n">
        <v>0</v>
      </c>
      <c r="F1054" s="16" t="n">
        <v>18</v>
      </c>
      <c r="G1054" s="14" t="n">
        <v>0</v>
      </c>
      <c r="H1054" s="15" t="n">
        <v>0</v>
      </c>
    </row>
    <row r="1055">
      <c r="A1055" t="s">
        <v>30</v>
      </c>
      <c r="B1055" t="s">
        <v>697</v>
      </c>
      <c r="C1055" t="s">
        <v>699</v>
      </c>
      <c r="D1055" t="s">
        <v>746</v>
      </c>
      <c r="E1055" s="13" t="n">
        <v>0</v>
      </c>
      <c r="F1055" s="16" t="n">
        <v>7</v>
      </c>
      <c r="G1055" s="14" t="n">
        <v>0</v>
      </c>
      <c r="H1055" s="15" t="n">
        <v>0</v>
      </c>
    </row>
    <row r="1056">
      <c r="A1056" t="s">
        <v>31</v>
      </c>
      <c r="B1056" t="s">
        <v>700</v>
      </c>
      <c r="C1056" t="s">
        <v>701</v>
      </c>
      <c r="D1056" t="s">
        <v>746</v>
      </c>
      <c r="E1056" s="13" t="n">
        <v>0</v>
      </c>
      <c r="F1056" s="16" t="n">
        <v>77</v>
      </c>
      <c r="G1056" s="14" t="n">
        <v>0</v>
      </c>
      <c r="H1056" s="15" t="n">
        <v>0</v>
      </c>
    </row>
    <row r="1057">
      <c r="A1057" t="s">
        <v>31</v>
      </c>
      <c r="B1057" t="s">
        <v>700</v>
      </c>
      <c r="C1057" t="s">
        <v>702</v>
      </c>
      <c r="D1057" t="s">
        <v>746</v>
      </c>
      <c r="E1057" s="13" t="n">
        <v>0</v>
      </c>
      <c r="F1057" s="16" t="n">
        <v>73</v>
      </c>
      <c r="G1057" s="14" t="n">
        <v>0</v>
      </c>
      <c r="H1057" s="15" t="n">
        <v>0</v>
      </c>
    </row>
    <row r="1058">
      <c r="A1058" t="s">
        <v>30</v>
      </c>
      <c r="B1058" t="s">
        <v>703</v>
      </c>
      <c r="C1058" t="s">
        <v>704</v>
      </c>
      <c r="D1058" t="s">
        <v>746</v>
      </c>
      <c r="E1058" s="13" t="n">
        <v>0.25</v>
      </c>
      <c r="F1058" s="16" t="n">
        <v>96</v>
      </c>
      <c r="G1058" s="14" t="n">
        <v>-0.244536900183451</v>
      </c>
      <c r="H1058" s="15" t="n">
        <v>-0.0519779227044398</v>
      </c>
    </row>
    <row r="1059">
      <c r="A1059" t="s">
        <v>31</v>
      </c>
      <c r="B1059" t="s">
        <v>705</v>
      </c>
      <c r="C1059" t="s">
        <v>706</v>
      </c>
      <c r="D1059" t="s">
        <v>746</v>
      </c>
      <c r="E1059" s="13" t="n">
        <v>0</v>
      </c>
      <c r="F1059" s="16" t="n">
        <v>122</v>
      </c>
      <c r="G1059" s="14" t="n">
        <v>0</v>
      </c>
      <c r="H1059" s="15" t="n">
        <v>0</v>
      </c>
    </row>
    <row r="1060">
      <c r="A1060" t="s">
        <v>31</v>
      </c>
      <c r="B1060" t="s">
        <v>707</v>
      </c>
      <c r="C1060" t="s">
        <v>708</v>
      </c>
      <c r="D1060" t="s">
        <v>746</v>
      </c>
      <c r="E1060" s="13" t="n">
        <v>0.25</v>
      </c>
      <c r="F1060" s="16" t="n">
        <v>84</v>
      </c>
      <c r="G1060" s="14" t="n">
        <v>-0.244536900183451</v>
      </c>
      <c r="H1060" s="15" t="n">
        <v>0.0519779227044398</v>
      </c>
    </row>
    <row r="1061">
      <c r="A1061" t="s">
        <v>31</v>
      </c>
      <c r="B1061" t="s">
        <v>707</v>
      </c>
      <c r="C1061" t="s">
        <v>709</v>
      </c>
      <c r="D1061" t="s">
        <v>746</v>
      </c>
      <c r="E1061" s="13" t="n">
        <v>0.25</v>
      </c>
      <c r="F1061" s="16" t="n">
        <v>48</v>
      </c>
      <c r="G1061" s="14" t="n">
        <v>-0.0261321158169133</v>
      </c>
      <c r="H1061" s="15" t="n">
        <v>0.248630473842068</v>
      </c>
    </row>
    <row r="1062">
      <c r="A1062" t="s">
        <v>30</v>
      </c>
      <c r="B1062" t="s">
        <v>710</v>
      </c>
      <c r="C1062" t="s">
        <v>711</v>
      </c>
      <c r="D1062" t="s">
        <v>746</v>
      </c>
      <c r="E1062" s="13" t="n">
        <v>0.25</v>
      </c>
      <c r="F1062" s="16" t="n">
        <v>1</v>
      </c>
      <c r="G1062" s="14" t="n">
        <v>0.249847706754774</v>
      </c>
      <c r="H1062" s="15" t="n">
        <v>0.00872487417562524</v>
      </c>
    </row>
    <row r="1063">
      <c r="A1063" t="s">
        <v>30</v>
      </c>
      <c r="B1063" t="s">
        <v>712</v>
      </c>
      <c r="C1063" t="s">
        <v>713</v>
      </c>
      <c r="D1063" t="s">
        <v>746</v>
      </c>
      <c r="E1063" s="13" t="n">
        <v>0.5</v>
      </c>
      <c r="F1063" s="16" t="n">
        <v>64</v>
      </c>
      <c r="G1063" s="14" t="n">
        <v>-0.307830737662829</v>
      </c>
      <c r="H1063" s="15" t="n">
        <v>0.394005376803361</v>
      </c>
    </row>
  </sheetData>
  <pageMargins left="0.7" right="0.7" top="0.75" bottom="0.75" header="0.3" footer="0.3"/>
  <pageSetup paperSize="9" orientation="portrait" horizontalDpi="300" verticalDpi="300" r:id="rId2"/>
  <tableParts count="1">
    <tablePart r:id="rId5"/>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9" t="s">
        <v>747</v>
      </c>
    </row>
    <row r="3">
      <c r="A3" s="1" t="s">
        <v>748</v>
      </c>
    </row>
    <row r="4">
      <c r="A4" t="s">
        <v>749</v>
      </c>
      <c r="B4" t="s">
        <v>750</v>
      </c>
      <c r="C4" t="s">
        <v>751</v>
      </c>
      <c r="D4" t="s">
        <v>752</v>
      </c>
      <c r="E4" t="s">
        <v>753</v>
      </c>
      <c r="F4" t="s">
        <v>754</v>
      </c>
      <c r="G4" t="s">
        <v>755</v>
      </c>
      <c r="H4" t="s">
        <v>756</v>
      </c>
      <c r="I4" t="s">
        <v>757</v>
      </c>
      <c r="J4" t="s">
        <v>758</v>
      </c>
      <c r="K4" t="s">
        <v>759</v>
      </c>
      <c r="L4" t="s">
        <v>760</v>
      </c>
      <c r="M4" t="s">
        <v>39</v>
      </c>
      <c r="N4" t="s">
        <v>761</v>
      </c>
      <c r="O4" t="s">
        <v>762</v>
      </c>
      <c r="P4" t="s">
        <v>763</v>
      </c>
      <c r="Q4" t="s">
        <v>1</v>
      </c>
    </row>
    <row r="5">
      <c r="A5" t="s">
        <v>764</v>
      </c>
      <c r="B5" t="s">
        <v>765</v>
      </c>
      <c r="C5" s="17" t="n">
        <v>34.0185185185185</v>
      </c>
      <c r="D5" s="17" t="n">
        <v>1.04003588082883</v>
      </c>
      <c r="E5" s="17" t="n">
        <v>32.7089854740477</v>
      </c>
      <c r="F5" t="n">
        <v>0.0000000000000000000000000000000000000000000000000000000000807959412924385</v>
      </c>
      <c r="G5" t="n">
        <v>111</v>
      </c>
      <c r="H5" t="s">
        <v>766</v>
      </c>
      <c r="I5" s="17" t="n">
        <v>34.0185185185185</v>
      </c>
      <c r="J5" s="17" t="n">
        <v>31.957617990903</v>
      </c>
      <c r="K5" s="17" t="n">
        <v>36.0794190461341</v>
      </c>
      <c r="L5" t="s">
        <v>767</v>
      </c>
      <c r="M5" t="s">
        <v>55</v>
      </c>
      <c r="N5" t="s">
        <v>768</v>
      </c>
      <c r="O5" t="s">
        <v>769</v>
      </c>
      <c r="P5" t="s">
        <v>770</v>
      </c>
      <c r="Q5"/>
    </row>
    <row r="6">
      <c r="A6" t="s">
        <v>764</v>
      </c>
      <c r="B6" t="s">
        <v>318</v>
      </c>
      <c r="C6" s="17" t="n">
        <v>3.8967357187696</v>
      </c>
      <c r="D6" s="17" t="n">
        <v>1.43933384765602</v>
      </c>
      <c r="E6" s="17" t="n">
        <v>2.70731889277496</v>
      </c>
      <c r="F6" t="n">
        <v>0.00785602667195709</v>
      </c>
      <c r="G6" t="n">
        <v>111</v>
      </c>
      <c r="H6" t="s">
        <v>771</v>
      </c>
      <c r="I6" s="17" t="n">
        <v>3.8967357187696</v>
      </c>
      <c r="J6" s="17" t="n">
        <v>1.04459961392173</v>
      </c>
      <c r="K6" s="17" t="n">
        <v>6.74887182361747</v>
      </c>
      <c r="L6" t="s">
        <v>50</v>
      </c>
      <c r="M6" t="s">
        <v>47</v>
      </c>
      <c r="N6" t="s">
        <v>768</v>
      </c>
      <c r="O6" t="s">
        <v>769</v>
      </c>
      <c r="P6" t="s">
        <v>770</v>
      </c>
      <c r="Q6"/>
    </row>
    <row r="7">
      <c r="A7" t="s">
        <v>52</v>
      </c>
      <c r="B7" t="s">
        <v>765</v>
      </c>
      <c r="C7" s="17" t="n">
        <v>-3.77906586802359</v>
      </c>
      <c r="D7" s="17" t="n">
        <v>0.25351147579283</v>
      </c>
      <c r="E7" s="17" t="n">
        <v>-14.9068828391494</v>
      </c>
      <c r="F7" t="n">
        <v>0.000000000000000000000000000294156477510289</v>
      </c>
      <c r="G7" t="n">
        <v>111</v>
      </c>
      <c r="H7" t="s">
        <v>766</v>
      </c>
      <c r="I7" s="17" t="n">
        <v>-3.77906586802359</v>
      </c>
      <c r="J7" s="17" t="n">
        <v>-4.28141578099166</v>
      </c>
      <c r="K7" s="17" t="n">
        <v>-3.27671595505552</v>
      </c>
      <c r="L7" t="s">
        <v>772</v>
      </c>
      <c r="M7" t="s">
        <v>55</v>
      </c>
      <c r="N7" t="s">
        <v>773</v>
      </c>
      <c r="O7" t="s">
        <v>774</v>
      </c>
      <c r="P7" t="s">
        <v>770</v>
      </c>
      <c r="Q7"/>
    </row>
    <row r="8">
      <c r="A8" t="s">
        <v>52</v>
      </c>
      <c r="B8" t="s">
        <v>318</v>
      </c>
      <c r="C8" s="17" t="n">
        <v>-1.39959183978624</v>
      </c>
      <c r="D8" s="17" t="n">
        <v>0.374038168551562</v>
      </c>
      <c r="E8" s="17" t="n">
        <v>-3.7418422970203</v>
      </c>
      <c r="F8" t="n">
        <v>0.000290988729766653</v>
      </c>
      <c r="G8" t="n">
        <v>111</v>
      </c>
      <c r="H8" t="s">
        <v>771</v>
      </c>
      <c r="I8" s="17" t="n">
        <v>-1.39959183978624</v>
      </c>
      <c r="J8" s="17" t="n">
        <v>-2.14077344046519</v>
      </c>
      <c r="K8" s="17" t="n">
        <v>-0.658410239107288</v>
      </c>
      <c r="L8" t="s">
        <v>57</v>
      </c>
      <c r="M8" t="s">
        <v>55</v>
      </c>
      <c r="N8" t="s">
        <v>773</v>
      </c>
      <c r="O8" t="s">
        <v>774</v>
      </c>
      <c r="P8" t="s">
        <v>770</v>
      </c>
      <c r="Q8"/>
    </row>
    <row r="9">
      <c r="A9" t="s">
        <v>58</v>
      </c>
      <c r="B9" t="s">
        <v>765</v>
      </c>
      <c r="C9" s="17" t="n">
        <v>-3.34394413669909</v>
      </c>
      <c r="D9" s="17" t="n">
        <v>0.256972115035082</v>
      </c>
      <c r="E9" s="17" t="n">
        <v>-13.0128677045079</v>
      </c>
      <c r="F9" t="n">
        <v>0.00000000000000000000000451480343476612</v>
      </c>
      <c r="G9" t="n">
        <v>111</v>
      </c>
      <c r="H9" t="s">
        <v>766</v>
      </c>
      <c r="I9" s="17" t="n">
        <v>-3.34394413669909</v>
      </c>
      <c r="J9" s="17" t="n">
        <v>-3.85315153734784</v>
      </c>
      <c r="K9" s="17" t="n">
        <v>-2.83473673605035</v>
      </c>
      <c r="L9" t="s">
        <v>775</v>
      </c>
      <c r="M9" t="s">
        <v>55</v>
      </c>
      <c r="N9" t="s">
        <v>773</v>
      </c>
      <c r="O9" t="s">
        <v>774</v>
      </c>
      <c r="P9" t="s">
        <v>770</v>
      </c>
      <c r="Q9"/>
    </row>
    <row r="10">
      <c r="A10" t="s">
        <v>58</v>
      </c>
      <c r="B10" t="s">
        <v>318</v>
      </c>
      <c r="C10" s="17" t="n">
        <v>-1.4523510710222</v>
      </c>
      <c r="D10" s="17" t="n">
        <v>0.376724986845672</v>
      </c>
      <c r="E10" s="17" t="n">
        <v>-3.85520239361548</v>
      </c>
      <c r="F10" t="n">
        <v>0.00019421027704802</v>
      </c>
      <c r="G10" t="n">
        <v>111</v>
      </c>
      <c r="H10" t="s">
        <v>771</v>
      </c>
      <c r="I10" s="17" t="n">
        <v>-1.4523510710222</v>
      </c>
      <c r="J10" s="17" t="n">
        <v>-2.19885678151506</v>
      </c>
      <c r="K10" s="17" t="n">
        <v>-0.705845360529333</v>
      </c>
      <c r="L10" t="s">
        <v>61</v>
      </c>
      <c r="M10" t="s">
        <v>55</v>
      </c>
      <c r="N10" t="s">
        <v>773</v>
      </c>
      <c r="O10" t="s">
        <v>774</v>
      </c>
      <c r="P10" t="s">
        <v>770</v>
      </c>
      <c r="Q10"/>
    </row>
    <row r="11">
      <c r="A11" t="s">
        <v>62</v>
      </c>
      <c r="B11" t="s">
        <v>765</v>
      </c>
      <c r="C11" s="17" t="n">
        <v>-0.874680225948418</v>
      </c>
      <c r="D11" s="17" t="n">
        <v>0.064387910838137</v>
      </c>
      <c r="E11" s="17" t="n">
        <v>-13.5845411749304</v>
      </c>
      <c r="F11" t="n">
        <v>0.000000000000000000000000236877128083068</v>
      </c>
      <c r="G11" t="n">
        <v>111</v>
      </c>
      <c r="H11" t="s">
        <v>766</v>
      </c>
      <c r="I11" s="17" t="n">
        <v>-0.874680225948418</v>
      </c>
      <c r="J11" s="17" t="n">
        <v>-1.00226916962277</v>
      </c>
      <c r="K11" s="17" t="n">
        <v>-0.747091282274063</v>
      </c>
      <c r="L11" t="s">
        <v>776</v>
      </c>
      <c r="M11" t="s">
        <v>55</v>
      </c>
      <c r="N11" t="s">
        <v>773</v>
      </c>
      <c r="O11" t="s">
        <v>774</v>
      </c>
      <c r="P11" t="s">
        <v>770</v>
      </c>
      <c r="Q11"/>
    </row>
    <row r="12">
      <c r="A12" t="s">
        <v>62</v>
      </c>
      <c r="B12" t="s">
        <v>318</v>
      </c>
      <c r="C12" s="17" t="n">
        <v>0.108499657327041</v>
      </c>
      <c r="D12" s="17" t="n">
        <v>0.0809358788768359</v>
      </c>
      <c r="E12" s="17" t="n">
        <v>1.34056315731309</v>
      </c>
      <c r="F12" t="n">
        <v>0.182799559732439</v>
      </c>
      <c r="G12" t="n">
        <v>111</v>
      </c>
      <c r="H12" t="s">
        <v>771</v>
      </c>
      <c r="I12" s="17" t="n">
        <v>0.108499657327041</v>
      </c>
      <c r="J12" s="17" t="n">
        <v>-0.0518801897099375</v>
      </c>
      <c r="K12" s="17" t="n">
        <v>0.26887950436402</v>
      </c>
      <c r="L12" t="s">
        <v>67</v>
      </c>
      <c r="M12" t="s">
        <v>65</v>
      </c>
      <c r="N12" t="s">
        <v>773</v>
      </c>
      <c r="O12" t="s">
        <v>774</v>
      </c>
      <c r="P12" t="s">
        <v>770</v>
      </c>
      <c r="Q12"/>
    </row>
    <row r="13">
      <c r="A13" t="s">
        <v>68</v>
      </c>
      <c r="B13" t="s">
        <v>765</v>
      </c>
      <c r="C13" s="17" t="n">
        <v>1.01659514678812</v>
      </c>
      <c r="D13" s="17" t="n">
        <v>0.0656195513084299</v>
      </c>
      <c r="E13" s="17" t="n">
        <v>15.4922599517611</v>
      </c>
      <c r="F13" t="n">
        <v>0.0000000000000000000000000000161909015480983</v>
      </c>
      <c r="G13" t="n">
        <v>111</v>
      </c>
      <c r="H13" t="s">
        <v>766</v>
      </c>
      <c r="I13" s="17" t="n">
        <v>1.01659514678812</v>
      </c>
      <c r="J13" s="17" t="n">
        <v>0.886565625301168</v>
      </c>
      <c r="K13" s="17" t="n">
        <v>1.14662466827508</v>
      </c>
      <c r="L13" t="s">
        <v>777</v>
      </c>
      <c r="M13" t="s">
        <v>55</v>
      </c>
      <c r="N13" t="s">
        <v>773</v>
      </c>
      <c r="O13" t="s">
        <v>774</v>
      </c>
      <c r="P13" t="s">
        <v>770</v>
      </c>
      <c r="Q13"/>
    </row>
    <row r="14">
      <c r="A14" t="s">
        <v>68</v>
      </c>
      <c r="B14" t="s">
        <v>318</v>
      </c>
      <c r="C14" s="17" t="n">
        <v>0.272302994101178</v>
      </c>
      <c r="D14" s="17" t="n">
        <v>0.089927623566043</v>
      </c>
      <c r="E14" s="17" t="n">
        <v>3.02802390748376</v>
      </c>
      <c r="F14" t="n">
        <v>0.00306133387861361</v>
      </c>
      <c r="G14" t="n">
        <v>111</v>
      </c>
      <c r="H14" t="s">
        <v>771</v>
      </c>
      <c r="I14" s="17" t="n">
        <v>0.272302994101178</v>
      </c>
      <c r="J14" s="17" t="n">
        <v>0.094105404699962</v>
      </c>
      <c r="K14" s="17" t="n">
        <v>0.450500583502394</v>
      </c>
      <c r="L14" t="s">
        <v>72</v>
      </c>
      <c r="M14" t="s">
        <v>71</v>
      </c>
      <c r="N14" t="s">
        <v>773</v>
      </c>
      <c r="O14" t="s">
        <v>774</v>
      </c>
      <c r="P14" t="s">
        <v>770</v>
      </c>
      <c r="Q14"/>
    </row>
    <row r="15">
      <c r="A15" t="s">
        <v>73</v>
      </c>
      <c r="B15" t="s">
        <v>765</v>
      </c>
      <c r="C15" s="17" t="n">
        <v>-0.0241292128131883</v>
      </c>
      <c r="D15" s="17" t="n">
        <v>0.00814265990954781</v>
      </c>
      <c r="E15" s="17" t="n">
        <v>-2.96330843744256</v>
      </c>
      <c r="F15" t="n">
        <v>0.00372462806530087</v>
      </c>
      <c r="G15" t="n">
        <v>111</v>
      </c>
      <c r="H15" t="s">
        <v>766</v>
      </c>
      <c r="I15" s="17" t="n">
        <v>-0.0241292128131883</v>
      </c>
      <c r="J15" s="17" t="n">
        <v>-0.0402644370041148</v>
      </c>
      <c r="K15" s="17" t="n">
        <v>-0.00799398862226188</v>
      </c>
      <c r="L15" t="s">
        <v>778</v>
      </c>
      <c r="M15" t="s">
        <v>399</v>
      </c>
      <c r="N15" t="s">
        <v>773</v>
      </c>
      <c r="O15" t="s">
        <v>774</v>
      </c>
      <c r="P15" t="s">
        <v>770</v>
      </c>
      <c r="Q15"/>
    </row>
    <row r="16">
      <c r="A16" t="s">
        <v>73</v>
      </c>
      <c r="B16" t="s">
        <v>318</v>
      </c>
      <c r="C16" s="17" t="n">
        <v>-0.00413390348786205</v>
      </c>
      <c r="D16" s="17" t="n">
        <v>0.0104273782719124</v>
      </c>
      <c r="E16" s="17" t="n">
        <v>-0.396447062728827</v>
      </c>
      <c r="F16" t="n">
        <v>0.692536366196054</v>
      </c>
      <c r="G16" t="n">
        <v>111</v>
      </c>
      <c r="H16" t="s">
        <v>771</v>
      </c>
      <c r="I16" s="17" t="n">
        <v>-0.00413390348786205</v>
      </c>
      <c r="J16" s="17" t="n">
        <v>-0.0247964496349287</v>
      </c>
      <c r="K16" s="17" t="n">
        <v>0.0165286426592046</v>
      </c>
      <c r="L16" t="s">
        <v>77</v>
      </c>
      <c r="M16" t="s">
        <v>76</v>
      </c>
      <c r="N16" t="s">
        <v>773</v>
      </c>
      <c r="O16" t="s">
        <v>774</v>
      </c>
      <c r="P16" t="s">
        <v>770</v>
      </c>
      <c r="Q16"/>
    </row>
    <row r="17">
      <c r="A17" t="s">
        <v>78</v>
      </c>
      <c r="B17" t="s">
        <v>765</v>
      </c>
      <c r="C17" s="17" t="n">
        <v>532.813403100587</v>
      </c>
      <c r="D17" s="17" t="n">
        <v>3.06130755555749</v>
      </c>
      <c r="E17" s="17" t="n">
        <v>174.047655595178</v>
      </c>
      <c r="F17" t="n">
        <v>0.0000000000000000000000000000000000000000000000000000000000000000000000000000000000000000000000000000000000000000000000000000000000000000391001675618707</v>
      </c>
      <c r="G17" t="n">
        <v>111</v>
      </c>
      <c r="H17" t="s">
        <v>766</v>
      </c>
      <c r="I17" s="17" t="n">
        <v>532.813403100587</v>
      </c>
      <c r="J17" s="17" t="n">
        <v>526.747217815312</v>
      </c>
      <c r="K17" s="17" t="n">
        <v>538.879588385862</v>
      </c>
      <c r="L17" t="s">
        <v>779</v>
      </c>
      <c r="M17" t="s">
        <v>55</v>
      </c>
      <c r="N17" t="s">
        <v>773</v>
      </c>
      <c r="O17" t="s">
        <v>774</v>
      </c>
      <c r="P17" t="s">
        <v>770</v>
      </c>
      <c r="Q17"/>
    </row>
    <row r="18">
      <c r="A18" t="s">
        <v>78</v>
      </c>
      <c r="B18" t="s">
        <v>318</v>
      </c>
      <c r="C18" s="17" t="n">
        <v>-9.22962957065463</v>
      </c>
      <c r="D18" s="17" t="n">
        <v>4.08202330183209</v>
      </c>
      <c r="E18" s="17" t="n">
        <v>-2.26104284277657</v>
      </c>
      <c r="F18" t="n">
        <v>0.0257057699167429</v>
      </c>
      <c r="G18" t="n">
        <v>111</v>
      </c>
      <c r="H18" t="s">
        <v>771</v>
      </c>
      <c r="I18" s="17" t="n">
        <v>-9.22962957065463</v>
      </c>
      <c r="J18" s="17" t="n">
        <v>-17.3184312471702</v>
      </c>
      <c r="K18" s="17" t="n">
        <v>-1.14082789413905</v>
      </c>
      <c r="L18" t="s">
        <v>82</v>
      </c>
      <c r="M18" t="s">
        <v>81</v>
      </c>
      <c r="N18" t="s">
        <v>773</v>
      </c>
      <c r="O18" t="s">
        <v>774</v>
      </c>
      <c r="P18" t="s">
        <v>770</v>
      </c>
      <c r="Q18"/>
    </row>
    <row r="19">
      <c r="A19" t="s">
        <v>83</v>
      </c>
      <c r="B19" t="s">
        <v>765</v>
      </c>
      <c r="C19" s="17" t="n">
        <v>43.6023255813953</v>
      </c>
      <c r="D19" s="17" t="n">
        <v>0.209129439713228</v>
      </c>
      <c r="E19" s="17" t="n">
        <v>208.494440769247</v>
      </c>
      <c r="F19" t="n">
        <v>0.000000000000000000000000000000000000000000000000000000000000000000000000000000000000000000000000000000000000000000000000000000000000000000000000992277864416297</v>
      </c>
      <c r="G19" t="n">
        <v>110</v>
      </c>
      <c r="H19" t="s">
        <v>766</v>
      </c>
      <c r="I19" s="17" t="n">
        <v>43.6023255813953</v>
      </c>
      <c r="J19" s="17" t="n">
        <v>43.1878801182999</v>
      </c>
      <c r="K19" s="17" t="n">
        <v>44.0167710444908</v>
      </c>
      <c r="L19" t="s">
        <v>780</v>
      </c>
      <c r="M19" t="s">
        <v>55</v>
      </c>
      <c r="N19" t="s">
        <v>773</v>
      </c>
      <c r="O19" t="s">
        <v>781</v>
      </c>
      <c r="P19" t="s">
        <v>770</v>
      </c>
      <c r="Q19"/>
    </row>
    <row r="20">
      <c r="A20" t="s">
        <v>83</v>
      </c>
      <c r="B20" t="s">
        <v>318</v>
      </c>
      <c r="C20" s="17" t="n">
        <v>-0.255315272116995</v>
      </c>
      <c r="D20" s="17" t="n">
        <v>0.308385180375488</v>
      </c>
      <c r="E20" s="17" t="n">
        <v>-0.827910315943603</v>
      </c>
      <c r="F20" t="n">
        <v>0.409513898388495</v>
      </c>
      <c r="G20" t="n">
        <v>110</v>
      </c>
      <c r="H20" t="s">
        <v>771</v>
      </c>
      <c r="I20" s="17" t="n">
        <v>-0.255315272116995</v>
      </c>
      <c r="J20" s="17" t="n">
        <v>-0.866462316109265</v>
      </c>
      <c r="K20" s="17" t="n">
        <v>0.355831771875275</v>
      </c>
      <c r="L20" t="s">
        <v>88</v>
      </c>
      <c r="M20" t="s">
        <v>86</v>
      </c>
      <c r="N20" t="s">
        <v>773</v>
      </c>
      <c r="O20" t="s">
        <v>781</v>
      </c>
      <c r="P20" t="s">
        <v>770</v>
      </c>
      <c r="Q20"/>
    </row>
    <row r="21">
      <c r="A21" t="s">
        <v>90</v>
      </c>
      <c r="B21"/>
      <c r="C21" s="17"/>
      <c r="D21" s="17"/>
      <c r="E21" s="17"/>
      <c r="F21"/>
      <c r="G21"/>
      <c r="H21"/>
      <c r="I21" s="17"/>
      <c r="J21" s="17"/>
      <c r="K21" s="17"/>
      <c r="L21"/>
      <c r="M21" t="s">
        <v>94</v>
      </c>
      <c r="N21"/>
      <c r="O21" t="s">
        <v>782</v>
      </c>
      <c r="P21"/>
      <c r="Q21"/>
    </row>
    <row r="22">
      <c r="A22" t="s">
        <v>23</v>
      </c>
      <c r="B22" t="s">
        <v>765</v>
      </c>
      <c r="C22" s="17" t="n">
        <v>0.374693449441411</v>
      </c>
      <c r="D22" s="17" t="n">
        <v>0.276955854703499</v>
      </c>
      <c r="E22" s="17" t="n">
        <v>1.35289954365669</v>
      </c>
      <c r="F22" t="n">
        <v>0.176087725221594</v>
      </c>
      <c r="G22"/>
      <c r="H22" t="s">
        <v>783</v>
      </c>
      <c r="I22" s="17" t="n">
        <v>1.45454545454545</v>
      </c>
      <c r="J22" s="17" t="n">
        <v>0.845243902649833</v>
      </c>
      <c r="K22" s="17" t="n">
        <v>2.50306742551604</v>
      </c>
      <c r="L22" t="s">
        <v>784</v>
      </c>
      <c r="M22" t="s">
        <v>65</v>
      </c>
      <c r="N22" t="s">
        <v>785</v>
      </c>
      <c r="O22" t="s">
        <v>786</v>
      </c>
      <c r="P22" t="s">
        <v>770</v>
      </c>
      <c r="Q22"/>
    </row>
    <row r="23">
      <c r="A23" t="s">
        <v>23</v>
      </c>
      <c r="B23" t="s">
        <v>318</v>
      </c>
      <c r="C23" s="17" t="n">
        <v>0.00260078170005728</v>
      </c>
      <c r="D23" s="17" t="n">
        <v>0.383330980606369</v>
      </c>
      <c r="E23" s="17" t="n">
        <v>0.0067846895545548</v>
      </c>
      <c r="F23" t="n">
        <v>0.994586642485902</v>
      </c>
      <c r="G23"/>
      <c r="H23" t="s">
        <v>787</v>
      </c>
      <c r="I23" s="17" t="n">
        <v>1.00260416666667</v>
      </c>
      <c r="J23" s="17" t="n">
        <v>0.472974343304374</v>
      </c>
      <c r="K23" s="17" t="n">
        <v>2.12530579987607</v>
      </c>
      <c r="L23" t="s">
        <v>100</v>
      </c>
      <c r="M23" t="s">
        <v>98</v>
      </c>
      <c r="N23" t="s">
        <v>785</v>
      </c>
      <c r="O23" t="s">
        <v>786</v>
      </c>
      <c r="P23" t="s">
        <v>770</v>
      </c>
      <c r="Q23"/>
    </row>
    <row r="24">
      <c r="A24" t="s">
        <v>788</v>
      </c>
      <c r="B24" t="s">
        <v>765</v>
      </c>
      <c r="C24" s="17" t="n">
        <v>-1.70474809223842</v>
      </c>
      <c r="D24" s="17" t="n">
        <v>0.384353057392904</v>
      </c>
      <c r="E24" s="17" t="n">
        <v>-4.43537018750899</v>
      </c>
      <c r="F24" t="n">
        <v>0.00000919142050541901</v>
      </c>
      <c r="G24"/>
      <c r="H24" t="s">
        <v>783</v>
      </c>
      <c r="I24" s="17" t="n">
        <v>0.181818181818183</v>
      </c>
      <c r="J24" s="17" t="n">
        <v>0.0856003213222943</v>
      </c>
      <c r="K24" s="17" t="n">
        <v>0.386188401270172</v>
      </c>
      <c r="L24" t="s">
        <v>789</v>
      </c>
      <c r="M24" t="s">
        <v>55</v>
      </c>
      <c r="N24" t="s">
        <v>785</v>
      </c>
      <c r="O24" t="s">
        <v>790</v>
      </c>
      <c r="P24" t="s">
        <v>770</v>
      </c>
      <c r="Q24"/>
    </row>
    <row r="25">
      <c r="A25" t="s">
        <v>788</v>
      </c>
      <c r="B25" t="s">
        <v>318</v>
      </c>
      <c r="C25" s="17" t="n">
        <v>-0.415515443961667</v>
      </c>
      <c r="D25" s="17" t="n">
        <v>0.578268051038871</v>
      </c>
      <c r="E25" s="17" t="n">
        <v>-0.718551618432291</v>
      </c>
      <c r="F25" t="n">
        <v>0.472417232576162</v>
      </c>
      <c r="G25"/>
      <c r="H25" t="s">
        <v>787</v>
      </c>
      <c r="I25" s="17" t="n">
        <v>0.659999999999999</v>
      </c>
      <c r="J25" s="17" t="n">
        <v>0.212481575605821</v>
      </c>
      <c r="K25" s="17" t="n">
        <v>2.0500600993664</v>
      </c>
      <c r="L25" t="s">
        <v>106</v>
      </c>
      <c r="M25" t="s">
        <v>105</v>
      </c>
      <c r="N25" t="s">
        <v>785</v>
      </c>
      <c r="O25" t="s">
        <v>790</v>
      </c>
      <c r="P25" t="s">
        <v>770</v>
      </c>
      <c r="Q25"/>
    </row>
    <row r="26">
      <c r="A26" t="s">
        <v>791</v>
      </c>
      <c r="B26"/>
      <c r="C26" s="17"/>
      <c r="D26" s="17"/>
      <c r="E26" s="17"/>
      <c r="F26"/>
      <c r="G26"/>
      <c r="H26"/>
      <c r="I26" s="17"/>
      <c r="J26" s="17"/>
      <c r="K26" s="17"/>
      <c r="L26"/>
      <c r="M26" t="s">
        <v>94</v>
      </c>
      <c r="N26"/>
      <c r="O26" t="s">
        <v>792</v>
      </c>
      <c r="P26"/>
      <c r="Q26"/>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9" t="s">
        <v>793</v>
      </c>
    </row>
    <row r="3">
      <c r="A3" s="1" t="s">
        <v>748</v>
      </c>
    </row>
    <row r="4">
      <c r="A4" t="s">
        <v>749</v>
      </c>
      <c r="B4" t="s">
        <v>750</v>
      </c>
      <c r="C4" t="s">
        <v>751</v>
      </c>
      <c r="D4" t="s">
        <v>752</v>
      </c>
      <c r="E4" t="s">
        <v>753</v>
      </c>
      <c r="F4" t="s">
        <v>754</v>
      </c>
      <c r="G4" t="s">
        <v>755</v>
      </c>
      <c r="H4" t="s">
        <v>756</v>
      </c>
      <c r="I4" t="s">
        <v>757</v>
      </c>
      <c r="J4" t="s">
        <v>758</v>
      </c>
      <c r="K4" t="s">
        <v>759</v>
      </c>
      <c r="L4" t="s">
        <v>760</v>
      </c>
      <c r="M4" t="s">
        <v>39</v>
      </c>
      <c r="N4" t="s">
        <v>761</v>
      </c>
      <c r="O4" t="s">
        <v>762</v>
      </c>
      <c r="P4" t="s">
        <v>763</v>
      </c>
      <c r="Q4" t="s">
        <v>1</v>
      </c>
    </row>
    <row r="5">
      <c r="A5" t="s">
        <v>794</v>
      </c>
      <c r="B5" t="s">
        <v>765</v>
      </c>
      <c r="C5" s="18" t="n">
        <v>6.51296296296296</v>
      </c>
      <c r="D5" s="18" t="n">
        <v>0.0208402843550412</v>
      </c>
      <c r="E5" s="18" t="n">
        <v>312.5179509073</v>
      </c>
      <c r="F5" t="n">
        <v>0.00000000000000000000000000000000000000000000000000000000000000000000000000000000000000000000000000000000000000000000000000000000000000000000000000000000000000000000272563983325093</v>
      </c>
      <c r="G5" t="n">
        <v>111</v>
      </c>
      <c r="H5" t="s">
        <v>766</v>
      </c>
      <c r="I5" s="18" t="n">
        <v>6.51296296296296</v>
      </c>
      <c r="J5" s="18" t="n">
        <v>6.47166654827702</v>
      </c>
      <c r="K5" s="18" t="n">
        <v>6.55425937764889</v>
      </c>
      <c r="L5" t="s">
        <v>795</v>
      </c>
      <c r="M5" t="s">
        <v>55</v>
      </c>
      <c r="N5" t="s">
        <v>768</v>
      </c>
      <c r="O5" t="s">
        <v>769</v>
      </c>
      <c r="P5" t="s">
        <v>770</v>
      </c>
      <c r="Q5"/>
    </row>
    <row r="6">
      <c r="A6" t="s">
        <v>794</v>
      </c>
      <c r="B6" t="s">
        <v>318</v>
      </c>
      <c r="C6" s="18" t="n">
        <v>-0.0722849968612669</v>
      </c>
      <c r="D6" s="18" t="n">
        <v>0.0288414344350142</v>
      </c>
      <c r="E6" s="18" t="n">
        <v>-2.50628993589553</v>
      </c>
      <c r="F6" t="n">
        <v>0.0136500172625044</v>
      </c>
      <c r="G6" t="n">
        <v>111</v>
      </c>
      <c r="H6" t="s">
        <v>771</v>
      </c>
      <c r="I6" s="18" t="n">
        <v>-0.0722849968612669</v>
      </c>
      <c r="J6" s="18" t="n">
        <v>-0.129436224564046</v>
      </c>
      <c r="K6" s="18" t="n">
        <v>-0.0151337691584873</v>
      </c>
      <c r="L6" t="s">
        <v>123</v>
      </c>
      <c r="M6" t="s">
        <v>122</v>
      </c>
      <c r="N6" t="s">
        <v>768</v>
      </c>
      <c r="O6" t="s">
        <v>769</v>
      </c>
      <c r="P6" t="s">
        <v>770</v>
      </c>
      <c r="Q6"/>
    </row>
    <row r="7">
      <c r="A7" t="s">
        <v>125</v>
      </c>
      <c r="B7" t="s">
        <v>765</v>
      </c>
      <c r="C7" s="18" t="n">
        <v>59.1031815120681</v>
      </c>
      <c r="D7" s="18" t="n">
        <v>3.34440177382871</v>
      </c>
      <c r="E7" s="18" t="n">
        <v>17.672273102644</v>
      </c>
      <c r="F7" t="n">
        <v>0.000000000000000000000000000000000477421274668325</v>
      </c>
      <c r="G7" t="n">
        <v>111</v>
      </c>
      <c r="H7" t="s">
        <v>766</v>
      </c>
      <c r="I7" s="18" t="n">
        <v>59.1031815120681</v>
      </c>
      <c r="J7" s="18" t="n">
        <v>52.4760261347468</v>
      </c>
      <c r="K7" s="18" t="n">
        <v>65.7303368893894</v>
      </c>
      <c r="L7" t="s">
        <v>796</v>
      </c>
      <c r="M7" t="s">
        <v>55</v>
      </c>
      <c r="N7" t="s">
        <v>773</v>
      </c>
      <c r="O7" t="s">
        <v>774</v>
      </c>
      <c r="P7" t="s">
        <v>770</v>
      </c>
      <c r="Q7"/>
    </row>
    <row r="8">
      <c r="A8" t="s">
        <v>125</v>
      </c>
      <c r="B8" t="s">
        <v>318</v>
      </c>
      <c r="C8" s="18" t="n">
        <v>17.0819625379396</v>
      </c>
      <c r="D8" s="18" t="n">
        <v>4.97791427992237</v>
      </c>
      <c r="E8" s="18" t="n">
        <v>3.43155015883599</v>
      </c>
      <c r="F8" t="n">
        <v>0.000843955231606305</v>
      </c>
      <c r="G8" t="n">
        <v>111</v>
      </c>
      <c r="H8" t="s">
        <v>771</v>
      </c>
      <c r="I8" s="18" t="n">
        <v>17.0819625379396</v>
      </c>
      <c r="J8" s="18" t="n">
        <v>7.21789308127696</v>
      </c>
      <c r="K8" s="18" t="n">
        <v>26.9460319946022</v>
      </c>
      <c r="L8" t="s">
        <v>128</v>
      </c>
      <c r="M8" t="s">
        <v>55</v>
      </c>
      <c r="N8" t="s">
        <v>773</v>
      </c>
      <c r="O8" t="s">
        <v>774</v>
      </c>
      <c r="P8" t="s">
        <v>770</v>
      </c>
      <c r="Q8"/>
    </row>
    <row r="9">
      <c r="A9" t="s">
        <v>797</v>
      </c>
      <c r="B9"/>
      <c r="C9" s="18"/>
      <c r="D9" s="18"/>
      <c r="E9" s="18"/>
      <c r="F9"/>
      <c r="G9"/>
      <c r="H9"/>
      <c r="I9" s="18"/>
      <c r="J9" s="18"/>
      <c r="K9" s="18"/>
      <c r="L9"/>
      <c r="M9" t="s">
        <v>94</v>
      </c>
      <c r="N9"/>
      <c r="O9" t="s">
        <v>792</v>
      </c>
      <c r="P9"/>
      <c r="Q9"/>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 t="s">
        <v>748</v>
      </c>
    </row>
    <row r="2">
      <c r="A2" t="s">
        <v>749</v>
      </c>
      <c r="B2" t="s">
        <v>750</v>
      </c>
      <c r="C2" t="s">
        <v>751</v>
      </c>
      <c r="D2" t="s">
        <v>752</v>
      </c>
      <c r="E2" t="s">
        <v>753</v>
      </c>
      <c r="F2" t="s">
        <v>754</v>
      </c>
      <c r="G2" t="s">
        <v>755</v>
      </c>
      <c r="H2" t="s">
        <v>756</v>
      </c>
      <c r="I2" t="s">
        <v>757</v>
      </c>
      <c r="J2" t="s">
        <v>758</v>
      </c>
      <c r="K2" t="s">
        <v>759</v>
      </c>
      <c r="L2" t="s">
        <v>760</v>
      </c>
      <c r="M2" t="s">
        <v>39</v>
      </c>
      <c r="N2" t="s">
        <v>761</v>
      </c>
      <c r="O2" t="s">
        <v>762</v>
      </c>
      <c r="P2" t="s">
        <v>763</v>
      </c>
      <c r="Q2" t="s">
        <v>1</v>
      </c>
    </row>
    <row r="3">
      <c r="A3" t="s">
        <v>137</v>
      </c>
      <c r="B3" t="s">
        <v>765</v>
      </c>
      <c r="C3" s="19" t="n">
        <v>181.180443905127</v>
      </c>
      <c r="D3" s="19" t="n">
        <v>1.52893799164542</v>
      </c>
      <c r="E3" s="19" t="n">
        <v>118.50084496242</v>
      </c>
      <c r="F3" t="n">
        <v>0.0000000000000000000000000000000000000000000000000000000000000000000000000000000000000000000000000000000000000327652620087728</v>
      </c>
      <c r="G3" t="n">
        <v>101</v>
      </c>
      <c r="H3" t="s">
        <v>766</v>
      </c>
      <c r="I3" s="19" t="n">
        <v>181.180443905127</v>
      </c>
      <c r="J3" s="19" t="n">
        <v>178.147442209503</v>
      </c>
      <c r="K3" s="19" t="n">
        <v>184.213445600751</v>
      </c>
      <c r="L3" t="s">
        <v>798</v>
      </c>
      <c r="M3" t="s">
        <v>55</v>
      </c>
      <c r="N3" t="s">
        <v>773</v>
      </c>
      <c r="O3" t="s">
        <v>774</v>
      </c>
      <c r="P3" t="s">
        <v>770</v>
      </c>
      <c r="Q3"/>
    </row>
    <row r="4">
      <c r="A4" t="s">
        <v>137</v>
      </c>
      <c r="B4" t="s">
        <v>318</v>
      </c>
      <c r="C4" s="19" t="n">
        <v>-0.15867480165955</v>
      </c>
      <c r="D4" s="19" t="n">
        <v>2.04591988338721</v>
      </c>
      <c r="E4" s="19" t="n">
        <v>-0.0775567034408252</v>
      </c>
      <c r="F4" t="n">
        <v>0.938334121112024</v>
      </c>
      <c r="G4" t="n">
        <v>101</v>
      </c>
      <c r="H4" t="s">
        <v>771</v>
      </c>
      <c r="I4" s="19" t="n">
        <v>-0.15867480165955</v>
      </c>
      <c r="J4" s="19" t="n">
        <v>-4.21722950389808</v>
      </c>
      <c r="K4" s="19" t="n">
        <v>3.89987990057899</v>
      </c>
      <c r="L4" t="s">
        <v>141</v>
      </c>
      <c r="M4" t="s">
        <v>140</v>
      </c>
      <c r="N4" t="s">
        <v>773</v>
      </c>
      <c r="O4" t="s">
        <v>774</v>
      </c>
      <c r="P4" t="s">
        <v>770</v>
      </c>
      <c r="Q4"/>
    </row>
    <row r="5">
      <c r="A5" t="s">
        <v>145</v>
      </c>
      <c r="B5" t="s">
        <v>765</v>
      </c>
      <c r="C5" s="19" t="n">
        <v>0.0415281623914376</v>
      </c>
      <c r="D5" s="19" t="n">
        <v>0.0473658333987416</v>
      </c>
      <c r="E5" s="19" t="n">
        <v>0.876753545996742</v>
      </c>
      <c r="F5" t="n">
        <v>0.382701128371705</v>
      </c>
      <c r="G5" t="n">
        <v>101</v>
      </c>
      <c r="H5" t="s">
        <v>766</v>
      </c>
      <c r="I5" s="19" t="n">
        <v>0.0415281623914376</v>
      </c>
      <c r="J5" s="19" t="n">
        <v>-0.0524329098024762</v>
      </c>
      <c r="K5" s="19" t="n">
        <v>0.135489234585351</v>
      </c>
      <c r="L5" t="s">
        <v>799</v>
      </c>
      <c r="M5" t="s">
        <v>354</v>
      </c>
      <c r="N5" t="s">
        <v>773</v>
      </c>
      <c r="O5" t="s">
        <v>774</v>
      </c>
      <c r="P5" t="s">
        <v>770</v>
      </c>
      <c r="Q5"/>
    </row>
    <row r="6">
      <c r="A6" t="s">
        <v>145</v>
      </c>
      <c r="B6" t="s">
        <v>318</v>
      </c>
      <c r="C6" s="19" t="n">
        <v>-0.358430520056266</v>
      </c>
      <c r="D6" s="19" t="n">
        <v>0.0692491852947469</v>
      </c>
      <c r="E6" s="19" t="n">
        <v>-5.17595287988834</v>
      </c>
      <c r="F6" t="n">
        <v>0.00000115702559960349</v>
      </c>
      <c r="G6" t="n">
        <v>101</v>
      </c>
      <c r="H6" t="s">
        <v>771</v>
      </c>
      <c r="I6" s="19" t="n">
        <v>-0.358430520056266</v>
      </c>
      <c r="J6" s="19" t="n">
        <v>-0.495802275854873</v>
      </c>
      <c r="K6" s="19" t="n">
        <v>-0.221058764257659</v>
      </c>
      <c r="L6" t="s">
        <v>148</v>
      </c>
      <c r="M6" t="s">
        <v>55</v>
      </c>
      <c r="N6" t="s">
        <v>773</v>
      </c>
      <c r="O6" t="s">
        <v>774</v>
      </c>
      <c r="P6" t="s">
        <v>770</v>
      </c>
      <c r="Q6"/>
    </row>
    <row r="7">
      <c r="A7" t="s">
        <v>150</v>
      </c>
      <c r="B7" t="s">
        <v>765</v>
      </c>
      <c r="C7" s="19" t="n">
        <v>-0.233583924820044</v>
      </c>
      <c r="D7" s="19" t="n">
        <v>0.0236348153609605</v>
      </c>
      <c r="E7" s="19" t="n">
        <v>-9.88304419783508</v>
      </c>
      <c r="F7" t="n">
        <v>0.000000000000000162432125127753</v>
      </c>
      <c r="G7" t="n">
        <v>101</v>
      </c>
      <c r="H7" t="s">
        <v>766</v>
      </c>
      <c r="I7" s="19" t="n">
        <v>-0.233583924820044</v>
      </c>
      <c r="J7" s="19" t="n">
        <v>-0.280469040800713</v>
      </c>
      <c r="K7" s="19" t="n">
        <v>-0.186698808839376</v>
      </c>
      <c r="L7" t="s">
        <v>800</v>
      </c>
      <c r="M7" t="s">
        <v>55</v>
      </c>
      <c r="N7" t="s">
        <v>773</v>
      </c>
      <c r="O7" t="s">
        <v>774</v>
      </c>
      <c r="P7" t="s">
        <v>770</v>
      </c>
      <c r="Q7"/>
    </row>
    <row r="8">
      <c r="A8" t="s">
        <v>150</v>
      </c>
      <c r="B8" t="s">
        <v>318</v>
      </c>
      <c r="C8" s="19" t="n">
        <v>0.00866872417298296</v>
      </c>
      <c r="D8" s="19" t="n">
        <v>0.0289931645029858</v>
      </c>
      <c r="E8" s="19" t="n">
        <v>0.298991997651385</v>
      </c>
      <c r="F8" t="n">
        <v>0.765560492628462</v>
      </c>
      <c r="G8" t="n">
        <v>101</v>
      </c>
      <c r="H8" t="s">
        <v>771</v>
      </c>
      <c r="I8" s="19" t="n">
        <v>0.00866872417298296</v>
      </c>
      <c r="J8" s="19" t="n">
        <v>-0.048845915125382</v>
      </c>
      <c r="K8" s="19" t="n">
        <v>0.0661833634713479</v>
      </c>
      <c r="L8" t="s">
        <v>154</v>
      </c>
      <c r="M8" t="s">
        <v>153</v>
      </c>
      <c r="N8" t="s">
        <v>773</v>
      </c>
      <c r="O8" t="s">
        <v>774</v>
      </c>
      <c r="P8" t="s">
        <v>770</v>
      </c>
      <c r="Q8"/>
    </row>
    <row r="9">
      <c r="A9" t="s">
        <v>156</v>
      </c>
      <c r="B9" t="s">
        <v>765</v>
      </c>
      <c r="C9" s="19" t="n">
        <v>-0.0324417953994845</v>
      </c>
      <c r="D9" s="19" t="n">
        <v>0.0149473265230313</v>
      </c>
      <c r="E9" s="19" t="n">
        <v>-2.17040788862793</v>
      </c>
      <c r="F9" t="n">
        <v>0.0323431610441845</v>
      </c>
      <c r="G9" t="n">
        <v>100</v>
      </c>
      <c r="H9" t="s">
        <v>766</v>
      </c>
      <c r="I9" s="19" t="n">
        <v>-0.0324417953994845</v>
      </c>
      <c r="J9" s="19" t="n">
        <v>-0.0620968654992501</v>
      </c>
      <c r="K9" s="19" t="n">
        <v>-0.00278672529971878</v>
      </c>
      <c r="L9" t="s">
        <v>801</v>
      </c>
      <c r="M9" t="s">
        <v>81</v>
      </c>
      <c r="N9" t="s">
        <v>773</v>
      </c>
      <c r="O9" t="s">
        <v>774</v>
      </c>
      <c r="P9" t="s">
        <v>770</v>
      </c>
      <c r="Q9"/>
    </row>
    <row r="10">
      <c r="A10" t="s">
        <v>156</v>
      </c>
      <c r="B10" t="s">
        <v>318</v>
      </c>
      <c r="C10" s="19" t="n">
        <v>0.0286627087024563</v>
      </c>
      <c r="D10" s="19" t="n">
        <v>0.019655639094943</v>
      </c>
      <c r="E10" s="19" t="n">
        <v>1.4582435383559</v>
      </c>
      <c r="F10" t="n">
        <v>0.147907063445248</v>
      </c>
      <c r="G10" t="n">
        <v>100</v>
      </c>
      <c r="H10" t="s">
        <v>771</v>
      </c>
      <c r="I10" s="19" t="n">
        <v>0.0286627087024563</v>
      </c>
      <c r="J10" s="19" t="n">
        <v>-0.0103335194402887</v>
      </c>
      <c r="K10" s="19" t="n">
        <v>0.0676589368452013</v>
      </c>
      <c r="L10" t="s">
        <v>160</v>
      </c>
      <c r="M10" t="s">
        <v>159</v>
      </c>
      <c r="N10" t="s">
        <v>773</v>
      </c>
      <c r="O10" t="s">
        <v>774</v>
      </c>
      <c r="P10" t="s">
        <v>770</v>
      </c>
      <c r="Q10"/>
    </row>
    <row r="11">
      <c r="A11" t="s">
        <v>164</v>
      </c>
      <c r="B11" t="s">
        <v>765</v>
      </c>
      <c r="C11" s="19" t="n">
        <v>-0.0632350426811186</v>
      </c>
      <c r="D11" s="19" t="n">
        <v>0.0148528564075058</v>
      </c>
      <c r="E11" s="19" t="n">
        <v>-4.25743311227079</v>
      </c>
      <c r="F11" t="n">
        <v>0.0000464005719841231</v>
      </c>
      <c r="G11" t="n">
        <v>101</v>
      </c>
      <c r="H11" t="s">
        <v>766</v>
      </c>
      <c r="I11" s="19" t="n">
        <v>-0.0632350426811186</v>
      </c>
      <c r="J11" s="19" t="n">
        <v>-0.0926991144191357</v>
      </c>
      <c r="K11" s="19" t="n">
        <v>-0.0337709709431015</v>
      </c>
      <c r="L11" t="s">
        <v>802</v>
      </c>
      <c r="M11" t="s">
        <v>55</v>
      </c>
      <c r="N11" t="s">
        <v>773</v>
      </c>
      <c r="O11" t="s">
        <v>774</v>
      </c>
      <c r="P11" t="s">
        <v>770</v>
      </c>
      <c r="Q11"/>
    </row>
    <row r="12">
      <c r="A12" t="s">
        <v>164</v>
      </c>
      <c r="B12" t="s">
        <v>318</v>
      </c>
      <c r="C12" s="19" t="n">
        <v>-0.0007960839383319</v>
      </c>
      <c r="D12" s="19" t="n">
        <v>0.0180354038373078</v>
      </c>
      <c r="E12" s="19" t="n">
        <v>-0.0441400672540046</v>
      </c>
      <c r="F12" t="n">
        <v>0.964879905121649</v>
      </c>
      <c r="G12" t="n">
        <v>101</v>
      </c>
      <c r="H12" t="s">
        <v>771</v>
      </c>
      <c r="I12" s="19" t="n">
        <v>-0.0007960839383319</v>
      </c>
      <c r="J12" s="19" t="n">
        <v>-0.0365734736812239</v>
      </c>
      <c r="K12" s="19" t="n">
        <v>0.0349813058045601</v>
      </c>
      <c r="L12" t="s">
        <v>168</v>
      </c>
      <c r="M12" t="s">
        <v>167</v>
      </c>
      <c r="N12" t="s">
        <v>773</v>
      </c>
      <c r="O12" t="s">
        <v>774</v>
      </c>
      <c r="P12" t="s">
        <v>770</v>
      </c>
      <c r="Q12"/>
    </row>
    <row r="13">
      <c r="A13" t="s">
        <v>171</v>
      </c>
      <c r="B13"/>
      <c r="C13" s="19"/>
      <c r="D13" s="19"/>
      <c r="E13" s="19"/>
      <c r="F13"/>
      <c r="G13"/>
      <c r="H13"/>
      <c r="I13" s="19"/>
      <c r="J13" s="19"/>
      <c r="K13" s="19"/>
      <c r="L13"/>
      <c r="M13" t="s">
        <v>94</v>
      </c>
      <c r="N13"/>
      <c r="O13" t="s">
        <v>782</v>
      </c>
      <c r="P13"/>
      <c r="Q13"/>
    </row>
    <row r="14">
      <c r="A14" t="s">
        <v>175</v>
      </c>
      <c r="B14"/>
      <c r="C14" s="19"/>
      <c r="D14" s="19"/>
      <c r="E14" s="19"/>
      <c r="F14"/>
      <c r="G14"/>
      <c r="H14"/>
      <c r="I14" s="19"/>
      <c r="J14" s="19"/>
      <c r="K14" s="19"/>
      <c r="L14"/>
      <c r="M14" t="s">
        <v>94</v>
      </c>
      <c r="N14"/>
      <c r="O14" t="s">
        <v>782</v>
      </c>
      <c r="P14"/>
      <c r="Q14"/>
    </row>
    <row r="15">
      <c r="A15" t="s">
        <v>803</v>
      </c>
      <c r="B15" t="s">
        <v>765</v>
      </c>
      <c r="C15" s="19" t="n">
        <v>-1.89632642191013</v>
      </c>
      <c r="D15" s="19" t="n">
        <v>0.396556627899908</v>
      </c>
      <c r="E15" s="19" t="n">
        <v>-4.78198140818558</v>
      </c>
      <c r="F15" t="n">
        <v>0.00000592244523223878</v>
      </c>
      <c r="G15" t="n">
        <v>101</v>
      </c>
      <c r="H15" t="s">
        <v>783</v>
      </c>
      <c r="I15" s="19" t="n">
        <v>0.150119081689524</v>
      </c>
      <c r="J15" s="19" t="n">
        <v>0.0683585864413814</v>
      </c>
      <c r="K15" s="19" t="n">
        <v>0.32966946598041</v>
      </c>
      <c r="L15" t="s">
        <v>804</v>
      </c>
      <c r="M15" t="s">
        <v>55</v>
      </c>
      <c r="N15" t="s">
        <v>773</v>
      </c>
      <c r="O15" t="s">
        <v>805</v>
      </c>
      <c r="P15" t="s">
        <v>770</v>
      </c>
      <c r="Q15"/>
    </row>
    <row r="16">
      <c r="A16" t="s">
        <v>803</v>
      </c>
      <c r="B16" t="s">
        <v>318</v>
      </c>
      <c r="C16" s="19" t="n">
        <v>1.81597067664749</v>
      </c>
      <c r="D16" s="19" t="n">
        <v>0.468503826917822</v>
      </c>
      <c r="E16" s="19" t="n">
        <v>3.87610638870196</v>
      </c>
      <c r="F16" t="n">
        <v>0.000188925775130875</v>
      </c>
      <c r="G16" t="n">
        <v>101</v>
      </c>
      <c r="H16" t="s">
        <v>787</v>
      </c>
      <c r="I16" s="19" t="n">
        <v>6.14704007071853</v>
      </c>
      <c r="J16" s="19" t="n">
        <v>2.4268281343012</v>
      </c>
      <c r="K16" s="19" t="n">
        <v>15.5701597063855</v>
      </c>
      <c r="L16" t="s">
        <v>182</v>
      </c>
      <c r="M16" t="s">
        <v>55</v>
      </c>
      <c r="N16" t="s">
        <v>773</v>
      </c>
      <c r="O16" t="s">
        <v>805</v>
      </c>
      <c r="P16" t="s">
        <v>770</v>
      </c>
      <c r="Q16"/>
    </row>
    <row r="17">
      <c r="A17" t="s">
        <v>806</v>
      </c>
      <c r="B17" t="s">
        <v>765</v>
      </c>
      <c r="C17" s="19" t="n">
        <v>-2.29118231654953</v>
      </c>
      <c r="D17" s="19" t="n">
        <v>0.454128989402422</v>
      </c>
      <c r="E17" s="19" t="n">
        <v>-5.04522364794294</v>
      </c>
      <c r="F17" t="n">
        <v>0.00000200442679309954</v>
      </c>
      <c r="G17" t="n">
        <v>101</v>
      </c>
      <c r="H17" t="s">
        <v>783</v>
      </c>
      <c r="I17" s="19" t="n">
        <v>0.101146803591033</v>
      </c>
      <c r="J17" s="19" t="n">
        <v>0.0410874699167211</v>
      </c>
      <c r="K17" s="19" t="n">
        <v>0.248997465587908</v>
      </c>
      <c r="L17" t="s">
        <v>807</v>
      </c>
      <c r="M17" t="s">
        <v>55</v>
      </c>
      <c r="N17" t="s">
        <v>773</v>
      </c>
      <c r="O17" t="s">
        <v>805</v>
      </c>
      <c r="P17" t="s">
        <v>770</v>
      </c>
      <c r="Q17"/>
    </row>
    <row r="18">
      <c r="A18" t="s">
        <v>806</v>
      </c>
      <c r="B18" t="s">
        <v>318</v>
      </c>
      <c r="C18" s="19" t="n">
        <v>0.286697855494381</v>
      </c>
      <c r="D18" s="19" t="n">
        <v>0.565307016869541</v>
      </c>
      <c r="E18" s="19" t="n">
        <v>0.507154248822182</v>
      </c>
      <c r="F18" t="n">
        <v>0.613152143070719</v>
      </c>
      <c r="G18" t="n">
        <v>101</v>
      </c>
      <c r="H18" t="s">
        <v>787</v>
      </c>
      <c r="I18" s="19" t="n">
        <v>1.33202168963367</v>
      </c>
      <c r="J18" s="19" t="n">
        <v>0.43399633046898</v>
      </c>
      <c r="K18" s="19" t="n">
        <v>4.08824143682787</v>
      </c>
      <c r="L18" t="s">
        <v>190</v>
      </c>
      <c r="M18" t="s">
        <v>189</v>
      </c>
      <c r="N18" t="s">
        <v>773</v>
      </c>
      <c r="O18" t="s">
        <v>805</v>
      </c>
      <c r="P18" t="s">
        <v>770</v>
      </c>
      <c r="Q18"/>
    </row>
    <row r="19">
      <c r="A19" t="s">
        <v>808</v>
      </c>
      <c r="B19"/>
      <c r="C19" s="19"/>
      <c r="D19" s="19"/>
      <c r="E19" s="19"/>
      <c r="F19"/>
      <c r="G19"/>
      <c r="H19"/>
      <c r="I19" s="19"/>
      <c r="J19" s="19"/>
      <c r="K19" s="19"/>
      <c r="L19"/>
      <c r="M19" t="s">
        <v>94</v>
      </c>
      <c r="N19"/>
      <c r="O19" t="s">
        <v>792</v>
      </c>
      <c r="P19"/>
      <c r="Q19"/>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9" t="s">
        <v>747</v>
      </c>
    </row>
    <row r="3">
      <c r="A3" s="1" t="s">
        <v>748</v>
      </c>
    </row>
    <row r="4">
      <c r="A4" t="s">
        <v>749</v>
      </c>
      <c r="B4" t="s">
        <v>750</v>
      </c>
      <c r="C4" t="s">
        <v>751</v>
      </c>
      <c r="D4" t="s">
        <v>752</v>
      </c>
      <c r="E4" t="s">
        <v>753</v>
      </c>
      <c r="F4" t="s">
        <v>754</v>
      </c>
      <c r="G4" t="s">
        <v>755</v>
      </c>
      <c r="H4" t="s">
        <v>756</v>
      </c>
      <c r="I4" t="s">
        <v>757</v>
      </c>
      <c r="J4" t="s">
        <v>758</v>
      </c>
      <c r="K4" t="s">
        <v>759</v>
      </c>
      <c r="L4" t="s">
        <v>760</v>
      </c>
      <c r="M4" t="s">
        <v>39</v>
      </c>
      <c r="N4" t="s">
        <v>761</v>
      </c>
      <c r="O4" t="s">
        <v>762</v>
      </c>
      <c r="P4" t="s">
        <v>763</v>
      </c>
      <c r="Q4" t="s">
        <v>1</v>
      </c>
    </row>
    <row r="5">
      <c r="A5" t="s">
        <v>764</v>
      </c>
      <c r="B5" t="s">
        <v>809</v>
      </c>
      <c r="C5" s="20" t="n">
        <v>-11.2746967587066</v>
      </c>
      <c r="D5" s="20" t="n">
        <v>17.7741004652345</v>
      </c>
      <c r="E5" s="20" t="n">
        <v>-0.634332903696559</v>
      </c>
      <c r="F5" t="n">
        <v>0.527192669415489</v>
      </c>
      <c r="G5" t="n">
        <v>109</v>
      </c>
      <c r="H5"/>
      <c r="I5" s="20"/>
      <c r="J5" s="20"/>
      <c r="K5" s="20"/>
      <c r="L5"/>
      <c r="M5" t="s">
        <v>810</v>
      </c>
      <c r="N5" t="s">
        <v>768</v>
      </c>
      <c r="O5" t="s">
        <v>811</v>
      </c>
      <c r="P5" t="s">
        <v>812</v>
      </c>
      <c r="Q5"/>
    </row>
    <row r="6">
      <c r="A6" t="s">
        <v>764</v>
      </c>
      <c r="B6" t="s">
        <v>318</v>
      </c>
      <c r="C6" s="20" t="n">
        <v>5.5953659295617</v>
      </c>
      <c r="D6" s="20" t="n">
        <v>1.5414928452047</v>
      </c>
      <c r="E6" s="20" t="n">
        <v>3.62983580946734</v>
      </c>
      <c r="F6" t="n">
        <v>0.000433524021055451</v>
      </c>
      <c r="G6" t="n">
        <v>109</v>
      </c>
      <c r="H6" t="s">
        <v>771</v>
      </c>
      <c r="I6" s="20" t="n">
        <v>5.5953659295617</v>
      </c>
      <c r="J6" s="20" t="n">
        <v>2.5401772247046</v>
      </c>
      <c r="K6" s="20" t="n">
        <v>8.6505546344188</v>
      </c>
      <c r="L6" t="s">
        <v>813</v>
      </c>
      <c r="M6" t="s">
        <v>55</v>
      </c>
      <c r="N6" t="s">
        <v>768</v>
      </c>
      <c r="O6" t="s">
        <v>811</v>
      </c>
      <c r="P6" t="s">
        <v>812</v>
      </c>
      <c r="Q6"/>
    </row>
    <row r="7">
      <c r="A7" t="s">
        <v>764</v>
      </c>
      <c r="B7" t="s">
        <v>52</v>
      </c>
      <c r="C7" s="20" t="n">
        <v>0.633131506215318</v>
      </c>
      <c r="D7" s="20" t="n">
        <v>0.3611948757143</v>
      </c>
      <c r="E7" s="20" t="n">
        <v>1.75288064362274</v>
      </c>
      <c r="F7" t="n">
        <v>0.0824340894388257</v>
      </c>
      <c r="G7" t="n">
        <v>109</v>
      </c>
      <c r="H7" t="s">
        <v>771</v>
      </c>
      <c r="I7" s="20" t="n">
        <v>0.633131506215318</v>
      </c>
      <c r="J7" s="20" t="n">
        <v>-0.082744994909833</v>
      </c>
      <c r="K7" s="20" t="n">
        <v>1.34900800734047</v>
      </c>
      <c r="L7" t="s">
        <v>814</v>
      </c>
      <c r="M7" t="s">
        <v>345</v>
      </c>
      <c r="N7" t="s">
        <v>768</v>
      </c>
      <c r="O7" t="s">
        <v>811</v>
      </c>
      <c r="P7" t="s">
        <v>812</v>
      </c>
      <c r="Q7"/>
    </row>
    <row r="8">
      <c r="A8" t="s">
        <v>764</v>
      </c>
      <c r="B8" t="s">
        <v>78</v>
      </c>
      <c r="C8" s="20" t="n">
        <v>0.0895133349355068</v>
      </c>
      <c r="D8" s="20" t="n">
        <v>0.0338091698868323</v>
      </c>
      <c r="E8" s="20" t="n">
        <v>2.64760522766842</v>
      </c>
      <c r="F8" t="n">
        <v>0.00930826738196484</v>
      </c>
      <c r="G8" t="n">
        <v>109</v>
      </c>
      <c r="H8" t="s">
        <v>771</v>
      </c>
      <c r="I8" s="20" t="n">
        <v>0.0895133349355068</v>
      </c>
      <c r="J8" s="20" t="n">
        <v>0.0225046593648275</v>
      </c>
      <c r="K8" s="20" t="n">
        <v>0.156522010506186</v>
      </c>
      <c r="L8" t="s">
        <v>815</v>
      </c>
      <c r="M8" t="s">
        <v>309</v>
      </c>
      <c r="N8" t="s">
        <v>768</v>
      </c>
      <c r="O8" t="s">
        <v>811</v>
      </c>
      <c r="P8" t="s">
        <v>812</v>
      </c>
      <c r="Q8"/>
    </row>
    <row r="9">
      <c r="A9" t="s">
        <v>52</v>
      </c>
      <c r="B9" t="s">
        <v>809</v>
      </c>
      <c r="C9" s="20" t="n">
        <v>4.50313594255498</v>
      </c>
      <c r="D9" s="20" t="n">
        <v>4.03360403465168</v>
      </c>
      <c r="E9" s="20" t="n">
        <v>1.11640505708286</v>
      </c>
      <c r="F9" t="n">
        <v>0.266703793642458</v>
      </c>
      <c r="G9" t="n">
        <v>109</v>
      </c>
      <c r="H9"/>
      <c r="I9" s="20"/>
      <c r="J9" s="20"/>
      <c r="K9" s="20"/>
      <c r="L9"/>
      <c r="M9" t="s">
        <v>325</v>
      </c>
      <c r="N9" t="s">
        <v>773</v>
      </c>
      <c r="O9" t="s">
        <v>816</v>
      </c>
      <c r="P9" t="s">
        <v>817</v>
      </c>
      <c r="Q9"/>
    </row>
    <row r="10">
      <c r="A10" t="s">
        <v>52</v>
      </c>
      <c r="B10" t="s">
        <v>318</v>
      </c>
      <c r="C10" s="20" t="n">
        <v>-1.69578849685449</v>
      </c>
      <c r="D10" s="20" t="n">
        <v>0.393914708792314</v>
      </c>
      <c r="E10" s="20" t="n">
        <v>-4.30496363553809</v>
      </c>
      <c r="F10" t="n">
        <v>0.000036631042526512</v>
      </c>
      <c r="G10" t="n">
        <v>109</v>
      </c>
      <c r="H10" t="s">
        <v>771</v>
      </c>
      <c r="I10" s="20" t="n">
        <v>-1.69578849685449</v>
      </c>
      <c r="J10" s="20" t="n">
        <v>-2.47651464340987</v>
      </c>
      <c r="K10" s="20" t="n">
        <v>-0.91506235029911</v>
      </c>
      <c r="L10" t="s">
        <v>818</v>
      </c>
      <c r="M10" t="s">
        <v>55</v>
      </c>
      <c r="N10" t="s">
        <v>773</v>
      </c>
      <c r="O10" t="s">
        <v>816</v>
      </c>
      <c r="P10" t="s">
        <v>817</v>
      </c>
      <c r="Q10"/>
    </row>
    <row r="11">
      <c r="A11" t="s">
        <v>52</v>
      </c>
      <c r="B11" t="s">
        <v>764</v>
      </c>
      <c r="C11" s="20" t="n">
        <v>0.0382123594943549</v>
      </c>
      <c r="D11" s="20" t="n">
        <v>0.0257726296720232</v>
      </c>
      <c r="E11" s="20" t="n">
        <v>1.4826721207978</v>
      </c>
      <c r="F11" t="n">
        <v>0.141047086502537</v>
      </c>
      <c r="G11" t="n">
        <v>109</v>
      </c>
      <c r="H11" t="s">
        <v>771</v>
      </c>
      <c r="I11" s="20" t="n">
        <v>0.0382123594943549</v>
      </c>
      <c r="J11" s="20" t="n">
        <v>-0.0128681546406129</v>
      </c>
      <c r="K11" s="20" t="n">
        <v>0.0892928736293227</v>
      </c>
      <c r="L11" t="s">
        <v>819</v>
      </c>
      <c r="M11" t="s">
        <v>820</v>
      </c>
      <c r="N11" t="s">
        <v>773</v>
      </c>
      <c r="O11" t="s">
        <v>816</v>
      </c>
      <c r="P11" t="s">
        <v>817</v>
      </c>
      <c r="Q11"/>
    </row>
    <row r="12">
      <c r="A12" t="s">
        <v>52</v>
      </c>
      <c r="B12" t="s">
        <v>78</v>
      </c>
      <c r="C12" s="20" t="n">
        <v>-0.0179736005078477</v>
      </c>
      <c r="D12" s="20" t="n">
        <v>0.00765676462821163</v>
      </c>
      <c r="E12" s="20" t="n">
        <v>-2.34741452566314</v>
      </c>
      <c r="F12" t="n">
        <v>0.02070928336288</v>
      </c>
      <c r="G12" t="n">
        <v>109</v>
      </c>
      <c r="H12" t="s">
        <v>771</v>
      </c>
      <c r="I12" s="20" t="n">
        <v>-0.0179736005078477</v>
      </c>
      <c r="J12" s="20" t="n">
        <v>-0.0331490590775274</v>
      </c>
      <c r="K12" s="20" t="n">
        <v>-0.00279814193816798</v>
      </c>
      <c r="L12" t="s">
        <v>821</v>
      </c>
      <c r="M12" t="s">
        <v>184</v>
      </c>
      <c r="N12" t="s">
        <v>773</v>
      </c>
      <c r="O12" t="s">
        <v>816</v>
      </c>
      <c r="P12" t="s">
        <v>817</v>
      </c>
      <c r="Q12"/>
    </row>
    <row r="13">
      <c r="A13" t="s">
        <v>58</v>
      </c>
      <c r="B13" t="s">
        <v>809</v>
      </c>
      <c r="C13" s="20" t="n">
        <v>-0.0319111117325349</v>
      </c>
      <c r="D13" s="20" t="n">
        <v>0.449066662547911</v>
      </c>
      <c r="E13" s="20" t="n">
        <v>-0.0710609679896474</v>
      </c>
      <c r="F13" t="n">
        <v>0.94348065461027</v>
      </c>
      <c r="G13" t="n">
        <v>108</v>
      </c>
      <c r="H13"/>
      <c r="I13" s="20"/>
      <c r="J13" s="20"/>
      <c r="K13" s="20"/>
      <c r="L13"/>
      <c r="M13" t="s">
        <v>140</v>
      </c>
      <c r="N13" t="s">
        <v>773</v>
      </c>
      <c r="O13" t="s">
        <v>774</v>
      </c>
      <c r="P13" t="s">
        <v>822</v>
      </c>
      <c r="Q13"/>
    </row>
    <row r="14">
      <c r="A14" t="s">
        <v>58</v>
      </c>
      <c r="B14" t="s">
        <v>318</v>
      </c>
      <c r="C14" s="20" t="n">
        <v>-0.0335448029567789</v>
      </c>
      <c r="D14" s="20" t="n">
        <v>0.0461440425759674</v>
      </c>
      <c r="E14" s="20" t="n">
        <v>-0.726958477934691</v>
      </c>
      <c r="F14" t="n">
        <v>0.468824210294238</v>
      </c>
      <c r="G14" t="n">
        <v>108</v>
      </c>
      <c r="H14" t="s">
        <v>771</v>
      </c>
      <c r="I14" s="20" t="n">
        <v>-0.0335448029567789</v>
      </c>
      <c r="J14" s="20" t="n">
        <v>-0.125010300563484</v>
      </c>
      <c r="K14" s="20" t="n">
        <v>0.0579206946499266</v>
      </c>
      <c r="L14" t="s">
        <v>823</v>
      </c>
      <c r="M14" t="s">
        <v>105</v>
      </c>
      <c r="N14" t="s">
        <v>773</v>
      </c>
      <c r="O14" t="s">
        <v>774</v>
      </c>
      <c r="P14" t="s">
        <v>822</v>
      </c>
      <c r="Q14"/>
    </row>
    <row r="15">
      <c r="A15" t="s">
        <v>58</v>
      </c>
      <c r="B15" t="s">
        <v>764</v>
      </c>
      <c r="C15" s="20" t="n">
        <v>0.00000906779231514106</v>
      </c>
      <c r="D15" s="20" t="n">
        <v>0.00286739517068052</v>
      </c>
      <c r="E15" s="20" t="n">
        <v>0.0031623797123816</v>
      </c>
      <c r="F15" t="n">
        <v>0.997482624221673</v>
      </c>
      <c r="G15" t="n">
        <v>108</v>
      </c>
      <c r="H15" t="s">
        <v>771</v>
      </c>
      <c r="I15" s="20" t="n">
        <v>0.00000906779231514106</v>
      </c>
      <c r="J15" s="20" t="n">
        <v>-0.00567460688117242</v>
      </c>
      <c r="K15" s="20" t="n">
        <v>0.00569274246580271</v>
      </c>
      <c r="L15" t="s">
        <v>824</v>
      </c>
      <c r="M15" t="s">
        <v>98</v>
      </c>
      <c r="N15" t="s">
        <v>773</v>
      </c>
      <c r="O15" t="s">
        <v>774</v>
      </c>
      <c r="P15" t="s">
        <v>822</v>
      </c>
      <c r="Q15"/>
    </row>
    <row r="16">
      <c r="A16" t="s">
        <v>58</v>
      </c>
      <c r="B16" t="s">
        <v>52</v>
      </c>
      <c r="C16" s="20" t="n">
        <v>1.00669471396748</v>
      </c>
      <c r="D16" s="20" t="n">
        <v>0.00985287169918479</v>
      </c>
      <c r="E16" s="20" t="n">
        <v>102.172721283966</v>
      </c>
      <c r="F16" t="n">
        <v>0.000000000000000000000000000000000000000000000000000000000000000000000000000000000000000000000000000000000000276533372554059</v>
      </c>
      <c r="G16" t="n">
        <v>108</v>
      </c>
      <c r="H16" t="s">
        <v>771</v>
      </c>
      <c r="I16" s="20" t="n">
        <v>1.00669471396748</v>
      </c>
      <c r="J16" s="20" t="n">
        <v>0.987164612950922</v>
      </c>
      <c r="K16" s="20" t="n">
        <v>1.02622481498404</v>
      </c>
      <c r="L16" t="s">
        <v>825</v>
      </c>
      <c r="M16" t="s">
        <v>55</v>
      </c>
      <c r="N16" t="s">
        <v>773</v>
      </c>
      <c r="O16" t="s">
        <v>774</v>
      </c>
      <c r="P16" t="s">
        <v>822</v>
      </c>
      <c r="Q16"/>
    </row>
    <row r="17">
      <c r="A17" t="s">
        <v>58</v>
      </c>
      <c r="B17" t="s">
        <v>78</v>
      </c>
      <c r="C17" s="20" t="n">
        <v>0.000926625154180958</v>
      </c>
      <c r="D17" s="20" t="n">
        <v>0.000897920104138446</v>
      </c>
      <c r="E17" s="20" t="n">
        <v>1.0319683788237</v>
      </c>
      <c r="F17" t="n">
        <v>0.304392366703049</v>
      </c>
      <c r="G17" t="n">
        <v>108</v>
      </c>
      <c r="H17" t="s">
        <v>771</v>
      </c>
      <c r="I17" s="20" t="n">
        <v>0.000926625154180958</v>
      </c>
      <c r="J17" s="20" t="n">
        <v>-0.000853208266371181</v>
      </c>
      <c r="K17" s="20" t="n">
        <v>0.0027064585747331</v>
      </c>
      <c r="L17" t="s">
        <v>826</v>
      </c>
      <c r="M17" t="s">
        <v>827</v>
      </c>
      <c r="N17" t="s">
        <v>773</v>
      </c>
      <c r="O17" t="s">
        <v>774</v>
      </c>
      <c r="P17" t="s">
        <v>822</v>
      </c>
      <c r="Q17"/>
    </row>
    <row r="18">
      <c r="A18" t="s">
        <v>62</v>
      </c>
      <c r="B18" t="s">
        <v>809</v>
      </c>
      <c r="C18" s="20" t="n">
        <v>0.0638222234650844</v>
      </c>
      <c r="D18" s="20" t="n">
        <v>0.898133325095576</v>
      </c>
      <c r="E18" s="20" t="n">
        <v>0.0710609679896831</v>
      </c>
      <c r="F18" t="n">
        <v>0.943480654610241</v>
      </c>
      <c r="G18" t="n">
        <v>108</v>
      </c>
      <c r="H18"/>
      <c r="I18" s="20"/>
      <c r="J18" s="20"/>
      <c r="K18" s="20"/>
      <c r="L18"/>
      <c r="M18" t="s">
        <v>140</v>
      </c>
      <c r="N18" t="s">
        <v>773</v>
      </c>
      <c r="O18" t="s">
        <v>774</v>
      </c>
      <c r="P18" t="s">
        <v>822</v>
      </c>
      <c r="Q18"/>
    </row>
    <row r="19">
      <c r="A19" t="s">
        <v>62</v>
      </c>
      <c r="B19" t="s">
        <v>318</v>
      </c>
      <c r="C19" s="20" t="n">
        <v>0.0670896059135574</v>
      </c>
      <c r="D19" s="20" t="n">
        <v>0.0922880851519312</v>
      </c>
      <c r="E19" s="20" t="n">
        <v>0.726958477934717</v>
      </c>
      <c r="F19" t="n">
        <v>0.468824210294222</v>
      </c>
      <c r="G19" t="n">
        <v>108</v>
      </c>
      <c r="H19" t="s">
        <v>771</v>
      </c>
      <c r="I19" s="20" t="n">
        <v>0.0670896059135574</v>
      </c>
      <c r="J19" s="20" t="n">
        <v>-0.115841389299846</v>
      </c>
      <c r="K19" s="20" t="n">
        <v>0.250020601126961</v>
      </c>
      <c r="L19" t="s">
        <v>828</v>
      </c>
      <c r="M19" t="s">
        <v>105</v>
      </c>
      <c r="N19" t="s">
        <v>773</v>
      </c>
      <c r="O19" t="s">
        <v>774</v>
      </c>
      <c r="P19" t="s">
        <v>822</v>
      </c>
      <c r="Q19"/>
    </row>
    <row r="20">
      <c r="A20" t="s">
        <v>62</v>
      </c>
      <c r="B20" t="s">
        <v>764</v>
      </c>
      <c r="C20" s="20" t="n">
        <v>-0.0000181355846302865</v>
      </c>
      <c r="D20" s="20" t="n">
        <v>0.00573479034136091</v>
      </c>
      <c r="E20" s="20" t="n">
        <v>-0.00316237971238244</v>
      </c>
      <c r="F20" t="n">
        <v>0.997482624221672</v>
      </c>
      <c r="G20" t="n">
        <v>108</v>
      </c>
      <c r="H20" t="s">
        <v>771</v>
      </c>
      <c r="I20" s="20" t="n">
        <v>-0.0000181355846302865</v>
      </c>
      <c r="J20" s="20" t="n">
        <v>-0.0113854849316052</v>
      </c>
      <c r="K20" s="20" t="n">
        <v>0.0113492137623446</v>
      </c>
      <c r="L20" t="s">
        <v>829</v>
      </c>
      <c r="M20" t="s">
        <v>98</v>
      </c>
      <c r="N20" t="s">
        <v>773</v>
      </c>
      <c r="O20" t="s">
        <v>774</v>
      </c>
      <c r="P20" t="s">
        <v>822</v>
      </c>
      <c r="Q20"/>
    </row>
    <row r="21">
      <c r="A21" t="s">
        <v>62</v>
      </c>
      <c r="B21" t="s">
        <v>52</v>
      </c>
      <c r="C21" s="20" t="n">
        <v>-0.0133894279349588</v>
      </c>
      <c r="D21" s="20" t="n">
        <v>0.0197057433983693</v>
      </c>
      <c r="E21" s="20" t="n">
        <v>-0.679468298367612</v>
      </c>
      <c r="F21" t="n">
        <v>0.498294888257392</v>
      </c>
      <c r="G21" t="n">
        <v>108</v>
      </c>
      <c r="H21" t="s">
        <v>771</v>
      </c>
      <c r="I21" s="20" t="n">
        <v>-0.0133894279349588</v>
      </c>
      <c r="J21" s="20" t="n">
        <v>-0.0524496299680726</v>
      </c>
      <c r="K21" s="20" t="n">
        <v>0.0256707740981551</v>
      </c>
      <c r="L21" t="s">
        <v>830</v>
      </c>
      <c r="M21" t="s">
        <v>402</v>
      </c>
      <c r="N21" t="s">
        <v>773</v>
      </c>
      <c r="O21" t="s">
        <v>774</v>
      </c>
      <c r="P21" t="s">
        <v>822</v>
      </c>
      <c r="Q21"/>
    </row>
    <row r="22">
      <c r="A22" t="s">
        <v>62</v>
      </c>
      <c r="B22" t="s">
        <v>78</v>
      </c>
      <c r="C22" s="20" t="n">
        <v>-0.00185325030836194</v>
      </c>
      <c r="D22" s="20" t="n">
        <v>0.00179584020827641</v>
      </c>
      <c r="E22" s="20" t="n">
        <v>-1.03196837882399</v>
      </c>
      <c r="F22" t="n">
        <v>0.304392366702912</v>
      </c>
      <c r="G22" t="n">
        <v>108</v>
      </c>
      <c r="H22" t="s">
        <v>771</v>
      </c>
      <c r="I22" s="20" t="n">
        <v>-0.00185325030836194</v>
      </c>
      <c r="J22" s="20" t="n">
        <v>-0.00541291714946527</v>
      </c>
      <c r="K22" s="20" t="n">
        <v>0.00170641653274138</v>
      </c>
      <c r="L22" t="s">
        <v>831</v>
      </c>
      <c r="M22" t="s">
        <v>827</v>
      </c>
      <c r="N22" t="s">
        <v>773</v>
      </c>
      <c r="O22" t="s">
        <v>774</v>
      </c>
      <c r="P22" t="s">
        <v>822</v>
      </c>
      <c r="Q22"/>
    </row>
    <row r="23">
      <c r="A23" t="s">
        <v>68</v>
      </c>
      <c r="B23" t="s">
        <v>809</v>
      </c>
      <c r="C23" s="20" t="n">
        <v>1.30266293631499</v>
      </c>
      <c r="D23" s="20" t="n">
        <v>0.327552939486276</v>
      </c>
      <c r="E23" s="20" t="n">
        <v>3.97695388830291</v>
      </c>
      <c r="F23" t="n">
        <v>0.000126541908984237</v>
      </c>
      <c r="G23" t="n">
        <v>108</v>
      </c>
      <c r="H23"/>
      <c r="I23" s="20"/>
      <c r="J23" s="20"/>
      <c r="K23" s="20"/>
      <c r="L23"/>
      <c r="M23" t="s">
        <v>55</v>
      </c>
      <c r="N23" t="s">
        <v>773</v>
      </c>
      <c r="O23" t="s">
        <v>774</v>
      </c>
      <c r="P23" t="s">
        <v>822</v>
      </c>
      <c r="Q23"/>
    </row>
    <row r="24">
      <c r="A24" t="s">
        <v>68</v>
      </c>
      <c r="B24" t="s">
        <v>318</v>
      </c>
      <c r="C24" s="20" t="n">
        <v>-0.081493731220565</v>
      </c>
      <c r="D24" s="20" t="n">
        <v>0.0325334911433052</v>
      </c>
      <c r="E24" s="20" t="n">
        <v>-2.50491811227996</v>
      </c>
      <c r="F24" t="n">
        <v>0.0137413668100997</v>
      </c>
      <c r="G24" t="n">
        <v>108</v>
      </c>
      <c r="H24" t="s">
        <v>771</v>
      </c>
      <c r="I24" s="20" t="n">
        <v>-0.081493731220565</v>
      </c>
      <c r="J24" s="20" t="n">
        <v>-0.145980754684251</v>
      </c>
      <c r="K24" s="20" t="n">
        <v>-0.0170067077568786</v>
      </c>
      <c r="L24" t="s">
        <v>832</v>
      </c>
      <c r="M24" t="s">
        <v>122</v>
      </c>
      <c r="N24" t="s">
        <v>773</v>
      </c>
      <c r="O24" t="s">
        <v>774</v>
      </c>
      <c r="P24" t="s">
        <v>822</v>
      </c>
      <c r="Q24"/>
    </row>
    <row r="25">
      <c r="A25" t="s">
        <v>68</v>
      </c>
      <c r="B25" t="s">
        <v>764</v>
      </c>
      <c r="C25" s="20" t="n">
        <v>0.00211414016730286</v>
      </c>
      <c r="D25" s="20" t="n">
        <v>0.00168867798915809</v>
      </c>
      <c r="E25" s="20" t="n">
        <v>1.25194985715239</v>
      </c>
      <c r="F25" t="n">
        <v>0.213292735915968</v>
      </c>
      <c r="G25" t="n">
        <v>108</v>
      </c>
      <c r="H25" t="s">
        <v>771</v>
      </c>
      <c r="I25" s="20" t="n">
        <v>0.00211414016730286</v>
      </c>
      <c r="J25" s="20" t="n">
        <v>-0.00123311256465172</v>
      </c>
      <c r="K25" s="20" t="n">
        <v>0.00546139289925745</v>
      </c>
      <c r="L25" t="s">
        <v>833</v>
      </c>
      <c r="M25" t="s">
        <v>352</v>
      </c>
      <c r="N25" t="s">
        <v>773</v>
      </c>
      <c r="O25" t="s">
        <v>774</v>
      </c>
      <c r="P25" t="s">
        <v>822</v>
      </c>
      <c r="Q25"/>
    </row>
    <row r="26">
      <c r="A26" t="s">
        <v>68</v>
      </c>
      <c r="B26" t="s">
        <v>52</v>
      </c>
      <c r="C26" s="20" t="n">
        <v>-0.234035257731307</v>
      </c>
      <c r="D26" s="20" t="n">
        <v>0.00811851069114714</v>
      </c>
      <c r="E26" s="20" t="n">
        <v>-28.8273633717711</v>
      </c>
      <c r="F26" t="n">
        <v>0.000000000000000000000000000000000000000000000000000155153755847863</v>
      </c>
      <c r="G26" t="n">
        <v>108</v>
      </c>
      <c r="H26" t="s">
        <v>771</v>
      </c>
      <c r="I26" s="20" t="n">
        <v>-0.234035257731307</v>
      </c>
      <c r="J26" s="20" t="n">
        <v>-0.250127554347249</v>
      </c>
      <c r="K26" s="20" t="n">
        <v>-0.217942961115365</v>
      </c>
      <c r="L26" t="s">
        <v>834</v>
      </c>
      <c r="M26" t="s">
        <v>55</v>
      </c>
      <c r="N26" t="s">
        <v>773</v>
      </c>
      <c r="O26" t="s">
        <v>774</v>
      </c>
      <c r="P26" t="s">
        <v>822</v>
      </c>
      <c r="Q26"/>
    </row>
    <row r="27">
      <c r="A27" t="s">
        <v>68</v>
      </c>
      <c r="B27" t="s">
        <v>78</v>
      </c>
      <c r="C27" s="20" t="n">
        <v>-0.00233319985193505</v>
      </c>
      <c r="D27" s="20" t="n">
        <v>0.000621848080261341</v>
      </c>
      <c r="E27" s="20" t="n">
        <v>-3.75204157734874</v>
      </c>
      <c r="F27" t="n">
        <v>0.000284092212086954</v>
      </c>
      <c r="G27" t="n">
        <v>108</v>
      </c>
      <c r="H27" t="s">
        <v>771</v>
      </c>
      <c r="I27" s="20" t="n">
        <v>-0.00233319985193505</v>
      </c>
      <c r="J27" s="20" t="n">
        <v>-0.00356581062727489</v>
      </c>
      <c r="K27" s="20" t="n">
        <v>-0.0011005890765952</v>
      </c>
      <c r="L27" t="s">
        <v>835</v>
      </c>
      <c r="M27" t="s">
        <v>55</v>
      </c>
      <c r="N27" t="s">
        <v>773</v>
      </c>
      <c r="O27" t="s">
        <v>774</v>
      </c>
      <c r="P27" t="s">
        <v>822</v>
      </c>
      <c r="Q27"/>
    </row>
    <row r="28">
      <c r="A28" t="s">
        <v>73</v>
      </c>
      <c r="B28" t="s">
        <v>809</v>
      </c>
      <c r="C28" s="20" t="n">
        <v>0.234139655553294</v>
      </c>
      <c r="D28" s="20" t="n">
        <v>0.115170531366449</v>
      </c>
      <c r="E28" s="20" t="n">
        <v>2.03298233302674</v>
      </c>
      <c r="F28" t="n">
        <v>0.0445070513504582</v>
      </c>
      <c r="G28" t="n">
        <v>108</v>
      </c>
      <c r="H28"/>
      <c r="I28" s="20"/>
      <c r="J28" s="20"/>
      <c r="K28" s="20"/>
      <c r="L28"/>
      <c r="M28" t="s">
        <v>836</v>
      </c>
      <c r="N28" t="s">
        <v>773</v>
      </c>
      <c r="O28" t="s">
        <v>774</v>
      </c>
      <c r="P28" t="s">
        <v>822</v>
      </c>
      <c r="Q28"/>
    </row>
    <row r="29">
      <c r="A29" t="s">
        <v>73</v>
      </c>
      <c r="B29" t="s">
        <v>318</v>
      </c>
      <c r="C29" s="20" t="n">
        <v>-0.0212257116012239</v>
      </c>
      <c r="D29" s="20" t="n">
        <v>0.0115995328679866</v>
      </c>
      <c r="E29" s="20" t="n">
        <v>-1.82987641336871</v>
      </c>
      <c r="F29" t="n">
        <v>0.0700266241800286</v>
      </c>
      <c r="G29" t="n">
        <v>108</v>
      </c>
      <c r="H29" t="s">
        <v>771</v>
      </c>
      <c r="I29" s="20" t="n">
        <v>-0.0212257116012239</v>
      </c>
      <c r="J29" s="20" t="n">
        <v>-0.0442179980709034</v>
      </c>
      <c r="K29" s="20" t="n">
        <v>0.00176657486845563</v>
      </c>
      <c r="L29" t="s">
        <v>837</v>
      </c>
      <c r="M29" t="s">
        <v>371</v>
      </c>
      <c r="N29" t="s">
        <v>773</v>
      </c>
      <c r="O29" t="s">
        <v>774</v>
      </c>
      <c r="P29" t="s">
        <v>822</v>
      </c>
      <c r="Q29"/>
    </row>
    <row r="30">
      <c r="A30" t="s">
        <v>73</v>
      </c>
      <c r="B30" t="s">
        <v>764</v>
      </c>
      <c r="C30" s="20" t="n">
        <v>-0.000232895606086526</v>
      </c>
      <c r="D30" s="20" t="n">
        <v>0.000644589814639277</v>
      </c>
      <c r="E30" s="20" t="n">
        <v>-0.361308231680418</v>
      </c>
      <c r="F30" t="n">
        <v>0.718574887963943</v>
      </c>
      <c r="G30" t="n">
        <v>108</v>
      </c>
      <c r="H30" t="s">
        <v>771</v>
      </c>
      <c r="I30" s="20" t="n">
        <v>-0.000232895606086526</v>
      </c>
      <c r="J30" s="20" t="n">
        <v>-0.00151058444427474</v>
      </c>
      <c r="K30" s="20" t="n">
        <v>0.00104479323210169</v>
      </c>
      <c r="L30" t="s">
        <v>838</v>
      </c>
      <c r="M30" t="s">
        <v>839</v>
      </c>
      <c r="N30" t="s">
        <v>773</v>
      </c>
      <c r="O30" t="s">
        <v>774</v>
      </c>
      <c r="P30" t="s">
        <v>822</v>
      </c>
      <c r="Q30"/>
    </row>
    <row r="31">
      <c r="A31" t="s">
        <v>73</v>
      </c>
      <c r="B31" t="s">
        <v>52</v>
      </c>
      <c r="C31" s="20" t="n">
        <v>-0.00943596114281488</v>
      </c>
      <c r="D31" s="20" t="n">
        <v>0.00255370389438389</v>
      </c>
      <c r="E31" s="20" t="n">
        <v>-3.69500988879974</v>
      </c>
      <c r="F31" t="n">
        <v>0.000347031476009259</v>
      </c>
      <c r="G31" t="n">
        <v>108</v>
      </c>
      <c r="H31" t="s">
        <v>771</v>
      </c>
      <c r="I31" s="20" t="n">
        <v>-0.00943596114281488</v>
      </c>
      <c r="J31" s="20" t="n">
        <v>-0.0144978452864823</v>
      </c>
      <c r="K31" s="20" t="n">
        <v>-0.00437407699914746</v>
      </c>
      <c r="L31" t="s">
        <v>840</v>
      </c>
      <c r="M31" t="s">
        <v>55</v>
      </c>
      <c r="N31" t="s">
        <v>773</v>
      </c>
      <c r="O31" t="s">
        <v>774</v>
      </c>
      <c r="P31" t="s">
        <v>822</v>
      </c>
      <c r="Q31"/>
    </row>
    <row r="32">
      <c r="A32" t="s">
        <v>73</v>
      </c>
      <c r="B32" t="s">
        <v>78</v>
      </c>
      <c r="C32" s="20" t="n">
        <v>-0.000536387481133199</v>
      </c>
      <c r="D32" s="20" t="n">
        <v>0.000222977899074266</v>
      </c>
      <c r="E32" s="20" t="n">
        <v>-2.40556343637692</v>
      </c>
      <c r="F32" t="n">
        <v>0.0178469807321051</v>
      </c>
      <c r="G32" t="n">
        <v>108</v>
      </c>
      <c r="H32" t="s">
        <v>771</v>
      </c>
      <c r="I32" s="20" t="n">
        <v>-0.000536387481133199</v>
      </c>
      <c r="J32" s="20" t="n">
        <v>-0.000978368360041876</v>
      </c>
      <c r="K32" s="20" t="n">
        <v>-0.0000944066022245218</v>
      </c>
      <c r="L32" t="s">
        <v>841</v>
      </c>
      <c r="M32" t="s">
        <v>184</v>
      </c>
      <c r="N32" t="s">
        <v>773</v>
      </c>
      <c r="O32" t="s">
        <v>774</v>
      </c>
      <c r="P32" t="s">
        <v>822</v>
      </c>
      <c r="Q32"/>
    </row>
    <row r="33">
      <c r="A33" t="s">
        <v>78</v>
      </c>
      <c r="B33" t="s">
        <v>809</v>
      </c>
      <c r="C33" s="20" t="n">
        <v>505.057985618005</v>
      </c>
      <c r="D33" s="20" t="n">
        <v>10.835877443598</v>
      </c>
      <c r="E33" s="20" t="n">
        <v>46.6097912464302</v>
      </c>
      <c r="F33" t="n">
        <v>0.0000000000000000000000000000000000000000000000000000000000000000000000000812226809041214</v>
      </c>
      <c r="G33" t="n">
        <v>109</v>
      </c>
      <c r="H33"/>
      <c r="I33" s="20"/>
      <c r="J33" s="20"/>
      <c r="K33" s="20"/>
      <c r="L33"/>
      <c r="M33" t="s">
        <v>55</v>
      </c>
      <c r="N33" t="s">
        <v>773</v>
      </c>
      <c r="O33" t="s">
        <v>816</v>
      </c>
      <c r="P33" t="s">
        <v>842</v>
      </c>
      <c r="Q33"/>
    </row>
    <row r="34">
      <c r="A34" t="s">
        <v>78</v>
      </c>
      <c r="B34" t="s">
        <v>318</v>
      </c>
      <c r="C34" s="20" t="n">
        <v>-13.9180454902047</v>
      </c>
      <c r="D34" s="20" t="n">
        <v>3.89053117714398</v>
      </c>
      <c r="E34" s="20" t="n">
        <v>-3.57741523110526</v>
      </c>
      <c r="F34" t="n">
        <v>0.000519093802256288</v>
      </c>
      <c r="G34" t="n">
        <v>109</v>
      </c>
      <c r="H34" t="s">
        <v>771</v>
      </c>
      <c r="I34" s="20" t="n">
        <v>-13.9180454902047</v>
      </c>
      <c r="J34" s="20" t="n">
        <v>-21.6289518011103</v>
      </c>
      <c r="K34" s="20" t="n">
        <v>-6.20713917929915</v>
      </c>
      <c r="L34" t="s">
        <v>843</v>
      </c>
      <c r="M34" t="s">
        <v>55</v>
      </c>
      <c r="N34" t="s">
        <v>773</v>
      </c>
      <c r="O34" t="s">
        <v>816</v>
      </c>
      <c r="P34" t="s">
        <v>842</v>
      </c>
      <c r="Q34"/>
    </row>
    <row r="35">
      <c r="A35" t="s">
        <v>78</v>
      </c>
      <c r="B35" t="s">
        <v>764</v>
      </c>
      <c r="C35" s="20" t="n">
        <v>0.643861745731124</v>
      </c>
      <c r="D35" s="20" t="n">
        <v>0.271944379691927</v>
      </c>
      <c r="E35" s="20" t="n">
        <v>2.36762291782064</v>
      </c>
      <c r="F35" t="n">
        <v>0.0196655529789405</v>
      </c>
      <c r="G35" t="n">
        <v>109</v>
      </c>
      <c r="H35" t="s">
        <v>771</v>
      </c>
      <c r="I35" s="20" t="n">
        <v>0.643861745731124</v>
      </c>
      <c r="J35" s="20" t="n">
        <v>0.104876826165171</v>
      </c>
      <c r="K35" s="20" t="n">
        <v>1.18284666529708</v>
      </c>
      <c r="L35" t="s">
        <v>844</v>
      </c>
      <c r="M35" t="s">
        <v>184</v>
      </c>
      <c r="N35" t="s">
        <v>773</v>
      </c>
      <c r="O35" t="s">
        <v>816</v>
      </c>
      <c r="P35" t="s">
        <v>842</v>
      </c>
      <c r="Q35"/>
    </row>
    <row r="36">
      <c r="A36" t="s">
        <v>78</v>
      </c>
      <c r="B36" t="s">
        <v>52</v>
      </c>
      <c r="C36" s="20" t="n">
        <v>-1.55785071164941</v>
      </c>
      <c r="D36" s="20" t="n">
        <v>0.747226817428834</v>
      </c>
      <c r="E36" s="20" t="n">
        <v>-2.08484314978133</v>
      </c>
      <c r="F36" t="n">
        <v>0.0394193821542915</v>
      </c>
      <c r="G36" t="n">
        <v>109</v>
      </c>
      <c r="H36" t="s">
        <v>771</v>
      </c>
      <c r="I36" s="20" t="n">
        <v>-1.55785071164941</v>
      </c>
      <c r="J36" s="20" t="n">
        <v>-3.03882997125262</v>
      </c>
      <c r="K36" s="20" t="n">
        <v>-0.0768714520462044</v>
      </c>
      <c r="L36" t="s">
        <v>845</v>
      </c>
      <c r="M36" t="s">
        <v>836</v>
      </c>
      <c r="N36" t="s">
        <v>773</v>
      </c>
      <c r="O36" t="s">
        <v>816</v>
      </c>
      <c r="P36" t="s">
        <v>842</v>
      </c>
      <c r="Q36"/>
    </row>
    <row r="37">
      <c r="A37" t="s">
        <v>83</v>
      </c>
      <c r="B37" t="s">
        <v>809</v>
      </c>
      <c r="C37" s="20" t="n">
        <v>39.836439500181</v>
      </c>
      <c r="D37" s="20" t="n">
        <v>3.81780089996358</v>
      </c>
      <c r="E37" s="20" t="n">
        <v>10.4343941824104</v>
      </c>
      <c r="F37" t="n">
        <v>0.00000000000000000528533213631743</v>
      </c>
      <c r="G37" t="n">
        <v>107</v>
      </c>
      <c r="H37"/>
      <c r="I37" s="20"/>
      <c r="J37" s="20"/>
      <c r="K37" s="20"/>
      <c r="L37"/>
      <c r="M37" t="s">
        <v>55</v>
      </c>
      <c r="N37" t="s">
        <v>773</v>
      </c>
      <c r="O37" t="s">
        <v>846</v>
      </c>
      <c r="P37" t="s">
        <v>822</v>
      </c>
      <c r="Q37"/>
    </row>
    <row r="38">
      <c r="A38" t="s">
        <v>83</v>
      </c>
      <c r="B38" t="s">
        <v>318</v>
      </c>
      <c r="C38" s="20" t="n">
        <v>-0.0766148260183615</v>
      </c>
      <c r="D38" s="20" t="n">
        <v>0.33328761235791</v>
      </c>
      <c r="E38" s="20" t="n">
        <v>-0.229876008521092</v>
      </c>
      <c r="F38" t="n">
        <v>0.81862699920922</v>
      </c>
      <c r="G38" t="n">
        <v>107</v>
      </c>
      <c r="H38" t="s">
        <v>771</v>
      </c>
      <c r="I38" s="20" t="n">
        <v>-0.0766148260183615</v>
      </c>
      <c r="J38" s="20" t="n">
        <v>-0.737318646242245</v>
      </c>
      <c r="K38" s="20" t="n">
        <v>0.584088994205522</v>
      </c>
      <c r="L38" t="s">
        <v>847</v>
      </c>
      <c r="M38" t="s">
        <v>170</v>
      </c>
      <c r="N38" t="s">
        <v>773</v>
      </c>
      <c r="O38" t="s">
        <v>846</v>
      </c>
      <c r="P38" t="s">
        <v>822</v>
      </c>
      <c r="Q38"/>
    </row>
    <row r="39">
      <c r="A39" t="s">
        <v>83</v>
      </c>
      <c r="B39" t="s">
        <v>764</v>
      </c>
      <c r="C39" s="20" t="n">
        <v>-0.0273478594755456</v>
      </c>
      <c r="D39" s="20" t="n">
        <v>0.0174161323254369</v>
      </c>
      <c r="E39" s="20" t="n">
        <v>-1.57026020269742</v>
      </c>
      <c r="F39" t="n">
        <v>0.119307133200173</v>
      </c>
      <c r="G39" t="n">
        <v>107</v>
      </c>
      <c r="H39" t="s">
        <v>771</v>
      </c>
      <c r="I39" s="20" t="n">
        <v>-0.0273478594755456</v>
      </c>
      <c r="J39" s="20" t="n">
        <v>-0.061873310570271</v>
      </c>
      <c r="K39" s="20" t="n">
        <v>0.00717759161917984</v>
      </c>
      <c r="L39" t="s">
        <v>848</v>
      </c>
      <c r="M39" t="s">
        <v>361</v>
      </c>
      <c r="N39" t="s">
        <v>773</v>
      </c>
      <c r="O39" t="s">
        <v>846</v>
      </c>
      <c r="P39" t="s">
        <v>822</v>
      </c>
      <c r="Q39"/>
    </row>
    <row r="40">
      <c r="A40" t="s">
        <v>83</v>
      </c>
      <c r="B40" t="s">
        <v>52</v>
      </c>
      <c r="C40" s="20" t="n">
        <v>-0.0213040430325774</v>
      </c>
      <c r="D40" s="20" t="n">
        <v>0.0648142659963392</v>
      </c>
      <c r="E40" s="20" t="n">
        <v>-0.328693732854749</v>
      </c>
      <c r="F40" t="n">
        <v>0.743029619865968</v>
      </c>
      <c r="G40" t="n">
        <v>107</v>
      </c>
      <c r="H40" t="s">
        <v>771</v>
      </c>
      <c r="I40" s="20" t="n">
        <v>-0.0213040430325774</v>
      </c>
      <c r="J40" s="20" t="n">
        <v>-0.149790766093864</v>
      </c>
      <c r="K40" s="20" t="n">
        <v>0.107182680028709</v>
      </c>
      <c r="L40" t="s">
        <v>849</v>
      </c>
      <c r="M40" t="s">
        <v>850</v>
      </c>
      <c r="N40" t="s">
        <v>773</v>
      </c>
      <c r="O40" t="s">
        <v>846</v>
      </c>
      <c r="P40" t="s">
        <v>822</v>
      </c>
      <c r="Q40"/>
    </row>
    <row r="41">
      <c r="A41" t="s">
        <v>83</v>
      </c>
      <c r="B41" t="s">
        <v>78</v>
      </c>
      <c r="C41" s="20" t="n">
        <v>0.00863531933861009</v>
      </c>
      <c r="D41" s="20" t="n">
        <v>0.00728679259120618</v>
      </c>
      <c r="E41" s="20" t="n">
        <v>1.18506451645561</v>
      </c>
      <c r="F41" t="n">
        <v>0.238617308292711</v>
      </c>
      <c r="G41" t="n">
        <v>107</v>
      </c>
      <c r="H41" t="s">
        <v>771</v>
      </c>
      <c r="I41" s="20" t="n">
        <v>0.00863531933861009</v>
      </c>
      <c r="J41" s="20" t="n">
        <v>-0.00580989711611648</v>
      </c>
      <c r="K41" s="20" t="n">
        <v>0.0230805357933367</v>
      </c>
      <c r="L41" t="s">
        <v>851</v>
      </c>
      <c r="M41" t="s">
        <v>852</v>
      </c>
      <c r="N41" t="s">
        <v>773</v>
      </c>
      <c r="O41" t="s">
        <v>846</v>
      </c>
      <c r="P41" t="s">
        <v>822</v>
      </c>
      <c r="Q41"/>
    </row>
    <row r="42">
      <c r="A42" t="s">
        <v>90</v>
      </c>
      <c r="B42"/>
      <c r="C42" s="20"/>
      <c r="D42" s="20"/>
      <c r="E42" s="20"/>
      <c r="F42"/>
      <c r="G42"/>
      <c r="H42"/>
      <c r="I42" s="20"/>
      <c r="J42" s="20"/>
      <c r="K42" s="20"/>
      <c r="L42"/>
      <c r="M42" t="s">
        <v>94</v>
      </c>
      <c r="N42"/>
      <c r="O42" t="s">
        <v>782</v>
      </c>
      <c r="P42"/>
      <c r="Q42"/>
    </row>
    <row r="43">
      <c r="A43" t="s">
        <v>23</v>
      </c>
      <c r="B43" t="s">
        <v>809</v>
      </c>
      <c r="C43" s="20" t="n">
        <v>1.5589704402906</v>
      </c>
      <c r="D43" s="20" t="n">
        <v>5.26726825007129</v>
      </c>
      <c r="E43" s="20" t="n">
        <v>0.295973238171324</v>
      </c>
      <c r="F43" t="n">
        <v>0.767250519095024</v>
      </c>
      <c r="G43"/>
      <c r="H43"/>
      <c r="I43" s="20"/>
      <c r="J43" s="20"/>
      <c r="K43" s="20"/>
      <c r="L43"/>
      <c r="M43" t="s">
        <v>153</v>
      </c>
      <c r="N43" t="s">
        <v>785</v>
      </c>
      <c r="O43" t="s">
        <v>853</v>
      </c>
      <c r="P43" t="s">
        <v>822</v>
      </c>
      <c r="Q43"/>
    </row>
    <row r="44">
      <c r="A44" t="s">
        <v>23</v>
      </c>
      <c r="B44" t="s">
        <v>318</v>
      </c>
      <c r="C44" s="20" t="n">
        <v>-0.527093480360821</v>
      </c>
      <c r="D44" s="20" t="n">
        <v>0.475746526232016</v>
      </c>
      <c r="E44" s="20" t="n">
        <v>-1.1079292255384</v>
      </c>
      <c r="F44" t="n">
        <v>0.267892382688202</v>
      </c>
      <c r="G44"/>
      <c r="H44" t="s">
        <v>787</v>
      </c>
      <c r="I44" s="20" t="n">
        <v>0.590318250218083</v>
      </c>
      <c r="J44" s="20" t="n">
        <v>0.232343235438624</v>
      </c>
      <c r="K44" s="20" t="n">
        <v>1.49983121257082</v>
      </c>
      <c r="L44" t="s">
        <v>854</v>
      </c>
      <c r="M44" t="s">
        <v>325</v>
      </c>
      <c r="N44" t="s">
        <v>785</v>
      </c>
      <c r="O44" t="s">
        <v>853</v>
      </c>
      <c r="P44" t="s">
        <v>822</v>
      </c>
      <c r="Q44"/>
    </row>
    <row r="45">
      <c r="A45" t="s">
        <v>23</v>
      </c>
      <c r="B45" t="s">
        <v>764</v>
      </c>
      <c r="C45" s="20" t="n">
        <v>0.0936437899480548</v>
      </c>
      <c r="D45" s="20" t="n">
        <v>0.0296231699333167</v>
      </c>
      <c r="E45" s="20" t="n">
        <v>3.16116709180186</v>
      </c>
      <c r="F45" t="n">
        <v>0.00157138328399239</v>
      </c>
      <c r="G45"/>
      <c r="H45" t="s">
        <v>787</v>
      </c>
      <c r="I45" s="20" t="n">
        <v>1.09816849758045</v>
      </c>
      <c r="J45" s="20" t="n">
        <v>1.03622411096788</v>
      </c>
      <c r="K45" s="20" t="n">
        <v>1.16381585442136</v>
      </c>
      <c r="L45" t="s">
        <v>855</v>
      </c>
      <c r="M45" t="s">
        <v>308</v>
      </c>
      <c r="N45" t="s">
        <v>785</v>
      </c>
      <c r="O45" t="s">
        <v>853</v>
      </c>
      <c r="P45" t="s">
        <v>822</v>
      </c>
      <c r="Q45"/>
    </row>
    <row r="46">
      <c r="A46" t="s">
        <v>23</v>
      </c>
      <c r="B46" t="s">
        <v>52</v>
      </c>
      <c r="C46" s="20" t="n">
        <v>-0.0668314304704265</v>
      </c>
      <c r="D46" s="20" t="n">
        <v>0.105995629279308</v>
      </c>
      <c r="E46" s="20" t="n">
        <v>-0.630511191120151</v>
      </c>
      <c r="F46" t="n">
        <v>0.528360183149894</v>
      </c>
      <c r="G46"/>
      <c r="H46" t="s">
        <v>787</v>
      </c>
      <c r="I46" s="20" t="n">
        <v>0.935352860039779</v>
      </c>
      <c r="J46" s="20" t="n">
        <v>0.759891935170803</v>
      </c>
      <c r="K46" s="20" t="n">
        <v>1.15132814587372</v>
      </c>
      <c r="L46" t="s">
        <v>856</v>
      </c>
      <c r="M46" t="s">
        <v>810</v>
      </c>
      <c r="N46" t="s">
        <v>785</v>
      </c>
      <c r="O46" t="s">
        <v>853</v>
      </c>
      <c r="P46" t="s">
        <v>822</v>
      </c>
      <c r="Q46"/>
    </row>
    <row r="47">
      <c r="A47" t="s">
        <v>23</v>
      </c>
      <c r="B47" t="s">
        <v>78</v>
      </c>
      <c r="C47" s="20" t="n">
        <v>-0.00862179857926008</v>
      </c>
      <c r="D47" s="20" t="n">
        <v>0.0104394580943749</v>
      </c>
      <c r="E47" s="20" t="n">
        <v>-0.825885644764049</v>
      </c>
      <c r="F47" t="n">
        <v>0.408868964552587</v>
      </c>
      <c r="G47"/>
      <c r="H47" t="s">
        <v>787</v>
      </c>
      <c r="I47" s="20" t="n">
        <v>0.991415262538464</v>
      </c>
      <c r="J47" s="20" t="n">
        <v>0.971336072917538</v>
      </c>
      <c r="K47" s="20" t="n">
        <v>1.01190952359252</v>
      </c>
      <c r="L47" t="s">
        <v>857</v>
      </c>
      <c r="M47" t="s">
        <v>86</v>
      </c>
      <c r="N47" t="s">
        <v>785</v>
      </c>
      <c r="O47" t="s">
        <v>853</v>
      </c>
      <c r="P47" t="s">
        <v>822</v>
      </c>
      <c r="Q47"/>
    </row>
    <row r="48">
      <c r="A48" t="s">
        <v>788</v>
      </c>
      <c r="B48" t="s">
        <v>809</v>
      </c>
      <c r="C48" s="20" t="n">
        <v>-3.71386520743037</v>
      </c>
      <c r="D48" s="20" t="n">
        <v>7.04849772248153</v>
      </c>
      <c r="E48" s="20" t="n">
        <v>-0.526901668079541</v>
      </c>
      <c r="F48" t="n">
        <v>0.59826187543103</v>
      </c>
      <c r="G48"/>
      <c r="H48"/>
      <c r="I48" s="20"/>
      <c r="J48" s="20"/>
      <c r="K48" s="20"/>
      <c r="L48"/>
      <c r="M48" t="s">
        <v>858</v>
      </c>
      <c r="N48" t="s">
        <v>785</v>
      </c>
      <c r="O48" t="s">
        <v>859</v>
      </c>
      <c r="P48" t="s">
        <v>822</v>
      </c>
      <c r="Q48"/>
    </row>
    <row r="49">
      <c r="A49" t="s">
        <v>788</v>
      </c>
      <c r="B49" t="s">
        <v>318</v>
      </c>
      <c r="C49" s="20" t="n">
        <v>-0.564074579523747</v>
      </c>
      <c r="D49" s="20" t="n">
        <v>0.675992412573582</v>
      </c>
      <c r="E49" s="20" t="n">
        <v>-0.834439217115248</v>
      </c>
      <c r="F49" t="n">
        <v>0.4040335257344</v>
      </c>
      <c r="G49"/>
      <c r="H49" t="s">
        <v>787</v>
      </c>
      <c r="I49" s="20" t="n">
        <v>0.568886362323011</v>
      </c>
      <c r="J49" s="20" t="n">
        <v>0.15122365758146</v>
      </c>
      <c r="K49" s="20" t="n">
        <v>2.14008640190956</v>
      </c>
      <c r="L49" t="s">
        <v>860</v>
      </c>
      <c r="M49" t="s">
        <v>331</v>
      </c>
      <c r="N49" t="s">
        <v>785</v>
      </c>
      <c r="O49" t="s">
        <v>859</v>
      </c>
      <c r="P49" t="s">
        <v>822</v>
      </c>
      <c r="Q49"/>
    </row>
    <row r="50">
      <c r="A50" t="s">
        <v>788</v>
      </c>
      <c r="B50" t="s">
        <v>764</v>
      </c>
      <c r="C50" s="20" t="n">
        <v>0.051440435385016</v>
      </c>
      <c r="D50" s="20" t="n">
        <v>0.042520325448994</v>
      </c>
      <c r="E50" s="20" t="n">
        <v>1.20978461104965</v>
      </c>
      <c r="F50" t="n">
        <v>0.226361552772957</v>
      </c>
      <c r="G50"/>
      <c r="H50" t="s">
        <v>787</v>
      </c>
      <c r="I50" s="20" t="n">
        <v>1.0527864756034</v>
      </c>
      <c r="J50" s="20" t="n">
        <v>0.968605499636405</v>
      </c>
      <c r="K50" s="20" t="n">
        <v>1.14428357430294</v>
      </c>
      <c r="L50" t="s">
        <v>861</v>
      </c>
      <c r="M50" t="s">
        <v>862</v>
      </c>
      <c r="N50" t="s">
        <v>785</v>
      </c>
      <c r="O50" t="s">
        <v>859</v>
      </c>
      <c r="P50" t="s">
        <v>822</v>
      </c>
      <c r="Q50"/>
    </row>
    <row r="51">
      <c r="A51" t="s">
        <v>788</v>
      </c>
      <c r="B51" t="s">
        <v>52</v>
      </c>
      <c r="C51" s="20" t="n">
        <v>0.0369037020639857</v>
      </c>
      <c r="D51" s="20" t="n">
        <v>0.150468388020561</v>
      </c>
      <c r="E51" s="20" t="n">
        <v>0.245258838414238</v>
      </c>
      <c r="F51" t="n">
        <v>0.806256020728813</v>
      </c>
      <c r="G51"/>
      <c r="H51" t="s">
        <v>787</v>
      </c>
      <c r="I51" s="20" t="n">
        <v>1.0375930979533</v>
      </c>
      <c r="J51" s="20" t="n">
        <v>0.772588341153642</v>
      </c>
      <c r="K51" s="20" t="n">
        <v>1.39349687223175</v>
      </c>
      <c r="L51" t="s">
        <v>863</v>
      </c>
      <c r="M51" t="s">
        <v>864</v>
      </c>
      <c r="N51" t="s">
        <v>785</v>
      </c>
      <c r="O51" t="s">
        <v>859</v>
      </c>
      <c r="P51" t="s">
        <v>822</v>
      </c>
      <c r="Q51"/>
    </row>
    <row r="52">
      <c r="A52" t="s">
        <v>788</v>
      </c>
      <c r="B52" t="s">
        <v>78</v>
      </c>
      <c r="C52" s="20" t="n">
        <v>0.00062291495284757</v>
      </c>
      <c r="D52" s="20" t="n">
        <v>0.0137213057290668</v>
      </c>
      <c r="E52" s="20" t="n">
        <v>0.0453976440105117</v>
      </c>
      <c r="F52" t="n">
        <v>0.963790358860519</v>
      </c>
      <c r="G52"/>
      <c r="H52" t="s">
        <v>787</v>
      </c>
      <c r="I52" s="20" t="n">
        <v>1.00062310900466</v>
      </c>
      <c r="J52" s="20" t="n">
        <v>0.974071713626242</v>
      </c>
      <c r="K52" s="20" t="n">
        <v>1.02789824636909</v>
      </c>
      <c r="L52" t="s">
        <v>865</v>
      </c>
      <c r="M52" t="s">
        <v>167</v>
      </c>
      <c r="N52" t="s">
        <v>785</v>
      </c>
      <c r="O52" t="s">
        <v>859</v>
      </c>
      <c r="P52" t="s">
        <v>822</v>
      </c>
      <c r="Q52"/>
    </row>
    <row r="53">
      <c r="A53" t="s">
        <v>791</v>
      </c>
      <c r="B53"/>
      <c r="C53" s="20"/>
      <c r="D53" s="20"/>
      <c r="E53" s="20"/>
      <c r="F53"/>
      <c r="G53"/>
      <c r="H53"/>
      <c r="I53" s="20"/>
      <c r="J53" s="20"/>
      <c r="K53" s="20"/>
      <c r="L53"/>
      <c r="M53" t="s">
        <v>94</v>
      </c>
      <c r="N53"/>
      <c r="O53" t="s">
        <v>792</v>
      </c>
      <c r="P53"/>
      <c r="Q53"/>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9" t="s">
        <v>793</v>
      </c>
    </row>
    <row r="3">
      <c r="A3" s="1" t="s">
        <v>748</v>
      </c>
    </row>
    <row r="4">
      <c r="A4" t="s">
        <v>749</v>
      </c>
      <c r="B4" t="s">
        <v>750</v>
      </c>
      <c r="C4" t="s">
        <v>751</v>
      </c>
      <c r="D4" t="s">
        <v>752</v>
      </c>
      <c r="E4" t="s">
        <v>753</v>
      </c>
      <c r="F4" t="s">
        <v>754</v>
      </c>
      <c r="G4" t="s">
        <v>755</v>
      </c>
      <c r="H4" t="s">
        <v>756</v>
      </c>
      <c r="I4" t="s">
        <v>757</v>
      </c>
      <c r="J4" t="s">
        <v>758</v>
      </c>
      <c r="K4" t="s">
        <v>759</v>
      </c>
      <c r="L4" t="s">
        <v>760</v>
      </c>
      <c r="M4" t="s">
        <v>39</v>
      </c>
      <c r="N4" t="s">
        <v>761</v>
      </c>
      <c r="O4" t="s">
        <v>762</v>
      </c>
      <c r="P4" t="s">
        <v>763</v>
      </c>
      <c r="Q4" t="s">
        <v>1</v>
      </c>
    </row>
    <row r="5">
      <c r="A5" t="s">
        <v>794</v>
      </c>
      <c r="B5" t="s">
        <v>809</v>
      </c>
      <c r="C5" s="21" t="n">
        <v>6.51593681029996</v>
      </c>
      <c r="D5" s="21" t="n">
        <v>0.282335061187667</v>
      </c>
      <c r="E5" s="21" t="n">
        <v>23.0787376632931</v>
      </c>
      <c r="F5" t="n">
        <v>0.000000000000000000000000000000000000000000148482520593044</v>
      </c>
      <c r="G5" t="n">
        <v>108</v>
      </c>
      <c r="H5"/>
      <c r="I5" s="21"/>
      <c r="J5" s="21"/>
      <c r="K5" s="21"/>
      <c r="L5"/>
      <c r="M5" t="s">
        <v>55</v>
      </c>
      <c r="N5" t="s">
        <v>768</v>
      </c>
      <c r="O5" t="s">
        <v>866</v>
      </c>
      <c r="P5" t="s">
        <v>822</v>
      </c>
      <c r="Q5"/>
    </row>
    <row r="6">
      <c r="A6" t="s">
        <v>794</v>
      </c>
      <c r="B6" t="s">
        <v>318</v>
      </c>
      <c r="C6" s="21" t="n">
        <v>-0.00796049348012855</v>
      </c>
      <c r="D6" s="21" t="n">
        <v>0.0258760360106327</v>
      </c>
      <c r="E6" s="21" t="n">
        <v>-0.307639604337292</v>
      </c>
      <c r="F6" t="n">
        <v>0.758949059726409</v>
      </c>
      <c r="G6" t="n">
        <v>108</v>
      </c>
      <c r="H6" t="s">
        <v>771</v>
      </c>
      <c r="I6" s="21" t="n">
        <v>-0.00796049348012855</v>
      </c>
      <c r="J6" s="21" t="n">
        <v>-0.0592512859135205</v>
      </c>
      <c r="K6" s="21" t="n">
        <v>0.0433302989532634</v>
      </c>
      <c r="L6" t="s">
        <v>867</v>
      </c>
      <c r="M6" t="s">
        <v>111</v>
      </c>
      <c r="N6" t="s">
        <v>768</v>
      </c>
      <c r="O6" t="s">
        <v>866</v>
      </c>
      <c r="P6" t="s">
        <v>822</v>
      </c>
      <c r="Q6"/>
    </row>
    <row r="7">
      <c r="A7" t="s">
        <v>794</v>
      </c>
      <c r="B7" t="s">
        <v>764</v>
      </c>
      <c r="C7" s="21" t="n">
        <v>0.00147637338915122</v>
      </c>
      <c r="D7" s="21" t="n">
        <v>0.00151867135475885</v>
      </c>
      <c r="E7" s="21" t="n">
        <v>0.972148045411483</v>
      </c>
      <c r="F7" t="n">
        <v>0.333149183322445</v>
      </c>
      <c r="G7" t="n">
        <v>108</v>
      </c>
      <c r="H7" t="s">
        <v>771</v>
      </c>
      <c r="I7" s="21" t="n">
        <v>0.00147637338915122</v>
      </c>
      <c r="J7" s="21" t="n">
        <v>-0.00153389670011078</v>
      </c>
      <c r="K7" s="21" t="n">
        <v>0.00448664347841323</v>
      </c>
      <c r="L7" t="s">
        <v>868</v>
      </c>
      <c r="M7" t="s">
        <v>342</v>
      </c>
      <c r="N7" t="s">
        <v>768</v>
      </c>
      <c r="O7" t="s">
        <v>866</v>
      </c>
      <c r="P7" t="s">
        <v>822</v>
      </c>
      <c r="Q7"/>
    </row>
    <row r="8">
      <c r="A8" t="s">
        <v>794</v>
      </c>
      <c r="B8" t="s">
        <v>52</v>
      </c>
      <c r="C8" s="21" t="n">
        <v>0.0492146271228813</v>
      </c>
      <c r="D8" s="21" t="n">
        <v>0.00580704360351818</v>
      </c>
      <c r="E8" s="21" t="n">
        <v>8.47498839048922</v>
      </c>
      <c r="F8" t="n">
        <v>0.000000000000132033059284741</v>
      </c>
      <c r="G8" t="n">
        <v>108</v>
      </c>
      <c r="H8" t="s">
        <v>771</v>
      </c>
      <c r="I8" s="21" t="n">
        <v>0.0492146271228813</v>
      </c>
      <c r="J8" s="21" t="n">
        <v>0.0377040592755758</v>
      </c>
      <c r="K8" s="21" t="n">
        <v>0.0607251949701867</v>
      </c>
      <c r="L8" t="s">
        <v>869</v>
      </c>
      <c r="M8" t="s">
        <v>55</v>
      </c>
      <c r="N8" t="s">
        <v>768</v>
      </c>
      <c r="O8" t="s">
        <v>866</v>
      </c>
      <c r="P8" t="s">
        <v>822</v>
      </c>
      <c r="Q8"/>
    </row>
    <row r="9">
      <c r="A9" t="s">
        <v>794</v>
      </c>
      <c r="B9" t="s">
        <v>78</v>
      </c>
      <c r="C9" s="21" t="n">
        <v>0.000250177519132129</v>
      </c>
      <c r="D9" s="21" t="n">
        <v>0.000553026157281465</v>
      </c>
      <c r="E9" s="21" t="n">
        <v>0.452379179245224</v>
      </c>
      <c r="F9" t="n">
        <v>0.651903200446224</v>
      </c>
      <c r="G9" t="n">
        <v>108</v>
      </c>
      <c r="H9" t="s">
        <v>771</v>
      </c>
      <c r="I9" s="21" t="n">
        <v>0.000250177519132129</v>
      </c>
      <c r="J9" s="21" t="n">
        <v>-0.000846016265406759</v>
      </c>
      <c r="K9" s="21" t="n">
        <v>0.00134637130367102</v>
      </c>
      <c r="L9" t="s">
        <v>870</v>
      </c>
      <c r="M9" t="s">
        <v>871</v>
      </c>
      <c r="N9" t="s">
        <v>768</v>
      </c>
      <c r="O9" t="s">
        <v>866</v>
      </c>
      <c r="P9" t="s">
        <v>822</v>
      </c>
      <c r="Q9"/>
    </row>
    <row r="10">
      <c r="A10" t="s">
        <v>125</v>
      </c>
      <c r="B10" t="s">
        <v>809</v>
      </c>
      <c r="C10" s="21" t="n">
        <v>9.21140969980768</v>
      </c>
      <c r="D10" s="21" t="n">
        <v>11.789317277857</v>
      </c>
      <c r="E10" s="21" t="n">
        <v>0.781335295565315</v>
      </c>
      <c r="F10" t="n">
        <v>0.436314746184966</v>
      </c>
      <c r="G10" t="n">
        <v>108</v>
      </c>
      <c r="H10"/>
      <c r="I10" s="21"/>
      <c r="J10" s="21"/>
      <c r="K10" s="21"/>
      <c r="L10"/>
      <c r="M10" t="s">
        <v>872</v>
      </c>
      <c r="N10" t="s">
        <v>773</v>
      </c>
      <c r="O10" t="s">
        <v>774</v>
      </c>
      <c r="P10" t="s">
        <v>822</v>
      </c>
      <c r="Q10"/>
    </row>
    <row r="11">
      <c r="A11" t="s">
        <v>125</v>
      </c>
      <c r="B11" t="s">
        <v>318</v>
      </c>
      <c r="C11" s="21" t="n">
        <v>-1.6589684956432</v>
      </c>
      <c r="D11" s="21" t="n">
        <v>1.10632424185839</v>
      </c>
      <c r="E11" s="21" t="n">
        <v>-1.49953190292249</v>
      </c>
      <c r="F11" t="n">
        <v>0.136653280772718</v>
      </c>
      <c r="G11" t="n">
        <v>108</v>
      </c>
      <c r="H11" t="s">
        <v>771</v>
      </c>
      <c r="I11" s="21" t="n">
        <v>-1.6589684956432</v>
      </c>
      <c r="J11" s="21" t="n">
        <v>-3.85189507179543</v>
      </c>
      <c r="K11" s="21" t="n">
        <v>0.533958080509029</v>
      </c>
      <c r="L11" t="s">
        <v>873</v>
      </c>
      <c r="M11" t="s">
        <v>820</v>
      </c>
      <c r="N11" t="s">
        <v>773</v>
      </c>
      <c r="O11" t="s">
        <v>774</v>
      </c>
      <c r="P11" t="s">
        <v>822</v>
      </c>
      <c r="Q11"/>
    </row>
    <row r="12">
      <c r="A12" t="s">
        <v>125</v>
      </c>
      <c r="B12" t="s">
        <v>764</v>
      </c>
      <c r="C12" s="21" t="n">
        <v>0.0785211096972193</v>
      </c>
      <c r="D12" s="21" t="n">
        <v>0.0645801485763414</v>
      </c>
      <c r="E12" s="21" t="n">
        <v>1.21587068825644</v>
      </c>
      <c r="F12" t="n">
        <v>0.2266851455615</v>
      </c>
      <c r="G12" t="n">
        <v>108</v>
      </c>
      <c r="H12" t="s">
        <v>771</v>
      </c>
      <c r="I12" s="21" t="n">
        <v>0.0785211096972193</v>
      </c>
      <c r="J12" s="21" t="n">
        <v>-0.0494879483588778</v>
      </c>
      <c r="K12" s="21" t="n">
        <v>0.206530167753316</v>
      </c>
      <c r="L12" t="s">
        <v>874</v>
      </c>
      <c r="M12" t="s">
        <v>862</v>
      </c>
      <c r="N12" t="s">
        <v>773</v>
      </c>
      <c r="O12" t="s">
        <v>774</v>
      </c>
      <c r="P12" t="s">
        <v>822</v>
      </c>
      <c r="Q12"/>
    </row>
    <row r="13">
      <c r="A13" t="s">
        <v>125</v>
      </c>
      <c r="B13" t="s">
        <v>52</v>
      </c>
      <c r="C13" s="21" t="n">
        <v>-13.2719685035189</v>
      </c>
      <c r="D13" s="21" t="n">
        <v>0.227230498688502</v>
      </c>
      <c r="E13" s="21" t="n">
        <v>-58.4075138686058</v>
      </c>
      <c r="F13" t="n">
        <v>0.0000000000000000000000000000000000000000000000000000000000000000000000000000000000153529429559906</v>
      </c>
      <c r="G13" t="n">
        <v>108</v>
      </c>
      <c r="H13" t="s">
        <v>771</v>
      </c>
      <c r="I13" s="21" t="n">
        <v>-13.2719685035189</v>
      </c>
      <c r="J13" s="21" t="n">
        <v>-13.722378772618</v>
      </c>
      <c r="K13" s="21" t="n">
        <v>-12.8215582344198</v>
      </c>
      <c r="L13" t="s">
        <v>875</v>
      </c>
      <c r="M13" t="s">
        <v>55</v>
      </c>
      <c r="N13" t="s">
        <v>773</v>
      </c>
      <c r="O13" t="s">
        <v>774</v>
      </c>
      <c r="P13" t="s">
        <v>822</v>
      </c>
      <c r="Q13"/>
    </row>
    <row r="14">
      <c r="A14" t="s">
        <v>125</v>
      </c>
      <c r="B14" t="s">
        <v>78</v>
      </c>
      <c r="C14" s="21" t="n">
        <v>-0.00538890538207164</v>
      </c>
      <c r="D14" s="21" t="n">
        <v>0.023229834255317</v>
      </c>
      <c r="E14" s="21" t="n">
        <v>-0.231982084884578</v>
      </c>
      <c r="F14" t="n">
        <v>0.816990924603756</v>
      </c>
      <c r="G14" t="n">
        <v>108</v>
      </c>
      <c r="H14" t="s">
        <v>771</v>
      </c>
      <c r="I14" s="21" t="n">
        <v>-0.00538890538207164</v>
      </c>
      <c r="J14" s="21" t="n">
        <v>-0.0514344668645946</v>
      </c>
      <c r="K14" s="21" t="n">
        <v>0.0406566561004513</v>
      </c>
      <c r="L14" t="s">
        <v>876</v>
      </c>
      <c r="M14" t="s">
        <v>170</v>
      </c>
      <c r="N14" t="s">
        <v>773</v>
      </c>
      <c r="O14" t="s">
        <v>774</v>
      </c>
      <c r="P14" t="s">
        <v>822</v>
      </c>
      <c r="Q14"/>
    </row>
    <row r="15">
      <c r="A15" t="s">
        <v>797</v>
      </c>
      <c r="B15"/>
      <c r="C15" s="21"/>
      <c r="D15" s="21"/>
      <c r="E15" s="21"/>
      <c r="F15"/>
      <c r="G15"/>
      <c r="H15"/>
      <c r="I15" s="21"/>
      <c r="J15" s="21"/>
      <c r="K15" s="21"/>
      <c r="L15"/>
      <c r="M15" t="s">
        <v>94</v>
      </c>
      <c r="N15"/>
      <c r="O15" t="s">
        <v>792</v>
      </c>
      <c r="P15"/>
      <c r="Q15"/>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 t="s">
        <v>748</v>
      </c>
    </row>
    <row r="2">
      <c r="A2" t="s">
        <v>749</v>
      </c>
      <c r="B2" t="s">
        <v>750</v>
      </c>
      <c r="C2" t="s">
        <v>751</v>
      </c>
      <c r="D2" t="s">
        <v>752</v>
      </c>
      <c r="E2" t="s">
        <v>753</v>
      </c>
      <c r="F2" t="s">
        <v>754</v>
      </c>
      <c r="G2" t="s">
        <v>755</v>
      </c>
      <c r="H2" t="s">
        <v>756</v>
      </c>
      <c r="I2" t="s">
        <v>757</v>
      </c>
      <c r="J2" t="s">
        <v>758</v>
      </c>
      <c r="K2" t="s">
        <v>759</v>
      </c>
      <c r="L2" t="s">
        <v>760</v>
      </c>
      <c r="M2" t="s">
        <v>39</v>
      </c>
      <c r="N2" t="s">
        <v>761</v>
      </c>
      <c r="O2" t="s">
        <v>762</v>
      </c>
      <c r="P2" t="s">
        <v>763</v>
      </c>
      <c r="Q2" t="s">
        <v>1</v>
      </c>
    </row>
    <row r="3">
      <c r="A3" t="s">
        <v>137</v>
      </c>
      <c r="B3" t="s">
        <v>809</v>
      </c>
      <c r="C3" s="22" t="n">
        <v>183.861820704803</v>
      </c>
      <c r="D3" s="22" t="n">
        <v>22.9922412166445</v>
      </c>
      <c r="E3" s="22" t="n">
        <v>7.99668979515152</v>
      </c>
      <c r="F3" t="n">
        <v>0.00000000000257852520157512</v>
      </c>
      <c r="G3" t="n">
        <v>98</v>
      </c>
      <c r="H3"/>
      <c r="I3" s="22"/>
      <c r="J3" s="22"/>
      <c r="K3" s="22"/>
      <c r="L3"/>
      <c r="M3" t="s">
        <v>55</v>
      </c>
      <c r="N3" t="s">
        <v>773</v>
      </c>
      <c r="O3" t="s">
        <v>774</v>
      </c>
      <c r="P3" t="s">
        <v>822</v>
      </c>
      <c r="Q3"/>
    </row>
    <row r="4">
      <c r="A4" t="s">
        <v>137</v>
      </c>
      <c r="B4" t="s">
        <v>318</v>
      </c>
      <c r="C4" s="22" t="n">
        <v>-2.89288011296658</v>
      </c>
      <c r="D4" s="22" t="n">
        <v>2.51963845500557</v>
      </c>
      <c r="E4" s="22" t="n">
        <v>-1.14813302171172</v>
      </c>
      <c r="F4" t="n">
        <v>0.253708546454195</v>
      </c>
      <c r="G4" t="n">
        <v>98</v>
      </c>
      <c r="H4" t="s">
        <v>771</v>
      </c>
      <c r="I4" s="22" t="n">
        <v>-2.89288011296658</v>
      </c>
      <c r="J4" s="22" t="n">
        <v>-7.89302062405317</v>
      </c>
      <c r="K4" s="22" t="n">
        <v>2.10726039812</v>
      </c>
      <c r="L4" t="s">
        <v>142</v>
      </c>
      <c r="M4" t="s">
        <v>143</v>
      </c>
      <c r="N4" t="s">
        <v>773</v>
      </c>
      <c r="O4" t="s">
        <v>774</v>
      </c>
      <c r="P4" t="s">
        <v>822</v>
      </c>
      <c r="Q4"/>
    </row>
    <row r="5">
      <c r="A5" t="s">
        <v>137</v>
      </c>
      <c r="B5" t="s">
        <v>764</v>
      </c>
      <c r="C5" s="22" t="n">
        <v>0.31584977432445</v>
      </c>
      <c r="D5" s="22" t="n">
        <v>0.149426456859082</v>
      </c>
      <c r="E5" s="22" t="n">
        <v>2.11374733071745</v>
      </c>
      <c r="F5" t="n">
        <v>0.0370759151880426</v>
      </c>
      <c r="G5" t="n">
        <v>98</v>
      </c>
      <c r="H5" t="s">
        <v>771</v>
      </c>
      <c r="I5" s="22" t="n">
        <v>0.31584977432445</v>
      </c>
      <c r="J5" s="22" t="n">
        <v>0.0193178338450865</v>
      </c>
      <c r="K5" s="22" t="n">
        <v>0.612381714803814</v>
      </c>
      <c r="L5" t="s">
        <v>877</v>
      </c>
      <c r="M5" t="s">
        <v>836</v>
      </c>
      <c r="N5" t="s">
        <v>773</v>
      </c>
      <c r="O5" t="s">
        <v>774</v>
      </c>
      <c r="P5" t="s">
        <v>822</v>
      </c>
      <c r="Q5"/>
    </row>
    <row r="6">
      <c r="A6" t="s">
        <v>137</v>
      </c>
      <c r="B6" t="s">
        <v>52</v>
      </c>
      <c r="C6" s="22" t="n">
        <v>-0.157022968550801</v>
      </c>
      <c r="D6" s="22" t="n">
        <v>0.542730659773523</v>
      </c>
      <c r="E6" s="22" t="n">
        <v>-0.289320247019627</v>
      </c>
      <c r="F6" t="n">
        <v>0.772947501277189</v>
      </c>
      <c r="G6" t="n">
        <v>98</v>
      </c>
      <c r="H6" t="s">
        <v>771</v>
      </c>
      <c r="I6" s="22" t="n">
        <v>-0.157022968550801</v>
      </c>
      <c r="J6" s="22" t="n">
        <v>-1.23405429943527</v>
      </c>
      <c r="K6" s="22" t="n">
        <v>0.920008362333671</v>
      </c>
      <c r="L6" t="s">
        <v>878</v>
      </c>
      <c r="M6" t="s">
        <v>153</v>
      </c>
      <c r="N6" t="s">
        <v>773</v>
      </c>
      <c r="O6" t="s">
        <v>774</v>
      </c>
      <c r="P6" t="s">
        <v>822</v>
      </c>
      <c r="Q6"/>
    </row>
    <row r="7">
      <c r="A7" t="s">
        <v>137</v>
      </c>
      <c r="B7" t="s">
        <v>78</v>
      </c>
      <c r="C7" s="22" t="n">
        <v>-0.0258643210790021</v>
      </c>
      <c r="D7" s="22" t="n">
        <v>0.0457621411060208</v>
      </c>
      <c r="E7" s="22" t="n">
        <v>-0.565190361593444</v>
      </c>
      <c r="F7" t="n">
        <v>0.573235919320972</v>
      </c>
      <c r="G7" t="n">
        <v>98</v>
      </c>
      <c r="H7" t="s">
        <v>771</v>
      </c>
      <c r="I7" s="22" t="n">
        <v>-0.0258643210790021</v>
      </c>
      <c r="J7" s="22" t="n">
        <v>-0.116677800752525</v>
      </c>
      <c r="K7" s="22" t="n">
        <v>0.0649491585945209</v>
      </c>
      <c r="L7" t="s">
        <v>879</v>
      </c>
      <c r="M7" t="s">
        <v>311</v>
      </c>
      <c r="N7" t="s">
        <v>773</v>
      </c>
      <c r="O7" t="s">
        <v>774</v>
      </c>
      <c r="P7" t="s">
        <v>822</v>
      </c>
      <c r="Q7"/>
    </row>
    <row r="8">
      <c r="A8" t="s">
        <v>145</v>
      </c>
      <c r="B8" t="s">
        <v>809</v>
      </c>
      <c r="C8" s="22" t="n">
        <v>-0.745816536095781</v>
      </c>
      <c r="D8" s="22" t="n">
        <v>0.741256647109655</v>
      </c>
      <c r="E8" s="22" t="n">
        <v>-1.00615156572815</v>
      </c>
      <c r="F8" t="n">
        <v>0.316820523902233</v>
      </c>
      <c r="G8" t="n">
        <v>98</v>
      </c>
      <c r="H8"/>
      <c r="I8" s="22"/>
      <c r="J8" s="22"/>
      <c r="K8" s="22"/>
      <c r="L8"/>
      <c r="M8" t="s">
        <v>380</v>
      </c>
      <c r="N8" t="s">
        <v>773</v>
      </c>
      <c r="O8" t="s">
        <v>774</v>
      </c>
      <c r="P8" t="s">
        <v>822</v>
      </c>
      <c r="Q8"/>
    </row>
    <row r="9">
      <c r="A9" t="s">
        <v>145</v>
      </c>
      <c r="B9" t="s">
        <v>318</v>
      </c>
      <c r="C9" s="22" t="n">
        <v>-0.179996398066919</v>
      </c>
      <c r="D9" s="22" t="n">
        <v>0.0814859316112164</v>
      </c>
      <c r="E9" s="22" t="n">
        <v>-2.20892606254676</v>
      </c>
      <c r="F9" t="n">
        <v>0.0295095686269822</v>
      </c>
      <c r="G9" t="n">
        <v>98</v>
      </c>
      <c r="H9" t="s">
        <v>771</v>
      </c>
      <c r="I9" s="22" t="n">
        <v>-0.179996398066919</v>
      </c>
      <c r="J9" s="22" t="n">
        <v>-0.341702577349682</v>
      </c>
      <c r="K9" s="22" t="n">
        <v>-0.0182902187841563</v>
      </c>
      <c r="L9" t="s">
        <v>149</v>
      </c>
      <c r="M9" t="s">
        <v>81</v>
      </c>
      <c r="N9" t="s">
        <v>773</v>
      </c>
      <c r="O9" t="s">
        <v>774</v>
      </c>
      <c r="P9" t="s">
        <v>822</v>
      </c>
      <c r="Q9"/>
    </row>
    <row r="10">
      <c r="A10" t="s">
        <v>145</v>
      </c>
      <c r="B10" t="s">
        <v>764</v>
      </c>
      <c r="C10" s="22" t="n">
        <v>-0.0166995142409948</v>
      </c>
      <c r="D10" s="22" t="n">
        <v>0.00434126064929339</v>
      </c>
      <c r="E10" s="22" t="n">
        <v>-3.84669698275613</v>
      </c>
      <c r="F10" t="n">
        <v>0.000213117879849394</v>
      </c>
      <c r="G10" t="n">
        <v>98</v>
      </c>
      <c r="H10" t="s">
        <v>771</v>
      </c>
      <c r="I10" s="22" t="n">
        <v>-0.0166995142409948</v>
      </c>
      <c r="J10" s="22" t="n">
        <v>-0.0253146047110559</v>
      </c>
      <c r="K10" s="22" t="n">
        <v>-0.00808442377093371</v>
      </c>
      <c r="L10" t="s">
        <v>880</v>
      </c>
      <c r="M10" t="s">
        <v>55</v>
      </c>
      <c r="N10" t="s">
        <v>773</v>
      </c>
      <c r="O10" t="s">
        <v>774</v>
      </c>
      <c r="P10" t="s">
        <v>822</v>
      </c>
      <c r="Q10"/>
    </row>
    <row r="11">
      <c r="A11" t="s">
        <v>145</v>
      </c>
      <c r="B11" t="s">
        <v>52</v>
      </c>
      <c r="C11" s="22" t="n">
        <v>0.0691314749743939</v>
      </c>
      <c r="D11" s="22" t="n">
        <v>0.0165791676805627</v>
      </c>
      <c r="E11" s="22" t="n">
        <v>4.16977958763533</v>
      </c>
      <c r="F11" t="n">
        <v>0.0000658856214838061</v>
      </c>
      <c r="G11" t="n">
        <v>98</v>
      </c>
      <c r="H11" t="s">
        <v>771</v>
      </c>
      <c r="I11" s="22" t="n">
        <v>0.0691314749743939</v>
      </c>
      <c r="J11" s="22" t="n">
        <v>0.0362306562894783</v>
      </c>
      <c r="K11" s="22" t="n">
        <v>0.10203229365931</v>
      </c>
      <c r="L11" t="s">
        <v>881</v>
      </c>
      <c r="M11" t="s">
        <v>55</v>
      </c>
      <c r="N11" t="s">
        <v>773</v>
      </c>
      <c r="O11" t="s">
        <v>774</v>
      </c>
      <c r="P11" t="s">
        <v>822</v>
      </c>
      <c r="Q11"/>
    </row>
    <row r="12">
      <c r="A12" t="s">
        <v>145</v>
      </c>
      <c r="B12" t="s">
        <v>78</v>
      </c>
      <c r="C12" s="22" t="n">
        <v>0.00301854937354091</v>
      </c>
      <c r="D12" s="22" t="n">
        <v>0.00144136919692844</v>
      </c>
      <c r="E12" s="22" t="n">
        <v>2.09422358960733</v>
      </c>
      <c r="F12" t="n">
        <v>0.0388203086657465</v>
      </c>
      <c r="G12" t="n">
        <v>98</v>
      </c>
      <c r="H12" t="s">
        <v>771</v>
      </c>
      <c r="I12" s="22" t="n">
        <v>0.00301854937354091</v>
      </c>
      <c r="J12" s="22" t="n">
        <v>0.000158199112305391</v>
      </c>
      <c r="K12" s="22" t="n">
        <v>0.00587889963477644</v>
      </c>
      <c r="L12" t="s">
        <v>882</v>
      </c>
      <c r="M12" t="s">
        <v>836</v>
      </c>
      <c r="N12" t="s">
        <v>773</v>
      </c>
      <c r="O12" t="s">
        <v>774</v>
      </c>
      <c r="P12" t="s">
        <v>822</v>
      </c>
      <c r="Q12"/>
    </row>
    <row r="13">
      <c r="A13" t="s">
        <v>150</v>
      </c>
      <c r="B13" t="s">
        <v>809</v>
      </c>
      <c r="C13" s="22" t="n">
        <v>-0.42177510626388</v>
      </c>
      <c r="D13" s="22" t="n">
        <v>0.420929858395729</v>
      </c>
      <c r="E13" s="22" t="n">
        <v>-1.00200804920652</v>
      </c>
      <c r="F13" t="n">
        <v>0.318807417020635</v>
      </c>
      <c r="G13" t="n">
        <v>98</v>
      </c>
      <c r="H13"/>
      <c r="I13" s="22"/>
      <c r="J13" s="22"/>
      <c r="K13" s="22"/>
      <c r="L13"/>
      <c r="M13" t="s">
        <v>380</v>
      </c>
      <c r="N13" t="s">
        <v>773</v>
      </c>
      <c r="O13" t="s">
        <v>774</v>
      </c>
      <c r="P13" t="s">
        <v>822</v>
      </c>
      <c r="Q13"/>
    </row>
    <row r="14">
      <c r="A14" t="s">
        <v>150</v>
      </c>
      <c r="B14" t="s">
        <v>318</v>
      </c>
      <c r="C14" s="22" t="n">
        <v>0.0301137207722738</v>
      </c>
      <c r="D14" s="22" t="n">
        <v>0.0364212516296736</v>
      </c>
      <c r="E14" s="22" t="n">
        <v>0.826817295530258</v>
      </c>
      <c r="F14" t="n">
        <v>0.410349254430545</v>
      </c>
      <c r="G14" t="n">
        <v>98</v>
      </c>
      <c r="H14" t="s">
        <v>771</v>
      </c>
      <c r="I14" s="22" t="n">
        <v>0.0301137207722738</v>
      </c>
      <c r="J14" s="22" t="n">
        <v>-0.0421630677392775</v>
      </c>
      <c r="K14" s="22" t="n">
        <v>0.102390509283825</v>
      </c>
      <c r="L14" t="s">
        <v>155</v>
      </c>
      <c r="M14" t="s">
        <v>86</v>
      </c>
      <c r="N14" t="s">
        <v>773</v>
      </c>
      <c r="O14" t="s">
        <v>774</v>
      </c>
      <c r="P14" t="s">
        <v>822</v>
      </c>
      <c r="Q14"/>
    </row>
    <row r="15">
      <c r="A15" t="s">
        <v>150</v>
      </c>
      <c r="B15" t="s">
        <v>764</v>
      </c>
      <c r="C15" s="22" t="n">
        <v>-0.00274619511584483</v>
      </c>
      <c r="D15" s="22" t="n">
        <v>0.00233914914088934</v>
      </c>
      <c r="E15" s="22" t="n">
        <v>-1.17401454564831</v>
      </c>
      <c r="F15" t="n">
        <v>0.243234357459111</v>
      </c>
      <c r="G15" t="n">
        <v>98</v>
      </c>
      <c r="H15" t="s">
        <v>771</v>
      </c>
      <c r="I15" s="22" t="n">
        <v>-0.00274619511584483</v>
      </c>
      <c r="J15" s="22" t="n">
        <v>-0.0073881604571812</v>
      </c>
      <c r="K15" s="22" t="n">
        <v>0.00189577022549155</v>
      </c>
      <c r="L15" t="s">
        <v>883</v>
      </c>
      <c r="M15" t="s">
        <v>852</v>
      </c>
      <c r="N15" t="s">
        <v>773</v>
      </c>
      <c r="O15" t="s">
        <v>774</v>
      </c>
      <c r="P15" t="s">
        <v>822</v>
      </c>
      <c r="Q15"/>
    </row>
    <row r="16">
      <c r="A16" t="s">
        <v>150</v>
      </c>
      <c r="B16" t="s">
        <v>52</v>
      </c>
      <c r="C16" s="22" t="n">
        <v>0.00266542070847955</v>
      </c>
      <c r="D16" s="22" t="n">
        <v>0.00790301239053819</v>
      </c>
      <c r="E16" s="22" t="n">
        <v>0.337266421557265</v>
      </c>
      <c r="F16" t="n">
        <v>0.736637345694851</v>
      </c>
      <c r="G16" t="n">
        <v>98</v>
      </c>
      <c r="H16" t="s">
        <v>771</v>
      </c>
      <c r="I16" s="22" t="n">
        <v>0.00266542070847955</v>
      </c>
      <c r="J16" s="22" t="n">
        <v>-0.0130178501731208</v>
      </c>
      <c r="K16" s="22" t="n">
        <v>0.0183486915900799</v>
      </c>
      <c r="L16" t="s">
        <v>884</v>
      </c>
      <c r="M16" t="s">
        <v>850</v>
      </c>
      <c r="N16" t="s">
        <v>773</v>
      </c>
      <c r="O16" t="s">
        <v>774</v>
      </c>
      <c r="P16" t="s">
        <v>822</v>
      </c>
      <c r="Q16"/>
    </row>
    <row r="17">
      <c r="A17" t="s">
        <v>150</v>
      </c>
      <c r="B17" t="s">
        <v>78</v>
      </c>
      <c r="C17" s="22" t="n">
        <v>0.000545158627489889</v>
      </c>
      <c r="D17" s="22" t="n">
        <v>0.000842869700738094</v>
      </c>
      <c r="E17" s="22" t="n">
        <v>0.646788734975879</v>
      </c>
      <c r="F17" t="n">
        <v>0.519280697827463</v>
      </c>
      <c r="G17" t="n">
        <v>98</v>
      </c>
      <c r="H17" t="s">
        <v>771</v>
      </c>
      <c r="I17" s="22" t="n">
        <v>0.000545158627489889</v>
      </c>
      <c r="J17" s="22" t="n">
        <v>-0.00112748886201616</v>
      </c>
      <c r="K17" s="22" t="n">
        <v>0.00221780611699594</v>
      </c>
      <c r="L17" t="s">
        <v>885</v>
      </c>
      <c r="M17" t="s">
        <v>886</v>
      </c>
      <c r="N17" t="s">
        <v>773</v>
      </c>
      <c r="O17" t="s">
        <v>774</v>
      </c>
      <c r="P17" t="s">
        <v>822</v>
      </c>
      <c r="Q17"/>
    </row>
    <row r="18">
      <c r="A18" t="s">
        <v>156</v>
      </c>
      <c r="B18" t="s">
        <v>809</v>
      </c>
      <c r="C18" s="22" t="n">
        <v>0.397658363860142</v>
      </c>
      <c r="D18" s="22" t="n">
        <v>0.213492849196238</v>
      </c>
      <c r="E18" s="22" t="n">
        <v>1.86263083450923</v>
      </c>
      <c r="F18" t="n">
        <v>0.0655406363617136</v>
      </c>
      <c r="G18" t="n">
        <v>97</v>
      </c>
      <c r="H18"/>
      <c r="I18" s="22"/>
      <c r="J18" s="22"/>
      <c r="K18" s="22"/>
      <c r="L18"/>
      <c r="M18" t="s">
        <v>371</v>
      </c>
      <c r="N18" t="s">
        <v>773</v>
      </c>
      <c r="O18" t="s">
        <v>774</v>
      </c>
      <c r="P18" t="s">
        <v>822</v>
      </c>
      <c r="Q18"/>
    </row>
    <row r="19">
      <c r="A19" t="s">
        <v>156</v>
      </c>
      <c r="B19" t="s">
        <v>318</v>
      </c>
      <c r="C19" s="22" t="n">
        <v>0.0096244390015527</v>
      </c>
      <c r="D19" s="22" t="n">
        <v>0.0206776016416492</v>
      </c>
      <c r="E19" s="22" t="n">
        <v>0.465452385066118</v>
      </c>
      <c r="F19" t="n">
        <v>0.642650866403586</v>
      </c>
      <c r="G19" t="n">
        <v>97</v>
      </c>
      <c r="H19" t="s">
        <v>771</v>
      </c>
      <c r="I19" s="22" t="n">
        <v>0.0096244390015527</v>
      </c>
      <c r="J19" s="22" t="n">
        <v>-0.0314148764077893</v>
      </c>
      <c r="K19" s="22" t="n">
        <v>0.0506637544108947</v>
      </c>
      <c r="L19" t="s">
        <v>161</v>
      </c>
      <c r="M19" t="s">
        <v>162</v>
      </c>
      <c r="N19" t="s">
        <v>773</v>
      </c>
      <c r="O19" t="s">
        <v>774</v>
      </c>
      <c r="P19" t="s">
        <v>822</v>
      </c>
      <c r="Q19"/>
    </row>
    <row r="20">
      <c r="A20" t="s">
        <v>156</v>
      </c>
      <c r="B20" t="s">
        <v>764</v>
      </c>
      <c r="C20" s="22" t="n">
        <v>0.000779471148432331</v>
      </c>
      <c r="D20" s="22" t="n">
        <v>0.00123037988225457</v>
      </c>
      <c r="E20" s="22" t="n">
        <v>0.633520719636618</v>
      </c>
      <c r="F20" t="n">
        <v>0.527884618421521</v>
      </c>
      <c r="G20" t="n">
        <v>97</v>
      </c>
      <c r="H20" t="s">
        <v>771</v>
      </c>
      <c r="I20" s="22" t="n">
        <v>0.000779471148432331</v>
      </c>
      <c r="J20" s="22" t="n">
        <v>-0.00166249233148347</v>
      </c>
      <c r="K20" s="22" t="n">
        <v>0.00322143462834813</v>
      </c>
      <c r="L20" t="s">
        <v>887</v>
      </c>
      <c r="M20" t="s">
        <v>810</v>
      </c>
      <c r="N20" t="s">
        <v>773</v>
      </c>
      <c r="O20" t="s">
        <v>774</v>
      </c>
      <c r="P20" t="s">
        <v>822</v>
      </c>
      <c r="Q20"/>
    </row>
    <row r="21">
      <c r="A21" t="s">
        <v>156</v>
      </c>
      <c r="B21" t="s">
        <v>52</v>
      </c>
      <c r="C21" s="22" t="n">
        <v>-0.00647680355468886</v>
      </c>
      <c r="D21" s="22" t="n">
        <v>0.0044372897670397</v>
      </c>
      <c r="E21" s="22" t="n">
        <v>-1.45963051653708</v>
      </c>
      <c r="F21" t="n">
        <v>0.147622711588209</v>
      </c>
      <c r="G21" t="n">
        <v>97</v>
      </c>
      <c r="H21" t="s">
        <v>771</v>
      </c>
      <c r="I21" s="22" t="n">
        <v>-0.00647680355468886</v>
      </c>
      <c r="J21" s="22" t="n">
        <v>-0.0152835954383952</v>
      </c>
      <c r="K21" s="22" t="n">
        <v>0.00232998832901743</v>
      </c>
      <c r="L21" t="s">
        <v>888</v>
      </c>
      <c r="M21" t="s">
        <v>159</v>
      </c>
      <c r="N21" t="s">
        <v>773</v>
      </c>
      <c r="O21" t="s">
        <v>774</v>
      </c>
      <c r="P21" t="s">
        <v>822</v>
      </c>
      <c r="Q21"/>
    </row>
    <row r="22">
      <c r="A22" t="s">
        <v>156</v>
      </c>
      <c r="B22" t="s">
        <v>78</v>
      </c>
      <c r="C22" s="22" t="n">
        <v>-0.000899358674711123</v>
      </c>
      <c r="D22" s="22" t="n">
        <v>0.000414738827117366</v>
      </c>
      <c r="E22" s="22" t="n">
        <v>-2.16849403988071</v>
      </c>
      <c r="F22" t="n">
        <v>0.0325664861621945</v>
      </c>
      <c r="G22" t="n">
        <v>97</v>
      </c>
      <c r="H22" t="s">
        <v>771</v>
      </c>
      <c r="I22" s="22" t="n">
        <v>-0.000899358674711123</v>
      </c>
      <c r="J22" s="22" t="n">
        <v>-0.0017225004410312</v>
      </c>
      <c r="K22" s="22" t="n">
        <v>-0.0000762169083910409</v>
      </c>
      <c r="L22" t="s">
        <v>889</v>
      </c>
      <c r="M22" t="s">
        <v>81</v>
      </c>
      <c r="N22" t="s">
        <v>773</v>
      </c>
      <c r="O22" t="s">
        <v>774</v>
      </c>
      <c r="P22" t="s">
        <v>822</v>
      </c>
      <c r="Q22"/>
    </row>
    <row r="23">
      <c r="A23" t="s">
        <v>164</v>
      </c>
      <c r="B23" t="s">
        <v>809</v>
      </c>
      <c r="C23" s="22" t="n">
        <v>0.167861131036892</v>
      </c>
      <c r="D23" s="22" t="n">
        <v>0.213031605189745</v>
      </c>
      <c r="E23" s="22" t="n">
        <v>0.787963508453969</v>
      </c>
      <c r="F23" t="n">
        <v>0.432619844086505</v>
      </c>
      <c r="G23" t="n">
        <v>98</v>
      </c>
      <c r="H23"/>
      <c r="I23" s="22"/>
      <c r="J23" s="22"/>
      <c r="K23" s="22"/>
      <c r="L23"/>
      <c r="M23" t="s">
        <v>890</v>
      </c>
      <c r="N23" t="s">
        <v>773</v>
      </c>
      <c r="O23" t="s">
        <v>774</v>
      </c>
      <c r="P23" t="s">
        <v>822</v>
      </c>
      <c r="Q23"/>
    </row>
    <row r="24">
      <c r="A24" t="s">
        <v>164</v>
      </c>
      <c r="B24" t="s">
        <v>318</v>
      </c>
      <c r="C24" s="22" t="n">
        <v>0.00461535052505473</v>
      </c>
      <c r="D24" s="22" t="n">
        <v>0.0204955247476835</v>
      </c>
      <c r="E24" s="22" t="n">
        <v>0.225188209712776</v>
      </c>
      <c r="F24" t="n">
        <v>0.822301770559476</v>
      </c>
      <c r="G24" t="n">
        <v>98</v>
      </c>
      <c r="H24" t="s">
        <v>771</v>
      </c>
      <c r="I24" s="22" t="n">
        <v>0.00461535052505473</v>
      </c>
      <c r="J24" s="22" t="n">
        <v>-0.0360573512997962</v>
      </c>
      <c r="K24" s="22" t="n">
        <v>0.0452880523499057</v>
      </c>
      <c r="L24" t="s">
        <v>169</v>
      </c>
      <c r="M24" t="s">
        <v>170</v>
      </c>
      <c r="N24" t="s">
        <v>773</v>
      </c>
      <c r="O24" t="s">
        <v>774</v>
      </c>
      <c r="P24" t="s">
        <v>822</v>
      </c>
      <c r="Q24"/>
    </row>
    <row r="25">
      <c r="A25" t="s">
        <v>164</v>
      </c>
      <c r="B25" t="s">
        <v>764</v>
      </c>
      <c r="C25" s="22" t="n">
        <v>-0.00182812084420164</v>
      </c>
      <c r="D25" s="22" t="n">
        <v>0.00122146029433404</v>
      </c>
      <c r="E25" s="22" t="n">
        <v>-1.49666825248573</v>
      </c>
      <c r="F25" t="n">
        <v>0.137693374857625</v>
      </c>
      <c r="G25" t="n">
        <v>98</v>
      </c>
      <c r="H25" t="s">
        <v>771</v>
      </c>
      <c r="I25" s="22" t="n">
        <v>-0.00182812084420164</v>
      </c>
      <c r="J25" s="22" t="n">
        <v>-0.0042520690452819</v>
      </c>
      <c r="K25" s="22" t="n">
        <v>0.000595827356878625</v>
      </c>
      <c r="L25" t="s">
        <v>891</v>
      </c>
      <c r="M25" t="s">
        <v>820</v>
      </c>
      <c r="N25" t="s">
        <v>773</v>
      </c>
      <c r="O25" t="s">
        <v>774</v>
      </c>
      <c r="P25" t="s">
        <v>822</v>
      </c>
      <c r="Q25"/>
    </row>
    <row r="26">
      <c r="A26" t="s">
        <v>164</v>
      </c>
      <c r="B26" t="s">
        <v>52</v>
      </c>
      <c r="C26" s="22" t="n">
        <v>-0.000680196356373205</v>
      </c>
      <c r="D26" s="22" t="n">
        <v>0.00424885470671927</v>
      </c>
      <c r="E26" s="22" t="n">
        <v>-0.160089342499173</v>
      </c>
      <c r="F26" t="n">
        <v>0.873140207480737</v>
      </c>
      <c r="G26" t="n">
        <v>98</v>
      </c>
      <c r="H26" t="s">
        <v>771</v>
      </c>
      <c r="I26" s="22" t="n">
        <v>-0.000680196356373205</v>
      </c>
      <c r="J26" s="22" t="n">
        <v>-0.00911191024079277</v>
      </c>
      <c r="K26" s="22" t="n">
        <v>0.00775151752804636</v>
      </c>
      <c r="L26" t="s">
        <v>892</v>
      </c>
      <c r="M26" t="s">
        <v>893</v>
      </c>
      <c r="N26" t="s">
        <v>773</v>
      </c>
      <c r="O26" t="s">
        <v>774</v>
      </c>
      <c r="P26" t="s">
        <v>822</v>
      </c>
      <c r="Q26"/>
    </row>
    <row r="27">
      <c r="A27" t="s">
        <v>164</v>
      </c>
      <c r="B27" t="s">
        <v>78</v>
      </c>
      <c r="C27" s="22" t="n">
        <v>-0.000321932017392314</v>
      </c>
      <c r="D27" s="22" t="n">
        <v>0.000407452607674957</v>
      </c>
      <c r="E27" s="22" t="n">
        <v>-0.790109110429682</v>
      </c>
      <c r="F27" t="n">
        <v>0.431371763486275</v>
      </c>
      <c r="G27" t="n">
        <v>98</v>
      </c>
      <c r="H27" t="s">
        <v>771</v>
      </c>
      <c r="I27" s="22" t="n">
        <v>-0.000321932017392314</v>
      </c>
      <c r="J27" s="22" t="n">
        <v>-0.00113050845657788</v>
      </c>
      <c r="K27" s="22" t="n">
        <v>0.00048664442179325</v>
      </c>
      <c r="L27" t="s">
        <v>894</v>
      </c>
      <c r="M27" t="s">
        <v>890</v>
      </c>
      <c r="N27" t="s">
        <v>773</v>
      </c>
      <c r="O27" t="s">
        <v>774</v>
      </c>
      <c r="P27" t="s">
        <v>822</v>
      </c>
      <c r="Q27"/>
    </row>
    <row r="28">
      <c r="A28" t="s">
        <v>171</v>
      </c>
      <c r="B28"/>
      <c r="C28" s="22"/>
      <c r="D28" s="22"/>
      <c r="E28" s="22"/>
      <c r="F28"/>
      <c r="G28"/>
      <c r="H28"/>
      <c r="I28" s="22"/>
      <c r="J28" s="22"/>
      <c r="K28" s="22"/>
      <c r="L28"/>
      <c r="M28" t="s">
        <v>94</v>
      </c>
      <c r="N28"/>
      <c r="O28" t="s">
        <v>782</v>
      </c>
      <c r="P28"/>
      <c r="Q28"/>
    </row>
    <row r="29">
      <c r="A29" t="s">
        <v>175</v>
      </c>
      <c r="B29"/>
      <c r="C29" s="22"/>
      <c r="D29" s="22"/>
      <c r="E29" s="22"/>
      <c r="F29"/>
      <c r="G29"/>
      <c r="H29"/>
      <c r="I29" s="22"/>
      <c r="J29" s="22"/>
      <c r="K29" s="22"/>
      <c r="L29"/>
      <c r="M29" t="s">
        <v>94</v>
      </c>
      <c r="N29"/>
      <c r="O29" t="s">
        <v>782</v>
      </c>
      <c r="P29"/>
      <c r="Q29"/>
    </row>
    <row r="30">
      <c r="A30" t="s">
        <v>803</v>
      </c>
      <c r="B30" t="s">
        <v>809</v>
      </c>
      <c r="C30" s="22" t="n">
        <v>7.03921703238006</v>
      </c>
      <c r="D30" s="22" t="n">
        <v>5.93362663222721</v>
      </c>
      <c r="E30" s="22" t="n">
        <v>1.18632625014659</v>
      </c>
      <c r="F30" t="n">
        <v>0.238361620368671</v>
      </c>
      <c r="G30" t="n">
        <v>98</v>
      </c>
      <c r="H30"/>
      <c r="I30" s="22"/>
      <c r="J30" s="22"/>
      <c r="K30" s="22"/>
      <c r="L30"/>
      <c r="M30" t="s">
        <v>852</v>
      </c>
      <c r="N30" t="s">
        <v>773</v>
      </c>
      <c r="O30" t="s">
        <v>805</v>
      </c>
      <c r="P30" t="s">
        <v>822</v>
      </c>
      <c r="Q30"/>
    </row>
    <row r="31">
      <c r="A31" t="s">
        <v>803</v>
      </c>
      <c r="B31" t="s">
        <v>318</v>
      </c>
      <c r="C31" s="22" t="n">
        <v>1.34655114556401</v>
      </c>
      <c r="D31" s="22" t="n">
        <v>0.573196582999784</v>
      </c>
      <c r="E31" s="22" t="n">
        <v>2.34919604460468</v>
      </c>
      <c r="F31" t="n">
        <v>0.020820758959459</v>
      </c>
      <c r="G31" t="n">
        <v>98</v>
      </c>
      <c r="H31" t="s">
        <v>787</v>
      </c>
      <c r="I31" s="22" t="n">
        <v>3.84414474645387</v>
      </c>
      <c r="J31" s="22" t="n">
        <v>1.2325204037513</v>
      </c>
      <c r="K31" s="22" t="n">
        <v>11.9896180109573</v>
      </c>
      <c r="L31" t="s">
        <v>183</v>
      </c>
      <c r="M31" t="s">
        <v>184</v>
      </c>
      <c r="N31" t="s">
        <v>773</v>
      </c>
      <c r="O31" t="s">
        <v>805</v>
      </c>
      <c r="P31" t="s">
        <v>822</v>
      </c>
      <c r="Q31"/>
    </row>
    <row r="32">
      <c r="A32" t="s">
        <v>803</v>
      </c>
      <c r="B32" t="s">
        <v>764</v>
      </c>
      <c r="C32" s="22" t="n">
        <v>0.0500481516244607</v>
      </c>
      <c r="D32" s="22" t="n">
        <v>0.0332803657088873</v>
      </c>
      <c r="E32" s="22" t="n">
        <v>1.50383418446317</v>
      </c>
      <c r="F32" t="n">
        <v>0.135840021294313</v>
      </c>
      <c r="G32" t="n">
        <v>98</v>
      </c>
      <c r="H32" t="s">
        <v>787</v>
      </c>
      <c r="I32" s="22" t="n">
        <v>1.05132171800581</v>
      </c>
      <c r="J32" s="22" t="n">
        <v>0.984131600035324</v>
      </c>
      <c r="K32" s="22" t="n">
        <v>1.123099141122</v>
      </c>
      <c r="L32" t="s">
        <v>895</v>
      </c>
      <c r="M32" t="s">
        <v>820</v>
      </c>
      <c r="N32" t="s">
        <v>773</v>
      </c>
      <c r="O32" t="s">
        <v>805</v>
      </c>
      <c r="P32" t="s">
        <v>822</v>
      </c>
      <c r="Q32"/>
    </row>
    <row r="33">
      <c r="A33" t="s">
        <v>803</v>
      </c>
      <c r="B33" t="s">
        <v>52</v>
      </c>
      <c r="C33" s="22" t="n">
        <v>-0.188300093981736</v>
      </c>
      <c r="D33" s="22" t="n">
        <v>0.120232914406233</v>
      </c>
      <c r="E33" s="22" t="n">
        <v>-1.56612766904679</v>
      </c>
      <c r="F33" t="n">
        <v>0.120542206663203</v>
      </c>
      <c r="G33" t="n">
        <v>98</v>
      </c>
      <c r="H33" t="s">
        <v>787</v>
      </c>
      <c r="I33" s="22" t="n">
        <v>0.828366082253158</v>
      </c>
      <c r="J33" s="22" t="n">
        <v>0.65252984616548</v>
      </c>
      <c r="K33" s="22" t="n">
        <v>1.05158464438028</v>
      </c>
      <c r="L33" t="s">
        <v>896</v>
      </c>
      <c r="M33" t="s">
        <v>361</v>
      </c>
      <c r="N33" t="s">
        <v>773</v>
      </c>
      <c r="O33" t="s">
        <v>805</v>
      </c>
      <c r="P33" t="s">
        <v>822</v>
      </c>
      <c r="Q33"/>
    </row>
    <row r="34">
      <c r="A34" t="s">
        <v>803</v>
      </c>
      <c r="B34" t="s">
        <v>78</v>
      </c>
      <c r="C34" s="22" t="n">
        <v>-0.0215024115309998</v>
      </c>
      <c r="D34" s="22" t="n">
        <v>0.0113618689485255</v>
      </c>
      <c r="E34" s="22" t="n">
        <v>-1.89250656106099</v>
      </c>
      <c r="F34" t="n">
        <v>0.0613748337689101</v>
      </c>
      <c r="G34" t="n">
        <v>98</v>
      </c>
      <c r="H34" t="s">
        <v>787</v>
      </c>
      <c r="I34" s="22" t="n">
        <v>0.978727117235518</v>
      </c>
      <c r="J34" s="22" t="n">
        <v>0.956906426098054</v>
      </c>
      <c r="K34" s="22" t="n">
        <v>1.00104539366317</v>
      </c>
      <c r="L34" t="s">
        <v>897</v>
      </c>
      <c r="M34" t="s">
        <v>898</v>
      </c>
      <c r="N34" t="s">
        <v>773</v>
      </c>
      <c r="O34" t="s">
        <v>805</v>
      </c>
      <c r="P34" t="s">
        <v>822</v>
      </c>
      <c r="Q34"/>
    </row>
    <row r="35">
      <c r="A35" t="s">
        <v>806</v>
      </c>
      <c r="B35" t="s">
        <v>809</v>
      </c>
      <c r="C35" s="22" t="n">
        <v>-3.67129554617943</v>
      </c>
      <c r="D35" s="22" t="n">
        <v>6.58077200155537</v>
      </c>
      <c r="E35" s="22" t="n">
        <v>-0.557882197607168</v>
      </c>
      <c r="F35" t="n">
        <v>0.578197049783483</v>
      </c>
      <c r="G35" t="n">
        <v>98</v>
      </c>
      <c r="H35"/>
      <c r="I35" s="22"/>
      <c r="J35" s="22"/>
      <c r="K35" s="22"/>
      <c r="L35"/>
      <c r="M35" t="s">
        <v>899</v>
      </c>
      <c r="N35" t="s">
        <v>773</v>
      </c>
      <c r="O35" t="s">
        <v>805</v>
      </c>
      <c r="P35" t="s">
        <v>822</v>
      </c>
      <c r="Q35"/>
    </row>
    <row r="36">
      <c r="A36" t="s">
        <v>806</v>
      </c>
      <c r="B36" t="s">
        <v>318</v>
      </c>
      <c r="C36" s="22" t="n">
        <v>-0.141351941933614</v>
      </c>
      <c r="D36" s="22" t="n">
        <v>0.709994387814244</v>
      </c>
      <c r="E36" s="22" t="n">
        <v>-0.199088815854973</v>
      </c>
      <c r="F36" t="n">
        <v>0.842605745339641</v>
      </c>
      <c r="G36" t="n">
        <v>98</v>
      </c>
      <c r="H36" t="s">
        <v>787</v>
      </c>
      <c r="I36" s="22" t="n">
        <v>0.868183707670576</v>
      </c>
      <c r="J36" s="22" t="n">
        <v>0.212181614805506</v>
      </c>
      <c r="K36" s="22" t="n">
        <v>3.55234807198324</v>
      </c>
      <c r="L36" t="s">
        <v>191</v>
      </c>
      <c r="M36" t="s">
        <v>192</v>
      </c>
      <c r="N36" t="s">
        <v>773</v>
      </c>
      <c r="O36" t="s">
        <v>805</v>
      </c>
      <c r="P36" t="s">
        <v>822</v>
      </c>
      <c r="Q36"/>
    </row>
    <row r="37">
      <c r="A37" t="s">
        <v>806</v>
      </c>
      <c r="B37" t="s">
        <v>764</v>
      </c>
      <c r="C37" s="22" t="n">
        <v>0.0268774898682876</v>
      </c>
      <c r="D37" s="22" t="n">
        <v>0.0586831615793911</v>
      </c>
      <c r="E37" s="22" t="n">
        <v>0.458010256177586</v>
      </c>
      <c r="F37" t="n">
        <v>0.647959017628715</v>
      </c>
      <c r="G37" t="n">
        <v>98</v>
      </c>
      <c r="H37" t="s">
        <v>787</v>
      </c>
      <c r="I37" s="22" t="n">
        <v>1.02724194750809</v>
      </c>
      <c r="J37" s="22" t="n">
        <v>0.914317554178179</v>
      </c>
      <c r="K37" s="22" t="n">
        <v>1.15411326611647</v>
      </c>
      <c r="L37" t="s">
        <v>900</v>
      </c>
      <c r="M37" t="s">
        <v>871</v>
      </c>
      <c r="N37" t="s">
        <v>773</v>
      </c>
      <c r="O37" t="s">
        <v>805</v>
      </c>
      <c r="P37" t="s">
        <v>822</v>
      </c>
      <c r="Q37"/>
    </row>
    <row r="38">
      <c r="A38" t="s">
        <v>806</v>
      </c>
      <c r="B38" t="s">
        <v>52</v>
      </c>
      <c r="C38" s="22" t="n">
        <v>-0.236251590656906</v>
      </c>
      <c r="D38" s="22" t="n">
        <v>0.159480947072845</v>
      </c>
      <c r="E38" s="22" t="n">
        <v>-1.48137815201834</v>
      </c>
      <c r="F38" t="n">
        <v>0.141714045084297</v>
      </c>
      <c r="G38" t="n">
        <v>98</v>
      </c>
      <c r="H38" t="s">
        <v>787</v>
      </c>
      <c r="I38" s="22" t="n">
        <v>0.789581997487853</v>
      </c>
      <c r="J38" s="22" t="n">
        <v>0.57537323769097</v>
      </c>
      <c r="K38" s="22" t="n">
        <v>1.08353967462726</v>
      </c>
      <c r="L38" t="s">
        <v>901</v>
      </c>
      <c r="M38" t="s">
        <v>820</v>
      </c>
      <c r="N38" t="s">
        <v>773</v>
      </c>
      <c r="O38" t="s">
        <v>805</v>
      </c>
      <c r="P38" t="s">
        <v>822</v>
      </c>
      <c r="Q38"/>
    </row>
    <row r="39">
      <c r="A39" t="s">
        <v>806</v>
      </c>
      <c r="B39" t="s">
        <v>78</v>
      </c>
      <c r="C39" s="22" t="n">
        <v>-0.00089560380313545</v>
      </c>
      <c r="D39" s="22" t="n">
        <v>0.0145649609618816</v>
      </c>
      <c r="E39" s="22" t="n">
        <v>-0.0614902989084117</v>
      </c>
      <c r="F39" t="n">
        <v>0.951093972277477</v>
      </c>
      <c r="G39" t="n">
        <v>98</v>
      </c>
      <c r="H39" t="s">
        <v>787</v>
      </c>
      <c r="I39" s="22" t="n">
        <v>0.999104797130249</v>
      </c>
      <c r="J39" s="22" t="n">
        <v>0.970640326552803</v>
      </c>
      <c r="K39" s="22" t="n">
        <v>1.02840400129859</v>
      </c>
      <c r="L39" t="s">
        <v>902</v>
      </c>
      <c r="M39" t="s">
        <v>903</v>
      </c>
      <c r="N39" t="s">
        <v>773</v>
      </c>
      <c r="O39" t="s">
        <v>805</v>
      </c>
      <c r="P39" t="s">
        <v>822</v>
      </c>
      <c r="Q39"/>
    </row>
    <row r="40">
      <c r="A40" t="s">
        <v>808</v>
      </c>
      <c r="B40"/>
      <c r="C40" s="22"/>
      <c r="D40" s="22"/>
      <c r="E40" s="22"/>
      <c r="F40"/>
      <c r="G40"/>
      <c r="H40"/>
      <c r="I40" s="22"/>
      <c r="J40" s="22"/>
      <c r="K40" s="22"/>
      <c r="L40"/>
      <c r="M40" t="s">
        <v>94</v>
      </c>
      <c r="N40"/>
      <c r="O40" t="s">
        <v>792</v>
      </c>
      <c r="P40"/>
      <c r="Q40"/>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9" t="s">
        <v>904</v>
      </c>
    </row>
    <row r="3">
      <c r="A3" s="1" t="s">
        <v>905</v>
      </c>
    </row>
    <row r="4">
      <c r="A4" t="s">
        <v>749</v>
      </c>
      <c r="B4" t="s">
        <v>313</v>
      </c>
      <c r="C4" t="s">
        <v>134</v>
      </c>
      <c r="D4" t="s">
        <v>39</v>
      </c>
      <c r="E4" t="s">
        <v>906</v>
      </c>
      <c r="F4" t="s">
        <v>907</v>
      </c>
      <c r="G4" t="s">
        <v>908</v>
      </c>
      <c r="H4" t="s">
        <v>1</v>
      </c>
    </row>
    <row r="5">
      <c r="A5" t="s">
        <v>137</v>
      </c>
      <c r="B5" t="s">
        <v>318</v>
      </c>
      <c r="C5" t="s">
        <v>142</v>
      </c>
      <c r="D5" t="s">
        <v>143</v>
      </c>
      <c r="E5" t="s">
        <v>909</v>
      </c>
      <c r="F5" t="s">
        <v>871</v>
      </c>
      <c r="G5" t="s">
        <v>144</v>
      </c>
      <c r="H5" t="s">
        <v>94</v>
      </c>
    </row>
    <row r="6">
      <c r="A6" t="s">
        <v>145</v>
      </c>
      <c r="B6" t="s">
        <v>318</v>
      </c>
      <c r="C6" t="s">
        <v>149</v>
      </c>
      <c r="D6" t="s">
        <v>81</v>
      </c>
      <c r="E6" t="s">
        <v>910</v>
      </c>
      <c r="F6" t="s">
        <v>55</v>
      </c>
      <c r="G6" t="s">
        <v>144</v>
      </c>
      <c r="H6" t="s">
        <v>94</v>
      </c>
    </row>
    <row r="7">
      <c r="A7" t="s">
        <v>150</v>
      </c>
      <c r="B7" t="s">
        <v>318</v>
      </c>
      <c r="C7" t="s">
        <v>155</v>
      </c>
      <c r="D7" t="s">
        <v>86</v>
      </c>
      <c r="E7" t="s">
        <v>154</v>
      </c>
      <c r="F7" t="s">
        <v>850</v>
      </c>
      <c r="G7" t="s">
        <v>144</v>
      </c>
      <c r="H7" t="s">
        <v>94</v>
      </c>
    </row>
    <row r="8">
      <c r="A8" t="s">
        <v>156</v>
      </c>
      <c r="B8" t="s">
        <v>318</v>
      </c>
      <c r="C8" t="s">
        <v>161</v>
      </c>
      <c r="D8" t="s">
        <v>162</v>
      </c>
      <c r="E8" t="s">
        <v>160</v>
      </c>
      <c r="F8" t="s">
        <v>361</v>
      </c>
      <c r="G8" t="s">
        <v>163</v>
      </c>
      <c r="H8" t="s">
        <v>94</v>
      </c>
    </row>
    <row r="9">
      <c r="A9" t="s">
        <v>164</v>
      </c>
      <c r="B9" t="s">
        <v>318</v>
      </c>
      <c r="C9" t="s">
        <v>169</v>
      </c>
      <c r="D9" t="s">
        <v>170</v>
      </c>
      <c r="E9" t="s">
        <v>911</v>
      </c>
      <c r="F9" t="s">
        <v>167</v>
      </c>
      <c r="G9" t="s">
        <v>144</v>
      </c>
      <c r="H9" t="s">
        <v>94</v>
      </c>
    </row>
    <row r="10">
      <c r="A10" t="s">
        <v>171</v>
      </c>
      <c r="B10" t="s">
        <v>94</v>
      </c>
      <c r="C10" t="s">
        <v>94</v>
      </c>
      <c r="D10" t="s">
        <v>94</v>
      </c>
      <c r="E10" t="s">
        <v>94</v>
      </c>
      <c r="F10" t="s">
        <v>94</v>
      </c>
      <c r="G10"/>
      <c r="H10" t="s">
        <v>912</v>
      </c>
    </row>
    <row r="11">
      <c r="A11" t="s">
        <v>175</v>
      </c>
      <c r="B11" t="s">
        <v>94</v>
      </c>
      <c r="C11" t="s">
        <v>94</v>
      </c>
      <c r="D11" t="s">
        <v>94</v>
      </c>
      <c r="E11" t="s">
        <v>94</v>
      </c>
      <c r="F11" t="s">
        <v>94</v>
      </c>
      <c r="G11"/>
      <c r="H11" t="s">
        <v>912</v>
      </c>
    </row>
    <row r="12">
      <c r="A12" t="s">
        <v>803</v>
      </c>
      <c r="B12" t="s">
        <v>318</v>
      </c>
      <c r="C12" t="s">
        <v>183</v>
      </c>
      <c r="D12" t="s">
        <v>184</v>
      </c>
      <c r="E12" t="s">
        <v>913</v>
      </c>
      <c r="F12" t="s">
        <v>55</v>
      </c>
      <c r="G12" t="s">
        <v>185</v>
      </c>
      <c r="H12" t="s">
        <v>94</v>
      </c>
    </row>
    <row r="13">
      <c r="A13" t="s">
        <v>806</v>
      </c>
      <c r="B13" t="s">
        <v>318</v>
      </c>
      <c r="C13" t="s">
        <v>191</v>
      </c>
      <c r="D13" t="s">
        <v>192</v>
      </c>
      <c r="E13" t="s">
        <v>914</v>
      </c>
      <c r="F13" t="s">
        <v>915</v>
      </c>
      <c r="G13" t="s">
        <v>193</v>
      </c>
      <c r="H13" t="s">
        <v>916</v>
      </c>
    </row>
    <row r="14">
      <c r="A14" t="s">
        <v>808</v>
      </c>
      <c r="B14" t="s">
        <v>94</v>
      </c>
      <c r="C14" t="s">
        <v>94</v>
      </c>
      <c r="D14" t="s">
        <v>94</v>
      </c>
      <c r="E14" t="s">
        <v>94</v>
      </c>
      <c r="F14" t="s">
        <v>94</v>
      </c>
      <c r="G14"/>
      <c r="H14" t="s">
        <v>917</v>
      </c>
    </row>
    <row r="16">
      <c r="A16" s="1" t="s">
        <v>918</v>
      </c>
    </row>
    <row r="17">
      <c r="A17" t="s">
        <v>749</v>
      </c>
      <c r="B17" t="s">
        <v>750</v>
      </c>
      <c r="C17" t="s">
        <v>751</v>
      </c>
      <c r="D17" t="s">
        <v>752</v>
      </c>
      <c r="E17" t="s">
        <v>753</v>
      </c>
      <c r="F17" t="s">
        <v>754</v>
      </c>
      <c r="G17" t="s">
        <v>755</v>
      </c>
      <c r="H17" t="s">
        <v>756</v>
      </c>
      <c r="I17" t="s">
        <v>757</v>
      </c>
      <c r="J17" t="s">
        <v>758</v>
      </c>
      <c r="K17" t="s">
        <v>759</v>
      </c>
      <c r="L17" t="s">
        <v>760</v>
      </c>
      <c r="M17" t="s">
        <v>39</v>
      </c>
      <c r="N17" t="s">
        <v>761</v>
      </c>
      <c r="O17" t="s">
        <v>762</v>
      </c>
    </row>
    <row r="18">
      <c r="A18" t="s">
        <v>137</v>
      </c>
      <c r="B18" t="s">
        <v>809</v>
      </c>
      <c r="C18" s="23" t="n">
        <v>183.861820704803</v>
      </c>
      <c r="D18" s="23" t="n">
        <v>22.9922412166445</v>
      </c>
      <c r="E18" s="23" t="n">
        <v>7.99668979515152</v>
      </c>
      <c r="F18" t="n">
        <v>0.00000000000257852520157512</v>
      </c>
      <c r="G18" t="n">
        <v>98</v>
      </c>
      <c r="H18"/>
      <c r="I18" s="23"/>
      <c r="J18" s="23"/>
      <c r="K18" s="23"/>
      <c r="L18"/>
      <c r="M18" t="s">
        <v>55</v>
      </c>
      <c r="N18" t="s">
        <v>773</v>
      </c>
      <c r="O18" t="s">
        <v>919</v>
      </c>
    </row>
    <row r="19">
      <c r="A19" t="s">
        <v>137</v>
      </c>
      <c r="B19" t="s">
        <v>318</v>
      </c>
      <c r="C19" s="23" t="n">
        <v>-2.89288011296658</v>
      </c>
      <c r="D19" s="23" t="n">
        <v>2.51963845500557</v>
      </c>
      <c r="E19" s="23" t="n">
        <v>-1.14813302171172</v>
      </c>
      <c r="F19" t="n">
        <v>0.253708546454195</v>
      </c>
      <c r="G19" t="n">
        <v>98</v>
      </c>
      <c r="H19" t="s">
        <v>771</v>
      </c>
      <c r="I19" s="23" t="n">
        <v>-2.89288011296658</v>
      </c>
      <c r="J19" s="23" t="n">
        <v>-7.89302062405317</v>
      </c>
      <c r="K19" s="23" t="n">
        <v>2.10726039812</v>
      </c>
      <c r="L19" t="s">
        <v>142</v>
      </c>
      <c r="M19" t="s">
        <v>143</v>
      </c>
      <c r="N19" t="s">
        <v>773</v>
      </c>
      <c r="O19" t="s">
        <v>919</v>
      </c>
    </row>
    <row r="20">
      <c r="A20" t="s">
        <v>137</v>
      </c>
      <c r="B20" t="s">
        <v>764</v>
      </c>
      <c r="C20" s="23" t="n">
        <v>0.31584977432445</v>
      </c>
      <c r="D20" s="23" t="n">
        <v>0.149426456859082</v>
      </c>
      <c r="E20" s="23" t="n">
        <v>2.11374733071745</v>
      </c>
      <c r="F20" t="n">
        <v>0.0370759151880426</v>
      </c>
      <c r="G20" t="n">
        <v>98</v>
      </c>
      <c r="H20" t="s">
        <v>771</v>
      </c>
      <c r="I20" s="23" t="n">
        <v>0.31584977432445</v>
      </c>
      <c r="J20" s="23" t="n">
        <v>0.0193178338450865</v>
      </c>
      <c r="K20" s="23" t="n">
        <v>0.612381714803814</v>
      </c>
      <c r="L20" t="s">
        <v>877</v>
      </c>
      <c r="M20" t="s">
        <v>836</v>
      </c>
      <c r="N20" t="s">
        <v>773</v>
      </c>
      <c r="O20" t="s">
        <v>919</v>
      </c>
    </row>
    <row r="21">
      <c r="A21" t="s">
        <v>137</v>
      </c>
      <c r="B21" t="s">
        <v>52</v>
      </c>
      <c r="C21" s="23" t="n">
        <v>-0.157022968550801</v>
      </c>
      <c r="D21" s="23" t="n">
        <v>0.542730659773523</v>
      </c>
      <c r="E21" s="23" t="n">
        <v>-0.289320247019627</v>
      </c>
      <c r="F21" t="n">
        <v>0.772947501277189</v>
      </c>
      <c r="G21" t="n">
        <v>98</v>
      </c>
      <c r="H21" t="s">
        <v>771</v>
      </c>
      <c r="I21" s="23" t="n">
        <v>-0.157022968550801</v>
      </c>
      <c r="J21" s="23" t="n">
        <v>-1.23405429943527</v>
      </c>
      <c r="K21" s="23" t="n">
        <v>0.920008362333671</v>
      </c>
      <c r="L21" t="s">
        <v>878</v>
      </c>
      <c r="M21" t="s">
        <v>153</v>
      </c>
      <c r="N21" t="s">
        <v>773</v>
      </c>
      <c r="O21" t="s">
        <v>919</v>
      </c>
    </row>
    <row r="22">
      <c r="A22" t="s">
        <v>137</v>
      </c>
      <c r="B22" t="s">
        <v>78</v>
      </c>
      <c r="C22" s="23" t="n">
        <v>-0.0258643210790021</v>
      </c>
      <c r="D22" s="23" t="n">
        <v>0.0457621411060208</v>
      </c>
      <c r="E22" s="23" t="n">
        <v>-0.565190361593444</v>
      </c>
      <c r="F22" t="n">
        <v>0.573235919320972</v>
      </c>
      <c r="G22" t="n">
        <v>98</v>
      </c>
      <c r="H22" t="s">
        <v>771</v>
      </c>
      <c r="I22" s="23" t="n">
        <v>-0.0258643210790021</v>
      </c>
      <c r="J22" s="23" t="n">
        <v>-0.116677800752525</v>
      </c>
      <c r="K22" s="23" t="n">
        <v>0.0649491585945209</v>
      </c>
      <c r="L22" t="s">
        <v>879</v>
      </c>
      <c r="M22" t="s">
        <v>311</v>
      </c>
      <c r="N22" t="s">
        <v>773</v>
      </c>
      <c r="O22" t="s">
        <v>919</v>
      </c>
    </row>
    <row r="23">
      <c r="A23" t="s">
        <v>145</v>
      </c>
      <c r="B23" t="s">
        <v>809</v>
      </c>
      <c r="C23" s="23" t="n">
        <v>-0.745816536095781</v>
      </c>
      <c r="D23" s="23" t="n">
        <v>0.741256647109655</v>
      </c>
      <c r="E23" s="23" t="n">
        <v>-1.00615156572815</v>
      </c>
      <c r="F23" t="n">
        <v>0.316820523902233</v>
      </c>
      <c r="G23" t="n">
        <v>98</v>
      </c>
      <c r="H23"/>
      <c r="I23" s="23"/>
      <c r="J23" s="23"/>
      <c r="K23" s="23"/>
      <c r="L23"/>
      <c r="M23" t="s">
        <v>380</v>
      </c>
      <c r="N23" t="s">
        <v>773</v>
      </c>
      <c r="O23" t="s">
        <v>919</v>
      </c>
    </row>
    <row r="24">
      <c r="A24" t="s">
        <v>145</v>
      </c>
      <c r="B24" t="s">
        <v>318</v>
      </c>
      <c r="C24" s="23" t="n">
        <v>-0.179996398066919</v>
      </c>
      <c r="D24" s="23" t="n">
        <v>0.0814859316112164</v>
      </c>
      <c r="E24" s="23" t="n">
        <v>-2.20892606254676</v>
      </c>
      <c r="F24" t="n">
        <v>0.0295095686269822</v>
      </c>
      <c r="G24" t="n">
        <v>98</v>
      </c>
      <c r="H24" t="s">
        <v>771</v>
      </c>
      <c r="I24" s="23" t="n">
        <v>-0.179996398066919</v>
      </c>
      <c r="J24" s="23" t="n">
        <v>-0.341702577349682</v>
      </c>
      <c r="K24" s="23" t="n">
        <v>-0.0182902187841563</v>
      </c>
      <c r="L24" t="s">
        <v>149</v>
      </c>
      <c r="M24" t="s">
        <v>81</v>
      </c>
      <c r="N24" t="s">
        <v>773</v>
      </c>
      <c r="O24" t="s">
        <v>919</v>
      </c>
    </row>
    <row r="25">
      <c r="A25" t="s">
        <v>145</v>
      </c>
      <c r="B25" t="s">
        <v>764</v>
      </c>
      <c r="C25" s="23" t="n">
        <v>-0.0166995142409948</v>
      </c>
      <c r="D25" s="23" t="n">
        <v>0.00434126064929339</v>
      </c>
      <c r="E25" s="23" t="n">
        <v>-3.84669698275613</v>
      </c>
      <c r="F25" t="n">
        <v>0.000213117879849394</v>
      </c>
      <c r="G25" t="n">
        <v>98</v>
      </c>
      <c r="H25" t="s">
        <v>771</v>
      </c>
      <c r="I25" s="23" t="n">
        <v>-0.0166995142409948</v>
      </c>
      <c r="J25" s="23" t="n">
        <v>-0.0253146047110559</v>
      </c>
      <c r="K25" s="23" t="n">
        <v>-0.00808442377093371</v>
      </c>
      <c r="L25" t="s">
        <v>880</v>
      </c>
      <c r="M25" t="s">
        <v>55</v>
      </c>
      <c r="N25" t="s">
        <v>773</v>
      </c>
      <c r="O25" t="s">
        <v>919</v>
      </c>
    </row>
    <row r="26">
      <c r="A26" t="s">
        <v>145</v>
      </c>
      <c r="B26" t="s">
        <v>52</v>
      </c>
      <c r="C26" s="23" t="n">
        <v>0.0691314749743939</v>
      </c>
      <c r="D26" s="23" t="n">
        <v>0.0165791676805627</v>
      </c>
      <c r="E26" s="23" t="n">
        <v>4.16977958763533</v>
      </c>
      <c r="F26" t="n">
        <v>0.0000658856214838061</v>
      </c>
      <c r="G26" t="n">
        <v>98</v>
      </c>
      <c r="H26" t="s">
        <v>771</v>
      </c>
      <c r="I26" s="23" t="n">
        <v>0.0691314749743939</v>
      </c>
      <c r="J26" s="23" t="n">
        <v>0.0362306562894783</v>
      </c>
      <c r="K26" s="23" t="n">
        <v>0.10203229365931</v>
      </c>
      <c r="L26" t="s">
        <v>881</v>
      </c>
      <c r="M26" t="s">
        <v>55</v>
      </c>
      <c r="N26" t="s">
        <v>773</v>
      </c>
      <c r="O26" t="s">
        <v>919</v>
      </c>
    </row>
    <row r="27">
      <c r="A27" t="s">
        <v>145</v>
      </c>
      <c r="B27" t="s">
        <v>78</v>
      </c>
      <c r="C27" s="23" t="n">
        <v>0.00301854937354091</v>
      </c>
      <c r="D27" s="23" t="n">
        <v>0.00144136919692844</v>
      </c>
      <c r="E27" s="23" t="n">
        <v>2.09422358960733</v>
      </c>
      <c r="F27" t="n">
        <v>0.0388203086657465</v>
      </c>
      <c r="G27" t="n">
        <v>98</v>
      </c>
      <c r="H27" t="s">
        <v>771</v>
      </c>
      <c r="I27" s="23" t="n">
        <v>0.00301854937354091</v>
      </c>
      <c r="J27" s="23" t="n">
        <v>0.000158199112305391</v>
      </c>
      <c r="K27" s="23" t="n">
        <v>0.00587889963477644</v>
      </c>
      <c r="L27" t="s">
        <v>882</v>
      </c>
      <c r="M27" t="s">
        <v>836</v>
      </c>
      <c r="N27" t="s">
        <v>773</v>
      </c>
      <c r="O27" t="s">
        <v>919</v>
      </c>
    </row>
    <row r="28">
      <c r="A28" t="s">
        <v>150</v>
      </c>
      <c r="B28" t="s">
        <v>809</v>
      </c>
      <c r="C28" s="23" t="n">
        <v>-0.42177510626388</v>
      </c>
      <c r="D28" s="23" t="n">
        <v>0.420929858395729</v>
      </c>
      <c r="E28" s="23" t="n">
        <v>-1.00200804920652</v>
      </c>
      <c r="F28" t="n">
        <v>0.318807417020635</v>
      </c>
      <c r="G28" t="n">
        <v>98</v>
      </c>
      <c r="H28"/>
      <c r="I28" s="23"/>
      <c r="J28" s="23"/>
      <c r="K28" s="23"/>
      <c r="L28"/>
      <c r="M28" t="s">
        <v>380</v>
      </c>
      <c r="N28" t="s">
        <v>773</v>
      </c>
      <c r="O28" t="s">
        <v>919</v>
      </c>
    </row>
    <row r="29">
      <c r="A29" t="s">
        <v>150</v>
      </c>
      <c r="B29" t="s">
        <v>318</v>
      </c>
      <c r="C29" s="23" t="n">
        <v>0.0301137207722738</v>
      </c>
      <c r="D29" s="23" t="n">
        <v>0.0364212516296736</v>
      </c>
      <c r="E29" s="23" t="n">
        <v>0.826817295530258</v>
      </c>
      <c r="F29" t="n">
        <v>0.410349254430545</v>
      </c>
      <c r="G29" t="n">
        <v>98</v>
      </c>
      <c r="H29" t="s">
        <v>771</v>
      </c>
      <c r="I29" s="23" t="n">
        <v>0.0301137207722738</v>
      </c>
      <c r="J29" s="23" t="n">
        <v>-0.0421630677392775</v>
      </c>
      <c r="K29" s="23" t="n">
        <v>0.102390509283825</v>
      </c>
      <c r="L29" t="s">
        <v>155</v>
      </c>
      <c r="M29" t="s">
        <v>86</v>
      </c>
      <c r="N29" t="s">
        <v>773</v>
      </c>
      <c r="O29" t="s">
        <v>919</v>
      </c>
    </row>
    <row r="30">
      <c r="A30" t="s">
        <v>150</v>
      </c>
      <c r="B30" t="s">
        <v>764</v>
      </c>
      <c r="C30" s="23" t="n">
        <v>-0.00274619511584483</v>
      </c>
      <c r="D30" s="23" t="n">
        <v>0.00233914914088934</v>
      </c>
      <c r="E30" s="23" t="n">
        <v>-1.17401454564831</v>
      </c>
      <c r="F30" t="n">
        <v>0.243234357459111</v>
      </c>
      <c r="G30" t="n">
        <v>98</v>
      </c>
      <c r="H30" t="s">
        <v>771</v>
      </c>
      <c r="I30" s="23" t="n">
        <v>-0.00274619511584483</v>
      </c>
      <c r="J30" s="23" t="n">
        <v>-0.0073881604571812</v>
      </c>
      <c r="K30" s="23" t="n">
        <v>0.00189577022549155</v>
      </c>
      <c r="L30" t="s">
        <v>883</v>
      </c>
      <c r="M30" t="s">
        <v>852</v>
      </c>
      <c r="N30" t="s">
        <v>773</v>
      </c>
      <c r="O30" t="s">
        <v>919</v>
      </c>
    </row>
    <row r="31">
      <c r="A31" t="s">
        <v>150</v>
      </c>
      <c r="B31" t="s">
        <v>52</v>
      </c>
      <c r="C31" s="23" t="n">
        <v>0.00266542070847955</v>
      </c>
      <c r="D31" s="23" t="n">
        <v>0.00790301239053819</v>
      </c>
      <c r="E31" s="23" t="n">
        <v>0.337266421557265</v>
      </c>
      <c r="F31" t="n">
        <v>0.736637345694851</v>
      </c>
      <c r="G31" t="n">
        <v>98</v>
      </c>
      <c r="H31" t="s">
        <v>771</v>
      </c>
      <c r="I31" s="23" t="n">
        <v>0.00266542070847955</v>
      </c>
      <c r="J31" s="23" t="n">
        <v>-0.0130178501731208</v>
      </c>
      <c r="K31" s="23" t="n">
        <v>0.0183486915900799</v>
      </c>
      <c r="L31" t="s">
        <v>884</v>
      </c>
      <c r="M31" t="s">
        <v>850</v>
      </c>
      <c r="N31" t="s">
        <v>773</v>
      </c>
      <c r="O31" t="s">
        <v>919</v>
      </c>
    </row>
    <row r="32">
      <c r="A32" t="s">
        <v>150</v>
      </c>
      <c r="B32" t="s">
        <v>78</v>
      </c>
      <c r="C32" s="23" t="n">
        <v>0.000545158627489889</v>
      </c>
      <c r="D32" s="23" t="n">
        <v>0.000842869700738094</v>
      </c>
      <c r="E32" s="23" t="n">
        <v>0.646788734975879</v>
      </c>
      <c r="F32" t="n">
        <v>0.519280697827463</v>
      </c>
      <c r="G32" t="n">
        <v>98</v>
      </c>
      <c r="H32" t="s">
        <v>771</v>
      </c>
      <c r="I32" s="23" t="n">
        <v>0.000545158627489889</v>
      </c>
      <c r="J32" s="23" t="n">
        <v>-0.00112748886201616</v>
      </c>
      <c r="K32" s="23" t="n">
        <v>0.00221780611699594</v>
      </c>
      <c r="L32" t="s">
        <v>885</v>
      </c>
      <c r="M32" t="s">
        <v>886</v>
      </c>
      <c r="N32" t="s">
        <v>773</v>
      </c>
      <c r="O32" t="s">
        <v>919</v>
      </c>
    </row>
    <row r="33">
      <c r="A33" t="s">
        <v>156</v>
      </c>
      <c r="B33" t="s">
        <v>809</v>
      </c>
      <c r="C33" s="23" t="n">
        <v>0.397658363860142</v>
      </c>
      <c r="D33" s="23" t="n">
        <v>0.213492849196238</v>
      </c>
      <c r="E33" s="23" t="n">
        <v>1.86263083450923</v>
      </c>
      <c r="F33" t="n">
        <v>0.0655406363617136</v>
      </c>
      <c r="G33" t="n">
        <v>97</v>
      </c>
      <c r="H33"/>
      <c r="I33" s="23"/>
      <c r="J33" s="23"/>
      <c r="K33" s="23"/>
      <c r="L33"/>
      <c r="M33" t="s">
        <v>371</v>
      </c>
      <c r="N33" t="s">
        <v>773</v>
      </c>
      <c r="O33" t="s">
        <v>919</v>
      </c>
    </row>
    <row r="34">
      <c r="A34" t="s">
        <v>156</v>
      </c>
      <c r="B34" t="s">
        <v>318</v>
      </c>
      <c r="C34" s="23" t="n">
        <v>0.0096244390015527</v>
      </c>
      <c r="D34" s="23" t="n">
        <v>0.0206776016416492</v>
      </c>
      <c r="E34" s="23" t="n">
        <v>0.465452385066118</v>
      </c>
      <c r="F34" t="n">
        <v>0.642650866403586</v>
      </c>
      <c r="G34" t="n">
        <v>97</v>
      </c>
      <c r="H34" t="s">
        <v>771</v>
      </c>
      <c r="I34" s="23" t="n">
        <v>0.0096244390015527</v>
      </c>
      <c r="J34" s="23" t="n">
        <v>-0.0314148764077893</v>
      </c>
      <c r="K34" s="23" t="n">
        <v>0.0506637544108947</v>
      </c>
      <c r="L34" t="s">
        <v>161</v>
      </c>
      <c r="M34" t="s">
        <v>162</v>
      </c>
      <c r="N34" t="s">
        <v>773</v>
      </c>
      <c r="O34" t="s">
        <v>919</v>
      </c>
    </row>
    <row r="35">
      <c r="A35" t="s">
        <v>156</v>
      </c>
      <c r="B35" t="s">
        <v>764</v>
      </c>
      <c r="C35" s="23" t="n">
        <v>0.000779471148432331</v>
      </c>
      <c r="D35" s="23" t="n">
        <v>0.00123037988225457</v>
      </c>
      <c r="E35" s="23" t="n">
        <v>0.633520719636618</v>
      </c>
      <c r="F35" t="n">
        <v>0.527884618421521</v>
      </c>
      <c r="G35" t="n">
        <v>97</v>
      </c>
      <c r="H35" t="s">
        <v>771</v>
      </c>
      <c r="I35" s="23" t="n">
        <v>0.000779471148432331</v>
      </c>
      <c r="J35" s="23" t="n">
        <v>-0.00166249233148347</v>
      </c>
      <c r="K35" s="23" t="n">
        <v>0.00322143462834813</v>
      </c>
      <c r="L35" t="s">
        <v>887</v>
      </c>
      <c r="M35" t="s">
        <v>810</v>
      </c>
      <c r="N35" t="s">
        <v>773</v>
      </c>
      <c r="O35" t="s">
        <v>919</v>
      </c>
    </row>
    <row r="36">
      <c r="A36" t="s">
        <v>156</v>
      </c>
      <c r="B36" t="s">
        <v>52</v>
      </c>
      <c r="C36" s="23" t="n">
        <v>-0.00647680355468886</v>
      </c>
      <c r="D36" s="23" t="n">
        <v>0.0044372897670397</v>
      </c>
      <c r="E36" s="23" t="n">
        <v>-1.45963051653708</v>
      </c>
      <c r="F36" t="n">
        <v>0.147622711588209</v>
      </c>
      <c r="G36" t="n">
        <v>97</v>
      </c>
      <c r="H36" t="s">
        <v>771</v>
      </c>
      <c r="I36" s="23" t="n">
        <v>-0.00647680355468886</v>
      </c>
      <c r="J36" s="23" t="n">
        <v>-0.0152835954383952</v>
      </c>
      <c r="K36" s="23" t="n">
        <v>0.00232998832901743</v>
      </c>
      <c r="L36" t="s">
        <v>888</v>
      </c>
      <c r="M36" t="s">
        <v>159</v>
      </c>
      <c r="N36" t="s">
        <v>773</v>
      </c>
      <c r="O36" t="s">
        <v>919</v>
      </c>
    </row>
    <row r="37">
      <c r="A37" t="s">
        <v>156</v>
      </c>
      <c r="B37" t="s">
        <v>78</v>
      </c>
      <c r="C37" s="23" t="n">
        <v>-0.000899358674711123</v>
      </c>
      <c r="D37" s="23" t="n">
        <v>0.000414738827117366</v>
      </c>
      <c r="E37" s="23" t="n">
        <v>-2.16849403988071</v>
      </c>
      <c r="F37" t="n">
        <v>0.0325664861621945</v>
      </c>
      <c r="G37" t="n">
        <v>97</v>
      </c>
      <c r="H37" t="s">
        <v>771</v>
      </c>
      <c r="I37" s="23" t="n">
        <v>-0.000899358674711123</v>
      </c>
      <c r="J37" s="23" t="n">
        <v>-0.0017225004410312</v>
      </c>
      <c r="K37" s="23" t="n">
        <v>-0.0000762169083910409</v>
      </c>
      <c r="L37" t="s">
        <v>889</v>
      </c>
      <c r="M37" t="s">
        <v>81</v>
      </c>
      <c r="N37" t="s">
        <v>773</v>
      </c>
      <c r="O37" t="s">
        <v>919</v>
      </c>
    </row>
    <row r="38">
      <c r="A38" t="s">
        <v>164</v>
      </c>
      <c r="B38" t="s">
        <v>809</v>
      </c>
      <c r="C38" s="23" t="n">
        <v>0.167861131036892</v>
      </c>
      <c r="D38" s="23" t="n">
        <v>0.213031605189745</v>
      </c>
      <c r="E38" s="23" t="n">
        <v>0.787963508453969</v>
      </c>
      <c r="F38" t="n">
        <v>0.432619844086505</v>
      </c>
      <c r="G38" t="n">
        <v>98</v>
      </c>
      <c r="H38"/>
      <c r="I38" s="23"/>
      <c r="J38" s="23"/>
      <c r="K38" s="23"/>
      <c r="L38"/>
      <c r="M38" t="s">
        <v>890</v>
      </c>
      <c r="N38" t="s">
        <v>773</v>
      </c>
      <c r="O38" t="s">
        <v>919</v>
      </c>
    </row>
    <row r="39">
      <c r="A39" t="s">
        <v>164</v>
      </c>
      <c r="B39" t="s">
        <v>318</v>
      </c>
      <c r="C39" s="23" t="n">
        <v>0.00461535052505473</v>
      </c>
      <c r="D39" s="23" t="n">
        <v>0.0204955247476835</v>
      </c>
      <c r="E39" s="23" t="n">
        <v>0.225188209712776</v>
      </c>
      <c r="F39" t="n">
        <v>0.822301770559476</v>
      </c>
      <c r="G39" t="n">
        <v>98</v>
      </c>
      <c r="H39" t="s">
        <v>771</v>
      </c>
      <c r="I39" s="23" t="n">
        <v>0.00461535052505473</v>
      </c>
      <c r="J39" s="23" t="n">
        <v>-0.0360573512997962</v>
      </c>
      <c r="K39" s="23" t="n">
        <v>0.0452880523499057</v>
      </c>
      <c r="L39" t="s">
        <v>169</v>
      </c>
      <c r="M39" t="s">
        <v>170</v>
      </c>
      <c r="N39" t="s">
        <v>773</v>
      </c>
      <c r="O39" t="s">
        <v>919</v>
      </c>
    </row>
    <row r="40">
      <c r="A40" t="s">
        <v>164</v>
      </c>
      <c r="B40" t="s">
        <v>764</v>
      </c>
      <c r="C40" s="23" t="n">
        <v>-0.00182812084420164</v>
      </c>
      <c r="D40" s="23" t="n">
        <v>0.00122146029433404</v>
      </c>
      <c r="E40" s="23" t="n">
        <v>-1.49666825248573</v>
      </c>
      <c r="F40" t="n">
        <v>0.137693374857625</v>
      </c>
      <c r="G40" t="n">
        <v>98</v>
      </c>
      <c r="H40" t="s">
        <v>771</v>
      </c>
      <c r="I40" s="23" t="n">
        <v>-0.00182812084420164</v>
      </c>
      <c r="J40" s="23" t="n">
        <v>-0.0042520690452819</v>
      </c>
      <c r="K40" s="23" t="n">
        <v>0.000595827356878625</v>
      </c>
      <c r="L40" t="s">
        <v>891</v>
      </c>
      <c r="M40" t="s">
        <v>820</v>
      </c>
      <c r="N40" t="s">
        <v>773</v>
      </c>
      <c r="O40" t="s">
        <v>919</v>
      </c>
    </row>
    <row r="41">
      <c r="A41" t="s">
        <v>164</v>
      </c>
      <c r="B41" t="s">
        <v>52</v>
      </c>
      <c r="C41" s="23" t="n">
        <v>-0.000680196356373205</v>
      </c>
      <c r="D41" s="23" t="n">
        <v>0.00424885470671927</v>
      </c>
      <c r="E41" s="23" t="n">
        <v>-0.160089342499173</v>
      </c>
      <c r="F41" t="n">
        <v>0.873140207480737</v>
      </c>
      <c r="G41" t="n">
        <v>98</v>
      </c>
      <c r="H41" t="s">
        <v>771</v>
      </c>
      <c r="I41" s="23" t="n">
        <v>-0.000680196356373205</v>
      </c>
      <c r="J41" s="23" t="n">
        <v>-0.00911191024079277</v>
      </c>
      <c r="K41" s="23" t="n">
        <v>0.00775151752804636</v>
      </c>
      <c r="L41" t="s">
        <v>892</v>
      </c>
      <c r="M41" t="s">
        <v>893</v>
      </c>
      <c r="N41" t="s">
        <v>773</v>
      </c>
      <c r="O41" t="s">
        <v>919</v>
      </c>
    </row>
    <row r="42">
      <c r="A42" t="s">
        <v>164</v>
      </c>
      <c r="B42" t="s">
        <v>78</v>
      </c>
      <c r="C42" s="23" t="n">
        <v>-0.000321932017392314</v>
      </c>
      <c r="D42" s="23" t="n">
        <v>0.000407452607674957</v>
      </c>
      <c r="E42" s="23" t="n">
        <v>-0.790109110429682</v>
      </c>
      <c r="F42" t="n">
        <v>0.431371763486275</v>
      </c>
      <c r="G42" t="n">
        <v>98</v>
      </c>
      <c r="H42" t="s">
        <v>771</v>
      </c>
      <c r="I42" s="23" t="n">
        <v>-0.000321932017392314</v>
      </c>
      <c r="J42" s="23" t="n">
        <v>-0.00113050845657788</v>
      </c>
      <c r="K42" s="23" t="n">
        <v>0.00048664442179325</v>
      </c>
      <c r="L42" t="s">
        <v>894</v>
      </c>
      <c r="M42" t="s">
        <v>890</v>
      </c>
      <c r="N42" t="s">
        <v>773</v>
      </c>
      <c r="O42" t="s">
        <v>919</v>
      </c>
    </row>
    <row r="43">
      <c r="A43" t="s">
        <v>803</v>
      </c>
      <c r="B43" t="s">
        <v>809</v>
      </c>
      <c r="C43" s="23" t="n">
        <v>7.03921703238006</v>
      </c>
      <c r="D43" s="23" t="n">
        <v>5.93362663222721</v>
      </c>
      <c r="E43" s="23" t="n">
        <v>1.18632625014659</v>
      </c>
      <c r="F43" t="n">
        <v>0.238361620368671</v>
      </c>
      <c r="G43" t="n">
        <v>98</v>
      </c>
      <c r="H43"/>
      <c r="I43" s="23"/>
      <c r="J43" s="23"/>
      <c r="K43" s="23"/>
      <c r="L43"/>
      <c r="M43" t="s">
        <v>852</v>
      </c>
      <c r="N43" t="s">
        <v>773</v>
      </c>
      <c r="O43" t="s">
        <v>920</v>
      </c>
    </row>
    <row r="44">
      <c r="A44" t="s">
        <v>803</v>
      </c>
      <c r="B44" t="s">
        <v>318</v>
      </c>
      <c r="C44" s="23" t="n">
        <v>1.34655114556401</v>
      </c>
      <c r="D44" s="23" t="n">
        <v>0.573196582999784</v>
      </c>
      <c r="E44" s="23" t="n">
        <v>2.34919604460468</v>
      </c>
      <c r="F44" t="n">
        <v>0.020820758959459</v>
      </c>
      <c r="G44" t="n">
        <v>98</v>
      </c>
      <c r="H44" t="s">
        <v>787</v>
      </c>
      <c r="I44" s="23" t="n">
        <v>3.84414474645387</v>
      </c>
      <c r="J44" s="23" t="n">
        <v>1.2325204037513</v>
      </c>
      <c r="K44" s="23" t="n">
        <v>11.9896180109573</v>
      </c>
      <c r="L44" t="s">
        <v>183</v>
      </c>
      <c r="M44" t="s">
        <v>184</v>
      </c>
      <c r="N44" t="s">
        <v>773</v>
      </c>
      <c r="O44" t="s">
        <v>920</v>
      </c>
    </row>
    <row r="45">
      <c r="A45" t="s">
        <v>803</v>
      </c>
      <c r="B45" t="s">
        <v>764</v>
      </c>
      <c r="C45" s="23" t="n">
        <v>0.0500481516244607</v>
      </c>
      <c r="D45" s="23" t="n">
        <v>0.0332803657088873</v>
      </c>
      <c r="E45" s="23" t="n">
        <v>1.50383418446317</v>
      </c>
      <c r="F45" t="n">
        <v>0.135840021294313</v>
      </c>
      <c r="G45" t="n">
        <v>98</v>
      </c>
      <c r="H45" t="s">
        <v>787</v>
      </c>
      <c r="I45" s="23" t="n">
        <v>1.05132171800581</v>
      </c>
      <c r="J45" s="23" t="n">
        <v>0.984131600035324</v>
      </c>
      <c r="K45" s="23" t="n">
        <v>1.123099141122</v>
      </c>
      <c r="L45" t="s">
        <v>895</v>
      </c>
      <c r="M45" t="s">
        <v>820</v>
      </c>
      <c r="N45" t="s">
        <v>773</v>
      </c>
      <c r="O45" t="s">
        <v>920</v>
      </c>
    </row>
    <row r="46">
      <c r="A46" t="s">
        <v>803</v>
      </c>
      <c r="B46" t="s">
        <v>52</v>
      </c>
      <c r="C46" s="23" t="n">
        <v>-0.188300093981736</v>
      </c>
      <c r="D46" s="23" t="n">
        <v>0.120232914406233</v>
      </c>
      <c r="E46" s="23" t="n">
        <v>-1.56612766904679</v>
      </c>
      <c r="F46" t="n">
        <v>0.120542206663203</v>
      </c>
      <c r="G46" t="n">
        <v>98</v>
      </c>
      <c r="H46" t="s">
        <v>787</v>
      </c>
      <c r="I46" s="23" t="n">
        <v>0.828366082253158</v>
      </c>
      <c r="J46" s="23" t="n">
        <v>0.65252984616548</v>
      </c>
      <c r="K46" s="23" t="n">
        <v>1.05158464438028</v>
      </c>
      <c r="L46" t="s">
        <v>896</v>
      </c>
      <c r="M46" t="s">
        <v>361</v>
      </c>
      <c r="N46" t="s">
        <v>773</v>
      </c>
      <c r="O46" t="s">
        <v>920</v>
      </c>
    </row>
    <row r="47">
      <c r="A47" t="s">
        <v>803</v>
      </c>
      <c r="B47" t="s">
        <v>78</v>
      </c>
      <c r="C47" s="23" t="n">
        <v>-0.0215024115309998</v>
      </c>
      <c r="D47" s="23" t="n">
        <v>0.0113618689485255</v>
      </c>
      <c r="E47" s="23" t="n">
        <v>-1.89250656106099</v>
      </c>
      <c r="F47" t="n">
        <v>0.0613748337689101</v>
      </c>
      <c r="G47" t="n">
        <v>98</v>
      </c>
      <c r="H47" t="s">
        <v>787</v>
      </c>
      <c r="I47" s="23" t="n">
        <v>0.978727117235518</v>
      </c>
      <c r="J47" s="23" t="n">
        <v>0.956906426098054</v>
      </c>
      <c r="K47" s="23" t="n">
        <v>1.00104539366317</v>
      </c>
      <c r="L47" t="s">
        <v>897</v>
      </c>
      <c r="M47" t="s">
        <v>898</v>
      </c>
      <c r="N47" t="s">
        <v>773</v>
      </c>
      <c r="O47" t="s">
        <v>920</v>
      </c>
    </row>
    <row r="48">
      <c r="A48" t="s">
        <v>806</v>
      </c>
      <c r="B48" t="s">
        <v>809</v>
      </c>
      <c r="C48" s="23" t="n">
        <v>-3.67129554617943</v>
      </c>
      <c r="D48" s="23" t="n">
        <v>6.58077200155537</v>
      </c>
      <c r="E48" s="23" t="n">
        <v>-0.557882197607168</v>
      </c>
      <c r="F48" t="n">
        <v>0.578197049783483</v>
      </c>
      <c r="G48" t="n">
        <v>98</v>
      </c>
      <c r="H48"/>
      <c r="I48" s="23"/>
      <c r="J48" s="23"/>
      <c r="K48" s="23"/>
      <c r="L48"/>
      <c r="M48" t="s">
        <v>899</v>
      </c>
      <c r="N48" t="s">
        <v>773</v>
      </c>
      <c r="O48" t="s">
        <v>920</v>
      </c>
    </row>
    <row r="49">
      <c r="A49" t="s">
        <v>806</v>
      </c>
      <c r="B49" t="s">
        <v>318</v>
      </c>
      <c r="C49" s="23" t="n">
        <v>-0.141351941933614</v>
      </c>
      <c r="D49" s="23" t="n">
        <v>0.709994387814244</v>
      </c>
      <c r="E49" s="23" t="n">
        <v>-0.199088815854973</v>
      </c>
      <c r="F49" t="n">
        <v>0.842605745339641</v>
      </c>
      <c r="G49" t="n">
        <v>98</v>
      </c>
      <c r="H49" t="s">
        <v>787</v>
      </c>
      <c r="I49" s="23" t="n">
        <v>0.868183707670576</v>
      </c>
      <c r="J49" s="23" t="n">
        <v>0.212181614805506</v>
      </c>
      <c r="K49" s="23" t="n">
        <v>3.55234807198324</v>
      </c>
      <c r="L49" t="s">
        <v>191</v>
      </c>
      <c r="M49" t="s">
        <v>192</v>
      </c>
      <c r="N49" t="s">
        <v>773</v>
      </c>
      <c r="O49" t="s">
        <v>920</v>
      </c>
    </row>
    <row r="50">
      <c r="A50" t="s">
        <v>806</v>
      </c>
      <c r="B50" t="s">
        <v>764</v>
      </c>
      <c r="C50" s="23" t="n">
        <v>0.0268774898682876</v>
      </c>
      <c r="D50" s="23" t="n">
        <v>0.0586831615793911</v>
      </c>
      <c r="E50" s="23" t="n">
        <v>0.458010256177586</v>
      </c>
      <c r="F50" t="n">
        <v>0.647959017628715</v>
      </c>
      <c r="G50" t="n">
        <v>98</v>
      </c>
      <c r="H50" t="s">
        <v>787</v>
      </c>
      <c r="I50" s="23" t="n">
        <v>1.02724194750809</v>
      </c>
      <c r="J50" s="23" t="n">
        <v>0.914317554178179</v>
      </c>
      <c r="K50" s="23" t="n">
        <v>1.15411326611647</v>
      </c>
      <c r="L50" t="s">
        <v>900</v>
      </c>
      <c r="M50" t="s">
        <v>871</v>
      </c>
      <c r="N50" t="s">
        <v>773</v>
      </c>
      <c r="O50" t="s">
        <v>920</v>
      </c>
    </row>
    <row r="51">
      <c r="A51" t="s">
        <v>806</v>
      </c>
      <c r="B51" t="s">
        <v>52</v>
      </c>
      <c r="C51" s="23" t="n">
        <v>-0.236251590656906</v>
      </c>
      <c r="D51" s="23" t="n">
        <v>0.159480947072845</v>
      </c>
      <c r="E51" s="23" t="n">
        <v>-1.48137815201834</v>
      </c>
      <c r="F51" t="n">
        <v>0.141714045084297</v>
      </c>
      <c r="G51" t="n">
        <v>98</v>
      </c>
      <c r="H51" t="s">
        <v>787</v>
      </c>
      <c r="I51" s="23" t="n">
        <v>0.789581997487853</v>
      </c>
      <c r="J51" s="23" t="n">
        <v>0.57537323769097</v>
      </c>
      <c r="K51" s="23" t="n">
        <v>1.08353967462726</v>
      </c>
      <c r="L51" t="s">
        <v>901</v>
      </c>
      <c r="M51" t="s">
        <v>820</v>
      </c>
      <c r="N51" t="s">
        <v>773</v>
      </c>
      <c r="O51" t="s">
        <v>920</v>
      </c>
    </row>
    <row r="52">
      <c r="A52" t="s">
        <v>806</v>
      </c>
      <c r="B52" t="s">
        <v>78</v>
      </c>
      <c r="C52" s="23" t="n">
        <v>-0.00089560380313545</v>
      </c>
      <c r="D52" s="23" t="n">
        <v>0.0145649609618816</v>
      </c>
      <c r="E52" s="23" t="n">
        <v>-0.0614902989084117</v>
      </c>
      <c r="F52" t="n">
        <v>0.951093972277477</v>
      </c>
      <c r="G52" t="n">
        <v>98</v>
      </c>
      <c r="H52" t="s">
        <v>787</v>
      </c>
      <c r="I52" s="23" t="n">
        <v>0.999104797130249</v>
      </c>
      <c r="J52" s="23" t="n">
        <v>0.970640326552803</v>
      </c>
      <c r="K52" s="23" t="n">
        <v>1.02840400129859</v>
      </c>
      <c r="L52" t="s">
        <v>902</v>
      </c>
      <c r="M52" t="s">
        <v>903</v>
      </c>
      <c r="N52" t="s">
        <v>773</v>
      </c>
      <c r="O52" t="s">
        <v>920</v>
      </c>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 t="s">
        <v>921</v>
      </c>
    </row>
    <row r="2">
      <c r="A2" t="s">
        <v>922</v>
      </c>
      <c r="B2" t="s">
        <v>5</v>
      </c>
    </row>
    <row r="3">
      <c r="A3" t="s">
        <v>923</v>
      </c>
      <c r="B3" t="s">
        <v>924</v>
      </c>
    </row>
    <row r="4">
      <c r="A4" t="s">
        <v>925</v>
      </c>
      <c r="B4" t="s">
        <v>926</v>
      </c>
    </row>
    <row r="5">
      <c r="A5" t="s">
        <v>927</v>
      </c>
      <c r="B5" t="s">
        <v>928</v>
      </c>
    </row>
    <row r="6">
      <c r="A6" t="s">
        <v>929</v>
      </c>
      <c r="B6" t="s">
        <v>930</v>
      </c>
    </row>
    <row r="7">
      <c r="A7" t="s">
        <v>931</v>
      </c>
      <c r="B7" t="s">
        <v>932</v>
      </c>
    </row>
    <row r="8">
      <c r="A8" t="s">
        <v>933</v>
      </c>
      <c r="B8" t="s">
        <v>934</v>
      </c>
    </row>
    <row r="9">
      <c r="A9" t="s">
        <v>935</v>
      </c>
      <c r="B9" t="s">
        <v>936</v>
      </c>
    </row>
    <row r="10">
      <c r="A10" t="s">
        <v>937</v>
      </c>
      <c r="B10" t="s">
        <v>938</v>
      </c>
    </row>
    <row r="11">
      <c r="A11" t="s">
        <v>939</v>
      </c>
      <c r="B11" t="s">
        <v>940</v>
      </c>
    </row>
    <row r="12">
      <c r="A12" t="s">
        <v>941</v>
      </c>
      <c r="B12" t="s">
        <v>30</v>
      </c>
    </row>
    <row r="13">
      <c r="A13" t="s">
        <v>942</v>
      </c>
      <c r="B13" t="s">
        <v>943</v>
      </c>
    </row>
    <row r="14">
      <c r="A14" t="s">
        <v>944</v>
      </c>
      <c r="B14" t="s">
        <v>945</v>
      </c>
    </row>
    <row r="16">
      <c r="A16" s="1" t="s">
        <v>946</v>
      </c>
    </row>
    <row r="17">
      <c r="A17" t="s">
        <v>947</v>
      </c>
    </row>
    <row r="18">
      <c r="A18" t="s">
        <v>764</v>
      </c>
    </row>
    <row r="19">
      <c r="A19" t="s">
        <v>52</v>
      </c>
    </row>
    <row r="20">
      <c r="A20" t="s">
        <v>78</v>
      </c>
    </row>
    <row r="21">
      <c r="A21" t="s">
        <v>68</v>
      </c>
    </row>
    <row r="23">
      <c r="A23" s="1" t="s">
        <v>948</v>
      </c>
    </row>
    <row r="24">
      <c r="A24" t="s">
        <v>949</v>
      </c>
      <c r="B24" t="s">
        <v>950</v>
      </c>
      <c r="C24" t="s">
        <v>951</v>
      </c>
      <c r="D24" t="s">
        <v>952</v>
      </c>
      <c r="E24" t="s">
        <v>953</v>
      </c>
    </row>
    <row r="25">
      <c r="A25" t="s">
        <v>954</v>
      </c>
      <c r="B25" t="s">
        <v>925</v>
      </c>
      <c r="C25" s="24" t="n">
        <v>1.54574162847214</v>
      </c>
      <c r="D25" s="24" t="n">
        <v>0.149156598650475</v>
      </c>
      <c r="E25" t="s">
        <v>94</v>
      </c>
    </row>
    <row r="26">
      <c r="A26" t="s">
        <v>764</v>
      </c>
      <c r="B26" t="s">
        <v>955</v>
      </c>
      <c r="C26" s="24" t="n">
        <v>0.557862378649071</v>
      </c>
      <c r="D26" s="24" t="n">
        <v>0.0277137628066863</v>
      </c>
      <c r="E26" t="s">
        <v>936</v>
      </c>
    </row>
    <row r="27">
      <c r="A27" t="s">
        <v>52</v>
      </c>
      <c r="B27" t="s">
        <v>955</v>
      </c>
      <c r="C27" s="24" t="n">
        <v>-0.661114965097381</v>
      </c>
      <c r="D27" s="24" t="n">
        <v>-0.154678002135357</v>
      </c>
      <c r="E27" t="s">
        <v>932</v>
      </c>
    </row>
    <row r="28">
      <c r="A28" t="s">
        <v>78</v>
      </c>
      <c r="B28" t="s">
        <v>955</v>
      </c>
      <c r="C28" s="24" t="n">
        <v>-0.439268809487734</v>
      </c>
      <c r="D28" s="24" t="n">
        <v>-0.0199897187686062</v>
      </c>
      <c r="E28" t="s">
        <v>936</v>
      </c>
    </row>
    <row r="29">
      <c r="A29" t="s">
        <v>68</v>
      </c>
      <c r="B29" t="s">
        <v>955</v>
      </c>
      <c r="C29" s="24" t="n">
        <v>0.585902088789754</v>
      </c>
      <c r="D29" s="24" t="n">
        <v>0.176645806454166</v>
      </c>
      <c r="E29" t="s">
        <v>932</v>
      </c>
    </row>
    <row r="31">
      <c r="A31" s="1" t="s">
        <v>956</v>
      </c>
    </row>
    <row r="32">
      <c r="A32" t="s">
        <v>943</v>
      </c>
      <c r="B32" t="s">
        <v>29</v>
      </c>
      <c r="C32" t="s">
        <v>954</v>
      </c>
      <c r="D32" t="s">
        <v>957</v>
      </c>
    </row>
    <row r="33">
      <c r="A33" t="s">
        <v>439</v>
      </c>
      <c r="B33" t="s">
        <v>30</v>
      </c>
      <c r="C33" s="24" t="n">
        <v>-1.24207216994084</v>
      </c>
      <c r="D33" s="24" t="n">
        <v>0.714285714285714</v>
      </c>
    </row>
    <row r="34">
      <c r="A34" t="s">
        <v>439</v>
      </c>
      <c r="B34" t="s">
        <v>30</v>
      </c>
      <c r="C34" s="24" t="n">
        <v>-1.17099046172378</v>
      </c>
      <c r="D34" s="24" t="n">
        <v>0.714285714285714</v>
      </c>
    </row>
    <row r="35">
      <c r="A35" t="s">
        <v>443</v>
      </c>
      <c r="B35" t="s">
        <v>30</v>
      </c>
      <c r="C35" s="24" t="n">
        <v>-0.972658041550511</v>
      </c>
      <c r="D35" s="24" t="n">
        <v>0.714285714285714</v>
      </c>
    </row>
    <row r="36">
      <c r="A36" t="s">
        <v>443</v>
      </c>
      <c r="B36" t="s">
        <v>30</v>
      </c>
      <c r="C36" s="24" t="n">
        <v>0.0639450099649999</v>
      </c>
      <c r="D36" s="24" t="n">
        <v>1.42857142857143</v>
      </c>
    </row>
    <row r="37">
      <c r="A37" t="s">
        <v>446</v>
      </c>
      <c r="B37" t="s">
        <v>30</v>
      </c>
      <c r="C37" s="24" t="n">
        <v>0.860050904482863</v>
      </c>
      <c r="D37" s="24" t="n">
        <v>1.42857142857143</v>
      </c>
    </row>
    <row r="38">
      <c r="A38" t="s">
        <v>448</v>
      </c>
      <c r="B38" t="s">
        <v>30</v>
      </c>
      <c r="C38" s="24" t="n">
        <v>-0.321871837836045</v>
      </c>
      <c r="D38" s="24" t="n">
        <v>0.714285714285714</v>
      </c>
    </row>
    <row r="39">
      <c r="A39" t="s">
        <v>448</v>
      </c>
      <c r="B39" t="s">
        <v>30</v>
      </c>
      <c r="C39" s="24" t="n">
        <v>1.33742213740818</v>
      </c>
      <c r="D39" s="24" t="n">
        <v>1.42857142857143</v>
      </c>
    </row>
    <row r="40">
      <c r="A40" t="s">
        <v>451</v>
      </c>
      <c r="B40" t="s">
        <v>31</v>
      </c>
      <c r="C40" s="24" t="n">
        <v>0.58961344118736</v>
      </c>
      <c r="D40" s="24" t="n">
        <v>1</v>
      </c>
    </row>
    <row r="41">
      <c r="A41" t="s">
        <v>451</v>
      </c>
      <c r="B41" t="s">
        <v>31</v>
      </c>
      <c r="C41" s="24" t="n">
        <v>0.344047176083114</v>
      </c>
      <c r="D41" s="24" t="n">
        <v>1</v>
      </c>
    </row>
    <row r="42">
      <c r="A42" t="s">
        <v>457</v>
      </c>
      <c r="B42" t="s">
        <v>30</v>
      </c>
      <c r="C42" s="24" t="n">
        <v>-1.04078318474462</v>
      </c>
      <c r="D42" s="24" t="n">
        <v>0.714285714285714</v>
      </c>
    </row>
    <row r="43">
      <c r="A43" t="s">
        <v>459</v>
      </c>
      <c r="B43" t="s">
        <v>31</v>
      </c>
      <c r="C43" s="24" t="n">
        <v>-1.25119610832641</v>
      </c>
      <c r="D43" s="24" t="n">
        <v>1</v>
      </c>
    </row>
    <row r="44">
      <c r="A44" t="s">
        <v>468</v>
      </c>
      <c r="B44" t="s">
        <v>31</v>
      </c>
      <c r="C44" s="24" t="n">
        <v>0.471741113512786</v>
      </c>
      <c r="D44" s="24" t="n">
        <v>1</v>
      </c>
    </row>
    <row r="45">
      <c r="A45" t="s">
        <v>468</v>
      </c>
      <c r="B45" t="s">
        <v>31</v>
      </c>
      <c r="C45" s="24" t="n">
        <v>1.80964068433247</v>
      </c>
      <c r="D45" s="24" t="n">
        <v>1</v>
      </c>
    </row>
    <row r="46">
      <c r="A46" t="s">
        <v>716</v>
      </c>
      <c r="B46" t="s">
        <v>31</v>
      </c>
      <c r="C46" s="24" t="n">
        <v>0.349494062508861</v>
      </c>
      <c r="D46" s="24" t="n">
        <v>1</v>
      </c>
    </row>
    <row r="47">
      <c r="A47" t="s">
        <v>471</v>
      </c>
      <c r="B47" t="s">
        <v>30</v>
      </c>
      <c r="C47" s="24" t="n">
        <v>-0.624851150784548</v>
      </c>
      <c r="D47" s="24" t="n">
        <v>0.714285714285714</v>
      </c>
    </row>
    <row r="48">
      <c r="A48" t="s">
        <v>475</v>
      </c>
      <c r="B48" t="s">
        <v>31</v>
      </c>
      <c r="C48" s="24" t="n">
        <v>2.68751668956125</v>
      </c>
      <c r="D48" s="24" t="n">
        <v>1</v>
      </c>
    </row>
    <row r="49">
      <c r="A49" t="s">
        <v>480</v>
      </c>
      <c r="B49" t="s">
        <v>31</v>
      </c>
      <c r="C49" s="24" t="n">
        <v>0.614467700417332</v>
      </c>
      <c r="D49" s="24" t="n">
        <v>1</v>
      </c>
    </row>
    <row r="50">
      <c r="A50" t="s">
        <v>483</v>
      </c>
      <c r="B50" t="s">
        <v>30</v>
      </c>
      <c r="C50" s="24" t="n">
        <v>-0.663564237621116</v>
      </c>
      <c r="D50" s="24" t="n">
        <v>0.714285714285714</v>
      </c>
    </row>
    <row r="51">
      <c r="A51" t="s">
        <v>719</v>
      </c>
      <c r="B51" t="s">
        <v>30</v>
      </c>
      <c r="C51" s="24" t="n">
        <v>1.71852123326396</v>
      </c>
      <c r="D51" s="24" t="n">
        <v>1.42857142857143</v>
      </c>
    </row>
    <row r="52">
      <c r="A52" t="s">
        <v>719</v>
      </c>
      <c r="B52" t="s">
        <v>30</v>
      </c>
      <c r="C52" s="24" t="n">
        <v>0.531773120068312</v>
      </c>
      <c r="D52" s="24" t="n">
        <v>1.42857142857143</v>
      </c>
    </row>
    <row r="53">
      <c r="A53" t="s">
        <v>485</v>
      </c>
      <c r="B53" t="s">
        <v>30</v>
      </c>
      <c r="C53" s="24" t="n">
        <v>-1.47394129809364</v>
      </c>
      <c r="D53" s="24" t="n">
        <v>0.714285714285714</v>
      </c>
    </row>
    <row r="54">
      <c r="A54" t="s">
        <v>485</v>
      </c>
      <c r="B54" t="s">
        <v>30</v>
      </c>
      <c r="C54" s="24" t="n">
        <v>-1.03456307460196</v>
      </c>
      <c r="D54" s="24" t="n">
        <v>0.714285714285714</v>
      </c>
    </row>
    <row r="55">
      <c r="A55" t="s">
        <v>488</v>
      </c>
      <c r="B55" t="s">
        <v>30</v>
      </c>
      <c r="C55" s="24" t="n">
        <v>-1.01979759798246</v>
      </c>
      <c r="D55" s="24" t="n">
        <v>1.42857142857143</v>
      </c>
    </row>
    <row r="56">
      <c r="A56" t="s">
        <v>488</v>
      </c>
      <c r="B56" t="s">
        <v>30</v>
      </c>
      <c r="C56" s="24" t="n">
        <v>-1.30132796624715</v>
      </c>
      <c r="D56" s="24" t="n">
        <v>0.714285714285714</v>
      </c>
    </row>
    <row r="57">
      <c r="A57" t="s">
        <v>491</v>
      </c>
      <c r="B57" t="s">
        <v>30</v>
      </c>
      <c r="C57" s="24" t="n">
        <v>-1.61466358284254</v>
      </c>
      <c r="D57" s="24" t="n">
        <v>0.714285714285714</v>
      </c>
    </row>
    <row r="58">
      <c r="A58" t="s">
        <v>494</v>
      </c>
      <c r="B58" t="s">
        <v>30</v>
      </c>
      <c r="C58" s="24" t="n">
        <v>-1.18646633667212</v>
      </c>
      <c r="D58" s="24" t="n">
        <v>0.714285714285714</v>
      </c>
    </row>
    <row r="59">
      <c r="A59" t="s">
        <v>497</v>
      </c>
      <c r="B59" t="s">
        <v>30</v>
      </c>
      <c r="C59" s="24" t="n">
        <v>3.51217706696219</v>
      </c>
      <c r="D59" s="24" t="n">
        <v>1.42857142857143</v>
      </c>
    </row>
    <row r="60">
      <c r="A60" t="s">
        <v>497</v>
      </c>
      <c r="B60" t="s">
        <v>30</v>
      </c>
      <c r="C60" s="24" t="n">
        <v>1.98041265537333</v>
      </c>
      <c r="D60" s="24" t="n">
        <v>1.42857142857143</v>
      </c>
    </row>
    <row r="61">
      <c r="A61" t="s">
        <v>500</v>
      </c>
      <c r="B61" t="s">
        <v>31</v>
      </c>
      <c r="C61" s="24" t="n">
        <v>0.615582904634649</v>
      </c>
      <c r="D61" s="24" t="n">
        <v>1</v>
      </c>
    </row>
    <row r="62">
      <c r="A62" t="s">
        <v>503</v>
      </c>
      <c r="B62" t="s">
        <v>30</v>
      </c>
      <c r="C62" s="24" t="n">
        <v>-1.48683574798691</v>
      </c>
      <c r="D62" s="24" t="n">
        <v>0.714285714285714</v>
      </c>
    </row>
    <row r="63">
      <c r="A63" t="s">
        <v>506</v>
      </c>
      <c r="B63" t="s">
        <v>30</v>
      </c>
      <c r="C63" s="24" t="n">
        <v>-1.61935125933327</v>
      </c>
      <c r="D63" s="24" t="n">
        <v>0.714285714285714</v>
      </c>
    </row>
    <row r="64">
      <c r="A64" t="s">
        <v>509</v>
      </c>
      <c r="B64" t="s">
        <v>31</v>
      </c>
      <c r="C64" s="24" t="n">
        <v>-0.203509208919266</v>
      </c>
      <c r="D64" s="24" t="n">
        <v>1</v>
      </c>
    </row>
    <row r="65">
      <c r="A65" t="s">
        <v>512</v>
      </c>
      <c r="B65" t="s">
        <v>30</v>
      </c>
      <c r="C65" s="24" t="n">
        <v>-0.72939814676222</v>
      </c>
      <c r="D65" s="24" t="n">
        <v>0.714285714285714</v>
      </c>
    </row>
    <row r="66">
      <c r="A66" t="s">
        <v>518</v>
      </c>
      <c r="B66" t="s">
        <v>30</v>
      </c>
      <c r="C66" s="24" t="n">
        <v>-0.935614673217936</v>
      </c>
      <c r="D66" s="24" t="n">
        <v>0.714285714285714</v>
      </c>
    </row>
    <row r="67">
      <c r="A67" t="s">
        <v>521</v>
      </c>
      <c r="B67" t="s">
        <v>31</v>
      </c>
      <c r="C67" s="24" t="n">
        <v>1.35723411352155</v>
      </c>
      <c r="D67" s="24" t="n">
        <v>1</v>
      </c>
    </row>
    <row r="68">
      <c r="A68" t="s">
        <v>722</v>
      </c>
      <c r="B68" t="s">
        <v>31</v>
      </c>
      <c r="C68" s="24" t="n">
        <v>2.25412147881139</v>
      </c>
      <c r="D68" s="24" t="n">
        <v>1</v>
      </c>
    </row>
    <row r="69">
      <c r="A69" t="s">
        <v>722</v>
      </c>
      <c r="B69" t="s">
        <v>31</v>
      </c>
      <c r="C69" s="24" t="n">
        <v>2.16322073717311</v>
      </c>
      <c r="D69" s="24" t="n">
        <v>1</v>
      </c>
    </row>
    <row r="70">
      <c r="A70" t="s">
        <v>534</v>
      </c>
      <c r="B70" t="s">
        <v>30</v>
      </c>
      <c r="C70" s="24" t="n">
        <v>-0.133652606076341</v>
      </c>
      <c r="D70" s="24" t="n">
        <v>1.42857142857143</v>
      </c>
    </row>
    <row r="71">
      <c r="A71" t="s">
        <v>536</v>
      </c>
      <c r="B71" t="s">
        <v>31</v>
      </c>
      <c r="C71" s="24" t="n">
        <v>-0.0859870119363633</v>
      </c>
      <c r="D71" s="24" t="n">
        <v>1</v>
      </c>
    </row>
    <row r="72">
      <c r="A72" t="s">
        <v>728</v>
      </c>
      <c r="B72" t="s">
        <v>30</v>
      </c>
      <c r="C72" s="24" t="n">
        <v>-0.305418246101792</v>
      </c>
      <c r="D72" s="24" t="n">
        <v>0.714285714285714</v>
      </c>
    </row>
    <row r="73">
      <c r="A73" t="s">
        <v>728</v>
      </c>
      <c r="B73" t="s">
        <v>30</v>
      </c>
      <c r="C73" s="24" t="n">
        <v>-0.325237279523019</v>
      </c>
      <c r="D73" s="24" t="n">
        <v>0.714285714285714</v>
      </c>
    </row>
    <row r="74">
      <c r="A74" t="s">
        <v>538</v>
      </c>
      <c r="B74" t="s">
        <v>30</v>
      </c>
      <c r="C74" s="24" t="n">
        <v>-1.42523197266803</v>
      </c>
      <c r="D74" s="24" t="n">
        <v>0.714285714285714</v>
      </c>
    </row>
    <row r="75">
      <c r="A75" t="s">
        <v>542</v>
      </c>
      <c r="B75" t="s">
        <v>31</v>
      </c>
      <c r="C75" s="24" t="n">
        <v>-0.810396942575352</v>
      </c>
      <c r="D75" s="24" t="n">
        <v>1</v>
      </c>
    </row>
    <row r="76">
      <c r="A76" t="s">
        <v>731</v>
      </c>
      <c r="B76" t="s">
        <v>31</v>
      </c>
      <c r="C76" s="24" t="n">
        <v>-1.35085490803927</v>
      </c>
      <c r="D76" s="24" t="n">
        <v>1</v>
      </c>
    </row>
    <row r="77">
      <c r="A77" t="s">
        <v>548</v>
      </c>
      <c r="B77" t="s">
        <v>30</v>
      </c>
      <c r="C77" s="24" t="n">
        <v>-0.302081280993471</v>
      </c>
      <c r="D77" s="24" t="n">
        <v>0.714285714285714</v>
      </c>
    </row>
    <row r="78">
      <c r="A78" t="s">
        <v>550</v>
      </c>
      <c r="B78" t="s">
        <v>30</v>
      </c>
      <c r="C78" s="24" t="n">
        <v>-1.22982445182742</v>
      </c>
      <c r="D78" s="24" t="n">
        <v>0.714285714285714</v>
      </c>
    </row>
    <row r="79">
      <c r="A79" t="s">
        <v>553</v>
      </c>
      <c r="B79" t="s">
        <v>30</v>
      </c>
      <c r="C79" s="24" t="n">
        <v>1.03354806551004</v>
      </c>
      <c r="D79" s="24" t="n">
        <v>1.42857142857143</v>
      </c>
    </row>
    <row r="80">
      <c r="A80" t="s">
        <v>553</v>
      </c>
      <c r="B80" t="s">
        <v>30</v>
      </c>
      <c r="C80" s="24" t="n">
        <v>0.147142958056411</v>
      </c>
      <c r="D80" s="24" t="n">
        <v>1.42857142857143</v>
      </c>
    </row>
    <row r="81">
      <c r="A81" t="s">
        <v>562</v>
      </c>
      <c r="B81" t="s">
        <v>30</v>
      </c>
      <c r="C81" s="24" t="n">
        <v>-0.14799766414958</v>
      </c>
      <c r="D81" s="24" t="n">
        <v>1.42857142857143</v>
      </c>
    </row>
    <row r="82">
      <c r="A82" t="s">
        <v>567</v>
      </c>
      <c r="B82" t="s">
        <v>30</v>
      </c>
      <c r="C82" s="24" t="n">
        <v>-0.256596041627212</v>
      </c>
      <c r="D82" s="24" t="n">
        <v>0.714285714285714</v>
      </c>
    </row>
    <row r="83">
      <c r="A83" t="s">
        <v>567</v>
      </c>
      <c r="B83" t="s">
        <v>30</v>
      </c>
      <c r="C83" s="24" t="n">
        <v>-1.6911925870193</v>
      </c>
      <c r="D83" s="24" t="n">
        <v>0.714285714285714</v>
      </c>
    </row>
    <row r="84">
      <c r="A84" t="s">
        <v>588</v>
      </c>
      <c r="B84" t="s">
        <v>31</v>
      </c>
      <c r="C84" s="24" t="n">
        <v>3.22853379084777</v>
      </c>
      <c r="D84" s="24" t="n">
        <v>1</v>
      </c>
    </row>
    <row r="85">
      <c r="A85" t="s">
        <v>590</v>
      </c>
      <c r="B85" t="s">
        <v>31</v>
      </c>
      <c r="C85" s="24" t="n">
        <v>-1.53693394044766</v>
      </c>
      <c r="D85" s="24" t="n">
        <v>1</v>
      </c>
    </row>
    <row r="86">
      <c r="A86" t="s">
        <v>590</v>
      </c>
      <c r="B86" t="s">
        <v>31</v>
      </c>
      <c r="C86" s="24" t="n">
        <v>-1.52638179991553</v>
      </c>
      <c r="D86" s="24" t="n">
        <v>1</v>
      </c>
    </row>
    <row r="87">
      <c r="A87" t="s">
        <v>593</v>
      </c>
      <c r="B87" t="s">
        <v>30</v>
      </c>
      <c r="C87" s="24" t="n">
        <v>-0.333111706731369</v>
      </c>
      <c r="D87" s="24" t="n">
        <v>0.714285714285714</v>
      </c>
    </row>
    <row r="88">
      <c r="A88" t="s">
        <v>593</v>
      </c>
      <c r="B88" t="s">
        <v>30</v>
      </c>
      <c r="C88" s="24" t="n">
        <v>0.87183720746668</v>
      </c>
      <c r="D88" s="24" t="n">
        <v>1.42857142857143</v>
      </c>
    </row>
    <row r="89">
      <c r="A89" t="s">
        <v>596</v>
      </c>
      <c r="B89" t="s">
        <v>31</v>
      </c>
      <c r="C89" s="24" t="n">
        <v>1.15835124983716</v>
      </c>
      <c r="D89" s="24" t="n">
        <v>1</v>
      </c>
    </row>
    <row r="90">
      <c r="A90" t="s">
        <v>596</v>
      </c>
      <c r="B90" t="s">
        <v>31</v>
      </c>
      <c r="C90" s="24" t="n">
        <v>0.552191263005146</v>
      </c>
      <c r="D90" s="24" t="n">
        <v>1</v>
      </c>
    </row>
    <row r="91">
      <c r="A91" t="s">
        <v>599</v>
      </c>
      <c r="B91" t="s">
        <v>31</v>
      </c>
      <c r="C91" s="24" t="n">
        <v>-0.142955235431264</v>
      </c>
      <c r="D91" s="24" t="n">
        <v>1</v>
      </c>
    </row>
    <row r="92">
      <c r="A92" t="s">
        <v>599</v>
      </c>
      <c r="B92" t="s">
        <v>31</v>
      </c>
      <c r="C92" s="24" t="n">
        <v>0.0754750698623887</v>
      </c>
      <c r="D92" s="24" t="n">
        <v>1</v>
      </c>
    </row>
    <row r="93">
      <c r="A93" t="s">
        <v>606</v>
      </c>
      <c r="B93" t="s">
        <v>30</v>
      </c>
      <c r="C93" s="24" t="n">
        <v>1.73385395112945</v>
      </c>
      <c r="D93" s="24" t="n">
        <v>1.42857142857143</v>
      </c>
    </row>
    <row r="94">
      <c r="A94" t="s">
        <v>606</v>
      </c>
      <c r="B94" t="s">
        <v>30</v>
      </c>
      <c r="C94" s="24" t="n">
        <v>2.45509427696672</v>
      </c>
      <c r="D94" s="24" t="n">
        <v>1.42857142857143</v>
      </c>
    </row>
    <row r="95">
      <c r="A95" t="s">
        <v>611</v>
      </c>
      <c r="B95" t="s">
        <v>30</v>
      </c>
      <c r="C95" s="24" t="n">
        <v>-1.20839424329523</v>
      </c>
      <c r="D95" s="24" t="n">
        <v>0.714285714285714</v>
      </c>
    </row>
    <row r="96">
      <c r="A96" t="s">
        <v>611</v>
      </c>
      <c r="B96" t="s">
        <v>30</v>
      </c>
      <c r="C96" s="24" t="n">
        <v>-0.756899779929192</v>
      </c>
      <c r="D96" s="24" t="n">
        <v>0.714285714285714</v>
      </c>
    </row>
    <row r="97">
      <c r="A97" t="s">
        <v>614</v>
      </c>
      <c r="B97" t="s">
        <v>30</v>
      </c>
      <c r="C97" s="24" t="n">
        <v>-1.47006396944207</v>
      </c>
      <c r="D97" s="24" t="n">
        <v>0.714285714285714</v>
      </c>
    </row>
    <row r="98">
      <c r="A98" t="s">
        <v>617</v>
      </c>
      <c r="B98" t="s">
        <v>31</v>
      </c>
      <c r="C98" s="24" t="n">
        <v>-0.815861177496333</v>
      </c>
      <c r="D98" s="24" t="n">
        <v>1</v>
      </c>
    </row>
    <row r="99">
      <c r="A99" t="s">
        <v>617</v>
      </c>
      <c r="B99" t="s">
        <v>31</v>
      </c>
      <c r="C99" s="24" t="n">
        <v>-1.63223437856379</v>
      </c>
      <c r="D99" s="24" t="n">
        <v>1</v>
      </c>
    </row>
    <row r="100">
      <c r="A100" t="s">
        <v>620</v>
      </c>
      <c r="B100" t="s">
        <v>31</v>
      </c>
      <c r="C100" s="24" t="n">
        <v>-0.57739292677189</v>
      </c>
      <c r="D100" s="24" t="n">
        <v>1</v>
      </c>
    </row>
    <row r="101">
      <c r="A101" t="s">
        <v>628</v>
      </c>
      <c r="B101" t="s">
        <v>31</v>
      </c>
      <c r="C101" s="24" t="n">
        <v>1.14208768837515</v>
      </c>
      <c r="D101" s="24" t="n">
        <v>1</v>
      </c>
    </row>
    <row r="102">
      <c r="A102" t="s">
        <v>628</v>
      </c>
      <c r="B102" t="s">
        <v>31</v>
      </c>
      <c r="C102" s="24" t="n">
        <v>-0.104911140806246</v>
      </c>
      <c r="D102" s="24" t="n">
        <v>1</v>
      </c>
    </row>
    <row r="103">
      <c r="A103" t="s">
        <v>634</v>
      </c>
      <c r="B103" t="s">
        <v>31</v>
      </c>
      <c r="C103" s="24" t="n">
        <v>-0.710745200170353</v>
      </c>
      <c r="D103" s="24" t="n">
        <v>1</v>
      </c>
    </row>
    <row r="104">
      <c r="A104" t="s">
        <v>636</v>
      </c>
      <c r="B104" t="s">
        <v>30</v>
      </c>
      <c r="C104" s="24" t="n">
        <v>0.364838459218136</v>
      </c>
      <c r="D104" s="24" t="n">
        <v>1.42857142857143</v>
      </c>
    </row>
    <row r="105">
      <c r="A105" t="s">
        <v>636</v>
      </c>
      <c r="B105" t="s">
        <v>30</v>
      </c>
      <c r="C105" s="24" t="n">
        <v>0.328392200631482</v>
      </c>
      <c r="D105" s="24" t="n">
        <v>1.42857142857143</v>
      </c>
    </row>
    <row r="106">
      <c r="A106" t="s">
        <v>642</v>
      </c>
      <c r="B106" t="s">
        <v>31</v>
      </c>
      <c r="C106" s="24" t="n">
        <v>-0.852002178811048</v>
      </c>
      <c r="D106" s="24" t="n">
        <v>1</v>
      </c>
    </row>
    <row r="107">
      <c r="A107" t="s">
        <v>647</v>
      </c>
      <c r="B107" t="s">
        <v>30</v>
      </c>
      <c r="C107" s="24" t="n">
        <v>0.230338906378135</v>
      </c>
      <c r="D107" s="24" t="n">
        <v>1.42857142857143</v>
      </c>
    </row>
    <row r="108">
      <c r="A108" t="s">
        <v>651</v>
      </c>
      <c r="B108" t="s">
        <v>31</v>
      </c>
      <c r="C108" s="24" t="n">
        <v>0.845115793971569</v>
      </c>
      <c r="D108" s="24" t="n">
        <v>1</v>
      </c>
    </row>
    <row r="109">
      <c r="A109" t="s">
        <v>654</v>
      </c>
      <c r="B109" t="s">
        <v>31</v>
      </c>
      <c r="C109" s="24" t="n">
        <v>2.63570784460917</v>
      </c>
      <c r="D109" s="24" t="n">
        <v>1</v>
      </c>
    </row>
    <row r="110">
      <c r="A110" t="s">
        <v>660</v>
      </c>
      <c r="B110" t="s">
        <v>30</v>
      </c>
      <c r="C110" s="24" t="n">
        <v>0.313532642467575</v>
      </c>
      <c r="D110" s="24" t="n">
        <v>1.42857142857143</v>
      </c>
    </row>
    <row r="111">
      <c r="A111" t="s">
        <v>660</v>
      </c>
      <c r="B111" t="s">
        <v>30</v>
      </c>
      <c r="C111" s="24" t="n">
        <v>0.127263579786924</v>
      </c>
      <c r="D111" s="24" t="n">
        <v>1.42857142857143</v>
      </c>
    </row>
    <row r="112">
      <c r="A112" t="s">
        <v>663</v>
      </c>
      <c r="B112" t="s">
        <v>31</v>
      </c>
      <c r="C112" s="24" t="n">
        <v>-0.789529904513605</v>
      </c>
      <c r="D112" s="24" t="n">
        <v>1</v>
      </c>
    </row>
    <row r="113">
      <c r="A113" t="s">
        <v>663</v>
      </c>
      <c r="B113" t="s">
        <v>31</v>
      </c>
      <c r="C113" s="24" t="n">
        <v>-0.13238609458493</v>
      </c>
      <c r="D113" s="24" t="n">
        <v>1</v>
      </c>
    </row>
    <row r="114">
      <c r="A114" t="s">
        <v>668</v>
      </c>
      <c r="B114" t="s">
        <v>31</v>
      </c>
      <c r="C114" s="24" t="n">
        <v>0.994320271628184</v>
      </c>
      <c r="D114" s="24" t="n">
        <v>1</v>
      </c>
    </row>
    <row r="115">
      <c r="A115" t="s">
        <v>671</v>
      </c>
      <c r="B115" t="s">
        <v>30</v>
      </c>
      <c r="C115" s="24" t="n">
        <v>1.88050368311929</v>
      </c>
      <c r="D115" s="24" t="n">
        <v>1.42857142857143</v>
      </c>
    </row>
    <row r="116">
      <c r="A116" t="s">
        <v>673</v>
      </c>
      <c r="B116" t="s">
        <v>31</v>
      </c>
      <c r="C116" s="24" t="n">
        <v>1.65204300164665</v>
      </c>
      <c r="D116" s="24" t="n">
        <v>1</v>
      </c>
    </row>
    <row r="117">
      <c r="A117" t="s">
        <v>676</v>
      </c>
      <c r="B117" t="s">
        <v>30</v>
      </c>
      <c r="C117" s="24" t="n">
        <v>2.51544654133869</v>
      </c>
      <c r="D117" s="24" t="n">
        <v>1.42857142857143</v>
      </c>
    </row>
    <row r="118">
      <c r="A118" t="s">
        <v>678</v>
      </c>
      <c r="B118" t="s">
        <v>30</v>
      </c>
      <c r="C118" s="24" t="n">
        <v>-0.427289271209041</v>
      </c>
      <c r="D118" s="24" t="n">
        <v>0.714285714285714</v>
      </c>
    </row>
    <row r="119">
      <c r="A119" t="s">
        <v>678</v>
      </c>
      <c r="B119" t="s">
        <v>30</v>
      </c>
      <c r="C119" s="24" t="n">
        <v>-0.649522437050132</v>
      </c>
      <c r="D119" s="24" t="n">
        <v>0.714285714285714</v>
      </c>
    </row>
    <row r="120">
      <c r="A120" t="s">
        <v>681</v>
      </c>
      <c r="B120" t="s">
        <v>30</v>
      </c>
      <c r="C120" s="24" t="n">
        <v>-0.326047838581664</v>
      </c>
      <c r="D120" s="24" t="n">
        <v>0.714285714285714</v>
      </c>
    </row>
    <row r="121">
      <c r="A121" t="s">
        <v>686</v>
      </c>
      <c r="B121" t="s">
        <v>31</v>
      </c>
      <c r="C121" s="24" t="n">
        <v>-1.10708998527978</v>
      </c>
      <c r="D121" s="24" t="n">
        <v>1</v>
      </c>
    </row>
    <row r="122">
      <c r="A122" t="s">
        <v>688</v>
      </c>
      <c r="B122" t="s">
        <v>31</v>
      </c>
      <c r="C122" s="24" t="n">
        <v>1.54787079745581</v>
      </c>
      <c r="D122" s="24" t="n">
        <v>1</v>
      </c>
    </row>
    <row r="123">
      <c r="A123" t="s">
        <v>691</v>
      </c>
      <c r="B123" t="s">
        <v>31</v>
      </c>
      <c r="C123" s="24" t="n">
        <v>-0.846172209180769</v>
      </c>
      <c r="D123" s="24" t="n">
        <v>1</v>
      </c>
    </row>
    <row r="124">
      <c r="A124" t="s">
        <v>694</v>
      </c>
      <c r="B124" t="s">
        <v>30</v>
      </c>
      <c r="C124" s="24" t="n">
        <v>-0.621154111978221</v>
      </c>
      <c r="D124" s="24" t="n">
        <v>0.714285714285714</v>
      </c>
    </row>
    <row r="125">
      <c r="A125" t="s">
        <v>694</v>
      </c>
      <c r="B125" t="s">
        <v>30</v>
      </c>
      <c r="C125" s="24" t="n">
        <v>-1.0299785980861</v>
      </c>
      <c r="D125" s="24" t="n">
        <v>0.714285714285714</v>
      </c>
    </row>
    <row r="126">
      <c r="A126" t="s">
        <v>697</v>
      </c>
      <c r="B126" t="s">
        <v>30</v>
      </c>
      <c r="C126" s="24" t="n">
        <v>1.27330156387754</v>
      </c>
      <c r="D126" s="24" t="n">
        <v>1.42857142857143</v>
      </c>
    </row>
    <row r="127">
      <c r="A127" t="s">
        <v>697</v>
      </c>
      <c r="B127" t="s">
        <v>30</v>
      </c>
      <c r="C127" s="24" t="n">
        <v>0.678358436434333</v>
      </c>
      <c r="D127" s="24" t="n">
        <v>1.42857142857143</v>
      </c>
    </row>
    <row r="128">
      <c r="A128" t="s">
        <v>700</v>
      </c>
      <c r="B128" t="s">
        <v>31</v>
      </c>
      <c r="C128" s="24" t="n">
        <v>0.0323241222550807</v>
      </c>
      <c r="D128" s="24" t="n">
        <v>1</v>
      </c>
    </row>
    <row r="129">
      <c r="A129" t="s">
        <v>739</v>
      </c>
      <c r="B129" t="s">
        <v>30</v>
      </c>
      <c r="C129" s="24" t="n">
        <v>-0.879701511671409</v>
      </c>
      <c r="D129" s="24" t="n">
        <v>0.714285714285714</v>
      </c>
    </row>
    <row r="130">
      <c r="A130" t="s">
        <v>703</v>
      </c>
      <c r="B130" t="s">
        <v>30</v>
      </c>
      <c r="C130" s="24" t="n">
        <v>-0.367856374169132</v>
      </c>
      <c r="D130" s="24" t="n">
        <v>0.714285714285714</v>
      </c>
    </row>
    <row r="131">
      <c r="A131" t="s">
        <v>705</v>
      </c>
      <c r="B131" t="s">
        <v>31</v>
      </c>
      <c r="C131" s="24" t="n">
        <v>2.00573434330052</v>
      </c>
      <c r="D131" s="24" t="n">
        <v>1</v>
      </c>
    </row>
    <row r="132">
      <c r="A132" t="s">
        <v>707</v>
      </c>
      <c r="B132" t="s">
        <v>31</v>
      </c>
      <c r="C132" s="24" t="n">
        <v>-0.871932703624831</v>
      </c>
      <c r="D132" s="24" t="n">
        <v>1</v>
      </c>
    </row>
    <row r="133">
      <c r="A133" t="s">
        <v>710</v>
      </c>
      <c r="B133" t="s">
        <v>30</v>
      </c>
      <c r="C133" s="24" t="n">
        <v>-1.13223436989403</v>
      </c>
      <c r="D133" s="24" t="n">
        <v>0.714285714285714</v>
      </c>
    </row>
    <row r="134">
      <c r="A134" t="s">
        <v>712</v>
      </c>
      <c r="B134" t="s">
        <v>30</v>
      </c>
      <c r="C134" s="24" t="n">
        <v>-0.383394871926213</v>
      </c>
      <c r="D134" s="24" t="n">
        <v>0.714285714285714</v>
      </c>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9" t="s">
        <v>958</v>
      </c>
    </row>
    <row r="3">
      <c r="A3" s="1" t="s">
        <v>959</v>
      </c>
    </row>
    <row r="4">
      <c r="A4" t="s">
        <v>749</v>
      </c>
      <c r="B4" t="s">
        <v>750</v>
      </c>
      <c r="C4" t="s">
        <v>751</v>
      </c>
      <c r="D4" t="s">
        <v>752</v>
      </c>
      <c r="E4" t="s">
        <v>753</v>
      </c>
      <c r="F4" t="s">
        <v>754</v>
      </c>
      <c r="G4" t="s">
        <v>755</v>
      </c>
      <c r="H4" t="s">
        <v>756</v>
      </c>
      <c r="I4" t="s">
        <v>757</v>
      </c>
      <c r="J4" t="s">
        <v>758</v>
      </c>
      <c r="K4" t="s">
        <v>759</v>
      </c>
      <c r="L4" t="s">
        <v>760</v>
      </c>
      <c r="M4" t="s">
        <v>39</v>
      </c>
      <c r="N4" t="s">
        <v>761</v>
      </c>
      <c r="O4" t="s">
        <v>762</v>
      </c>
      <c r="P4" t="s">
        <v>763</v>
      </c>
      <c r="Q4" t="s">
        <v>1</v>
      </c>
    </row>
    <row r="5">
      <c r="A5" t="s">
        <v>764</v>
      </c>
      <c r="B5" t="s">
        <v>765</v>
      </c>
      <c r="C5" s="25" t="n">
        <v>36.140350877193</v>
      </c>
      <c r="D5" s="25" t="n">
        <v>1.01622007441939</v>
      </c>
      <c r="E5" s="25" t="n">
        <v>35.5635081287303</v>
      </c>
      <c r="F5" t="n">
        <v>0.00000000000000000000000000000000000000000000000756982420280074</v>
      </c>
      <c r="G5" t="n">
        <v>73</v>
      </c>
      <c r="H5" t="s">
        <v>766</v>
      </c>
      <c r="I5" s="25" t="n">
        <v>36.140350877193</v>
      </c>
      <c r="J5" s="25" t="n">
        <v>34.1150271896036</v>
      </c>
      <c r="K5" s="25" t="n">
        <v>38.1656745647824</v>
      </c>
      <c r="L5" t="s">
        <v>960</v>
      </c>
      <c r="M5" t="s">
        <v>55</v>
      </c>
      <c r="N5" t="s">
        <v>773</v>
      </c>
      <c r="O5" t="s">
        <v>961</v>
      </c>
      <c r="P5" t="s">
        <v>770</v>
      </c>
      <c r="Q5"/>
    </row>
    <row r="6">
      <c r="A6" t="s">
        <v>764</v>
      </c>
      <c r="B6" t="s">
        <v>318</v>
      </c>
      <c r="C6" s="25" t="n">
        <v>0.0414673046251967</v>
      </c>
      <c r="D6" s="25" t="n">
        <v>1.64779599730788</v>
      </c>
      <c r="E6" s="25" t="n">
        <v>0.0251653145734938</v>
      </c>
      <c r="F6" t="n">
        <v>0.979991768825108</v>
      </c>
      <c r="G6" t="n">
        <v>73</v>
      </c>
      <c r="H6" t="s">
        <v>771</v>
      </c>
      <c r="I6" s="25" t="n">
        <v>0.0414673046251967</v>
      </c>
      <c r="J6" s="25" t="n">
        <v>-3.24258538206221</v>
      </c>
      <c r="K6" s="25" t="n">
        <v>3.3255199913126</v>
      </c>
      <c r="L6" t="s">
        <v>962</v>
      </c>
      <c r="M6" t="s">
        <v>197</v>
      </c>
      <c r="N6" t="s">
        <v>773</v>
      </c>
      <c r="O6" t="s">
        <v>961</v>
      </c>
      <c r="P6" t="s">
        <v>770</v>
      </c>
      <c r="Q6"/>
    </row>
    <row r="7">
      <c r="A7" t="s">
        <v>52</v>
      </c>
      <c r="B7" t="s">
        <v>765</v>
      </c>
      <c r="C7" s="25" t="n">
        <v>-4.36458333333333</v>
      </c>
      <c r="D7" s="25" t="n">
        <v>0.344209486254941</v>
      </c>
      <c r="E7" s="25" t="n">
        <v>-12.6800204748009</v>
      </c>
      <c r="F7" t="n">
        <v>0.0000000000000000000395461521683891</v>
      </c>
      <c r="G7" t="n">
        <v>73</v>
      </c>
      <c r="H7" t="s">
        <v>766</v>
      </c>
      <c r="I7" s="25" t="n">
        <v>-4.36458333333333</v>
      </c>
      <c r="J7" s="25" t="n">
        <v>-5.05059185014345</v>
      </c>
      <c r="K7" s="25" t="n">
        <v>-3.67857481652321</v>
      </c>
      <c r="L7" t="s">
        <v>963</v>
      </c>
      <c r="M7" t="s">
        <v>55</v>
      </c>
      <c r="N7" t="s">
        <v>773</v>
      </c>
      <c r="O7" t="s">
        <v>964</v>
      </c>
      <c r="P7" t="s">
        <v>770</v>
      </c>
      <c r="Q7"/>
    </row>
    <row r="8">
      <c r="A8" t="s">
        <v>52</v>
      </c>
      <c r="B8" t="s">
        <v>318</v>
      </c>
      <c r="C8" s="25" t="n">
        <v>-0.322916666666667</v>
      </c>
      <c r="D8" s="25" t="n">
        <v>0.509960281474483</v>
      </c>
      <c r="E8" s="25" t="n">
        <v>-0.633219249414868</v>
      </c>
      <c r="F8" t="n">
        <v>0.528569312751707</v>
      </c>
      <c r="G8" t="n">
        <v>73</v>
      </c>
      <c r="H8" t="s">
        <v>771</v>
      </c>
      <c r="I8" s="25" t="n">
        <v>-0.322916666666667</v>
      </c>
      <c r="J8" s="25" t="n">
        <v>-1.33926604196329</v>
      </c>
      <c r="K8" s="25" t="n">
        <v>0.693432708629959</v>
      </c>
      <c r="L8" t="s">
        <v>965</v>
      </c>
      <c r="M8" t="s">
        <v>810</v>
      </c>
      <c r="N8" t="s">
        <v>773</v>
      </c>
      <c r="O8" t="s">
        <v>964</v>
      </c>
      <c r="P8" t="s">
        <v>770</v>
      </c>
      <c r="Q8"/>
    </row>
    <row r="9">
      <c r="A9" t="s">
        <v>58</v>
      </c>
      <c r="B9" t="s">
        <v>765</v>
      </c>
      <c r="C9" s="25" t="n">
        <v>-3.93154761904762</v>
      </c>
      <c r="D9" s="25" t="n">
        <v>0.337077770439741</v>
      </c>
      <c r="E9" s="25" t="n">
        <v>-11.663621762772</v>
      </c>
      <c r="F9" t="n">
        <v>0.00000000000000000240948087392059</v>
      </c>
      <c r="G9" t="n">
        <v>73</v>
      </c>
      <c r="H9" t="s">
        <v>766</v>
      </c>
      <c r="I9" s="25" t="n">
        <v>-3.93154761904762</v>
      </c>
      <c r="J9" s="25" t="n">
        <v>-4.60334264673538</v>
      </c>
      <c r="K9" s="25" t="n">
        <v>-3.25975259135985</v>
      </c>
      <c r="L9" t="s">
        <v>966</v>
      </c>
      <c r="M9" t="s">
        <v>55</v>
      </c>
      <c r="N9" t="s">
        <v>773</v>
      </c>
      <c r="O9" t="s">
        <v>964</v>
      </c>
      <c r="P9" t="s">
        <v>770</v>
      </c>
      <c r="Q9"/>
    </row>
    <row r="10">
      <c r="A10" t="s">
        <v>58</v>
      </c>
      <c r="B10" t="s">
        <v>318</v>
      </c>
      <c r="C10" s="25" t="n">
        <v>-0.318452380952381</v>
      </c>
      <c r="D10" s="25" t="n">
        <v>0.507277516330537</v>
      </c>
      <c r="E10" s="25" t="n">
        <v>-0.627767584212978</v>
      </c>
      <c r="F10" t="n">
        <v>0.532115125307484</v>
      </c>
      <c r="G10" t="n">
        <v>73</v>
      </c>
      <c r="H10" t="s">
        <v>771</v>
      </c>
      <c r="I10" s="25" t="n">
        <v>-0.318452380952381</v>
      </c>
      <c r="J10" s="25" t="n">
        <v>-1.32945501302768</v>
      </c>
      <c r="K10" s="25" t="n">
        <v>0.692550251122923</v>
      </c>
      <c r="L10" t="s">
        <v>967</v>
      </c>
      <c r="M10" t="s">
        <v>810</v>
      </c>
      <c r="N10" t="s">
        <v>773</v>
      </c>
      <c r="O10" t="s">
        <v>964</v>
      </c>
      <c r="P10" t="s">
        <v>770</v>
      </c>
      <c r="Q10"/>
    </row>
    <row r="11">
      <c r="A11" t="s">
        <v>62</v>
      </c>
      <c r="B11" t="s">
        <v>765</v>
      </c>
      <c r="C11" s="25" t="n">
        <v>-0.866071428571429</v>
      </c>
      <c r="D11" s="25" t="n">
        <v>0.069810268679782</v>
      </c>
      <c r="E11" s="25" t="n">
        <v>-12.4060749936958</v>
      </c>
      <c r="F11" t="n">
        <v>0.000000000000000000118292404046226</v>
      </c>
      <c r="G11" t="n">
        <v>73</v>
      </c>
      <c r="H11" t="s">
        <v>766</v>
      </c>
      <c r="I11" s="25" t="n">
        <v>-0.866071428571429</v>
      </c>
      <c r="J11" s="25" t="n">
        <v>-1.00520309340783</v>
      </c>
      <c r="K11" s="25" t="n">
        <v>-0.726939763735025</v>
      </c>
      <c r="L11" t="s">
        <v>968</v>
      </c>
      <c r="M11" t="s">
        <v>55</v>
      </c>
      <c r="N11" t="s">
        <v>773</v>
      </c>
      <c r="O11" t="s">
        <v>964</v>
      </c>
      <c r="P11" t="s">
        <v>770</v>
      </c>
      <c r="Q11"/>
    </row>
    <row r="12">
      <c r="A12" t="s">
        <v>62</v>
      </c>
      <c r="B12" t="s">
        <v>318</v>
      </c>
      <c r="C12" s="25" t="n">
        <v>-0.00892857142857145</v>
      </c>
      <c r="D12" s="25" t="n">
        <v>0.100615081399919</v>
      </c>
      <c r="E12" s="25" t="n">
        <v>-0.0887398917174518</v>
      </c>
      <c r="F12" t="n">
        <v>0.929531631656878</v>
      </c>
      <c r="G12" t="n">
        <v>73</v>
      </c>
      <c r="H12" t="s">
        <v>771</v>
      </c>
      <c r="I12" s="25" t="n">
        <v>-0.00892857142857145</v>
      </c>
      <c r="J12" s="25" t="n">
        <v>-0.209454139479785</v>
      </c>
      <c r="K12" s="25" t="n">
        <v>0.191596996622642</v>
      </c>
      <c r="L12" t="s">
        <v>969</v>
      </c>
      <c r="M12" t="s">
        <v>970</v>
      </c>
      <c r="N12" t="s">
        <v>773</v>
      </c>
      <c r="O12" t="s">
        <v>964</v>
      </c>
      <c r="P12" t="s">
        <v>770</v>
      </c>
      <c r="Q12"/>
    </row>
    <row r="13">
      <c r="A13" t="s">
        <v>68</v>
      </c>
      <c r="B13" t="s">
        <v>765</v>
      </c>
      <c r="C13" s="25" t="n">
        <v>1.14207731915459</v>
      </c>
      <c r="D13" s="25" t="n">
        <v>0.0882526099048058</v>
      </c>
      <c r="E13" s="25" t="n">
        <v>12.9410033356124</v>
      </c>
      <c r="F13" t="n">
        <v>0.0000000000000000000140428063759361</v>
      </c>
      <c r="G13" t="n">
        <v>73</v>
      </c>
      <c r="H13" t="s">
        <v>766</v>
      </c>
      <c r="I13" s="25" t="n">
        <v>1.14207731915459</v>
      </c>
      <c r="J13" s="25" t="n">
        <v>0.966190121262033</v>
      </c>
      <c r="K13" s="25" t="n">
        <v>1.31796451704715</v>
      </c>
      <c r="L13" t="s">
        <v>971</v>
      </c>
      <c r="M13" t="s">
        <v>55</v>
      </c>
      <c r="N13" t="s">
        <v>773</v>
      </c>
      <c r="O13" t="s">
        <v>964</v>
      </c>
      <c r="P13" t="s">
        <v>770</v>
      </c>
      <c r="Q13"/>
    </row>
    <row r="14">
      <c r="A14" t="s">
        <v>68</v>
      </c>
      <c r="B14" t="s">
        <v>318</v>
      </c>
      <c r="C14" s="25" t="n">
        <v>0.0834176707571004</v>
      </c>
      <c r="D14" s="25" t="n">
        <v>0.127546426752165</v>
      </c>
      <c r="E14" s="25" t="n">
        <v>0.654018092715282</v>
      </c>
      <c r="F14" t="n">
        <v>0.515155234427658</v>
      </c>
      <c r="G14" t="n">
        <v>73</v>
      </c>
      <c r="H14" t="s">
        <v>771</v>
      </c>
      <c r="I14" s="25" t="n">
        <v>0.0834176707571004</v>
      </c>
      <c r="J14" s="25" t="n">
        <v>-0.170781991177485</v>
      </c>
      <c r="K14" s="25" t="n">
        <v>0.337617332691686</v>
      </c>
      <c r="L14" t="s">
        <v>972</v>
      </c>
      <c r="M14" t="s">
        <v>886</v>
      </c>
      <c r="N14" t="s">
        <v>773</v>
      </c>
      <c r="O14" t="s">
        <v>964</v>
      </c>
      <c r="P14" t="s">
        <v>770</v>
      </c>
      <c r="Q14"/>
    </row>
    <row r="15">
      <c r="A15" t="s">
        <v>73</v>
      </c>
      <c r="B15" t="s">
        <v>765</v>
      </c>
      <c r="C15" s="25" t="n">
        <v>-0.0208890498902956</v>
      </c>
      <c r="D15" s="25" t="n">
        <v>0.0115610306963618</v>
      </c>
      <c r="E15" s="25" t="n">
        <v>-1.8068501363697</v>
      </c>
      <c r="F15" t="n">
        <v>0.0749064860253274</v>
      </c>
      <c r="G15" t="n">
        <v>73</v>
      </c>
      <c r="H15" t="s">
        <v>766</v>
      </c>
      <c r="I15" s="25" t="n">
        <v>-0.0208890498902956</v>
      </c>
      <c r="J15" s="25" t="n">
        <v>-0.043930150840469</v>
      </c>
      <c r="K15" s="25" t="n">
        <v>0.00215205105987785</v>
      </c>
      <c r="L15" t="s">
        <v>973</v>
      </c>
      <c r="M15" t="s">
        <v>371</v>
      </c>
      <c r="N15" t="s">
        <v>773</v>
      </c>
      <c r="O15" t="s">
        <v>964</v>
      </c>
      <c r="P15" t="s">
        <v>770</v>
      </c>
      <c r="Q15"/>
    </row>
    <row r="16">
      <c r="A16" t="s">
        <v>73</v>
      </c>
      <c r="B16" t="s">
        <v>318</v>
      </c>
      <c r="C16" s="25" t="n">
        <v>-0.00449214399276681</v>
      </c>
      <c r="D16" s="25" t="n">
        <v>0.0149721783960774</v>
      </c>
      <c r="E16" s="25" t="n">
        <v>-0.300032759023477</v>
      </c>
      <c r="F16" t="n">
        <v>0.765004881466271</v>
      </c>
      <c r="G16" t="n">
        <v>73</v>
      </c>
      <c r="H16" t="s">
        <v>771</v>
      </c>
      <c r="I16" s="25" t="n">
        <v>-0.00449214399276681</v>
      </c>
      <c r="J16" s="25" t="n">
        <v>-0.0343316525044593</v>
      </c>
      <c r="K16" s="25" t="n">
        <v>0.0253473645189257</v>
      </c>
      <c r="L16" t="s">
        <v>974</v>
      </c>
      <c r="M16" t="s">
        <v>153</v>
      </c>
      <c r="N16" t="s">
        <v>773</v>
      </c>
      <c r="O16" t="s">
        <v>964</v>
      </c>
      <c r="P16" t="s">
        <v>770</v>
      </c>
      <c r="Q16"/>
    </row>
    <row r="17">
      <c r="A17" t="s">
        <v>78</v>
      </c>
      <c r="B17" t="s">
        <v>765</v>
      </c>
      <c r="C17" s="25" t="n">
        <v>525.464285714286</v>
      </c>
      <c r="D17" s="25" t="n">
        <v>3.82003585682553</v>
      </c>
      <c r="E17" s="25" t="n">
        <v>137.554804564308</v>
      </c>
      <c r="F17" t="n">
        <v>0.00000000000000000000000000000000000000000000000000000000000000000000000000000000000000000647320174352768</v>
      </c>
      <c r="G17" t="n">
        <v>73</v>
      </c>
      <c r="H17" t="s">
        <v>766</v>
      </c>
      <c r="I17" s="25" t="n">
        <v>525.464285714286</v>
      </c>
      <c r="J17" s="25" t="n">
        <v>517.850965230836</v>
      </c>
      <c r="K17" s="25" t="n">
        <v>533.077606197735</v>
      </c>
      <c r="L17" t="s">
        <v>975</v>
      </c>
      <c r="M17" t="s">
        <v>55</v>
      </c>
      <c r="N17" t="s">
        <v>773</v>
      </c>
      <c r="O17" t="s">
        <v>964</v>
      </c>
      <c r="P17" t="s">
        <v>770</v>
      </c>
      <c r="Q17"/>
    </row>
    <row r="18">
      <c r="A18" t="s">
        <v>78</v>
      </c>
      <c r="B18" t="s">
        <v>318</v>
      </c>
      <c r="C18" s="25" t="n">
        <v>-0.416666666666674</v>
      </c>
      <c r="D18" s="25" t="n">
        <v>5.10442399612587</v>
      </c>
      <c r="E18" s="25" t="n">
        <v>-0.0816285377121716</v>
      </c>
      <c r="F18" t="n">
        <v>0.935165503635593</v>
      </c>
      <c r="G18" t="n">
        <v>73</v>
      </c>
      <c r="H18" t="s">
        <v>771</v>
      </c>
      <c r="I18" s="25" t="n">
        <v>-0.416666666666674</v>
      </c>
      <c r="J18" s="25" t="n">
        <v>-10.5897690202687</v>
      </c>
      <c r="K18" s="25" t="n">
        <v>9.75643568693539</v>
      </c>
      <c r="L18" t="s">
        <v>976</v>
      </c>
      <c r="M18" t="s">
        <v>140</v>
      </c>
      <c r="N18" t="s">
        <v>773</v>
      </c>
      <c r="O18" t="s">
        <v>964</v>
      </c>
      <c r="P18" t="s">
        <v>770</v>
      </c>
      <c r="Q18"/>
    </row>
    <row r="19">
      <c r="A19" t="s">
        <v>83</v>
      </c>
      <c r="B19" t="s">
        <v>765</v>
      </c>
      <c r="C19" s="25" t="n">
        <v>43.6294936708861</v>
      </c>
      <c r="D19" s="25" t="n">
        <v>0.244432058107273</v>
      </c>
      <c r="E19" s="25" t="n">
        <v>178.493336793567</v>
      </c>
      <c r="F19" t="n">
        <v>0.000000000000000000000000000000000000000000000000000000000000000000000000000000000000000000000000483209388361214</v>
      </c>
      <c r="G19" t="n">
        <v>72</v>
      </c>
      <c r="H19" t="s">
        <v>766</v>
      </c>
      <c r="I19" s="25" t="n">
        <v>43.6294936708861</v>
      </c>
      <c r="J19" s="25" t="n">
        <v>43.1422272685251</v>
      </c>
      <c r="K19" s="25" t="n">
        <v>44.1167600732471</v>
      </c>
      <c r="L19" t="s">
        <v>977</v>
      </c>
      <c r="M19" t="s">
        <v>55</v>
      </c>
      <c r="N19" t="s">
        <v>773</v>
      </c>
      <c r="O19" t="s">
        <v>964</v>
      </c>
      <c r="P19" t="s">
        <v>770</v>
      </c>
      <c r="Q19"/>
    </row>
    <row r="20">
      <c r="A20" t="s">
        <v>83</v>
      </c>
      <c r="B20" t="s">
        <v>318</v>
      </c>
      <c r="C20" s="25" t="n">
        <v>-0.261688792837295</v>
      </c>
      <c r="D20" s="25" t="n">
        <v>0.345555142033051</v>
      </c>
      <c r="E20" s="25" t="n">
        <v>-0.75729966365908</v>
      </c>
      <c r="F20" t="n">
        <v>0.451341648207462</v>
      </c>
      <c r="G20" t="n">
        <v>72</v>
      </c>
      <c r="H20" t="s">
        <v>771</v>
      </c>
      <c r="I20" s="25" t="n">
        <v>-0.261688792837295</v>
      </c>
      <c r="J20" s="25" t="n">
        <v>-0.95054037875285</v>
      </c>
      <c r="K20" s="25" t="n">
        <v>0.427162793078261</v>
      </c>
      <c r="L20" t="s">
        <v>978</v>
      </c>
      <c r="M20" t="s">
        <v>979</v>
      </c>
      <c r="N20" t="s">
        <v>773</v>
      </c>
      <c r="O20" t="s">
        <v>964</v>
      </c>
      <c r="P20" t="s">
        <v>770</v>
      </c>
      <c r="Q20"/>
    </row>
    <row r="21">
      <c r="A21" t="s">
        <v>90</v>
      </c>
      <c r="B21"/>
      <c r="C21" s="25"/>
      <c r="D21" s="25"/>
      <c r="E21" s="25"/>
      <c r="F21"/>
      <c r="G21"/>
      <c r="H21"/>
      <c r="I21" s="25"/>
      <c r="J21" s="25"/>
      <c r="K21" s="25"/>
      <c r="L21"/>
      <c r="M21" t="s">
        <v>94</v>
      </c>
      <c r="N21"/>
      <c r="O21" t="s">
        <v>782</v>
      </c>
      <c r="P21"/>
      <c r="Q21"/>
    </row>
    <row r="22">
      <c r="A22" t="s">
        <v>23</v>
      </c>
      <c r="B22" t="s">
        <v>765</v>
      </c>
      <c r="C22" s="25" t="n">
        <v>0.73288750920946</v>
      </c>
      <c r="D22" s="25" t="n">
        <v>0.355615308817537</v>
      </c>
      <c r="E22" s="25" t="n">
        <v>2.06089977297771</v>
      </c>
      <c r="F22" t="n">
        <v>0.0428757063332463</v>
      </c>
      <c r="G22" t="n">
        <v>73</v>
      </c>
      <c r="H22" t="s">
        <v>783</v>
      </c>
      <c r="I22" s="25" t="n">
        <v>2.08108108108108</v>
      </c>
      <c r="J22" s="25" t="n">
        <v>1.02444112584542</v>
      </c>
      <c r="K22" s="25" t="n">
        <v>4.22757185041699</v>
      </c>
      <c r="L22" t="s">
        <v>980</v>
      </c>
      <c r="M22" t="s">
        <v>836</v>
      </c>
      <c r="N22" t="s">
        <v>773</v>
      </c>
      <c r="O22" t="s">
        <v>981</v>
      </c>
      <c r="P22" t="s">
        <v>770</v>
      </c>
      <c r="Q22"/>
    </row>
    <row r="23">
      <c r="A23" t="s">
        <v>23</v>
      </c>
      <c r="B23" t="s">
        <v>318</v>
      </c>
      <c r="C23" s="25" t="n">
        <v>-0.427505859658278</v>
      </c>
      <c r="D23" s="25" t="n">
        <v>0.508327955291099</v>
      </c>
      <c r="E23" s="25" t="n">
        <v>-0.841004031370775</v>
      </c>
      <c r="F23" t="n">
        <v>0.403092085446846</v>
      </c>
      <c r="G23" t="n">
        <v>73</v>
      </c>
      <c r="H23" t="s">
        <v>787</v>
      </c>
      <c r="I23" s="25" t="n">
        <v>0.652133580705009</v>
      </c>
      <c r="J23" s="25" t="n">
        <v>0.23678516788307</v>
      </c>
      <c r="K23" s="25" t="n">
        <v>1.7960508712824</v>
      </c>
      <c r="L23" t="s">
        <v>982</v>
      </c>
      <c r="M23" t="s">
        <v>331</v>
      </c>
      <c r="N23" t="s">
        <v>773</v>
      </c>
      <c r="O23" t="s">
        <v>981</v>
      </c>
      <c r="P23" t="s">
        <v>770</v>
      </c>
      <c r="Q23"/>
    </row>
    <row r="24">
      <c r="A24" t="s">
        <v>788</v>
      </c>
      <c r="B24" t="s">
        <v>765</v>
      </c>
      <c r="C24" s="25" t="n">
        <v>-1.44411393200872</v>
      </c>
      <c r="D24" s="25" t="n">
        <v>0.450380080183925</v>
      </c>
      <c r="E24" s="25" t="n">
        <v>-3.20643384454076</v>
      </c>
      <c r="F24" t="n">
        <v>0.0020376054653248</v>
      </c>
      <c r="G24" t="n">
        <v>69</v>
      </c>
      <c r="H24" t="s">
        <v>783</v>
      </c>
      <c r="I24" s="25" t="n">
        <v>0.235955056179775</v>
      </c>
      <c r="J24" s="25" t="n">
        <v>0.0960777414915815</v>
      </c>
      <c r="K24" s="25" t="n">
        <v>0.579476449721492</v>
      </c>
      <c r="L24" t="s">
        <v>983</v>
      </c>
      <c r="M24" t="s">
        <v>308</v>
      </c>
      <c r="N24" t="s">
        <v>773</v>
      </c>
      <c r="O24" t="s">
        <v>984</v>
      </c>
      <c r="P24" t="s">
        <v>770</v>
      </c>
      <c r="Q24"/>
    </row>
    <row r="25">
      <c r="A25" t="s">
        <v>788</v>
      </c>
      <c r="B25" t="s">
        <v>318</v>
      </c>
      <c r="C25" s="25" t="n">
        <v>-0.789478289498378</v>
      </c>
      <c r="D25" s="25" t="n">
        <v>0.77259501887297</v>
      </c>
      <c r="E25" s="25" t="n">
        <v>-1.02185267858708</v>
      </c>
      <c r="F25" t="n">
        <v>0.310420034610875</v>
      </c>
      <c r="G25" t="n">
        <v>69</v>
      </c>
      <c r="H25" t="s">
        <v>787</v>
      </c>
      <c r="I25" s="25" t="n">
        <v>0.454081632653061</v>
      </c>
      <c r="J25" s="25" t="n">
        <v>0.0972215212357117</v>
      </c>
      <c r="K25" s="25" t="n">
        <v>2.12082804807143</v>
      </c>
      <c r="L25" t="s">
        <v>985</v>
      </c>
      <c r="M25" t="s">
        <v>986</v>
      </c>
      <c r="N25" t="s">
        <v>773</v>
      </c>
      <c r="O25" t="s">
        <v>984</v>
      </c>
      <c r="P25" t="s">
        <v>770</v>
      </c>
      <c r="Q25"/>
    </row>
    <row r="26">
      <c r="A26" t="s">
        <v>791</v>
      </c>
      <c r="B26"/>
      <c r="C26" s="25"/>
      <c r="D26" s="25"/>
      <c r="E26" s="25"/>
      <c r="F26"/>
      <c r="G26"/>
      <c r="H26"/>
      <c r="I26" s="25"/>
      <c r="J26" s="25"/>
      <c r="K26" s="25"/>
      <c r="L26"/>
      <c r="M26" t="s">
        <v>94</v>
      </c>
      <c r="N26"/>
      <c r="O26" t="s">
        <v>792</v>
      </c>
      <c r="P26"/>
      <c r="Q26"/>
    </row>
    <row r="28">
      <c r="A28" s="1" t="s">
        <v>987</v>
      </c>
    </row>
    <row r="29">
      <c r="A29" t="s">
        <v>749</v>
      </c>
      <c r="B29" t="s">
        <v>750</v>
      </c>
      <c r="C29" t="s">
        <v>751</v>
      </c>
      <c r="D29" t="s">
        <v>752</v>
      </c>
      <c r="E29" t="s">
        <v>753</v>
      </c>
      <c r="F29" t="s">
        <v>754</v>
      </c>
      <c r="G29" t="s">
        <v>755</v>
      </c>
      <c r="H29" t="s">
        <v>756</v>
      </c>
      <c r="I29" t="s">
        <v>757</v>
      </c>
      <c r="J29" t="s">
        <v>758</v>
      </c>
      <c r="K29" t="s">
        <v>759</v>
      </c>
      <c r="L29" t="s">
        <v>760</v>
      </c>
      <c r="M29" t="s">
        <v>39</v>
      </c>
      <c r="N29" t="s">
        <v>761</v>
      </c>
      <c r="O29" t="s">
        <v>762</v>
      </c>
      <c r="P29" t="s">
        <v>763</v>
      </c>
      <c r="Q29" t="s">
        <v>1</v>
      </c>
    </row>
    <row r="30">
      <c r="A30" t="s">
        <v>794</v>
      </c>
      <c r="B30" t="s">
        <v>765</v>
      </c>
      <c r="C30" s="25" t="n">
        <v>6.47719298245614</v>
      </c>
      <c r="D30" s="25" t="n">
        <v>0.0259965445721496</v>
      </c>
      <c r="E30" s="25" t="n">
        <v>249.155920106214</v>
      </c>
      <c r="F30" t="n">
        <v>0.00000000000000000000000000000000000000000000000000000000000000000000000000000000000000000000000000000000000104543302927339</v>
      </c>
      <c r="G30" t="n">
        <v>73</v>
      </c>
      <c r="H30" t="s">
        <v>766</v>
      </c>
      <c r="I30" s="25" t="n">
        <v>6.47719298245614</v>
      </c>
      <c r="J30" s="25" t="n">
        <v>6.42538194384078</v>
      </c>
      <c r="K30" s="25" t="n">
        <v>6.5290040210715</v>
      </c>
      <c r="L30" t="s">
        <v>988</v>
      </c>
      <c r="M30" t="s">
        <v>55</v>
      </c>
      <c r="N30" t="s">
        <v>773</v>
      </c>
      <c r="O30" t="s">
        <v>961</v>
      </c>
      <c r="P30" t="s">
        <v>770</v>
      </c>
      <c r="Q30"/>
    </row>
    <row r="31">
      <c r="A31" t="s">
        <v>794</v>
      </c>
      <c r="B31" t="s">
        <v>318</v>
      </c>
      <c r="C31" s="25" t="n">
        <v>-0.0196172248803824</v>
      </c>
      <c r="D31" s="25" t="n">
        <v>0.0358033648663414</v>
      </c>
      <c r="E31" s="25" t="n">
        <v>-0.547915676462702</v>
      </c>
      <c r="F31" t="n">
        <v>0.585421360604334</v>
      </c>
      <c r="G31" t="n">
        <v>73</v>
      </c>
      <c r="H31" t="s">
        <v>771</v>
      </c>
      <c r="I31" s="25" t="n">
        <v>-0.0196172248803824</v>
      </c>
      <c r="J31" s="25" t="n">
        <v>-0.0909732281561865</v>
      </c>
      <c r="K31" s="25" t="n">
        <v>0.0517387783954218</v>
      </c>
      <c r="L31" t="s">
        <v>989</v>
      </c>
      <c r="M31" t="s">
        <v>990</v>
      </c>
      <c r="N31" t="s">
        <v>773</v>
      </c>
      <c r="O31" t="s">
        <v>961</v>
      </c>
      <c r="P31" t="s">
        <v>770</v>
      </c>
      <c r="Q31"/>
    </row>
    <row r="32">
      <c r="A32" t="s">
        <v>125</v>
      </c>
      <c r="B32" t="s">
        <v>765</v>
      </c>
      <c r="C32" s="25" t="n">
        <v>66.8571428571429</v>
      </c>
      <c r="D32" s="25" t="n">
        <v>4.62328755007794</v>
      </c>
      <c r="E32" s="25" t="n">
        <v>14.4609527599069</v>
      </c>
      <c r="F32" t="n">
        <v>0.0000000000000000000000400227662171197</v>
      </c>
      <c r="G32" t="n">
        <v>73</v>
      </c>
      <c r="H32" t="s">
        <v>766</v>
      </c>
      <c r="I32" s="25" t="n">
        <v>66.8571428571429</v>
      </c>
      <c r="J32" s="25" t="n">
        <v>57.6429440576752</v>
      </c>
      <c r="K32" s="25" t="n">
        <v>76.0713416566105</v>
      </c>
      <c r="L32" t="s">
        <v>991</v>
      </c>
      <c r="M32" t="s">
        <v>55</v>
      </c>
      <c r="N32" t="s">
        <v>773</v>
      </c>
      <c r="O32" t="s">
        <v>964</v>
      </c>
      <c r="P32" t="s">
        <v>770</v>
      </c>
      <c r="Q32"/>
    </row>
    <row r="33">
      <c r="A33" t="s">
        <v>125</v>
      </c>
      <c r="B33" t="s">
        <v>318</v>
      </c>
      <c r="C33" s="25" t="n">
        <v>3.80952380952381</v>
      </c>
      <c r="D33" s="25" t="n">
        <v>6.95902979570679</v>
      </c>
      <c r="E33" s="25" t="n">
        <v>0.547421683964337</v>
      </c>
      <c r="F33" t="n">
        <v>0.585758869208915</v>
      </c>
      <c r="G33" t="n">
        <v>73</v>
      </c>
      <c r="H33" t="s">
        <v>771</v>
      </c>
      <c r="I33" s="25" t="n">
        <v>3.80952380952381</v>
      </c>
      <c r="J33" s="25" t="n">
        <v>-10.0598025723017</v>
      </c>
      <c r="K33" s="25" t="n">
        <v>17.6788501913493</v>
      </c>
      <c r="L33" t="s">
        <v>992</v>
      </c>
      <c r="M33" t="s">
        <v>990</v>
      </c>
      <c r="N33" t="s">
        <v>773</v>
      </c>
      <c r="O33" t="s">
        <v>964</v>
      </c>
      <c r="P33" t="s">
        <v>770</v>
      </c>
      <c r="Q33"/>
    </row>
    <row r="34">
      <c r="A34" t="s">
        <v>797</v>
      </c>
      <c r="B34"/>
      <c r="C34" s="25"/>
      <c r="D34" s="25"/>
      <c r="E34" s="25"/>
      <c r="F34"/>
      <c r="G34"/>
      <c r="H34"/>
      <c r="I34" s="25"/>
      <c r="J34" s="25"/>
      <c r="K34" s="25"/>
      <c r="L34"/>
      <c r="M34" t="s">
        <v>94</v>
      </c>
      <c r="N34"/>
      <c r="O34" t="s">
        <v>792</v>
      </c>
      <c r="P34"/>
      <c r="Q34"/>
    </row>
    <row r="36">
      <c r="A36" s="1" t="s">
        <v>993</v>
      </c>
    </row>
    <row r="37">
      <c r="A37" t="s">
        <v>749</v>
      </c>
      <c r="B37" t="s">
        <v>750</v>
      </c>
      <c r="C37" t="s">
        <v>751</v>
      </c>
      <c r="D37" t="s">
        <v>752</v>
      </c>
      <c r="E37" t="s">
        <v>753</v>
      </c>
      <c r="F37" t="s">
        <v>754</v>
      </c>
      <c r="G37" t="s">
        <v>755</v>
      </c>
      <c r="H37" t="s">
        <v>756</v>
      </c>
      <c r="I37" t="s">
        <v>757</v>
      </c>
      <c r="J37" t="s">
        <v>758</v>
      </c>
      <c r="K37" t="s">
        <v>759</v>
      </c>
      <c r="L37" t="s">
        <v>760</v>
      </c>
      <c r="M37" t="s">
        <v>39</v>
      </c>
      <c r="N37" t="s">
        <v>761</v>
      </c>
      <c r="O37" t="s">
        <v>762</v>
      </c>
      <c r="P37" t="s">
        <v>763</v>
      </c>
      <c r="Q37" t="s">
        <v>1</v>
      </c>
    </row>
    <row r="38">
      <c r="A38" t="s">
        <v>137</v>
      </c>
      <c r="B38" t="s">
        <v>765</v>
      </c>
      <c r="C38" s="25" t="n">
        <v>181.636363636364</v>
      </c>
      <c r="D38" s="25" t="n">
        <v>2.00804539934138</v>
      </c>
      <c r="E38" s="25" t="n">
        <v>90.4543112899431</v>
      </c>
      <c r="F38" t="n">
        <v>0.00000000000000000000000000000000000000000000000000000000000000000000000918533112566112</v>
      </c>
      <c r="G38" t="n">
        <v>67</v>
      </c>
      <c r="H38" t="s">
        <v>766</v>
      </c>
      <c r="I38" s="25" t="n">
        <v>181.636363636364</v>
      </c>
      <c r="J38" s="25" t="n">
        <v>177.628288244016</v>
      </c>
      <c r="K38" s="25" t="n">
        <v>185.644439028711</v>
      </c>
      <c r="L38" t="s">
        <v>994</v>
      </c>
      <c r="M38" t="s">
        <v>55</v>
      </c>
      <c r="N38" t="s">
        <v>773</v>
      </c>
      <c r="O38" t="s">
        <v>964</v>
      </c>
      <c r="P38" t="s">
        <v>770</v>
      </c>
      <c r="Q38"/>
    </row>
    <row r="39">
      <c r="A39" t="s">
        <v>137</v>
      </c>
      <c r="B39" t="s">
        <v>318</v>
      </c>
      <c r="C39" s="25" t="n">
        <v>-4.32057416267943</v>
      </c>
      <c r="D39" s="25" t="n">
        <v>3.25754528690801</v>
      </c>
      <c r="E39" s="25" t="n">
        <v>-1.3263281956643</v>
      </c>
      <c r="F39" t="n">
        <v>0.1892345354189</v>
      </c>
      <c r="G39" t="n">
        <v>67</v>
      </c>
      <c r="H39" t="s">
        <v>771</v>
      </c>
      <c r="I39" s="25" t="n">
        <v>-4.32057416267943</v>
      </c>
      <c r="J39" s="25" t="n">
        <v>-10.8226617689635</v>
      </c>
      <c r="K39" s="25" t="n">
        <v>2.18151344360468</v>
      </c>
      <c r="L39" t="s">
        <v>995</v>
      </c>
      <c r="M39" t="s">
        <v>996</v>
      </c>
      <c r="N39" t="s">
        <v>773</v>
      </c>
      <c r="O39" t="s">
        <v>964</v>
      </c>
      <c r="P39" t="s">
        <v>770</v>
      </c>
      <c r="Q39"/>
    </row>
    <row r="40">
      <c r="A40" t="s">
        <v>145</v>
      </c>
      <c r="B40" t="s">
        <v>765</v>
      </c>
      <c r="C40" s="25" t="n">
        <v>-0.0681818181818182</v>
      </c>
      <c r="D40" s="25" t="n">
        <v>0.0747061847737553</v>
      </c>
      <c r="E40" s="25" t="n">
        <v>-0.912666312545663</v>
      </c>
      <c r="F40" t="n">
        <v>0.364690502803862</v>
      </c>
      <c r="G40" t="n">
        <v>67</v>
      </c>
      <c r="H40" t="s">
        <v>766</v>
      </c>
      <c r="I40" s="25" t="n">
        <v>-0.0681818181818182</v>
      </c>
      <c r="J40" s="25" t="n">
        <v>-0.217295987087591</v>
      </c>
      <c r="K40" s="25" t="n">
        <v>0.0809323507239548</v>
      </c>
      <c r="L40" t="s">
        <v>997</v>
      </c>
      <c r="M40" t="s">
        <v>998</v>
      </c>
      <c r="N40" t="s">
        <v>773</v>
      </c>
      <c r="O40" t="s">
        <v>964</v>
      </c>
      <c r="P40" t="s">
        <v>770</v>
      </c>
      <c r="Q40"/>
    </row>
    <row r="41">
      <c r="A41" t="s">
        <v>145</v>
      </c>
      <c r="B41" t="s">
        <v>318</v>
      </c>
      <c r="C41" s="25" t="n">
        <v>-0.221291866028708</v>
      </c>
      <c r="D41" s="25" t="n">
        <v>0.0973749197560896</v>
      </c>
      <c r="E41" s="25" t="n">
        <v>-2.27257559321243</v>
      </c>
      <c r="F41" t="n">
        <v>0.0262654326459295</v>
      </c>
      <c r="G41" t="n">
        <v>67</v>
      </c>
      <c r="H41" t="s">
        <v>771</v>
      </c>
      <c r="I41" s="25" t="n">
        <v>-0.221291866028708</v>
      </c>
      <c r="J41" s="25" t="n">
        <v>-0.415653019334406</v>
      </c>
      <c r="K41" s="25" t="n">
        <v>-0.0269307127230103</v>
      </c>
      <c r="L41" t="s">
        <v>999</v>
      </c>
      <c r="M41" t="s">
        <v>81</v>
      </c>
      <c r="N41" t="s">
        <v>773</v>
      </c>
      <c r="O41" t="s">
        <v>964</v>
      </c>
      <c r="P41" t="s">
        <v>770</v>
      </c>
      <c r="Q41"/>
    </row>
    <row r="42">
      <c r="A42" t="s">
        <v>150</v>
      </c>
      <c r="B42" t="s">
        <v>765</v>
      </c>
      <c r="C42" s="25" t="n">
        <v>-0.24025974025974</v>
      </c>
      <c r="D42" s="25" t="n">
        <v>0.0298196946594184</v>
      </c>
      <c r="E42" s="25" t="n">
        <v>-8.0570825088531</v>
      </c>
      <c r="F42" t="n">
        <v>0.0000000000189869205446432</v>
      </c>
      <c r="G42" t="n">
        <v>67</v>
      </c>
      <c r="H42" t="s">
        <v>766</v>
      </c>
      <c r="I42" s="25" t="n">
        <v>-0.24025974025974</v>
      </c>
      <c r="J42" s="25" t="n">
        <v>-0.299780099914423</v>
      </c>
      <c r="K42" s="25" t="n">
        <v>-0.180739380605058</v>
      </c>
      <c r="L42" t="s">
        <v>1000</v>
      </c>
      <c r="M42" t="s">
        <v>55</v>
      </c>
      <c r="N42" t="s">
        <v>773</v>
      </c>
      <c r="O42" t="s">
        <v>964</v>
      </c>
      <c r="P42" t="s">
        <v>770</v>
      </c>
      <c r="Q42"/>
    </row>
    <row r="43">
      <c r="A43" t="s">
        <v>150</v>
      </c>
      <c r="B43" t="s">
        <v>318</v>
      </c>
      <c r="C43" s="25" t="n">
        <v>0.0297334244702666</v>
      </c>
      <c r="D43" s="25" t="n">
        <v>0.0373820533604571</v>
      </c>
      <c r="E43" s="25" t="n">
        <v>0.795393024122071</v>
      </c>
      <c r="F43" t="n">
        <v>0.429193806115422</v>
      </c>
      <c r="G43" t="n">
        <v>67</v>
      </c>
      <c r="H43" t="s">
        <v>771</v>
      </c>
      <c r="I43" s="25" t="n">
        <v>0.0297334244702666</v>
      </c>
      <c r="J43" s="25" t="n">
        <v>-0.0448814663278252</v>
      </c>
      <c r="K43" s="25" t="n">
        <v>0.104348315268358</v>
      </c>
      <c r="L43" t="s">
        <v>155</v>
      </c>
      <c r="M43" t="s">
        <v>890</v>
      </c>
      <c r="N43" t="s">
        <v>773</v>
      </c>
      <c r="O43" t="s">
        <v>964</v>
      </c>
      <c r="P43" t="s">
        <v>770</v>
      </c>
      <c r="Q43"/>
    </row>
    <row r="44">
      <c r="A44" t="s">
        <v>156</v>
      </c>
      <c r="B44" t="s">
        <v>765</v>
      </c>
      <c r="C44" s="25" t="n">
        <v>-0.0387677192520502</v>
      </c>
      <c r="D44" s="25" t="n">
        <v>0.0164480987624486</v>
      </c>
      <c r="E44" s="25" t="n">
        <v>-2.35697266972629</v>
      </c>
      <c r="F44" t="n">
        <v>0.0214004646225534</v>
      </c>
      <c r="G44" t="n">
        <v>66</v>
      </c>
      <c r="H44" t="s">
        <v>766</v>
      </c>
      <c r="I44" s="25" t="n">
        <v>-0.0387677192520502</v>
      </c>
      <c r="J44" s="25" t="n">
        <v>-0.0716074080005686</v>
      </c>
      <c r="K44" s="25" t="n">
        <v>-0.00592803050353172</v>
      </c>
      <c r="L44" t="s">
        <v>1001</v>
      </c>
      <c r="M44" t="s">
        <v>184</v>
      </c>
      <c r="N44" t="s">
        <v>773</v>
      </c>
      <c r="O44" t="s">
        <v>964</v>
      </c>
      <c r="P44" t="s">
        <v>770</v>
      </c>
      <c r="Q44"/>
    </row>
    <row r="45">
      <c r="A45" t="s">
        <v>156</v>
      </c>
      <c r="B45" t="s">
        <v>318</v>
      </c>
      <c r="C45" s="25" t="n">
        <v>0.0260414701715185</v>
      </c>
      <c r="D45" s="25" t="n">
        <v>0.0248454237761896</v>
      </c>
      <c r="E45" s="25" t="n">
        <v>1.04813950472743</v>
      </c>
      <c r="F45" t="n">
        <v>0.298397533658054</v>
      </c>
      <c r="G45" t="n">
        <v>66</v>
      </c>
      <c r="H45" t="s">
        <v>771</v>
      </c>
      <c r="I45" s="25" t="n">
        <v>0.0260414701715185</v>
      </c>
      <c r="J45" s="25" t="n">
        <v>-0.0235640189138134</v>
      </c>
      <c r="K45" s="25" t="n">
        <v>0.0756469592568503</v>
      </c>
      <c r="L45" t="s">
        <v>1002</v>
      </c>
      <c r="M45" t="s">
        <v>827</v>
      </c>
      <c r="N45" t="s">
        <v>773</v>
      </c>
      <c r="O45" t="s">
        <v>964</v>
      </c>
      <c r="P45" t="s">
        <v>770</v>
      </c>
      <c r="Q45"/>
    </row>
    <row r="46">
      <c r="A46" t="s">
        <v>164</v>
      </c>
      <c r="B46" t="s">
        <v>765</v>
      </c>
      <c r="C46" s="25" t="n">
        <v>-0.079448180860879</v>
      </c>
      <c r="D46" s="25" t="n">
        <v>0.0174781333331803</v>
      </c>
      <c r="E46" s="25" t="n">
        <v>-4.54557585449101</v>
      </c>
      <c r="F46" t="n">
        <v>0.0000235449356479022</v>
      </c>
      <c r="G46" t="n">
        <v>67</v>
      </c>
      <c r="H46" t="s">
        <v>766</v>
      </c>
      <c r="I46" s="25" t="n">
        <v>-0.079448180860879</v>
      </c>
      <c r="J46" s="25" t="n">
        <v>-0.114334681006675</v>
      </c>
      <c r="K46" s="25" t="n">
        <v>-0.0445616807150831</v>
      </c>
      <c r="L46" t="s">
        <v>1003</v>
      </c>
      <c r="M46" t="s">
        <v>55</v>
      </c>
      <c r="N46" t="s">
        <v>773</v>
      </c>
      <c r="O46" t="s">
        <v>964</v>
      </c>
      <c r="P46" t="s">
        <v>770</v>
      </c>
      <c r="Q46"/>
    </row>
    <row r="47">
      <c r="A47" t="s">
        <v>164</v>
      </c>
      <c r="B47" t="s">
        <v>318</v>
      </c>
      <c r="C47" s="25" t="n">
        <v>0.0219871264036079</v>
      </c>
      <c r="D47" s="25" t="n">
        <v>0.0229442094830248</v>
      </c>
      <c r="E47" s="25" t="n">
        <v>0.958286508841152</v>
      </c>
      <c r="F47" t="n">
        <v>0.341363632612192</v>
      </c>
      <c r="G47" t="n">
        <v>67</v>
      </c>
      <c r="H47" t="s">
        <v>771</v>
      </c>
      <c r="I47" s="25" t="n">
        <v>0.0219871264036079</v>
      </c>
      <c r="J47" s="25" t="n">
        <v>-0.0238097074010161</v>
      </c>
      <c r="K47" s="25" t="n">
        <v>0.0677839602082319</v>
      </c>
      <c r="L47" t="s">
        <v>1004</v>
      </c>
      <c r="M47" t="s">
        <v>1005</v>
      </c>
      <c r="N47" t="s">
        <v>773</v>
      </c>
      <c r="O47" t="s">
        <v>964</v>
      </c>
      <c r="P47" t="s">
        <v>770</v>
      </c>
      <c r="Q47"/>
    </row>
    <row r="48">
      <c r="A48" t="s">
        <v>171</v>
      </c>
      <c r="B48"/>
      <c r="C48" s="25"/>
      <c r="D48" s="25"/>
      <c r="E48" s="25"/>
      <c r="F48"/>
      <c r="G48"/>
      <c r="H48"/>
      <c r="I48" s="25"/>
      <c r="J48" s="25"/>
      <c r="K48" s="25"/>
      <c r="L48"/>
      <c r="M48" t="s">
        <v>94</v>
      </c>
      <c r="N48"/>
      <c r="O48" t="s">
        <v>782</v>
      </c>
      <c r="P48"/>
      <c r="Q48"/>
    </row>
    <row r="49">
      <c r="A49" t="s">
        <v>175</v>
      </c>
      <c r="B49"/>
      <c r="C49" s="25"/>
      <c r="D49" s="25"/>
      <c r="E49" s="25"/>
      <c r="F49"/>
      <c r="G49"/>
      <c r="H49"/>
      <c r="I49" s="25"/>
      <c r="J49" s="25"/>
      <c r="K49" s="25"/>
      <c r="L49"/>
      <c r="M49" t="s">
        <v>94</v>
      </c>
      <c r="N49"/>
      <c r="O49" t="s">
        <v>782</v>
      </c>
      <c r="P49"/>
      <c r="Q49"/>
    </row>
    <row r="50">
      <c r="A50" t="s">
        <v>803</v>
      </c>
      <c r="B50" t="s">
        <v>765</v>
      </c>
      <c r="C50" s="25" t="n">
        <v>-1.50407739677627</v>
      </c>
      <c r="D50" s="25" t="n">
        <v>0.469859796462388</v>
      </c>
      <c r="E50" s="25" t="n">
        <v>-3.20111958524775</v>
      </c>
      <c r="F50" t="n">
        <v>0.00209402875407794</v>
      </c>
      <c r="G50" t="n">
        <v>67</v>
      </c>
      <c r="H50" t="s">
        <v>783</v>
      </c>
      <c r="I50" s="25" t="n">
        <v>0.222222222222222</v>
      </c>
      <c r="J50" s="25" t="n">
        <v>0.0869935347997152</v>
      </c>
      <c r="K50" s="25" t="n">
        <v>0.567659610143171</v>
      </c>
      <c r="L50" t="s">
        <v>1006</v>
      </c>
      <c r="M50" t="s">
        <v>308</v>
      </c>
      <c r="N50" t="s">
        <v>773</v>
      </c>
      <c r="O50" t="s">
        <v>1007</v>
      </c>
      <c r="P50" t="s">
        <v>770</v>
      </c>
      <c r="Q50"/>
    </row>
    <row r="51">
      <c r="A51" t="s">
        <v>803</v>
      </c>
      <c r="B51" t="s">
        <v>318</v>
      </c>
      <c r="C51" s="25" t="n">
        <v>1.50407739677627</v>
      </c>
      <c r="D51" s="25" t="n">
        <v>0.578300476477401</v>
      </c>
      <c r="E51" s="25" t="n">
        <v>2.60085795871733</v>
      </c>
      <c r="F51" t="n">
        <v>0.0114324171885903</v>
      </c>
      <c r="G51" t="n">
        <v>67</v>
      </c>
      <c r="H51" t="s">
        <v>787</v>
      </c>
      <c r="I51" s="25" t="n">
        <v>4.5</v>
      </c>
      <c r="J51" s="25" t="n">
        <v>1.41876221881424</v>
      </c>
      <c r="K51" s="25" t="n">
        <v>14.2730048287614</v>
      </c>
      <c r="L51" t="s">
        <v>1008</v>
      </c>
      <c r="M51" t="s">
        <v>122</v>
      </c>
      <c r="N51" t="s">
        <v>773</v>
      </c>
      <c r="O51" t="s">
        <v>1007</v>
      </c>
      <c r="P51" t="s">
        <v>770</v>
      </c>
      <c r="Q51"/>
    </row>
    <row r="52">
      <c r="A52" t="s">
        <v>806</v>
      </c>
      <c r="B52" t="s">
        <v>765</v>
      </c>
      <c r="C52" s="25" t="n">
        <v>-2.15466496291742</v>
      </c>
      <c r="D52" s="25" t="n">
        <v>0.665070905074672</v>
      </c>
      <c r="E52" s="25" t="n">
        <v>-3.23975225269478</v>
      </c>
      <c r="F52" t="n">
        <v>0.00186371609009293</v>
      </c>
      <c r="G52" t="n">
        <v>67</v>
      </c>
      <c r="H52" t="s">
        <v>783</v>
      </c>
      <c r="I52" s="25" t="n">
        <v>0.115942028985507</v>
      </c>
      <c r="J52" s="25" t="n">
        <v>0.0307411833715591</v>
      </c>
      <c r="K52" s="25" t="n">
        <v>0.43728160763365</v>
      </c>
      <c r="L52" t="s">
        <v>1009</v>
      </c>
      <c r="M52" t="s">
        <v>308</v>
      </c>
      <c r="N52" t="s">
        <v>773</v>
      </c>
      <c r="O52" t="s">
        <v>1007</v>
      </c>
      <c r="P52" t="s">
        <v>770</v>
      </c>
      <c r="Q52"/>
    </row>
    <row r="53">
      <c r="A53" t="s">
        <v>806</v>
      </c>
      <c r="B53" t="s">
        <v>318</v>
      </c>
      <c r="C53" s="25" t="n">
        <v>-0.302070809903881</v>
      </c>
      <c r="D53" s="25" t="n">
        <v>0.907133218351945</v>
      </c>
      <c r="E53" s="25" t="n">
        <v>-0.332994982206334</v>
      </c>
      <c r="F53" t="n">
        <v>0.740177835395902</v>
      </c>
      <c r="G53" t="n">
        <v>67</v>
      </c>
      <c r="H53" t="s">
        <v>787</v>
      </c>
      <c r="I53" s="25" t="n">
        <v>0.739285714285714</v>
      </c>
      <c r="J53" s="25" t="n">
        <v>0.120909095578176</v>
      </c>
      <c r="K53" s="25" t="n">
        <v>4.52028331477809</v>
      </c>
      <c r="L53" t="s">
        <v>1010</v>
      </c>
      <c r="M53" t="s">
        <v>850</v>
      </c>
      <c r="N53" t="s">
        <v>773</v>
      </c>
      <c r="O53" t="s">
        <v>1007</v>
      </c>
      <c r="P53" t="s">
        <v>770</v>
      </c>
      <c r="Q53"/>
    </row>
    <row r="54">
      <c r="A54" t="s">
        <v>808</v>
      </c>
      <c r="B54"/>
      <c r="C54" s="25"/>
      <c r="D54" s="25"/>
      <c r="E54" s="25"/>
      <c r="F54"/>
      <c r="G54"/>
      <c r="H54"/>
      <c r="I54" s="25"/>
      <c r="J54" s="25"/>
      <c r="K54" s="25"/>
      <c r="L54"/>
      <c r="M54" t="s">
        <v>94</v>
      </c>
      <c r="N54"/>
      <c r="O54" t="s">
        <v>792</v>
      </c>
      <c r="P54"/>
      <c r="Q54"/>
    </row>
  </sheetData>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9" t="s">
        <v>958</v>
      </c>
    </row>
    <row r="3">
      <c r="A3" s="1" t="s">
        <v>1011</v>
      </c>
    </row>
    <row r="4">
      <c r="A4" t="s">
        <v>749</v>
      </c>
      <c r="B4" t="s">
        <v>750</v>
      </c>
      <c r="C4" t="s">
        <v>751</v>
      </c>
      <c r="D4" t="s">
        <v>752</v>
      </c>
      <c r="E4" t="s">
        <v>753</v>
      </c>
      <c r="F4" t="s">
        <v>754</v>
      </c>
      <c r="G4" t="s">
        <v>755</v>
      </c>
      <c r="H4" t="s">
        <v>756</v>
      </c>
      <c r="I4" t="s">
        <v>757</v>
      </c>
      <c r="J4" t="s">
        <v>758</v>
      </c>
      <c r="K4" t="s">
        <v>759</v>
      </c>
      <c r="L4" t="s">
        <v>760</v>
      </c>
      <c r="M4" t="s">
        <v>39</v>
      </c>
      <c r="N4" t="s">
        <v>761</v>
      </c>
      <c r="O4" t="s">
        <v>762</v>
      </c>
      <c r="P4" t="s">
        <v>763</v>
      </c>
      <c r="Q4" t="s">
        <v>1</v>
      </c>
    </row>
    <row r="5">
      <c r="A5" t="s">
        <v>764</v>
      </c>
      <c r="B5" t="s">
        <v>809</v>
      </c>
      <c r="C5" s="26" t="n">
        <v>-12.2724723012083</v>
      </c>
      <c r="D5" s="26" t="n">
        <v>21.3972186575853</v>
      </c>
      <c r="E5" s="26" t="n">
        <v>-0.573554558543416</v>
      </c>
      <c r="F5" t="n">
        <v>0.56808164954287</v>
      </c>
      <c r="G5" t="n">
        <v>71</v>
      </c>
      <c r="H5"/>
      <c r="I5" s="26"/>
      <c r="J5" s="26"/>
      <c r="K5" s="26"/>
      <c r="L5"/>
      <c r="M5" t="s">
        <v>311</v>
      </c>
      <c r="N5" t="s">
        <v>773</v>
      </c>
      <c r="O5" t="s">
        <v>1012</v>
      </c>
      <c r="P5" t="s">
        <v>812</v>
      </c>
      <c r="Q5"/>
    </row>
    <row r="6">
      <c r="A6" t="s">
        <v>764</v>
      </c>
      <c r="B6" t="s">
        <v>318</v>
      </c>
      <c r="C6" s="26" t="n">
        <v>0.447483298444942</v>
      </c>
      <c r="D6" s="26" t="n">
        <v>1.6377225699141</v>
      </c>
      <c r="E6" s="26" t="n">
        <v>0.273235105057148</v>
      </c>
      <c r="F6" t="n">
        <v>0.785465717409342</v>
      </c>
      <c r="G6" t="n">
        <v>71</v>
      </c>
      <c r="H6" t="s">
        <v>771</v>
      </c>
      <c r="I6" s="26" t="n">
        <v>0.447483298444942</v>
      </c>
      <c r="J6" s="26" t="n">
        <v>-2.81804275820637</v>
      </c>
      <c r="K6" s="26" t="n">
        <v>3.71300935509626</v>
      </c>
      <c r="L6" t="s">
        <v>1013</v>
      </c>
      <c r="M6" t="s">
        <v>321</v>
      </c>
      <c r="N6" t="s">
        <v>773</v>
      </c>
      <c r="O6" t="s">
        <v>1012</v>
      </c>
      <c r="P6" t="s">
        <v>812</v>
      </c>
      <c r="Q6"/>
    </row>
    <row r="7">
      <c r="A7" t="s">
        <v>764</v>
      </c>
      <c r="B7" t="s">
        <v>52</v>
      </c>
      <c r="C7" s="26" t="n">
        <v>0.649555381854374</v>
      </c>
      <c r="D7" s="26" t="n">
        <v>0.432020737196912</v>
      </c>
      <c r="E7" s="26" t="n">
        <v>1.5035282474376</v>
      </c>
      <c r="F7" t="n">
        <v>0.137138204992321</v>
      </c>
      <c r="G7" t="n">
        <v>71</v>
      </c>
      <c r="H7" t="s">
        <v>771</v>
      </c>
      <c r="I7" s="26" t="n">
        <v>0.649555381854374</v>
      </c>
      <c r="J7" s="26" t="n">
        <v>-0.211869501851186</v>
      </c>
      <c r="K7" s="26" t="n">
        <v>1.51098026555993</v>
      </c>
      <c r="L7" t="s">
        <v>1014</v>
      </c>
      <c r="M7" t="s">
        <v>820</v>
      </c>
      <c r="N7" t="s">
        <v>773</v>
      </c>
      <c r="O7" t="s">
        <v>1012</v>
      </c>
      <c r="P7" t="s">
        <v>812</v>
      </c>
      <c r="Q7"/>
    </row>
    <row r="8">
      <c r="A8" t="s">
        <v>764</v>
      </c>
      <c r="B8" t="s">
        <v>78</v>
      </c>
      <c r="C8" s="26" t="n">
        <v>0.097331727256048</v>
      </c>
      <c r="D8" s="26" t="n">
        <v>0.0407928789153294</v>
      </c>
      <c r="E8" s="26" t="n">
        <v>2.38599799386731</v>
      </c>
      <c r="F8" t="n">
        <v>0.0197023521392653</v>
      </c>
      <c r="G8" t="n">
        <v>71</v>
      </c>
      <c r="H8" t="s">
        <v>771</v>
      </c>
      <c r="I8" s="26" t="n">
        <v>0.097331727256048</v>
      </c>
      <c r="J8" s="26" t="n">
        <v>0.0159930368874972</v>
      </c>
      <c r="K8" s="26" t="n">
        <v>0.178670417624599</v>
      </c>
      <c r="L8" t="s">
        <v>1015</v>
      </c>
      <c r="M8" t="s">
        <v>184</v>
      </c>
      <c r="N8" t="s">
        <v>773</v>
      </c>
      <c r="O8" t="s">
        <v>1012</v>
      </c>
      <c r="P8" t="s">
        <v>812</v>
      </c>
      <c r="Q8"/>
    </row>
    <row r="9">
      <c r="A9" t="s">
        <v>52</v>
      </c>
      <c r="B9" t="s">
        <v>809</v>
      </c>
      <c r="C9" s="26" t="n">
        <v>9.57194084645478</v>
      </c>
      <c r="D9" s="26" t="n">
        <v>6.5650491431356</v>
      </c>
      <c r="E9" s="26" t="n">
        <v>1.45801510967563</v>
      </c>
      <c r="F9" t="n">
        <v>0.14924576702117</v>
      </c>
      <c r="G9" t="n">
        <v>71</v>
      </c>
      <c r="H9"/>
      <c r="I9" s="26"/>
      <c r="J9" s="26"/>
      <c r="K9" s="26"/>
      <c r="L9"/>
      <c r="M9" t="s">
        <v>159</v>
      </c>
      <c r="N9" t="s">
        <v>773</v>
      </c>
      <c r="O9" t="s">
        <v>1016</v>
      </c>
      <c r="P9" t="s">
        <v>817</v>
      </c>
      <c r="Q9"/>
    </row>
    <row r="10">
      <c r="A10" t="s">
        <v>52</v>
      </c>
      <c r="B10" t="s">
        <v>318</v>
      </c>
      <c r="C10" s="26" t="n">
        <v>-0.341291251284624</v>
      </c>
      <c r="D10" s="26" t="n">
        <v>0.499028422193421</v>
      </c>
      <c r="E10" s="26" t="n">
        <v>-0.68391144894016</v>
      </c>
      <c r="F10" t="n">
        <v>0.496257221951909</v>
      </c>
      <c r="G10" t="n">
        <v>71</v>
      </c>
      <c r="H10" t="s">
        <v>771</v>
      </c>
      <c r="I10" s="26" t="n">
        <v>-0.341291251284624</v>
      </c>
      <c r="J10" s="26" t="n">
        <v>-1.33632566408366</v>
      </c>
      <c r="K10" s="26" t="n">
        <v>0.653743161514414</v>
      </c>
      <c r="L10" t="s">
        <v>1017</v>
      </c>
      <c r="M10" t="s">
        <v>402</v>
      </c>
      <c r="N10" t="s">
        <v>773</v>
      </c>
      <c r="O10" t="s">
        <v>1016</v>
      </c>
      <c r="P10" t="s">
        <v>817</v>
      </c>
      <c r="Q10"/>
    </row>
    <row r="11">
      <c r="A11" t="s">
        <v>52</v>
      </c>
      <c r="B11" t="s">
        <v>764</v>
      </c>
      <c r="C11" s="26" t="n">
        <v>0.0301241028424822</v>
      </c>
      <c r="D11" s="26" t="n">
        <v>0.0332543524095827</v>
      </c>
      <c r="E11" s="26" t="n">
        <v>0.905869477518423</v>
      </c>
      <c r="F11" t="n">
        <v>0.368068888680577</v>
      </c>
      <c r="G11" t="n">
        <v>71</v>
      </c>
      <c r="H11" t="s">
        <v>771</v>
      </c>
      <c r="I11" s="26" t="n">
        <v>0.0301241028424822</v>
      </c>
      <c r="J11" s="26" t="n">
        <v>-0.0361831925966064</v>
      </c>
      <c r="K11" s="26" t="n">
        <v>0.0964313982815707</v>
      </c>
      <c r="L11" t="s">
        <v>1018</v>
      </c>
      <c r="M11" t="s">
        <v>1019</v>
      </c>
      <c r="N11" t="s">
        <v>773</v>
      </c>
      <c r="O11" t="s">
        <v>1016</v>
      </c>
      <c r="P11" t="s">
        <v>817</v>
      </c>
      <c r="Q11"/>
    </row>
    <row r="12">
      <c r="A12" t="s">
        <v>52</v>
      </c>
      <c r="B12" t="s">
        <v>78</v>
      </c>
      <c r="C12" s="26" t="n">
        <v>-0.0286066073355342</v>
      </c>
      <c r="D12" s="26" t="n">
        <v>0.0121234660592066</v>
      </c>
      <c r="E12" s="26" t="n">
        <v>-2.3596063366557</v>
      </c>
      <c r="F12" t="n">
        <v>0.0210476986415548</v>
      </c>
      <c r="G12" t="n">
        <v>71</v>
      </c>
      <c r="H12" t="s">
        <v>771</v>
      </c>
      <c r="I12" s="26" t="n">
        <v>-0.0286066073355342</v>
      </c>
      <c r="J12" s="26" t="n">
        <v>-0.0527801120795907</v>
      </c>
      <c r="K12" s="26" t="n">
        <v>-0.00443310259147761</v>
      </c>
      <c r="L12" t="s">
        <v>1020</v>
      </c>
      <c r="M12" t="s">
        <v>184</v>
      </c>
      <c r="N12" t="s">
        <v>773</v>
      </c>
      <c r="O12" t="s">
        <v>1016</v>
      </c>
      <c r="P12" t="s">
        <v>817</v>
      </c>
      <c r="Q12"/>
    </row>
    <row r="13">
      <c r="A13" t="s">
        <v>58</v>
      </c>
      <c r="B13" t="s">
        <v>809</v>
      </c>
      <c r="C13" s="26" t="n">
        <v>0.211184358325327</v>
      </c>
      <c r="D13" s="26" t="n">
        <v>0.667814276082523</v>
      </c>
      <c r="E13" s="26" t="n">
        <v>0.316232170962501</v>
      </c>
      <c r="F13" t="n">
        <v>0.752767345157875</v>
      </c>
      <c r="G13" t="n">
        <v>70</v>
      </c>
      <c r="H13"/>
      <c r="I13" s="26"/>
      <c r="J13" s="26"/>
      <c r="K13" s="26"/>
      <c r="L13"/>
      <c r="M13" t="s">
        <v>1021</v>
      </c>
      <c r="N13" t="s">
        <v>773</v>
      </c>
      <c r="O13" t="s">
        <v>964</v>
      </c>
      <c r="P13" t="s">
        <v>822</v>
      </c>
      <c r="Q13"/>
    </row>
    <row r="14">
      <c r="A14" t="s">
        <v>58</v>
      </c>
      <c r="B14" t="s">
        <v>318</v>
      </c>
      <c r="C14" s="26" t="n">
        <v>0.0020631027240492</v>
      </c>
      <c r="D14" s="26" t="n">
        <v>0.0535410330189165</v>
      </c>
      <c r="E14" s="26" t="n">
        <v>0.0385331139076134</v>
      </c>
      <c r="F14" t="n">
        <v>0.969372315012254</v>
      </c>
      <c r="G14" t="n">
        <v>70</v>
      </c>
      <c r="H14" t="s">
        <v>771</v>
      </c>
      <c r="I14" s="26" t="n">
        <v>0.0020631027240492</v>
      </c>
      <c r="J14" s="26" t="n">
        <v>-0.104721120531444</v>
      </c>
      <c r="K14" s="26" t="n">
        <v>0.108847325979543</v>
      </c>
      <c r="L14" t="s">
        <v>1022</v>
      </c>
      <c r="M14" t="s">
        <v>1023</v>
      </c>
      <c r="N14" t="s">
        <v>773</v>
      </c>
      <c r="O14" t="s">
        <v>964</v>
      </c>
      <c r="P14" t="s">
        <v>822</v>
      </c>
      <c r="Q14"/>
    </row>
    <row r="15">
      <c r="A15" t="s">
        <v>58</v>
      </c>
      <c r="B15" t="s">
        <v>764</v>
      </c>
      <c r="C15" s="26" t="n">
        <v>0.00174760390013772</v>
      </c>
      <c r="D15" s="26" t="n">
        <v>0.00373624420042219</v>
      </c>
      <c r="E15" s="26" t="n">
        <v>0.4677434895557</v>
      </c>
      <c r="F15" t="n">
        <v>0.641421027721172</v>
      </c>
      <c r="G15" t="n">
        <v>70</v>
      </c>
      <c r="H15" t="s">
        <v>771</v>
      </c>
      <c r="I15" s="26" t="n">
        <v>0.00174760390013772</v>
      </c>
      <c r="J15" s="26" t="n">
        <v>-0.00570410019182416</v>
      </c>
      <c r="K15" s="26" t="n">
        <v>0.00919930799209961</v>
      </c>
      <c r="L15" t="s">
        <v>1024</v>
      </c>
      <c r="M15" t="s">
        <v>162</v>
      </c>
      <c r="N15" t="s">
        <v>773</v>
      </c>
      <c r="O15" t="s">
        <v>964</v>
      </c>
      <c r="P15" t="s">
        <v>822</v>
      </c>
      <c r="Q15"/>
    </row>
    <row r="16">
      <c r="A16" t="s">
        <v>58</v>
      </c>
      <c r="B16" t="s">
        <v>52</v>
      </c>
      <c r="C16" s="26" t="n">
        <v>0.993405701579119</v>
      </c>
      <c r="D16" s="26" t="n">
        <v>0.0130004771514811</v>
      </c>
      <c r="E16" s="26" t="n">
        <v>76.4130185380114</v>
      </c>
      <c r="F16" t="n">
        <v>0.00000000000000000000000000000000000000000000000000000000000000000000359689241686217</v>
      </c>
      <c r="G16" t="n">
        <v>70</v>
      </c>
      <c r="H16" t="s">
        <v>771</v>
      </c>
      <c r="I16" s="26" t="n">
        <v>0.993405701579119</v>
      </c>
      <c r="J16" s="26" t="n">
        <v>0.967477067477472</v>
      </c>
      <c r="K16" s="26" t="n">
        <v>1.01933433568077</v>
      </c>
      <c r="L16" t="s">
        <v>1025</v>
      </c>
      <c r="M16" t="s">
        <v>55</v>
      </c>
      <c r="N16" t="s">
        <v>773</v>
      </c>
      <c r="O16" t="s">
        <v>964</v>
      </c>
      <c r="P16" t="s">
        <v>822</v>
      </c>
      <c r="Q16"/>
    </row>
    <row r="17">
      <c r="A17" t="s">
        <v>58</v>
      </c>
      <c r="B17" t="s">
        <v>78</v>
      </c>
      <c r="C17" s="26" t="n">
        <v>0.000246509819685461</v>
      </c>
      <c r="D17" s="26" t="n">
        <v>0.0013719062573314</v>
      </c>
      <c r="E17" s="26" t="n">
        <v>0.179684157257922</v>
      </c>
      <c r="F17" t="n">
        <v>0.85791965845822</v>
      </c>
      <c r="G17" t="n">
        <v>70</v>
      </c>
      <c r="H17" t="s">
        <v>771</v>
      </c>
      <c r="I17" s="26" t="n">
        <v>0.000246509819685461</v>
      </c>
      <c r="J17" s="26" t="n">
        <v>-0.00248967093380739</v>
      </c>
      <c r="K17" s="26" t="n">
        <v>0.00298269057317831</v>
      </c>
      <c r="L17" t="s">
        <v>1026</v>
      </c>
      <c r="M17" t="s">
        <v>1027</v>
      </c>
      <c r="N17" t="s">
        <v>773</v>
      </c>
      <c r="O17" t="s">
        <v>964</v>
      </c>
      <c r="P17" t="s">
        <v>822</v>
      </c>
      <c r="Q17"/>
    </row>
    <row r="18">
      <c r="A18" t="s">
        <v>62</v>
      </c>
      <c r="B18" t="s">
        <v>809</v>
      </c>
      <c r="C18" s="26" t="n">
        <v>-0.422368716650631</v>
      </c>
      <c r="D18" s="26" t="n">
        <v>1.33562855216454</v>
      </c>
      <c r="E18" s="26" t="n">
        <v>-0.316232170962602</v>
      </c>
      <c r="F18" t="n">
        <v>0.752767345157799</v>
      </c>
      <c r="G18" t="n">
        <v>70</v>
      </c>
      <c r="H18"/>
      <c r="I18" s="26"/>
      <c r="J18" s="26"/>
      <c r="K18" s="26"/>
      <c r="L18"/>
      <c r="M18" t="s">
        <v>1021</v>
      </c>
      <c r="N18" t="s">
        <v>773</v>
      </c>
      <c r="O18" t="s">
        <v>964</v>
      </c>
      <c r="P18" t="s">
        <v>822</v>
      </c>
      <c r="Q18"/>
    </row>
    <row r="19">
      <c r="A19" t="s">
        <v>62</v>
      </c>
      <c r="B19" t="s">
        <v>318</v>
      </c>
      <c r="C19" s="26" t="n">
        <v>-0.00412620544809838</v>
      </c>
      <c r="D19" s="26" t="n">
        <v>0.107082066037833</v>
      </c>
      <c r="E19" s="26" t="n">
        <v>-0.0385331139076133</v>
      </c>
      <c r="F19" t="n">
        <v>0.969372315012254</v>
      </c>
      <c r="G19" t="n">
        <v>70</v>
      </c>
      <c r="H19" t="s">
        <v>771</v>
      </c>
      <c r="I19" s="26" t="n">
        <v>-0.00412620544809838</v>
      </c>
      <c r="J19" s="26" t="n">
        <v>-0.217694651959085</v>
      </c>
      <c r="K19" s="26" t="n">
        <v>0.209442241062888</v>
      </c>
      <c r="L19" t="s">
        <v>1028</v>
      </c>
      <c r="M19" t="s">
        <v>1023</v>
      </c>
      <c r="N19" t="s">
        <v>773</v>
      </c>
      <c r="O19" t="s">
        <v>964</v>
      </c>
      <c r="P19" t="s">
        <v>822</v>
      </c>
      <c r="Q19"/>
    </row>
    <row r="20">
      <c r="A20" t="s">
        <v>62</v>
      </c>
      <c r="B20" t="s">
        <v>764</v>
      </c>
      <c r="C20" s="26" t="n">
        <v>-0.00349520780027546</v>
      </c>
      <c r="D20" s="26" t="n">
        <v>0.00747248840084455</v>
      </c>
      <c r="E20" s="26" t="n">
        <v>-0.467743489555691</v>
      </c>
      <c r="F20" t="n">
        <v>0.641421027721179</v>
      </c>
      <c r="G20" t="n">
        <v>70</v>
      </c>
      <c r="H20" t="s">
        <v>771</v>
      </c>
      <c r="I20" s="26" t="n">
        <v>-0.00349520780027546</v>
      </c>
      <c r="J20" s="26" t="n">
        <v>-0.0183986159841996</v>
      </c>
      <c r="K20" s="26" t="n">
        <v>0.0114082003836486</v>
      </c>
      <c r="L20" t="s">
        <v>1029</v>
      </c>
      <c r="M20" t="s">
        <v>162</v>
      </c>
      <c r="N20" t="s">
        <v>773</v>
      </c>
      <c r="O20" t="s">
        <v>964</v>
      </c>
      <c r="P20" t="s">
        <v>822</v>
      </c>
      <c r="Q20"/>
    </row>
    <row r="21">
      <c r="A21" t="s">
        <v>62</v>
      </c>
      <c r="B21" t="s">
        <v>52</v>
      </c>
      <c r="C21" s="26" t="n">
        <v>0.0131885968417608</v>
      </c>
      <c r="D21" s="26" t="n">
        <v>0.0260009543029623</v>
      </c>
      <c r="E21" s="26" t="n">
        <v>0.507235107145981</v>
      </c>
      <c r="F21" t="n">
        <v>0.613584195227378</v>
      </c>
      <c r="G21" t="n">
        <v>70</v>
      </c>
      <c r="H21" t="s">
        <v>771</v>
      </c>
      <c r="I21" s="26" t="n">
        <v>0.0131885968417608</v>
      </c>
      <c r="J21" s="26" t="n">
        <v>-0.0386686713615339</v>
      </c>
      <c r="K21" s="26" t="n">
        <v>0.0650458650450556</v>
      </c>
      <c r="L21" t="s">
        <v>1030</v>
      </c>
      <c r="M21" t="s">
        <v>189</v>
      </c>
      <c r="N21" t="s">
        <v>773</v>
      </c>
      <c r="O21" t="s">
        <v>964</v>
      </c>
      <c r="P21" t="s">
        <v>822</v>
      </c>
      <c r="Q21"/>
    </row>
    <row r="22">
      <c r="A22" t="s">
        <v>62</v>
      </c>
      <c r="B22" t="s">
        <v>78</v>
      </c>
      <c r="C22" s="26" t="n">
        <v>-0.000493019639370968</v>
      </c>
      <c r="D22" s="26" t="n">
        <v>0.00274381251466187</v>
      </c>
      <c r="E22" s="26" t="n">
        <v>-0.179684157257998</v>
      </c>
      <c r="F22" t="n">
        <v>0.857919658458161</v>
      </c>
      <c r="G22" t="n">
        <v>70</v>
      </c>
      <c r="H22" t="s">
        <v>771</v>
      </c>
      <c r="I22" s="26" t="n">
        <v>-0.000493019639370968</v>
      </c>
      <c r="J22" s="26" t="n">
        <v>-0.00596538114635483</v>
      </c>
      <c r="K22" s="26" t="n">
        <v>0.0049793418676129</v>
      </c>
      <c r="L22" t="s">
        <v>1031</v>
      </c>
      <c r="M22" t="s">
        <v>1027</v>
      </c>
      <c r="N22" t="s">
        <v>773</v>
      </c>
      <c r="O22" t="s">
        <v>964</v>
      </c>
      <c r="P22" t="s">
        <v>822</v>
      </c>
      <c r="Q22"/>
    </row>
    <row r="23">
      <c r="A23" t="s">
        <v>68</v>
      </c>
      <c r="B23" t="s">
        <v>809</v>
      </c>
      <c r="C23" s="26" t="n">
        <v>0.866300854124152</v>
      </c>
      <c r="D23" s="26" t="n">
        <v>0.538727408818207</v>
      </c>
      <c r="E23" s="26" t="n">
        <v>1.60805045361352</v>
      </c>
      <c r="F23" t="n">
        <v>0.112325580539922</v>
      </c>
      <c r="G23" t="n">
        <v>70</v>
      </c>
      <c r="H23"/>
      <c r="I23" s="26"/>
      <c r="J23" s="26"/>
      <c r="K23" s="26"/>
      <c r="L23"/>
      <c r="M23" t="s">
        <v>358</v>
      </c>
      <c r="N23" t="s">
        <v>773</v>
      </c>
      <c r="O23" t="s">
        <v>964</v>
      </c>
      <c r="P23" t="s">
        <v>822</v>
      </c>
      <c r="Q23"/>
    </row>
    <row r="24">
      <c r="A24" t="s">
        <v>68</v>
      </c>
      <c r="B24" t="s">
        <v>318</v>
      </c>
      <c r="C24" s="26" t="n">
        <v>0.00324717436085928</v>
      </c>
      <c r="D24" s="26" t="n">
        <v>0.0397679481915837</v>
      </c>
      <c r="E24" s="26" t="n">
        <v>0.0816530524837711</v>
      </c>
      <c r="F24" t="n">
        <v>0.935155635511252</v>
      </c>
      <c r="G24" t="n">
        <v>70</v>
      </c>
      <c r="H24" t="s">
        <v>771</v>
      </c>
      <c r="I24" s="26" t="n">
        <v>0.00324717436085928</v>
      </c>
      <c r="J24" s="26" t="n">
        <v>-0.0760674973714292</v>
      </c>
      <c r="K24" s="26" t="n">
        <v>0.0825618460931477</v>
      </c>
      <c r="L24" t="s">
        <v>1032</v>
      </c>
      <c r="M24" t="s">
        <v>140</v>
      </c>
      <c r="N24" t="s">
        <v>773</v>
      </c>
      <c r="O24" t="s">
        <v>964</v>
      </c>
      <c r="P24" t="s">
        <v>822</v>
      </c>
      <c r="Q24"/>
    </row>
    <row r="25">
      <c r="A25" t="s">
        <v>68</v>
      </c>
      <c r="B25" t="s">
        <v>764</v>
      </c>
      <c r="C25" s="26" t="n">
        <v>0.0034403176490409</v>
      </c>
      <c r="D25" s="26" t="n">
        <v>0.0022818452769204</v>
      </c>
      <c r="E25" s="26" t="n">
        <v>1.50769102701126</v>
      </c>
      <c r="F25" t="n">
        <v>0.136133774562709</v>
      </c>
      <c r="G25" t="n">
        <v>70</v>
      </c>
      <c r="H25" t="s">
        <v>771</v>
      </c>
      <c r="I25" s="26" t="n">
        <v>0.0034403176490409</v>
      </c>
      <c r="J25" s="26" t="n">
        <v>-0.00111067925456894</v>
      </c>
      <c r="K25" s="26" t="n">
        <v>0.00799131455265074</v>
      </c>
      <c r="L25" t="s">
        <v>1033</v>
      </c>
      <c r="M25" t="s">
        <v>820</v>
      </c>
      <c r="N25" t="s">
        <v>773</v>
      </c>
      <c r="O25" t="s">
        <v>964</v>
      </c>
      <c r="P25" t="s">
        <v>822</v>
      </c>
      <c r="Q25"/>
    </row>
    <row r="26">
      <c r="A26" t="s">
        <v>68</v>
      </c>
      <c r="B26" t="s">
        <v>52</v>
      </c>
      <c r="C26" s="26" t="n">
        <v>-0.243744636783639</v>
      </c>
      <c r="D26" s="26" t="n">
        <v>0.0159794958179068</v>
      </c>
      <c r="E26" s="26" t="n">
        <v>-15.2535874448864</v>
      </c>
      <c r="F26" t="n">
        <v>0.00000000000000000000000599188820736809</v>
      </c>
      <c r="G26" t="n">
        <v>70</v>
      </c>
      <c r="H26" t="s">
        <v>771</v>
      </c>
      <c r="I26" s="26" t="n">
        <v>-0.243744636783639</v>
      </c>
      <c r="J26" s="26" t="n">
        <v>-0.275614736270265</v>
      </c>
      <c r="K26" s="26" t="n">
        <v>-0.211874537297013</v>
      </c>
      <c r="L26" t="s">
        <v>1034</v>
      </c>
      <c r="M26" t="s">
        <v>55</v>
      </c>
      <c r="N26" t="s">
        <v>773</v>
      </c>
      <c r="O26" t="s">
        <v>964</v>
      </c>
      <c r="P26" t="s">
        <v>822</v>
      </c>
      <c r="Q26"/>
    </row>
    <row r="27">
      <c r="A27" t="s">
        <v>68</v>
      </c>
      <c r="B27" t="s">
        <v>78</v>
      </c>
      <c r="C27" s="26" t="n">
        <v>-0.00173779162415134</v>
      </c>
      <c r="D27" s="26" t="n">
        <v>0.000979009338855573</v>
      </c>
      <c r="E27" s="26" t="n">
        <v>-1.77505112074085</v>
      </c>
      <c r="F27" t="n">
        <v>0.080236745596787</v>
      </c>
      <c r="G27" t="n">
        <v>70</v>
      </c>
      <c r="H27" t="s">
        <v>771</v>
      </c>
      <c r="I27" s="26" t="n">
        <v>-0.00173779162415134</v>
      </c>
      <c r="J27" s="26" t="n">
        <v>-0.00369036418233547</v>
      </c>
      <c r="K27" s="26" t="n">
        <v>0.000214780934032789</v>
      </c>
      <c r="L27" t="s">
        <v>1035</v>
      </c>
      <c r="M27" t="s">
        <v>345</v>
      </c>
      <c r="N27" t="s">
        <v>773</v>
      </c>
      <c r="O27" t="s">
        <v>964</v>
      </c>
      <c r="P27" t="s">
        <v>822</v>
      </c>
      <c r="Q27"/>
    </row>
    <row r="28">
      <c r="A28" t="s">
        <v>73</v>
      </c>
      <c r="B28" t="s">
        <v>809</v>
      </c>
      <c r="C28" s="26" t="n">
        <v>0.228067136096859</v>
      </c>
      <c r="D28" s="26" t="n">
        <v>0.170338930672743</v>
      </c>
      <c r="E28" s="26" t="n">
        <v>1.33890200669995</v>
      </c>
      <c r="F28" t="n">
        <v>0.184934490938181</v>
      </c>
      <c r="G28" t="n">
        <v>70</v>
      </c>
      <c r="H28"/>
      <c r="I28" s="26"/>
      <c r="J28" s="26"/>
      <c r="K28" s="26"/>
      <c r="L28"/>
      <c r="M28" t="s">
        <v>65</v>
      </c>
      <c r="N28" t="s">
        <v>773</v>
      </c>
      <c r="O28" t="s">
        <v>964</v>
      </c>
      <c r="P28" t="s">
        <v>822</v>
      </c>
      <c r="Q28"/>
    </row>
    <row r="29">
      <c r="A29" t="s">
        <v>73</v>
      </c>
      <c r="B29" t="s">
        <v>318</v>
      </c>
      <c r="C29" s="26" t="n">
        <v>-0.0094928459521059</v>
      </c>
      <c r="D29" s="26" t="n">
        <v>0.0140835515808576</v>
      </c>
      <c r="E29" s="26" t="n">
        <v>-0.6740377878126</v>
      </c>
      <c r="F29" t="n">
        <v>0.502507111526265</v>
      </c>
      <c r="G29" t="n">
        <v>70</v>
      </c>
      <c r="H29" t="s">
        <v>771</v>
      </c>
      <c r="I29" s="26" t="n">
        <v>-0.0094928459521059</v>
      </c>
      <c r="J29" s="26" t="n">
        <v>-0.0375816038905121</v>
      </c>
      <c r="K29" s="26" t="n">
        <v>0.0185959119863003</v>
      </c>
      <c r="L29" t="s">
        <v>1036</v>
      </c>
      <c r="M29" t="s">
        <v>402</v>
      </c>
      <c r="N29" t="s">
        <v>773</v>
      </c>
      <c r="O29" t="s">
        <v>964</v>
      </c>
      <c r="P29" t="s">
        <v>822</v>
      </c>
      <c r="Q29"/>
    </row>
    <row r="30">
      <c r="A30" t="s">
        <v>73</v>
      </c>
      <c r="B30" t="s">
        <v>764</v>
      </c>
      <c r="C30" s="26" t="n">
        <v>0.000410480247316494</v>
      </c>
      <c r="D30" s="26" t="n">
        <v>0.00103843850049271</v>
      </c>
      <c r="E30" s="26" t="n">
        <v>0.395286044500213</v>
      </c>
      <c r="F30" t="n">
        <v>0.693833846153742</v>
      </c>
      <c r="G30" t="n">
        <v>70</v>
      </c>
      <c r="H30" t="s">
        <v>771</v>
      </c>
      <c r="I30" s="26" t="n">
        <v>0.000410480247316494</v>
      </c>
      <c r="J30" s="26" t="n">
        <v>-0.00166062003635818</v>
      </c>
      <c r="K30" s="26" t="n">
        <v>0.00248158053099117</v>
      </c>
      <c r="L30" t="s">
        <v>1037</v>
      </c>
      <c r="M30" t="s">
        <v>76</v>
      </c>
      <c r="N30" t="s">
        <v>773</v>
      </c>
      <c r="O30" t="s">
        <v>964</v>
      </c>
      <c r="P30" t="s">
        <v>822</v>
      </c>
      <c r="Q30"/>
    </row>
    <row r="31">
      <c r="A31" t="s">
        <v>73</v>
      </c>
      <c r="B31" t="s">
        <v>52</v>
      </c>
      <c r="C31" s="26" t="n">
        <v>-0.0144112184238175</v>
      </c>
      <c r="D31" s="26" t="n">
        <v>0.00434188467658366</v>
      </c>
      <c r="E31" s="26" t="n">
        <v>-3.31911589028126</v>
      </c>
      <c r="F31" t="n">
        <v>0.00143588250996083</v>
      </c>
      <c r="G31" t="n">
        <v>70</v>
      </c>
      <c r="H31" t="s">
        <v>771</v>
      </c>
      <c r="I31" s="26" t="n">
        <v>-0.0144112184238175</v>
      </c>
      <c r="J31" s="26" t="n">
        <v>-0.0230708343578266</v>
      </c>
      <c r="K31" s="26" t="n">
        <v>-0.00575160248980846</v>
      </c>
      <c r="L31" t="s">
        <v>1038</v>
      </c>
      <c r="M31" t="s">
        <v>307</v>
      </c>
      <c r="N31" t="s">
        <v>773</v>
      </c>
      <c r="O31" t="s">
        <v>964</v>
      </c>
      <c r="P31" t="s">
        <v>822</v>
      </c>
      <c r="Q31"/>
    </row>
    <row r="32">
      <c r="A32" t="s">
        <v>73</v>
      </c>
      <c r="B32" t="s">
        <v>78</v>
      </c>
      <c r="C32" s="26" t="n">
        <v>-0.000621886296763806</v>
      </c>
      <c r="D32" s="26" t="n">
        <v>0.000335315353313794</v>
      </c>
      <c r="E32" s="26" t="n">
        <v>-1.85463114234985</v>
      </c>
      <c r="F32" t="n">
        <v>0.0678609963824388</v>
      </c>
      <c r="G32" t="n">
        <v>70</v>
      </c>
      <c r="H32" t="s">
        <v>771</v>
      </c>
      <c r="I32" s="26" t="n">
        <v>-0.000621886296763806</v>
      </c>
      <c r="J32" s="26" t="n">
        <v>-0.0012906516815595</v>
      </c>
      <c r="K32" s="26" t="n">
        <v>0.0000468790880318911</v>
      </c>
      <c r="L32" t="s">
        <v>1039</v>
      </c>
      <c r="M32" t="s">
        <v>371</v>
      </c>
      <c r="N32" t="s">
        <v>773</v>
      </c>
      <c r="O32" t="s">
        <v>964</v>
      </c>
      <c r="P32" t="s">
        <v>822</v>
      </c>
      <c r="Q32"/>
    </row>
    <row r="33">
      <c r="A33" t="s">
        <v>78</v>
      </c>
      <c r="B33" t="s">
        <v>809</v>
      </c>
      <c r="C33" s="26" t="n">
        <v>481.767026317881</v>
      </c>
      <c r="D33" s="26" t="n">
        <v>9.98583593865875</v>
      </c>
      <c r="E33" s="26" t="n">
        <v>48.2450371984171</v>
      </c>
      <c r="F33" t="n">
        <v>0.0000000000000000000000000000000000000000000000000000000515702203421302</v>
      </c>
      <c r="G33" t="n">
        <v>71</v>
      </c>
      <c r="H33"/>
      <c r="I33" s="26"/>
      <c r="J33" s="26"/>
      <c r="K33" s="26"/>
      <c r="L33"/>
      <c r="M33" t="s">
        <v>55</v>
      </c>
      <c r="N33" t="s">
        <v>773</v>
      </c>
      <c r="O33" t="s">
        <v>1016</v>
      </c>
      <c r="P33" t="s">
        <v>842</v>
      </c>
      <c r="Q33"/>
    </row>
    <row r="34">
      <c r="A34" t="s">
        <v>78</v>
      </c>
      <c r="B34" t="s">
        <v>318</v>
      </c>
      <c r="C34" s="26" t="n">
        <v>-1.55052473339594</v>
      </c>
      <c r="D34" s="26" t="n">
        <v>4.60749898839323</v>
      </c>
      <c r="E34" s="26" t="n">
        <v>-0.336521991063237</v>
      </c>
      <c r="F34" t="n">
        <v>0.737469898747678</v>
      </c>
      <c r="G34" t="n">
        <v>71</v>
      </c>
      <c r="H34" t="s">
        <v>771</v>
      </c>
      <c r="I34" s="26" t="n">
        <v>-1.55052473339594</v>
      </c>
      <c r="J34" s="26" t="n">
        <v>-10.7376167836581</v>
      </c>
      <c r="K34" s="26" t="n">
        <v>7.63656731686617</v>
      </c>
      <c r="L34" t="s">
        <v>1040</v>
      </c>
      <c r="M34" t="s">
        <v>850</v>
      </c>
      <c r="N34" t="s">
        <v>773</v>
      </c>
      <c r="O34" t="s">
        <v>1016</v>
      </c>
      <c r="P34" t="s">
        <v>842</v>
      </c>
      <c r="Q34"/>
    </row>
    <row r="35">
      <c r="A35" t="s">
        <v>78</v>
      </c>
      <c r="B35" t="s">
        <v>764</v>
      </c>
      <c r="C35" s="26" t="n">
        <v>0.847913452596445</v>
      </c>
      <c r="D35" s="26" t="n">
        <v>0.262083294482818</v>
      </c>
      <c r="E35" s="26" t="n">
        <v>3.23528233369348</v>
      </c>
      <c r="F35" t="n">
        <v>0.00184658894731088</v>
      </c>
      <c r="G35" t="n">
        <v>71</v>
      </c>
      <c r="H35" t="s">
        <v>771</v>
      </c>
      <c r="I35" s="26" t="n">
        <v>0.847913452596445</v>
      </c>
      <c r="J35" s="26" t="n">
        <v>0.325334205739299</v>
      </c>
      <c r="K35" s="26" t="n">
        <v>1.37049269945359</v>
      </c>
      <c r="L35" t="s">
        <v>1041</v>
      </c>
      <c r="M35" t="s">
        <v>308</v>
      </c>
      <c r="N35" t="s">
        <v>773</v>
      </c>
      <c r="O35" t="s">
        <v>1016</v>
      </c>
      <c r="P35" t="s">
        <v>842</v>
      </c>
      <c r="Q35"/>
    </row>
    <row r="36">
      <c r="A36" t="s">
        <v>78</v>
      </c>
      <c r="B36" t="s">
        <v>52</v>
      </c>
      <c r="C36" s="26" t="n">
        <v>-2.94863172197318</v>
      </c>
      <c r="D36" s="26" t="n">
        <v>1.02638562125465</v>
      </c>
      <c r="E36" s="26" t="n">
        <v>-2.87283030949788</v>
      </c>
      <c r="F36" t="n">
        <v>0.00536116450333213</v>
      </c>
      <c r="G36" t="n">
        <v>71</v>
      </c>
      <c r="H36" t="s">
        <v>771</v>
      </c>
      <c r="I36" s="26" t="n">
        <v>-2.94863172197318</v>
      </c>
      <c r="J36" s="26" t="n">
        <v>-4.99518652432601</v>
      </c>
      <c r="K36" s="26" t="n">
        <v>-0.902076919620355</v>
      </c>
      <c r="L36" t="s">
        <v>1042</v>
      </c>
      <c r="M36" t="s">
        <v>1043</v>
      </c>
      <c r="N36" t="s">
        <v>773</v>
      </c>
      <c r="O36" t="s">
        <v>1016</v>
      </c>
      <c r="P36" t="s">
        <v>842</v>
      </c>
      <c r="Q36"/>
    </row>
    <row r="37">
      <c r="A37" t="s">
        <v>83</v>
      </c>
      <c r="B37" t="s">
        <v>809</v>
      </c>
      <c r="C37" s="26" t="n">
        <v>47.3031401600723</v>
      </c>
      <c r="D37" s="26" t="n">
        <v>4.87776111058828</v>
      </c>
      <c r="E37" s="26" t="n">
        <v>9.69771562969538</v>
      </c>
      <c r="F37" t="n">
        <v>0.0000000000000162805338321388</v>
      </c>
      <c r="G37" t="n">
        <v>69</v>
      </c>
      <c r="H37"/>
      <c r="I37" s="26"/>
      <c r="J37" s="26"/>
      <c r="K37" s="26"/>
      <c r="L37"/>
      <c r="M37" t="s">
        <v>55</v>
      </c>
      <c r="N37" t="s">
        <v>773</v>
      </c>
      <c r="O37" t="s">
        <v>964</v>
      </c>
      <c r="P37" t="s">
        <v>822</v>
      </c>
      <c r="Q37"/>
    </row>
    <row r="38">
      <c r="A38" t="s">
        <v>83</v>
      </c>
      <c r="B38" t="s">
        <v>318</v>
      </c>
      <c r="C38" s="26" t="n">
        <v>-0.250280260188883</v>
      </c>
      <c r="D38" s="26" t="n">
        <v>0.351785621852244</v>
      </c>
      <c r="E38" s="26" t="n">
        <v>-0.711456764125524</v>
      </c>
      <c r="F38" t="n">
        <v>0.479199637057998</v>
      </c>
      <c r="G38" t="n">
        <v>69</v>
      </c>
      <c r="H38" t="s">
        <v>771</v>
      </c>
      <c r="I38" s="26" t="n">
        <v>-0.250280260188883</v>
      </c>
      <c r="J38" s="26" t="n">
        <v>-0.952073373603666</v>
      </c>
      <c r="K38" s="26" t="n">
        <v>0.4515128532259</v>
      </c>
      <c r="L38" t="s">
        <v>1044</v>
      </c>
      <c r="M38" t="s">
        <v>339</v>
      </c>
      <c r="N38" t="s">
        <v>773</v>
      </c>
      <c r="O38" t="s">
        <v>964</v>
      </c>
      <c r="P38" t="s">
        <v>822</v>
      </c>
      <c r="Q38"/>
    </row>
    <row r="39">
      <c r="A39" t="s">
        <v>83</v>
      </c>
      <c r="B39" t="s">
        <v>764</v>
      </c>
      <c r="C39" s="26" t="n">
        <v>-0.0134987166984815</v>
      </c>
      <c r="D39" s="26" t="n">
        <v>0.0225862060131897</v>
      </c>
      <c r="E39" s="26" t="n">
        <v>-0.597653129108919</v>
      </c>
      <c r="F39" t="n">
        <v>0.552027885417205</v>
      </c>
      <c r="G39" t="n">
        <v>69</v>
      </c>
      <c r="H39" t="s">
        <v>771</v>
      </c>
      <c r="I39" s="26" t="n">
        <v>-0.0134987166984815</v>
      </c>
      <c r="J39" s="26" t="n">
        <v>-0.0585569648291618</v>
      </c>
      <c r="K39" s="26" t="n">
        <v>0.0315595314321988</v>
      </c>
      <c r="L39" t="s">
        <v>1045</v>
      </c>
      <c r="M39" t="s">
        <v>1046</v>
      </c>
      <c r="N39" t="s">
        <v>773</v>
      </c>
      <c r="O39" t="s">
        <v>964</v>
      </c>
      <c r="P39" t="s">
        <v>822</v>
      </c>
      <c r="Q39"/>
    </row>
    <row r="40">
      <c r="A40" t="s">
        <v>83</v>
      </c>
      <c r="B40" t="s">
        <v>52</v>
      </c>
      <c r="C40" s="26" t="n">
        <v>0.0387654539585807</v>
      </c>
      <c r="D40" s="26" t="n">
        <v>0.0995765326885378</v>
      </c>
      <c r="E40" s="26" t="n">
        <v>0.389303111003412</v>
      </c>
      <c r="F40" t="n">
        <v>0.69825085624933</v>
      </c>
      <c r="G40" t="n">
        <v>69</v>
      </c>
      <c r="H40" t="s">
        <v>771</v>
      </c>
      <c r="I40" s="26" t="n">
        <v>0.0387654539585807</v>
      </c>
      <c r="J40" s="26" t="n">
        <v>-0.159884293380694</v>
      </c>
      <c r="K40" s="26" t="n">
        <v>0.237415201297855</v>
      </c>
      <c r="L40" t="s">
        <v>1047</v>
      </c>
      <c r="M40" t="s">
        <v>1048</v>
      </c>
      <c r="N40" t="s">
        <v>773</v>
      </c>
      <c r="O40" t="s">
        <v>964</v>
      </c>
      <c r="P40" t="s">
        <v>822</v>
      </c>
      <c r="Q40"/>
    </row>
    <row r="41">
      <c r="A41" t="s">
        <v>83</v>
      </c>
      <c r="B41" t="s">
        <v>78</v>
      </c>
      <c r="C41" s="26" t="n">
        <v>-0.00574626462997928</v>
      </c>
      <c r="D41" s="26" t="n">
        <v>0.0102550128252491</v>
      </c>
      <c r="E41" s="26" t="n">
        <v>-0.560337147100514</v>
      </c>
      <c r="F41" t="n">
        <v>0.577064364719882</v>
      </c>
      <c r="G41" t="n">
        <v>69</v>
      </c>
      <c r="H41" t="s">
        <v>771</v>
      </c>
      <c r="I41" s="26" t="n">
        <v>-0.00574626462997928</v>
      </c>
      <c r="J41" s="26" t="n">
        <v>-0.026204455447576</v>
      </c>
      <c r="K41" s="26" t="n">
        <v>0.0147119261876174</v>
      </c>
      <c r="L41" t="s">
        <v>1049</v>
      </c>
      <c r="M41" t="s">
        <v>899</v>
      </c>
      <c r="N41" t="s">
        <v>773</v>
      </c>
      <c r="O41" t="s">
        <v>964</v>
      </c>
      <c r="P41" t="s">
        <v>822</v>
      </c>
      <c r="Q41"/>
    </row>
    <row r="42">
      <c r="A42" t="s">
        <v>90</v>
      </c>
      <c r="B42"/>
      <c r="C42" s="26"/>
      <c r="D42" s="26"/>
      <c r="E42" s="26"/>
      <c r="F42"/>
      <c r="G42"/>
      <c r="H42"/>
      <c r="I42" s="26"/>
      <c r="J42" s="26"/>
      <c r="K42" s="26"/>
      <c r="L42"/>
      <c r="M42" t="s">
        <v>94</v>
      </c>
      <c r="N42"/>
      <c r="O42" t="s">
        <v>782</v>
      </c>
      <c r="P42"/>
      <c r="Q42"/>
    </row>
    <row r="43">
      <c r="A43" t="s">
        <v>23</v>
      </c>
      <c r="B43" t="s">
        <v>809</v>
      </c>
      <c r="C43" s="26" t="n">
        <v>-1.29876896628703</v>
      </c>
      <c r="D43" s="26" t="n">
        <v>8.04540961842816</v>
      </c>
      <c r="E43" s="26" t="n">
        <v>-0.161429812512239</v>
      </c>
      <c r="F43" t="n">
        <v>0.872219911736876</v>
      </c>
      <c r="G43" t="n">
        <v>70</v>
      </c>
      <c r="H43"/>
      <c r="I43" s="26"/>
      <c r="J43" s="26"/>
      <c r="K43" s="26"/>
      <c r="L43"/>
      <c r="M43" t="s">
        <v>893</v>
      </c>
      <c r="N43" t="s">
        <v>773</v>
      </c>
      <c r="O43" t="s">
        <v>1050</v>
      </c>
      <c r="P43" t="s">
        <v>822</v>
      </c>
      <c r="Q43"/>
    </row>
    <row r="44">
      <c r="A44" t="s">
        <v>23</v>
      </c>
      <c r="B44" t="s">
        <v>318</v>
      </c>
      <c r="C44" s="26" t="n">
        <v>-0.485892220894939</v>
      </c>
      <c r="D44" s="26" t="n">
        <v>0.581666006621303</v>
      </c>
      <c r="E44" s="26" t="n">
        <v>-0.835345740276828</v>
      </c>
      <c r="F44" t="n">
        <v>0.406365235391689</v>
      </c>
      <c r="G44" t="n">
        <v>70</v>
      </c>
      <c r="H44" t="s">
        <v>787</v>
      </c>
      <c r="I44" s="26" t="n">
        <v>0.615148103852887</v>
      </c>
      <c r="J44" s="26" t="n">
        <v>0.192821865849052</v>
      </c>
      <c r="K44" s="26" t="n">
        <v>1.96247032465723</v>
      </c>
      <c r="L44" t="s">
        <v>1051</v>
      </c>
      <c r="M44" t="s">
        <v>86</v>
      </c>
      <c r="N44" t="s">
        <v>773</v>
      </c>
      <c r="O44" t="s">
        <v>1050</v>
      </c>
      <c r="P44" t="s">
        <v>822</v>
      </c>
      <c r="Q44"/>
    </row>
    <row r="45">
      <c r="A45" t="s">
        <v>23</v>
      </c>
      <c r="B45" t="s">
        <v>764</v>
      </c>
      <c r="C45" s="26" t="n">
        <v>0.107468097362895</v>
      </c>
      <c r="D45" s="26" t="n">
        <v>0.0440418363556122</v>
      </c>
      <c r="E45" s="26" t="n">
        <v>2.44013661226914</v>
      </c>
      <c r="F45" t="n">
        <v>0.0172167994804622</v>
      </c>
      <c r="G45" t="n">
        <v>70</v>
      </c>
      <c r="H45" t="s">
        <v>787</v>
      </c>
      <c r="I45" s="26" t="n">
        <v>1.11345533801832</v>
      </c>
      <c r="J45" s="26" t="n">
        <v>1.01982334841062</v>
      </c>
      <c r="K45" s="26" t="n">
        <v>1.21568386494944</v>
      </c>
      <c r="L45" t="s">
        <v>1052</v>
      </c>
      <c r="M45" t="s">
        <v>184</v>
      </c>
      <c r="N45" t="s">
        <v>773</v>
      </c>
      <c r="O45" t="s">
        <v>1050</v>
      </c>
      <c r="P45" t="s">
        <v>822</v>
      </c>
      <c r="Q45"/>
    </row>
    <row r="46">
      <c r="A46" t="s">
        <v>23</v>
      </c>
      <c r="B46" t="s">
        <v>52</v>
      </c>
      <c r="C46" s="26" t="n">
        <v>-0.0391846807496888</v>
      </c>
      <c r="D46" s="26" t="n">
        <v>0.155245375888743</v>
      </c>
      <c r="E46" s="26" t="n">
        <v>-0.252404817376144</v>
      </c>
      <c r="F46" t="n">
        <v>0.801467852068401</v>
      </c>
      <c r="G46" t="n">
        <v>70</v>
      </c>
      <c r="H46" t="s">
        <v>787</v>
      </c>
      <c r="I46" s="26" t="n">
        <v>0.961573108704584</v>
      </c>
      <c r="J46" s="26" t="n">
        <v>0.705525883743248</v>
      </c>
      <c r="K46" s="26" t="n">
        <v>1.31054418369189</v>
      </c>
      <c r="L46" t="s">
        <v>1053</v>
      </c>
      <c r="M46" t="s">
        <v>1054</v>
      </c>
      <c r="N46" t="s">
        <v>773</v>
      </c>
      <c r="O46" t="s">
        <v>1050</v>
      </c>
      <c r="P46" t="s">
        <v>822</v>
      </c>
      <c r="Q46"/>
    </row>
    <row r="47">
      <c r="A47" t="s">
        <v>23</v>
      </c>
      <c r="B47" t="s">
        <v>78</v>
      </c>
      <c r="C47" s="26" t="n">
        <v>-0.00372213665256683</v>
      </c>
      <c r="D47" s="26" t="n">
        <v>0.0164774715966782</v>
      </c>
      <c r="E47" s="26" t="n">
        <v>-0.225892463581439</v>
      </c>
      <c r="F47" t="n">
        <v>0.821943320839783</v>
      </c>
      <c r="G47" t="n">
        <v>70</v>
      </c>
      <c r="H47" t="s">
        <v>787</v>
      </c>
      <c r="I47" s="26" t="n">
        <v>0.996284781911455</v>
      </c>
      <c r="J47" s="26" t="n">
        <v>0.964075741426894</v>
      </c>
      <c r="K47" s="26" t="n">
        <v>1.02956990204864</v>
      </c>
      <c r="L47" t="s">
        <v>1055</v>
      </c>
      <c r="M47" t="s">
        <v>170</v>
      </c>
      <c r="N47" t="s">
        <v>773</v>
      </c>
      <c r="O47" t="s">
        <v>1050</v>
      </c>
      <c r="P47" t="s">
        <v>822</v>
      </c>
      <c r="Q47"/>
    </row>
    <row r="48">
      <c r="A48" t="s">
        <v>788</v>
      </c>
      <c r="B48" t="s">
        <v>809</v>
      </c>
      <c r="C48" s="26" t="n">
        <v>-5.13096771772943</v>
      </c>
      <c r="D48" s="26" t="n">
        <v>8.54964652296687</v>
      </c>
      <c r="E48" s="26" t="n">
        <v>-0.600137994471016</v>
      </c>
      <c r="F48" t="n">
        <v>0.550469381822001</v>
      </c>
      <c r="G48" t="n">
        <v>66</v>
      </c>
      <c r="H48"/>
      <c r="I48" s="26"/>
      <c r="J48" s="26"/>
      <c r="K48" s="26"/>
      <c r="L48"/>
      <c r="M48" t="s">
        <v>1046</v>
      </c>
      <c r="N48" t="s">
        <v>773</v>
      </c>
      <c r="O48" t="s">
        <v>1056</v>
      </c>
      <c r="P48" t="s">
        <v>822</v>
      </c>
      <c r="Q48"/>
    </row>
    <row r="49">
      <c r="A49" t="s">
        <v>788</v>
      </c>
      <c r="B49" t="s">
        <v>318</v>
      </c>
      <c r="C49" s="26" t="n">
        <v>-0.740509376756163</v>
      </c>
      <c r="D49" s="26" t="n">
        <v>0.856587548510816</v>
      </c>
      <c r="E49" s="26" t="n">
        <v>-0.864487673260654</v>
      </c>
      <c r="F49" t="n">
        <v>0.390451216474131</v>
      </c>
      <c r="G49" t="n">
        <v>66</v>
      </c>
      <c r="H49" t="s">
        <v>787</v>
      </c>
      <c r="I49" s="26" t="n">
        <v>0.476870946669023</v>
      </c>
      <c r="J49" s="26" t="n">
        <v>0.0862296150863037</v>
      </c>
      <c r="K49" s="26" t="n">
        <v>2.63721343936661</v>
      </c>
      <c r="L49" t="s">
        <v>1057</v>
      </c>
      <c r="M49" t="s">
        <v>1058</v>
      </c>
      <c r="N49" t="s">
        <v>773</v>
      </c>
      <c r="O49" t="s">
        <v>1056</v>
      </c>
      <c r="P49" t="s">
        <v>822</v>
      </c>
      <c r="Q49"/>
    </row>
    <row r="50">
      <c r="A50" t="s">
        <v>788</v>
      </c>
      <c r="B50" t="s">
        <v>764</v>
      </c>
      <c r="C50" s="26" t="n">
        <v>0.00373776933982895</v>
      </c>
      <c r="D50" s="26" t="n">
        <v>0.078289259194906</v>
      </c>
      <c r="E50" s="26" t="n">
        <v>0.0477430669068351</v>
      </c>
      <c r="F50" t="n">
        <v>0.962065189191592</v>
      </c>
      <c r="G50" t="n">
        <v>66</v>
      </c>
      <c r="H50" t="s">
        <v>787</v>
      </c>
      <c r="I50" s="26" t="n">
        <v>1.00374476351113</v>
      </c>
      <c r="J50" s="26" t="n">
        <v>0.858497268849496</v>
      </c>
      <c r="K50" s="26" t="n">
        <v>1.17356640123761</v>
      </c>
      <c r="L50" t="s">
        <v>1059</v>
      </c>
      <c r="M50" t="s">
        <v>167</v>
      </c>
      <c r="N50" t="s">
        <v>773</v>
      </c>
      <c r="O50" t="s">
        <v>1056</v>
      </c>
      <c r="P50" t="s">
        <v>822</v>
      </c>
      <c r="Q50"/>
    </row>
    <row r="51">
      <c r="A51" t="s">
        <v>788</v>
      </c>
      <c r="B51" t="s">
        <v>52</v>
      </c>
      <c r="C51" s="26" t="n">
        <v>0.090509990383609</v>
      </c>
      <c r="D51" s="26" t="n">
        <v>0.201814589088494</v>
      </c>
      <c r="E51" s="26" t="n">
        <v>0.44848090909781</v>
      </c>
      <c r="F51" t="n">
        <v>0.655275115598109</v>
      </c>
      <c r="G51" t="n">
        <v>66</v>
      </c>
      <c r="H51" t="s">
        <v>787</v>
      </c>
      <c r="I51" s="26" t="n">
        <v>1.09473244438408</v>
      </c>
      <c r="J51" s="26" t="n">
        <v>0.731669889464234</v>
      </c>
      <c r="K51" s="26" t="n">
        <v>1.6379505867936</v>
      </c>
      <c r="L51" t="s">
        <v>1060</v>
      </c>
      <c r="M51" t="s">
        <v>1061</v>
      </c>
      <c r="N51" t="s">
        <v>773</v>
      </c>
      <c r="O51" t="s">
        <v>1056</v>
      </c>
      <c r="P51" t="s">
        <v>822</v>
      </c>
      <c r="Q51"/>
    </row>
    <row r="52">
      <c r="A52" t="s">
        <v>788</v>
      </c>
      <c r="B52" t="s">
        <v>78</v>
      </c>
      <c r="C52" s="26" t="n">
        <v>0.00746552208694387</v>
      </c>
      <c r="D52" s="26" t="n">
        <v>0.0170780675086585</v>
      </c>
      <c r="E52" s="26" t="n">
        <v>0.43714091674359</v>
      </c>
      <c r="F52" t="n">
        <v>0.66343617145756</v>
      </c>
      <c r="G52" t="n">
        <v>66</v>
      </c>
      <c r="H52" t="s">
        <v>787</v>
      </c>
      <c r="I52" s="26" t="n">
        <v>1.00749345857384</v>
      </c>
      <c r="J52" s="26" t="n">
        <v>0.973719562951337</v>
      </c>
      <c r="K52" s="26" t="n">
        <v>1.04243881677029</v>
      </c>
      <c r="L52" t="s">
        <v>1062</v>
      </c>
      <c r="M52" t="s">
        <v>1061</v>
      </c>
      <c r="N52" t="s">
        <v>773</v>
      </c>
      <c r="O52" t="s">
        <v>1056</v>
      </c>
      <c r="P52" t="s">
        <v>822</v>
      </c>
      <c r="Q52"/>
    </row>
    <row r="53">
      <c r="A53" t="s">
        <v>791</v>
      </c>
      <c r="B53"/>
      <c r="C53" s="26"/>
      <c r="D53" s="26"/>
      <c r="E53" s="26"/>
      <c r="F53"/>
      <c r="G53"/>
      <c r="H53"/>
      <c r="I53" s="26"/>
      <c r="J53" s="26"/>
      <c r="K53" s="26"/>
      <c r="L53"/>
      <c r="M53" t="s">
        <v>94</v>
      </c>
      <c r="N53"/>
      <c r="O53" t="s">
        <v>792</v>
      </c>
      <c r="P53"/>
      <c r="Q53"/>
    </row>
    <row r="55">
      <c r="A55" s="1" t="s">
        <v>1063</v>
      </c>
    </row>
    <row r="56">
      <c r="A56" t="s">
        <v>749</v>
      </c>
      <c r="B56" t="s">
        <v>750</v>
      </c>
      <c r="C56" t="s">
        <v>751</v>
      </c>
      <c r="D56" t="s">
        <v>752</v>
      </c>
      <c r="E56" t="s">
        <v>753</v>
      </c>
      <c r="F56" t="s">
        <v>754</v>
      </c>
      <c r="G56" t="s">
        <v>755</v>
      </c>
      <c r="H56" t="s">
        <v>756</v>
      </c>
      <c r="I56" t="s">
        <v>757</v>
      </c>
      <c r="J56" t="s">
        <v>758</v>
      </c>
      <c r="K56" t="s">
        <v>759</v>
      </c>
      <c r="L56" t="s">
        <v>760</v>
      </c>
      <c r="M56" t="s">
        <v>39</v>
      </c>
      <c r="N56" t="s">
        <v>761</v>
      </c>
      <c r="O56" t="s">
        <v>762</v>
      </c>
      <c r="P56" t="s">
        <v>763</v>
      </c>
      <c r="Q56" t="s">
        <v>1</v>
      </c>
    </row>
    <row r="57">
      <c r="A57" t="s">
        <v>794</v>
      </c>
      <c r="B57" t="s">
        <v>809</v>
      </c>
      <c r="C57" s="26" t="n">
        <v>6.56436388998692</v>
      </c>
      <c r="D57" s="26" t="n">
        <v>0.431531945863897</v>
      </c>
      <c r="E57" s="26" t="n">
        <v>15.2117681040867</v>
      </c>
      <c r="F57" t="n">
        <v>0.00000000000000000000000694941324217283</v>
      </c>
      <c r="G57" t="n">
        <v>70</v>
      </c>
      <c r="H57"/>
      <c r="I57" s="26"/>
      <c r="J57" s="26"/>
      <c r="K57" s="26"/>
      <c r="L57"/>
      <c r="M57" t="s">
        <v>55</v>
      </c>
      <c r="N57" t="s">
        <v>773</v>
      </c>
      <c r="O57" t="s">
        <v>1064</v>
      </c>
      <c r="P57" t="s">
        <v>822</v>
      </c>
      <c r="Q57"/>
    </row>
    <row r="58">
      <c r="A58" t="s">
        <v>794</v>
      </c>
      <c r="B58" t="s">
        <v>318</v>
      </c>
      <c r="C58" s="26" t="n">
        <v>0.00442606884645945</v>
      </c>
      <c r="D58" s="26" t="n">
        <v>0.0302242410341298</v>
      </c>
      <c r="E58" s="26" t="n">
        <v>0.146441025316779</v>
      </c>
      <c r="F58" t="n">
        <v>0.883994164797151</v>
      </c>
      <c r="G58" t="n">
        <v>70</v>
      </c>
      <c r="H58" t="s">
        <v>771</v>
      </c>
      <c r="I58" s="26" t="n">
        <v>0.00442606884645945</v>
      </c>
      <c r="J58" s="26" t="n">
        <v>-0.0558542791471266</v>
      </c>
      <c r="K58" s="26" t="n">
        <v>0.0647064168400455</v>
      </c>
      <c r="L58" t="s">
        <v>1065</v>
      </c>
      <c r="M58" t="s">
        <v>1066</v>
      </c>
      <c r="N58" t="s">
        <v>773</v>
      </c>
      <c r="O58" t="s">
        <v>1064</v>
      </c>
      <c r="P58" t="s">
        <v>822</v>
      </c>
      <c r="Q58"/>
    </row>
    <row r="59">
      <c r="A59" t="s">
        <v>794</v>
      </c>
      <c r="B59" t="s">
        <v>764</v>
      </c>
      <c r="C59" s="26" t="n">
        <v>0.00196189000305924</v>
      </c>
      <c r="D59" s="26" t="n">
        <v>0.0020535807464095</v>
      </c>
      <c r="E59" s="26" t="n">
        <v>0.955350797132973</v>
      </c>
      <c r="F59" t="n">
        <v>0.342688028616061</v>
      </c>
      <c r="G59" t="n">
        <v>70</v>
      </c>
      <c r="H59" t="s">
        <v>771</v>
      </c>
      <c r="I59" s="26" t="n">
        <v>0.00196189000305924</v>
      </c>
      <c r="J59" s="26" t="n">
        <v>-0.00213384764959864</v>
      </c>
      <c r="K59" s="26" t="n">
        <v>0.00605762765571712</v>
      </c>
      <c r="L59" t="s">
        <v>1067</v>
      </c>
      <c r="M59" t="s">
        <v>1005</v>
      </c>
      <c r="N59" t="s">
        <v>773</v>
      </c>
      <c r="O59" t="s">
        <v>1064</v>
      </c>
      <c r="P59" t="s">
        <v>822</v>
      </c>
      <c r="Q59"/>
    </row>
    <row r="60">
      <c r="A60" t="s">
        <v>794</v>
      </c>
      <c r="B60" t="s">
        <v>52</v>
      </c>
      <c r="C60" s="26" t="n">
        <v>0.0473189548451721</v>
      </c>
      <c r="D60" s="26" t="n">
        <v>0.00884344622550548</v>
      </c>
      <c r="E60" s="26" t="n">
        <v>5.35073699082367</v>
      </c>
      <c r="F60" t="n">
        <v>0.00000104904394897378</v>
      </c>
      <c r="G60" t="n">
        <v>70</v>
      </c>
      <c r="H60" t="s">
        <v>771</v>
      </c>
      <c r="I60" s="26" t="n">
        <v>0.0473189548451721</v>
      </c>
      <c r="J60" s="26" t="n">
        <v>0.0296812574970712</v>
      </c>
      <c r="K60" s="26" t="n">
        <v>0.0649566521932731</v>
      </c>
      <c r="L60" t="s">
        <v>1068</v>
      </c>
      <c r="M60" t="s">
        <v>55</v>
      </c>
      <c r="N60" t="s">
        <v>773</v>
      </c>
      <c r="O60" t="s">
        <v>1064</v>
      </c>
      <c r="P60" t="s">
        <v>822</v>
      </c>
      <c r="Q60"/>
    </row>
    <row r="61">
      <c r="A61" t="s">
        <v>794</v>
      </c>
      <c r="B61" t="s">
        <v>78</v>
      </c>
      <c r="C61" s="26" t="n">
        <v>0.0000915377016371259</v>
      </c>
      <c r="D61" s="26" t="n">
        <v>0.000923294670452505</v>
      </c>
      <c r="E61" s="26" t="n">
        <v>0.0991424564297154</v>
      </c>
      <c r="F61" t="n">
        <v>0.921308536834654</v>
      </c>
      <c r="G61" t="n">
        <v>70</v>
      </c>
      <c r="H61" t="s">
        <v>771</v>
      </c>
      <c r="I61" s="26" t="n">
        <v>0.0000915377016371259</v>
      </c>
      <c r="J61" s="26" t="n">
        <v>-0.0017499154542139</v>
      </c>
      <c r="K61" s="26" t="n">
        <v>0.00193299085748815</v>
      </c>
      <c r="L61" t="s">
        <v>1069</v>
      </c>
      <c r="M61" t="s">
        <v>1070</v>
      </c>
      <c r="N61" t="s">
        <v>773</v>
      </c>
      <c r="O61" t="s">
        <v>1064</v>
      </c>
      <c r="P61" t="s">
        <v>822</v>
      </c>
      <c r="Q61"/>
    </row>
    <row r="62">
      <c r="A62" t="s">
        <v>125</v>
      </c>
      <c r="B62" t="s">
        <v>809</v>
      </c>
      <c r="C62" s="26" t="n">
        <v>17.0279616449026</v>
      </c>
      <c r="D62" s="26" t="n">
        <v>17.6273279303849</v>
      </c>
      <c r="E62" s="26" t="n">
        <v>0.965997893279721</v>
      </c>
      <c r="F62" t="n">
        <v>0.337370848529284</v>
      </c>
      <c r="G62" t="n">
        <v>70</v>
      </c>
      <c r="H62"/>
      <c r="I62" s="26"/>
      <c r="J62" s="26"/>
      <c r="K62" s="26"/>
      <c r="L62"/>
      <c r="M62" t="s">
        <v>1005</v>
      </c>
      <c r="N62" t="s">
        <v>773</v>
      </c>
      <c r="O62" t="s">
        <v>964</v>
      </c>
      <c r="P62" t="s">
        <v>822</v>
      </c>
      <c r="Q62"/>
    </row>
    <row r="63">
      <c r="A63" t="s">
        <v>125</v>
      </c>
      <c r="B63" t="s">
        <v>318</v>
      </c>
      <c r="C63" s="26" t="n">
        <v>-0.612542373852086</v>
      </c>
      <c r="D63" s="26" t="n">
        <v>1.33847888624055</v>
      </c>
      <c r="E63" s="26" t="n">
        <v>-0.457640669680314</v>
      </c>
      <c r="F63" t="n">
        <v>0.648627958074939</v>
      </c>
      <c r="G63" t="n">
        <v>70</v>
      </c>
      <c r="H63" t="s">
        <v>771</v>
      </c>
      <c r="I63" s="26" t="n">
        <v>-0.612542373852086</v>
      </c>
      <c r="J63" s="26" t="n">
        <v>-3.2820543378924</v>
      </c>
      <c r="K63" s="26" t="n">
        <v>2.05696959018823</v>
      </c>
      <c r="L63" t="s">
        <v>1071</v>
      </c>
      <c r="M63" t="s">
        <v>871</v>
      </c>
      <c r="N63" t="s">
        <v>773</v>
      </c>
      <c r="O63" t="s">
        <v>964</v>
      </c>
      <c r="P63" t="s">
        <v>822</v>
      </c>
      <c r="Q63"/>
    </row>
    <row r="64">
      <c r="A64" t="s">
        <v>125</v>
      </c>
      <c r="B64" t="s">
        <v>764</v>
      </c>
      <c r="C64" s="26" t="n">
        <v>0.170688954379742</v>
      </c>
      <c r="D64" s="26" t="n">
        <v>0.0812792637203383</v>
      </c>
      <c r="E64" s="26" t="n">
        <v>2.10003076512898</v>
      </c>
      <c r="F64" t="n">
        <v>0.0393314152166523</v>
      </c>
      <c r="G64" t="n">
        <v>70</v>
      </c>
      <c r="H64" t="s">
        <v>771</v>
      </c>
      <c r="I64" s="26" t="n">
        <v>0.170688954379742</v>
      </c>
      <c r="J64" s="26" t="n">
        <v>0.00858257439846224</v>
      </c>
      <c r="K64" s="26" t="n">
        <v>0.332795334361022</v>
      </c>
      <c r="L64" t="s">
        <v>1072</v>
      </c>
      <c r="M64" t="s">
        <v>836</v>
      </c>
      <c r="N64" t="s">
        <v>773</v>
      </c>
      <c r="O64" t="s">
        <v>964</v>
      </c>
      <c r="P64" t="s">
        <v>822</v>
      </c>
      <c r="Q64"/>
    </row>
    <row r="65">
      <c r="A65" t="s">
        <v>125</v>
      </c>
      <c r="B65" t="s">
        <v>52</v>
      </c>
      <c r="C65" s="26" t="n">
        <v>-13.542846311799</v>
      </c>
      <c r="D65" s="26" t="n">
        <v>0.373775186180339</v>
      </c>
      <c r="E65" s="26" t="n">
        <v>-36.2325986649761</v>
      </c>
      <c r="F65" t="n">
        <v>0.0000000000000000000000000000000000000000000000437159122150987</v>
      </c>
      <c r="G65" t="n">
        <v>70</v>
      </c>
      <c r="H65" t="s">
        <v>771</v>
      </c>
      <c r="I65" s="26" t="n">
        <v>-13.542846311799</v>
      </c>
      <c r="J65" s="26" t="n">
        <v>-14.2883174145762</v>
      </c>
      <c r="K65" s="26" t="n">
        <v>-12.7973752090217</v>
      </c>
      <c r="L65" t="s">
        <v>1073</v>
      </c>
      <c r="M65" t="s">
        <v>55</v>
      </c>
      <c r="N65" t="s">
        <v>773</v>
      </c>
      <c r="O65" t="s">
        <v>964</v>
      </c>
      <c r="P65" t="s">
        <v>822</v>
      </c>
      <c r="Q65"/>
    </row>
    <row r="66">
      <c r="A66" t="s">
        <v>125</v>
      </c>
      <c r="B66" t="s">
        <v>78</v>
      </c>
      <c r="C66" s="26" t="n">
        <v>-0.0294700576340844</v>
      </c>
      <c r="D66" s="26" t="n">
        <v>0.0360354359321583</v>
      </c>
      <c r="E66" s="26" t="n">
        <v>-0.817807718201769</v>
      </c>
      <c r="F66" t="n">
        <v>0.416242050037075</v>
      </c>
      <c r="G66" t="n">
        <v>70</v>
      </c>
      <c r="H66" t="s">
        <v>771</v>
      </c>
      <c r="I66" s="26" t="n">
        <v>-0.0294700576340844</v>
      </c>
      <c r="J66" s="26" t="n">
        <v>-0.101340468396034</v>
      </c>
      <c r="K66" s="26" t="n">
        <v>0.0424003531278649</v>
      </c>
      <c r="L66" t="s">
        <v>1074</v>
      </c>
      <c r="M66" t="s">
        <v>1075</v>
      </c>
      <c r="N66" t="s">
        <v>773</v>
      </c>
      <c r="O66" t="s">
        <v>964</v>
      </c>
      <c r="P66" t="s">
        <v>822</v>
      </c>
      <c r="Q66"/>
    </row>
    <row r="67">
      <c r="A67" t="s">
        <v>797</v>
      </c>
      <c r="B67"/>
      <c r="C67" s="26"/>
      <c r="D67" s="26"/>
      <c r="E67" s="26"/>
      <c r="F67"/>
      <c r="G67"/>
      <c r="H67"/>
      <c r="I67" s="26"/>
      <c r="J67" s="26"/>
      <c r="K67" s="26"/>
      <c r="L67"/>
      <c r="M67" t="s">
        <v>94</v>
      </c>
      <c r="N67"/>
      <c r="O67" t="s">
        <v>792</v>
      </c>
      <c r="P67"/>
      <c r="Q67"/>
    </row>
    <row r="69">
      <c r="A69" s="1" t="s">
        <v>1076</v>
      </c>
    </row>
    <row r="70">
      <c r="A70" t="s">
        <v>749</v>
      </c>
      <c r="B70" t="s">
        <v>750</v>
      </c>
      <c r="C70" t="s">
        <v>751</v>
      </c>
      <c r="D70" t="s">
        <v>752</v>
      </c>
      <c r="E70" t="s">
        <v>753</v>
      </c>
      <c r="F70" t="s">
        <v>754</v>
      </c>
      <c r="G70" t="s">
        <v>755</v>
      </c>
      <c r="H70" t="s">
        <v>756</v>
      </c>
      <c r="I70" t="s">
        <v>757</v>
      </c>
      <c r="J70" t="s">
        <v>758</v>
      </c>
      <c r="K70" t="s">
        <v>759</v>
      </c>
      <c r="L70" t="s">
        <v>760</v>
      </c>
      <c r="M70" t="s">
        <v>39</v>
      </c>
      <c r="N70" t="s">
        <v>761</v>
      </c>
      <c r="O70" t="s">
        <v>762</v>
      </c>
      <c r="P70" t="s">
        <v>763</v>
      </c>
      <c r="Q70" t="s">
        <v>1</v>
      </c>
    </row>
    <row r="71">
      <c r="A71" t="s">
        <v>137</v>
      </c>
      <c r="B71" t="s">
        <v>809</v>
      </c>
      <c r="C71" s="26" t="n">
        <v>180.060507455283</v>
      </c>
      <c r="D71" s="26" t="n">
        <v>34.9523637529435</v>
      </c>
      <c r="E71" s="26" t="n">
        <v>5.15159743495515</v>
      </c>
      <c r="F71" t="n">
        <v>0.00000267911045622506</v>
      </c>
      <c r="G71" t="n">
        <v>64</v>
      </c>
      <c r="H71"/>
      <c r="I71" s="26"/>
      <c r="J71" s="26"/>
      <c r="K71" s="26"/>
      <c r="L71"/>
      <c r="M71" t="s">
        <v>55</v>
      </c>
      <c r="N71" t="s">
        <v>773</v>
      </c>
      <c r="O71" t="s">
        <v>964</v>
      </c>
      <c r="P71" t="s">
        <v>822</v>
      </c>
      <c r="Q71"/>
    </row>
    <row r="72">
      <c r="A72" t="s">
        <v>137</v>
      </c>
      <c r="B72" t="s">
        <v>318</v>
      </c>
      <c r="C72" s="26" t="n">
        <v>-4.29046107830197</v>
      </c>
      <c r="D72" s="26" t="n">
        <v>3.40916895187635</v>
      </c>
      <c r="E72" s="26" t="n">
        <v>-1.25850643921316</v>
      </c>
      <c r="F72" t="n">
        <v>0.212780334773421</v>
      </c>
      <c r="G72" t="n">
        <v>64</v>
      </c>
      <c r="H72" t="s">
        <v>771</v>
      </c>
      <c r="I72" s="26" t="n">
        <v>-4.29046107830197</v>
      </c>
      <c r="J72" s="26" t="n">
        <v>-11.1010589900445</v>
      </c>
      <c r="K72" s="26" t="n">
        <v>2.52013683344059</v>
      </c>
      <c r="L72" t="s">
        <v>1077</v>
      </c>
      <c r="M72" t="s">
        <v>352</v>
      </c>
      <c r="N72" t="s">
        <v>773</v>
      </c>
      <c r="O72" t="s">
        <v>964</v>
      </c>
      <c r="P72" t="s">
        <v>822</v>
      </c>
      <c r="Q72"/>
    </row>
    <row r="73">
      <c r="A73" t="s">
        <v>137</v>
      </c>
      <c r="B73" t="s">
        <v>764</v>
      </c>
      <c r="C73" s="26" t="n">
        <v>0.271916827076194</v>
      </c>
      <c r="D73" s="26" t="n">
        <v>0.246105627469795</v>
      </c>
      <c r="E73" s="26" t="n">
        <v>1.10487854289138</v>
      </c>
      <c r="F73" t="n">
        <v>0.273348717221944</v>
      </c>
      <c r="G73" t="n">
        <v>64</v>
      </c>
      <c r="H73" t="s">
        <v>771</v>
      </c>
      <c r="I73" s="26" t="n">
        <v>0.271916827076194</v>
      </c>
      <c r="J73" s="26" t="n">
        <v>-0.219735683014677</v>
      </c>
      <c r="K73" s="26" t="n">
        <v>0.763569337167066</v>
      </c>
      <c r="L73" t="s">
        <v>1078</v>
      </c>
      <c r="M73" t="s">
        <v>325</v>
      </c>
      <c r="N73" t="s">
        <v>773</v>
      </c>
      <c r="O73" t="s">
        <v>964</v>
      </c>
      <c r="P73" t="s">
        <v>822</v>
      </c>
      <c r="Q73"/>
    </row>
    <row r="74">
      <c r="A74" t="s">
        <v>137</v>
      </c>
      <c r="B74" t="s">
        <v>52</v>
      </c>
      <c r="C74" s="26" t="n">
        <v>-0.0419784985280117</v>
      </c>
      <c r="D74" s="26" t="n">
        <v>0.771763172612362</v>
      </c>
      <c r="E74" s="26" t="n">
        <v>-0.0543929796311964</v>
      </c>
      <c r="F74" t="n">
        <v>0.956791512144164</v>
      </c>
      <c r="G74" t="n">
        <v>64</v>
      </c>
      <c r="H74" t="s">
        <v>771</v>
      </c>
      <c r="I74" s="26" t="n">
        <v>-0.0419784985280117</v>
      </c>
      <c r="J74" s="26" t="n">
        <v>-1.58375267456603</v>
      </c>
      <c r="K74" s="26" t="n">
        <v>1.49979567751001</v>
      </c>
      <c r="L74" t="s">
        <v>1079</v>
      </c>
      <c r="M74" t="s">
        <v>167</v>
      </c>
      <c r="N74" t="s">
        <v>773</v>
      </c>
      <c r="O74" t="s">
        <v>964</v>
      </c>
      <c r="P74" t="s">
        <v>822</v>
      </c>
      <c r="Q74"/>
    </row>
    <row r="75">
      <c r="A75" t="s">
        <v>137</v>
      </c>
      <c r="B75" t="s">
        <v>78</v>
      </c>
      <c r="C75" s="26" t="n">
        <v>-0.0162505596133034</v>
      </c>
      <c r="D75" s="26" t="n">
        <v>0.0691907851414445</v>
      </c>
      <c r="E75" s="26" t="n">
        <v>-0.234865951876148</v>
      </c>
      <c r="F75" t="n">
        <v>0.815062603678918</v>
      </c>
      <c r="G75" t="n">
        <v>64</v>
      </c>
      <c r="H75" t="s">
        <v>771</v>
      </c>
      <c r="I75" s="26" t="n">
        <v>-0.0162505596133034</v>
      </c>
      <c r="J75" s="26" t="n">
        <v>-0.154475042895891</v>
      </c>
      <c r="K75" s="26" t="n">
        <v>0.121973923669284</v>
      </c>
      <c r="L75" t="s">
        <v>1080</v>
      </c>
      <c r="M75" t="s">
        <v>170</v>
      </c>
      <c r="N75" t="s">
        <v>773</v>
      </c>
      <c r="O75" t="s">
        <v>964</v>
      </c>
      <c r="P75" t="s">
        <v>822</v>
      </c>
      <c r="Q75"/>
    </row>
    <row r="76">
      <c r="A76" t="s">
        <v>145</v>
      </c>
      <c r="B76" t="s">
        <v>809</v>
      </c>
      <c r="C76" s="26" t="n">
        <v>-0.571119248758608</v>
      </c>
      <c r="D76" s="26" t="n">
        <v>1.10071720274316</v>
      </c>
      <c r="E76" s="26" t="n">
        <v>-0.518861018375371</v>
      </c>
      <c r="F76" t="n">
        <v>0.605647216478015</v>
      </c>
      <c r="G76" t="n">
        <v>64</v>
      </c>
      <c r="H76"/>
      <c r="I76" s="26"/>
      <c r="J76" s="26"/>
      <c r="K76" s="26"/>
      <c r="L76"/>
      <c r="M76" t="s">
        <v>189</v>
      </c>
      <c r="N76" t="s">
        <v>773</v>
      </c>
      <c r="O76" t="s">
        <v>964</v>
      </c>
      <c r="P76" t="s">
        <v>822</v>
      </c>
      <c r="Q76"/>
    </row>
    <row r="77">
      <c r="A77" t="s">
        <v>145</v>
      </c>
      <c r="B77" t="s">
        <v>318</v>
      </c>
      <c r="C77" s="26" t="n">
        <v>-0.205924848123891</v>
      </c>
      <c r="D77" s="26" t="n">
        <v>0.0928636757864412</v>
      </c>
      <c r="E77" s="26" t="n">
        <v>-2.21749619945539</v>
      </c>
      <c r="F77" t="n">
        <v>0.030146865238169</v>
      </c>
      <c r="G77" t="n">
        <v>64</v>
      </c>
      <c r="H77" t="s">
        <v>771</v>
      </c>
      <c r="I77" s="26" t="n">
        <v>-0.205924848123891</v>
      </c>
      <c r="J77" s="26" t="n">
        <v>-0.391441367051409</v>
      </c>
      <c r="K77" s="26" t="n">
        <v>-0.0204083291963736</v>
      </c>
      <c r="L77" t="s">
        <v>1081</v>
      </c>
      <c r="M77" t="s">
        <v>81</v>
      </c>
      <c r="N77" t="s">
        <v>773</v>
      </c>
      <c r="O77" t="s">
        <v>964</v>
      </c>
      <c r="P77" t="s">
        <v>822</v>
      </c>
      <c r="Q77"/>
    </row>
    <row r="78">
      <c r="A78" t="s">
        <v>145</v>
      </c>
      <c r="B78" t="s">
        <v>764</v>
      </c>
      <c r="C78" s="26" t="n">
        <v>-0.0181491322011289</v>
      </c>
      <c r="D78" s="26" t="n">
        <v>0.00918268145094707</v>
      </c>
      <c r="E78" s="26" t="n">
        <v>-1.97645233563634</v>
      </c>
      <c r="F78" t="n">
        <v>0.052416462903541</v>
      </c>
      <c r="G78" t="n">
        <v>64</v>
      </c>
      <c r="H78" t="s">
        <v>771</v>
      </c>
      <c r="I78" s="26" t="n">
        <v>-0.0181491322011289</v>
      </c>
      <c r="J78" s="26" t="n">
        <v>-0.0364936472418389</v>
      </c>
      <c r="K78" s="26" t="n">
        <v>0.000195382839581103</v>
      </c>
      <c r="L78" t="s">
        <v>1082</v>
      </c>
      <c r="M78" t="s">
        <v>1083</v>
      </c>
      <c r="N78" t="s">
        <v>773</v>
      </c>
      <c r="O78" t="s">
        <v>964</v>
      </c>
      <c r="P78" t="s">
        <v>822</v>
      </c>
      <c r="Q78"/>
    </row>
    <row r="79">
      <c r="A79" t="s">
        <v>145</v>
      </c>
      <c r="B79" t="s">
        <v>52</v>
      </c>
      <c r="C79" s="26" t="n">
        <v>0.0707943541515822</v>
      </c>
      <c r="D79" s="26" t="n">
        <v>0.0285929104280294</v>
      </c>
      <c r="E79" s="26" t="n">
        <v>2.47594082210614</v>
      </c>
      <c r="F79" t="n">
        <v>0.0159445754049627</v>
      </c>
      <c r="G79" t="n">
        <v>64</v>
      </c>
      <c r="H79" t="s">
        <v>771</v>
      </c>
      <c r="I79" s="26" t="n">
        <v>0.0707943541515822</v>
      </c>
      <c r="J79" s="26" t="n">
        <v>0.0136734490862583</v>
      </c>
      <c r="K79" s="26" t="n">
        <v>0.127915259216906</v>
      </c>
      <c r="L79" t="s">
        <v>1084</v>
      </c>
      <c r="M79" t="s">
        <v>184</v>
      </c>
      <c r="N79" t="s">
        <v>773</v>
      </c>
      <c r="O79" t="s">
        <v>964</v>
      </c>
      <c r="P79" t="s">
        <v>822</v>
      </c>
      <c r="Q79"/>
    </row>
    <row r="80">
      <c r="A80" t="s">
        <v>145</v>
      </c>
      <c r="B80" t="s">
        <v>78</v>
      </c>
      <c r="C80" s="26" t="n">
        <v>0.00279720695613914</v>
      </c>
      <c r="D80" s="26" t="n">
        <v>0.00219139166272468</v>
      </c>
      <c r="E80" s="26" t="n">
        <v>1.27645231280164</v>
      </c>
      <c r="F80" t="n">
        <v>0.206408169762962</v>
      </c>
      <c r="G80" t="n">
        <v>64</v>
      </c>
      <c r="H80" t="s">
        <v>771</v>
      </c>
      <c r="I80" s="26" t="n">
        <v>0.00279720695613914</v>
      </c>
      <c r="J80" s="26" t="n">
        <v>-0.0015806011527105</v>
      </c>
      <c r="K80" s="26" t="n">
        <v>0.00717501506498879</v>
      </c>
      <c r="L80" t="s">
        <v>1085</v>
      </c>
      <c r="M80" t="s">
        <v>352</v>
      </c>
      <c r="N80" t="s">
        <v>773</v>
      </c>
      <c r="O80" t="s">
        <v>964</v>
      </c>
      <c r="P80" t="s">
        <v>822</v>
      </c>
      <c r="Q80"/>
    </row>
    <row r="81">
      <c r="A81" t="s">
        <v>150</v>
      </c>
      <c r="B81" t="s">
        <v>809</v>
      </c>
      <c r="C81" s="26" t="n">
        <v>-0.923934990663134</v>
      </c>
      <c r="D81" s="26" t="n">
        <v>0.539322714728469</v>
      </c>
      <c r="E81" s="26" t="n">
        <v>-1.71313939767641</v>
      </c>
      <c r="F81" t="n">
        <v>0.0915276672608662</v>
      </c>
      <c r="G81" t="n">
        <v>64</v>
      </c>
      <c r="H81"/>
      <c r="I81" s="26"/>
      <c r="J81" s="26"/>
      <c r="K81" s="26"/>
      <c r="L81"/>
      <c r="M81" t="s">
        <v>92</v>
      </c>
      <c r="N81" t="s">
        <v>773</v>
      </c>
      <c r="O81" t="s">
        <v>964</v>
      </c>
      <c r="P81" t="s">
        <v>822</v>
      </c>
      <c r="Q81"/>
    </row>
    <row r="82">
      <c r="A82" t="s">
        <v>150</v>
      </c>
      <c r="B82" t="s">
        <v>318</v>
      </c>
      <c r="C82" s="26" t="n">
        <v>0.0363341474917355</v>
      </c>
      <c r="D82" s="26" t="n">
        <v>0.0402354052571477</v>
      </c>
      <c r="E82" s="26" t="n">
        <v>0.903039183016079</v>
      </c>
      <c r="F82" t="n">
        <v>0.3698914814042</v>
      </c>
      <c r="G82" t="n">
        <v>64</v>
      </c>
      <c r="H82" t="s">
        <v>771</v>
      </c>
      <c r="I82" s="26" t="n">
        <v>0.0363341474917355</v>
      </c>
      <c r="J82" s="26" t="n">
        <v>-0.0440453147439584</v>
      </c>
      <c r="K82" s="26" t="n">
        <v>0.116713609727429</v>
      </c>
      <c r="L82" t="s">
        <v>1086</v>
      </c>
      <c r="M82" t="s">
        <v>1019</v>
      </c>
      <c r="N82" t="s">
        <v>773</v>
      </c>
      <c r="O82" t="s">
        <v>964</v>
      </c>
      <c r="P82" t="s">
        <v>822</v>
      </c>
      <c r="Q82"/>
    </row>
    <row r="83">
      <c r="A83" t="s">
        <v>150</v>
      </c>
      <c r="B83" t="s">
        <v>764</v>
      </c>
      <c r="C83" s="26" t="n">
        <v>-0.00316388081258433</v>
      </c>
      <c r="D83" s="26" t="n">
        <v>0.00337283719159741</v>
      </c>
      <c r="E83" s="26" t="n">
        <v>-0.938047297529319</v>
      </c>
      <c r="F83" t="n">
        <v>0.351746758384101</v>
      </c>
      <c r="G83" t="n">
        <v>64</v>
      </c>
      <c r="H83" t="s">
        <v>771</v>
      </c>
      <c r="I83" s="26" t="n">
        <v>-0.00316388081258433</v>
      </c>
      <c r="J83" s="26" t="n">
        <v>-0.00990189768942409</v>
      </c>
      <c r="K83" s="26" t="n">
        <v>0.00357413606425543</v>
      </c>
      <c r="L83" t="s">
        <v>1087</v>
      </c>
      <c r="M83" t="s">
        <v>334</v>
      </c>
      <c r="N83" t="s">
        <v>773</v>
      </c>
      <c r="O83" t="s">
        <v>964</v>
      </c>
      <c r="P83" t="s">
        <v>822</v>
      </c>
      <c r="Q83"/>
    </row>
    <row r="84">
      <c r="A84" t="s">
        <v>150</v>
      </c>
      <c r="B84" t="s">
        <v>52</v>
      </c>
      <c r="C84" s="26" t="n">
        <v>0.0146245199324398</v>
      </c>
      <c r="D84" s="26" t="n">
        <v>0.0106264516955412</v>
      </c>
      <c r="E84" s="26" t="n">
        <v>1.37623736986225</v>
      </c>
      <c r="F84" t="n">
        <v>0.173544625286973</v>
      </c>
      <c r="G84" t="n">
        <v>64</v>
      </c>
      <c r="H84" t="s">
        <v>771</v>
      </c>
      <c r="I84" s="26" t="n">
        <v>0.0146245199324398</v>
      </c>
      <c r="J84" s="26" t="n">
        <v>-0.00660425773991733</v>
      </c>
      <c r="K84" s="26" t="n">
        <v>0.0358532976047969</v>
      </c>
      <c r="L84" t="s">
        <v>1088</v>
      </c>
      <c r="M84" t="s">
        <v>1089</v>
      </c>
      <c r="N84" t="s">
        <v>773</v>
      </c>
      <c r="O84" t="s">
        <v>964</v>
      </c>
      <c r="P84" t="s">
        <v>822</v>
      </c>
      <c r="Q84"/>
    </row>
    <row r="85">
      <c r="A85" t="s">
        <v>150</v>
      </c>
      <c r="B85" t="s">
        <v>78</v>
      </c>
      <c r="C85" s="26" t="n">
        <v>0.00163774719397577</v>
      </c>
      <c r="D85" s="26" t="n">
        <v>0.00109896013202322</v>
      </c>
      <c r="E85" s="26" t="n">
        <v>1.49026988900919</v>
      </c>
      <c r="F85" t="n">
        <v>0.141065481696899</v>
      </c>
      <c r="G85" t="n">
        <v>64</v>
      </c>
      <c r="H85" t="s">
        <v>771</v>
      </c>
      <c r="I85" s="26" t="n">
        <v>0.00163774719397577</v>
      </c>
      <c r="J85" s="26" t="n">
        <v>-0.000557678050679902</v>
      </c>
      <c r="K85" s="26" t="n">
        <v>0.00383317243863143</v>
      </c>
      <c r="L85" t="s">
        <v>1090</v>
      </c>
      <c r="M85" t="s">
        <v>820</v>
      </c>
      <c r="N85" t="s">
        <v>773</v>
      </c>
      <c r="O85" t="s">
        <v>964</v>
      </c>
      <c r="P85" t="s">
        <v>822</v>
      </c>
      <c r="Q85"/>
    </row>
    <row r="86">
      <c r="A86" t="s">
        <v>156</v>
      </c>
      <c r="B86" t="s">
        <v>809</v>
      </c>
      <c r="C86" s="26" t="n">
        <v>0.324638111265112</v>
      </c>
      <c r="D86" s="26" t="n">
        <v>0.287431951384561</v>
      </c>
      <c r="E86" s="26" t="n">
        <v>1.12944336807835</v>
      </c>
      <c r="F86" t="n">
        <v>0.262993013363845</v>
      </c>
      <c r="G86" t="n">
        <v>63</v>
      </c>
      <c r="H86"/>
      <c r="I86" s="26"/>
      <c r="J86" s="26"/>
      <c r="K86" s="26"/>
      <c r="L86"/>
      <c r="M86" t="s">
        <v>174</v>
      </c>
      <c r="N86" t="s">
        <v>773</v>
      </c>
      <c r="O86" t="s">
        <v>964</v>
      </c>
      <c r="P86" t="s">
        <v>822</v>
      </c>
      <c r="Q86"/>
    </row>
    <row r="87">
      <c r="A87" t="s">
        <v>156</v>
      </c>
      <c r="B87" t="s">
        <v>318</v>
      </c>
      <c r="C87" s="26" t="n">
        <v>0.0198076961788699</v>
      </c>
      <c r="D87" s="26" t="n">
        <v>0.0244351803693736</v>
      </c>
      <c r="E87" s="26" t="n">
        <v>0.810622057191617</v>
      </c>
      <c r="F87" t="n">
        <v>0.420634452578455</v>
      </c>
      <c r="G87" t="n">
        <v>63</v>
      </c>
      <c r="H87" t="s">
        <v>771</v>
      </c>
      <c r="I87" s="26" t="n">
        <v>0.0198076961788699</v>
      </c>
      <c r="J87" s="26" t="n">
        <v>-0.0290221154170564</v>
      </c>
      <c r="K87" s="26" t="n">
        <v>0.0686375077747961</v>
      </c>
      <c r="L87" t="s">
        <v>1091</v>
      </c>
      <c r="M87" t="s">
        <v>1075</v>
      </c>
      <c r="N87" t="s">
        <v>773</v>
      </c>
      <c r="O87" t="s">
        <v>964</v>
      </c>
      <c r="P87" t="s">
        <v>822</v>
      </c>
      <c r="Q87"/>
    </row>
    <row r="88">
      <c r="A88" t="s">
        <v>156</v>
      </c>
      <c r="B88" t="s">
        <v>764</v>
      </c>
      <c r="C88" s="26" t="n">
        <v>0.00313364092275545</v>
      </c>
      <c r="D88" s="26" t="n">
        <v>0.00168860539762184</v>
      </c>
      <c r="E88" s="26" t="n">
        <v>1.85575678436699</v>
      </c>
      <c r="F88" t="n">
        <v>0.0681670283300914</v>
      </c>
      <c r="G88" t="n">
        <v>63</v>
      </c>
      <c r="H88" t="s">
        <v>771</v>
      </c>
      <c r="I88" s="26" t="n">
        <v>0.00313364092275545</v>
      </c>
      <c r="J88" s="26" t="n">
        <v>-0.000240767703631631</v>
      </c>
      <c r="K88" s="26" t="n">
        <v>0.00650804954914253</v>
      </c>
      <c r="L88" t="s">
        <v>1092</v>
      </c>
      <c r="M88" t="s">
        <v>371</v>
      </c>
      <c r="N88" t="s">
        <v>773</v>
      </c>
      <c r="O88" t="s">
        <v>964</v>
      </c>
      <c r="P88" t="s">
        <v>822</v>
      </c>
      <c r="Q88"/>
    </row>
    <row r="89">
      <c r="A89" t="s">
        <v>156</v>
      </c>
      <c r="B89" t="s">
        <v>52</v>
      </c>
      <c r="C89" s="26" t="n">
        <v>-0.0135468652158672</v>
      </c>
      <c r="D89" s="26" t="n">
        <v>0.00571489390070422</v>
      </c>
      <c r="E89" s="26" t="n">
        <v>-2.3704491196587</v>
      </c>
      <c r="F89" t="n">
        <v>0.0208394112914017</v>
      </c>
      <c r="G89" t="n">
        <v>63</v>
      </c>
      <c r="H89" t="s">
        <v>771</v>
      </c>
      <c r="I89" s="26" t="n">
        <v>-0.0135468652158672</v>
      </c>
      <c r="J89" s="26" t="n">
        <v>-0.0249671693938489</v>
      </c>
      <c r="K89" s="26" t="n">
        <v>-0.00212656103788545</v>
      </c>
      <c r="L89" t="s">
        <v>1093</v>
      </c>
      <c r="M89" t="s">
        <v>184</v>
      </c>
      <c r="N89" t="s">
        <v>773</v>
      </c>
      <c r="O89" t="s">
        <v>964</v>
      </c>
      <c r="P89" t="s">
        <v>822</v>
      </c>
      <c r="Q89"/>
    </row>
    <row r="90">
      <c r="A90" t="s">
        <v>156</v>
      </c>
      <c r="B90" t="s">
        <v>78</v>
      </c>
      <c r="C90" s="26" t="n">
        <v>-0.00101751753517942</v>
      </c>
      <c r="D90" s="26" t="n">
        <v>0.000565714396822765</v>
      </c>
      <c r="E90" s="26" t="n">
        <v>-1.79864175438017</v>
      </c>
      <c r="F90" t="n">
        <v>0.0768659070381968</v>
      </c>
      <c r="G90" t="n">
        <v>63</v>
      </c>
      <c r="H90" t="s">
        <v>771</v>
      </c>
      <c r="I90" s="26" t="n">
        <v>-0.00101751753517942</v>
      </c>
      <c r="J90" s="26" t="n">
        <v>-0.00214800754983802</v>
      </c>
      <c r="K90" s="26" t="n">
        <v>0.000112972479479178</v>
      </c>
      <c r="L90" t="s">
        <v>1094</v>
      </c>
      <c r="M90" t="s">
        <v>345</v>
      </c>
      <c r="N90" t="s">
        <v>773</v>
      </c>
      <c r="O90" t="s">
        <v>964</v>
      </c>
      <c r="P90" t="s">
        <v>822</v>
      </c>
      <c r="Q90"/>
    </row>
    <row r="91">
      <c r="A91" t="s">
        <v>164</v>
      </c>
      <c r="B91" t="s">
        <v>809</v>
      </c>
      <c r="C91" s="26" t="n">
        <v>-0.0636481603462918</v>
      </c>
      <c r="D91" s="26" t="n">
        <v>0.309933954433285</v>
      </c>
      <c r="E91" s="26" t="n">
        <v>-0.205360398355426</v>
      </c>
      <c r="F91" t="n">
        <v>0.837942348170079</v>
      </c>
      <c r="G91" t="n">
        <v>64</v>
      </c>
      <c r="H91"/>
      <c r="I91" s="26"/>
      <c r="J91" s="26"/>
      <c r="K91" s="26"/>
      <c r="L91"/>
      <c r="M91" t="s">
        <v>192</v>
      </c>
      <c r="N91" t="s">
        <v>773</v>
      </c>
      <c r="O91" t="s">
        <v>964</v>
      </c>
      <c r="P91" t="s">
        <v>822</v>
      </c>
      <c r="Q91"/>
    </row>
    <row r="92">
      <c r="A92" t="s">
        <v>164</v>
      </c>
      <c r="B92" t="s">
        <v>318</v>
      </c>
      <c r="C92" s="26" t="n">
        <v>0.0208451000842123</v>
      </c>
      <c r="D92" s="26" t="n">
        <v>0.0248964936529365</v>
      </c>
      <c r="E92" s="26" t="n">
        <v>0.837270515872571</v>
      </c>
      <c r="F92" t="n">
        <v>0.405556255009271</v>
      </c>
      <c r="G92" t="n">
        <v>64</v>
      </c>
      <c r="H92" t="s">
        <v>771</v>
      </c>
      <c r="I92" s="26" t="n">
        <v>0.0208451000842123</v>
      </c>
      <c r="J92" s="26" t="n">
        <v>-0.0288913635747911</v>
      </c>
      <c r="K92" s="26" t="n">
        <v>0.0705815637432157</v>
      </c>
      <c r="L92" t="s">
        <v>1091</v>
      </c>
      <c r="M92" t="s">
        <v>86</v>
      </c>
      <c r="N92" t="s">
        <v>773</v>
      </c>
      <c r="O92" t="s">
        <v>964</v>
      </c>
      <c r="P92" t="s">
        <v>822</v>
      </c>
      <c r="Q92"/>
    </row>
    <row r="93">
      <c r="A93" t="s">
        <v>164</v>
      </c>
      <c r="B93" t="s">
        <v>764</v>
      </c>
      <c r="C93" s="26" t="n">
        <v>-0.000592444122046941</v>
      </c>
      <c r="D93" s="26" t="n">
        <v>0.00200694735267634</v>
      </c>
      <c r="E93" s="26" t="n">
        <v>-0.295196643428087</v>
      </c>
      <c r="F93" t="n">
        <v>0.76879921228636</v>
      </c>
      <c r="G93" t="n">
        <v>64</v>
      </c>
      <c r="H93" t="s">
        <v>771</v>
      </c>
      <c r="I93" s="26" t="n">
        <v>-0.000592444122046941</v>
      </c>
      <c r="J93" s="26" t="n">
        <v>-0.00460178236314286</v>
      </c>
      <c r="K93" s="26" t="n">
        <v>0.00341689411904897</v>
      </c>
      <c r="L93" t="s">
        <v>1095</v>
      </c>
      <c r="M93" t="s">
        <v>153</v>
      </c>
      <c r="N93" t="s">
        <v>773</v>
      </c>
      <c r="O93" t="s">
        <v>964</v>
      </c>
      <c r="P93" t="s">
        <v>822</v>
      </c>
      <c r="Q93"/>
    </row>
    <row r="94">
      <c r="A94" t="s">
        <v>164</v>
      </c>
      <c r="B94" t="s">
        <v>52</v>
      </c>
      <c r="C94" s="26" t="n">
        <v>-0.00484082107014288</v>
      </c>
      <c r="D94" s="26" t="n">
        <v>0.00775546611585092</v>
      </c>
      <c r="E94" s="26" t="n">
        <v>-0.624181834828603</v>
      </c>
      <c r="F94" t="n">
        <v>0.534726885491316</v>
      </c>
      <c r="G94" t="n">
        <v>64</v>
      </c>
      <c r="H94" t="s">
        <v>771</v>
      </c>
      <c r="I94" s="26" t="n">
        <v>-0.00484082107014288</v>
      </c>
      <c r="J94" s="26" t="n">
        <v>-0.0203341457128343</v>
      </c>
      <c r="K94" s="26" t="n">
        <v>0.0106525035725485</v>
      </c>
      <c r="L94" t="s">
        <v>1096</v>
      </c>
      <c r="M94" t="s">
        <v>810</v>
      </c>
      <c r="N94" t="s">
        <v>773</v>
      </c>
      <c r="O94" t="s">
        <v>964</v>
      </c>
      <c r="P94" t="s">
        <v>822</v>
      </c>
      <c r="Q94"/>
    </row>
    <row r="95">
      <c r="A95" t="s">
        <v>164</v>
      </c>
      <c r="B95" t="s">
        <v>78</v>
      </c>
      <c r="C95" s="26" t="n">
        <v>-0.000028560387938034</v>
      </c>
      <c r="D95" s="26" t="n">
        <v>0.000592392472626875</v>
      </c>
      <c r="E95" s="26" t="n">
        <v>-0.0482119359339379</v>
      </c>
      <c r="F95" t="n">
        <v>0.96169747600075</v>
      </c>
      <c r="G95" t="n">
        <v>64</v>
      </c>
      <c r="H95" t="s">
        <v>771</v>
      </c>
      <c r="I95" s="26" t="n">
        <v>-0.000028560387938034</v>
      </c>
      <c r="J95" s="26" t="n">
        <v>-0.00121200039749932</v>
      </c>
      <c r="K95" s="26" t="n">
        <v>0.00115487962162326</v>
      </c>
      <c r="L95" t="s">
        <v>1097</v>
      </c>
      <c r="M95" t="s">
        <v>167</v>
      </c>
      <c r="N95" t="s">
        <v>773</v>
      </c>
      <c r="O95" t="s">
        <v>964</v>
      </c>
      <c r="P95" t="s">
        <v>822</v>
      </c>
      <c r="Q95"/>
    </row>
    <row r="96">
      <c r="A96" t="s">
        <v>171</v>
      </c>
      <c r="B96"/>
      <c r="C96" s="26"/>
      <c r="D96" s="26"/>
      <c r="E96" s="26"/>
      <c r="F96"/>
      <c r="G96"/>
      <c r="H96"/>
      <c r="I96" s="26"/>
      <c r="J96" s="26"/>
      <c r="K96" s="26"/>
      <c r="L96"/>
      <c r="M96" t="s">
        <v>94</v>
      </c>
      <c r="N96"/>
      <c r="O96" t="s">
        <v>782</v>
      </c>
      <c r="P96"/>
      <c r="Q96"/>
    </row>
    <row r="97">
      <c r="A97" t="s">
        <v>175</v>
      </c>
      <c r="B97"/>
      <c r="C97" s="26"/>
      <c r="D97" s="26"/>
      <c r="E97" s="26"/>
      <c r="F97"/>
      <c r="G97"/>
      <c r="H97"/>
      <c r="I97" s="26"/>
      <c r="J97" s="26"/>
      <c r="K97" s="26"/>
      <c r="L97"/>
      <c r="M97" t="s">
        <v>94</v>
      </c>
      <c r="N97"/>
      <c r="O97" t="s">
        <v>782</v>
      </c>
      <c r="P97"/>
      <c r="Q97"/>
    </row>
    <row r="98">
      <c r="A98" t="s">
        <v>803</v>
      </c>
      <c r="B98" t="s">
        <v>809</v>
      </c>
      <c r="C98" s="26" t="n">
        <v>4.17654594286234</v>
      </c>
      <c r="D98" s="26" t="n">
        <v>7.67756499202055</v>
      </c>
      <c r="E98" s="26" t="n">
        <v>0.543993564001491</v>
      </c>
      <c r="F98" t="n">
        <v>0.588336096502733</v>
      </c>
      <c r="G98" t="n">
        <v>64</v>
      </c>
      <c r="H98"/>
      <c r="I98" s="26"/>
      <c r="J98" s="26"/>
      <c r="K98" s="26"/>
      <c r="L98"/>
      <c r="M98" t="s">
        <v>990</v>
      </c>
      <c r="N98" t="s">
        <v>773</v>
      </c>
      <c r="O98" t="s">
        <v>1007</v>
      </c>
      <c r="P98" t="s">
        <v>822</v>
      </c>
      <c r="Q98"/>
    </row>
    <row r="99">
      <c r="A99" t="s">
        <v>803</v>
      </c>
      <c r="B99" t="s">
        <v>318</v>
      </c>
      <c r="C99" s="26" t="n">
        <v>1.48345660710567</v>
      </c>
      <c r="D99" s="26" t="n">
        <v>0.615475444401878</v>
      </c>
      <c r="E99" s="26" t="n">
        <v>2.41026123884976</v>
      </c>
      <c r="F99" t="n">
        <v>0.0188251742498199</v>
      </c>
      <c r="G99" t="n">
        <v>64</v>
      </c>
      <c r="H99" t="s">
        <v>787</v>
      </c>
      <c r="I99" s="26" t="n">
        <v>4.40815664218745</v>
      </c>
      <c r="J99" s="26" t="n">
        <v>1.2890468384224</v>
      </c>
      <c r="K99" s="26" t="n">
        <v>15.0745841057592</v>
      </c>
      <c r="L99" t="s">
        <v>1098</v>
      </c>
      <c r="M99" t="s">
        <v>184</v>
      </c>
      <c r="N99" t="s">
        <v>773</v>
      </c>
      <c r="O99" t="s">
        <v>1007</v>
      </c>
      <c r="P99" t="s">
        <v>822</v>
      </c>
      <c r="Q99"/>
    </row>
    <row r="100">
      <c r="A100" t="s">
        <v>803</v>
      </c>
      <c r="B100" t="s">
        <v>764</v>
      </c>
      <c r="C100" s="26" t="n">
        <v>0.0239315246764388</v>
      </c>
      <c r="D100" s="26" t="n">
        <v>0.0495430381431915</v>
      </c>
      <c r="E100" s="26" t="n">
        <v>0.483045157773143</v>
      </c>
      <c r="F100" t="n">
        <v>0.63071203192024</v>
      </c>
      <c r="G100" t="n">
        <v>64</v>
      </c>
      <c r="H100" t="s">
        <v>787</v>
      </c>
      <c r="I100" s="26" t="n">
        <v>1.02422018168101</v>
      </c>
      <c r="J100" s="26" t="n">
        <v>0.927704455323071</v>
      </c>
      <c r="K100" s="26" t="n">
        <v>1.13077712901288</v>
      </c>
      <c r="L100" t="s">
        <v>1099</v>
      </c>
      <c r="M100" t="s">
        <v>1100</v>
      </c>
      <c r="N100" t="s">
        <v>773</v>
      </c>
      <c r="O100" t="s">
        <v>1007</v>
      </c>
      <c r="P100" t="s">
        <v>822</v>
      </c>
      <c r="Q100"/>
    </row>
    <row r="101">
      <c r="A101" t="s">
        <v>803</v>
      </c>
      <c r="B101" t="s">
        <v>52</v>
      </c>
      <c r="C101" s="26" t="n">
        <v>-0.168890926666308</v>
      </c>
      <c r="D101" s="26" t="n">
        <v>0.160619882284271</v>
      </c>
      <c r="E101" s="26" t="n">
        <v>-1.05149452399298</v>
      </c>
      <c r="F101" t="n">
        <v>0.296985623497542</v>
      </c>
      <c r="G101" t="n">
        <v>64</v>
      </c>
      <c r="H101" t="s">
        <v>787</v>
      </c>
      <c r="I101" s="26" t="n">
        <v>0.8446010218112</v>
      </c>
      <c r="J101" s="26" t="n">
        <v>0.612769748022339</v>
      </c>
      <c r="K101" s="26" t="n">
        <v>1.16414181402852</v>
      </c>
      <c r="L101" t="s">
        <v>1101</v>
      </c>
      <c r="M101" t="s">
        <v>827</v>
      </c>
      <c r="N101" t="s">
        <v>773</v>
      </c>
      <c r="O101" t="s">
        <v>1007</v>
      </c>
      <c r="P101" t="s">
        <v>822</v>
      </c>
      <c r="Q101"/>
    </row>
    <row r="102">
      <c r="A102" t="s">
        <v>803</v>
      </c>
      <c r="B102" t="s">
        <v>78</v>
      </c>
      <c r="C102" s="26" t="n">
        <v>-0.0139160385022951</v>
      </c>
      <c r="D102" s="26" t="n">
        <v>0.0151658638090561</v>
      </c>
      <c r="E102" s="26" t="n">
        <v>-0.917589573367088</v>
      </c>
      <c r="F102" t="n">
        <v>0.362278841526998</v>
      </c>
      <c r="G102" t="n">
        <v>64</v>
      </c>
      <c r="H102" t="s">
        <v>787</v>
      </c>
      <c r="I102" s="26" t="n">
        <v>0.986180341965422</v>
      </c>
      <c r="J102" s="26" t="n">
        <v>0.956749828080972</v>
      </c>
      <c r="K102" s="26" t="n">
        <v>1.01651616580874</v>
      </c>
      <c r="L102" t="s">
        <v>1102</v>
      </c>
      <c r="M102" t="s">
        <v>998</v>
      </c>
      <c r="N102" t="s">
        <v>773</v>
      </c>
      <c r="O102" t="s">
        <v>1007</v>
      </c>
      <c r="P102" t="s">
        <v>822</v>
      </c>
      <c r="Q102"/>
    </row>
    <row r="103">
      <c r="A103" t="s">
        <v>806</v>
      </c>
      <c r="B103" t="s">
        <v>809</v>
      </c>
      <c r="C103" s="26" t="n">
        <v>-3.24830286571343</v>
      </c>
      <c r="D103" s="26" t="n">
        <v>7.37442882087774</v>
      </c>
      <c r="E103" s="26" t="n">
        <v>-0.440481960652621</v>
      </c>
      <c r="F103" t="n">
        <v>0.661072290410019</v>
      </c>
      <c r="G103" t="n">
        <v>64</v>
      </c>
      <c r="H103"/>
      <c r="I103" s="26"/>
      <c r="J103" s="26"/>
      <c r="K103" s="26"/>
      <c r="L103"/>
      <c r="M103" t="s">
        <v>1061</v>
      </c>
      <c r="N103" t="s">
        <v>773</v>
      </c>
      <c r="O103" t="s">
        <v>1007</v>
      </c>
      <c r="P103" t="s">
        <v>822</v>
      </c>
      <c r="Q103"/>
    </row>
    <row r="104">
      <c r="A104" t="s">
        <v>806</v>
      </c>
      <c r="B104" t="s">
        <v>318</v>
      </c>
      <c r="C104" s="26" t="n">
        <v>-0.348429681404596</v>
      </c>
      <c r="D104" s="26" t="n">
        <v>1.01156996632384</v>
      </c>
      <c r="E104" s="26" t="n">
        <v>-0.344444470480702</v>
      </c>
      <c r="F104" t="n">
        <v>0.731641325122671</v>
      </c>
      <c r="G104" t="n">
        <v>64</v>
      </c>
      <c r="H104" t="s">
        <v>787</v>
      </c>
      <c r="I104" s="26" t="n">
        <v>0.705795543830278</v>
      </c>
      <c r="J104" s="26" t="n">
        <v>0.0935487114245277</v>
      </c>
      <c r="K104" s="26" t="n">
        <v>5.32500493170949</v>
      </c>
      <c r="L104" t="s">
        <v>1103</v>
      </c>
      <c r="M104" t="s">
        <v>372</v>
      </c>
      <c r="N104" t="s">
        <v>773</v>
      </c>
      <c r="O104" t="s">
        <v>1007</v>
      </c>
      <c r="P104" t="s">
        <v>822</v>
      </c>
      <c r="Q104"/>
    </row>
    <row r="105">
      <c r="A105" t="s">
        <v>806</v>
      </c>
      <c r="B105" t="s">
        <v>764</v>
      </c>
      <c r="C105" s="26" t="n">
        <v>0.0210436161175211</v>
      </c>
      <c r="D105" s="26" t="n">
        <v>0.143299907667754</v>
      </c>
      <c r="E105" s="26" t="n">
        <v>0.146850172201866</v>
      </c>
      <c r="F105" t="n">
        <v>0.88371189691922</v>
      </c>
      <c r="G105" t="n">
        <v>64</v>
      </c>
      <c r="H105" t="s">
        <v>787</v>
      </c>
      <c r="I105" s="26" t="n">
        <v>1.02126659434993</v>
      </c>
      <c r="J105" s="26" t="n">
        <v>0.767028854103681</v>
      </c>
      <c r="K105" s="26" t="n">
        <v>1.35977343114934</v>
      </c>
      <c r="L105" t="s">
        <v>1104</v>
      </c>
      <c r="M105" t="s">
        <v>1066</v>
      </c>
      <c r="N105" t="s">
        <v>773</v>
      </c>
      <c r="O105" t="s">
        <v>1007</v>
      </c>
      <c r="P105" t="s">
        <v>822</v>
      </c>
      <c r="Q105"/>
    </row>
    <row r="106">
      <c r="A106" t="s">
        <v>806</v>
      </c>
      <c r="B106" t="s">
        <v>52</v>
      </c>
      <c r="C106" s="26" t="n">
        <v>-0.230445598806179</v>
      </c>
      <c r="D106" s="26" t="n">
        <v>0.192542432465309</v>
      </c>
      <c r="E106" s="26" t="n">
        <v>-1.19685617271766</v>
      </c>
      <c r="F106" t="n">
        <v>0.235777310899756</v>
      </c>
      <c r="G106" t="n">
        <v>64</v>
      </c>
      <c r="H106" t="s">
        <v>787</v>
      </c>
      <c r="I106" s="26" t="n">
        <v>0.794179638147494</v>
      </c>
      <c r="J106" s="26" t="n">
        <v>0.540590441888996</v>
      </c>
      <c r="K106" s="26" t="n">
        <v>1.16672669136388</v>
      </c>
      <c r="L106" t="s">
        <v>1105</v>
      </c>
      <c r="M106" t="s">
        <v>852</v>
      </c>
      <c r="N106" t="s">
        <v>773</v>
      </c>
      <c r="O106" t="s">
        <v>1007</v>
      </c>
      <c r="P106" t="s">
        <v>822</v>
      </c>
      <c r="Q106"/>
    </row>
    <row r="107">
      <c r="A107" t="s">
        <v>806</v>
      </c>
      <c r="B107" t="s">
        <v>78</v>
      </c>
      <c r="C107" s="26" t="n">
        <v>-0.0014259089965901</v>
      </c>
      <c r="D107" s="26" t="n">
        <v>0.0166261894682477</v>
      </c>
      <c r="E107" s="26" t="n">
        <v>-0.0857628261312228</v>
      </c>
      <c r="F107" t="n">
        <v>0.931922699039752</v>
      </c>
      <c r="G107" t="n">
        <v>64</v>
      </c>
      <c r="H107" t="s">
        <v>787</v>
      </c>
      <c r="I107" s="26" t="n">
        <v>0.998575107128618</v>
      </c>
      <c r="J107" s="26" t="n">
        <v>0.965952574461061</v>
      </c>
      <c r="K107" s="26" t="n">
        <v>1.03229938088138</v>
      </c>
      <c r="L107" t="s">
        <v>1106</v>
      </c>
      <c r="M107" t="s">
        <v>970</v>
      </c>
      <c r="N107" t="s">
        <v>773</v>
      </c>
      <c r="O107" t="s">
        <v>1007</v>
      </c>
      <c r="P107" t="s">
        <v>822</v>
      </c>
      <c r="Q107"/>
    </row>
    <row r="108">
      <c r="A108" t="s">
        <v>808</v>
      </c>
      <c r="B108"/>
      <c r="C108" s="26"/>
      <c r="D108" s="26"/>
      <c r="E108" s="26"/>
      <c r="F108"/>
      <c r="G108"/>
      <c r="H108"/>
      <c r="I108" s="26"/>
      <c r="J108" s="26"/>
      <c r="K108" s="26"/>
      <c r="L108"/>
      <c r="M108" t="s">
        <v>94</v>
      </c>
      <c r="N108"/>
      <c r="O108" t="s">
        <v>792</v>
      </c>
      <c r="P108"/>
      <c r="Q108"/>
    </row>
  </sheetData>
  <pageMargins left="0.7" right="0.7" top="0.75" bottom="0.75" header="0.3" footer="0.3"/>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9" t="s">
        <v>1107</v>
      </c>
    </row>
    <row r="3">
      <c r="A3" s="1" t="s">
        <v>1108</v>
      </c>
    </row>
    <row r="4">
      <c r="A4" t="s">
        <v>749</v>
      </c>
      <c r="B4" t="s">
        <v>313</v>
      </c>
      <c r="C4" t="s">
        <v>134</v>
      </c>
      <c r="D4" t="s">
        <v>39</v>
      </c>
      <c r="E4" t="s">
        <v>906</v>
      </c>
      <c r="F4" t="s">
        <v>907</v>
      </c>
      <c r="G4" t="s">
        <v>908</v>
      </c>
      <c r="H4" t="s">
        <v>1</v>
      </c>
    </row>
    <row r="5">
      <c r="A5" t="s">
        <v>137</v>
      </c>
      <c r="B5" t="s">
        <v>318</v>
      </c>
      <c r="C5" t="s">
        <v>1077</v>
      </c>
      <c r="D5" t="s">
        <v>352</v>
      </c>
      <c r="E5" t="s">
        <v>995</v>
      </c>
      <c r="F5" t="s">
        <v>996</v>
      </c>
      <c r="G5" t="s">
        <v>1109</v>
      </c>
      <c r="H5" t="s">
        <v>94</v>
      </c>
    </row>
    <row r="6">
      <c r="A6" t="s">
        <v>145</v>
      </c>
      <c r="B6" t="s">
        <v>318</v>
      </c>
      <c r="C6" t="s">
        <v>1081</v>
      </c>
      <c r="D6" t="s">
        <v>81</v>
      </c>
      <c r="E6" t="s">
        <v>999</v>
      </c>
      <c r="F6" t="s">
        <v>81</v>
      </c>
      <c r="G6" t="s">
        <v>1109</v>
      </c>
      <c r="H6" t="s">
        <v>94</v>
      </c>
    </row>
    <row r="7">
      <c r="A7" t="s">
        <v>150</v>
      </c>
      <c r="B7" t="s">
        <v>318</v>
      </c>
      <c r="C7" t="s">
        <v>1086</v>
      </c>
      <c r="D7" t="s">
        <v>1019</v>
      </c>
      <c r="E7" t="s">
        <v>155</v>
      </c>
      <c r="F7" t="s">
        <v>890</v>
      </c>
      <c r="G7" t="s">
        <v>1109</v>
      </c>
      <c r="H7" t="s">
        <v>94</v>
      </c>
    </row>
    <row r="8">
      <c r="A8" t="s">
        <v>156</v>
      </c>
      <c r="B8" t="s">
        <v>318</v>
      </c>
      <c r="C8" t="s">
        <v>1091</v>
      </c>
      <c r="D8" t="s">
        <v>1075</v>
      </c>
      <c r="E8" t="s">
        <v>1002</v>
      </c>
      <c r="F8" t="s">
        <v>827</v>
      </c>
      <c r="G8" t="s">
        <v>1110</v>
      </c>
      <c r="H8" t="s">
        <v>94</v>
      </c>
    </row>
    <row r="9">
      <c r="A9" t="s">
        <v>164</v>
      </c>
      <c r="B9" t="s">
        <v>318</v>
      </c>
      <c r="C9" t="s">
        <v>1091</v>
      </c>
      <c r="D9" t="s">
        <v>86</v>
      </c>
      <c r="E9" t="s">
        <v>1004</v>
      </c>
      <c r="F9" t="s">
        <v>1005</v>
      </c>
      <c r="G9" t="s">
        <v>1109</v>
      </c>
      <c r="H9" t="s">
        <v>94</v>
      </c>
    </row>
    <row r="10">
      <c r="A10" t="s">
        <v>171</v>
      </c>
      <c r="B10" t="s">
        <v>94</v>
      </c>
      <c r="C10" t="s">
        <v>94</v>
      </c>
      <c r="D10" t="s">
        <v>94</v>
      </c>
      <c r="E10" t="s">
        <v>94</v>
      </c>
      <c r="F10" t="s">
        <v>94</v>
      </c>
      <c r="G10"/>
      <c r="H10" t="s">
        <v>912</v>
      </c>
    </row>
    <row r="11">
      <c r="A11" t="s">
        <v>175</v>
      </c>
      <c r="B11" t="s">
        <v>94</v>
      </c>
      <c r="C11" t="s">
        <v>94</v>
      </c>
      <c r="D11" t="s">
        <v>94</v>
      </c>
      <c r="E11" t="s">
        <v>94</v>
      </c>
      <c r="F11" t="s">
        <v>94</v>
      </c>
      <c r="G11"/>
      <c r="H11" t="s">
        <v>912</v>
      </c>
    </row>
    <row r="12">
      <c r="A12" t="s">
        <v>803</v>
      </c>
      <c r="B12" t="s">
        <v>318</v>
      </c>
      <c r="C12" t="s">
        <v>1098</v>
      </c>
      <c r="D12" t="s">
        <v>184</v>
      </c>
      <c r="E12" t="s">
        <v>1008</v>
      </c>
      <c r="F12" t="s">
        <v>122</v>
      </c>
      <c r="G12" t="s">
        <v>1111</v>
      </c>
      <c r="H12" t="s">
        <v>1112</v>
      </c>
    </row>
    <row r="13">
      <c r="A13" t="s">
        <v>806</v>
      </c>
      <c r="B13" t="s">
        <v>318</v>
      </c>
      <c r="C13" t="s">
        <v>1103</v>
      </c>
      <c r="D13" t="s">
        <v>372</v>
      </c>
      <c r="E13" t="s">
        <v>1010</v>
      </c>
      <c r="F13" t="s">
        <v>850</v>
      </c>
      <c r="G13" t="s">
        <v>1113</v>
      </c>
      <c r="H13" t="s">
        <v>1114</v>
      </c>
    </row>
    <row r="14">
      <c r="A14" t="s">
        <v>808</v>
      </c>
      <c r="B14" t="s">
        <v>94</v>
      </c>
      <c r="C14" t="s">
        <v>94</v>
      </c>
      <c r="D14" t="s">
        <v>94</v>
      </c>
      <c r="E14" t="s">
        <v>94</v>
      </c>
      <c r="F14" t="s">
        <v>94</v>
      </c>
      <c r="G14"/>
      <c r="H14" t="s">
        <v>917</v>
      </c>
    </row>
    <row r="16">
      <c r="A16" s="1" t="s">
        <v>918</v>
      </c>
    </row>
    <row r="17">
      <c r="A17" t="s">
        <v>749</v>
      </c>
      <c r="B17" t="s">
        <v>750</v>
      </c>
      <c r="C17" t="s">
        <v>751</v>
      </c>
      <c r="D17" t="s">
        <v>752</v>
      </c>
      <c r="E17" t="s">
        <v>753</v>
      </c>
      <c r="F17" t="s">
        <v>754</v>
      </c>
      <c r="G17" t="s">
        <v>755</v>
      </c>
      <c r="H17" t="s">
        <v>756</v>
      </c>
      <c r="I17" t="s">
        <v>757</v>
      </c>
      <c r="J17" t="s">
        <v>758</v>
      </c>
      <c r="K17" t="s">
        <v>759</v>
      </c>
      <c r="L17" t="s">
        <v>760</v>
      </c>
      <c r="M17" t="s">
        <v>39</v>
      </c>
      <c r="N17" t="s">
        <v>761</v>
      </c>
      <c r="O17" t="s">
        <v>762</v>
      </c>
    </row>
    <row r="18">
      <c r="A18" t="s">
        <v>137</v>
      </c>
      <c r="B18" t="s">
        <v>809</v>
      </c>
      <c r="C18" s="27" t="n">
        <v>180.060507455283</v>
      </c>
      <c r="D18" s="27" t="n">
        <v>34.9523637529435</v>
      </c>
      <c r="E18" s="27" t="n">
        <v>5.15159743495515</v>
      </c>
      <c r="F18" t="n">
        <v>0.00000267911045622506</v>
      </c>
      <c r="G18" t="n">
        <v>64</v>
      </c>
      <c r="H18"/>
      <c r="I18" s="27"/>
      <c r="J18" s="27"/>
      <c r="K18" s="27"/>
      <c r="L18"/>
      <c r="M18" t="s">
        <v>55</v>
      </c>
      <c r="N18" t="s">
        <v>773</v>
      </c>
      <c r="O18" t="s">
        <v>1115</v>
      </c>
    </row>
    <row r="19">
      <c r="A19" t="s">
        <v>137</v>
      </c>
      <c r="B19" t="s">
        <v>318</v>
      </c>
      <c r="C19" s="27" t="n">
        <v>-4.29046107830197</v>
      </c>
      <c r="D19" s="27" t="n">
        <v>3.40916895187635</v>
      </c>
      <c r="E19" s="27" t="n">
        <v>-1.25850643921316</v>
      </c>
      <c r="F19" t="n">
        <v>0.212780334773421</v>
      </c>
      <c r="G19" t="n">
        <v>64</v>
      </c>
      <c r="H19" t="s">
        <v>771</v>
      </c>
      <c r="I19" s="27" t="n">
        <v>-4.29046107830197</v>
      </c>
      <c r="J19" s="27" t="n">
        <v>-11.1010589900445</v>
      </c>
      <c r="K19" s="27" t="n">
        <v>2.52013683344059</v>
      </c>
      <c r="L19" t="s">
        <v>1077</v>
      </c>
      <c r="M19" t="s">
        <v>352</v>
      </c>
      <c r="N19" t="s">
        <v>773</v>
      </c>
      <c r="O19" t="s">
        <v>1115</v>
      </c>
    </row>
    <row r="20">
      <c r="A20" t="s">
        <v>137</v>
      </c>
      <c r="B20" t="s">
        <v>764</v>
      </c>
      <c r="C20" s="27" t="n">
        <v>0.271916827076194</v>
      </c>
      <c r="D20" s="27" t="n">
        <v>0.246105627469795</v>
      </c>
      <c r="E20" s="27" t="n">
        <v>1.10487854289138</v>
      </c>
      <c r="F20" t="n">
        <v>0.273348717221944</v>
      </c>
      <c r="G20" t="n">
        <v>64</v>
      </c>
      <c r="H20" t="s">
        <v>771</v>
      </c>
      <c r="I20" s="27" t="n">
        <v>0.271916827076194</v>
      </c>
      <c r="J20" s="27" t="n">
        <v>-0.219735683014677</v>
      </c>
      <c r="K20" s="27" t="n">
        <v>0.763569337167066</v>
      </c>
      <c r="L20" t="s">
        <v>1078</v>
      </c>
      <c r="M20" t="s">
        <v>325</v>
      </c>
      <c r="N20" t="s">
        <v>773</v>
      </c>
      <c r="O20" t="s">
        <v>1115</v>
      </c>
    </row>
    <row r="21">
      <c r="A21" t="s">
        <v>137</v>
      </c>
      <c r="B21" t="s">
        <v>52</v>
      </c>
      <c r="C21" s="27" t="n">
        <v>-0.0419784985280117</v>
      </c>
      <c r="D21" s="27" t="n">
        <v>0.771763172612362</v>
      </c>
      <c r="E21" s="27" t="n">
        <v>-0.0543929796311964</v>
      </c>
      <c r="F21" t="n">
        <v>0.956791512144164</v>
      </c>
      <c r="G21" t="n">
        <v>64</v>
      </c>
      <c r="H21" t="s">
        <v>771</v>
      </c>
      <c r="I21" s="27" t="n">
        <v>-0.0419784985280117</v>
      </c>
      <c r="J21" s="27" t="n">
        <v>-1.58375267456603</v>
      </c>
      <c r="K21" s="27" t="n">
        <v>1.49979567751001</v>
      </c>
      <c r="L21" t="s">
        <v>1079</v>
      </c>
      <c r="M21" t="s">
        <v>167</v>
      </c>
      <c r="N21" t="s">
        <v>773</v>
      </c>
      <c r="O21" t="s">
        <v>1115</v>
      </c>
    </row>
    <row r="22">
      <c r="A22" t="s">
        <v>137</v>
      </c>
      <c r="B22" t="s">
        <v>78</v>
      </c>
      <c r="C22" s="27" t="n">
        <v>-0.0162505596133034</v>
      </c>
      <c r="D22" s="27" t="n">
        <v>0.0691907851414445</v>
      </c>
      <c r="E22" s="27" t="n">
        <v>-0.234865951876148</v>
      </c>
      <c r="F22" t="n">
        <v>0.815062603678918</v>
      </c>
      <c r="G22" t="n">
        <v>64</v>
      </c>
      <c r="H22" t="s">
        <v>771</v>
      </c>
      <c r="I22" s="27" t="n">
        <v>-0.0162505596133034</v>
      </c>
      <c r="J22" s="27" t="n">
        <v>-0.154475042895891</v>
      </c>
      <c r="K22" s="27" t="n">
        <v>0.121973923669284</v>
      </c>
      <c r="L22" t="s">
        <v>1080</v>
      </c>
      <c r="M22" t="s">
        <v>170</v>
      </c>
      <c r="N22" t="s">
        <v>773</v>
      </c>
      <c r="O22" t="s">
        <v>1115</v>
      </c>
    </row>
    <row r="23">
      <c r="A23" t="s">
        <v>145</v>
      </c>
      <c r="B23" t="s">
        <v>809</v>
      </c>
      <c r="C23" s="27" t="n">
        <v>-0.571119248758608</v>
      </c>
      <c r="D23" s="27" t="n">
        <v>1.10071720274316</v>
      </c>
      <c r="E23" s="27" t="n">
        <v>-0.518861018375371</v>
      </c>
      <c r="F23" t="n">
        <v>0.605647216478015</v>
      </c>
      <c r="G23" t="n">
        <v>64</v>
      </c>
      <c r="H23"/>
      <c r="I23" s="27"/>
      <c r="J23" s="27"/>
      <c r="K23" s="27"/>
      <c r="L23"/>
      <c r="M23" t="s">
        <v>189</v>
      </c>
      <c r="N23" t="s">
        <v>773</v>
      </c>
      <c r="O23" t="s">
        <v>1115</v>
      </c>
    </row>
    <row r="24">
      <c r="A24" t="s">
        <v>145</v>
      </c>
      <c r="B24" t="s">
        <v>318</v>
      </c>
      <c r="C24" s="27" t="n">
        <v>-0.205924848123891</v>
      </c>
      <c r="D24" s="27" t="n">
        <v>0.0928636757864412</v>
      </c>
      <c r="E24" s="27" t="n">
        <v>-2.21749619945539</v>
      </c>
      <c r="F24" t="n">
        <v>0.030146865238169</v>
      </c>
      <c r="G24" t="n">
        <v>64</v>
      </c>
      <c r="H24" t="s">
        <v>771</v>
      </c>
      <c r="I24" s="27" t="n">
        <v>-0.205924848123891</v>
      </c>
      <c r="J24" s="27" t="n">
        <v>-0.391441367051409</v>
      </c>
      <c r="K24" s="27" t="n">
        <v>-0.0204083291963736</v>
      </c>
      <c r="L24" t="s">
        <v>1081</v>
      </c>
      <c r="M24" t="s">
        <v>81</v>
      </c>
      <c r="N24" t="s">
        <v>773</v>
      </c>
      <c r="O24" t="s">
        <v>1115</v>
      </c>
    </row>
    <row r="25">
      <c r="A25" t="s">
        <v>145</v>
      </c>
      <c r="B25" t="s">
        <v>764</v>
      </c>
      <c r="C25" s="27" t="n">
        <v>-0.0181491322011289</v>
      </c>
      <c r="D25" s="27" t="n">
        <v>0.00918268145094707</v>
      </c>
      <c r="E25" s="27" t="n">
        <v>-1.97645233563634</v>
      </c>
      <c r="F25" t="n">
        <v>0.052416462903541</v>
      </c>
      <c r="G25" t="n">
        <v>64</v>
      </c>
      <c r="H25" t="s">
        <v>771</v>
      </c>
      <c r="I25" s="27" t="n">
        <v>-0.0181491322011289</v>
      </c>
      <c r="J25" s="27" t="n">
        <v>-0.0364936472418389</v>
      </c>
      <c r="K25" s="27" t="n">
        <v>0.000195382839581103</v>
      </c>
      <c r="L25" t="s">
        <v>1082</v>
      </c>
      <c r="M25" t="s">
        <v>1083</v>
      </c>
      <c r="N25" t="s">
        <v>773</v>
      </c>
      <c r="O25" t="s">
        <v>1115</v>
      </c>
    </row>
    <row r="26">
      <c r="A26" t="s">
        <v>145</v>
      </c>
      <c r="B26" t="s">
        <v>52</v>
      </c>
      <c r="C26" s="27" t="n">
        <v>0.0707943541515822</v>
      </c>
      <c r="D26" s="27" t="n">
        <v>0.0285929104280294</v>
      </c>
      <c r="E26" s="27" t="n">
        <v>2.47594082210614</v>
      </c>
      <c r="F26" t="n">
        <v>0.0159445754049627</v>
      </c>
      <c r="G26" t="n">
        <v>64</v>
      </c>
      <c r="H26" t="s">
        <v>771</v>
      </c>
      <c r="I26" s="27" t="n">
        <v>0.0707943541515822</v>
      </c>
      <c r="J26" s="27" t="n">
        <v>0.0136734490862583</v>
      </c>
      <c r="K26" s="27" t="n">
        <v>0.127915259216906</v>
      </c>
      <c r="L26" t="s">
        <v>1084</v>
      </c>
      <c r="M26" t="s">
        <v>184</v>
      </c>
      <c r="N26" t="s">
        <v>773</v>
      </c>
      <c r="O26" t="s">
        <v>1115</v>
      </c>
    </row>
    <row r="27">
      <c r="A27" t="s">
        <v>145</v>
      </c>
      <c r="B27" t="s">
        <v>78</v>
      </c>
      <c r="C27" s="27" t="n">
        <v>0.00279720695613914</v>
      </c>
      <c r="D27" s="27" t="n">
        <v>0.00219139166272468</v>
      </c>
      <c r="E27" s="27" t="n">
        <v>1.27645231280164</v>
      </c>
      <c r="F27" t="n">
        <v>0.206408169762962</v>
      </c>
      <c r="G27" t="n">
        <v>64</v>
      </c>
      <c r="H27" t="s">
        <v>771</v>
      </c>
      <c r="I27" s="27" t="n">
        <v>0.00279720695613914</v>
      </c>
      <c r="J27" s="27" t="n">
        <v>-0.0015806011527105</v>
      </c>
      <c r="K27" s="27" t="n">
        <v>0.00717501506498879</v>
      </c>
      <c r="L27" t="s">
        <v>1085</v>
      </c>
      <c r="M27" t="s">
        <v>352</v>
      </c>
      <c r="N27" t="s">
        <v>773</v>
      </c>
      <c r="O27" t="s">
        <v>1115</v>
      </c>
    </row>
    <row r="28">
      <c r="A28" t="s">
        <v>150</v>
      </c>
      <c r="B28" t="s">
        <v>809</v>
      </c>
      <c r="C28" s="27" t="n">
        <v>-0.923934990663134</v>
      </c>
      <c r="D28" s="27" t="n">
        <v>0.539322714728469</v>
      </c>
      <c r="E28" s="27" t="n">
        <v>-1.71313939767641</v>
      </c>
      <c r="F28" t="n">
        <v>0.0915276672608662</v>
      </c>
      <c r="G28" t="n">
        <v>64</v>
      </c>
      <c r="H28"/>
      <c r="I28" s="27"/>
      <c r="J28" s="27"/>
      <c r="K28" s="27"/>
      <c r="L28"/>
      <c r="M28" t="s">
        <v>92</v>
      </c>
      <c r="N28" t="s">
        <v>773</v>
      </c>
      <c r="O28" t="s">
        <v>1115</v>
      </c>
    </row>
    <row r="29">
      <c r="A29" t="s">
        <v>150</v>
      </c>
      <c r="B29" t="s">
        <v>318</v>
      </c>
      <c r="C29" s="27" t="n">
        <v>0.0363341474917355</v>
      </c>
      <c r="D29" s="27" t="n">
        <v>0.0402354052571477</v>
      </c>
      <c r="E29" s="27" t="n">
        <v>0.903039183016079</v>
      </c>
      <c r="F29" t="n">
        <v>0.3698914814042</v>
      </c>
      <c r="G29" t="n">
        <v>64</v>
      </c>
      <c r="H29" t="s">
        <v>771</v>
      </c>
      <c r="I29" s="27" t="n">
        <v>0.0363341474917355</v>
      </c>
      <c r="J29" s="27" t="n">
        <v>-0.0440453147439584</v>
      </c>
      <c r="K29" s="27" t="n">
        <v>0.116713609727429</v>
      </c>
      <c r="L29" t="s">
        <v>1086</v>
      </c>
      <c r="M29" t="s">
        <v>1019</v>
      </c>
      <c r="N29" t="s">
        <v>773</v>
      </c>
      <c r="O29" t="s">
        <v>1115</v>
      </c>
    </row>
    <row r="30">
      <c r="A30" t="s">
        <v>150</v>
      </c>
      <c r="B30" t="s">
        <v>764</v>
      </c>
      <c r="C30" s="27" t="n">
        <v>-0.00316388081258433</v>
      </c>
      <c r="D30" s="27" t="n">
        <v>0.00337283719159741</v>
      </c>
      <c r="E30" s="27" t="n">
        <v>-0.938047297529319</v>
      </c>
      <c r="F30" t="n">
        <v>0.351746758384101</v>
      </c>
      <c r="G30" t="n">
        <v>64</v>
      </c>
      <c r="H30" t="s">
        <v>771</v>
      </c>
      <c r="I30" s="27" t="n">
        <v>-0.00316388081258433</v>
      </c>
      <c r="J30" s="27" t="n">
        <v>-0.00990189768942409</v>
      </c>
      <c r="K30" s="27" t="n">
        <v>0.00357413606425543</v>
      </c>
      <c r="L30" t="s">
        <v>1087</v>
      </c>
      <c r="M30" t="s">
        <v>334</v>
      </c>
      <c r="N30" t="s">
        <v>773</v>
      </c>
      <c r="O30" t="s">
        <v>1115</v>
      </c>
    </row>
    <row r="31">
      <c r="A31" t="s">
        <v>150</v>
      </c>
      <c r="B31" t="s">
        <v>52</v>
      </c>
      <c r="C31" s="27" t="n">
        <v>0.0146245199324398</v>
      </c>
      <c r="D31" s="27" t="n">
        <v>0.0106264516955412</v>
      </c>
      <c r="E31" s="27" t="n">
        <v>1.37623736986225</v>
      </c>
      <c r="F31" t="n">
        <v>0.173544625286973</v>
      </c>
      <c r="G31" t="n">
        <v>64</v>
      </c>
      <c r="H31" t="s">
        <v>771</v>
      </c>
      <c r="I31" s="27" t="n">
        <v>0.0146245199324398</v>
      </c>
      <c r="J31" s="27" t="n">
        <v>-0.00660425773991733</v>
      </c>
      <c r="K31" s="27" t="n">
        <v>0.0358532976047969</v>
      </c>
      <c r="L31" t="s">
        <v>1088</v>
      </c>
      <c r="M31" t="s">
        <v>1089</v>
      </c>
      <c r="N31" t="s">
        <v>773</v>
      </c>
      <c r="O31" t="s">
        <v>1115</v>
      </c>
    </row>
    <row r="32">
      <c r="A32" t="s">
        <v>150</v>
      </c>
      <c r="B32" t="s">
        <v>78</v>
      </c>
      <c r="C32" s="27" t="n">
        <v>0.00163774719397577</v>
      </c>
      <c r="D32" s="27" t="n">
        <v>0.00109896013202322</v>
      </c>
      <c r="E32" s="27" t="n">
        <v>1.49026988900919</v>
      </c>
      <c r="F32" t="n">
        <v>0.141065481696899</v>
      </c>
      <c r="G32" t="n">
        <v>64</v>
      </c>
      <c r="H32" t="s">
        <v>771</v>
      </c>
      <c r="I32" s="27" t="n">
        <v>0.00163774719397577</v>
      </c>
      <c r="J32" s="27" t="n">
        <v>-0.000557678050679902</v>
      </c>
      <c r="K32" s="27" t="n">
        <v>0.00383317243863143</v>
      </c>
      <c r="L32" t="s">
        <v>1090</v>
      </c>
      <c r="M32" t="s">
        <v>820</v>
      </c>
      <c r="N32" t="s">
        <v>773</v>
      </c>
      <c r="O32" t="s">
        <v>1115</v>
      </c>
    </row>
    <row r="33">
      <c r="A33" t="s">
        <v>156</v>
      </c>
      <c r="B33" t="s">
        <v>809</v>
      </c>
      <c r="C33" s="27" t="n">
        <v>0.324638111265112</v>
      </c>
      <c r="D33" s="27" t="n">
        <v>0.287431951384561</v>
      </c>
      <c r="E33" s="27" t="n">
        <v>1.12944336807835</v>
      </c>
      <c r="F33" t="n">
        <v>0.262993013363845</v>
      </c>
      <c r="G33" t="n">
        <v>63</v>
      </c>
      <c r="H33"/>
      <c r="I33" s="27"/>
      <c r="J33" s="27"/>
      <c r="K33" s="27"/>
      <c r="L33"/>
      <c r="M33" t="s">
        <v>174</v>
      </c>
      <c r="N33" t="s">
        <v>773</v>
      </c>
      <c r="O33" t="s">
        <v>1115</v>
      </c>
    </row>
    <row r="34">
      <c r="A34" t="s">
        <v>156</v>
      </c>
      <c r="B34" t="s">
        <v>318</v>
      </c>
      <c r="C34" s="27" t="n">
        <v>0.0198076961788699</v>
      </c>
      <c r="D34" s="27" t="n">
        <v>0.0244351803693736</v>
      </c>
      <c r="E34" s="27" t="n">
        <v>0.810622057191617</v>
      </c>
      <c r="F34" t="n">
        <v>0.420634452578455</v>
      </c>
      <c r="G34" t="n">
        <v>63</v>
      </c>
      <c r="H34" t="s">
        <v>771</v>
      </c>
      <c r="I34" s="27" t="n">
        <v>0.0198076961788699</v>
      </c>
      <c r="J34" s="27" t="n">
        <v>-0.0290221154170564</v>
      </c>
      <c r="K34" s="27" t="n">
        <v>0.0686375077747961</v>
      </c>
      <c r="L34" t="s">
        <v>1091</v>
      </c>
      <c r="M34" t="s">
        <v>1075</v>
      </c>
      <c r="N34" t="s">
        <v>773</v>
      </c>
      <c r="O34" t="s">
        <v>1115</v>
      </c>
    </row>
    <row r="35">
      <c r="A35" t="s">
        <v>156</v>
      </c>
      <c r="B35" t="s">
        <v>764</v>
      </c>
      <c r="C35" s="27" t="n">
        <v>0.00313364092275545</v>
      </c>
      <c r="D35" s="27" t="n">
        <v>0.00168860539762184</v>
      </c>
      <c r="E35" s="27" t="n">
        <v>1.85575678436699</v>
      </c>
      <c r="F35" t="n">
        <v>0.0681670283300914</v>
      </c>
      <c r="G35" t="n">
        <v>63</v>
      </c>
      <c r="H35" t="s">
        <v>771</v>
      </c>
      <c r="I35" s="27" t="n">
        <v>0.00313364092275545</v>
      </c>
      <c r="J35" s="27" t="n">
        <v>-0.000240767703631631</v>
      </c>
      <c r="K35" s="27" t="n">
        <v>0.00650804954914253</v>
      </c>
      <c r="L35" t="s">
        <v>1092</v>
      </c>
      <c r="M35" t="s">
        <v>371</v>
      </c>
      <c r="N35" t="s">
        <v>773</v>
      </c>
      <c r="O35" t="s">
        <v>1115</v>
      </c>
    </row>
    <row r="36">
      <c r="A36" t="s">
        <v>156</v>
      </c>
      <c r="B36" t="s">
        <v>52</v>
      </c>
      <c r="C36" s="27" t="n">
        <v>-0.0135468652158672</v>
      </c>
      <c r="D36" s="27" t="n">
        <v>0.00571489390070422</v>
      </c>
      <c r="E36" s="27" t="n">
        <v>-2.3704491196587</v>
      </c>
      <c r="F36" t="n">
        <v>0.0208394112914017</v>
      </c>
      <c r="G36" t="n">
        <v>63</v>
      </c>
      <c r="H36" t="s">
        <v>771</v>
      </c>
      <c r="I36" s="27" t="n">
        <v>-0.0135468652158672</v>
      </c>
      <c r="J36" s="27" t="n">
        <v>-0.0249671693938489</v>
      </c>
      <c r="K36" s="27" t="n">
        <v>-0.00212656103788545</v>
      </c>
      <c r="L36" t="s">
        <v>1093</v>
      </c>
      <c r="M36" t="s">
        <v>184</v>
      </c>
      <c r="N36" t="s">
        <v>773</v>
      </c>
      <c r="O36" t="s">
        <v>1115</v>
      </c>
    </row>
    <row r="37">
      <c r="A37" t="s">
        <v>156</v>
      </c>
      <c r="B37" t="s">
        <v>78</v>
      </c>
      <c r="C37" s="27" t="n">
        <v>-0.00101751753517942</v>
      </c>
      <c r="D37" s="27" t="n">
        <v>0.000565714396822765</v>
      </c>
      <c r="E37" s="27" t="n">
        <v>-1.79864175438017</v>
      </c>
      <c r="F37" t="n">
        <v>0.0768659070381968</v>
      </c>
      <c r="G37" t="n">
        <v>63</v>
      </c>
      <c r="H37" t="s">
        <v>771</v>
      </c>
      <c r="I37" s="27" t="n">
        <v>-0.00101751753517942</v>
      </c>
      <c r="J37" s="27" t="n">
        <v>-0.00214800754983802</v>
      </c>
      <c r="K37" s="27" t="n">
        <v>0.000112972479479178</v>
      </c>
      <c r="L37" t="s">
        <v>1094</v>
      </c>
      <c r="M37" t="s">
        <v>345</v>
      </c>
      <c r="N37" t="s">
        <v>773</v>
      </c>
      <c r="O37" t="s">
        <v>1115</v>
      </c>
    </row>
    <row r="38">
      <c r="A38" t="s">
        <v>164</v>
      </c>
      <c r="B38" t="s">
        <v>809</v>
      </c>
      <c r="C38" s="27" t="n">
        <v>-0.0636481603462918</v>
      </c>
      <c r="D38" s="27" t="n">
        <v>0.309933954433285</v>
      </c>
      <c r="E38" s="27" t="n">
        <v>-0.205360398355426</v>
      </c>
      <c r="F38" t="n">
        <v>0.837942348170079</v>
      </c>
      <c r="G38" t="n">
        <v>64</v>
      </c>
      <c r="H38"/>
      <c r="I38" s="27"/>
      <c r="J38" s="27"/>
      <c r="K38" s="27"/>
      <c r="L38"/>
      <c r="M38" t="s">
        <v>192</v>
      </c>
      <c r="N38" t="s">
        <v>773</v>
      </c>
      <c r="O38" t="s">
        <v>1115</v>
      </c>
    </row>
    <row r="39">
      <c r="A39" t="s">
        <v>164</v>
      </c>
      <c r="B39" t="s">
        <v>318</v>
      </c>
      <c r="C39" s="27" t="n">
        <v>0.0208451000842123</v>
      </c>
      <c r="D39" s="27" t="n">
        <v>0.0248964936529365</v>
      </c>
      <c r="E39" s="27" t="n">
        <v>0.837270515872571</v>
      </c>
      <c r="F39" t="n">
        <v>0.405556255009271</v>
      </c>
      <c r="G39" t="n">
        <v>64</v>
      </c>
      <c r="H39" t="s">
        <v>771</v>
      </c>
      <c r="I39" s="27" t="n">
        <v>0.0208451000842123</v>
      </c>
      <c r="J39" s="27" t="n">
        <v>-0.0288913635747911</v>
      </c>
      <c r="K39" s="27" t="n">
        <v>0.0705815637432157</v>
      </c>
      <c r="L39" t="s">
        <v>1091</v>
      </c>
      <c r="M39" t="s">
        <v>86</v>
      </c>
      <c r="N39" t="s">
        <v>773</v>
      </c>
      <c r="O39" t="s">
        <v>1115</v>
      </c>
    </row>
    <row r="40">
      <c r="A40" t="s">
        <v>164</v>
      </c>
      <c r="B40" t="s">
        <v>764</v>
      </c>
      <c r="C40" s="27" t="n">
        <v>-0.000592444122046941</v>
      </c>
      <c r="D40" s="27" t="n">
        <v>0.00200694735267634</v>
      </c>
      <c r="E40" s="27" t="n">
        <v>-0.295196643428087</v>
      </c>
      <c r="F40" t="n">
        <v>0.76879921228636</v>
      </c>
      <c r="G40" t="n">
        <v>64</v>
      </c>
      <c r="H40" t="s">
        <v>771</v>
      </c>
      <c r="I40" s="27" t="n">
        <v>-0.000592444122046941</v>
      </c>
      <c r="J40" s="27" t="n">
        <v>-0.00460178236314286</v>
      </c>
      <c r="K40" s="27" t="n">
        <v>0.00341689411904897</v>
      </c>
      <c r="L40" t="s">
        <v>1095</v>
      </c>
      <c r="M40" t="s">
        <v>153</v>
      </c>
      <c r="N40" t="s">
        <v>773</v>
      </c>
      <c r="O40" t="s">
        <v>1115</v>
      </c>
    </row>
    <row r="41">
      <c r="A41" t="s">
        <v>164</v>
      </c>
      <c r="B41" t="s">
        <v>52</v>
      </c>
      <c r="C41" s="27" t="n">
        <v>-0.00484082107014288</v>
      </c>
      <c r="D41" s="27" t="n">
        <v>0.00775546611585092</v>
      </c>
      <c r="E41" s="27" t="n">
        <v>-0.624181834828603</v>
      </c>
      <c r="F41" t="n">
        <v>0.534726885491316</v>
      </c>
      <c r="G41" t="n">
        <v>64</v>
      </c>
      <c r="H41" t="s">
        <v>771</v>
      </c>
      <c r="I41" s="27" t="n">
        <v>-0.00484082107014288</v>
      </c>
      <c r="J41" s="27" t="n">
        <v>-0.0203341457128343</v>
      </c>
      <c r="K41" s="27" t="n">
        <v>0.0106525035725485</v>
      </c>
      <c r="L41" t="s">
        <v>1096</v>
      </c>
      <c r="M41" t="s">
        <v>810</v>
      </c>
      <c r="N41" t="s">
        <v>773</v>
      </c>
      <c r="O41" t="s">
        <v>1115</v>
      </c>
    </row>
    <row r="42">
      <c r="A42" t="s">
        <v>164</v>
      </c>
      <c r="B42" t="s">
        <v>78</v>
      </c>
      <c r="C42" s="27" t="n">
        <v>-0.000028560387938034</v>
      </c>
      <c r="D42" s="27" t="n">
        <v>0.000592392472626875</v>
      </c>
      <c r="E42" s="27" t="n">
        <v>-0.0482119359339379</v>
      </c>
      <c r="F42" t="n">
        <v>0.96169747600075</v>
      </c>
      <c r="G42" t="n">
        <v>64</v>
      </c>
      <c r="H42" t="s">
        <v>771</v>
      </c>
      <c r="I42" s="27" t="n">
        <v>-0.000028560387938034</v>
      </c>
      <c r="J42" s="27" t="n">
        <v>-0.00121200039749932</v>
      </c>
      <c r="K42" s="27" t="n">
        <v>0.00115487962162326</v>
      </c>
      <c r="L42" t="s">
        <v>1097</v>
      </c>
      <c r="M42" t="s">
        <v>167</v>
      </c>
      <c r="N42" t="s">
        <v>773</v>
      </c>
      <c r="O42" t="s">
        <v>1115</v>
      </c>
    </row>
    <row r="43">
      <c r="A43" t="s">
        <v>803</v>
      </c>
      <c r="B43" t="s">
        <v>809</v>
      </c>
      <c r="C43" s="27" t="n">
        <v>4.17654594286234</v>
      </c>
      <c r="D43" s="27" t="n">
        <v>7.67756499202055</v>
      </c>
      <c r="E43" s="27" t="n">
        <v>0.543993564001491</v>
      </c>
      <c r="F43" t="n">
        <v>0.588336096502733</v>
      </c>
      <c r="G43" t="n">
        <v>64</v>
      </c>
      <c r="H43"/>
      <c r="I43" s="27"/>
      <c r="J43" s="27"/>
      <c r="K43" s="27"/>
      <c r="L43"/>
      <c r="M43" t="s">
        <v>990</v>
      </c>
      <c r="N43" t="s">
        <v>773</v>
      </c>
      <c r="O43" t="s">
        <v>1116</v>
      </c>
    </row>
    <row r="44">
      <c r="A44" t="s">
        <v>803</v>
      </c>
      <c r="B44" t="s">
        <v>318</v>
      </c>
      <c r="C44" s="27" t="n">
        <v>1.48345660710567</v>
      </c>
      <c r="D44" s="27" t="n">
        <v>0.615475444401878</v>
      </c>
      <c r="E44" s="27" t="n">
        <v>2.41026123884976</v>
      </c>
      <c r="F44" t="n">
        <v>0.0188251742498199</v>
      </c>
      <c r="G44" t="n">
        <v>64</v>
      </c>
      <c r="H44" t="s">
        <v>787</v>
      </c>
      <c r="I44" s="27" t="n">
        <v>4.40815664218745</v>
      </c>
      <c r="J44" s="27" t="n">
        <v>1.2890468384224</v>
      </c>
      <c r="K44" s="27" t="n">
        <v>15.0745841057592</v>
      </c>
      <c r="L44" t="s">
        <v>1098</v>
      </c>
      <c r="M44" t="s">
        <v>184</v>
      </c>
      <c r="N44" t="s">
        <v>773</v>
      </c>
      <c r="O44" t="s">
        <v>1116</v>
      </c>
    </row>
    <row r="45">
      <c r="A45" t="s">
        <v>803</v>
      </c>
      <c r="B45" t="s">
        <v>764</v>
      </c>
      <c r="C45" s="27" t="n">
        <v>0.0239315246764388</v>
      </c>
      <c r="D45" s="27" t="n">
        <v>0.0495430381431915</v>
      </c>
      <c r="E45" s="27" t="n">
        <v>0.483045157773143</v>
      </c>
      <c r="F45" t="n">
        <v>0.63071203192024</v>
      </c>
      <c r="G45" t="n">
        <v>64</v>
      </c>
      <c r="H45" t="s">
        <v>787</v>
      </c>
      <c r="I45" s="27" t="n">
        <v>1.02422018168101</v>
      </c>
      <c r="J45" s="27" t="n">
        <v>0.927704455323071</v>
      </c>
      <c r="K45" s="27" t="n">
        <v>1.13077712901288</v>
      </c>
      <c r="L45" t="s">
        <v>1099</v>
      </c>
      <c r="M45" t="s">
        <v>1100</v>
      </c>
      <c r="N45" t="s">
        <v>773</v>
      </c>
      <c r="O45" t="s">
        <v>1116</v>
      </c>
    </row>
    <row r="46">
      <c r="A46" t="s">
        <v>803</v>
      </c>
      <c r="B46" t="s">
        <v>52</v>
      </c>
      <c r="C46" s="27" t="n">
        <v>-0.168890926666308</v>
      </c>
      <c r="D46" s="27" t="n">
        <v>0.160619882284271</v>
      </c>
      <c r="E46" s="27" t="n">
        <v>-1.05149452399298</v>
      </c>
      <c r="F46" t="n">
        <v>0.296985623497542</v>
      </c>
      <c r="G46" t="n">
        <v>64</v>
      </c>
      <c r="H46" t="s">
        <v>787</v>
      </c>
      <c r="I46" s="27" t="n">
        <v>0.8446010218112</v>
      </c>
      <c r="J46" s="27" t="n">
        <v>0.612769748022339</v>
      </c>
      <c r="K46" s="27" t="n">
        <v>1.16414181402852</v>
      </c>
      <c r="L46" t="s">
        <v>1101</v>
      </c>
      <c r="M46" t="s">
        <v>827</v>
      </c>
      <c r="N46" t="s">
        <v>773</v>
      </c>
      <c r="O46" t="s">
        <v>1116</v>
      </c>
    </row>
    <row r="47">
      <c r="A47" t="s">
        <v>803</v>
      </c>
      <c r="B47" t="s">
        <v>78</v>
      </c>
      <c r="C47" s="27" t="n">
        <v>-0.0139160385022951</v>
      </c>
      <c r="D47" s="27" t="n">
        <v>0.0151658638090561</v>
      </c>
      <c r="E47" s="27" t="n">
        <v>-0.917589573367088</v>
      </c>
      <c r="F47" t="n">
        <v>0.362278841526998</v>
      </c>
      <c r="G47" t="n">
        <v>64</v>
      </c>
      <c r="H47" t="s">
        <v>787</v>
      </c>
      <c r="I47" s="27" t="n">
        <v>0.986180341965422</v>
      </c>
      <c r="J47" s="27" t="n">
        <v>0.956749828080972</v>
      </c>
      <c r="K47" s="27" t="n">
        <v>1.01651616580874</v>
      </c>
      <c r="L47" t="s">
        <v>1102</v>
      </c>
      <c r="M47" t="s">
        <v>998</v>
      </c>
      <c r="N47" t="s">
        <v>773</v>
      </c>
      <c r="O47" t="s">
        <v>1116</v>
      </c>
    </row>
    <row r="48">
      <c r="A48" t="s">
        <v>806</v>
      </c>
      <c r="B48" t="s">
        <v>809</v>
      </c>
      <c r="C48" s="27" t="n">
        <v>-3.24830286571343</v>
      </c>
      <c r="D48" s="27" t="n">
        <v>7.37442882087774</v>
      </c>
      <c r="E48" s="27" t="n">
        <v>-0.440481960652621</v>
      </c>
      <c r="F48" t="n">
        <v>0.661072290410019</v>
      </c>
      <c r="G48" t="n">
        <v>64</v>
      </c>
      <c r="H48"/>
      <c r="I48" s="27"/>
      <c r="J48" s="27"/>
      <c r="K48" s="27"/>
      <c r="L48"/>
      <c r="M48" t="s">
        <v>1061</v>
      </c>
      <c r="N48" t="s">
        <v>773</v>
      </c>
      <c r="O48" t="s">
        <v>1116</v>
      </c>
    </row>
    <row r="49">
      <c r="A49" t="s">
        <v>806</v>
      </c>
      <c r="B49" t="s">
        <v>318</v>
      </c>
      <c r="C49" s="27" t="n">
        <v>-0.348429681404596</v>
      </c>
      <c r="D49" s="27" t="n">
        <v>1.01156996632384</v>
      </c>
      <c r="E49" s="27" t="n">
        <v>-0.344444470480702</v>
      </c>
      <c r="F49" t="n">
        <v>0.731641325122671</v>
      </c>
      <c r="G49" t="n">
        <v>64</v>
      </c>
      <c r="H49" t="s">
        <v>787</v>
      </c>
      <c r="I49" s="27" t="n">
        <v>0.705795543830278</v>
      </c>
      <c r="J49" s="27" t="n">
        <v>0.0935487114245277</v>
      </c>
      <c r="K49" s="27" t="n">
        <v>5.32500493170949</v>
      </c>
      <c r="L49" t="s">
        <v>1103</v>
      </c>
      <c r="M49" t="s">
        <v>372</v>
      </c>
      <c r="N49" t="s">
        <v>773</v>
      </c>
      <c r="O49" t="s">
        <v>1116</v>
      </c>
    </row>
    <row r="50">
      <c r="A50" t="s">
        <v>806</v>
      </c>
      <c r="B50" t="s">
        <v>764</v>
      </c>
      <c r="C50" s="27" t="n">
        <v>0.0210436161175211</v>
      </c>
      <c r="D50" s="27" t="n">
        <v>0.143299907667754</v>
      </c>
      <c r="E50" s="27" t="n">
        <v>0.146850172201866</v>
      </c>
      <c r="F50" t="n">
        <v>0.88371189691922</v>
      </c>
      <c r="G50" t="n">
        <v>64</v>
      </c>
      <c r="H50" t="s">
        <v>787</v>
      </c>
      <c r="I50" s="27" t="n">
        <v>1.02126659434993</v>
      </c>
      <c r="J50" s="27" t="n">
        <v>0.767028854103681</v>
      </c>
      <c r="K50" s="27" t="n">
        <v>1.35977343114934</v>
      </c>
      <c r="L50" t="s">
        <v>1104</v>
      </c>
      <c r="M50" t="s">
        <v>1066</v>
      </c>
      <c r="N50" t="s">
        <v>773</v>
      </c>
      <c r="O50" t="s">
        <v>1116</v>
      </c>
    </row>
    <row r="51">
      <c r="A51" t="s">
        <v>806</v>
      </c>
      <c r="B51" t="s">
        <v>52</v>
      </c>
      <c r="C51" s="27" t="n">
        <v>-0.230445598806179</v>
      </c>
      <c r="D51" s="27" t="n">
        <v>0.192542432465309</v>
      </c>
      <c r="E51" s="27" t="n">
        <v>-1.19685617271766</v>
      </c>
      <c r="F51" t="n">
        <v>0.235777310899756</v>
      </c>
      <c r="G51" t="n">
        <v>64</v>
      </c>
      <c r="H51" t="s">
        <v>787</v>
      </c>
      <c r="I51" s="27" t="n">
        <v>0.794179638147494</v>
      </c>
      <c r="J51" s="27" t="n">
        <v>0.540590441888996</v>
      </c>
      <c r="K51" s="27" t="n">
        <v>1.16672669136388</v>
      </c>
      <c r="L51" t="s">
        <v>1105</v>
      </c>
      <c r="M51" t="s">
        <v>852</v>
      </c>
      <c r="N51" t="s">
        <v>773</v>
      </c>
      <c r="O51" t="s">
        <v>1116</v>
      </c>
    </row>
    <row r="52">
      <c r="A52" t="s">
        <v>806</v>
      </c>
      <c r="B52" t="s">
        <v>78</v>
      </c>
      <c r="C52" s="27" t="n">
        <v>-0.0014259089965901</v>
      </c>
      <c r="D52" s="27" t="n">
        <v>0.0166261894682477</v>
      </c>
      <c r="E52" s="27" t="n">
        <v>-0.0857628261312228</v>
      </c>
      <c r="F52" t="n">
        <v>0.931922699039752</v>
      </c>
      <c r="G52" t="n">
        <v>64</v>
      </c>
      <c r="H52" t="s">
        <v>787</v>
      </c>
      <c r="I52" s="27" t="n">
        <v>0.998575107128618</v>
      </c>
      <c r="J52" s="27" t="n">
        <v>0.965952574461061</v>
      </c>
      <c r="K52" s="27" t="n">
        <v>1.03229938088138</v>
      </c>
      <c r="L52" t="s">
        <v>1106</v>
      </c>
      <c r="M52" t="s">
        <v>970</v>
      </c>
      <c r="N52" t="s">
        <v>773</v>
      </c>
      <c r="O52" t="s">
        <v>1116</v>
      </c>
    </row>
  </sheetData>
  <pageMargins left="0.7" right="0.7" top="0.75" bottom="0.75" header="0.3" footer="0.3"/>
  <pageSetup paperSize="9"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9" t="s">
        <v>1117</v>
      </c>
    </row>
    <row r="3">
      <c r="A3" s="1" t="s">
        <v>1118</v>
      </c>
    </row>
    <row r="4">
      <c r="A4" t="s">
        <v>36</v>
      </c>
      <c r="B4" t="s">
        <v>1119</v>
      </c>
      <c r="C4" t="s">
        <v>1120</v>
      </c>
      <c r="D4" t="s">
        <v>39</v>
      </c>
      <c r="E4" t="s">
        <v>40</v>
      </c>
      <c r="F4" t="s">
        <v>41</v>
      </c>
      <c r="G4" t="s">
        <v>42</v>
      </c>
      <c r="H4" t="s">
        <v>43</v>
      </c>
    </row>
    <row r="5">
      <c r="A5" t="s">
        <v>44</v>
      </c>
      <c r="B5" t="s">
        <v>1121</v>
      </c>
      <c r="C5" t="s">
        <v>1122</v>
      </c>
      <c r="D5" t="s">
        <v>197</v>
      </c>
      <c r="E5" t="s">
        <v>1123</v>
      </c>
      <c r="F5" t="s">
        <v>66</v>
      </c>
      <c r="G5" t="s">
        <v>962</v>
      </c>
      <c r="H5" t="s">
        <v>1124</v>
      </c>
    </row>
    <row r="6">
      <c r="A6" t="s">
        <v>52</v>
      </c>
      <c r="B6" t="s">
        <v>1125</v>
      </c>
      <c r="C6" t="s">
        <v>1126</v>
      </c>
      <c r="D6" t="s">
        <v>810</v>
      </c>
      <c r="E6" t="s">
        <v>1123</v>
      </c>
      <c r="F6" t="s">
        <v>66</v>
      </c>
      <c r="G6" t="s">
        <v>965</v>
      </c>
      <c r="H6" t="s">
        <v>810</v>
      </c>
    </row>
    <row r="7">
      <c r="A7" t="s">
        <v>58</v>
      </c>
      <c r="B7" t="s">
        <v>1127</v>
      </c>
      <c r="C7" t="s">
        <v>1128</v>
      </c>
      <c r="D7" t="s">
        <v>810</v>
      </c>
      <c r="E7" t="s">
        <v>1123</v>
      </c>
      <c r="F7" t="s">
        <v>66</v>
      </c>
      <c r="G7" t="s">
        <v>967</v>
      </c>
      <c r="H7" t="s">
        <v>810</v>
      </c>
    </row>
    <row r="8">
      <c r="A8" t="s">
        <v>62</v>
      </c>
      <c r="B8" t="s">
        <v>1129</v>
      </c>
      <c r="C8" t="s">
        <v>1130</v>
      </c>
      <c r="D8" t="s">
        <v>970</v>
      </c>
      <c r="E8" t="s">
        <v>1123</v>
      </c>
      <c r="F8" t="s">
        <v>66</v>
      </c>
      <c r="G8" t="s">
        <v>969</v>
      </c>
      <c r="H8" t="s">
        <v>970</v>
      </c>
    </row>
    <row r="9">
      <c r="A9" t="s">
        <v>68</v>
      </c>
      <c r="B9" t="s">
        <v>1131</v>
      </c>
      <c r="C9" t="s">
        <v>1132</v>
      </c>
      <c r="D9" t="s">
        <v>886</v>
      </c>
      <c r="E9" t="s">
        <v>1123</v>
      </c>
      <c r="F9" t="s">
        <v>66</v>
      </c>
      <c r="G9" t="s">
        <v>972</v>
      </c>
      <c r="H9" t="s">
        <v>886</v>
      </c>
    </row>
    <row r="10">
      <c r="A10" t="s">
        <v>73</v>
      </c>
      <c r="B10" t="s">
        <v>1133</v>
      </c>
      <c r="C10" t="s">
        <v>1134</v>
      </c>
      <c r="D10" t="s">
        <v>153</v>
      </c>
      <c r="E10" t="s">
        <v>1123</v>
      </c>
      <c r="F10" t="s">
        <v>66</v>
      </c>
      <c r="G10" t="s">
        <v>974</v>
      </c>
      <c r="H10" t="s">
        <v>153</v>
      </c>
    </row>
    <row r="11">
      <c r="A11" t="s">
        <v>78</v>
      </c>
      <c r="B11" t="s">
        <v>1135</v>
      </c>
      <c r="C11" t="s">
        <v>1136</v>
      </c>
      <c r="D11" t="s">
        <v>140</v>
      </c>
      <c r="E11" t="s">
        <v>1123</v>
      </c>
      <c r="F11" t="s">
        <v>66</v>
      </c>
      <c r="G11" t="s">
        <v>976</v>
      </c>
      <c r="H11" t="s">
        <v>140</v>
      </c>
    </row>
    <row r="12">
      <c r="A12" t="s">
        <v>83</v>
      </c>
      <c r="B12" t="s">
        <v>1137</v>
      </c>
      <c r="C12" t="s">
        <v>1138</v>
      </c>
      <c r="D12" t="s">
        <v>979</v>
      </c>
      <c r="E12" t="s">
        <v>1123</v>
      </c>
      <c r="F12" t="s">
        <v>66</v>
      </c>
      <c r="G12" t="s">
        <v>978</v>
      </c>
      <c r="H12" t="s">
        <v>979</v>
      </c>
    </row>
    <row r="13">
      <c r="A13" t="s">
        <v>90</v>
      </c>
      <c r="B13" t="s">
        <v>91</v>
      </c>
      <c r="C13" t="s">
        <v>91</v>
      </c>
      <c r="D13" t="s">
        <v>1139</v>
      </c>
      <c r="E13" t="s">
        <v>1140</v>
      </c>
      <c r="F13" t="s">
        <v>66</v>
      </c>
      <c r="G13" t="s">
        <v>94</v>
      </c>
      <c r="H13" t="s">
        <v>94</v>
      </c>
    </row>
    <row r="14">
      <c r="A14" t="s">
        <v>95</v>
      </c>
      <c r="B14" t="s">
        <v>1141</v>
      </c>
      <c r="C14" t="s">
        <v>1142</v>
      </c>
      <c r="D14" t="s">
        <v>331</v>
      </c>
      <c r="E14" t="s">
        <v>1123</v>
      </c>
      <c r="F14" t="s">
        <v>66</v>
      </c>
      <c r="G14" t="s">
        <v>982</v>
      </c>
      <c r="H14" t="s">
        <v>1143</v>
      </c>
    </row>
    <row r="15">
      <c r="A15" t="s">
        <v>102</v>
      </c>
      <c r="B15" t="s">
        <v>1144</v>
      </c>
      <c r="C15" t="s">
        <v>1145</v>
      </c>
      <c r="D15" t="s">
        <v>986</v>
      </c>
      <c r="E15" t="s">
        <v>1123</v>
      </c>
      <c r="F15" t="s">
        <v>66</v>
      </c>
      <c r="G15" t="s">
        <v>985</v>
      </c>
      <c r="H15" t="s">
        <v>1146</v>
      </c>
    </row>
    <row r="16">
      <c r="A16" t="s">
        <v>108</v>
      </c>
      <c r="B16" t="s">
        <v>1147</v>
      </c>
      <c r="C16" t="s">
        <v>1148</v>
      </c>
      <c r="D16" t="s">
        <v>839</v>
      </c>
      <c r="E16" t="s">
        <v>1149</v>
      </c>
      <c r="F16" t="s">
        <v>66</v>
      </c>
      <c r="G16" t="s">
        <v>94</v>
      </c>
      <c r="H16" t="s">
        <v>94</v>
      </c>
    </row>
    <row r="17">
      <c r="A17" t="s">
        <v>112</v>
      </c>
      <c r="B17" t="s">
        <v>1150</v>
      </c>
      <c r="C17" t="s">
        <v>1151</v>
      </c>
      <c r="D17" t="s">
        <v>94</v>
      </c>
      <c r="E17" t="s">
        <v>94</v>
      </c>
      <c r="F17" t="s">
        <v>94</v>
      </c>
      <c r="G17" t="s">
        <v>94</v>
      </c>
      <c r="H17" t="s">
        <v>94</v>
      </c>
    </row>
    <row r="18">
      <c r="A18" t="s">
        <v>115</v>
      </c>
      <c r="B18" t="s">
        <v>1150</v>
      </c>
      <c r="C18" t="s">
        <v>1152</v>
      </c>
      <c r="D18" t="s">
        <v>94</v>
      </c>
      <c r="E18" t="s">
        <v>94</v>
      </c>
      <c r="F18" t="s">
        <v>94</v>
      </c>
      <c r="G18" t="s">
        <v>94</v>
      </c>
      <c r="H18" t="s">
        <v>94</v>
      </c>
    </row>
    <row r="20">
      <c r="A20" s="1" t="s">
        <v>1153</v>
      </c>
    </row>
    <row r="21">
      <c r="A21" t="s">
        <v>36</v>
      </c>
      <c r="B21" t="s">
        <v>1119</v>
      </c>
      <c r="C21" t="s">
        <v>1120</v>
      </c>
      <c r="D21" t="s">
        <v>39</v>
      </c>
      <c r="E21" t="s">
        <v>40</v>
      </c>
      <c r="F21" t="s">
        <v>41</v>
      </c>
      <c r="G21" t="s">
        <v>42</v>
      </c>
      <c r="H21" t="s">
        <v>43</v>
      </c>
    </row>
    <row r="22">
      <c r="A22" t="s">
        <v>119</v>
      </c>
      <c r="B22" t="s">
        <v>1154</v>
      </c>
      <c r="C22" t="s">
        <v>1155</v>
      </c>
      <c r="D22" t="s">
        <v>990</v>
      </c>
      <c r="E22" t="s">
        <v>1123</v>
      </c>
      <c r="F22" t="s">
        <v>66</v>
      </c>
      <c r="G22" t="s">
        <v>989</v>
      </c>
      <c r="H22" t="s">
        <v>1156</v>
      </c>
    </row>
    <row r="23">
      <c r="A23" t="s">
        <v>125</v>
      </c>
      <c r="B23" t="s">
        <v>1157</v>
      </c>
      <c r="C23" t="s">
        <v>1158</v>
      </c>
      <c r="D23" t="s">
        <v>990</v>
      </c>
      <c r="E23" t="s">
        <v>1123</v>
      </c>
      <c r="F23" t="s">
        <v>66</v>
      </c>
      <c r="G23" t="s">
        <v>992</v>
      </c>
      <c r="H23" t="s">
        <v>990</v>
      </c>
    </row>
    <row r="24">
      <c r="A24" t="s">
        <v>129</v>
      </c>
      <c r="B24" t="s">
        <v>1159</v>
      </c>
      <c r="C24" t="s">
        <v>1160</v>
      </c>
      <c r="D24"/>
      <c r="E24" t="s">
        <v>132</v>
      </c>
      <c r="F24" t="s">
        <v>133</v>
      </c>
      <c r="G24" t="s">
        <v>94</v>
      </c>
      <c r="H24" t="s">
        <v>94</v>
      </c>
    </row>
  </sheetData>
  <pageMargins left="0.7" right="0.7" top="0.75" bottom="0.75" header="0.3" footer="0.3"/>
  <pageSetup paperSize="9" orientation="portrait" horizontalDpi="300" verticalDpi="300"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9" t="s">
        <v>1117</v>
      </c>
    </row>
    <row r="3">
      <c r="A3" t="s">
        <v>36</v>
      </c>
      <c r="B3" t="s">
        <v>1119</v>
      </c>
      <c r="C3" t="s">
        <v>1120</v>
      </c>
      <c r="D3" t="s">
        <v>39</v>
      </c>
      <c r="E3" t="s">
        <v>40</v>
      </c>
      <c r="F3" t="s">
        <v>41</v>
      </c>
      <c r="G3" t="s">
        <v>42</v>
      </c>
      <c r="H3" t="s">
        <v>43</v>
      </c>
      <c r="I3" t="s">
        <v>134</v>
      </c>
      <c r="J3" t="s">
        <v>135</v>
      </c>
      <c r="K3" t="s">
        <v>136</v>
      </c>
    </row>
    <row r="4">
      <c r="A4" t="s">
        <v>137</v>
      </c>
      <c r="B4" t="s">
        <v>1161</v>
      </c>
      <c r="C4" t="s">
        <v>1162</v>
      </c>
      <c r="D4" t="s">
        <v>996</v>
      </c>
      <c r="E4" t="s">
        <v>1123</v>
      </c>
      <c r="F4" t="s">
        <v>66</v>
      </c>
      <c r="G4" t="s">
        <v>995</v>
      </c>
      <c r="H4" t="s">
        <v>996</v>
      </c>
      <c r="I4" t="s">
        <v>1077</v>
      </c>
      <c r="J4" t="s">
        <v>352</v>
      </c>
      <c r="K4" t="s">
        <v>1109</v>
      </c>
    </row>
    <row r="5">
      <c r="A5" t="s">
        <v>145</v>
      </c>
      <c r="B5" t="s">
        <v>1163</v>
      </c>
      <c r="C5" t="s">
        <v>1164</v>
      </c>
      <c r="D5" t="s">
        <v>81</v>
      </c>
      <c r="E5" t="s">
        <v>1123</v>
      </c>
      <c r="F5" t="s">
        <v>49</v>
      </c>
      <c r="G5" t="s">
        <v>999</v>
      </c>
      <c r="H5" t="s">
        <v>81</v>
      </c>
      <c r="I5" t="s">
        <v>1081</v>
      </c>
      <c r="J5" t="s">
        <v>81</v>
      </c>
      <c r="K5" t="s">
        <v>1109</v>
      </c>
    </row>
    <row r="6">
      <c r="A6" t="s">
        <v>150</v>
      </c>
      <c r="B6" t="s">
        <v>1165</v>
      </c>
      <c r="C6" t="s">
        <v>1166</v>
      </c>
      <c r="D6" t="s">
        <v>890</v>
      </c>
      <c r="E6" t="s">
        <v>1123</v>
      </c>
      <c r="F6" t="s">
        <v>66</v>
      </c>
      <c r="G6" t="s">
        <v>155</v>
      </c>
      <c r="H6" t="s">
        <v>890</v>
      </c>
      <c r="I6" t="s">
        <v>1086</v>
      </c>
      <c r="J6" t="s">
        <v>1019</v>
      </c>
      <c r="K6" t="s">
        <v>1109</v>
      </c>
    </row>
    <row r="7">
      <c r="A7" t="s">
        <v>156</v>
      </c>
      <c r="B7" t="s">
        <v>1167</v>
      </c>
      <c r="C7" t="s">
        <v>1168</v>
      </c>
      <c r="D7" t="s">
        <v>827</v>
      </c>
      <c r="E7" t="s">
        <v>1123</v>
      </c>
      <c r="F7" t="s">
        <v>66</v>
      </c>
      <c r="G7" t="s">
        <v>1002</v>
      </c>
      <c r="H7" t="s">
        <v>827</v>
      </c>
      <c r="I7" t="s">
        <v>1091</v>
      </c>
      <c r="J7" t="s">
        <v>1075</v>
      </c>
      <c r="K7" t="s">
        <v>1110</v>
      </c>
    </row>
    <row r="8">
      <c r="A8" t="s">
        <v>164</v>
      </c>
      <c r="B8" t="s">
        <v>1169</v>
      </c>
      <c r="C8" t="s">
        <v>1170</v>
      </c>
      <c r="D8" t="s">
        <v>1005</v>
      </c>
      <c r="E8" t="s">
        <v>1123</v>
      </c>
      <c r="F8" t="s">
        <v>66</v>
      </c>
      <c r="G8" t="s">
        <v>1004</v>
      </c>
      <c r="H8" t="s">
        <v>1005</v>
      </c>
      <c r="I8" t="s">
        <v>1091</v>
      </c>
      <c r="J8" t="s">
        <v>86</v>
      </c>
      <c r="K8" t="s">
        <v>1109</v>
      </c>
    </row>
    <row r="9">
      <c r="A9" t="s">
        <v>171</v>
      </c>
      <c r="B9" t="s">
        <v>1171</v>
      </c>
      <c r="C9" t="s">
        <v>1172</v>
      </c>
      <c r="D9" t="s">
        <v>839</v>
      </c>
      <c r="E9" t="s">
        <v>1140</v>
      </c>
      <c r="F9" t="s">
        <v>66</v>
      </c>
      <c r="G9" t="s">
        <v>94</v>
      </c>
      <c r="H9" t="s">
        <v>94</v>
      </c>
      <c r="I9" t="s">
        <v>94</v>
      </c>
      <c r="J9" t="s">
        <v>94</v>
      </c>
      <c r="K9" t="s">
        <v>94</v>
      </c>
    </row>
    <row r="10">
      <c r="A10" t="s">
        <v>175</v>
      </c>
      <c r="B10" t="s">
        <v>1173</v>
      </c>
      <c r="C10" t="s">
        <v>1174</v>
      </c>
      <c r="D10" t="s">
        <v>371</v>
      </c>
      <c r="E10" t="s">
        <v>1140</v>
      </c>
      <c r="F10" t="s">
        <v>66</v>
      </c>
      <c r="G10" t="s">
        <v>94</v>
      </c>
      <c r="H10" t="s">
        <v>94</v>
      </c>
      <c r="I10" t="s">
        <v>94</v>
      </c>
      <c r="J10" t="s">
        <v>94</v>
      </c>
      <c r="K10" t="s">
        <v>94</v>
      </c>
    </row>
    <row r="11">
      <c r="A11" t="s">
        <v>178</v>
      </c>
      <c r="B11" t="s">
        <v>1175</v>
      </c>
      <c r="C11" t="s">
        <v>1176</v>
      </c>
      <c r="D11" t="s">
        <v>122</v>
      </c>
      <c r="E11" t="s">
        <v>1123</v>
      </c>
      <c r="F11" t="s">
        <v>49</v>
      </c>
      <c r="G11" t="s">
        <v>1008</v>
      </c>
      <c r="H11" t="s">
        <v>122</v>
      </c>
      <c r="I11" t="s">
        <v>1098</v>
      </c>
      <c r="J11" t="s">
        <v>184</v>
      </c>
      <c r="K11" t="s">
        <v>1111</v>
      </c>
    </row>
    <row r="12">
      <c r="A12" t="s">
        <v>186</v>
      </c>
      <c r="B12" t="s">
        <v>1177</v>
      </c>
      <c r="C12" t="s">
        <v>1178</v>
      </c>
      <c r="D12" t="s">
        <v>850</v>
      </c>
      <c r="E12" t="s">
        <v>1123</v>
      </c>
      <c r="F12" t="s">
        <v>66</v>
      </c>
      <c r="G12" t="s">
        <v>1010</v>
      </c>
      <c r="H12" t="s">
        <v>850</v>
      </c>
      <c r="I12" t="s">
        <v>1103</v>
      </c>
      <c r="J12" t="s">
        <v>372</v>
      </c>
      <c r="K12" t="s">
        <v>1113</v>
      </c>
    </row>
    <row r="13">
      <c r="A13" t="s">
        <v>194</v>
      </c>
      <c r="B13" t="s">
        <v>1179</v>
      </c>
      <c r="C13" t="s">
        <v>1180</v>
      </c>
      <c r="D13" t="s">
        <v>890</v>
      </c>
      <c r="E13" t="s">
        <v>1149</v>
      </c>
      <c r="F13" t="s">
        <v>66</v>
      </c>
      <c r="G13" t="s">
        <v>94</v>
      </c>
      <c r="H13" t="s">
        <v>94</v>
      </c>
      <c r="I13" t="s">
        <v>94</v>
      </c>
      <c r="J13" t="s">
        <v>94</v>
      </c>
      <c r="K13" t="s">
        <v>94</v>
      </c>
    </row>
    <row r="14">
      <c r="A14" t="s">
        <v>199</v>
      </c>
      <c r="B14" t="s">
        <v>1181</v>
      </c>
      <c r="C14" t="s">
        <v>1182</v>
      </c>
      <c r="D14" t="s">
        <v>94</v>
      </c>
      <c r="E14" t="s">
        <v>94</v>
      </c>
      <c r="F14" t="s">
        <v>94</v>
      </c>
      <c r="G14" t="s">
        <v>94</v>
      </c>
      <c r="H14" t="s">
        <v>94</v>
      </c>
      <c r="I14" t="s">
        <v>94</v>
      </c>
      <c r="J14" t="s">
        <v>94</v>
      </c>
      <c r="K14" t="s">
        <v>94</v>
      </c>
    </row>
    <row r="15">
      <c r="A15" t="s">
        <v>202</v>
      </c>
      <c r="B15" t="s">
        <v>1183</v>
      </c>
      <c r="C15" t="s">
        <v>1184</v>
      </c>
      <c r="D15" t="s">
        <v>94</v>
      </c>
      <c r="E15" t="s">
        <v>94</v>
      </c>
      <c r="F15" t="s">
        <v>94</v>
      </c>
      <c r="G15" t="s">
        <v>94</v>
      </c>
      <c r="H15" t="s">
        <v>94</v>
      </c>
      <c r="I15" t="s">
        <v>94</v>
      </c>
      <c r="J15" t="s">
        <v>94</v>
      </c>
      <c r="K15" t="s">
        <v>94</v>
      </c>
    </row>
  </sheetData>
  <pageMargins left="0.7" right="0.7" top="0.75" bottom="0.75" header="0.3" footer="0.3"/>
  <pageSetup paperSize="9" orientation="portrait" horizontalDpi="300" verticalDpi="300"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38.71" hidden="0" customWidth="1"/>
    <col min="2" max="2" width="18.71" hidden="0" customWidth="1"/>
    <col min="3" max="3" width="18.71" hidden="0" customWidth="1"/>
    <col min="4" max="4" width="18.71" hidden="0" customWidth="1"/>
    <col min="5" max="5" width="18.71" hidden="0" customWidth="1"/>
    <col min="6" max="6" width="18.71" hidden="0" customWidth="1"/>
    <col min="7" max="7" width="18.71" hidden="0" customWidth="1"/>
    <col min="8" max="8" width="18.71" hidden="0" customWidth="1"/>
    <col min="9" max="9" width="18.71" hidden="0" customWidth="1"/>
  </cols>
  <sheetData>
    <row r="1">
      <c r="A1" s="9" t="s">
        <v>1117</v>
      </c>
    </row>
    <row r="3">
      <c r="A3" s="2" t="s">
        <v>36</v>
      </c>
      <c r="B3" s="2" t="s">
        <v>1119</v>
      </c>
      <c r="C3" s="2" t="s">
        <v>1120</v>
      </c>
      <c r="D3" s="2" t="s">
        <v>39</v>
      </c>
      <c r="E3" s="2" t="s">
        <v>42</v>
      </c>
      <c r="F3" s="2" t="s">
        <v>43</v>
      </c>
      <c r="G3" s="2" t="s">
        <v>134</v>
      </c>
      <c r="H3" s="2" t="s">
        <v>135</v>
      </c>
      <c r="I3" s="2" t="s">
        <v>136</v>
      </c>
    </row>
    <row r="4">
      <c r="A4" s="3" t="s">
        <v>205</v>
      </c>
      <c r="B4" s="3" t="s">
        <v>94</v>
      </c>
      <c r="C4" s="3" t="s">
        <v>94</v>
      </c>
      <c r="D4" s="3" t="s">
        <v>94</v>
      </c>
      <c r="E4" s="3" t="s">
        <v>94</v>
      </c>
      <c r="F4" s="3" t="s">
        <v>94</v>
      </c>
      <c r="G4" s="3" t="s">
        <v>94</v>
      </c>
      <c r="H4" s="3" t="s">
        <v>94</v>
      </c>
      <c r="I4" s="3" t="s">
        <v>94</v>
      </c>
    </row>
    <row r="5">
      <c r="A5" t="s">
        <v>44</v>
      </c>
      <c r="B5" t="s">
        <v>1121</v>
      </c>
      <c r="C5" t="s">
        <v>1122</v>
      </c>
      <c r="D5" t="s">
        <v>197</v>
      </c>
      <c r="E5" t="s">
        <v>962</v>
      </c>
      <c r="F5" t="s">
        <v>1124</v>
      </c>
      <c r="G5" t="s">
        <v>94</v>
      </c>
      <c r="H5" t="s">
        <v>94</v>
      </c>
      <c r="I5" t="s">
        <v>94</v>
      </c>
    </row>
    <row r="6">
      <c r="A6" t="s">
        <v>52</v>
      </c>
      <c r="B6" t="s">
        <v>1125</v>
      </c>
      <c r="C6" t="s">
        <v>1126</v>
      </c>
      <c r="D6" t="s">
        <v>810</v>
      </c>
      <c r="E6" t="s">
        <v>965</v>
      </c>
      <c r="F6" t="s">
        <v>810</v>
      </c>
      <c r="G6" t="s">
        <v>94</v>
      </c>
      <c r="H6" t="s">
        <v>94</v>
      </c>
      <c r="I6" t="s">
        <v>94</v>
      </c>
    </row>
    <row r="7">
      <c r="A7" t="s">
        <v>58</v>
      </c>
      <c r="B7" t="s">
        <v>1127</v>
      </c>
      <c r="C7" t="s">
        <v>1128</v>
      </c>
      <c r="D7" t="s">
        <v>810</v>
      </c>
      <c r="E7" t="s">
        <v>967</v>
      </c>
      <c r="F7" t="s">
        <v>810</v>
      </c>
      <c r="G7" t="s">
        <v>94</v>
      </c>
      <c r="H7" t="s">
        <v>94</v>
      </c>
      <c r="I7" t="s">
        <v>94</v>
      </c>
    </row>
    <row r="8">
      <c r="A8" t="s">
        <v>62</v>
      </c>
      <c r="B8" t="s">
        <v>1129</v>
      </c>
      <c r="C8" t="s">
        <v>1130</v>
      </c>
      <c r="D8" t="s">
        <v>970</v>
      </c>
      <c r="E8" t="s">
        <v>969</v>
      </c>
      <c r="F8" t="s">
        <v>970</v>
      </c>
      <c r="G8" t="s">
        <v>94</v>
      </c>
      <c r="H8" t="s">
        <v>94</v>
      </c>
      <c r="I8" t="s">
        <v>94</v>
      </c>
    </row>
    <row r="9">
      <c r="A9" t="s">
        <v>68</v>
      </c>
      <c r="B9" t="s">
        <v>1131</v>
      </c>
      <c r="C9" t="s">
        <v>1132</v>
      </c>
      <c r="D9" t="s">
        <v>886</v>
      </c>
      <c r="E9" t="s">
        <v>972</v>
      </c>
      <c r="F9" t="s">
        <v>886</v>
      </c>
      <c r="G9" t="s">
        <v>94</v>
      </c>
      <c r="H9" t="s">
        <v>94</v>
      </c>
      <c r="I9" t="s">
        <v>94</v>
      </c>
    </row>
    <row r="10">
      <c r="A10" t="s">
        <v>73</v>
      </c>
      <c r="B10" t="s">
        <v>1133</v>
      </c>
      <c r="C10" t="s">
        <v>1134</v>
      </c>
      <c r="D10" t="s">
        <v>153</v>
      </c>
      <c r="E10" t="s">
        <v>974</v>
      </c>
      <c r="F10" t="s">
        <v>153</v>
      </c>
      <c r="G10" t="s">
        <v>94</v>
      </c>
      <c r="H10" t="s">
        <v>94</v>
      </c>
      <c r="I10" t="s">
        <v>94</v>
      </c>
    </row>
    <row r="11">
      <c r="A11" t="s">
        <v>78</v>
      </c>
      <c r="B11" t="s">
        <v>1135</v>
      </c>
      <c r="C11" t="s">
        <v>1136</v>
      </c>
      <c r="D11" t="s">
        <v>140</v>
      </c>
      <c r="E11" t="s">
        <v>976</v>
      </c>
      <c r="F11" t="s">
        <v>140</v>
      </c>
      <c r="G11" t="s">
        <v>94</v>
      </c>
      <c r="H11" t="s">
        <v>94</v>
      </c>
      <c r="I11" t="s">
        <v>94</v>
      </c>
    </row>
    <row r="12">
      <c r="A12" t="s">
        <v>83</v>
      </c>
      <c r="B12" t="s">
        <v>1137</v>
      </c>
      <c r="C12" t="s">
        <v>1138</v>
      </c>
      <c r="D12" t="s">
        <v>979</v>
      </c>
      <c r="E12" t="s">
        <v>978</v>
      </c>
      <c r="F12" t="s">
        <v>979</v>
      </c>
      <c r="G12" t="s">
        <v>94</v>
      </c>
      <c r="H12" t="s">
        <v>94</v>
      </c>
      <c r="I12" t="s">
        <v>94</v>
      </c>
    </row>
    <row r="13">
      <c r="A13" t="s">
        <v>90</v>
      </c>
      <c r="B13" t="s">
        <v>91</v>
      </c>
      <c r="C13" t="s">
        <v>91</v>
      </c>
      <c r="D13" t="s">
        <v>1139</v>
      </c>
      <c r="E13" t="s">
        <v>94</v>
      </c>
      <c r="F13" t="s">
        <v>94</v>
      </c>
      <c r="G13" t="s">
        <v>94</v>
      </c>
      <c r="H13" t="s">
        <v>94</v>
      </c>
      <c r="I13" t="s">
        <v>94</v>
      </c>
    </row>
    <row r="14">
      <c r="A14" t="s">
        <v>95</v>
      </c>
      <c r="B14" t="s">
        <v>1141</v>
      </c>
      <c r="C14" t="s">
        <v>1142</v>
      </c>
      <c r="D14" t="s">
        <v>331</v>
      </c>
      <c r="E14" t="s">
        <v>982</v>
      </c>
      <c r="F14" t="s">
        <v>1143</v>
      </c>
      <c r="G14" t="s">
        <v>94</v>
      </c>
      <c r="H14" t="s">
        <v>94</v>
      </c>
      <c r="I14" t="s">
        <v>94</v>
      </c>
    </row>
    <row r="15">
      <c r="A15" t="s">
        <v>102</v>
      </c>
      <c r="B15" t="s">
        <v>1144</v>
      </c>
      <c r="C15" t="s">
        <v>1145</v>
      </c>
      <c r="D15" t="s">
        <v>986</v>
      </c>
      <c r="E15" t="s">
        <v>985</v>
      </c>
      <c r="F15" t="s">
        <v>1146</v>
      </c>
      <c r="G15" t="s">
        <v>94</v>
      </c>
      <c r="H15" t="s">
        <v>94</v>
      </c>
      <c r="I15" t="s">
        <v>94</v>
      </c>
    </row>
    <row r="16">
      <c r="A16" t="s">
        <v>108</v>
      </c>
      <c r="B16" t="s">
        <v>1147</v>
      </c>
      <c r="C16" t="s">
        <v>1148</v>
      </c>
      <c r="D16" t="s">
        <v>839</v>
      </c>
      <c r="E16" t="s">
        <v>94</v>
      </c>
      <c r="F16" t="s">
        <v>94</v>
      </c>
      <c r="G16" t="s">
        <v>94</v>
      </c>
      <c r="H16" t="s">
        <v>94</v>
      </c>
      <c r="I16" t="s">
        <v>94</v>
      </c>
    </row>
    <row r="17">
      <c r="A17" t="s">
        <v>112</v>
      </c>
      <c r="B17" t="s">
        <v>1150</v>
      </c>
      <c r="C17" t="s">
        <v>1151</v>
      </c>
      <c r="D17" t="s">
        <v>94</v>
      </c>
      <c r="E17" t="s">
        <v>94</v>
      </c>
      <c r="F17" t="s">
        <v>94</v>
      </c>
      <c r="G17" t="s">
        <v>94</v>
      </c>
      <c r="H17" t="s">
        <v>94</v>
      </c>
      <c r="I17" t="s">
        <v>94</v>
      </c>
    </row>
    <row r="18">
      <c r="A18" t="s">
        <v>115</v>
      </c>
      <c r="B18" t="s">
        <v>1150</v>
      </c>
      <c r="C18" t="s">
        <v>1152</v>
      </c>
      <c r="D18" t="s">
        <v>94</v>
      </c>
      <c r="E18" t="s">
        <v>94</v>
      </c>
      <c r="F18" t="s">
        <v>94</v>
      </c>
      <c r="G18" t="s">
        <v>94</v>
      </c>
      <c r="H18" t="s">
        <v>94</v>
      </c>
      <c r="I18" t="s">
        <v>94</v>
      </c>
    </row>
    <row r="19">
      <c r="A19" s="3" t="s">
        <v>118</v>
      </c>
      <c r="B19" s="3" t="s">
        <v>94</v>
      </c>
      <c r="C19" s="3" t="s">
        <v>94</v>
      </c>
      <c r="D19" s="3" t="s">
        <v>94</v>
      </c>
      <c r="E19" s="3" t="s">
        <v>94</v>
      </c>
      <c r="F19" s="3" t="s">
        <v>94</v>
      </c>
      <c r="G19" s="3" t="s">
        <v>94</v>
      </c>
      <c r="H19" s="3" t="s">
        <v>94</v>
      </c>
      <c r="I19" s="3" t="s">
        <v>94</v>
      </c>
    </row>
    <row r="20">
      <c r="A20" t="s">
        <v>119</v>
      </c>
      <c r="B20" t="s">
        <v>1154</v>
      </c>
      <c r="C20" t="s">
        <v>1155</v>
      </c>
      <c r="D20" t="s">
        <v>990</v>
      </c>
      <c r="E20" t="s">
        <v>989</v>
      </c>
      <c r="F20" t="s">
        <v>1156</v>
      </c>
      <c r="G20" t="s">
        <v>94</v>
      </c>
      <c r="H20" t="s">
        <v>94</v>
      </c>
      <c r="I20" t="s">
        <v>94</v>
      </c>
    </row>
    <row r="21">
      <c r="A21" t="s">
        <v>125</v>
      </c>
      <c r="B21" t="s">
        <v>1157</v>
      </c>
      <c r="C21" t="s">
        <v>1158</v>
      </c>
      <c r="D21" t="s">
        <v>990</v>
      </c>
      <c r="E21" t="s">
        <v>992</v>
      </c>
      <c r="F21" t="s">
        <v>990</v>
      </c>
      <c r="G21" t="s">
        <v>94</v>
      </c>
      <c r="H21" t="s">
        <v>94</v>
      </c>
      <c r="I21" t="s">
        <v>94</v>
      </c>
    </row>
    <row r="22">
      <c r="A22" t="s">
        <v>129</v>
      </c>
      <c r="B22" t="s">
        <v>1159</v>
      </c>
      <c r="C22" t="s">
        <v>1160</v>
      </c>
      <c r="D22" t="s">
        <v>206</v>
      </c>
      <c r="E22" t="s">
        <v>94</v>
      </c>
      <c r="F22" t="s">
        <v>94</v>
      </c>
      <c r="G22" t="s">
        <v>94</v>
      </c>
      <c r="H22" t="s">
        <v>94</v>
      </c>
      <c r="I22" t="s">
        <v>94</v>
      </c>
    </row>
    <row r="23">
      <c r="A23" s="3" t="s">
        <v>207</v>
      </c>
      <c r="B23" s="3" t="s">
        <v>94</v>
      </c>
      <c r="C23" s="3" t="s">
        <v>94</v>
      </c>
      <c r="D23" s="3" t="s">
        <v>94</v>
      </c>
      <c r="E23" s="3" t="s">
        <v>94</v>
      </c>
      <c r="F23" s="3" t="s">
        <v>94</v>
      </c>
      <c r="G23" s="3" t="s">
        <v>94</v>
      </c>
      <c r="H23" s="3" t="s">
        <v>94</v>
      </c>
      <c r="I23" s="3" t="s">
        <v>94</v>
      </c>
    </row>
    <row r="24">
      <c r="A24" t="s">
        <v>137</v>
      </c>
      <c r="B24" t="s">
        <v>1161</v>
      </c>
      <c r="C24" t="s">
        <v>1162</v>
      </c>
      <c r="D24" t="s">
        <v>996</v>
      </c>
      <c r="E24" t="s">
        <v>995</v>
      </c>
      <c r="F24" t="s">
        <v>996</v>
      </c>
      <c r="G24" t="s">
        <v>1077</v>
      </c>
      <c r="H24" t="s">
        <v>352</v>
      </c>
      <c r="I24" t="s">
        <v>1109</v>
      </c>
    </row>
    <row r="25">
      <c r="A25" t="s">
        <v>145</v>
      </c>
      <c r="B25" t="s">
        <v>1163</v>
      </c>
      <c r="C25" t="s">
        <v>1164</v>
      </c>
      <c r="D25" t="s">
        <v>81</v>
      </c>
      <c r="E25" t="s">
        <v>999</v>
      </c>
      <c r="F25" t="s">
        <v>81</v>
      </c>
      <c r="G25" t="s">
        <v>1081</v>
      </c>
      <c r="H25" t="s">
        <v>81</v>
      </c>
      <c r="I25" t="s">
        <v>1109</v>
      </c>
    </row>
    <row r="26">
      <c r="A26" t="s">
        <v>150</v>
      </c>
      <c r="B26" t="s">
        <v>1165</v>
      </c>
      <c r="C26" t="s">
        <v>1166</v>
      </c>
      <c r="D26" t="s">
        <v>890</v>
      </c>
      <c r="E26" t="s">
        <v>155</v>
      </c>
      <c r="F26" t="s">
        <v>890</v>
      </c>
      <c r="G26" t="s">
        <v>1086</v>
      </c>
      <c r="H26" t="s">
        <v>1019</v>
      </c>
      <c r="I26" t="s">
        <v>1109</v>
      </c>
    </row>
    <row r="27">
      <c r="A27" t="s">
        <v>156</v>
      </c>
      <c r="B27" t="s">
        <v>1167</v>
      </c>
      <c r="C27" t="s">
        <v>1168</v>
      </c>
      <c r="D27" t="s">
        <v>827</v>
      </c>
      <c r="E27" t="s">
        <v>1002</v>
      </c>
      <c r="F27" t="s">
        <v>827</v>
      </c>
      <c r="G27" t="s">
        <v>1091</v>
      </c>
      <c r="H27" t="s">
        <v>1075</v>
      </c>
      <c r="I27" t="s">
        <v>1110</v>
      </c>
    </row>
    <row r="28">
      <c r="A28" t="s">
        <v>164</v>
      </c>
      <c r="B28" t="s">
        <v>1169</v>
      </c>
      <c r="C28" t="s">
        <v>1170</v>
      </c>
      <c r="D28" t="s">
        <v>1005</v>
      </c>
      <c r="E28" t="s">
        <v>1004</v>
      </c>
      <c r="F28" t="s">
        <v>1005</v>
      </c>
      <c r="G28" t="s">
        <v>1091</v>
      </c>
      <c r="H28" t="s">
        <v>86</v>
      </c>
      <c r="I28" t="s">
        <v>1109</v>
      </c>
    </row>
    <row r="29">
      <c r="A29" t="s">
        <v>171</v>
      </c>
      <c r="B29" t="s">
        <v>1171</v>
      </c>
      <c r="C29" t="s">
        <v>1172</v>
      </c>
      <c r="D29" t="s">
        <v>839</v>
      </c>
      <c r="E29" t="s">
        <v>94</v>
      </c>
      <c r="F29" t="s">
        <v>94</v>
      </c>
      <c r="G29" t="s">
        <v>94</v>
      </c>
      <c r="H29" t="s">
        <v>94</v>
      </c>
      <c r="I29" t="s">
        <v>94</v>
      </c>
    </row>
    <row r="30">
      <c r="A30" t="s">
        <v>175</v>
      </c>
      <c r="B30" t="s">
        <v>1173</v>
      </c>
      <c r="C30" t="s">
        <v>1174</v>
      </c>
      <c r="D30" t="s">
        <v>371</v>
      </c>
      <c r="E30" t="s">
        <v>94</v>
      </c>
      <c r="F30" t="s">
        <v>94</v>
      </c>
      <c r="G30" t="s">
        <v>94</v>
      </c>
      <c r="H30" t="s">
        <v>94</v>
      </c>
      <c r="I30" t="s">
        <v>94</v>
      </c>
    </row>
    <row r="31">
      <c r="A31" t="s">
        <v>178</v>
      </c>
      <c r="B31" t="s">
        <v>1175</v>
      </c>
      <c r="C31" t="s">
        <v>1176</v>
      </c>
      <c r="D31" t="s">
        <v>122</v>
      </c>
      <c r="E31" t="s">
        <v>1008</v>
      </c>
      <c r="F31" t="s">
        <v>122</v>
      </c>
      <c r="G31" t="s">
        <v>1098</v>
      </c>
      <c r="H31" t="s">
        <v>184</v>
      </c>
      <c r="I31" t="s">
        <v>1111</v>
      </c>
    </row>
    <row r="32">
      <c r="A32" t="s">
        <v>186</v>
      </c>
      <c r="B32" t="s">
        <v>1177</v>
      </c>
      <c r="C32" t="s">
        <v>1178</v>
      </c>
      <c r="D32" t="s">
        <v>850</v>
      </c>
      <c r="E32" t="s">
        <v>1010</v>
      </c>
      <c r="F32" t="s">
        <v>850</v>
      </c>
      <c r="G32" t="s">
        <v>1103</v>
      </c>
      <c r="H32" t="s">
        <v>372</v>
      </c>
      <c r="I32" t="s">
        <v>1113</v>
      </c>
    </row>
    <row r="33">
      <c r="A33" t="s">
        <v>194</v>
      </c>
      <c r="B33" t="s">
        <v>1179</v>
      </c>
      <c r="C33" t="s">
        <v>1180</v>
      </c>
      <c r="D33" t="s">
        <v>890</v>
      </c>
      <c r="E33" t="s">
        <v>94</v>
      </c>
      <c r="F33" t="s">
        <v>94</v>
      </c>
      <c r="G33" t="s">
        <v>94</v>
      </c>
      <c r="H33" t="s">
        <v>94</v>
      </c>
      <c r="I33" t="s">
        <v>94</v>
      </c>
    </row>
    <row r="34">
      <c r="A34" t="s">
        <v>199</v>
      </c>
      <c r="B34" t="s">
        <v>1181</v>
      </c>
      <c r="C34" t="s">
        <v>1182</v>
      </c>
      <c r="D34" t="s">
        <v>94</v>
      </c>
      <c r="E34" t="s">
        <v>94</v>
      </c>
      <c r="F34" t="s">
        <v>94</v>
      </c>
      <c r="G34" t="s">
        <v>94</v>
      </c>
      <c r="H34" t="s">
        <v>94</v>
      </c>
      <c r="I34" t="s">
        <v>94</v>
      </c>
    </row>
    <row r="35">
      <c r="A35" t="s">
        <v>202</v>
      </c>
      <c r="B35" t="s">
        <v>1183</v>
      </c>
      <c r="C35" t="s">
        <v>1184</v>
      </c>
      <c r="D35" t="s">
        <v>94</v>
      </c>
      <c r="E35" t="s">
        <v>94</v>
      </c>
      <c r="F35" t="s">
        <v>94</v>
      </c>
      <c r="G35" t="s">
        <v>94</v>
      </c>
      <c r="H35" t="s">
        <v>94</v>
      </c>
      <c r="I35" t="s">
        <v>94</v>
      </c>
    </row>
    <row r="37">
      <c r="A37" t="s">
        <v>208</v>
      </c>
    </row>
    <row r="38">
      <c r="A38" t="s">
        <v>209</v>
      </c>
    </row>
    <row r="39">
      <c r="A39" t="s">
        <v>94</v>
      </c>
    </row>
    <row r="40">
      <c r="A40" t="s">
        <v>210</v>
      </c>
    </row>
    <row r="41">
      <c r="A41" t="s">
        <v>211</v>
      </c>
    </row>
    <row r="42">
      <c r="A42" t="s">
        <v>212</v>
      </c>
    </row>
    <row r="43">
      <c r="A43" t="s">
        <v>213</v>
      </c>
    </row>
    <row r="44">
      <c r="A44" t="s">
        <v>214</v>
      </c>
    </row>
    <row r="45">
      <c r="A45" t="s">
        <v>215</v>
      </c>
    </row>
    <row r="46">
      <c r="A46" t="s">
        <v>216</v>
      </c>
    </row>
    <row r="47">
      <c r="A47" t="s">
        <v>1185</v>
      </c>
    </row>
    <row r="48">
      <c r="A48" t="s">
        <v>94</v>
      </c>
    </row>
    <row r="49">
      <c r="A49" t="s">
        <v>217</v>
      </c>
    </row>
    <row r="50">
      <c r="A50" t="s">
        <v>1186</v>
      </c>
    </row>
    <row r="51">
      <c r="A51" t="s">
        <v>1187</v>
      </c>
    </row>
    <row r="52">
      <c r="A52" t="s">
        <v>1188</v>
      </c>
    </row>
  </sheetData>
  <pageMargins left="0.7" right="0.7" top="0.75" bottom="0.75" header="0.3" footer="0.3"/>
  <pageSetup paperSize="9" orientation="portrait" horizontalDpi="300" verticalDpi="300"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4" t="s">
        <v>225</v>
      </c>
      <c r="B1" s="4" t="s">
        <v>226</v>
      </c>
      <c r="C1" s="4" t="s">
        <v>227</v>
      </c>
      <c r="D1" s="4" t="s">
        <v>228</v>
      </c>
      <c r="E1" s="5" t="s">
        <v>229</v>
      </c>
      <c r="F1" s="5" t="s">
        <v>230</v>
      </c>
      <c r="G1" s="5" t="s">
        <v>231</v>
      </c>
      <c r="H1" s="5" t="s">
        <v>232</v>
      </c>
      <c r="I1" s="5" t="s">
        <v>73</v>
      </c>
      <c r="J1" s="6" t="s">
        <v>233</v>
      </c>
      <c r="K1" s="6" t="s">
        <v>234</v>
      </c>
      <c r="L1" s="6" t="s">
        <v>235</v>
      </c>
      <c r="M1" s="6" t="s">
        <v>236</v>
      </c>
      <c r="N1" s="7" t="s">
        <v>237</v>
      </c>
      <c r="O1" s="7" t="s">
        <v>238</v>
      </c>
      <c r="P1" s="7" t="s">
        <v>239</v>
      </c>
      <c r="Q1" s="7" t="s">
        <v>240</v>
      </c>
      <c r="R1" s="7" t="s">
        <v>164</v>
      </c>
      <c r="S1" s="7" t="s">
        <v>156</v>
      </c>
      <c r="T1" s="8" t="s">
        <v>241</v>
      </c>
    </row>
    <row r="2">
      <c r="A2" t="s">
        <v>30</v>
      </c>
      <c r="B2" t="n">
        <v>0.8</v>
      </c>
      <c r="C2" t="n">
        <v>1</v>
      </c>
      <c r="D2" t="n">
        <v>1</v>
      </c>
      <c r="E2" t="n">
        <v>-4</v>
      </c>
      <c r="F2" t="n">
        <v>-0.5</v>
      </c>
      <c r="G2" t="n">
        <v>179</v>
      </c>
      <c r="H2" t="n">
        <v>12</v>
      </c>
      <c r="I2" t="s">
        <v>242</v>
      </c>
      <c r="J2" t="n">
        <v>0</v>
      </c>
      <c r="K2" t="n">
        <v>0</v>
      </c>
      <c r="L2" t="n">
        <v>0</v>
      </c>
      <c r="M2" t="n">
        <v>12</v>
      </c>
      <c r="N2" t="n">
        <v>0.25</v>
      </c>
      <c r="O2" t="n">
        <v>-0.25</v>
      </c>
      <c r="P2" t="n">
        <v>66</v>
      </c>
      <c r="Q2" t="n">
        <v>12</v>
      </c>
      <c r="R2" t="s">
        <v>243</v>
      </c>
      <c r="S2" t="s">
        <v>243</v>
      </c>
      <c r="T2" t="n">
        <v>0.125</v>
      </c>
    </row>
    <row r="3">
      <c r="A3" t="s">
        <v>30</v>
      </c>
      <c r="B3" t="n">
        <v>0.8</v>
      </c>
      <c r="C3" t="n">
        <v>0.8</v>
      </c>
      <c r="D3" t="n">
        <v>1</v>
      </c>
      <c r="E3" t="n">
        <v>-4</v>
      </c>
      <c r="F3" t="n">
        <v>-1</v>
      </c>
      <c r="G3" t="n">
        <v>170</v>
      </c>
      <c r="H3" t="n">
        <v>12</v>
      </c>
      <c r="I3" t="s">
        <v>242</v>
      </c>
      <c r="J3" t="n">
        <v>0</v>
      </c>
      <c r="K3" t="n">
        <v>0</v>
      </c>
      <c r="L3" t="n">
        <v>0</v>
      </c>
      <c r="M3" t="n">
        <v>12</v>
      </c>
      <c r="N3" t="n">
        <v>0.5</v>
      </c>
      <c r="O3" t="n">
        <v>-0.75</v>
      </c>
      <c r="P3" t="n">
        <v>131</v>
      </c>
      <c r="Q3" t="n">
        <v>12</v>
      </c>
      <c r="R3" t="s">
        <v>243</v>
      </c>
      <c r="S3" t="s">
        <v>242</v>
      </c>
      <c r="T3" t="n">
        <v>0.125</v>
      </c>
    </row>
    <row r="4">
      <c r="A4" t="s">
        <v>30</v>
      </c>
      <c r="B4" t="n">
        <v>1</v>
      </c>
      <c r="C4" t="n">
        <v>1.25</v>
      </c>
      <c r="D4" t="n">
        <v>1.25</v>
      </c>
      <c r="E4" t="n">
        <v>-3.5</v>
      </c>
      <c r="F4" t="n">
        <v>-0.75</v>
      </c>
      <c r="G4" t="n">
        <v>95</v>
      </c>
      <c r="H4" t="n">
        <v>12</v>
      </c>
      <c r="I4" t="s">
        <v>243</v>
      </c>
      <c r="J4" t="n">
        <v>0</v>
      </c>
      <c r="K4" t="n">
        <v>0</v>
      </c>
      <c r="L4" t="n">
        <v>0</v>
      </c>
      <c r="M4" t="n">
        <v>12</v>
      </c>
      <c r="N4" t="n">
        <v>0</v>
      </c>
      <c r="O4" t="n">
        <v>-0.25</v>
      </c>
      <c r="P4" t="n">
        <v>92</v>
      </c>
      <c r="Q4" t="n">
        <v>12</v>
      </c>
      <c r="R4" t="s">
        <v>244</v>
      </c>
      <c r="S4" t="s">
        <v>244</v>
      </c>
      <c r="T4" t="n">
        <v>-0.125</v>
      </c>
    </row>
    <row r="5">
      <c r="A5" t="s">
        <v>30</v>
      </c>
      <c r="B5" t="n">
        <v>1</v>
      </c>
      <c r="C5" t="n">
        <v>1.25</v>
      </c>
      <c r="D5" t="n">
        <v>1.25</v>
      </c>
      <c r="E5" t="n">
        <v>-4.75</v>
      </c>
      <c r="F5" t="n">
        <v>-0.5</v>
      </c>
      <c r="G5" t="n">
        <v>106</v>
      </c>
      <c r="H5" t="n">
        <v>12</v>
      </c>
      <c r="I5" t="s">
        <v>243</v>
      </c>
      <c r="J5" t="n">
        <v>0</v>
      </c>
      <c r="K5" t="n">
        <v>0</v>
      </c>
      <c r="L5" t="n">
        <v>0</v>
      </c>
      <c r="M5" t="n">
        <v>12</v>
      </c>
      <c r="N5" t="n">
        <v>0.25</v>
      </c>
      <c r="O5" t="n">
        <v>-0.25</v>
      </c>
      <c r="P5" t="n">
        <v>123</v>
      </c>
      <c r="Q5" t="n">
        <v>12</v>
      </c>
      <c r="R5" t="s">
        <v>244</v>
      </c>
      <c r="S5" t="s">
        <v>244</v>
      </c>
      <c r="T5" t="n">
        <v>0.125</v>
      </c>
    </row>
    <row r="6">
      <c r="A6" t="s">
        <v>30</v>
      </c>
      <c r="B6" t="n">
        <v>1</v>
      </c>
      <c r="C6" t="n">
        <v>1.25</v>
      </c>
      <c r="D6" t="n">
        <v>1.25</v>
      </c>
      <c r="E6" t="n">
        <v>-3.75</v>
      </c>
      <c r="F6" t="n">
        <v>-0.75</v>
      </c>
      <c r="G6" t="n">
        <v>4</v>
      </c>
      <c r="H6" t="n">
        <v>12</v>
      </c>
      <c r="I6" t="s">
        <v>243</v>
      </c>
      <c r="J6" t="n">
        <v>0</v>
      </c>
      <c r="K6" t="n">
        <v>0</v>
      </c>
      <c r="L6" t="n">
        <v>0</v>
      </c>
      <c r="M6" t="n">
        <v>12</v>
      </c>
      <c r="N6" t="n">
        <v>0</v>
      </c>
      <c r="O6" t="n">
        <v>-0.25</v>
      </c>
      <c r="P6" t="n">
        <v>156</v>
      </c>
      <c r="Q6" t="n">
        <v>12</v>
      </c>
      <c r="R6" t="s">
        <v>244</v>
      </c>
      <c r="S6" t="s">
        <v>244</v>
      </c>
      <c r="T6" t="n">
        <v>-0.125</v>
      </c>
    </row>
    <row r="7">
      <c r="A7" t="s">
        <v>30</v>
      </c>
      <c r="B7" t="n">
        <v>1</v>
      </c>
      <c r="C7" t="n">
        <v>1</v>
      </c>
      <c r="D7" t="n">
        <v>1.25</v>
      </c>
      <c r="E7" t="n">
        <v>-5</v>
      </c>
      <c r="F7" t="n">
        <v>-1.75</v>
      </c>
      <c r="G7" t="n">
        <v>23</v>
      </c>
      <c r="H7" t="n">
        <v>12</v>
      </c>
      <c r="I7" t="s">
        <v>243</v>
      </c>
      <c r="J7" t="n">
        <v>0</v>
      </c>
      <c r="K7" t="n">
        <v>0</v>
      </c>
      <c r="L7" t="n">
        <v>0</v>
      </c>
      <c r="M7" t="n">
        <v>12</v>
      </c>
      <c r="N7" t="n">
        <v>-0.5</v>
      </c>
      <c r="O7" t="n">
        <v>-0.25</v>
      </c>
      <c r="P7" t="n">
        <v>66</v>
      </c>
      <c r="Q7" t="n">
        <v>12</v>
      </c>
      <c r="R7" t="s">
        <v>244</v>
      </c>
      <c r="S7" t="s">
        <v>243</v>
      </c>
      <c r="T7" t="n">
        <v>-0.625</v>
      </c>
    </row>
    <row r="8">
      <c r="A8" t="s">
        <v>30</v>
      </c>
      <c r="B8" t="n">
        <v>0.8</v>
      </c>
      <c r="C8" t="n">
        <v>1</v>
      </c>
      <c r="D8" t="n">
        <v>1</v>
      </c>
      <c r="E8" t="n">
        <v>-6.5</v>
      </c>
      <c r="F8" t="n">
        <v>-1.5</v>
      </c>
      <c r="G8" t="n">
        <v>172</v>
      </c>
      <c r="H8" t="n">
        <v>12</v>
      </c>
      <c r="I8" t="s">
        <v>242</v>
      </c>
      <c r="J8" t="n">
        <v>0</v>
      </c>
      <c r="K8" t="n">
        <v>0</v>
      </c>
      <c r="L8" t="n">
        <v>0</v>
      </c>
      <c r="M8" t="n">
        <v>12</v>
      </c>
      <c r="N8" t="n">
        <v>-0.25</v>
      </c>
      <c r="O8" t="n">
        <v>-0.25</v>
      </c>
      <c r="P8" t="n">
        <v>37</v>
      </c>
      <c r="Q8" t="n">
        <v>12</v>
      </c>
      <c r="R8" t="s">
        <v>243</v>
      </c>
      <c r="S8" t="s">
        <v>243</v>
      </c>
      <c r="T8" t="n">
        <v>-0.375</v>
      </c>
    </row>
    <row r="9">
      <c r="A9" t="s">
        <v>30</v>
      </c>
      <c r="B9" t="n">
        <v>1</v>
      </c>
      <c r="C9" t="n">
        <v>1.25</v>
      </c>
      <c r="D9" t="n">
        <v>1.6</v>
      </c>
      <c r="E9" t="n">
        <v>-3</v>
      </c>
      <c r="F9" t="n">
        <v>-0.5</v>
      </c>
      <c r="G9" t="n">
        <v>85</v>
      </c>
      <c r="H9" t="n">
        <v>12</v>
      </c>
      <c r="I9" t="s">
        <v>243</v>
      </c>
      <c r="J9" t="n">
        <v>0</v>
      </c>
      <c r="K9" t="n">
        <v>0</v>
      </c>
      <c r="L9" t="n">
        <v>0</v>
      </c>
      <c r="M9" t="n">
        <v>12</v>
      </c>
      <c r="N9" t="n">
        <v>0.5</v>
      </c>
      <c r="O9" t="n">
        <v>0</v>
      </c>
      <c r="P9" t="n">
        <v>131</v>
      </c>
      <c r="Q9" t="n">
        <v>12</v>
      </c>
      <c r="R9" t="s">
        <v>245</v>
      </c>
      <c r="S9" t="s">
        <v>244</v>
      </c>
      <c r="T9" t="n">
        <v>0.5</v>
      </c>
    </row>
    <row r="10">
      <c r="A10" t="s">
        <v>30</v>
      </c>
      <c r="B10" t="n">
        <v>1</v>
      </c>
      <c r="C10" t="n">
        <v>1</v>
      </c>
      <c r="D10" t="n">
        <v>1</v>
      </c>
      <c r="E10" t="n">
        <v>-5.5</v>
      </c>
      <c r="F10" t="n">
        <v>-0.25</v>
      </c>
      <c r="G10" t="n">
        <v>14</v>
      </c>
      <c r="H10" t="n">
        <v>12</v>
      </c>
      <c r="I10" t="s">
        <v>243</v>
      </c>
      <c r="J10" t="n">
        <v>0</v>
      </c>
      <c r="K10" t="n">
        <v>0</v>
      </c>
      <c r="L10" t="n">
        <v>0</v>
      </c>
      <c r="M10" t="n">
        <v>12</v>
      </c>
      <c r="N10" t="n">
        <v>-0.25</v>
      </c>
      <c r="O10" t="n">
        <v>-0.25</v>
      </c>
      <c r="P10" t="n">
        <v>84</v>
      </c>
      <c r="Q10" t="n">
        <v>12</v>
      </c>
      <c r="R10" t="s">
        <v>243</v>
      </c>
      <c r="S10" t="s">
        <v>243</v>
      </c>
      <c r="T10" t="n">
        <v>-0.375</v>
      </c>
    </row>
    <row r="11">
      <c r="A11" t="s">
        <v>30</v>
      </c>
      <c r="B11" t="n">
        <v>1.25</v>
      </c>
      <c r="C11" t="n">
        <v>1.6</v>
      </c>
      <c r="D11" t="n">
        <v>1.6</v>
      </c>
      <c r="E11" t="n">
        <v>-2.5</v>
      </c>
      <c r="F11" t="n">
        <v>-1</v>
      </c>
      <c r="G11" t="n">
        <v>167</v>
      </c>
      <c r="H11" t="n">
        <v>12</v>
      </c>
      <c r="I11" t="s">
        <v>244</v>
      </c>
      <c r="J11" t="n">
        <v>0</v>
      </c>
      <c r="K11" t="n">
        <v>0</v>
      </c>
      <c r="L11" t="n">
        <v>0</v>
      </c>
      <c r="M11" t="n">
        <v>12</v>
      </c>
      <c r="N11" t="n">
        <v>0.25</v>
      </c>
      <c r="O11" t="n">
        <v>-0.25</v>
      </c>
      <c r="P11" t="n">
        <v>142</v>
      </c>
      <c r="Q11" t="n">
        <v>12</v>
      </c>
      <c r="R11" t="s">
        <v>245</v>
      </c>
      <c r="S11" t="s">
        <v>245</v>
      </c>
      <c r="T11" t="n">
        <v>0.125</v>
      </c>
    </row>
    <row r="12">
      <c r="A12" t="s">
        <v>30</v>
      </c>
      <c r="B12" t="n">
        <v>0.8</v>
      </c>
      <c r="C12"/>
      <c r="D12"/>
      <c r="E12" t="n">
        <v>-6</v>
      </c>
      <c r="F12" t="n">
        <v>-0.75</v>
      </c>
      <c r="G12" t="n">
        <v>116</v>
      </c>
      <c r="H12" t="n">
        <v>12</v>
      </c>
      <c r="I12" t="s">
        <v>242</v>
      </c>
      <c r="J12" t="n">
        <v>0</v>
      </c>
      <c r="K12" t="n">
        <v>0</v>
      </c>
      <c r="L12" t="n">
        <v>0</v>
      </c>
      <c r="M12" t="n">
        <v>12</v>
      </c>
      <c r="N12"/>
      <c r="O12"/>
      <c r="P12"/>
      <c r="Q12" t="n">
        <v>12</v>
      </c>
      <c r="R12" t="s">
        <v>94</v>
      </c>
      <c r="S12" t="s">
        <v>94</v>
      </c>
      <c r="T12"/>
    </row>
    <row r="13">
      <c r="A13" t="s">
        <v>30</v>
      </c>
      <c r="B13" t="n">
        <v>1</v>
      </c>
      <c r="C13"/>
      <c r="D13"/>
      <c r="E13" t="n">
        <v>-4</v>
      </c>
      <c r="F13" t="n">
        <v>-1</v>
      </c>
      <c r="G13" t="n">
        <v>59</v>
      </c>
      <c r="H13" t="n">
        <v>12</v>
      </c>
      <c r="I13" t="s">
        <v>243</v>
      </c>
      <c r="J13" t="n">
        <v>0</v>
      </c>
      <c r="K13" t="n">
        <v>0</v>
      </c>
      <c r="L13" t="n">
        <v>0</v>
      </c>
      <c r="M13" t="n">
        <v>12</v>
      </c>
      <c r="N13"/>
      <c r="O13"/>
      <c r="P13"/>
      <c r="Q13" t="n">
        <v>12</v>
      </c>
      <c r="R13" t="s">
        <v>94</v>
      </c>
      <c r="S13" t="s">
        <v>94</v>
      </c>
      <c r="T13"/>
    </row>
    <row r="14">
      <c r="A14" t="s">
        <v>30</v>
      </c>
      <c r="B14" t="n">
        <v>1</v>
      </c>
      <c r="C14" t="n">
        <v>1.25</v>
      </c>
      <c r="D14" t="n">
        <v>1.25</v>
      </c>
      <c r="E14" t="n">
        <v>-3</v>
      </c>
      <c r="F14" t="n">
        <v>-1</v>
      </c>
      <c r="G14" t="n">
        <v>101</v>
      </c>
      <c r="H14" t="n">
        <v>12</v>
      </c>
      <c r="I14" t="s">
        <v>243</v>
      </c>
      <c r="J14" t="n">
        <v>0</v>
      </c>
      <c r="K14" t="n">
        <v>0</v>
      </c>
      <c r="L14" t="n">
        <v>0</v>
      </c>
      <c r="M14" t="n">
        <v>12</v>
      </c>
      <c r="N14" t="n">
        <v>0</v>
      </c>
      <c r="O14" t="n">
        <v>0</v>
      </c>
      <c r="P14" t="n">
        <v>58</v>
      </c>
      <c r="Q14" t="n">
        <v>12</v>
      </c>
      <c r="R14" t="s">
        <v>244</v>
      </c>
      <c r="S14" t="s">
        <v>244</v>
      </c>
      <c r="T14" t="n">
        <v>0</v>
      </c>
    </row>
    <row r="15">
      <c r="A15" t="s">
        <v>30</v>
      </c>
      <c r="B15" t="n">
        <v>1.25</v>
      </c>
      <c r="C15"/>
      <c r="D15" t="n">
        <v>1.6</v>
      </c>
      <c r="E15" t="n">
        <v>-2.75</v>
      </c>
      <c r="F15" t="n">
        <v>-1</v>
      </c>
      <c r="G15" t="n">
        <v>83</v>
      </c>
      <c r="H15" t="n">
        <v>12</v>
      </c>
      <c r="I15" t="s">
        <v>244</v>
      </c>
      <c r="J15" t="n">
        <v>0</v>
      </c>
      <c r="K15" t="n">
        <v>0</v>
      </c>
      <c r="L15" t="n">
        <v>0</v>
      </c>
      <c r="M15" t="n">
        <v>12</v>
      </c>
      <c r="N15" t="n">
        <v>0.25</v>
      </c>
      <c r="O15" t="n">
        <v>-0.25</v>
      </c>
      <c r="P15" t="n">
        <v>165</v>
      </c>
      <c r="Q15" t="n">
        <v>12</v>
      </c>
      <c r="R15" t="s">
        <v>245</v>
      </c>
      <c r="S15" t="s">
        <v>94</v>
      </c>
      <c r="T15" t="n">
        <v>0.125</v>
      </c>
    </row>
    <row r="16">
      <c r="A16" t="s">
        <v>30</v>
      </c>
      <c r="B16" t="n">
        <v>1.25</v>
      </c>
      <c r="C16" t="n">
        <v>1.25</v>
      </c>
      <c r="D16" t="n">
        <v>1.25</v>
      </c>
      <c r="E16" t="n">
        <v>-2.25</v>
      </c>
      <c r="F16" t="n">
        <v>-1</v>
      </c>
      <c r="G16" t="n">
        <v>170</v>
      </c>
      <c r="H16" t="n">
        <v>12</v>
      </c>
      <c r="I16" t="s">
        <v>244</v>
      </c>
      <c r="J16" t="n">
        <v>0</v>
      </c>
      <c r="K16" t="n">
        <v>0</v>
      </c>
      <c r="L16" t="n">
        <v>0</v>
      </c>
      <c r="M16" t="n">
        <v>12</v>
      </c>
      <c r="N16" t="n">
        <v>0.25</v>
      </c>
      <c r="O16" t="n">
        <v>-0.25</v>
      </c>
      <c r="P16" t="n">
        <v>70</v>
      </c>
      <c r="Q16" t="n">
        <v>12</v>
      </c>
      <c r="R16" t="s">
        <v>244</v>
      </c>
      <c r="S16" t="s">
        <v>244</v>
      </c>
      <c r="T16" t="n">
        <v>0.125</v>
      </c>
    </row>
    <row r="17">
      <c r="A17" t="s">
        <v>30</v>
      </c>
      <c r="B17" t="n">
        <v>1</v>
      </c>
      <c r="C17" t="n">
        <v>1</v>
      </c>
      <c r="D17" t="n">
        <v>1</v>
      </c>
      <c r="E17" t="n">
        <v>-2</v>
      </c>
      <c r="F17" t="n">
        <v>-1.25</v>
      </c>
      <c r="G17" t="n">
        <v>170</v>
      </c>
      <c r="H17" t="n">
        <v>12</v>
      </c>
      <c r="I17" t="s">
        <v>243</v>
      </c>
      <c r="J17" t="n">
        <v>0</v>
      </c>
      <c r="K17" t="n">
        <v>0</v>
      </c>
      <c r="L17" t="n">
        <v>0</v>
      </c>
      <c r="M17" t="n">
        <v>12</v>
      </c>
      <c r="N17" t="n">
        <v>0.25</v>
      </c>
      <c r="O17" t="n">
        <v>-0.25</v>
      </c>
      <c r="P17" t="n">
        <v>108</v>
      </c>
      <c r="Q17" t="n">
        <v>12</v>
      </c>
      <c r="R17" t="s">
        <v>243</v>
      </c>
      <c r="S17" t="s">
        <v>243</v>
      </c>
      <c r="T17" t="n">
        <v>0.125</v>
      </c>
    </row>
    <row r="18">
      <c r="A18" t="s">
        <v>30</v>
      </c>
      <c r="B18" t="n">
        <v>1.25</v>
      </c>
      <c r="C18" t="n">
        <v>1.6</v>
      </c>
      <c r="D18" t="n">
        <v>1.6</v>
      </c>
      <c r="E18" t="n">
        <v>-4</v>
      </c>
      <c r="F18" t="n">
        <v>-0.5</v>
      </c>
      <c r="G18" t="n">
        <v>11</v>
      </c>
      <c r="H18" t="n">
        <v>12</v>
      </c>
      <c r="I18" t="s">
        <v>244</v>
      </c>
      <c r="J18" t="n">
        <v>0</v>
      </c>
      <c r="K18" t="n">
        <v>0</v>
      </c>
      <c r="L18" t="n">
        <v>0</v>
      </c>
      <c r="M18" t="n">
        <v>12</v>
      </c>
      <c r="N18" t="n">
        <v>0</v>
      </c>
      <c r="O18" t="n">
        <v>0</v>
      </c>
      <c r="P18" t="n">
        <v>111</v>
      </c>
      <c r="Q18" t="n">
        <v>12</v>
      </c>
      <c r="R18" t="s">
        <v>245</v>
      </c>
      <c r="S18" t="s">
        <v>245</v>
      </c>
      <c r="T18" t="n">
        <v>0</v>
      </c>
    </row>
    <row r="19">
      <c r="A19" t="s">
        <v>30</v>
      </c>
      <c r="B19" t="n">
        <v>1</v>
      </c>
      <c r="C19" t="n">
        <v>1</v>
      </c>
      <c r="D19" t="n">
        <v>1</v>
      </c>
      <c r="E19" t="n">
        <v>-4</v>
      </c>
      <c r="F19" t="n">
        <v>-2.5</v>
      </c>
      <c r="G19" t="n">
        <v>173</v>
      </c>
      <c r="H19" t="n">
        <v>12</v>
      </c>
      <c r="I19" t="s">
        <v>243</v>
      </c>
      <c r="J19" t="n">
        <v>0</v>
      </c>
      <c r="K19" t="n">
        <v>0</v>
      </c>
      <c r="L19" t="n">
        <v>0</v>
      </c>
      <c r="M19" t="n">
        <v>12</v>
      </c>
      <c r="N19" t="n">
        <v>0</v>
      </c>
      <c r="O19" t="n">
        <v>-0.25</v>
      </c>
      <c r="P19" t="n">
        <v>156</v>
      </c>
      <c r="Q19" t="n">
        <v>12</v>
      </c>
      <c r="R19" t="s">
        <v>243</v>
      </c>
      <c r="S19" t="s">
        <v>243</v>
      </c>
      <c r="T19" t="n">
        <v>-0.125</v>
      </c>
    </row>
    <row r="20">
      <c r="A20" t="s">
        <v>30</v>
      </c>
      <c r="B20" t="n">
        <v>0.8</v>
      </c>
      <c r="C20" t="n">
        <v>0.8</v>
      </c>
      <c r="D20" t="n">
        <v>0.8</v>
      </c>
      <c r="E20" t="n">
        <v>-8</v>
      </c>
      <c r="F20" t="n">
        <v>-1.25</v>
      </c>
      <c r="G20" t="n">
        <v>44</v>
      </c>
      <c r="H20" t="n">
        <v>12</v>
      </c>
      <c r="I20" t="s">
        <v>242</v>
      </c>
      <c r="J20" t="n">
        <v>0</v>
      </c>
      <c r="K20" t="n">
        <v>0</v>
      </c>
      <c r="L20" t="n">
        <v>0</v>
      </c>
      <c r="M20" t="n">
        <v>12</v>
      </c>
      <c r="N20" t="n">
        <v>0.75</v>
      </c>
      <c r="O20" t="n">
        <v>-0.5</v>
      </c>
      <c r="P20" t="n">
        <v>4</v>
      </c>
      <c r="Q20" t="n">
        <v>12</v>
      </c>
      <c r="R20" t="s">
        <v>242</v>
      </c>
      <c r="S20" t="s">
        <v>242</v>
      </c>
      <c r="T20" t="n">
        <v>0.5</v>
      </c>
    </row>
    <row r="21">
      <c r="A21" t="s">
        <v>30</v>
      </c>
      <c r="B21" t="n">
        <v>0.8</v>
      </c>
      <c r="C21" t="n">
        <v>0.8</v>
      </c>
      <c r="D21" t="n">
        <v>0.8</v>
      </c>
      <c r="E21" t="n">
        <v>-7.5</v>
      </c>
      <c r="F21" t="n">
        <v>-0.5</v>
      </c>
      <c r="G21" t="n">
        <v>142</v>
      </c>
      <c r="H21" t="n">
        <v>12</v>
      </c>
      <c r="I21" t="s">
        <v>242</v>
      </c>
      <c r="J21" t="n">
        <v>0</v>
      </c>
      <c r="K21" t="n">
        <v>0</v>
      </c>
      <c r="L21" t="n">
        <v>0</v>
      </c>
      <c r="M21" t="n">
        <v>12</v>
      </c>
      <c r="N21" t="n">
        <v>0</v>
      </c>
      <c r="O21" t="n">
        <v>-0.25</v>
      </c>
      <c r="P21" t="n">
        <v>175</v>
      </c>
      <c r="Q21" t="n">
        <v>12</v>
      </c>
      <c r="R21" t="s">
        <v>242</v>
      </c>
      <c r="S21" t="s">
        <v>242</v>
      </c>
      <c r="T21" t="n">
        <v>-0.125</v>
      </c>
    </row>
    <row r="22">
      <c r="A22" t="s">
        <v>30</v>
      </c>
      <c r="B22" t="n">
        <v>1</v>
      </c>
      <c r="C22" t="n">
        <v>1</v>
      </c>
      <c r="D22" t="n">
        <v>1.25</v>
      </c>
      <c r="E22" t="n">
        <v>-0.75</v>
      </c>
      <c r="F22" t="n">
        <v>-0.5</v>
      </c>
      <c r="G22" t="n">
        <v>11</v>
      </c>
      <c r="H22" t="n">
        <v>12</v>
      </c>
      <c r="I22" t="s">
        <v>243</v>
      </c>
      <c r="J22" t="n">
        <v>0</v>
      </c>
      <c r="K22" t="n">
        <v>0</v>
      </c>
      <c r="L22" t="n">
        <v>0</v>
      </c>
      <c r="M22" t="n">
        <v>12</v>
      </c>
      <c r="N22" t="n">
        <v>0.25</v>
      </c>
      <c r="O22" t="n">
        <v>-0.25</v>
      </c>
      <c r="P22" t="n">
        <v>120</v>
      </c>
      <c r="Q22" t="n">
        <v>12</v>
      </c>
      <c r="R22" t="s">
        <v>244</v>
      </c>
      <c r="S22" t="s">
        <v>243</v>
      </c>
      <c r="T22" t="n">
        <v>0.125</v>
      </c>
    </row>
    <row r="23">
      <c r="A23" t="s">
        <v>30</v>
      </c>
      <c r="B23" t="n">
        <v>1</v>
      </c>
      <c r="C23" t="n">
        <v>1</v>
      </c>
      <c r="D23" t="n">
        <v>1</v>
      </c>
      <c r="E23" t="n">
        <v>-0.25</v>
      </c>
      <c r="F23" t="n">
        <v>-2.25</v>
      </c>
      <c r="G23" t="n">
        <v>152</v>
      </c>
      <c r="H23" t="n">
        <v>12</v>
      </c>
      <c r="I23" t="s">
        <v>243</v>
      </c>
      <c r="J23" t="n">
        <v>0</v>
      </c>
      <c r="K23" t="n">
        <v>0</v>
      </c>
      <c r="L23" t="n">
        <v>0</v>
      </c>
      <c r="M23" t="n">
        <v>12</v>
      </c>
      <c r="N23" t="n">
        <v>0</v>
      </c>
      <c r="O23" t="n">
        <v>-0.25</v>
      </c>
      <c r="P23" t="n">
        <v>172</v>
      </c>
      <c r="Q23" t="n">
        <v>12</v>
      </c>
      <c r="R23" t="s">
        <v>243</v>
      </c>
      <c r="S23" t="s">
        <v>243</v>
      </c>
      <c r="T23" t="n">
        <v>-0.125</v>
      </c>
    </row>
    <row r="24">
      <c r="A24" t="s">
        <v>30</v>
      </c>
      <c r="B24" t="n">
        <v>1</v>
      </c>
      <c r="C24" t="n">
        <v>1.25</v>
      </c>
      <c r="D24" t="n">
        <v>1.25</v>
      </c>
      <c r="E24" t="n">
        <v>-4</v>
      </c>
      <c r="F24" t="n">
        <v>-1</v>
      </c>
      <c r="G24" t="n">
        <v>21</v>
      </c>
      <c r="H24" t="n">
        <v>12</v>
      </c>
      <c r="I24" t="s">
        <v>243</v>
      </c>
      <c r="J24" t="n">
        <v>0</v>
      </c>
      <c r="K24" t="n">
        <v>0</v>
      </c>
      <c r="L24" t="n">
        <v>0</v>
      </c>
      <c r="M24" t="n">
        <v>12</v>
      </c>
      <c r="N24" t="n">
        <v>0.5</v>
      </c>
      <c r="O24" t="n">
        <v>-0.5</v>
      </c>
      <c r="P24" t="n">
        <v>156</v>
      </c>
      <c r="Q24" t="n">
        <v>12</v>
      </c>
      <c r="R24" t="s">
        <v>244</v>
      </c>
      <c r="S24" t="s">
        <v>244</v>
      </c>
      <c r="T24" t="n">
        <v>0.25</v>
      </c>
    </row>
    <row r="25">
      <c r="A25" t="s">
        <v>30</v>
      </c>
      <c r="B25" t="n">
        <v>1.25</v>
      </c>
      <c r="C25" t="n">
        <v>1.25</v>
      </c>
      <c r="D25" t="n">
        <v>1.25</v>
      </c>
      <c r="E25" t="n">
        <v>-4</v>
      </c>
      <c r="F25" t="n">
        <v>-0.75</v>
      </c>
      <c r="G25" t="n">
        <v>171</v>
      </c>
      <c r="H25" t="n">
        <v>12</v>
      </c>
      <c r="I25" t="s">
        <v>244</v>
      </c>
      <c r="J25" t="n">
        <v>0</v>
      </c>
      <c r="K25" t="n">
        <v>0</v>
      </c>
      <c r="L25" t="n">
        <v>0</v>
      </c>
      <c r="M25" t="n">
        <v>12</v>
      </c>
      <c r="N25" t="n">
        <v>0</v>
      </c>
      <c r="O25" t="n">
        <v>-0.25</v>
      </c>
      <c r="P25" t="n">
        <v>2</v>
      </c>
      <c r="Q25" t="n">
        <v>12</v>
      </c>
      <c r="R25" t="s">
        <v>244</v>
      </c>
      <c r="S25" t="s">
        <v>244</v>
      </c>
      <c r="T25" t="n">
        <v>-0.125</v>
      </c>
    </row>
    <row r="26">
      <c r="A26" t="s">
        <v>30</v>
      </c>
      <c r="B26" t="n">
        <v>1.25</v>
      </c>
      <c r="C26" t="n">
        <v>1.25</v>
      </c>
      <c r="D26" t="n">
        <v>1.25</v>
      </c>
      <c r="E26" t="n">
        <v>-5.25</v>
      </c>
      <c r="F26" t="n">
        <v>-1.25</v>
      </c>
      <c r="G26" t="n">
        <v>179</v>
      </c>
      <c r="H26" t="n">
        <v>12</v>
      </c>
      <c r="I26" t="s">
        <v>244</v>
      </c>
      <c r="J26" t="n">
        <v>0</v>
      </c>
      <c r="K26" t="n">
        <v>0</v>
      </c>
      <c r="L26" t="n">
        <v>0</v>
      </c>
      <c r="M26" t="n">
        <v>12</v>
      </c>
      <c r="N26" t="n">
        <v>0</v>
      </c>
      <c r="O26" t="n">
        <v>-0.25</v>
      </c>
      <c r="P26" t="n">
        <v>16</v>
      </c>
      <c r="Q26" t="n">
        <v>12</v>
      </c>
      <c r="R26" t="s">
        <v>244</v>
      </c>
      <c r="S26" t="s">
        <v>244</v>
      </c>
      <c r="T26" t="n">
        <v>-0.125</v>
      </c>
    </row>
    <row r="27">
      <c r="A27" t="s">
        <v>30</v>
      </c>
      <c r="B27" t="n">
        <v>1.25</v>
      </c>
      <c r="C27"/>
      <c r="D27"/>
      <c r="E27" t="n">
        <v>-2.5</v>
      </c>
      <c r="F27" t="n">
        <v>-0.25</v>
      </c>
      <c r="G27" t="n">
        <v>36</v>
      </c>
      <c r="H27" t="n">
        <v>12</v>
      </c>
      <c r="I27" t="s">
        <v>244</v>
      </c>
      <c r="J27" t="n">
        <v>0</v>
      </c>
      <c r="K27" t="n">
        <v>0</v>
      </c>
      <c r="L27" t="n">
        <v>0</v>
      </c>
      <c r="M27" t="n">
        <v>12</v>
      </c>
      <c r="N27"/>
      <c r="O27"/>
      <c r="P27"/>
      <c r="Q27" t="n">
        <v>12</v>
      </c>
      <c r="R27" t="s">
        <v>94</v>
      </c>
      <c r="S27" t="s">
        <v>94</v>
      </c>
      <c r="T27"/>
    </row>
    <row r="28">
      <c r="A28" t="s">
        <v>30</v>
      </c>
      <c r="B28" t="n">
        <v>1</v>
      </c>
      <c r="C28"/>
      <c r="D28"/>
      <c r="E28" t="n">
        <v>-3</v>
      </c>
      <c r="F28" t="n">
        <v>-0.5</v>
      </c>
      <c r="G28" t="n">
        <v>145</v>
      </c>
      <c r="H28" t="n">
        <v>12</v>
      </c>
      <c r="I28" t="s">
        <v>243</v>
      </c>
      <c r="J28" t="n">
        <v>0</v>
      </c>
      <c r="K28" t="n">
        <v>0</v>
      </c>
      <c r="L28" t="n">
        <v>0</v>
      </c>
      <c r="M28" t="n">
        <v>12</v>
      </c>
      <c r="N28"/>
      <c r="O28"/>
      <c r="P28"/>
      <c r="Q28" t="n">
        <v>12</v>
      </c>
      <c r="R28" t="s">
        <v>94</v>
      </c>
      <c r="S28" t="s">
        <v>94</v>
      </c>
      <c r="T28"/>
    </row>
    <row r="29">
      <c r="A29" t="s">
        <v>30</v>
      </c>
      <c r="B29" t="n">
        <v>1</v>
      </c>
      <c r="C29" t="n">
        <v>1</v>
      </c>
      <c r="D29" t="n">
        <v>1</v>
      </c>
      <c r="E29" t="n">
        <v>-1.75</v>
      </c>
      <c r="F29" t="n">
        <v>-1</v>
      </c>
      <c r="G29" t="n">
        <v>174</v>
      </c>
      <c r="H29" t="n">
        <v>12</v>
      </c>
      <c r="I29" t="s">
        <v>243</v>
      </c>
      <c r="J29" t="n">
        <v>0</v>
      </c>
      <c r="K29" t="n">
        <v>0</v>
      </c>
      <c r="L29" t="n">
        <v>0</v>
      </c>
      <c r="M29" t="n">
        <v>12</v>
      </c>
      <c r="N29" t="n">
        <v>0.25</v>
      </c>
      <c r="O29" t="n">
        <v>-0.5</v>
      </c>
      <c r="P29" t="n">
        <v>130</v>
      </c>
      <c r="Q29" t="n">
        <v>12</v>
      </c>
      <c r="R29" t="s">
        <v>243</v>
      </c>
      <c r="S29" t="s">
        <v>243</v>
      </c>
      <c r="T29" t="n">
        <v>0</v>
      </c>
    </row>
    <row r="30">
      <c r="A30" t="s">
        <v>30</v>
      </c>
      <c r="B30" t="n">
        <v>1.25</v>
      </c>
      <c r="C30" t="n">
        <v>1.25</v>
      </c>
      <c r="D30" t="n">
        <v>1.6</v>
      </c>
      <c r="E30" t="n">
        <v>-5.75</v>
      </c>
      <c r="F30" t="n">
        <v>-0.5</v>
      </c>
      <c r="G30" t="n">
        <v>41</v>
      </c>
      <c r="H30" t="n">
        <v>12</v>
      </c>
      <c r="I30" t="s">
        <v>244</v>
      </c>
      <c r="J30" t="n">
        <v>0</v>
      </c>
      <c r="K30" t="n">
        <v>0</v>
      </c>
      <c r="L30" t="n">
        <v>0</v>
      </c>
      <c r="M30" t="n">
        <v>12</v>
      </c>
      <c r="N30" t="n">
        <v>-0.25</v>
      </c>
      <c r="O30" t="n">
        <v>0</v>
      </c>
      <c r="P30" t="n">
        <v>82</v>
      </c>
      <c r="Q30" t="n">
        <v>12</v>
      </c>
      <c r="R30" t="s">
        <v>245</v>
      </c>
      <c r="S30" t="s">
        <v>244</v>
      </c>
      <c r="T30" t="n">
        <v>-0.25</v>
      </c>
    </row>
    <row r="31">
      <c r="A31" t="s">
        <v>30</v>
      </c>
      <c r="B31" t="n">
        <v>1</v>
      </c>
      <c r="C31" t="n">
        <v>1</v>
      </c>
      <c r="D31" t="n">
        <v>1</v>
      </c>
      <c r="E31" t="n">
        <v>-5.5</v>
      </c>
      <c r="F31" t="n">
        <v>-0.75</v>
      </c>
      <c r="G31" t="n">
        <v>100</v>
      </c>
      <c r="H31" t="n">
        <v>12</v>
      </c>
      <c r="I31" t="s">
        <v>243</v>
      </c>
      <c r="J31" t="n">
        <v>0</v>
      </c>
      <c r="K31" t="n">
        <v>0</v>
      </c>
      <c r="L31" t="n">
        <v>0</v>
      </c>
      <c r="M31" t="n">
        <v>12</v>
      </c>
      <c r="N31" t="n">
        <v>0.5</v>
      </c>
      <c r="O31" t="n">
        <v>0</v>
      </c>
      <c r="P31" t="n">
        <v>166</v>
      </c>
      <c r="Q31" t="n">
        <v>12</v>
      </c>
      <c r="R31" t="s">
        <v>243</v>
      </c>
      <c r="S31" t="s">
        <v>243</v>
      </c>
      <c r="T31" t="n">
        <v>0.5</v>
      </c>
    </row>
    <row r="32">
      <c r="A32" t="s">
        <v>30</v>
      </c>
      <c r="B32" t="n">
        <v>1</v>
      </c>
      <c r="C32" t="n">
        <v>1</v>
      </c>
      <c r="D32" t="n">
        <v>1</v>
      </c>
      <c r="E32" t="n">
        <v>-5.75</v>
      </c>
      <c r="F32" t="n">
        <v>-1.25</v>
      </c>
      <c r="G32" t="n">
        <v>156</v>
      </c>
      <c r="H32" t="n">
        <v>12</v>
      </c>
      <c r="I32" t="s">
        <v>243</v>
      </c>
      <c r="J32" t="n">
        <v>0</v>
      </c>
      <c r="K32" t="n">
        <v>0</v>
      </c>
      <c r="L32" t="n">
        <v>0</v>
      </c>
      <c r="M32" t="n">
        <v>12</v>
      </c>
      <c r="N32" t="n">
        <v>-0.25</v>
      </c>
      <c r="O32" t="n">
        <v>-0.25</v>
      </c>
      <c r="P32" t="n">
        <v>92</v>
      </c>
      <c r="Q32" t="n">
        <v>12</v>
      </c>
      <c r="R32" t="s">
        <v>243</v>
      </c>
      <c r="S32" t="s">
        <v>243</v>
      </c>
      <c r="T32" t="n">
        <v>-0.375</v>
      </c>
    </row>
    <row r="33">
      <c r="A33" t="s">
        <v>30</v>
      </c>
      <c r="B33" t="n">
        <v>1</v>
      </c>
      <c r="C33" t="n">
        <v>1</v>
      </c>
      <c r="D33" t="n">
        <v>1</v>
      </c>
      <c r="E33" t="n">
        <v>-4.75</v>
      </c>
      <c r="F33" t="n">
        <v>-2</v>
      </c>
      <c r="G33" t="n">
        <v>36</v>
      </c>
      <c r="H33" t="n">
        <v>12</v>
      </c>
      <c r="I33" t="s">
        <v>243</v>
      </c>
      <c r="J33" t="n">
        <v>0</v>
      </c>
      <c r="K33" t="n">
        <v>0</v>
      </c>
      <c r="L33" t="n">
        <v>0</v>
      </c>
      <c r="M33" t="n">
        <v>12</v>
      </c>
      <c r="N33" t="n">
        <v>-0.25</v>
      </c>
      <c r="O33" t="n">
        <v>-0.25</v>
      </c>
      <c r="P33" t="n">
        <v>80</v>
      </c>
      <c r="Q33" t="n">
        <v>12</v>
      </c>
      <c r="R33" t="s">
        <v>243</v>
      </c>
      <c r="S33" t="s">
        <v>243</v>
      </c>
      <c r="T33" t="n">
        <v>-0.375</v>
      </c>
    </row>
    <row r="34">
      <c r="A34" t="s">
        <v>30</v>
      </c>
      <c r="B34" t="n">
        <v>1</v>
      </c>
      <c r="C34" t="n">
        <v>1</v>
      </c>
      <c r="D34" t="n">
        <v>1</v>
      </c>
      <c r="E34" t="n">
        <v>-3.75</v>
      </c>
      <c r="F34" t="n">
        <v>-0.75</v>
      </c>
      <c r="G34" t="n">
        <v>35</v>
      </c>
      <c r="H34" t="n">
        <v>12</v>
      </c>
      <c r="I34" t="s">
        <v>243</v>
      </c>
      <c r="J34" t="n">
        <v>0</v>
      </c>
      <c r="K34" t="n">
        <v>0</v>
      </c>
      <c r="L34" t="n">
        <v>0</v>
      </c>
      <c r="M34" t="n">
        <v>12</v>
      </c>
      <c r="N34" t="n">
        <v>0.75</v>
      </c>
      <c r="O34" t="n">
        <v>-0.25</v>
      </c>
      <c r="P34" t="n">
        <v>7</v>
      </c>
      <c r="Q34" t="n">
        <v>12</v>
      </c>
      <c r="R34" t="s">
        <v>243</v>
      </c>
      <c r="S34" t="s">
        <v>243</v>
      </c>
      <c r="T34" t="n">
        <v>0.625</v>
      </c>
    </row>
    <row r="35">
      <c r="A35" t="s">
        <v>30</v>
      </c>
      <c r="B35" t="n">
        <v>1.25</v>
      </c>
      <c r="C35" t="n">
        <v>1.6</v>
      </c>
      <c r="D35" t="n">
        <v>1.6</v>
      </c>
      <c r="E35" t="n">
        <v>-5.5</v>
      </c>
      <c r="F35" t="n">
        <v>-0.75</v>
      </c>
      <c r="G35" t="n">
        <v>81</v>
      </c>
      <c r="H35" t="n">
        <v>12</v>
      </c>
      <c r="I35" t="s">
        <v>244</v>
      </c>
      <c r="J35" t="n">
        <v>0</v>
      </c>
      <c r="K35" t="n">
        <v>0</v>
      </c>
      <c r="L35" t="n">
        <v>0</v>
      </c>
      <c r="M35" t="n">
        <v>12</v>
      </c>
      <c r="N35" t="n">
        <v>0.5</v>
      </c>
      <c r="O35" t="n">
        <v>-0.25</v>
      </c>
      <c r="P35" t="n">
        <v>130</v>
      </c>
      <c r="Q35" t="n">
        <v>12</v>
      </c>
      <c r="R35" t="s">
        <v>245</v>
      </c>
      <c r="S35" t="s">
        <v>245</v>
      </c>
      <c r="T35" t="n">
        <v>0.375</v>
      </c>
    </row>
    <row r="36">
      <c r="A36" t="s">
        <v>30</v>
      </c>
      <c r="B36" t="n">
        <v>1.25</v>
      </c>
      <c r="C36" t="n">
        <v>1.6</v>
      </c>
      <c r="D36" t="n">
        <v>1.6</v>
      </c>
      <c r="E36" t="n">
        <v>-4.25</v>
      </c>
      <c r="F36" t="n">
        <v>-0.75</v>
      </c>
      <c r="G36" t="n">
        <v>93</v>
      </c>
      <c r="H36" t="n">
        <v>12</v>
      </c>
      <c r="I36" t="s">
        <v>244</v>
      </c>
      <c r="J36" t="n">
        <v>0</v>
      </c>
      <c r="K36" t="n">
        <v>0</v>
      </c>
      <c r="L36" t="n">
        <v>0</v>
      </c>
      <c r="M36" t="n">
        <v>12</v>
      </c>
      <c r="N36" t="n">
        <v>0.75</v>
      </c>
      <c r="O36" t="n">
        <v>0</v>
      </c>
      <c r="P36" t="n">
        <v>102</v>
      </c>
      <c r="Q36" t="n">
        <v>12</v>
      </c>
      <c r="R36" t="s">
        <v>245</v>
      </c>
      <c r="S36" t="s">
        <v>245</v>
      </c>
      <c r="T36" t="n">
        <v>0.75</v>
      </c>
    </row>
    <row r="37">
      <c r="A37" t="s">
        <v>30</v>
      </c>
      <c r="B37" t="n">
        <v>1.25</v>
      </c>
      <c r="C37" t="n">
        <v>1.6</v>
      </c>
      <c r="D37" t="n">
        <v>1.6</v>
      </c>
      <c r="E37" t="n">
        <v>-1.75</v>
      </c>
      <c r="F37" t="n">
        <v>-0.5</v>
      </c>
      <c r="G37" t="n">
        <v>44</v>
      </c>
      <c r="H37" t="n">
        <v>12</v>
      </c>
      <c r="I37" t="s">
        <v>244</v>
      </c>
      <c r="J37" t="n">
        <v>0</v>
      </c>
      <c r="K37" t="n">
        <v>0</v>
      </c>
      <c r="L37" t="n">
        <v>0</v>
      </c>
      <c r="M37" t="n">
        <v>12</v>
      </c>
      <c r="N37" t="n">
        <v>0.25</v>
      </c>
      <c r="O37" t="n">
        <v>-0.25</v>
      </c>
      <c r="P37" t="n">
        <v>21</v>
      </c>
      <c r="Q37" t="n">
        <v>12</v>
      </c>
      <c r="R37" t="s">
        <v>245</v>
      </c>
      <c r="S37" t="s">
        <v>245</v>
      </c>
      <c r="T37" t="n">
        <v>0.125</v>
      </c>
    </row>
    <row r="38">
      <c r="A38" t="s">
        <v>30</v>
      </c>
      <c r="B38" t="n">
        <v>1</v>
      </c>
      <c r="C38" t="n">
        <v>1.25</v>
      </c>
      <c r="D38" t="n">
        <v>1.6</v>
      </c>
      <c r="E38" t="n">
        <v>-4.25</v>
      </c>
      <c r="F38" t="n">
        <v>-0.5</v>
      </c>
      <c r="G38" t="n">
        <v>125</v>
      </c>
      <c r="H38" t="n">
        <v>12</v>
      </c>
      <c r="I38" t="s">
        <v>243</v>
      </c>
      <c r="J38" t="n">
        <v>0</v>
      </c>
      <c r="K38" t="n">
        <v>0</v>
      </c>
      <c r="L38" t="n">
        <v>0</v>
      </c>
      <c r="M38" t="n">
        <v>12</v>
      </c>
      <c r="N38" t="n">
        <v>-0.5</v>
      </c>
      <c r="O38" t="n">
        <v>-0.5</v>
      </c>
      <c r="P38" t="n">
        <v>158</v>
      </c>
      <c r="Q38" t="n">
        <v>12</v>
      </c>
      <c r="R38" t="s">
        <v>245</v>
      </c>
      <c r="S38" t="s">
        <v>244</v>
      </c>
      <c r="T38" t="n">
        <v>-0.75</v>
      </c>
    </row>
    <row r="39">
      <c r="A39" t="s">
        <v>30</v>
      </c>
      <c r="B39" t="n">
        <v>1.25</v>
      </c>
      <c r="C39" t="n">
        <v>1.25</v>
      </c>
      <c r="D39" t="n">
        <v>1.25</v>
      </c>
      <c r="E39" t="n">
        <v>-2.25</v>
      </c>
      <c r="F39" t="n">
        <v>-0.5</v>
      </c>
      <c r="G39" t="n">
        <v>165</v>
      </c>
      <c r="H39" t="n">
        <v>12</v>
      </c>
      <c r="I39" t="s">
        <v>244</v>
      </c>
      <c r="J39" t="n">
        <v>0</v>
      </c>
      <c r="K39" t="n">
        <v>0</v>
      </c>
      <c r="L39" t="n">
        <v>0</v>
      </c>
      <c r="M39" t="n">
        <v>12</v>
      </c>
      <c r="N39" t="n">
        <v>0</v>
      </c>
      <c r="O39" t="n">
        <v>-0.25</v>
      </c>
      <c r="P39" t="n">
        <v>170</v>
      </c>
      <c r="Q39" t="n">
        <v>12</v>
      </c>
      <c r="R39" t="s">
        <v>244</v>
      </c>
      <c r="S39" t="s">
        <v>244</v>
      </c>
      <c r="T39" t="n">
        <v>-0.125</v>
      </c>
    </row>
    <row r="40">
      <c r="A40" t="s">
        <v>30</v>
      </c>
      <c r="B40" t="n">
        <v>1</v>
      </c>
      <c r="C40" t="n">
        <v>1</v>
      </c>
      <c r="D40" t="n">
        <v>1</v>
      </c>
      <c r="E40" t="n">
        <v>-3.25</v>
      </c>
      <c r="F40" t="n">
        <v>-0.5</v>
      </c>
      <c r="G40" t="n">
        <v>21</v>
      </c>
      <c r="H40" t="n">
        <v>12</v>
      </c>
      <c r="I40" t="s">
        <v>243</v>
      </c>
      <c r="J40" t="n">
        <v>0</v>
      </c>
      <c r="K40" t="n">
        <v>0</v>
      </c>
      <c r="L40" t="n">
        <v>0</v>
      </c>
      <c r="M40" t="n">
        <v>12</v>
      </c>
      <c r="N40" t="n">
        <v>0.5</v>
      </c>
      <c r="O40" t="n">
        <v>-0.25</v>
      </c>
      <c r="P40" t="n">
        <v>19</v>
      </c>
      <c r="Q40" t="n">
        <v>12</v>
      </c>
      <c r="R40" t="s">
        <v>243</v>
      </c>
      <c r="S40" t="s">
        <v>243</v>
      </c>
      <c r="T40" t="n">
        <v>0.375</v>
      </c>
    </row>
    <row r="41">
      <c r="A41" t="s">
        <v>30</v>
      </c>
      <c r="B41" t="n">
        <v>1.25</v>
      </c>
      <c r="C41" t="n">
        <v>1.25</v>
      </c>
      <c r="D41" t="n">
        <v>1.25</v>
      </c>
      <c r="E41" t="n">
        <v>-2</v>
      </c>
      <c r="F41" t="n">
        <v>-0.25</v>
      </c>
      <c r="G41" t="n">
        <v>35</v>
      </c>
      <c r="H41" t="n">
        <v>12</v>
      </c>
      <c r="I41" t="s">
        <v>244</v>
      </c>
      <c r="J41" t="n">
        <v>0</v>
      </c>
      <c r="K41" t="n">
        <v>0</v>
      </c>
      <c r="L41" t="n">
        <v>0</v>
      </c>
      <c r="M41" t="n">
        <v>12</v>
      </c>
      <c r="N41" t="n">
        <v>0.25</v>
      </c>
      <c r="O41" t="n">
        <v>0</v>
      </c>
      <c r="P41" t="n">
        <v>20</v>
      </c>
      <c r="Q41" t="n">
        <v>12</v>
      </c>
      <c r="R41" t="s">
        <v>244</v>
      </c>
      <c r="S41" t="s">
        <v>244</v>
      </c>
      <c r="T41" t="n">
        <v>0.25</v>
      </c>
    </row>
    <row r="42">
      <c r="A42" t="s">
        <v>30</v>
      </c>
      <c r="B42" t="n">
        <v>1.6</v>
      </c>
      <c r="C42" t="n">
        <v>1.25</v>
      </c>
      <c r="D42" t="n">
        <v>1.25</v>
      </c>
      <c r="E42" t="n">
        <v>-2.25</v>
      </c>
      <c r="F42" t="n">
        <v>-0.25</v>
      </c>
      <c r="G42" t="n">
        <v>147</v>
      </c>
      <c r="H42" t="n">
        <v>12</v>
      </c>
      <c r="I42" t="s">
        <v>245</v>
      </c>
      <c r="J42" t="n">
        <v>0</v>
      </c>
      <c r="K42" t="n">
        <v>0</v>
      </c>
      <c r="L42" t="n">
        <v>0</v>
      </c>
      <c r="M42" t="n">
        <v>12</v>
      </c>
      <c r="N42" t="n">
        <v>0.25</v>
      </c>
      <c r="O42" t="n">
        <v>0</v>
      </c>
      <c r="P42" t="n">
        <v>29</v>
      </c>
      <c r="Q42" t="n">
        <v>12</v>
      </c>
      <c r="R42" t="s">
        <v>244</v>
      </c>
      <c r="S42" t="s">
        <v>244</v>
      </c>
      <c r="T42" t="n">
        <v>0.25</v>
      </c>
    </row>
    <row r="43">
      <c r="A43" t="s">
        <v>30</v>
      </c>
      <c r="B43" t="n">
        <v>1.25</v>
      </c>
      <c r="C43" t="n">
        <v>1</v>
      </c>
      <c r="D43" t="n">
        <v>1</v>
      </c>
      <c r="E43" t="n">
        <v>-1.75</v>
      </c>
      <c r="F43" t="n">
        <v>-0.75</v>
      </c>
      <c r="G43" t="n">
        <v>93</v>
      </c>
      <c r="H43" t="n">
        <v>12</v>
      </c>
      <c r="I43" t="s">
        <v>244</v>
      </c>
      <c r="J43" t="n">
        <v>-1</v>
      </c>
      <c r="K43" t="n">
        <v>0</v>
      </c>
      <c r="L43" t="n">
        <v>0</v>
      </c>
      <c r="M43" t="n">
        <v>12</v>
      </c>
      <c r="N43" t="n">
        <v>-0.25</v>
      </c>
      <c r="O43" t="n">
        <v>-0.25</v>
      </c>
      <c r="P43" t="n">
        <v>155</v>
      </c>
      <c r="Q43" t="n">
        <v>12</v>
      </c>
      <c r="R43" t="s">
        <v>243</v>
      </c>
      <c r="S43" t="s">
        <v>243</v>
      </c>
      <c r="T43" t="n">
        <v>-0.375</v>
      </c>
    </row>
    <row r="44">
      <c r="A44" t="s">
        <v>30</v>
      </c>
      <c r="B44" t="n">
        <v>1</v>
      </c>
      <c r="C44" t="n">
        <v>1</v>
      </c>
      <c r="D44" t="n">
        <v>1</v>
      </c>
      <c r="E44" t="n">
        <v>-5.25</v>
      </c>
      <c r="F44" t="n">
        <v>-0.75</v>
      </c>
      <c r="G44" t="n">
        <v>168</v>
      </c>
      <c r="H44" t="n">
        <v>12</v>
      </c>
      <c r="I44" t="s">
        <v>243</v>
      </c>
      <c r="J44" t="n">
        <v>0</v>
      </c>
      <c r="K44" t="n">
        <v>0</v>
      </c>
      <c r="L44" t="n">
        <v>0</v>
      </c>
      <c r="M44" t="n">
        <v>12</v>
      </c>
      <c r="N44" t="n">
        <v>0</v>
      </c>
      <c r="O44" t="n">
        <v>0</v>
      </c>
      <c r="P44" t="n">
        <v>137</v>
      </c>
      <c r="Q44" t="n">
        <v>12</v>
      </c>
      <c r="R44" t="s">
        <v>243</v>
      </c>
      <c r="S44" t="s">
        <v>243</v>
      </c>
      <c r="T44" t="n">
        <v>0</v>
      </c>
    </row>
    <row r="45">
      <c r="A45" t="s">
        <v>30</v>
      </c>
      <c r="B45" t="n">
        <v>1</v>
      </c>
      <c r="C45" t="n">
        <v>0.8</v>
      </c>
      <c r="D45" t="n">
        <v>1</v>
      </c>
      <c r="E45" t="n">
        <v>-4.25</v>
      </c>
      <c r="F45" t="n">
        <v>-0.75</v>
      </c>
      <c r="G45" t="n">
        <v>17</v>
      </c>
      <c r="H45" t="n">
        <v>12</v>
      </c>
      <c r="I45" t="s">
        <v>243</v>
      </c>
      <c r="J45" t="n">
        <v>0</v>
      </c>
      <c r="K45" t="n">
        <v>0</v>
      </c>
      <c r="L45" t="n">
        <v>0</v>
      </c>
      <c r="M45" t="n">
        <v>12</v>
      </c>
      <c r="N45" t="n">
        <v>-0.5</v>
      </c>
      <c r="O45" t="n">
        <v>0</v>
      </c>
      <c r="P45" t="n">
        <v>31</v>
      </c>
      <c r="Q45" t="n">
        <v>12</v>
      </c>
      <c r="R45" t="s">
        <v>243</v>
      </c>
      <c r="S45" t="s">
        <v>242</v>
      </c>
      <c r="T45" t="n">
        <v>-0.5</v>
      </c>
    </row>
    <row r="46">
      <c r="A46" t="s">
        <v>30</v>
      </c>
      <c r="B46" t="n">
        <v>0.8</v>
      </c>
      <c r="C46" t="n">
        <v>0.63</v>
      </c>
      <c r="D46" t="n">
        <v>0.8</v>
      </c>
      <c r="E46" t="n">
        <v>-3.25</v>
      </c>
      <c r="F46" t="n">
        <v>-1.5</v>
      </c>
      <c r="G46" t="n">
        <v>8</v>
      </c>
      <c r="H46" t="n">
        <v>12</v>
      </c>
      <c r="I46" t="s">
        <v>242</v>
      </c>
      <c r="J46" t="n">
        <v>0</v>
      </c>
      <c r="K46" t="n">
        <v>0</v>
      </c>
      <c r="L46" t="n">
        <v>0</v>
      </c>
      <c r="M46" t="n">
        <v>12</v>
      </c>
      <c r="N46" t="n">
        <v>-0.25</v>
      </c>
      <c r="O46" t="n">
        <v>-0.25</v>
      </c>
      <c r="P46" t="n">
        <v>34</v>
      </c>
      <c r="Q46" t="n">
        <v>12</v>
      </c>
      <c r="R46" t="s">
        <v>242</v>
      </c>
      <c r="S46" t="s">
        <v>247</v>
      </c>
      <c r="T46" t="n">
        <v>-0.375</v>
      </c>
    </row>
    <row r="47">
      <c r="A47" t="s">
        <v>30</v>
      </c>
      <c r="B47" t="n">
        <v>1.25</v>
      </c>
      <c r="C47" t="n">
        <v>1.25</v>
      </c>
      <c r="D47" t="n">
        <v>1.25</v>
      </c>
      <c r="E47" t="n">
        <v>0</v>
      </c>
      <c r="F47" t="n">
        <v>-0.75</v>
      </c>
      <c r="G47" t="n">
        <v>152</v>
      </c>
      <c r="H47" t="n">
        <v>12</v>
      </c>
      <c r="I47" t="s">
        <v>244</v>
      </c>
      <c r="J47" t="n">
        <v>0</v>
      </c>
      <c r="K47" t="n">
        <v>0</v>
      </c>
      <c r="L47" t="n">
        <v>0</v>
      </c>
      <c r="M47" t="n">
        <v>12</v>
      </c>
      <c r="N47" t="n">
        <v>0.25</v>
      </c>
      <c r="O47" t="n">
        <v>-0.25</v>
      </c>
      <c r="P47" t="n">
        <v>13</v>
      </c>
      <c r="Q47" t="n">
        <v>12</v>
      </c>
      <c r="R47" t="s">
        <v>244</v>
      </c>
      <c r="S47" t="s">
        <v>244</v>
      </c>
      <c r="T47" t="n">
        <v>0.125</v>
      </c>
    </row>
    <row r="48">
      <c r="A48" t="s">
        <v>30</v>
      </c>
      <c r="B48" t="n">
        <v>1.25</v>
      </c>
      <c r="C48" t="n">
        <v>1.25</v>
      </c>
      <c r="D48" t="n">
        <v>1.25</v>
      </c>
      <c r="E48" t="n">
        <v>-1.25</v>
      </c>
      <c r="F48" t="n">
        <v>-1</v>
      </c>
      <c r="G48" t="n">
        <v>29</v>
      </c>
      <c r="H48" t="n">
        <v>12</v>
      </c>
      <c r="I48" t="s">
        <v>244</v>
      </c>
      <c r="J48" t="n">
        <v>0</v>
      </c>
      <c r="K48" t="n">
        <v>0</v>
      </c>
      <c r="L48" t="n">
        <v>0</v>
      </c>
      <c r="M48" t="n">
        <v>12</v>
      </c>
      <c r="N48" t="n">
        <v>0.5</v>
      </c>
      <c r="O48" t="n">
        <v>-0.25</v>
      </c>
      <c r="P48" t="n">
        <v>47</v>
      </c>
      <c r="Q48" t="n">
        <v>12</v>
      </c>
      <c r="R48" t="s">
        <v>244</v>
      </c>
      <c r="S48" t="s">
        <v>244</v>
      </c>
      <c r="T48" t="n">
        <v>0.375</v>
      </c>
    </row>
    <row r="49">
      <c r="A49" t="s">
        <v>30</v>
      </c>
      <c r="B49" t="n">
        <v>1.25</v>
      </c>
      <c r="C49" t="n">
        <v>1</v>
      </c>
      <c r="D49" t="n">
        <v>1.6</v>
      </c>
      <c r="E49" t="n">
        <v>-5.75</v>
      </c>
      <c r="F49" t="n">
        <v>-1</v>
      </c>
      <c r="G49" t="n">
        <v>164</v>
      </c>
      <c r="H49" t="n">
        <v>12</v>
      </c>
      <c r="I49" t="s">
        <v>244</v>
      </c>
      <c r="J49" t="n">
        <v>0</v>
      </c>
      <c r="K49" t="n">
        <v>0</v>
      </c>
      <c r="L49" t="n">
        <v>0</v>
      </c>
      <c r="M49" t="n">
        <v>12</v>
      </c>
      <c r="N49" t="n">
        <v>-0.25</v>
      </c>
      <c r="O49" t="n">
        <v>-0.75</v>
      </c>
      <c r="P49" t="n">
        <v>131</v>
      </c>
      <c r="Q49" t="n">
        <v>12</v>
      </c>
      <c r="R49" t="s">
        <v>245</v>
      </c>
      <c r="S49" t="s">
        <v>243</v>
      </c>
      <c r="T49" t="n">
        <v>-0.625</v>
      </c>
    </row>
    <row r="50">
      <c r="A50" t="s">
        <v>30</v>
      </c>
      <c r="B50" t="n">
        <v>1</v>
      </c>
      <c r="C50"/>
      <c r="D50" t="n">
        <v>1.6</v>
      </c>
      <c r="E50" t="n">
        <v>-5</v>
      </c>
      <c r="F50" t="n">
        <v>-0.5</v>
      </c>
      <c r="G50" t="n">
        <v>163</v>
      </c>
      <c r="H50" t="n">
        <v>12</v>
      </c>
      <c r="I50" t="s">
        <v>243</v>
      </c>
      <c r="J50" t="n">
        <v>0</v>
      </c>
      <c r="K50" t="n">
        <v>0</v>
      </c>
      <c r="L50" t="n">
        <v>0</v>
      </c>
      <c r="M50" t="n">
        <v>12</v>
      </c>
      <c r="N50" t="n">
        <v>0.25</v>
      </c>
      <c r="O50" t="n">
        <v>-0.5</v>
      </c>
      <c r="P50" t="n">
        <v>127</v>
      </c>
      <c r="Q50" t="n">
        <v>12</v>
      </c>
      <c r="R50" t="s">
        <v>245</v>
      </c>
      <c r="S50" t="s">
        <v>94</v>
      </c>
      <c r="T50" t="n">
        <v>0</v>
      </c>
    </row>
    <row r="51">
      <c r="A51" t="s">
        <v>30</v>
      </c>
      <c r="B51" t="n">
        <v>1.25</v>
      </c>
      <c r="C51" t="n">
        <v>1.6</v>
      </c>
      <c r="D51" t="n">
        <v>1.6</v>
      </c>
      <c r="E51" t="n">
        <v>-1.75</v>
      </c>
      <c r="F51" t="n">
        <v>-0.75</v>
      </c>
      <c r="G51" t="n">
        <v>26</v>
      </c>
      <c r="H51" t="n">
        <v>12</v>
      </c>
      <c r="I51" t="s">
        <v>244</v>
      </c>
      <c r="J51" t="n">
        <v>0</v>
      </c>
      <c r="K51" t="n">
        <v>0</v>
      </c>
      <c r="L51" t="n">
        <v>0</v>
      </c>
      <c r="M51" t="n">
        <v>12</v>
      </c>
      <c r="N51" t="n">
        <v>0.25</v>
      </c>
      <c r="O51" t="n">
        <v>0</v>
      </c>
      <c r="P51" t="n">
        <v>66</v>
      </c>
      <c r="Q51" t="n">
        <v>12</v>
      </c>
      <c r="R51" t="s">
        <v>245</v>
      </c>
      <c r="S51" t="s">
        <v>245</v>
      </c>
      <c r="T51" t="n">
        <v>0.25</v>
      </c>
    </row>
    <row r="52">
      <c r="A52" t="s">
        <v>30</v>
      </c>
      <c r="B52" t="n">
        <v>1.25</v>
      </c>
      <c r="C52" t="n">
        <v>1.25</v>
      </c>
      <c r="D52" t="n">
        <v>1.25</v>
      </c>
      <c r="E52" t="n">
        <v>-2</v>
      </c>
      <c r="F52" t="n">
        <v>-1.75</v>
      </c>
      <c r="G52" t="n">
        <v>148</v>
      </c>
      <c r="H52" t="n">
        <v>12</v>
      </c>
      <c r="I52" t="s">
        <v>244</v>
      </c>
      <c r="J52" t="n">
        <v>0</v>
      </c>
      <c r="K52" t="n">
        <v>0</v>
      </c>
      <c r="L52" t="n">
        <v>0</v>
      </c>
      <c r="M52" t="n">
        <v>12</v>
      </c>
      <c r="N52" t="n">
        <v>0.25</v>
      </c>
      <c r="O52" t="n">
        <v>-0.25</v>
      </c>
      <c r="P52" t="n">
        <v>112</v>
      </c>
      <c r="Q52" t="n">
        <v>12</v>
      </c>
      <c r="R52" t="s">
        <v>244</v>
      </c>
      <c r="S52" t="s">
        <v>244</v>
      </c>
      <c r="T52" t="n">
        <v>0.125</v>
      </c>
    </row>
    <row r="53">
      <c r="A53" t="s">
        <v>30</v>
      </c>
      <c r="B53" t="n">
        <v>1.25</v>
      </c>
      <c r="C53" t="n">
        <v>1.6</v>
      </c>
      <c r="D53" t="n">
        <v>1.6</v>
      </c>
      <c r="E53" t="n">
        <v>-6.25</v>
      </c>
      <c r="F53" t="n">
        <v>-0.25</v>
      </c>
      <c r="G53" t="n">
        <v>97</v>
      </c>
      <c r="H53" t="n">
        <v>12</v>
      </c>
      <c r="I53" t="s">
        <v>244</v>
      </c>
      <c r="J53" t="n">
        <v>0</v>
      </c>
      <c r="K53" t="n">
        <v>0</v>
      </c>
      <c r="L53" t="n">
        <v>0</v>
      </c>
      <c r="M53" t="n">
        <v>12</v>
      </c>
      <c r="N53" t="n">
        <v>-0.25</v>
      </c>
      <c r="O53" t="n">
        <v>0</v>
      </c>
      <c r="P53" t="n">
        <v>166</v>
      </c>
      <c r="Q53" t="n">
        <v>12</v>
      </c>
      <c r="R53" t="s">
        <v>245</v>
      </c>
      <c r="S53" t="s">
        <v>245</v>
      </c>
      <c r="T53" t="n">
        <v>-0.25</v>
      </c>
    </row>
    <row r="54">
      <c r="A54" t="s">
        <v>30</v>
      </c>
      <c r="B54" t="n">
        <v>1.25</v>
      </c>
      <c r="C54" t="n">
        <v>1.25</v>
      </c>
      <c r="D54" t="n">
        <v>1.25</v>
      </c>
      <c r="E54" t="n">
        <v>-1.75</v>
      </c>
      <c r="F54" t="n">
        <v>-0.75</v>
      </c>
      <c r="G54" t="n">
        <v>10</v>
      </c>
      <c r="H54" t="n">
        <v>12</v>
      </c>
      <c r="I54" t="s">
        <v>244</v>
      </c>
      <c r="J54" t="n">
        <v>0</v>
      </c>
      <c r="K54" t="n">
        <v>0</v>
      </c>
      <c r="L54" t="n">
        <v>0</v>
      </c>
      <c r="M54" t="n">
        <v>12</v>
      </c>
      <c r="N54" t="n">
        <v>0.25</v>
      </c>
      <c r="O54" t="n">
        <v>-0.25</v>
      </c>
      <c r="P54" t="n">
        <v>68</v>
      </c>
      <c r="Q54" t="n">
        <v>12</v>
      </c>
      <c r="R54" t="s">
        <v>244</v>
      </c>
      <c r="S54" t="s">
        <v>244</v>
      </c>
      <c r="T54" t="n">
        <v>0.125</v>
      </c>
    </row>
    <row r="55">
      <c r="A55" t="s">
        <v>30</v>
      </c>
      <c r="B55" t="n">
        <v>1.25</v>
      </c>
      <c r="C55" t="n">
        <v>1.25</v>
      </c>
      <c r="D55" t="n">
        <v>1.25</v>
      </c>
      <c r="E55" t="n">
        <v>-0.5</v>
      </c>
      <c r="F55" t="n">
        <v>-1.25</v>
      </c>
      <c r="G55" t="n">
        <v>171</v>
      </c>
      <c r="H55" t="n">
        <v>12</v>
      </c>
      <c r="I55" t="s">
        <v>244</v>
      </c>
      <c r="J55" t="n">
        <v>0</v>
      </c>
      <c r="K55" t="n">
        <v>0</v>
      </c>
      <c r="L55" t="n">
        <v>0</v>
      </c>
      <c r="M55" t="n">
        <v>12</v>
      </c>
      <c r="N55" t="n">
        <v>0.25</v>
      </c>
      <c r="O55" t="n">
        <v>-0.25</v>
      </c>
      <c r="P55" t="n">
        <v>41</v>
      </c>
      <c r="Q55" t="n">
        <v>12</v>
      </c>
      <c r="R55" t="s">
        <v>244</v>
      </c>
      <c r="S55" t="s">
        <v>244</v>
      </c>
      <c r="T55" t="n">
        <v>0.125</v>
      </c>
    </row>
    <row r="56">
      <c r="A56" t="s">
        <v>30</v>
      </c>
      <c r="B56" t="n">
        <v>1</v>
      </c>
      <c r="C56" t="n">
        <v>0.8</v>
      </c>
      <c r="D56" t="n">
        <v>1.6</v>
      </c>
      <c r="E56" t="n">
        <v>-5</v>
      </c>
      <c r="F56" t="n">
        <v>-0.5</v>
      </c>
      <c r="G56" t="n">
        <v>157</v>
      </c>
      <c r="H56" t="n">
        <v>12</v>
      </c>
      <c r="I56" t="s">
        <v>243</v>
      </c>
      <c r="J56" t="n">
        <v>0</v>
      </c>
      <c r="K56" t="n">
        <v>0</v>
      </c>
      <c r="L56" t="n">
        <v>0</v>
      </c>
      <c r="M56" t="n">
        <v>12</v>
      </c>
      <c r="N56" t="n">
        <v>-1</v>
      </c>
      <c r="O56" t="n">
        <v>0</v>
      </c>
      <c r="P56" t="n">
        <v>108</v>
      </c>
      <c r="Q56" t="n">
        <v>12</v>
      </c>
      <c r="R56" t="s">
        <v>245</v>
      </c>
      <c r="S56" t="s">
        <v>242</v>
      </c>
      <c r="T56" t="n">
        <v>-1</v>
      </c>
    </row>
    <row r="57">
      <c r="A57" t="s">
        <v>30</v>
      </c>
      <c r="B57" t="n">
        <v>1</v>
      </c>
      <c r="C57" t="n">
        <v>1</v>
      </c>
      <c r="D57" t="n">
        <v>1.6</v>
      </c>
      <c r="E57" t="n">
        <v>-4.5</v>
      </c>
      <c r="F57" t="n">
        <v>-0.75</v>
      </c>
      <c r="G57" t="n">
        <v>28</v>
      </c>
      <c r="H57" t="n">
        <v>12</v>
      </c>
      <c r="I57" t="s">
        <v>243</v>
      </c>
      <c r="J57" t="n">
        <v>0</v>
      </c>
      <c r="K57" t="n">
        <v>0</v>
      </c>
      <c r="L57" t="n">
        <v>0</v>
      </c>
      <c r="M57" t="n">
        <v>12</v>
      </c>
      <c r="N57" t="n">
        <v>-1</v>
      </c>
      <c r="O57" t="n">
        <v>0</v>
      </c>
      <c r="P57" t="n">
        <v>97</v>
      </c>
      <c r="Q57" t="n">
        <v>12</v>
      </c>
      <c r="R57" t="s">
        <v>245</v>
      </c>
      <c r="S57" t="s">
        <v>243</v>
      </c>
      <c r="T57" t="n">
        <v>-1</v>
      </c>
    </row>
    <row r="58">
      <c r="A58" t="s">
        <v>30</v>
      </c>
      <c r="B58" t="n">
        <v>0.8</v>
      </c>
      <c r="C58"/>
      <c r="D58"/>
      <c r="E58" t="n">
        <v>-5.75</v>
      </c>
      <c r="F58" t="n">
        <v>-0.5</v>
      </c>
      <c r="G58" t="n">
        <v>126</v>
      </c>
      <c r="H58" t="n">
        <v>12</v>
      </c>
      <c r="I58" t="s">
        <v>242</v>
      </c>
      <c r="J58" t="n">
        <v>0</v>
      </c>
      <c r="K58" t="n">
        <v>0</v>
      </c>
      <c r="L58" t="n">
        <v>0</v>
      </c>
      <c r="M58" t="n">
        <v>12</v>
      </c>
      <c r="N58"/>
      <c r="O58"/>
      <c r="P58"/>
      <c r="Q58" t="n">
        <v>12</v>
      </c>
      <c r="R58" t="s">
        <v>94</v>
      </c>
      <c r="S58" t="s">
        <v>94</v>
      </c>
      <c r="T58"/>
    </row>
    <row r="59">
      <c r="A59" t="s">
        <v>30</v>
      </c>
      <c r="B59" t="n">
        <v>1</v>
      </c>
      <c r="C59" t="n">
        <v>0.8</v>
      </c>
      <c r="D59" t="n">
        <v>1</v>
      </c>
      <c r="E59" t="n">
        <v>-1</v>
      </c>
      <c r="F59" t="n">
        <v>-0.5</v>
      </c>
      <c r="G59" t="n">
        <v>162</v>
      </c>
      <c r="H59" t="n">
        <v>12</v>
      </c>
      <c r="I59" t="s">
        <v>243</v>
      </c>
      <c r="J59" t="n">
        <v>0</v>
      </c>
      <c r="K59" t="n">
        <v>0</v>
      </c>
      <c r="L59" t="n">
        <v>0</v>
      </c>
      <c r="M59" t="n">
        <v>12</v>
      </c>
      <c r="N59" t="n">
        <v>0.75</v>
      </c>
      <c r="O59" t="n">
        <v>-0.25</v>
      </c>
      <c r="P59" t="n">
        <v>96</v>
      </c>
      <c r="Q59" t="n">
        <v>12</v>
      </c>
      <c r="R59" t="s">
        <v>243</v>
      </c>
      <c r="S59" t="s">
        <v>242</v>
      </c>
      <c r="T59" t="n">
        <v>0.625</v>
      </c>
    </row>
    <row r="60">
      <c r="A60" t="s">
        <v>30</v>
      </c>
      <c r="B60" t="n">
        <v>1.25</v>
      </c>
      <c r="C60" t="n">
        <v>1.25</v>
      </c>
      <c r="D60" t="n">
        <v>1.25</v>
      </c>
      <c r="E60" t="n">
        <v>-4</v>
      </c>
      <c r="F60" t="n">
        <v>-0.5</v>
      </c>
      <c r="G60" t="n">
        <v>152</v>
      </c>
      <c r="H60" t="n">
        <v>12</v>
      </c>
      <c r="I60" t="s">
        <v>244</v>
      </c>
      <c r="J60" t="n">
        <v>0</v>
      </c>
      <c r="K60" t="n">
        <v>0</v>
      </c>
      <c r="L60" t="n">
        <v>0</v>
      </c>
      <c r="M60" t="n">
        <v>12</v>
      </c>
      <c r="N60" t="n">
        <v>-0.25</v>
      </c>
      <c r="O60" t="n">
        <v>-0.25</v>
      </c>
      <c r="P60" t="n">
        <v>1</v>
      </c>
      <c r="Q60" t="n">
        <v>12</v>
      </c>
      <c r="R60" t="s">
        <v>244</v>
      </c>
      <c r="S60" t="s">
        <v>244</v>
      </c>
      <c r="T60" t="n">
        <v>-0.375</v>
      </c>
    </row>
    <row r="61">
      <c r="A61" t="s">
        <v>30</v>
      </c>
      <c r="B61" t="n">
        <v>1</v>
      </c>
      <c r="C61" t="n">
        <v>1.25</v>
      </c>
      <c r="D61" t="n">
        <v>1.25</v>
      </c>
      <c r="E61" t="n">
        <v>-6.5</v>
      </c>
      <c r="F61" t="n">
        <v>-0.75</v>
      </c>
      <c r="G61" t="n">
        <v>93</v>
      </c>
      <c r="H61" t="n">
        <v>12</v>
      </c>
      <c r="I61" t="s">
        <v>243</v>
      </c>
      <c r="J61" t="n">
        <v>0</v>
      </c>
      <c r="K61" t="n">
        <v>0</v>
      </c>
      <c r="L61" t="n">
        <v>0</v>
      </c>
      <c r="M61" t="n">
        <v>12</v>
      </c>
      <c r="N61" t="n">
        <v>0</v>
      </c>
      <c r="O61" t="n">
        <v>-0.5</v>
      </c>
      <c r="P61" t="n">
        <v>64</v>
      </c>
      <c r="Q61" t="n">
        <v>12</v>
      </c>
      <c r="R61" t="s">
        <v>244</v>
      </c>
      <c r="S61" t="s">
        <v>244</v>
      </c>
      <c r="T61" t="n">
        <v>-0.25</v>
      </c>
    </row>
  </sheetData>
  <pageMargins left="0.7" right="0.7" top="0.75" bottom="0.75" header="0.3" footer="0.3"/>
  <pageSetup paperSize="9" orientation="portrait" horizontalDpi="300" verticalDpi="300"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4" t="s">
        <v>225</v>
      </c>
      <c r="B1" s="4" t="s">
        <v>226</v>
      </c>
      <c r="C1" s="4" t="s">
        <v>227</v>
      </c>
      <c r="D1" s="4" t="s">
        <v>228</v>
      </c>
      <c r="E1" s="5" t="s">
        <v>229</v>
      </c>
      <c r="F1" s="5" t="s">
        <v>230</v>
      </c>
      <c r="G1" s="5" t="s">
        <v>231</v>
      </c>
      <c r="H1" s="5" t="s">
        <v>232</v>
      </c>
      <c r="I1" s="5" t="s">
        <v>73</v>
      </c>
      <c r="J1" s="6" t="s">
        <v>233</v>
      </c>
      <c r="K1" s="6" t="s">
        <v>234</v>
      </c>
      <c r="L1" s="6" t="s">
        <v>235</v>
      </c>
      <c r="M1" s="6" t="s">
        <v>236</v>
      </c>
      <c r="N1" s="7" t="s">
        <v>237</v>
      </c>
      <c r="O1" s="7" t="s">
        <v>238</v>
      </c>
      <c r="P1" s="7" t="s">
        <v>239</v>
      </c>
      <c r="Q1" s="7" t="s">
        <v>240</v>
      </c>
      <c r="R1" s="7" t="s">
        <v>164</v>
      </c>
      <c r="S1" s="7" t="s">
        <v>156</v>
      </c>
      <c r="T1" s="8" t="s">
        <v>241</v>
      </c>
    </row>
    <row r="2">
      <c r="A2" t="s">
        <v>31</v>
      </c>
      <c r="B2" t="n">
        <v>1</v>
      </c>
      <c r="C2" t="n">
        <v>1</v>
      </c>
      <c r="D2" t="n">
        <v>1</v>
      </c>
      <c r="E2" t="n">
        <v>-3</v>
      </c>
      <c r="F2" t="n">
        <v>-0.75</v>
      </c>
      <c r="G2" t="n">
        <v>177</v>
      </c>
      <c r="H2" t="n">
        <v>12</v>
      </c>
      <c r="I2" t="s">
        <v>243</v>
      </c>
      <c r="J2" t="n">
        <v>0</v>
      </c>
      <c r="K2" t="n">
        <v>0</v>
      </c>
      <c r="L2" t="n">
        <v>0</v>
      </c>
      <c r="M2" t="n">
        <v>12</v>
      </c>
      <c r="N2" t="n">
        <v>0</v>
      </c>
      <c r="O2" t="n">
        <v>-0.25</v>
      </c>
      <c r="P2" t="n">
        <v>136</v>
      </c>
      <c r="Q2" t="n">
        <v>12</v>
      </c>
      <c r="R2" t="s">
        <v>243</v>
      </c>
      <c r="S2" t="s">
        <v>243</v>
      </c>
      <c r="T2" t="n">
        <v>-0.125</v>
      </c>
    </row>
    <row r="3">
      <c r="A3" t="s">
        <v>31</v>
      </c>
      <c r="B3" t="n">
        <v>0.8</v>
      </c>
      <c r="C3" t="n">
        <v>0.8</v>
      </c>
      <c r="D3" t="n">
        <v>0.8</v>
      </c>
      <c r="E3" t="n">
        <v>-3.75</v>
      </c>
      <c r="F3" t="n">
        <v>-0.25</v>
      </c>
      <c r="G3" t="n">
        <v>14</v>
      </c>
      <c r="H3" t="n">
        <v>12</v>
      </c>
      <c r="I3" t="s">
        <v>242</v>
      </c>
      <c r="J3" t="n">
        <v>0</v>
      </c>
      <c r="K3" t="n">
        <v>0</v>
      </c>
      <c r="L3" t="n">
        <v>0</v>
      </c>
      <c r="M3" t="n">
        <v>12</v>
      </c>
      <c r="N3" t="n">
        <v>0</v>
      </c>
      <c r="O3" t="n">
        <v>-0.25</v>
      </c>
      <c r="P3" t="n">
        <v>48</v>
      </c>
      <c r="Q3" t="n">
        <v>12</v>
      </c>
      <c r="R3" t="s">
        <v>242</v>
      </c>
      <c r="S3" t="s">
        <v>242</v>
      </c>
      <c r="T3" t="n">
        <v>-0.125</v>
      </c>
    </row>
    <row r="4">
      <c r="A4" t="s">
        <v>31</v>
      </c>
      <c r="B4" t="n">
        <v>1</v>
      </c>
      <c r="C4" t="n">
        <v>1</v>
      </c>
      <c r="D4" t="n">
        <v>1</v>
      </c>
      <c r="E4" t="n">
        <v>-5.25</v>
      </c>
      <c r="F4" t="n">
        <v>-1.5</v>
      </c>
      <c r="G4" t="n">
        <v>98</v>
      </c>
      <c r="H4" t="n">
        <v>12</v>
      </c>
      <c r="I4" t="s">
        <v>243</v>
      </c>
      <c r="J4" t="n">
        <v>0</v>
      </c>
      <c r="K4" t="n">
        <v>0</v>
      </c>
      <c r="L4" t="n">
        <v>0</v>
      </c>
      <c r="M4" t="n">
        <v>12</v>
      </c>
      <c r="N4" t="n">
        <v>0.5</v>
      </c>
      <c r="O4" t="n">
        <v>-0.25</v>
      </c>
      <c r="P4" t="n">
        <v>97</v>
      </c>
      <c r="Q4" t="n">
        <v>12</v>
      </c>
      <c r="R4" t="s">
        <v>243</v>
      </c>
      <c r="S4" t="s">
        <v>243</v>
      </c>
      <c r="T4" t="n">
        <v>0.375</v>
      </c>
    </row>
    <row r="5">
      <c r="A5" t="s">
        <v>31</v>
      </c>
      <c r="B5" t="n">
        <v>1</v>
      </c>
      <c r="C5" t="n">
        <v>1.6</v>
      </c>
      <c r="D5" t="n">
        <v>1.6</v>
      </c>
      <c r="E5" t="n">
        <v>-2.5</v>
      </c>
      <c r="F5" t="n">
        <v>-1.75</v>
      </c>
      <c r="G5" t="n">
        <v>4</v>
      </c>
      <c r="H5" t="n">
        <v>12</v>
      </c>
      <c r="I5" t="s">
        <v>243</v>
      </c>
      <c r="J5" t="n">
        <v>0</v>
      </c>
      <c r="K5" t="n">
        <v>0</v>
      </c>
      <c r="L5" t="n">
        <v>0</v>
      </c>
      <c r="M5" t="n">
        <v>12</v>
      </c>
      <c r="N5" t="n">
        <v>0</v>
      </c>
      <c r="O5" t="n">
        <v>-0.25</v>
      </c>
      <c r="P5" t="n">
        <v>87</v>
      </c>
      <c r="Q5" t="n">
        <v>12</v>
      </c>
      <c r="R5" t="s">
        <v>245</v>
      </c>
      <c r="S5" t="s">
        <v>245</v>
      </c>
      <c r="T5" t="n">
        <v>-0.125</v>
      </c>
    </row>
    <row r="6">
      <c r="A6" t="s">
        <v>31</v>
      </c>
      <c r="B6" t="n">
        <v>1</v>
      </c>
      <c r="C6" t="n">
        <v>1</v>
      </c>
      <c r="D6" t="n">
        <v>1.25</v>
      </c>
      <c r="E6" t="n">
        <v>-3.75</v>
      </c>
      <c r="F6" t="n">
        <v>-1</v>
      </c>
      <c r="G6" t="n">
        <v>2</v>
      </c>
      <c r="H6" t="n">
        <v>12</v>
      </c>
      <c r="I6" t="s">
        <v>243</v>
      </c>
      <c r="J6" t="n">
        <v>0</v>
      </c>
      <c r="K6" t="n">
        <v>0</v>
      </c>
      <c r="L6" t="n">
        <v>0</v>
      </c>
      <c r="M6" t="n">
        <v>12</v>
      </c>
      <c r="N6" t="n">
        <v>-0.25</v>
      </c>
      <c r="O6" t="n">
        <v>-0.25</v>
      </c>
      <c r="P6" t="n">
        <v>91</v>
      </c>
      <c r="Q6" t="n">
        <v>12</v>
      </c>
      <c r="R6" t="s">
        <v>244</v>
      </c>
      <c r="S6" t="s">
        <v>243</v>
      </c>
      <c r="T6" t="n">
        <v>-0.375</v>
      </c>
    </row>
    <row r="7">
      <c r="A7" t="s">
        <v>31</v>
      </c>
      <c r="B7" t="n">
        <v>1</v>
      </c>
      <c r="C7"/>
      <c r="D7"/>
      <c r="E7" t="n">
        <v>-7</v>
      </c>
      <c r="F7" t="n">
        <v>-1</v>
      </c>
      <c r="G7" t="n">
        <v>177</v>
      </c>
      <c r="H7" t="n">
        <v>12</v>
      </c>
      <c r="I7" t="s">
        <v>243</v>
      </c>
      <c r="J7" t="n">
        <v>0</v>
      </c>
      <c r="K7" t="n">
        <v>0</v>
      </c>
      <c r="L7" t="n">
        <v>0</v>
      </c>
      <c r="M7" t="n">
        <v>12</v>
      </c>
      <c r="N7"/>
      <c r="O7"/>
      <c r="P7"/>
      <c r="Q7" t="n">
        <v>12</v>
      </c>
      <c r="R7" t="s">
        <v>94</v>
      </c>
      <c r="S7" t="s">
        <v>94</v>
      </c>
      <c r="T7"/>
    </row>
    <row r="8">
      <c r="A8" t="s">
        <v>31</v>
      </c>
      <c r="B8" t="n">
        <v>1</v>
      </c>
      <c r="C8" t="n">
        <v>1.25</v>
      </c>
      <c r="D8" t="n">
        <v>1.6</v>
      </c>
      <c r="E8" t="n">
        <v>-8</v>
      </c>
      <c r="F8" t="n">
        <v>-0.75</v>
      </c>
      <c r="G8" t="n">
        <v>82</v>
      </c>
      <c r="H8" t="n">
        <v>12</v>
      </c>
      <c r="I8" t="s">
        <v>243</v>
      </c>
      <c r="J8" t="n">
        <v>0</v>
      </c>
      <c r="K8" t="n">
        <v>0</v>
      </c>
      <c r="L8" t="n">
        <v>0</v>
      </c>
      <c r="M8" t="n">
        <v>12</v>
      </c>
      <c r="N8" t="n">
        <v>-0.5</v>
      </c>
      <c r="O8" t="n">
        <v>-0.25</v>
      </c>
      <c r="P8" t="n">
        <v>121</v>
      </c>
      <c r="Q8" t="n">
        <v>12</v>
      </c>
      <c r="R8" t="s">
        <v>245</v>
      </c>
      <c r="S8" t="s">
        <v>244</v>
      </c>
      <c r="T8" t="n">
        <v>-0.625</v>
      </c>
    </row>
    <row r="9">
      <c r="A9" t="s">
        <v>31</v>
      </c>
      <c r="B9" t="n">
        <v>1</v>
      </c>
      <c r="C9" t="n">
        <v>1</v>
      </c>
      <c r="D9" t="n">
        <v>1</v>
      </c>
      <c r="E9" t="n">
        <v>-1.5</v>
      </c>
      <c r="F9" t="n">
        <v>-0.5</v>
      </c>
      <c r="G9" t="n">
        <v>169</v>
      </c>
      <c r="H9" t="n">
        <v>12</v>
      </c>
      <c r="I9" t="s">
        <v>243</v>
      </c>
      <c r="J9" t="n">
        <v>0</v>
      </c>
      <c r="K9" t="n">
        <v>0</v>
      </c>
      <c r="L9" t="n">
        <v>0</v>
      </c>
      <c r="M9" t="n">
        <v>12</v>
      </c>
      <c r="N9" t="n">
        <v>0.25</v>
      </c>
      <c r="O9" t="n">
        <v>-0.25</v>
      </c>
      <c r="P9" t="n">
        <v>176</v>
      </c>
      <c r="Q9" t="n">
        <v>12</v>
      </c>
      <c r="R9" t="s">
        <v>243</v>
      </c>
      <c r="S9" t="s">
        <v>243</v>
      </c>
      <c r="T9" t="n">
        <v>0.125</v>
      </c>
    </row>
    <row r="10">
      <c r="A10" t="s">
        <v>31</v>
      </c>
      <c r="B10" t="n">
        <v>1</v>
      </c>
      <c r="C10" t="n">
        <v>1</v>
      </c>
      <c r="D10" t="n">
        <v>1</v>
      </c>
      <c r="E10" t="n">
        <v>-5.5</v>
      </c>
      <c r="F10" t="n">
        <v>-0.5</v>
      </c>
      <c r="G10" t="n">
        <v>13</v>
      </c>
      <c r="H10" t="n">
        <v>12</v>
      </c>
      <c r="I10" t="s">
        <v>243</v>
      </c>
      <c r="J10" t="n">
        <v>0</v>
      </c>
      <c r="K10" t="n">
        <v>0</v>
      </c>
      <c r="L10" t="n">
        <v>0</v>
      </c>
      <c r="M10" t="n">
        <v>12</v>
      </c>
      <c r="N10" t="n">
        <v>0</v>
      </c>
      <c r="O10" t="n">
        <v>-0.25</v>
      </c>
      <c r="P10" t="n">
        <v>163</v>
      </c>
      <c r="Q10" t="n">
        <v>12</v>
      </c>
      <c r="R10" t="s">
        <v>243</v>
      </c>
      <c r="S10" t="s">
        <v>243</v>
      </c>
      <c r="T10" t="n">
        <v>-0.125</v>
      </c>
    </row>
    <row r="11">
      <c r="A11" t="s">
        <v>31</v>
      </c>
      <c r="B11" t="n">
        <v>1</v>
      </c>
      <c r="C11" t="n">
        <v>1.25</v>
      </c>
      <c r="D11" t="n">
        <v>1.25</v>
      </c>
      <c r="E11" t="n">
        <v>-1.75</v>
      </c>
      <c r="F11" t="n">
        <v>-0.75</v>
      </c>
      <c r="G11" t="n">
        <v>49</v>
      </c>
      <c r="H11" t="n">
        <v>12</v>
      </c>
      <c r="I11" t="s">
        <v>243</v>
      </c>
      <c r="J11" t="n">
        <v>0</v>
      </c>
      <c r="K11" t="n">
        <v>0</v>
      </c>
      <c r="L11" t="n">
        <v>0</v>
      </c>
      <c r="M11" t="n">
        <v>12</v>
      </c>
      <c r="N11" t="n">
        <v>0</v>
      </c>
      <c r="O11" t="n">
        <v>-0.25</v>
      </c>
      <c r="P11" t="n">
        <v>28</v>
      </c>
      <c r="Q11" t="n">
        <v>12</v>
      </c>
      <c r="R11" t="s">
        <v>244</v>
      </c>
      <c r="S11" t="s">
        <v>244</v>
      </c>
      <c r="T11" t="n">
        <v>-0.125</v>
      </c>
    </row>
    <row r="12">
      <c r="A12" t="s">
        <v>31</v>
      </c>
      <c r="B12" t="n">
        <v>1</v>
      </c>
      <c r="C12" t="n">
        <v>0.8</v>
      </c>
      <c r="D12" t="n">
        <v>1</v>
      </c>
      <c r="E12" t="n">
        <v>-4.25</v>
      </c>
      <c r="F12" t="n">
        <v>-1</v>
      </c>
      <c r="G12" t="n">
        <v>166</v>
      </c>
      <c r="H12" t="n">
        <v>12</v>
      </c>
      <c r="I12" t="s">
        <v>243</v>
      </c>
      <c r="J12" t="n">
        <v>0</v>
      </c>
      <c r="K12" t="n">
        <v>0</v>
      </c>
      <c r="L12" t="n">
        <v>0</v>
      </c>
      <c r="M12" t="n">
        <v>12</v>
      </c>
      <c r="N12" t="n">
        <v>-0.5</v>
      </c>
      <c r="O12" t="n">
        <v>-0.25</v>
      </c>
      <c r="P12" t="n">
        <v>121</v>
      </c>
      <c r="Q12" t="n">
        <v>12</v>
      </c>
      <c r="R12" t="s">
        <v>243</v>
      </c>
      <c r="S12" t="s">
        <v>242</v>
      </c>
      <c r="T12" t="n">
        <v>-0.625</v>
      </c>
    </row>
    <row r="13">
      <c r="A13" t="s">
        <v>31</v>
      </c>
      <c r="B13" t="n">
        <v>1.25</v>
      </c>
      <c r="C13"/>
      <c r="D13"/>
      <c r="E13" t="n">
        <v>-6</v>
      </c>
      <c r="F13" t="n">
        <v>-0.75</v>
      </c>
      <c r="G13" t="n">
        <v>171</v>
      </c>
      <c r="H13" t="n">
        <v>12</v>
      </c>
      <c r="I13" t="s">
        <v>244</v>
      </c>
      <c r="J13" t="n">
        <v>0</v>
      </c>
      <c r="K13" t="n">
        <v>0</v>
      </c>
      <c r="L13" t="n">
        <v>0</v>
      </c>
      <c r="M13" t="n">
        <v>12</v>
      </c>
      <c r="N13"/>
      <c r="O13"/>
      <c r="P13"/>
      <c r="Q13" t="n">
        <v>12</v>
      </c>
      <c r="R13" t="s">
        <v>94</v>
      </c>
      <c r="S13" t="s">
        <v>94</v>
      </c>
      <c r="T13"/>
    </row>
    <row r="14">
      <c r="A14" t="s">
        <v>31</v>
      </c>
      <c r="B14" t="n">
        <v>1.25</v>
      </c>
      <c r="C14"/>
      <c r="D14"/>
      <c r="E14" t="n">
        <v>-6.25</v>
      </c>
      <c r="F14" t="n">
        <v>-1</v>
      </c>
      <c r="G14" t="n">
        <v>178</v>
      </c>
      <c r="H14" t="n">
        <v>12</v>
      </c>
      <c r="I14" t="s">
        <v>244</v>
      </c>
      <c r="J14" t="n">
        <v>-0.75</v>
      </c>
      <c r="K14" t="n">
        <v>0</v>
      </c>
      <c r="L14" t="n">
        <v>0</v>
      </c>
      <c r="M14" t="n">
        <v>12</v>
      </c>
      <c r="N14"/>
      <c r="O14"/>
      <c r="P14"/>
      <c r="Q14" t="n">
        <v>12</v>
      </c>
      <c r="R14" t="s">
        <v>94</v>
      </c>
      <c r="S14" t="s">
        <v>94</v>
      </c>
      <c r="T14"/>
    </row>
    <row r="15">
      <c r="A15" t="s">
        <v>31</v>
      </c>
      <c r="B15" t="n">
        <v>1</v>
      </c>
      <c r="C15" t="n">
        <v>1</v>
      </c>
      <c r="D15" t="n">
        <v>1</v>
      </c>
      <c r="E15" t="n">
        <v>-5.5</v>
      </c>
      <c r="F15" t="n">
        <v>-0.75</v>
      </c>
      <c r="G15" t="n">
        <v>4</v>
      </c>
      <c r="H15" t="n">
        <v>12</v>
      </c>
      <c r="I15" t="s">
        <v>243</v>
      </c>
      <c r="J15" t="n">
        <v>0</v>
      </c>
      <c r="K15" t="n">
        <v>0</v>
      </c>
      <c r="L15" t="n">
        <v>0</v>
      </c>
      <c r="M15" t="n">
        <v>12</v>
      </c>
      <c r="N15" t="n">
        <v>0</v>
      </c>
      <c r="O15" t="n">
        <v>-0.25</v>
      </c>
      <c r="P15" t="n">
        <v>7</v>
      </c>
      <c r="Q15" t="n">
        <v>12</v>
      </c>
      <c r="R15" t="s">
        <v>243</v>
      </c>
      <c r="S15" t="s">
        <v>243</v>
      </c>
      <c r="T15" t="n">
        <v>-0.125</v>
      </c>
    </row>
    <row r="16">
      <c r="A16" t="s">
        <v>31</v>
      </c>
      <c r="B16" t="n">
        <v>1.25</v>
      </c>
      <c r="C16" t="n">
        <v>1.25</v>
      </c>
      <c r="D16" t="n">
        <v>1.25</v>
      </c>
      <c r="E16" t="n">
        <v>-3.25</v>
      </c>
      <c r="F16" t="n">
        <v>-0.75</v>
      </c>
      <c r="G16" t="n">
        <v>16</v>
      </c>
      <c r="H16" t="n">
        <v>12</v>
      </c>
      <c r="I16" t="s">
        <v>244</v>
      </c>
      <c r="J16" t="n">
        <v>0</v>
      </c>
      <c r="K16" t="n">
        <v>0</v>
      </c>
      <c r="L16" t="n">
        <v>0</v>
      </c>
      <c r="M16" t="n">
        <v>12</v>
      </c>
      <c r="N16" t="n">
        <v>-0.25</v>
      </c>
      <c r="O16" t="n">
        <v>-0.25</v>
      </c>
      <c r="P16" t="n">
        <v>137</v>
      </c>
      <c r="Q16" t="n">
        <v>12</v>
      </c>
      <c r="R16" t="s">
        <v>244</v>
      </c>
      <c r="S16" t="s">
        <v>244</v>
      </c>
      <c r="T16" t="n">
        <v>-0.375</v>
      </c>
    </row>
    <row r="17">
      <c r="A17" t="s">
        <v>31</v>
      </c>
      <c r="B17" t="n">
        <v>0.8</v>
      </c>
      <c r="C17"/>
      <c r="D17"/>
      <c r="E17" t="n">
        <v>-4.5</v>
      </c>
      <c r="F17" t="n">
        <v>-1.25</v>
      </c>
      <c r="G17" t="n">
        <v>158</v>
      </c>
      <c r="H17" t="n">
        <v>12</v>
      </c>
      <c r="I17" t="s">
        <v>242</v>
      </c>
      <c r="J17" t="n">
        <v>0</v>
      </c>
      <c r="K17" t="n">
        <v>0</v>
      </c>
      <c r="L17" t="n">
        <v>0</v>
      </c>
      <c r="M17" t="n">
        <v>12</v>
      </c>
      <c r="N17"/>
      <c r="O17"/>
      <c r="P17"/>
      <c r="Q17" t="n">
        <v>12</v>
      </c>
      <c r="R17" t="s">
        <v>94</v>
      </c>
      <c r="S17" t="s">
        <v>94</v>
      </c>
      <c r="T17"/>
    </row>
    <row r="18">
      <c r="A18" t="s">
        <v>31</v>
      </c>
      <c r="B18" t="n">
        <v>1</v>
      </c>
      <c r="C18" t="n">
        <v>1</v>
      </c>
      <c r="D18" t="n">
        <v>1.25</v>
      </c>
      <c r="E18" t="n">
        <v>-4.5</v>
      </c>
      <c r="F18" t="n">
        <v>-1.25</v>
      </c>
      <c r="G18" t="n">
        <v>168</v>
      </c>
      <c r="H18" t="n">
        <v>12</v>
      </c>
      <c r="I18" t="s">
        <v>243</v>
      </c>
      <c r="J18" t="n">
        <v>0</v>
      </c>
      <c r="K18" t="n">
        <v>0</v>
      </c>
      <c r="L18" t="n">
        <v>0</v>
      </c>
      <c r="M18" t="n">
        <v>12</v>
      </c>
      <c r="N18" t="n">
        <v>-0.5</v>
      </c>
      <c r="O18" t="n">
        <v>-0.25</v>
      </c>
      <c r="P18" t="n">
        <v>15</v>
      </c>
      <c r="Q18" t="n">
        <v>12</v>
      </c>
      <c r="R18" t="s">
        <v>244</v>
      </c>
      <c r="S18" t="s">
        <v>243</v>
      </c>
      <c r="T18" t="n">
        <v>-0.625</v>
      </c>
    </row>
    <row r="19">
      <c r="A19" t="s">
        <v>31</v>
      </c>
      <c r="B19" t="n">
        <v>1</v>
      </c>
      <c r="C19"/>
      <c r="D19" t="n">
        <v>1</v>
      </c>
      <c r="E19" t="n">
        <v>-3.25</v>
      </c>
      <c r="F19" t="n">
        <v>-1.5</v>
      </c>
      <c r="G19" t="n">
        <v>177</v>
      </c>
      <c r="H19" t="n">
        <v>12</v>
      </c>
      <c r="I19" t="s">
        <v>243</v>
      </c>
      <c r="J19" t="n">
        <v>0</v>
      </c>
      <c r="K19" t="n">
        <v>0</v>
      </c>
      <c r="L19" t="n">
        <v>0</v>
      </c>
      <c r="M19" t="n">
        <v>12</v>
      </c>
      <c r="N19" t="n">
        <v>0.25</v>
      </c>
      <c r="O19" t="n">
        <v>-0.25</v>
      </c>
      <c r="P19" t="n">
        <v>129</v>
      </c>
      <c r="Q19" t="n">
        <v>12</v>
      </c>
      <c r="R19" t="s">
        <v>243</v>
      </c>
      <c r="S19" t="s">
        <v>94</v>
      </c>
      <c r="T19" t="n">
        <v>0.125</v>
      </c>
    </row>
    <row r="20">
      <c r="A20" t="s">
        <v>31</v>
      </c>
      <c r="B20" t="n">
        <v>1.25</v>
      </c>
      <c r="C20" t="n">
        <v>1</v>
      </c>
      <c r="D20" t="n">
        <v>1</v>
      </c>
      <c r="E20" t="n">
        <v>-2.75</v>
      </c>
      <c r="F20" t="n">
        <v>-1.5</v>
      </c>
      <c r="G20" t="n">
        <v>153</v>
      </c>
      <c r="H20" t="n">
        <v>12</v>
      </c>
      <c r="I20" t="s">
        <v>244</v>
      </c>
      <c r="J20" t="n">
        <v>0</v>
      </c>
      <c r="K20" t="n">
        <v>0</v>
      </c>
      <c r="L20" t="n">
        <v>0</v>
      </c>
      <c r="M20" t="n">
        <v>12</v>
      </c>
      <c r="N20" t="n">
        <v>0.25</v>
      </c>
      <c r="O20" t="n">
        <v>-0.25</v>
      </c>
      <c r="P20" t="n">
        <v>115</v>
      </c>
      <c r="Q20" t="n">
        <v>12</v>
      </c>
      <c r="R20" t="s">
        <v>243</v>
      </c>
      <c r="S20" t="s">
        <v>243</v>
      </c>
      <c r="T20" t="n">
        <v>0.125</v>
      </c>
    </row>
    <row r="21">
      <c r="A21" t="s">
        <v>31</v>
      </c>
      <c r="B21" t="n">
        <v>1</v>
      </c>
      <c r="C21" t="n">
        <v>0.8</v>
      </c>
      <c r="D21" t="n">
        <v>1</v>
      </c>
      <c r="E21" t="n">
        <v>-5.75</v>
      </c>
      <c r="F21" t="n">
        <v>-0.5</v>
      </c>
      <c r="G21" t="n">
        <v>140</v>
      </c>
      <c r="H21" t="n">
        <v>12</v>
      </c>
      <c r="I21" t="s">
        <v>243</v>
      </c>
      <c r="J21" t="n">
        <v>0</v>
      </c>
      <c r="K21" t="n">
        <v>0</v>
      </c>
      <c r="L21" t="n">
        <v>0</v>
      </c>
      <c r="M21" t="n">
        <v>12</v>
      </c>
      <c r="N21" t="n">
        <v>-0.5</v>
      </c>
      <c r="O21" t="n">
        <v>0</v>
      </c>
      <c r="P21" t="n">
        <v>150</v>
      </c>
      <c r="Q21" t="n">
        <v>12</v>
      </c>
      <c r="R21" t="s">
        <v>243</v>
      </c>
      <c r="S21" t="s">
        <v>242</v>
      </c>
      <c r="T21" t="n">
        <v>-0.5</v>
      </c>
    </row>
    <row r="22">
      <c r="A22" t="s">
        <v>31</v>
      </c>
      <c r="B22" t="n">
        <v>1</v>
      </c>
      <c r="C22" t="n">
        <v>0.5</v>
      </c>
      <c r="D22" t="n">
        <v>0.8</v>
      </c>
      <c r="E22" t="n">
        <v>-5.5</v>
      </c>
      <c r="F22" t="n">
        <v>-0.75</v>
      </c>
      <c r="G22" t="n">
        <v>41</v>
      </c>
      <c r="H22" t="n">
        <v>12</v>
      </c>
      <c r="I22" t="s">
        <v>243</v>
      </c>
      <c r="J22" t="n">
        <v>0</v>
      </c>
      <c r="K22" t="n">
        <v>0</v>
      </c>
      <c r="L22" t="n">
        <v>0</v>
      </c>
      <c r="M22" t="n">
        <v>12</v>
      </c>
      <c r="N22" t="n">
        <v>-0.75</v>
      </c>
      <c r="O22" t="n">
        <v>0</v>
      </c>
      <c r="P22" t="n">
        <v>140</v>
      </c>
      <c r="Q22" t="n">
        <v>12</v>
      </c>
      <c r="R22" t="s">
        <v>242</v>
      </c>
      <c r="S22" t="s">
        <v>246</v>
      </c>
      <c r="T22" t="n">
        <v>-0.75</v>
      </c>
    </row>
    <row r="23">
      <c r="A23" t="s">
        <v>31</v>
      </c>
      <c r="B23" t="n">
        <v>1.25</v>
      </c>
      <c r="C23" t="n">
        <v>1.25</v>
      </c>
      <c r="D23" t="n">
        <v>1.25</v>
      </c>
      <c r="E23" t="n">
        <v>-2.75</v>
      </c>
      <c r="F23" t="n">
        <v>-1.25</v>
      </c>
      <c r="G23" t="n">
        <v>2</v>
      </c>
      <c r="H23" t="n">
        <v>12</v>
      </c>
      <c r="I23" t="s">
        <v>244</v>
      </c>
      <c r="J23" t="n">
        <v>0</v>
      </c>
      <c r="K23" t="n">
        <v>0</v>
      </c>
      <c r="L23" t="n">
        <v>0</v>
      </c>
      <c r="M23" t="n">
        <v>12</v>
      </c>
      <c r="N23" t="n">
        <v>0</v>
      </c>
      <c r="O23" t="n">
        <v>-0.25</v>
      </c>
      <c r="P23" t="n">
        <v>58</v>
      </c>
      <c r="Q23" t="n">
        <v>12</v>
      </c>
      <c r="R23" t="s">
        <v>244</v>
      </c>
      <c r="S23" t="s">
        <v>244</v>
      </c>
      <c r="T23" t="n">
        <v>-0.125</v>
      </c>
    </row>
    <row r="24">
      <c r="A24" t="s">
        <v>31</v>
      </c>
      <c r="B24" t="n">
        <v>1.25</v>
      </c>
      <c r="C24" t="n">
        <v>1.25</v>
      </c>
      <c r="D24" t="n">
        <v>1.6</v>
      </c>
      <c r="E24" t="n">
        <v>-2.75</v>
      </c>
      <c r="F24" t="n">
        <v>-1.5</v>
      </c>
      <c r="G24" t="n">
        <v>165</v>
      </c>
      <c r="H24" t="n">
        <v>12</v>
      </c>
      <c r="I24" t="s">
        <v>244</v>
      </c>
      <c r="J24" t="n">
        <v>0</v>
      </c>
      <c r="K24" t="n">
        <v>0</v>
      </c>
      <c r="L24" t="n">
        <v>0</v>
      </c>
      <c r="M24" t="n">
        <v>12</v>
      </c>
      <c r="N24" t="n">
        <v>-0.25</v>
      </c>
      <c r="O24" t="n">
        <v>-0.25</v>
      </c>
      <c r="P24" t="n">
        <v>166</v>
      </c>
      <c r="Q24" t="n">
        <v>12</v>
      </c>
      <c r="R24" t="s">
        <v>245</v>
      </c>
      <c r="S24" t="s">
        <v>244</v>
      </c>
      <c r="T24" t="n">
        <v>-0.375</v>
      </c>
    </row>
    <row r="25">
      <c r="A25" t="s">
        <v>31</v>
      </c>
      <c r="B25" t="n">
        <v>1.25</v>
      </c>
      <c r="C25" t="n">
        <v>1.25</v>
      </c>
      <c r="D25" t="n">
        <v>1.25</v>
      </c>
      <c r="E25" t="n">
        <v>-1</v>
      </c>
      <c r="F25" t="n">
        <v>-0.75</v>
      </c>
      <c r="G25" t="n">
        <v>21</v>
      </c>
      <c r="H25" t="n">
        <v>12</v>
      </c>
      <c r="I25" t="s">
        <v>244</v>
      </c>
      <c r="J25" t="n">
        <v>0</v>
      </c>
      <c r="K25" t="n">
        <v>0</v>
      </c>
      <c r="L25" t="n">
        <v>0</v>
      </c>
      <c r="M25" t="n">
        <v>12</v>
      </c>
      <c r="N25" t="n">
        <v>0.25</v>
      </c>
      <c r="O25" t="n">
        <v>0</v>
      </c>
      <c r="P25" t="n">
        <v>180</v>
      </c>
      <c r="Q25" t="n">
        <v>12</v>
      </c>
      <c r="R25" t="s">
        <v>244</v>
      </c>
      <c r="S25" t="s">
        <v>244</v>
      </c>
      <c r="T25" t="n">
        <v>0.25</v>
      </c>
    </row>
    <row r="26">
      <c r="A26" t="s">
        <v>31</v>
      </c>
      <c r="B26" t="n">
        <v>1</v>
      </c>
      <c r="C26" t="n">
        <v>1</v>
      </c>
      <c r="D26" t="n">
        <v>1</v>
      </c>
      <c r="E26" t="n">
        <v>-0.75</v>
      </c>
      <c r="F26" t="n">
        <v>-0.5</v>
      </c>
      <c r="G26" t="n">
        <v>166</v>
      </c>
      <c r="H26" t="n">
        <v>12</v>
      </c>
      <c r="I26" t="s">
        <v>243</v>
      </c>
      <c r="J26" t="n">
        <v>0</v>
      </c>
      <c r="K26" t="n">
        <v>0</v>
      </c>
      <c r="L26" t="n">
        <v>0</v>
      </c>
      <c r="M26" t="n">
        <v>12</v>
      </c>
      <c r="N26" t="n">
        <v>0.5</v>
      </c>
      <c r="O26" t="n">
        <v>-0.25</v>
      </c>
      <c r="P26" t="n">
        <v>26</v>
      </c>
      <c r="Q26" t="n">
        <v>12</v>
      </c>
      <c r="R26" t="s">
        <v>243</v>
      </c>
      <c r="S26" t="s">
        <v>243</v>
      </c>
      <c r="T26" t="n">
        <v>0.375</v>
      </c>
    </row>
    <row r="27">
      <c r="A27" t="s">
        <v>31</v>
      </c>
      <c r="B27" t="n">
        <v>1.25</v>
      </c>
      <c r="C27" t="n">
        <v>1.25</v>
      </c>
      <c r="D27" t="n">
        <v>1.25</v>
      </c>
      <c r="E27" t="n">
        <v>-0.25</v>
      </c>
      <c r="F27" t="n">
        <v>-0.75</v>
      </c>
      <c r="G27" t="n">
        <v>43</v>
      </c>
      <c r="H27" t="n">
        <v>12</v>
      </c>
      <c r="I27" t="s">
        <v>244</v>
      </c>
      <c r="J27" t="n">
        <v>0</v>
      </c>
      <c r="K27" t="n">
        <v>0</v>
      </c>
      <c r="L27" t="n">
        <v>0</v>
      </c>
      <c r="M27" t="n">
        <v>12</v>
      </c>
      <c r="N27" t="n">
        <v>-0.25</v>
      </c>
      <c r="O27" t="n">
        <v>-0.25</v>
      </c>
      <c r="P27" t="n">
        <v>180</v>
      </c>
      <c r="Q27" t="n">
        <v>12</v>
      </c>
      <c r="R27" t="s">
        <v>244</v>
      </c>
      <c r="S27" t="s">
        <v>244</v>
      </c>
      <c r="T27" t="n">
        <v>-0.375</v>
      </c>
    </row>
    <row r="28">
      <c r="A28" t="s">
        <v>31</v>
      </c>
      <c r="B28" t="n">
        <v>1</v>
      </c>
      <c r="C28" t="n">
        <v>1</v>
      </c>
      <c r="D28" t="n">
        <v>1</v>
      </c>
      <c r="E28" t="n">
        <v>-6</v>
      </c>
      <c r="F28" t="n">
        <v>-1.5</v>
      </c>
      <c r="G28" t="n">
        <v>124</v>
      </c>
      <c r="H28" t="n">
        <v>12</v>
      </c>
      <c r="I28" t="s">
        <v>243</v>
      </c>
      <c r="J28" t="n">
        <v>0</v>
      </c>
      <c r="K28" t="n">
        <v>0</v>
      </c>
      <c r="L28" t="n">
        <v>0</v>
      </c>
      <c r="M28" t="n">
        <v>12</v>
      </c>
      <c r="N28" t="n">
        <v>0</v>
      </c>
      <c r="O28" t="n">
        <v>-0.5</v>
      </c>
      <c r="P28" t="n">
        <v>105</v>
      </c>
      <c r="Q28" t="n">
        <v>12</v>
      </c>
      <c r="R28" t="s">
        <v>243</v>
      </c>
      <c r="S28" t="s">
        <v>243</v>
      </c>
      <c r="T28" t="n">
        <v>-0.25</v>
      </c>
    </row>
    <row r="29">
      <c r="A29" t="s">
        <v>31</v>
      </c>
      <c r="B29" t="n">
        <v>1</v>
      </c>
      <c r="C29" t="n">
        <v>1</v>
      </c>
      <c r="D29" t="n">
        <v>1.25</v>
      </c>
      <c r="E29" t="n">
        <v>-5</v>
      </c>
      <c r="F29" t="n">
        <v>-1</v>
      </c>
      <c r="G29" t="n">
        <v>55</v>
      </c>
      <c r="H29" t="n">
        <v>12</v>
      </c>
      <c r="I29" t="s">
        <v>243</v>
      </c>
      <c r="J29" t="n">
        <v>0</v>
      </c>
      <c r="K29" t="n">
        <v>0</v>
      </c>
      <c r="L29" t="n">
        <v>0</v>
      </c>
      <c r="M29" t="n">
        <v>12</v>
      </c>
      <c r="N29" t="n">
        <v>-0.5</v>
      </c>
      <c r="O29" t="n">
        <v>-0.25</v>
      </c>
      <c r="P29" t="n">
        <v>58</v>
      </c>
      <c r="Q29" t="n">
        <v>12</v>
      </c>
      <c r="R29" t="s">
        <v>244</v>
      </c>
      <c r="S29" t="s">
        <v>243</v>
      </c>
      <c r="T29" t="n">
        <v>-0.625</v>
      </c>
    </row>
    <row r="30">
      <c r="A30" t="s">
        <v>31</v>
      </c>
      <c r="B30" t="n">
        <v>1</v>
      </c>
      <c r="C30" t="n">
        <v>0.63</v>
      </c>
      <c r="D30" t="n">
        <v>1.25</v>
      </c>
      <c r="E30" t="n">
        <v>-2.5</v>
      </c>
      <c r="F30" t="n">
        <v>-0.25</v>
      </c>
      <c r="G30" t="n">
        <v>4</v>
      </c>
      <c r="H30" t="n">
        <v>12</v>
      </c>
      <c r="I30" t="s">
        <v>243</v>
      </c>
      <c r="J30" t="n">
        <v>0</v>
      </c>
      <c r="K30" t="n">
        <v>0</v>
      </c>
      <c r="L30" t="n">
        <v>0</v>
      </c>
      <c r="M30" t="n">
        <v>12</v>
      </c>
      <c r="N30" t="n">
        <v>-1</v>
      </c>
      <c r="O30" t="n">
        <v>0</v>
      </c>
      <c r="P30" t="n">
        <v>154</v>
      </c>
      <c r="Q30" t="n">
        <v>12</v>
      </c>
      <c r="R30" t="s">
        <v>244</v>
      </c>
      <c r="S30" t="s">
        <v>247</v>
      </c>
      <c r="T30" t="n">
        <v>-1</v>
      </c>
    </row>
    <row r="31">
      <c r="A31" t="s">
        <v>31</v>
      </c>
      <c r="B31" t="n">
        <v>1</v>
      </c>
      <c r="C31" t="n">
        <v>0.63</v>
      </c>
      <c r="D31" t="n">
        <v>1</v>
      </c>
      <c r="E31" t="n">
        <v>-4</v>
      </c>
      <c r="F31" t="n">
        <v>-1.5</v>
      </c>
      <c r="G31" t="n">
        <v>160</v>
      </c>
      <c r="H31" t="n">
        <v>12</v>
      </c>
      <c r="I31" t="s">
        <v>243</v>
      </c>
      <c r="J31" t="n">
        <v>0</v>
      </c>
      <c r="K31" t="n">
        <v>0</v>
      </c>
      <c r="L31" t="n">
        <v>0</v>
      </c>
      <c r="M31" t="n">
        <v>12</v>
      </c>
      <c r="N31" t="n">
        <v>-0.5</v>
      </c>
      <c r="O31" t="n">
        <v>-0.25</v>
      </c>
      <c r="P31" t="n">
        <v>2</v>
      </c>
      <c r="Q31" t="n">
        <v>12</v>
      </c>
      <c r="R31" t="s">
        <v>243</v>
      </c>
      <c r="S31" t="s">
        <v>247</v>
      </c>
      <c r="T31" t="n">
        <v>-0.625</v>
      </c>
    </row>
    <row r="32">
      <c r="A32" t="s">
        <v>31</v>
      </c>
      <c r="B32" t="n">
        <v>1</v>
      </c>
      <c r="C32" t="n">
        <v>1</v>
      </c>
      <c r="D32" t="n">
        <v>1</v>
      </c>
      <c r="E32" t="n">
        <v>-4.5</v>
      </c>
      <c r="F32" t="n">
        <v>-0.5</v>
      </c>
      <c r="G32" t="n">
        <v>175</v>
      </c>
      <c r="H32" t="n">
        <v>12</v>
      </c>
      <c r="I32" t="s">
        <v>243</v>
      </c>
      <c r="J32" t="n">
        <v>0</v>
      </c>
      <c r="K32" t="n">
        <v>0</v>
      </c>
      <c r="L32" t="n">
        <v>0</v>
      </c>
      <c r="M32" t="n">
        <v>12</v>
      </c>
      <c r="N32" t="n">
        <v>0</v>
      </c>
      <c r="O32" t="n">
        <v>-0.25</v>
      </c>
      <c r="P32" t="n">
        <v>7</v>
      </c>
      <c r="Q32" t="n">
        <v>12</v>
      </c>
      <c r="R32" t="s">
        <v>243</v>
      </c>
      <c r="S32" t="s">
        <v>243</v>
      </c>
      <c r="T32" t="n">
        <v>-0.125</v>
      </c>
    </row>
    <row r="33">
      <c r="A33" t="s">
        <v>31</v>
      </c>
      <c r="B33" t="n">
        <v>1.25</v>
      </c>
      <c r="C33" t="n">
        <v>1.25</v>
      </c>
      <c r="D33" t="n">
        <v>1.6</v>
      </c>
      <c r="E33" t="n">
        <v>-8</v>
      </c>
      <c r="F33" t="n">
        <v>-0.75</v>
      </c>
      <c r="G33" t="n">
        <v>94</v>
      </c>
      <c r="H33" t="n">
        <v>12</v>
      </c>
      <c r="I33" t="s">
        <v>244</v>
      </c>
      <c r="J33" t="n">
        <v>0</v>
      </c>
      <c r="K33" t="n">
        <v>0</v>
      </c>
      <c r="L33" t="n">
        <v>0</v>
      </c>
      <c r="M33" t="n">
        <v>12</v>
      </c>
      <c r="N33" t="n">
        <v>-0.5</v>
      </c>
      <c r="O33" t="n">
        <v>-0.25</v>
      </c>
      <c r="P33" t="n">
        <v>132</v>
      </c>
      <c r="Q33" t="n">
        <v>12</v>
      </c>
      <c r="R33" t="s">
        <v>245</v>
      </c>
      <c r="S33" t="s">
        <v>244</v>
      </c>
      <c r="T33" t="n">
        <v>-0.625</v>
      </c>
    </row>
    <row r="34">
      <c r="A34" t="s">
        <v>31</v>
      </c>
      <c r="B34" t="n">
        <v>1.25</v>
      </c>
      <c r="C34" t="n">
        <v>1.25</v>
      </c>
      <c r="D34" t="n">
        <v>1.25</v>
      </c>
      <c r="E34" t="n">
        <v>-1.5</v>
      </c>
      <c r="F34" t="n">
        <v>-1</v>
      </c>
      <c r="G34" t="n">
        <v>168</v>
      </c>
      <c r="H34" t="n">
        <v>12</v>
      </c>
      <c r="I34" t="s">
        <v>244</v>
      </c>
      <c r="J34" t="n">
        <v>0</v>
      </c>
      <c r="K34" t="n">
        <v>0</v>
      </c>
      <c r="L34" t="n">
        <v>0</v>
      </c>
      <c r="M34" t="n">
        <v>12</v>
      </c>
      <c r="N34" t="n">
        <v>-0.25</v>
      </c>
      <c r="O34" t="n">
        <v>-0.25</v>
      </c>
      <c r="P34" t="n">
        <v>176</v>
      </c>
      <c r="Q34" t="n">
        <v>12</v>
      </c>
      <c r="R34" t="s">
        <v>244</v>
      </c>
      <c r="S34" t="s">
        <v>244</v>
      </c>
      <c r="T34" t="n">
        <v>-0.375</v>
      </c>
    </row>
    <row r="35">
      <c r="A35" t="s">
        <v>31</v>
      </c>
      <c r="B35" t="n">
        <v>1.25</v>
      </c>
      <c r="C35" t="n">
        <v>1</v>
      </c>
      <c r="D35" t="n">
        <v>1.25</v>
      </c>
      <c r="E35" t="n">
        <v>-1.25</v>
      </c>
      <c r="F35" t="n">
        <v>-0.75</v>
      </c>
      <c r="G35" t="n">
        <v>8</v>
      </c>
      <c r="H35" t="n">
        <v>12</v>
      </c>
      <c r="I35" t="s">
        <v>244</v>
      </c>
      <c r="J35" t="n">
        <v>0</v>
      </c>
      <c r="K35" t="n">
        <v>0</v>
      </c>
      <c r="L35" t="n">
        <v>0</v>
      </c>
      <c r="M35" t="n">
        <v>12</v>
      </c>
      <c r="N35" t="n">
        <v>-0.25</v>
      </c>
      <c r="O35" t="n">
        <v>-0.25</v>
      </c>
      <c r="P35" t="n">
        <v>40</v>
      </c>
      <c r="Q35" t="n">
        <v>12</v>
      </c>
      <c r="R35" t="s">
        <v>244</v>
      </c>
      <c r="S35" t="s">
        <v>243</v>
      </c>
      <c r="T35" t="n">
        <v>-0.375</v>
      </c>
    </row>
    <row r="36">
      <c r="A36" t="s">
        <v>31</v>
      </c>
      <c r="B36" t="n">
        <v>1.25</v>
      </c>
      <c r="C36" t="n">
        <v>1.25</v>
      </c>
      <c r="D36" t="n">
        <v>1.6</v>
      </c>
      <c r="E36" t="n">
        <v>-6.5</v>
      </c>
      <c r="F36" t="n">
        <v>-1</v>
      </c>
      <c r="G36" t="n">
        <v>127</v>
      </c>
      <c r="H36" t="n">
        <v>12</v>
      </c>
      <c r="I36" t="s">
        <v>244</v>
      </c>
      <c r="J36" t="n">
        <v>0</v>
      </c>
      <c r="K36" t="n">
        <v>0</v>
      </c>
      <c r="L36" t="n">
        <v>0</v>
      </c>
      <c r="M36" t="n">
        <v>12</v>
      </c>
      <c r="N36" t="n">
        <v>-0.25</v>
      </c>
      <c r="O36" t="n">
        <v>-0.5</v>
      </c>
      <c r="P36" t="n">
        <v>150</v>
      </c>
      <c r="Q36" t="n">
        <v>12</v>
      </c>
      <c r="R36" t="s">
        <v>245</v>
      </c>
      <c r="S36" t="s">
        <v>244</v>
      </c>
      <c r="T36" t="n">
        <v>-0.5</v>
      </c>
    </row>
    <row r="37">
      <c r="A37" t="s">
        <v>31</v>
      </c>
      <c r="B37" t="n">
        <v>1</v>
      </c>
      <c r="C37" t="n">
        <v>1</v>
      </c>
      <c r="D37" t="n">
        <v>1</v>
      </c>
      <c r="E37" t="n">
        <v>-5</v>
      </c>
      <c r="F37" t="n">
        <v>-0.5</v>
      </c>
      <c r="G37" t="n">
        <v>3</v>
      </c>
      <c r="H37" t="n">
        <v>12</v>
      </c>
      <c r="I37" t="s">
        <v>243</v>
      </c>
      <c r="J37" t="n">
        <v>0</v>
      </c>
      <c r="K37" t="n">
        <v>0</v>
      </c>
      <c r="L37" t="n">
        <v>0</v>
      </c>
      <c r="M37" t="n">
        <v>12</v>
      </c>
      <c r="N37" t="n">
        <v>-0.5</v>
      </c>
      <c r="O37" t="n">
        <v>-0.25</v>
      </c>
      <c r="P37" t="n">
        <v>32</v>
      </c>
      <c r="Q37" t="n">
        <v>12</v>
      </c>
      <c r="R37" t="s">
        <v>243</v>
      </c>
      <c r="S37" t="s">
        <v>243</v>
      </c>
      <c r="T37" t="n">
        <v>-0.625</v>
      </c>
    </row>
    <row r="38">
      <c r="A38" t="s">
        <v>31</v>
      </c>
      <c r="B38" t="n">
        <v>1</v>
      </c>
      <c r="C38" t="n">
        <v>1</v>
      </c>
      <c r="D38" t="n">
        <v>1</v>
      </c>
      <c r="E38" t="n">
        <v>-2.5</v>
      </c>
      <c r="F38" t="n">
        <v>-1</v>
      </c>
      <c r="G38" t="n">
        <v>14</v>
      </c>
      <c r="H38" t="n">
        <v>12</v>
      </c>
      <c r="I38" t="s">
        <v>243</v>
      </c>
      <c r="J38" t="n">
        <v>0</v>
      </c>
      <c r="K38" t="n">
        <v>0</v>
      </c>
      <c r="L38" t="n">
        <v>0</v>
      </c>
      <c r="M38" t="n">
        <v>12</v>
      </c>
      <c r="N38" t="n">
        <v>-0.25</v>
      </c>
      <c r="O38" t="n">
        <v>0</v>
      </c>
      <c r="P38" t="n">
        <v>171</v>
      </c>
      <c r="Q38" t="n">
        <v>12</v>
      </c>
      <c r="R38" t="s">
        <v>243</v>
      </c>
      <c r="S38" t="s">
        <v>243</v>
      </c>
      <c r="T38" t="n">
        <v>-0.25</v>
      </c>
    </row>
    <row r="39">
      <c r="A39" t="s">
        <v>31</v>
      </c>
      <c r="B39" t="n">
        <v>1</v>
      </c>
      <c r="C39" t="n">
        <v>1</v>
      </c>
      <c r="D39" t="n">
        <v>1</v>
      </c>
      <c r="E39" t="n">
        <v>-7</v>
      </c>
      <c r="F39" t="n">
        <v>-0.25</v>
      </c>
      <c r="G39" t="n">
        <v>9</v>
      </c>
      <c r="H39" t="n">
        <v>12</v>
      </c>
      <c r="I39" t="s">
        <v>243</v>
      </c>
      <c r="J39" t="n">
        <v>0</v>
      </c>
      <c r="K39" t="n">
        <v>0</v>
      </c>
      <c r="L39" t="n">
        <v>0</v>
      </c>
      <c r="M39" t="n">
        <v>12</v>
      </c>
      <c r="N39" t="n">
        <v>0</v>
      </c>
      <c r="O39" t="n">
        <v>0</v>
      </c>
      <c r="P39" t="n">
        <v>114</v>
      </c>
      <c r="Q39" t="n">
        <v>12</v>
      </c>
      <c r="R39" t="s">
        <v>243</v>
      </c>
      <c r="S39" t="s">
        <v>243</v>
      </c>
      <c r="T39" t="n">
        <v>0</v>
      </c>
    </row>
    <row r="40">
      <c r="A40" t="s">
        <v>31</v>
      </c>
      <c r="B40" t="n">
        <v>1</v>
      </c>
      <c r="C40" t="n">
        <v>1.25</v>
      </c>
      <c r="D40" t="n">
        <v>1.25</v>
      </c>
      <c r="E40" t="n">
        <v>-5.5</v>
      </c>
      <c r="F40" t="n">
        <v>-0.25</v>
      </c>
      <c r="G40" t="n">
        <v>21</v>
      </c>
      <c r="H40" t="n">
        <v>12</v>
      </c>
      <c r="I40" t="s">
        <v>243</v>
      </c>
      <c r="J40" t="n">
        <v>0</v>
      </c>
      <c r="K40" t="n">
        <v>0</v>
      </c>
      <c r="L40" t="n">
        <v>0</v>
      </c>
      <c r="M40" t="n">
        <v>12</v>
      </c>
      <c r="N40" t="n">
        <v>-0.25</v>
      </c>
      <c r="O40" t="n">
        <v>-0.25</v>
      </c>
      <c r="P40" t="n">
        <v>108</v>
      </c>
      <c r="Q40" t="n">
        <v>12</v>
      </c>
      <c r="R40" t="s">
        <v>244</v>
      </c>
      <c r="S40" t="s">
        <v>244</v>
      </c>
      <c r="T40" t="n">
        <v>-0.375</v>
      </c>
    </row>
    <row r="41">
      <c r="A41" t="s">
        <v>31</v>
      </c>
      <c r="B41" t="n">
        <v>1</v>
      </c>
      <c r="C41" t="n">
        <v>1</v>
      </c>
      <c r="D41" t="n">
        <v>1</v>
      </c>
      <c r="E41" t="n">
        <v>-7.5</v>
      </c>
      <c r="F41" t="n">
        <v>-0.25</v>
      </c>
      <c r="G41" t="n">
        <v>180</v>
      </c>
      <c r="H41" t="n">
        <v>12</v>
      </c>
      <c r="I41" t="s">
        <v>243</v>
      </c>
      <c r="J41" t="n">
        <v>0</v>
      </c>
      <c r="K41" t="n">
        <v>0</v>
      </c>
      <c r="L41" t="n">
        <v>0</v>
      </c>
      <c r="M41" t="n">
        <v>12</v>
      </c>
      <c r="N41" t="n">
        <v>-0.75</v>
      </c>
      <c r="O41" t="n">
        <v>0</v>
      </c>
      <c r="P41" t="n">
        <v>167</v>
      </c>
      <c r="Q41" t="n">
        <v>12</v>
      </c>
      <c r="R41" t="s">
        <v>243</v>
      </c>
      <c r="S41" t="s">
        <v>243</v>
      </c>
      <c r="T41" t="n">
        <v>-0.75</v>
      </c>
    </row>
    <row r="42">
      <c r="A42" t="s">
        <v>31</v>
      </c>
      <c r="B42" t="n">
        <v>1.25</v>
      </c>
      <c r="C42" t="n">
        <v>1.25</v>
      </c>
      <c r="D42" t="n">
        <v>1.25</v>
      </c>
      <c r="E42" t="n">
        <v>-5</v>
      </c>
      <c r="F42" t="n">
        <v>-1</v>
      </c>
      <c r="G42" t="n">
        <v>95</v>
      </c>
      <c r="H42" t="n">
        <v>12</v>
      </c>
      <c r="I42" t="s">
        <v>244</v>
      </c>
      <c r="J42" t="n">
        <v>0</v>
      </c>
      <c r="K42" t="n">
        <v>0</v>
      </c>
      <c r="L42" t="n">
        <v>0</v>
      </c>
      <c r="M42" t="n">
        <v>12</v>
      </c>
      <c r="N42" t="n">
        <v>0</v>
      </c>
      <c r="O42" t="n">
        <v>0</v>
      </c>
      <c r="P42" t="n">
        <v>32</v>
      </c>
      <c r="Q42" t="n">
        <v>12</v>
      </c>
      <c r="R42" t="s">
        <v>244</v>
      </c>
      <c r="S42" t="s">
        <v>244</v>
      </c>
      <c r="T42" t="n">
        <v>0</v>
      </c>
    </row>
    <row r="43">
      <c r="A43" t="s">
        <v>31</v>
      </c>
      <c r="B43" t="n">
        <v>1</v>
      </c>
      <c r="C43" t="n">
        <v>1.25</v>
      </c>
      <c r="D43" t="n">
        <v>1.25</v>
      </c>
      <c r="E43" t="n">
        <v>-5.75</v>
      </c>
      <c r="F43" t="n">
        <v>-0.75</v>
      </c>
      <c r="G43" t="n">
        <v>104</v>
      </c>
      <c r="H43" t="n">
        <v>12</v>
      </c>
      <c r="I43" t="s">
        <v>243</v>
      </c>
      <c r="J43" t="n">
        <v>0</v>
      </c>
      <c r="K43" t="n">
        <v>0</v>
      </c>
      <c r="L43" t="n">
        <v>0</v>
      </c>
      <c r="M43" t="n">
        <v>12</v>
      </c>
      <c r="N43" t="n">
        <v>-0.25</v>
      </c>
      <c r="O43" t="n">
        <v>-0.25</v>
      </c>
      <c r="P43" t="n">
        <v>84</v>
      </c>
      <c r="Q43" t="n">
        <v>12</v>
      </c>
      <c r="R43" t="s">
        <v>244</v>
      </c>
      <c r="S43" t="s">
        <v>244</v>
      </c>
      <c r="T43" t="n">
        <v>-0.375</v>
      </c>
    </row>
  </sheetData>
  <pageMargins left="0.7" right="0.7" top="0.75" bottom="0.75" header="0.3" footer="0.3"/>
  <pageSetup paperSize="9" orientation="portrait" horizontalDpi="300" verticalDpi="300"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248</v>
      </c>
      <c r="B1" t="s">
        <v>249</v>
      </c>
      <c r="C1" t="s">
        <v>250</v>
      </c>
      <c r="D1" t="s">
        <v>251</v>
      </c>
      <c r="E1" t="s">
        <v>252</v>
      </c>
    </row>
    <row r="2">
      <c r="A2" t="s">
        <v>253</v>
      </c>
      <c r="B2" t="n">
        <v>-0.5</v>
      </c>
      <c r="C2" t="n">
        <v>179</v>
      </c>
      <c r="D2" t="n">
        <v>-0.25</v>
      </c>
      <c r="E2" t="n">
        <v>66</v>
      </c>
    </row>
    <row r="3">
      <c r="A3" t="s">
        <v>254</v>
      </c>
      <c r="B3" t="n">
        <v>-1</v>
      </c>
      <c r="C3" t="n">
        <v>170</v>
      </c>
      <c r="D3" t="n">
        <v>-0.75</v>
      </c>
      <c r="E3" t="n">
        <v>131</v>
      </c>
    </row>
    <row r="4">
      <c r="A4" t="s">
        <v>253</v>
      </c>
      <c r="B4" t="n">
        <v>-0.75</v>
      </c>
      <c r="C4" t="n">
        <v>95</v>
      </c>
      <c r="D4" t="n">
        <v>-0.25</v>
      </c>
      <c r="E4" t="n">
        <v>92</v>
      </c>
    </row>
    <row r="5">
      <c r="A5" t="s">
        <v>254</v>
      </c>
      <c r="B5" t="n">
        <v>-0.5</v>
      </c>
      <c r="C5" t="n">
        <v>106</v>
      </c>
      <c r="D5" t="n">
        <v>-0.25</v>
      </c>
      <c r="E5" t="n">
        <v>123</v>
      </c>
    </row>
    <row r="6">
      <c r="A6" t="s">
        <v>253</v>
      </c>
      <c r="B6" t="n">
        <v>-0.75</v>
      </c>
      <c r="C6" t="n">
        <v>4</v>
      </c>
      <c r="D6" t="n">
        <v>-0.25</v>
      </c>
      <c r="E6" t="n">
        <v>156</v>
      </c>
    </row>
    <row r="7">
      <c r="A7" t="s">
        <v>253</v>
      </c>
      <c r="B7" t="n">
        <v>-1.75</v>
      </c>
      <c r="C7" t="n">
        <v>23</v>
      </c>
      <c r="D7" t="n">
        <v>-0.25</v>
      </c>
      <c r="E7" t="n">
        <v>66</v>
      </c>
    </row>
    <row r="8">
      <c r="A8" t="s">
        <v>254</v>
      </c>
      <c r="B8" t="n">
        <v>-1.5</v>
      </c>
      <c r="C8" t="n">
        <v>172</v>
      </c>
      <c r="D8" t="n">
        <v>-0.25</v>
      </c>
      <c r="E8" t="n">
        <v>37</v>
      </c>
    </row>
    <row r="9">
      <c r="A9" t="s">
        <v>254</v>
      </c>
      <c r="B9" t="n">
        <v>-0.5</v>
      </c>
      <c r="C9" t="n">
        <v>85</v>
      </c>
      <c r="D9" t="n">
        <v>0</v>
      </c>
      <c r="E9" t="n">
        <v>131</v>
      </c>
    </row>
    <row r="10">
      <c r="A10" t="s">
        <v>254</v>
      </c>
      <c r="B10" t="n">
        <v>-0.25</v>
      </c>
      <c r="C10" t="n">
        <v>14</v>
      </c>
      <c r="D10" t="n">
        <v>-0.25</v>
      </c>
      <c r="E10" t="n">
        <v>84</v>
      </c>
    </row>
    <row r="11">
      <c r="A11" t="s">
        <v>253</v>
      </c>
      <c r="B11" t="n">
        <v>-1</v>
      </c>
      <c r="C11" t="n">
        <v>167</v>
      </c>
      <c r="D11" t="n">
        <v>-0.25</v>
      </c>
      <c r="E11" t="n">
        <v>142</v>
      </c>
    </row>
    <row r="12">
      <c r="A12" t="s">
        <v>253</v>
      </c>
      <c r="B12" t="n">
        <v>-0.75</v>
      </c>
      <c r="C12" t="n">
        <v>116</v>
      </c>
      <c r="D12"/>
      <c r="E12"/>
    </row>
    <row r="13">
      <c r="A13" t="s">
        <v>254</v>
      </c>
      <c r="B13" t="n">
        <v>-1</v>
      </c>
      <c r="C13" t="n">
        <v>59</v>
      </c>
      <c r="D13"/>
      <c r="E13"/>
    </row>
    <row r="14">
      <c r="A14" t="s">
        <v>253</v>
      </c>
      <c r="B14" t="n">
        <v>-1</v>
      </c>
      <c r="C14" t="n">
        <v>101</v>
      </c>
      <c r="D14" t="n">
        <v>0</v>
      </c>
      <c r="E14" t="n">
        <v>58</v>
      </c>
    </row>
    <row r="15">
      <c r="A15" t="s">
        <v>254</v>
      </c>
      <c r="B15" t="n">
        <v>-1</v>
      </c>
      <c r="C15" t="n">
        <v>83</v>
      </c>
      <c r="D15" t="n">
        <v>-0.25</v>
      </c>
      <c r="E15" t="n">
        <v>165</v>
      </c>
    </row>
    <row r="16">
      <c r="A16" t="s">
        <v>253</v>
      </c>
      <c r="B16" t="n">
        <v>-1</v>
      </c>
      <c r="C16" t="n">
        <v>170</v>
      </c>
      <c r="D16" t="n">
        <v>-0.25</v>
      </c>
      <c r="E16" t="n">
        <v>70</v>
      </c>
    </row>
    <row r="17">
      <c r="A17" t="s">
        <v>254</v>
      </c>
      <c r="B17" t="n">
        <v>-1.25</v>
      </c>
      <c r="C17" t="n">
        <v>170</v>
      </c>
      <c r="D17" t="n">
        <v>-0.25</v>
      </c>
      <c r="E17" t="n">
        <v>108</v>
      </c>
    </row>
    <row r="18">
      <c r="A18" t="s">
        <v>254</v>
      </c>
      <c r="B18" t="n">
        <v>-0.5</v>
      </c>
      <c r="C18" t="n">
        <v>11</v>
      </c>
      <c r="D18" t="n">
        <v>0</v>
      </c>
      <c r="E18" t="n">
        <v>111</v>
      </c>
    </row>
    <row r="19">
      <c r="A19" t="s">
        <v>253</v>
      </c>
      <c r="B19" t="n">
        <v>-2.5</v>
      </c>
      <c r="C19" t="n">
        <v>173</v>
      </c>
      <c r="D19" t="n">
        <v>-0.25</v>
      </c>
      <c r="E19" t="n">
        <v>156</v>
      </c>
    </row>
    <row r="20">
      <c r="A20" t="s">
        <v>253</v>
      </c>
      <c r="B20" t="n">
        <v>-1.25</v>
      </c>
      <c r="C20" t="n">
        <v>44</v>
      </c>
      <c r="D20" t="n">
        <v>-0.5</v>
      </c>
      <c r="E20" t="n">
        <v>4</v>
      </c>
    </row>
    <row r="21">
      <c r="A21" t="s">
        <v>254</v>
      </c>
      <c r="B21" t="n">
        <v>-0.5</v>
      </c>
      <c r="C21" t="n">
        <v>142</v>
      </c>
      <c r="D21" t="n">
        <v>-0.25</v>
      </c>
      <c r="E21" t="n">
        <v>175</v>
      </c>
    </row>
    <row r="22">
      <c r="A22" t="s">
        <v>253</v>
      </c>
      <c r="B22" t="n">
        <v>-0.5</v>
      </c>
      <c r="C22" t="n">
        <v>11</v>
      </c>
      <c r="D22" t="n">
        <v>-0.25</v>
      </c>
      <c r="E22" t="n">
        <v>120</v>
      </c>
    </row>
    <row r="23">
      <c r="A23" t="s">
        <v>254</v>
      </c>
      <c r="B23" t="n">
        <v>-2.25</v>
      </c>
      <c r="C23" t="n">
        <v>152</v>
      </c>
      <c r="D23" t="n">
        <v>-0.25</v>
      </c>
      <c r="E23" t="n">
        <v>172</v>
      </c>
    </row>
    <row r="24">
      <c r="A24" t="s">
        <v>253</v>
      </c>
      <c r="B24" t="n">
        <v>-1</v>
      </c>
      <c r="C24" t="n">
        <v>21</v>
      </c>
      <c r="D24" t="n">
        <v>-0.5</v>
      </c>
      <c r="E24" t="n">
        <v>156</v>
      </c>
    </row>
    <row r="25">
      <c r="A25" t="s">
        <v>254</v>
      </c>
      <c r="B25" t="n">
        <v>-0.75</v>
      </c>
      <c r="C25" t="n">
        <v>171</v>
      </c>
      <c r="D25" t="n">
        <v>-0.25</v>
      </c>
      <c r="E25" t="n">
        <v>2</v>
      </c>
    </row>
    <row r="26">
      <c r="A26" t="s">
        <v>254</v>
      </c>
      <c r="B26" t="n">
        <v>-1.25</v>
      </c>
      <c r="C26" t="n">
        <v>179</v>
      </c>
      <c r="D26" t="n">
        <v>-0.25</v>
      </c>
      <c r="E26" t="n">
        <v>16</v>
      </c>
    </row>
    <row r="27">
      <c r="A27" t="s">
        <v>253</v>
      </c>
      <c r="B27" t="n">
        <v>-0.25</v>
      </c>
      <c r="C27" t="n">
        <v>36</v>
      </c>
      <c r="D27"/>
      <c r="E27"/>
    </row>
    <row r="28">
      <c r="A28" t="s">
        <v>254</v>
      </c>
      <c r="B28" t="n">
        <v>-0.5</v>
      </c>
      <c r="C28" t="n">
        <v>145</v>
      </c>
      <c r="D28"/>
      <c r="E28"/>
    </row>
    <row r="29">
      <c r="A29" t="s">
        <v>253</v>
      </c>
      <c r="B29" t="n">
        <v>-1</v>
      </c>
      <c r="C29" t="n">
        <v>174</v>
      </c>
      <c r="D29" t="n">
        <v>-0.5</v>
      </c>
      <c r="E29" t="n">
        <v>130</v>
      </c>
    </row>
    <row r="30">
      <c r="A30" t="s">
        <v>253</v>
      </c>
      <c r="B30" t="n">
        <v>-0.5</v>
      </c>
      <c r="C30" t="n">
        <v>41</v>
      </c>
      <c r="D30" t="n">
        <v>0</v>
      </c>
      <c r="E30" t="n">
        <v>82</v>
      </c>
    </row>
    <row r="31">
      <c r="A31" t="s">
        <v>253</v>
      </c>
      <c r="B31" t="n">
        <v>-0.75</v>
      </c>
      <c r="C31" t="n">
        <v>100</v>
      </c>
      <c r="D31" t="n">
        <v>0</v>
      </c>
      <c r="E31" t="n">
        <v>166</v>
      </c>
    </row>
    <row r="32">
      <c r="A32" t="s">
        <v>253</v>
      </c>
      <c r="B32" t="n">
        <v>-1.25</v>
      </c>
      <c r="C32" t="n">
        <v>156</v>
      </c>
      <c r="D32" t="n">
        <v>-0.25</v>
      </c>
      <c r="E32" t="n">
        <v>92</v>
      </c>
    </row>
    <row r="33">
      <c r="A33" t="s">
        <v>254</v>
      </c>
      <c r="B33" t="n">
        <v>-2</v>
      </c>
      <c r="C33" t="n">
        <v>36</v>
      </c>
      <c r="D33" t="n">
        <v>-0.25</v>
      </c>
      <c r="E33" t="n">
        <v>80</v>
      </c>
    </row>
    <row r="34">
      <c r="A34" t="s">
        <v>253</v>
      </c>
      <c r="B34" t="n">
        <v>-0.75</v>
      </c>
      <c r="C34" t="n">
        <v>35</v>
      </c>
      <c r="D34" t="n">
        <v>-0.25</v>
      </c>
      <c r="E34" t="n">
        <v>7</v>
      </c>
    </row>
    <row r="35">
      <c r="A35" t="s">
        <v>253</v>
      </c>
      <c r="B35" t="n">
        <v>-0.75</v>
      </c>
      <c r="C35" t="n">
        <v>81</v>
      </c>
      <c r="D35" t="n">
        <v>-0.25</v>
      </c>
      <c r="E35" t="n">
        <v>130</v>
      </c>
    </row>
    <row r="36">
      <c r="A36" t="s">
        <v>254</v>
      </c>
      <c r="B36" t="n">
        <v>-0.75</v>
      </c>
      <c r="C36" t="n">
        <v>93</v>
      </c>
      <c r="D36" t="n">
        <v>0</v>
      </c>
      <c r="E36" t="n">
        <v>102</v>
      </c>
    </row>
    <row r="37">
      <c r="A37" t="s">
        <v>253</v>
      </c>
      <c r="B37" t="n">
        <v>-0.5</v>
      </c>
      <c r="C37" t="n">
        <v>44</v>
      </c>
      <c r="D37" t="n">
        <v>-0.25</v>
      </c>
      <c r="E37" t="n">
        <v>21</v>
      </c>
    </row>
    <row r="38">
      <c r="A38" t="s">
        <v>254</v>
      </c>
      <c r="B38" t="n">
        <v>-0.5</v>
      </c>
      <c r="C38" t="n">
        <v>125</v>
      </c>
      <c r="D38" t="n">
        <v>-0.5</v>
      </c>
      <c r="E38" t="n">
        <v>158</v>
      </c>
    </row>
    <row r="39">
      <c r="A39" t="s">
        <v>253</v>
      </c>
      <c r="B39" t="n">
        <v>-0.5</v>
      </c>
      <c r="C39" t="n">
        <v>165</v>
      </c>
      <c r="D39" t="n">
        <v>-0.25</v>
      </c>
      <c r="E39" t="n">
        <v>170</v>
      </c>
    </row>
    <row r="40">
      <c r="A40" t="s">
        <v>254</v>
      </c>
      <c r="B40" t="n">
        <v>-0.5</v>
      </c>
      <c r="C40" t="n">
        <v>21</v>
      </c>
      <c r="D40" t="n">
        <v>-0.25</v>
      </c>
      <c r="E40" t="n">
        <v>19</v>
      </c>
    </row>
    <row r="41">
      <c r="A41" t="s">
        <v>253</v>
      </c>
      <c r="B41" t="n">
        <v>-0.25</v>
      </c>
      <c r="C41" t="n">
        <v>35</v>
      </c>
      <c r="D41" t="n">
        <v>0</v>
      </c>
      <c r="E41" t="n">
        <v>20</v>
      </c>
    </row>
    <row r="42">
      <c r="A42" t="s">
        <v>254</v>
      </c>
      <c r="B42" t="n">
        <v>-0.25</v>
      </c>
      <c r="C42" t="n">
        <v>147</v>
      </c>
      <c r="D42" t="n">
        <v>0</v>
      </c>
      <c r="E42" t="n">
        <v>29</v>
      </c>
    </row>
    <row r="43">
      <c r="A43" t="s">
        <v>254</v>
      </c>
      <c r="B43" t="n">
        <v>-0.75</v>
      </c>
      <c r="C43" t="n">
        <v>93</v>
      </c>
      <c r="D43" t="n">
        <v>-0.25</v>
      </c>
      <c r="E43" t="n">
        <v>155</v>
      </c>
    </row>
    <row r="44">
      <c r="A44" t="s">
        <v>253</v>
      </c>
      <c r="B44" t="n">
        <v>-0.75</v>
      </c>
      <c r="C44" t="n">
        <v>168</v>
      </c>
      <c r="D44" t="n">
        <v>0</v>
      </c>
      <c r="E44" t="n">
        <v>137</v>
      </c>
    </row>
    <row r="45">
      <c r="A45" t="s">
        <v>254</v>
      </c>
      <c r="B45" t="n">
        <v>-0.75</v>
      </c>
      <c r="C45" t="n">
        <v>17</v>
      </c>
      <c r="D45" t="n">
        <v>0</v>
      </c>
      <c r="E45" t="n">
        <v>31</v>
      </c>
    </row>
    <row r="46">
      <c r="A46" t="s">
        <v>254</v>
      </c>
      <c r="B46" t="n">
        <v>-1.5</v>
      </c>
      <c r="C46" t="n">
        <v>8</v>
      </c>
      <c r="D46" t="n">
        <v>-0.25</v>
      </c>
      <c r="E46" t="n">
        <v>34</v>
      </c>
    </row>
    <row r="47">
      <c r="A47" t="s">
        <v>253</v>
      </c>
      <c r="B47" t="n">
        <v>-0.75</v>
      </c>
      <c r="C47" t="n">
        <v>152</v>
      </c>
      <c r="D47" t="n">
        <v>-0.25</v>
      </c>
      <c r="E47" t="n">
        <v>13</v>
      </c>
    </row>
    <row r="48">
      <c r="A48" t="s">
        <v>254</v>
      </c>
      <c r="B48" t="n">
        <v>-1</v>
      </c>
      <c r="C48" t="n">
        <v>29</v>
      </c>
      <c r="D48" t="n">
        <v>-0.25</v>
      </c>
      <c r="E48" t="n">
        <v>47</v>
      </c>
    </row>
    <row r="49">
      <c r="A49" t="s">
        <v>253</v>
      </c>
      <c r="B49" t="n">
        <v>-1</v>
      </c>
      <c r="C49" t="n">
        <v>164</v>
      </c>
      <c r="D49" t="n">
        <v>-0.75</v>
      </c>
      <c r="E49" t="n">
        <v>131</v>
      </c>
    </row>
    <row r="50">
      <c r="A50" t="s">
        <v>253</v>
      </c>
      <c r="B50" t="n">
        <v>-0.5</v>
      </c>
      <c r="C50" t="n">
        <v>163</v>
      </c>
      <c r="D50" t="n">
        <v>-0.5</v>
      </c>
      <c r="E50" t="n">
        <v>127</v>
      </c>
    </row>
    <row r="51">
      <c r="A51" t="s">
        <v>253</v>
      </c>
      <c r="B51" t="n">
        <v>-0.75</v>
      </c>
      <c r="C51" t="n">
        <v>26</v>
      </c>
      <c r="D51" t="n">
        <v>0</v>
      </c>
      <c r="E51" t="n">
        <v>66</v>
      </c>
    </row>
    <row r="52">
      <c r="A52" t="s">
        <v>254</v>
      </c>
      <c r="B52" t="n">
        <v>-1.75</v>
      </c>
      <c r="C52" t="n">
        <v>148</v>
      </c>
      <c r="D52" t="n">
        <v>-0.25</v>
      </c>
      <c r="E52" t="n">
        <v>112</v>
      </c>
    </row>
    <row r="53">
      <c r="A53" t="s">
        <v>254</v>
      </c>
      <c r="B53" t="n">
        <v>-0.25</v>
      </c>
      <c r="C53" t="n">
        <v>97</v>
      </c>
      <c r="D53" t="n">
        <v>0</v>
      </c>
      <c r="E53" t="n">
        <v>166</v>
      </c>
    </row>
    <row r="54">
      <c r="A54" t="s">
        <v>253</v>
      </c>
      <c r="B54" t="n">
        <v>-0.75</v>
      </c>
      <c r="C54" t="n">
        <v>10</v>
      </c>
      <c r="D54" t="n">
        <v>-0.25</v>
      </c>
      <c r="E54" t="n">
        <v>68</v>
      </c>
    </row>
    <row r="55">
      <c r="A55" t="s">
        <v>254</v>
      </c>
      <c r="B55" t="n">
        <v>-1.25</v>
      </c>
      <c r="C55" t="n">
        <v>171</v>
      </c>
      <c r="D55" t="n">
        <v>-0.25</v>
      </c>
      <c r="E55" t="n">
        <v>41</v>
      </c>
    </row>
    <row r="56">
      <c r="A56" t="s">
        <v>253</v>
      </c>
      <c r="B56" t="n">
        <v>-0.5</v>
      </c>
      <c r="C56" t="n">
        <v>157</v>
      </c>
      <c r="D56" t="n">
        <v>0</v>
      </c>
      <c r="E56" t="n">
        <v>108</v>
      </c>
    </row>
    <row r="57">
      <c r="A57" t="s">
        <v>254</v>
      </c>
      <c r="B57" t="n">
        <v>-0.75</v>
      </c>
      <c r="C57" t="n">
        <v>28</v>
      </c>
      <c r="D57" t="n">
        <v>0</v>
      </c>
      <c r="E57" t="n">
        <v>97</v>
      </c>
    </row>
    <row r="58">
      <c r="A58" t="s">
        <v>254</v>
      </c>
      <c r="B58" t="n">
        <v>-0.5</v>
      </c>
      <c r="C58" t="n">
        <v>126</v>
      </c>
      <c r="D58"/>
      <c r="E58"/>
    </row>
    <row r="59">
      <c r="A59" t="s">
        <v>253</v>
      </c>
      <c r="B59" t="n">
        <v>-0.5</v>
      </c>
      <c r="C59" t="n">
        <v>162</v>
      </c>
      <c r="D59" t="n">
        <v>-0.25</v>
      </c>
      <c r="E59" t="n">
        <v>96</v>
      </c>
    </row>
    <row r="60">
      <c r="A60" t="s">
        <v>253</v>
      </c>
      <c r="B60" t="n">
        <v>-0.5</v>
      </c>
      <c r="C60" t="n">
        <v>152</v>
      </c>
      <c r="D60" t="n">
        <v>-0.25</v>
      </c>
      <c r="E60" t="n">
        <v>1</v>
      </c>
    </row>
    <row r="61">
      <c r="A61" t="s">
        <v>254</v>
      </c>
      <c r="B61" t="n">
        <v>-0.75</v>
      </c>
      <c r="C61" t="n">
        <v>93</v>
      </c>
      <c r="D61" t="n">
        <v>-0.5</v>
      </c>
      <c r="E61" t="n">
        <v>64</v>
      </c>
    </row>
  </sheetData>
  <pageMargins left="0.7" right="0.7" top="0.75" bottom="0.75" header="0.3" footer="0.3"/>
  <pageSetup paperSize="9" orientation="portrait" horizontalDpi="300" verticalDpi="300" r:id="rId2"/>
  <tableParts count="1">
    <tablePart r:id="rId6"/>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248</v>
      </c>
      <c r="B1" t="s">
        <v>249</v>
      </c>
      <c r="C1" t="s">
        <v>250</v>
      </c>
      <c r="D1" t="s">
        <v>251</v>
      </c>
      <c r="E1" t="s">
        <v>252</v>
      </c>
    </row>
    <row r="2">
      <c r="A2" t="s">
        <v>253</v>
      </c>
      <c r="B2" t="n">
        <v>-0.75</v>
      </c>
      <c r="C2" t="n">
        <v>177</v>
      </c>
      <c r="D2" t="n">
        <v>-0.25</v>
      </c>
      <c r="E2" t="n">
        <v>136</v>
      </c>
    </row>
    <row r="3">
      <c r="A3" t="s">
        <v>254</v>
      </c>
      <c r="B3" t="n">
        <v>-0.25</v>
      </c>
      <c r="C3" t="n">
        <v>14</v>
      </c>
      <c r="D3" t="n">
        <v>-0.25</v>
      </c>
      <c r="E3" t="n">
        <v>48</v>
      </c>
    </row>
    <row r="4">
      <c r="A4" t="s">
        <v>254</v>
      </c>
      <c r="B4" t="n">
        <v>-1.5</v>
      </c>
      <c r="C4" t="n">
        <v>98</v>
      </c>
      <c r="D4" t="n">
        <v>-0.25</v>
      </c>
      <c r="E4" t="n">
        <v>97</v>
      </c>
    </row>
    <row r="5">
      <c r="A5" t="s">
        <v>253</v>
      </c>
      <c r="B5" t="n">
        <v>-1.75</v>
      </c>
      <c r="C5" t="n">
        <v>4</v>
      </c>
      <c r="D5" t="n">
        <v>-0.25</v>
      </c>
      <c r="E5" t="n">
        <v>87</v>
      </c>
    </row>
    <row r="6">
      <c r="A6" t="s">
        <v>254</v>
      </c>
      <c r="B6" t="n">
        <v>-1</v>
      </c>
      <c r="C6" t="n">
        <v>2</v>
      </c>
      <c r="D6" t="n">
        <v>-0.25</v>
      </c>
      <c r="E6" t="n">
        <v>91</v>
      </c>
    </row>
    <row r="7">
      <c r="A7" t="s">
        <v>253</v>
      </c>
      <c r="B7" t="n">
        <v>-1</v>
      </c>
      <c r="C7" t="n">
        <v>177</v>
      </c>
      <c r="D7"/>
      <c r="E7"/>
    </row>
    <row r="8">
      <c r="A8" t="s">
        <v>253</v>
      </c>
      <c r="B8" t="n">
        <v>-0.75</v>
      </c>
      <c r="C8" t="n">
        <v>82</v>
      </c>
      <c r="D8" t="n">
        <v>-0.25</v>
      </c>
      <c r="E8" t="n">
        <v>121</v>
      </c>
    </row>
    <row r="9">
      <c r="A9" t="s">
        <v>253</v>
      </c>
      <c r="B9" t="n">
        <v>-0.5</v>
      </c>
      <c r="C9" t="n">
        <v>169</v>
      </c>
      <c r="D9" t="n">
        <v>-0.25</v>
      </c>
      <c r="E9" t="n">
        <v>176</v>
      </c>
    </row>
    <row r="10">
      <c r="A10" t="s">
        <v>253</v>
      </c>
      <c r="B10" t="n">
        <v>-0.5</v>
      </c>
      <c r="C10" t="n">
        <v>13</v>
      </c>
      <c r="D10" t="n">
        <v>-0.25</v>
      </c>
      <c r="E10" t="n">
        <v>163</v>
      </c>
    </row>
    <row r="11">
      <c r="A11" t="s">
        <v>254</v>
      </c>
      <c r="B11" t="n">
        <v>-0.75</v>
      </c>
      <c r="C11" t="n">
        <v>49</v>
      </c>
      <c r="D11" t="n">
        <v>-0.25</v>
      </c>
      <c r="E11" t="n">
        <v>28</v>
      </c>
    </row>
    <row r="12">
      <c r="A12" t="s">
        <v>254</v>
      </c>
      <c r="B12" t="n">
        <v>-1</v>
      </c>
      <c r="C12" t="n">
        <v>166</v>
      </c>
      <c r="D12" t="n">
        <v>-0.25</v>
      </c>
      <c r="E12" t="n">
        <v>121</v>
      </c>
    </row>
    <row r="13">
      <c r="A13" t="s">
        <v>253</v>
      </c>
      <c r="B13" t="n">
        <v>-0.75</v>
      </c>
      <c r="C13" t="n">
        <v>171</v>
      </c>
      <c r="D13"/>
      <c r="E13"/>
    </row>
    <row r="14">
      <c r="A14" t="s">
        <v>254</v>
      </c>
      <c r="B14" t="n">
        <v>-1</v>
      </c>
      <c r="C14" t="n">
        <v>178</v>
      </c>
      <c r="D14"/>
      <c r="E14"/>
    </row>
    <row r="15">
      <c r="A15" t="s">
        <v>254</v>
      </c>
      <c r="B15" t="n">
        <v>-0.75</v>
      </c>
      <c r="C15" t="n">
        <v>4</v>
      </c>
      <c r="D15" t="n">
        <v>-0.25</v>
      </c>
      <c r="E15" t="n">
        <v>7</v>
      </c>
    </row>
    <row r="16">
      <c r="A16" t="s">
        <v>254</v>
      </c>
      <c r="B16" t="n">
        <v>-0.75</v>
      </c>
      <c r="C16" t="n">
        <v>16</v>
      </c>
      <c r="D16" t="n">
        <v>-0.25</v>
      </c>
      <c r="E16" t="n">
        <v>137</v>
      </c>
    </row>
    <row r="17">
      <c r="A17" t="s">
        <v>254</v>
      </c>
      <c r="B17" t="n">
        <v>-1.25</v>
      </c>
      <c r="C17" t="n">
        <v>158</v>
      </c>
      <c r="D17"/>
      <c r="E17"/>
    </row>
    <row r="18">
      <c r="A18" t="s">
        <v>253</v>
      </c>
      <c r="B18" t="n">
        <v>-1.25</v>
      </c>
      <c r="C18" t="n">
        <v>168</v>
      </c>
      <c r="D18" t="n">
        <v>-0.25</v>
      </c>
      <c r="E18" t="n">
        <v>15</v>
      </c>
    </row>
    <row r="19">
      <c r="A19" t="s">
        <v>253</v>
      </c>
      <c r="B19" t="n">
        <v>-1.5</v>
      </c>
      <c r="C19" t="n">
        <v>177</v>
      </c>
      <c r="D19" t="n">
        <v>-0.25</v>
      </c>
      <c r="E19" t="n">
        <v>129</v>
      </c>
    </row>
    <row r="20">
      <c r="A20" t="s">
        <v>254</v>
      </c>
      <c r="B20" t="n">
        <v>-1.5</v>
      </c>
      <c r="C20" t="n">
        <v>153</v>
      </c>
      <c r="D20" t="n">
        <v>-0.25</v>
      </c>
      <c r="E20" t="n">
        <v>115</v>
      </c>
    </row>
    <row r="21">
      <c r="A21" t="s">
        <v>253</v>
      </c>
      <c r="B21" t="n">
        <v>-0.5</v>
      </c>
      <c r="C21" t="n">
        <v>140</v>
      </c>
      <c r="D21" t="n">
        <v>0</v>
      </c>
      <c r="E21" t="n">
        <v>150</v>
      </c>
    </row>
    <row r="22">
      <c r="A22" t="s">
        <v>254</v>
      </c>
      <c r="B22" t="n">
        <v>-0.75</v>
      </c>
      <c r="C22" t="n">
        <v>41</v>
      </c>
      <c r="D22" t="n">
        <v>0</v>
      </c>
      <c r="E22" t="n">
        <v>140</v>
      </c>
    </row>
    <row r="23">
      <c r="A23" t="s">
        <v>253</v>
      </c>
      <c r="B23" t="n">
        <v>-1.25</v>
      </c>
      <c r="C23" t="n">
        <v>2</v>
      </c>
      <c r="D23" t="n">
        <v>-0.25</v>
      </c>
      <c r="E23" t="n">
        <v>58</v>
      </c>
    </row>
    <row r="24">
      <c r="A24" t="s">
        <v>254</v>
      </c>
      <c r="B24" t="n">
        <v>-1.5</v>
      </c>
      <c r="C24" t="n">
        <v>165</v>
      </c>
      <c r="D24" t="n">
        <v>-0.25</v>
      </c>
      <c r="E24" t="n">
        <v>166</v>
      </c>
    </row>
    <row r="25">
      <c r="A25" t="s">
        <v>253</v>
      </c>
      <c r="B25" t="n">
        <v>-0.75</v>
      </c>
      <c r="C25" t="n">
        <v>21</v>
      </c>
      <c r="D25" t="n">
        <v>0</v>
      </c>
      <c r="E25" t="n">
        <v>180</v>
      </c>
    </row>
    <row r="26">
      <c r="A26" t="s">
        <v>254</v>
      </c>
      <c r="B26" t="n">
        <v>-0.5</v>
      </c>
      <c r="C26" t="n">
        <v>166</v>
      </c>
      <c r="D26" t="n">
        <v>-0.25</v>
      </c>
      <c r="E26" t="n">
        <v>26</v>
      </c>
    </row>
    <row r="27">
      <c r="A27" t="s">
        <v>253</v>
      </c>
      <c r="B27" t="n">
        <v>-0.75</v>
      </c>
      <c r="C27" t="n">
        <v>43</v>
      </c>
      <c r="D27" t="n">
        <v>-0.25</v>
      </c>
      <c r="E27" t="n">
        <v>180</v>
      </c>
    </row>
    <row r="28">
      <c r="A28" t="s">
        <v>253</v>
      </c>
      <c r="B28" t="n">
        <v>-1.5</v>
      </c>
      <c r="C28" t="n">
        <v>124</v>
      </c>
      <c r="D28" t="n">
        <v>-0.5</v>
      </c>
      <c r="E28" t="n">
        <v>105</v>
      </c>
    </row>
    <row r="29">
      <c r="A29" t="s">
        <v>254</v>
      </c>
      <c r="B29" t="n">
        <v>-1</v>
      </c>
      <c r="C29" t="n">
        <v>55</v>
      </c>
      <c r="D29" t="n">
        <v>-0.25</v>
      </c>
      <c r="E29" t="n">
        <v>58</v>
      </c>
    </row>
    <row r="30">
      <c r="A30" t="s">
        <v>253</v>
      </c>
      <c r="B30" t="n">
        <v>-0.25</v>
      </c>
      <c r="C30" t="n">
        <v>4</v>
      </c>
      <c r="D30" t="n">
        <v>0</v>
      </c>
      <c r="E30" t="n">
        <v>154</v>
      </c>
    </row>
    <row r="31">
      <c r="A31" t="s">
        <v>253</v>
      </c>
      <c r="B31" t="n">
        <v>-1.5</v>
      </c>
      <c r="C31" t="n">
        <v>160</v>
      </c>
      <c r="D31" t="n">
        <v>-0.25</v>
      </c>
      <c r="E31" t="n">
        <v>2</v>
      </c>
    </row>
    <row r="32">
      <c r="A32" t="s">
        <v>253</v>
      </c>
      <c r="B32" t="n">
        <v>-0.5</v>
      </c>
      <c r="C32" t="n">
        <v>175</v>
      </c>
      <c r="D32" t="n">
        <v>-0.25</v>
      </c>
      <c r="E32" t="n">
        <v>7</v>
      </c>
    </row>
    <row r="33">
      <c r="A33" t="s">
        <v>253</v>
      </c>
      <c r="B33" t="n">
        <v>-0.75</v>
      </c>
      <c r="C33" t="n">
        <v>94</v>
      </c>
      <c r="D33" t="n">
        <v>-0.25</v>
      </c>
      <c r="E33" t="n">
        <v>132</v>
      </c>
    </row>
    <row r="34">
      <c r="A34" t="s">
        <v>253</v>
      </c>
      <c r="B34" t="n">
        <v>-1</v>
      </c>
      <c r="C34" t="n">
        <v>168</v>
      </c>
      <c r="D34" t="n">
        <v>-0.25</v>
      </c>
      <c r="E34" t="n">
        <v>176</v>
      </c>
    </row>
    <row r="35">
      <c r="A35" t="s">
        <v>254</v>
      </c>
      <c r="B35" t="n">
        <v>-0.75</v>
      </c>
      <c r="C35" t="n">
        <v>8</v>
      </c>
      <c r="D35" t="n">
        <v>-0.25</v>
      </c>
      <c r="E35" t="n">
        <v>40</v>
      </c>
    </row>
    <row r="36">
      <c r="A36" t="s">
        <v>254</v>
      </c>
      <c r="B36" t="n">
        <v>-1</v>
      </c>
      <c r="C36" t="n">
        <v>127</v>
      </c>
      <c r="D36" t="n">
        <v>-0.5</v>
      </c>
      <c r="E36" t="n">
        <v>150</v>
      </c>
    </row>
    <row r="37">
      <c r="A37" t="s">
        <v>254</v>
      </c>
      <c r="B37" t="n">
        <v>-0.5</v>
      </c>
      <c r="C37" t="n">
        <v>3</v>
      </c>
      <c r="D37" t="n">
        <v>-0.25</v>
      </c>
      <c r="E37" t="n">
        <v>32</v>
      </c>
    </row>
    <row r="38">
      <c r="A38" t="s">
        <v>253</v>
      </c>
      <c r="B38" t="n">
        <v>-1</v>
      </c>
      <c r="C38" t="n">
        <v>14</v>
      </c>
      <c r="D38" t="n">
        <v>0</v>
      </c>
      <c r="E38" t="n">
        <v>171</v>
      </c>
    </row>
    <row r="39">
      <c r="A39" t="s">
        <v>253</v>
      </c>
      <c r="B39" t="n">
        <v>-0.25</v>
      </c>
      <c r="C39" t="n">
        <v>9</v>
      </c>
      <c r="D39" t="n">
        <v>0</v>
      </c>
      <c r="E39" t="n">
        <v>114</v>
      </c>
    </row>
    <row r="40">
      <c r="A40" t="s">
        <v>253</v>
      </c>
      <c r="B40" t="n">
        <v>-0.25</v>
      </c>
      <c r="C40" t="n">
        <v>21</v>
      </c>
      <c r="D40" t="n">
        <v>-0.25</v>
      </c>
      <c r="E40" t="n">
        <v>108</v>
      </c>
    </row>
    <row r="41">
      <c r="A41" t="s">
        <v>253</v>
      </c>
      <c r="B41" t="n">
        <v>-0.25</v>
      </c>
      <c r="C41" t="n">
        <v>180</v>
      </c>
      <c r="D41" t="n">
        <v>0</v>
      </c>
      <c r="E41" t="n">
        <v>167</v>
      </c>
    </row>
    <row r="42">
      <c r="A42" t="s">
        <v>253</v>
      </c>
      <c r="B42" t="n">
        <v>-1</v>
      </c>
      <c r="C42" t="n">
        <v>95</v>
      </c>
      <c r="D42" t="n">
        <v>0</v>
      </c>
      <c r="E42" t="n">
        <v>32</v>
      </c>
    </row>
    <row r="43">
      <c r="A43" t="s">
        <v>253</v>
      </c>
      <c r="B43" t="n">
        <v>-0.75</v>
      </c>
      <c r="C43" t="n">
        <v>104</v>
      </c>
      <c r="D43" t="n">
        <v>-0.25</v>
      </c>
      <c r="E43" t="n">
        <v>84</v>
      </c>
    </row>
  </sheetData>
  <pageMargins left="0.7" right="0.7" top="0.75" bottom="0.75" header="0.3" footer="0.3"/>
  <pageSetup paperSize="9" orientation="portrait" horizontalDpi="300" verticalDpi="300" r:id="rId2"/>
  <tableParts count="1">
    <tablePart r:id="rId7"/>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9" t="s">
        <v>1189</v>
      </c>
    </row>
    <row r="3">
      <c r="A3" s="1" t="s">
        <v>256</v>
      </c>
    </row>
    <row r="4">
      <c r="A4" t="s">
        <v>257</v>
      </c>
      <c r="B4" t="s">
        <v>258</v>
      </c>
      <c r="C4" t="s">
        <v>259</v>
      </c>
      <c r="D4" t="s">
        <v>260</v>
      </c>
      <c r="E4" t="s">
        <v>261</v>
      </c>
      <c r="F4" t="s">
        <v>262</v>
      </c>
      <c r="G4" t="s">
        <v>263</v>
      </c>
      <c r="H4" t="s">
        <v>264</v>
      </c>
      <c r="I4" t="s">
        <v>265</v>
      </c>
      <c r="J4" t="s">
        <v>266</v>
      </c>
      <c r="K4" t="s">
        <v>267</v>
      </c>
      <c r="L4" t="s">
        <v>268</v>
      </c>
      <c r="M4" t="s">
        <v>269</v>
      </c>
      <c r="N4" t="s">
        <v>270</v>
      </c>
      <c r="O4" t="s">
        <v>271</v>
      </c>
      <c r="P4" t="s">
        <v>272</v>
      </c>
      <c r="Q4" t="s">
        <v>273</v>
      </c>
      <c r="R4" t="s">
        <v>274</v>
      </c>
      <c r="S4" t="s">
        <v>275</v>
      </c>
    </row>
    <row r="5">
      <c r="A5" t="s">
        <v>276</v>
      </c>
      <c r="B5" t="s">
        <v>30</v>
      </c>
      <c r="C5" t="n">
        <v>60</v>
      </c>
      <c r="D5" t="n">
        <v>42</v>
      </c>
      <c r="E5" s="28" t="n">
        <v>-0.339958197374108</v>
      </c>
      <c r="F5" s="28" t="n">
        <v>0.0357060177166334</v>
      </c>
      <c r="G5" s="28" t="n">
        <v>0.341828166866093</v>
      </c>
      <c r="H5" s="29" t="n">
        <v>87.0020861061499</v>
      </c>
      <c r="I5" t="s">
        <v>1190</v>
      </c>
      <c r="J5" s="28" t="n">
        <v>0.915621012029704</v>
      </c>
      <c r="K5" s="28" t="n">
        <v>0.854166666666667</v>
      </c>
      <c r="L5" s="28" t="n">
        <v>0.478990080455891</v>
      </c>
      <c r="M5" s="28" t="n">
        <v>0.75</v>
      </c>
      <c r="N5" s="28" t="n">
        <v>0.25</v>
      </c>
      <c r="O5" s="28" t="n">
        <v>2.5</v>
      </c>
      <c r="P5" s="28" t="n">
        <v>0.977347601078211</v>
      </c>
      <c r="Q5" t="s">
        <v>1191</v>
      </c>
      <c r="R5" t="n">
        <v>60</v>
      </c>
      <c r="S5" t="s">
        <v>1192</v>
      </c>
    </row>
    <row r="6">
      <c r="A6" t="s">
        <v>276</v>
      </c>
      <c r="B6" t="s">
        <v>31</v>
      </c>
      <c r="C6" t="n">
        <v>42</v>
      </c>
      <c r="D6" t="n">
        <v>33</v>
      </c>
      <c r="E6" s="28" t="n">
        <v>-0.417164530282708</v>
      </c>
      <c r="F6" s="28" t="n">
        <v>0.0973874377125518</v>
      </c>
      <c r="G6" s="28" t="n">
        <v>0.428381323531043</v>
      </c>
      <c r="H6" s="29" t="n">
        <v>83.4297946219804</v>
      </c>
      <c r="I6" t="s">
        <v>1193</v>
      </c>
      <c r="J6" s="28" t="n">
        <v>0.860579214545026</v>
      </c>
      <c r="K6" s="28" t="n">
        <v>0.875</v>
      </c>
      <c r="L6" s="28" t="n">
        <v>0.402923765712088</v>
      </c>
      <c r="M6" s="28" t="n">
        <v>0.75</v>
      </c>
      <c r="N6" s="28" t="n">
        <v>0.25</v>
      </c>
      <c r="O6" s="28" t="n">
        <v>1.75</v>
      </c>
      <c r="P6" s="28" t="n">
        <v>0.961304916692484</v>
      </c>
      <c r="Q6" t="s">
        <v>1194</v>
      </c>
      <c r="R6" t="n">
        <v>42</v>
      </c>
      <c r="S6" t="s">
        <v>1195</v>
      </c>
    </row>
    <row r="7">
      <c r="A7" t="s">
        <v>283</v>
      </c>
      <c r="B7" t="s">
        <v>30</v>
      </c>
      <c r="C7" t="n">
        <v>55</v>
      </c>
      <c r="D7" t="n">
        <v>39</v>
      </c>
      <c r="E7" s="28" t="n">
        <v>0.366050483311219</v>
      </c>
      <c r="F7" s="28" t="n">
        <v>0.0136672830341002</v>
      </c>
      <c r="G7" s="28" t="n">
        <v>0.36630554317115</v>
      </c>
      <c r="H7" s="29" t="n">
        <v>1.06913402452773</v>
      </c>
      <c r="I7" t="s">
        <v>1196</v>
      </c>
      <c r="J7" s="28" t="n">
        <v>0.925851088455419</v>
      </c>
      <c r="K7" s="28" t="n">
        <v>0.87272488332342</v>
      </c>
      <c r="L7" s="28" t="n">
        <v>0.483720528509977</v>
      </c>
      <c r="M7" s="28" t="n">
        <v>0.75</v>
      </c>
      <c r="N7" s="28" t="n">
        <v>0.25</v>
      </c>
      <c r="O7" s="28" t="n">
        <v>2.29699870141587</v>
      </c>
      <c r="P7" s="28" t="n">
        <v>0.995680666153559</v>
      </c>
      <c r="Q7" t="s">
        <v>1197</v>
      </c>
      <c r="R7" t="n">
        <v>55</v>
      </c>
      <c r="S7" t="s">
        <v>1198</v>
      </c>
    </row>
    <row r="8">
      <c r="A8" t="s">
        <v>283</v>
      </c>
      <c r="B8" t="s">
        <v>31</v>
      </c>
      <c r="C8" t="n">
        <v>38</v>
      </c>
      <c r="D8" t="n">
        <v>30</v>
      </c>
      <c r="E8" s="28" t="n">
        <v>0.352868831373302</v>
      </c>
      <c r="F8" s="28" t="n">
        <v>-0.0494551010667911</v>
      </c>
      <c r="G8" s="28" t="n">
        <v>0.356317581907329</v>
      </c>
      <c r="H8" s="29" t="n">
        <v>176.010937766084</v>
      </c>
      <c r="I8" t="s">
        <v>1199</v>
      </c>
      <c r="J8" s="28" t="n">
        <v>0.834511719231688</v>
      </c>
      <c r="K8" s="28" t="n">
        <v>0.808183666455012</v>
      </c>
      <c r="L8" s="28" t="n">
        <v>0.418104642905003</v>
      </c>
      <c r="M8" s="28" t="n">
        <v>0.75</v>
      </c>
      <c r="N8" s="28" t="n">
        <v>0.25</v>
      </c>
      <c r="O8" s="28" t="n">
        <v>1.99349160030623</v>
      </c>
      <c r="P8" s="28" t="n">
        <v>0.90739849499066</v>
      </c>
      <c r="Q8" t="s">
        <v>1200</v>
      </c>
      <c r="R8" t="n">
        <v>38</v>
      </c>
      <c r="S8" t="s">
        <v>1201</v>
      </c>
    </row>
    <row r="9">
      <c r="A9" t="s">
        <v>290</v>
      </c>
      <c r="B9" t="s">
        <v>30</v>
      </c>
      <c r="C9" t="n">
        <v>55</v>
      </c>
      <c r="D9" t="n">
        <v>39</v>
      </c>
      <c r="E9" s="28" t="n">
        <v>-0.0200395837552819</v>
      </c>
      <c r="F9" s="28" t="n">
        <v>0.0450616494192838</v>
      </c>
      <c r="G9" s="28" t="n">
        <v>0.0493167027027497</v>
      </c>
      <c r="H9" s="29" t="n">
        <v>56.987712124005</v>
      </c>
      <c r="I9" t="s">
        <v>1202</v>
      </c>
      <c r="J9" s="28" t="n">
        <v>0.287741438728942</v>
      </c>
      <c r="K9" s="28" t="n">
        <v>0.231818181818182</v>
      </c>
      <c r="L9" s="28" t="n">
        <v>0.179082961419302</v>
      </c>
      <c r="M9" s="28" t="n">
        <v>0.25</v>
      </c>
      <c r="N9" s="28" t="n">
        <v>0</v>
      </c>
      <c r="O9" s="28" t="n">
        <v>0.75</v>
      </c>
      <c r="P9" s="28" t="n">
        <v>0.291937104060571</v>
      </c>
      <c r="Q9" t="s">
        <v>1197</v>
      </c>
      <c r="R9" t="n">
        <v>55</v>
      </c>
      <c r="S9" t="s">
        <v>1198</v>
      </c>
    </row>
    <row r="10">
      <c r="A10" t="s">
        <v>290</v>
      </c>
      <c r="B10" t="s">
        <v>31</v>
      </c>
      <c r="C10" t="n">
        <v>38</v>
      </c>
      <c r="D10" t="n">
        <v>30</v>
      </c>
      <c r="E10" s="28" t="n">
        <v>-0.0133510946425123</v>
      </c>
      <c r="F10" s="28" t="n">
        <v>0.0246475762505888</v>
      </c>
      <c r="G10" s="28" t="n">
        <v>0.0280313171859959</v>
      </c>
      <c r="H10" s="29" t="n">
        <v>59.2217556250508</v>
      </c>
      <c r="I10" t="s">
        <v>1203</v>
      </c>
      <c r="J10" s="28" t="n">
        <v>0.241712166786464</v>
      </c>
      <c r="K10" s="28" t="n">
        <v>0.210526315789474</v>
      </c>
      <c r="L10" s="28" t="n">
        <v>0.123659239027541</v>
      </c>
      <c r="M10" s="28" t="n">
        <v>0.25</v>
      </c>
      <c r="N10" s="28" t="n">
        <v>0</v>
      </c>
      <c r="O10" s="28" t="n">
        <v>0.5</v>
      </c>
      <c r="P10" s="28" t="n">
        <v>0.243332131696144</v>
      </c>
      <c r="Q10" t="s">
        <v>1200</v>
      </c>
      <c r="R10" t="n">
        <v>38</v>
      </c>
      <c r="S10" t="s">
        <v>1201</v>
      </c>
    </row>
    <row r="12">
      <c r="A12" s="1" t="s">
        <v>293</v>
      </c>
    </row>
    <row r="13">
      <c r="A13" t="s">
        <v>257</v>
      </c>
      <c r="B13" t="s">
        <v>258</v>
      </c>
      <c r="C13" t="s">
        <v>259</v>
      </c>
      <c r="D13" t="s">
        <v>294</v>
      </c>
      <c r="E13" t="s">
        <v>295</v>
      </c>
      <c r="F13" t="s">
        <v>296</v>
      </c>
      <c r="G13" t="s">
        <v>297</v>
      </c>
      <c r="H13" t="s">
        <v>298</v>
      </c>
      <c r="I13" t="s">
        <v>299</v>
      </c>
      <c r="J13" t="s">
        <v>300</v>
      </c>
      <c r="K13" t="s">
        <v>301</v>
      </c>
      <c r="L13" t="s">
        <v>302</v>
      </c>
    </row>
    <row r="14">
      <c r="A14" t="s">
        <v>276</v>
      </c>
      <c r="B14" t="s">
        <v>30</v>
      </c>
      <c r="C14" t="n">
        <v>60</v>
      </c>
      <c r="D14" s="30" t="n">
        <v>8.33333333333333</v>
      </c>
      <c r="E14" s="30" t="n">
        <v>36.6666666666667</v>
      </c>
      <c r="F14" s="30" t="n">
        <v>63.3333333333333</v>
      </c>
      <c r="G14" s="30" t="n">
        <v>80</v>
      </c>
      <c r="H14" s="30" t="n">
        <v>88.3333333333333</v>
      </c>
      <c r="I14" s="30" t="n">
        <v>91.6666666666667</v>
      </c>
      <c r="J14" s="30" t="n">
        <v>95</v>
      </c>
      <c r="K14" s="30" t="n">
        <v>96.6666666666667</v>
      </c>
      <c r="L14" s="30" t="n">
        <v>20</v>
      </c>
    </row>
    <row r="15">
      <c r="A15" t="s">
        <v>276</v>
      </c>
      <c r="B15" t="s">
        <v>31</v>
      </c>
      <c r="C15" t="n">
        <v>42</v>
      </c>
      <c r="D15" s="30" t="n">
        <v>11.9047619047619</v>
      </c>
      <c r="E15" s="30" t="n">
        <v>26.1904761904762</v>
      </c>
      <c r="F15" s="30" t="n">
        <v>54.7619047619048</v>
      </c>
      <c r="G15" s="30" t="n">
        <v>76.1904761904762</v>
      </c>
      <c r="H15" s="30" t="n">
        <v>83.3333333333333</v>
      </c>
      <c r="I15" s="30" t="n">
        <v>97.6190476190476</v>
      </c>
      <c r="J15" s="30" t="n">
        <v>100</v>
      </c>
      <c r="K15" s="30" t="n">
        <v>100</v>
      </c>
      <c r="L15" s="30" t="n">
        <v>23.8095238095238</v>
      </c>
    </row>
    <row r="16">
      <c r="A16" t="s">
        <v>283</v>
      </c>
      <c r="B16" t="s">
        <v>30</v>
      </c>
      <c r="C16" t="n">
        <v>55</v>
      </c>
      <c r="D16" s="30" t="n">
        <v>5.45454545454545</v>
      </c>
      <c r="E16" s="30" t="n">
        <v>25.4545454545455</v>
      </c>
      <c r="F16" s="30" t="n">
        <v>54.5454545454545</v>
      </c>
      <c r="G16" s="30" t="n">
        <v>69.0909090909091</v>
      </c>
      <c r="H16" s="30" t="n">
        <v>80</v>
      </c>
      <c r="I16" s="30" t="n">
        <v>89.0909090909091</v>
      </c>
      <c r="J16" s="30" t="n">
        <v>92.7272727272727</v>
      </c>
      <c r="K16" s="30" t="n">
        <v>94.5454545454545</v>
      </c>
      <c r="L16" s="30" t="n">
        <v>30.9090909090909</v>
      </c>
    </row>
    <row r="17">
      <c r="A17" t="s">
        <v>283</v>
      </c>
      <c r="B17" t="s">
        <v>31</v>
      </c>
      <c r="C17" t="n">
        <v>38</v>
      </c>
      <c r="D17" s="30" t="n">
        <v>7.89473684210526</v>
      </c>
      <c r="E17" s="30" t="n">
        <v>26.3157894736842</v>
      </c>
      <c r="F17" s="30" t="n">
        <v>52.6315789473684</v>
      </c>
      <c r="G17" s="30" t="n">
        <v>71.0526315789474</v>
      </c>
      <c r="H17" s="30" t="n">
        <v>81.5789473684211</v>
      </c>
      <c r="I17" s="30" t="n">
        <v>94.7368421052632</v>
      </c>
      <c r="J17" s="30" t="n">
        <v>97.3684210526316</v>
      </c>
      <c r="K17" s="30" t="n">
        <v>100</v>
      </c>
      <c r="L17" s="30" t="n">
        <v>28.9473684210526</v>
      </c>
    </row>
    <row r="18">
      <c r="A18" t="s">
        <v>290</v>
      </c>
      <c r="B18" t="s">
        <v>30</v>
      </c>
      <c r="C18" t="n">
        <v>55</v>
      </c>
      <c r="D18" s="30" t="n">
        <v>85.4545454545455</v>
      </c>
      <c r="E18" s="30" t="n">
        <v>96.3636363636364</v>
      </c>
      <c r="F18" s="30" t="n">
        <v>100</v>
      </c>
      <c r="G18" s="30" t="n">
        <v>100</v>
      </c>
      <c r="H18" s="30" t="n">
        <v>100</v>
      </c>
      <c r="I18" s="30" t="n">
        <v>100</v>
      </c>
      <c r="J18" s="30" t="n">
        <v>100</v>
      </c>
      <c r="K18" s="30" t="n">
        <v>100</v>
      </c>
      <c r="L18" s="30" t="n">
        <v>0</v>
      </c>
    </row>
    <row r="19">
      <c r="A19" t="s">
        <v>290</v>
      </c>
      <c r="B19" t="s">
        <v>31</v>
      </c>
      <c r="C19" t="n">
        <v>38</v>
      </c>
      <c r="D19" s="30" t="n">
        <v>94.7368421052632</v>
      </c>
      <c r="E19" s="30" t="n">
        <v>100</v>
      </c>
      <c r="F19" s="30" t="n">
        <v>100</v>
      </c>
      <c r="G19" s="30" t="n">
        <v>100</v>
      </c>
      <c r="H19" s="30" t="n">
        <v>100</v>
      </c>
      <c r="I19" s="30" t="n">
        <v>100</v>
      </c>
      <c r="J19" s="30" t="n">
        <v>100</v>
      </c>
      <c r="K19" s="30" t="n">
        <v>100</v>
      </c>
      <c r="L19" s="30" t="n">
        <v>0</v>
      </c>
    </row>
    <row r="21">
      <c r="A21" s="1" t="s">
        <v>303</v>
      </c>
    </row>
    <row r="22">
      <c r="A22" t="s">
        <v>257</v>
      </c>
      <c r="B22" t="s">
        <v>258</v>
      </c>
      <c r="C22" t="s">
        <v>259</v>
      </c>
      <c r="D22" t="s">
        <v>260</v>
      </c>
      <c r="E22" t="s">
        <v>40</v>
      </c>
      <c r="F22" t="s">
        <v>39</v>
      </c>
      <c r="G22" t="s">
        <v>304</v>
      </c>
      <c r="H22" t="s">
        <v>1</v>
      </c>
    </row>
    <row r="23">
      <c r="A23" t="s">
        <v>276</v>
      </c>
      <c r="B23" t="s">
        <v>30</v>
      </c>
      <c r="C23" t="n">
        <v>60</v>
      </c>
      <c r="D23" t="n">
        <v>42</v>
      </c>
      <c r="E23" t="s">
        <v>305</v>
      </c>
      <c r="F23" t="s">
        <v>309</v>
      </c>
      <c r="G23" t="s">
        <v>309</v>
      </c>
      <c r="H23" t="s">
        <v>94</v>
      </c>
    </row>
    <row r="24">
      <c r="A24" t="s">
        <v>276</v>
      </c>
      <c r="B24" t="s">
        <v>31</v>
      </c>
      <c r="C24" t="n">
        <v>42</v>
      </c>
      <c r="D24" t="n">
        <v>33</v>
      </c>
      <c r="E24" t="s">
        <v>305</v>
      </c>
      <c r="F24" t="s">
        <v>307</v>
      </c>
      <c r="G24" t="s">
        <v>308</v>
      </c>
      <c r="H24" t="s">
        <v>94</v>
      </c>
    </row>
    <row r="25">
      <c r="A25" t="s">
        <v>283</v>
      </c>
      <c r="B25" t="s">
        <v>30</v>
      </c>
      <c r="C25" t="n">
        <v>55</v>
      </c>
      <c r="D25" t="n">
        <v>39</v>
      </c>
      <c r="E25" t="s">
        <v>305</v>
      </c>
      <c r="F25" t="s">
        <v>309</v>
      </c>
      <c r="G25" t="s">
        <v>184</v>
      </c>
      <c r="H25" t="s">
        <v>94</v>
      </c>
    </row>
    <row r="26">
      <c r="A26" t="s">
        <v>283</v>
      </c>
      <c r="B26" t="s">
        <v>31</v>
      </c>
      <c r="C26" t="n">
        <v>38</v>
      </c>
      <c r="D26" t="n">
        <v>30</v>
      </c>
      <c r="E26" t="s">
        <v>305</v>
      </c>
      <c r="F26" t="s">
        <v>184</v>
      </c>
      <c r="G26" t="s">
        <v>184</v>
      </c>
      <c r="H26" t="s">
        <v>94</v>
      </c>
    </row>
    <row r="27">
      <c r="A27" t="s">
        <v>290</v>
      </c>
      <c r="B27" t="s">
        <v>30</v>
      </c>
      <c r="C27" t="n">
        <v>55</v>
      </c>
      <c r="D27" t="n">
        <v>39</v>
      </c>
      <c r="E27" t="s">
        <v>305</v>
      </c>
      <c r="F27" t="s">
        <v>174</v>
      </c>
      <c r="G27" t="s">
        <v>886</v>
      </c>
      <c r="H27" t="s">
        <v>94</v>
      </c>
    </row>
    <row r="28">
      <c r="A28" t="s">
        <v>290</v>
      </c>
      <c r="B28" t="s">
        <v>31</v>
      </c>
      <c r="C28" t="n">
        <v>38</v>
      </c>
      <c r="D28" t="n">
        <v>30</v>
      </c>
      <c r="E28" t="s">
        <v>305</v>
      </c>
      <c r="F28" t="s">
        <v>339</v>
      </c>
      <c r="G28" t="s">
        <v>886</v>
      </c>
      <c r="H28" t="s">
        <v>94</v>
      </c>
    </row>
    <row r="30">
      <c r="A30" s="1" t="s">
        <v>312</v>
      </c>
    </row>
    <row r="31">
      <c r="A31" t="s">
        <v>257</v>
      </c>
      <c r="B31" t="s">
        <v>313</v>
      </c>
      <c r="C31" t="s">
        <v>314</v>
      </c>
      <c r="D31" t="s">
        <v>315</v>
      </c>
      <c r="E31" t="s">
        <v>40</v>
      </c>
      <c r="F31" t="s">
        <v>39</v>
      </c>
      <c r="G31" t="s">
        <v>316</v>
      </c>
      <c r="H31" t="s">
        <v>317</v>
      </c>
      <c r="I31" t="s">
        <v>1</v>
      </c>
    </row>
    <row r="32">
      <c r="A32" t="s">
        <v>276</v>
      </c>
      <c r="B32" t="s">
        <v>318</v>
      </c>
      <c r="C32" t="s">
        <v>265</v>
      </c>
      <c r="D32" t="s">
        <v>1204</v>
      </c>
      <c r="E32" t="s">
        <v>320</v>
      </c>
      <c r="F32" t="s">
        <v>915</v>
      </c>
      <c r="G32" t="s">
        <v>94</v>
      </c>
      <c r="H32" t="s">
        <v>98</v>
      </c>
      <c r="I32" t="s">
        <v>94</v>
      </c>
    </row>
    <row r="33">
      <c r="A33" t="s">
        <v>276</v>
      </c>
      <c r="B33" t="s">
        <v>318</v>
      </c>
      <c r="C33" t="s">
        <v>322</v>
      </c>
      <c r="D33" t="s">
        <v>1205</v>
      </c>
      <c r="E33" t="s">
        <v>324</v>
      </c>
      <c r="F33" t="s">
        <v>170</v>
      </c>
      <c r="G33" t="s">
        <v>94</v>
      </c>
      <c r="H33" t="s">
        <v>98</v>
      </c>
      <c r="I33" t="s">
        <v>94</v>
      </c>
    </row>
    <row r="34">
      <c r="A34" t="s">
        <v>276</v>
      </c>
      <c r="B34" t="s">
        <v>318</v>
      </c>
      <c r="C34" t="s">
        <v>326</v>
      </c>
      <c r="D34" t="s">
        <v>1206</v>
      </c>
      <c r="E34" t="s">
        <v>324</v>
      </c>
      <c r="F34" t="s">
        <v>342</v>
      </c>
      <c r="G34" t="s">
        <v>94</v>
      </c>
      <c r="H34" t="s">
        <v>98</v>
      </c>
      <c r="I34" t="s">
        <v>94</v>
      </c>
    </row>
    <row r="35">
      <c r="A35" t="s">
        <v>276</v>
      </c>
      <c r="B35" t="s">
        <v>318</v>
      </c>
      <c r="C35" t="s">
        <v>328</v>
      </c>
      <c r="D35" t="s">
        <v>1207</v>
      </c>
      <c r="E35" t="s">
        <v>330</v>
      </c>
      <c r="F35" t="s">
        <v>858</v>
      </c>
      <c r="G35" t="s">
        <v>94</v>
      </c>
      <c r="H35" t="s">
        <v>98</v>
      </c>
      <c r="I35" t="s">
        <v>94</v>
      </c>
    </row>
    <row r="36">
      <c r="A36" t="s">
        <v>276</v>
      </c>
      <c r="B36" t="s">
        <v>318</v>
      </c>
      <c r="C36" t="s">
        <v>332</v>
      </c>
      <c r="D36" t="s">
        <v>1208</v>
      </c>
      <c r="E36" t="s">
        <v>330</v>
      </c>
      <c r="F36" t="s">
        <v>827</v>
      </c>
      <c r="G36" t="s">
        <v>94</v>
      </c>
      <c r="H36" t="s">
        <v>98</v>
      </c>
      <c r="I36" t="s">
        <v>94</v>
      </c>
    </row>
    <row r="37">
      <c r="A37" t="s">
        <v>276</v>
      </c>
      <c r="B37" t="s">
        <v>318</v>
      </c>
      <c r="C37" t="s">
        <v>335</v>
      </c>
      <c r="D37" t="s">
        <v>1209</v>
      </c>
      <c r="E37" t="s">
        <v>330</v>
      </c>
      <c r="F37" t="s">
        <v>979</v>
      </c>
      <c r="G37" t="s">
        <v>94</v>
      </c>
      <c r="H37" t="s">
        <v>98</v>
      </c>
      <c r="I37" t="s">
        <v>94</v>
      </c>
    </row>
    <row r="38">
      <c r="A38" t="s">
        <v>276</v>
      </c>
      <c r="B38" t="s">
        <v>318</v>
      </c>
      <c r="C38" t="s">
        <v>337</v>
      </c>
      <c r="D38" t="s">
        <v>1210</v>
      </c>
      <c r="E38" t="s">
        <v>330</v>
      </c>
      <c r="F38" t="s">
        <v>76</v>
      </c>
      <c r="G38" t="s">
        <v>94</v>
      </c>
      <c r="H38" t="s">
        <v>98</v>
      </c>
      <c r="I38" t="s">
        <v>94</v>
      </c>
    </row>
    <row r="39">
      <c r="A39" t="s">
        <v>276</v>
      </c>
      <c r="B39" t="s">
        <v>318</v>
      </c>
      <c r="C39" t="s">
        <v>340</v>
      </c>
      <c r="D39" t="s">
        <v>1211</v>
      </c>
      <c r="E39" t="s">
        <v>330</v>
      </c>
      <c r="F39" t="s">
        <v>810</v>
      </c>
      <c r="G39" t="s">
        <v>94</v>
      </c>
      <c r="H39" t="s">
        <v>98</v>
      </c>
      <c r="I39" t="s">
        <v>94</v>
      </c>
    </row>
    <row r="40">
      <c r="A40" t="s">
        <v>276</v>
      </c>
      <c r="B40" t="s">
        <v>318</v>
      </c>
      <c r="C40" t="s">
        <v>343</v>
      </c>
      <c r="D40" t="s">
        <v>1212</v>
      </c>
      <c r="E40" t="s">
        <v>330</v>
      </c>
      <c r="F40" t="s">
        <v>143</v>
      </c>
      <c r="G40" t="s">
        <v>94</v>
      </c>
      <c r="H40" t="s">
        <v>98</v>
      </c>
      <c r="I40" t="s">
        <v>94</v>
      </c>
    </row>
    <row r="41">
      <c r="A41" t="s">
        <v>276</v>
      </c>
      <c r="B41" t="s">
        <v>318</v>
      </c>
      <c r="C41" t="s">
        <v>347</v>
      </c>
      <c r="D41" t="s">
        <v>1213</v>
      </c>
      <c r="E41" t="s">
        <v>370</v>
      </c>
      <c r="F41" t="s">
        <v>862</v>
      </c>
      <c r="G41" t="s">
        <v>94</v>
      </c>
      <c r="H41" t="s">
        <v>98</v>
      </c>
      <c r="I41" t="s">
        <v>94</v>
      </c>
    </row>
    <row r="42">
      <c r="A42" t="s">
        <v>276</v>
      </c>
      <c r="B42" t="s">
        <v>318</v>
      </c>
      <c r="C42" t="s">
        <v>350</v>
      </c>
      <c r="D42" t="s">
        <v>1214</v>
      </c>
      <c r="E42" t="s">
        <v>370</v>
      </c>
      <c r="F42" t="s">
        <v>1215</v>
      </c>
      <c r="G42" t="s">
        <v>94</v>
      </c>
      <c r="H42" t="s">
        <v>98</v>
      </c>
      <c r="I42" t="s">
        <v>94</v>
      </c>
    </row>
    <row r="43">
      <c r="A43" t="s">
        <v>283</v>
      </c>
      <c r="B43" t="s">
        <v>318</v>
      </c>
      <c r="C43" t="s">
        <v>265</v>
      </c>
      <c r="D43" t="s">
        <v>1216</v>
      </c>
      <c r="E43" t="s">
        <v>320</v>
      </c>
      <c r="F43" t="s">
        <v>1066</v>
      </c>
      <c r="G43" t="s">
        <v>94</v>
      </c>
      <c r="H43" t="s">
        <v>98</v>
      </c>
      <c r="I43" t="s">
        <v>94</v>
      </c>
    </row>
    <row r="44">
      <c r="A44" t="s">
        <v>283</v>
      </c>
      <c r="B44" t="s">
        <v>318</v>
      </c>
      <c r="C44" t="s">
        <v>322</v>
      </c>
      <c r="D44" t="s">
        <v>1217</v>
      </c>
      <c r="E44" t="s">
        <v>324</v>
      </c>
      <c r="F44" t="s">
        <v>864</v>
      </c>
      <c r="G44" t="s">
        <v>94</v>
      </c>
      <c r="H44" t="s">
        <v>98</v>
      </c>
      <c r="I44" t="s">
        <v>94</v>
      </c>
    </row>
    <row r="45">
      <c r="A45" t="s">
        <v>283</v>
      </c>
      <c r="B45" t="s">
        <v>318</v>
      </c>
      <c r="C45" t="s">
        <v>326</v>
      </c>
      <c r="D45" t="s">
        <v>1218</v>
      </c>
      <c r="E45" t="s">
        <v>324</v>
      </c>
      <c r="F45" t="s">
        <v>1066</v>
      </c>
      <c r="G45" t="s">
        <v>94</v>
      </c>
      <c r="H45" t="s">
        <v>98</v>
      </c>
      <c r="I45" t="s">
        <v>94</v>
      </c>
    </row>
    <row r="46">
      <c r="A46" t="s">
        <v>283</v>
      </c>
      <c r="B46" t="s">
        <v>318</v>
      </c>
      <c r="C46" t="s">
        <v>328</v>
      </c>
      <c r="D46" t="s">
        <v>1219</v>
      </c>
      <c r="E46" t="s">
        <v>330</v>
      </c>
      <c r="F46" t="s">
        <v>1048</v>
      </c>
      <c r="G46" t="s">
        <v>94</v>
      </c>
      <c r="H46" t="s">
        <v>98</v>
      </c>
      <c r="I46" t="s">
        <v>94</v>
      </c>
    </row>
    <row r="47">
      <c r="A47" t="s">
        <v>283</v>
      </c>
      <c r="B47" t="s">
        <v>318</v>
      </c>
      <c r="C47" t="s">
        <v>332</v>
      </c>
      <c r="D47" t="s">
        <v>1220</v>
      </c>
      <c r="E47" t="s">
        <v>330</v>
      </c>
      <c r="F47" t="s">
        <v>970</v>
      </c>
      <c r="G47" t="s">
        <v>94</v>
      </c>
      <c r="H47" t="s">
        <v>98</v>
      </c>
      <c r="I47" t="s">
        <v>94</v>
      </c>
    </row>
    <row r="48">
      <c r="A48" t="s">
        <v>283</v>
      </c>
      <c r="B48" t="s">
        <v>318</v>
      </c>
      <c r="C48" t="s">
        <v>335</v>
      </c>
      <c r="D48" t="s">
        <v>1221</v>
      </c>
      <c r="E48" t="s">
        <v>330</v>
      </c>
      <c r="F48" t="s">
        <v>1066</v>
      </c>
      <c r="G48" t="s">
        <v>94</v>
      </c>
      <c r="H48" t="s">
        <v>98</v>
      </c>
      <c r="I48" t="s">
        <v>94</v>
      </c>
    </row>
    <row r="49">
      <c r="A49" t="s">
        <v>283</v>
      </c>
      <c r="B49" t="s">
        <v>318</v>
      </c>
      <c r="C49" t="s">
        <v>337</v>
      </c>
      <c r="D49" t="s">
        <v>1222</v>
      </c>
      <c r="E49" t="s">
        <v>330</v>
      </c>
      <c r="F49" t="s">
        <v>893</v>
      </c>
      <c r="G49" t="s">
        <v>94</v>
      </c>
      <c r="H49" t="s">
        <v>98</v>
      </c>
      <c r="I49" t="s">
        <v>94</v>
      </c>
    </row>
    <row r="50">
      <c r="A50" t="s">
        <v>283</v>
      </c>
      <c r="B50" t="s">
        <v>318</v>
      </c>
      <c r="C50" t="s">
        <v>340</v>
      </c>
      <c r="D50" t="s">
        <v>1223</v>
      </c>
      <c r="E50" t="s">
        <v>330</v>
      </c>
      <c r="F50" t="s">
        <v>1066</v>
      </c>
      <c r="G50" t="s">
        <v>94</v>
      </c>
      <c r="H50" t="s">
        <v>98</v>
      </c>
      <c r="I50" t="s">
        <v>94</v>
      </c>
    </row>
    <row r="51">
      <c r="A51" t="s">
        <v>283</v>
      </c>
      <c r="B51" t="s">
        <v>318</v>
      </c>
      <c r="C51" t="s">
        <v>343</v>
      </c>
      <c r="D51" t="s">
        <v>1224</v>
      </c>
      <c r="E51" t="s">
        <v>330</v>
      </c>
      <c r="F51" t="s">
        <v>354</v>
      </c>
      <c r="G51" t="s">
        <v>94</v>
      </c>
      <c r="H51" t="s">
        <v>98</v>
      </c>
      <c r="I51" t="s">
        <v>94</v>
      </c>
    </row>
    <row r="52">
      <c r="A52" t="s">
        <v>283</v>
      </c>
      <c r="B52" t="s">
        <v>318</v>
      </c>
      <c r="C52" t="s">
        <v>347</v>
      </c>
      <c r="D52" t="s">
        <v>1225</v>
      </c>
      <c r="E52" t="s">
        <v>330</v>
      </c>
      <c r="F52" t="s">
        <v>1019</v>
      </c>
      <c r="G52" t="s">
        <v>94</v>
      </c>
      <c r="H52" t="s">
        <v>98</v>
      </c>
      <c r="I52" t="s">
        <v>94</v>
      </c>
    </row>
    <row r="53">
      <c r="A53" t="s">
        <v>283</v>
      </c>
      <c r="B53" t="s">
        <v>318</v>
      </c>
      <c r="C53" t="s">
        <v>350</v>
      </c>
      <c r="D53" t="s">
        <v>1226</v>
      </c>
      <c r="E53" t="s">
        <v>370</v>
      </c>
      <c r="F53" t="s">
        <v>852</v>
      </c>
      <c r="G53" t="s">
        <v>94</v>
      </c>
      <c r="H53" t="s">
        <v>98</v>
      </c>
      <c r="I53" t="s">
        <v>94</v>
      </c>
    </row>
    <row r="54">
      <c r="A54" t="s">
        <v>290</v>
      </c>
      <c r="B54" t="s">
        <v>318</v>
      </c>
      <c r="C54" t="s">
        <v>265</v>
      </c>
      <c r="D54" t="s">
        <v>1227</v>
      </c>
      <c r="E54" t="s">
        <v>320</v>
      </c>
      <c r="F54" t="s">
        <v>167</v>
      </c>
      <c r="G54" t="s">
        <v>94</v>
      </c>
      <c r="H54" t="s">
        <v>98</v>
      </c>
      <c r="I54" t="s">
        <v>94</v>
      </c>
    </row>
    <row r="55">
      <c r="A55" t="s">
        <v>290</v>
      </c>
      <c r="B55" t="s">
        <v>318</v>
      </c>
      <c r="C55" t="s">
        <v>322</v>
      </c>
      <c r="D55" t="s">
        <v>1228</v>
      </c>
      <c r="E55" t="s">
        <v>324</v>
      </c>
      <c r="F55" t="s">
        <v>1070</v>
      </c>
      <c r="G55" t="s">
        <v>94</v>
      </c>
      <c r="H55" t="s">
        <v>98</v>
      </c>
      <c r="I55" t="s">
        <v>94</v>
      </c>
    </row>
    <row r="56">
      <c r="A56" t="s">
        <v>290</v>
      </c>
      <c r="B56" t="s">
        <v>318</v>
      </c>
      <c r="C56" t="s">
        <v>326</v>
      </c>
      <c r="D56" t="s">
        <v>1229</v>
      </c>
      <c r="E56" t="s">
        <v>376</v>
      </c>
      <c r="F56" t="s">
        <v>1046</v>
      </c>
      <c r="G56" t="s">
        <v>94</v>
      </c>
      <c r="H56" t="s">
        <v>98</v>
      </c>
      <c r="I56" t="s">
        <v>94</v>
      </c>
    </row>
    <row r="57">
      <c r="A57" t="s">
        <v>290</v>
      </c>
      <c r="B57" t="s">
        <v>318</v>
      </c>
      <c r="C57" t="s">
        <v>328</v>
      </c>
      <c r="D57" t="s">
        <v>1230</v>
      </c>
      <c r="E57" t="s">
        <v>330</v>
      </c>
      <c r="F57" t="s">
        <v>996</v>
      </c>
      <c r="G57" t="s">
        <v>94</v>
      </c>
      <c r="H57" t="s">
        <v>970</v>
      </c>
      <c r="I57" t="s">
        <v>94</v>
      </c>
    </row>
    <row r="58">
      <c r="A58" t="s">
        <v>290</v>
      </c>
      <c r="B58" t="s">
        <v>318</v>
      </c>
      <c r="C58" t="s">
        <v>332</v>
      </c>
      <c r="D58" t="s">
        <v>1231</v>
      </c>
      <c r="E58" t="s">
        <v>370</v>
      </c>
      <c r="F58" t="s">
        <v>1232</v>
      </c>
      <c r="G58" t="s">
        <v>94</v>
      </c>
      <c r="H58" t="s">
        <v>98</v>
      </c>
      <c r="I58" t="s">
        <v>94</v>
      </c>
    </row>
    <row r="59">
      <c r="A59" t="s">
        <v>290</v>
      </c>
      <c r="B59" t="s">
        <v>318</v>
      </c>
      <c r="C59" t="s">
        <v>335</v>
      </c>
      <c r="D59" t="s">
        <v>381</v>
      </c>
      <c r="E59" t="s">
        <v>382</v>
      </c>
      <c r="F59" t="s">
        <v>94</v>
      </c>
      <c r="G59" t="s">
        <v>94</v>
      </c>
      <c r="H59" t="s">
        <v>94</v>
      </c>
      <c r="I59" t="s">
        <v>383</v>
      </c>
    </row>
    <row r="60">
      <c r="A60" t="s">
        <v>290</v>
      </c>
      <c r="B60" t="s">
        <v>318</v>
      </c>
      <c r="C60" t="s">
        <v>337</v>
      </c>
      <c r="D60" t="s">
        <v>381</v>
      </c>
      <c r="E60" t="s">
        <v>382</v>
      </c>
      <c r="F60" t="s">
        <v>94</v>
      </c>
      <c r="G60" t="s">
        <v>94</v>
      </c>
      <c r="H60" t="s">
        <v>94</v>
      </c>
      <c r="I60" t="s">
        <v>384</v>
      </c>
    </row>
    <row r="61">
      <c r="A61" t="s">
        <v>290</v>
      </c>
      <c r="B61" t="s">
        <v>318</v>
      </c>
      <c r="C61" t="s">
        <v>340</v>
      </c>
      <c r="D61" t="s">
        <v>381</v>
      </c>
      <c r="E61" t="s">
        <v>382</v>
      </c>
      <c r="F61" t="s">
        <v>94</v>
      </c>
      <c r="G61" t="s">
        <v>94</v>
      </c>
      <c r="H61" t="s">
        <v>94</v>
      </c>
      <c r="I61" t="s">
        <v>385</v>
      </c>
    </row>
    <row r="62">
      <c r="A62" t="s">
        <v>290</v>
      </c>
      <c r="B62" t="s">
        <v>318</v>
      </c>
      <c r="C62" t="s">
        <v>343</v>
      </c>
      <c r="D62" t="s">
        <v>381</v>
      </c>
      <c r="E62" t="s">
        <v>382</v>
      </c>
      <c r="F62" t="s">
        <v>94</v>
      </c>
      <c r="G62" t="s">
        <v>94</v>
      </c>
      <c r="H62" t="s">
        <v>94</v>
      </c>
      <c r="I62" t="s">
        <v>386</v>
      </c>
    </row>
    <row r="63">
      <c r="A63" t="s">
        <v>290</v>
      </c>
      <c r="B63" t="s">
        <v>318</v>
      </c>
      <c r="C63" t="s">
        <v>347</v>
      </c>
      <c r="D63" t="s">
        <v>381</v>
      </c>
      <c r="E63" t="s">
        <v>382</v>
      </c>
      <c r="F63" t="s">
        <v>94</v>
      </c>
      <c r="G63" t="s">
        <v>94</v>
      </c>
      <c r="H63" t="s">
        <v>94</v>
      </c>
      <c r="I63" t="s">
        <v>387</v>
      </c>
    </row>
    <row r="64">
      <c r="A64" t="s">
        <v>290</v>
      </c>
      <c r="B64" t="s">
        <v>318</v>
      </c>
      <c r="C64" t="s">
        <v>350</v>
      </c>
      <c r="D64" t="s">
        <v>381</v>
      </c>
      <c r="E64" t="s">
        <v>382</v>
      </c>
      <c r="F64" t="s">
        <v>94</v>
      </c>
      <c r="G64" t="s">
        <v>94</v>
      </c>
      <c r="H64" t="s">
        <v>94</v>
      </c>
      <c r="I64" t="s">
        <v>388</v>
      </c>
    </row>
    <row r="66">
      <c r="A66" s="1" t="s">
        <v>389</v>
      </c>
    </row>
    <row r="67">
      <c r="A67" t="s">
        <v>258</v>
      </c>
      <c r="B67" t="s">
        <v>390</v>
      </c>
      <c r="C67" t="s">
        <v>259</v>
      </c>
      <c r="D67" t="s">
        <v>260</v>
      </c>
      <c r="E67" t="s">
        <v>391</v>
      </c>
      <c r="F67" t="s">
        <v>392</v>
      </c>
      <c r="G67" t="s">
        <v>393</v>
      </c>
      <c r="H67" t="s">
        <v>394</v>
      </c>
      <c r="I67" t="s">
        <v>40</v>
      </c>
      <c r="J67" t="s">
        <v>395</v>
      </c>
      <c r="K67" t="s">
        <v>39</v>
      </c>
      <c r="L67" t="s">
        <v>396</v>
      </c>
      <c r="M67" t="s">
        <v>1</v>
      </c>
    </row>
    <row r="68">
      <c r="A68" t="s">
        <v>30</v>
      </c>
      <c r="B68" t="s">
        <v>328</v>
      </c>
      <c r="C68" t="n">
        <v>55</v>
      </c>
      <c r="D68" t="n">
        <v>39</v>
      </c>
      <c r="E68" s="30" t="n">
        <v>7.27272727272727</v>
      </c>
      <c r="F68" s="30" t="n">
        <v>85.4545454545455</v>
      </c>
      <c r="G68" t="n">
        <v>43</v>
      </c>
      <c r="H68" t="n">
        <v>0</v>
      </c>
      <c r="I68" t="s">
        <v>397</v>
      </c>
      <c r="J68" s="28" t="n">
        <v>27.5970149253731</v>
      </c>
      <c r="K68" t="s">
        <v>55</v>
      </c>
      <c r="L68" t="s">
        <v>55</v>
      </c>
      <c r="M68" t="s">
        <v>94</v>
      </c>
    </row>
    <row r="69">
      <c r="A69" t="s">
        <v>30</v>
      </c>
      <c r="B69" t="s">
        <v>332</v>
      </c>
      <c r="C69" t="n">
        <v>55</v>
      </c>
      <c r="D69" t="n">
        <v>39</v>
      </c>
      <c r="E69" s="30" t="n">
        <v>34.5454545454545</v>
      </c>
      <c r="F69" s="30" t="n">
        <v>96.3636363636364</v>
      </c>
      <c r="G69" t="n">
        <v>34</v>
      </c>
      <c r="H69" t="n">
        <v>0</v>
      </c>
      <c r="I69" t="s">
        <v>397</v>
      </c>
      <c r="J69" s="28" t="n">
        <v>22.2307692307692</v>
      </c>
      <c r="K69" t="s">
        <v>55</v>
      </c>
      <c r="L69" t="s">
        <v>55</v>
      </c>
      <c r="M69" t="s">
        <v>94</v>
      </c>
    </row>
    <row r="70">
      <c r="A70" t="s">
        <v>30</v>
      </c>
      <c r="B70" t="s">
        <v>335</v>
      </c>
      <c r="C70" t="n">
        <v>55</v>
      </c>
      <c r="D70" t="n">
        <v>39</v>
      </c>
      <c r="E70" s="30" t="n">
        <v>61.8181818181818</v>
      </c>
      <c r="F70" s="30" t="n">
        <v>100</v>
      </c>
      <c r="G70" t="n">
        <v>21</v>
      </c>
      <c r="H70" t="n">
        <v>0</v>
      </c>
      <c r="I70" t="s">
        <v>398</v>
      </c>
      <c r="J70" s="28"/>
      <c r="K70" t="s">
        <v>55</v>
      </c>
      <c r="L70" t="s">
        <v>55</v>
      </c>
      <c r="M70" t="s">
        <v>94</v>
      </c>
    </row>
    <row r="71">
      <c r="A71" t="s">
        <v>30</v>
      </c>
      <c r="B71" t="s">
        <v>337</v>
      </c>
      <c r="C71" t="n">
        <v>55</v>
      </c>
      <c r="D71" t="n">
        <v>39</v>
      </c>
      <c r="E71" s="30" t="n">
        <v>78.1818181818182</v>
      </c>
      <c r="F71" s="30" t="n">
        <v>100</v>
      </c>
      <c r="G71" t="n">
        <v>12</v>
      </c>
      <c r="H71" t="n">
        <v>0</v>
      </c>
      <c r="I71" t="s">
        <v>398</v>
      </c>
      <c r="J71" s="28"/>
      <c r="K71" t="s">
        <v>308</v>
      </c>
      <c r="L71" t="s">
        <v>1233</v>
      </c>
      <c r="M71" t="s">
        <v>94</v>
      </c>
    </row>
    <row r="72">
      <c r="A72" t="s">
        <v>30</v>
      </c>
      <c r="B72" t="s">
        <v>340</v>
      </c>
      <c r="C72" t="n">
        <v>55</v>
      </c>
      <c r="D72" t="n">
        <v>39</v>
      </c>
      <c r="E72" s="30" t="n">
        <v>87.2727272727273</v>
      </c>
      <c r="F72" s="30" t="n">
        <v>100</v>
      </c>
      <c r="G72" t="n">
        <v>7</v>
      </c>
      <c r="H72" t="n">
        <v>0</v>
      </c>
      <c r="I72" t="s">
        <v>398</v>
      </c>
      <c r="J72" s="28"/>
      <c r="K72" t="s">
        <v>81</v>
      </c>
      <c r="L72" t="s">
        <v>349</v>
      </c>
      <c r="M72" t="s">
        <v>94</v>
      </c>
    </row>
    <row r="73">
      <c r="A73" t="s">
        <v>30</v>
      </c>
      <c r="B73" t="s">
        <v>343</v>
      </c>
      <c r="C73" t="n">
        <v>55</v>
      </c>
      <c r="D73" t="n">
        <v>39</v>
      </c>
      <c r="E73" s="30" t="n">
        <v>90.9090909090909</v>
      </c>
      <c r="F73" s="30" t="n">
        <v>100</v>
      </c>
      <c r="G73" t="n">
        <v>5</v>
      </c>
      <c r="H73" t="n">
        <v>0</v>
      </c>
      <c r="I73" t="s">
        <v>401</v>
      </c>
      <c r="J73" s="28"/>
      <c r="K73" t="s">
        <v>898</v>
      </c>
      <c r="L73" t="s">
        <v>996</v>
      </c>
      <c r="M73" t="s">
        <v>94</v>
      </c>
    </row>
    <row r="74">
      <c r="A74" t="s">
        <v>30</v>
      </c>
      <c r="B74" t="s">
        <v>347</v>
      </c>
      <c r="C74" t="n">
        <v>55</v>
      </c>
      <c r="D74" t="n">
        <v>39</v>
      </c>
      <c r="E74" s="30" t="n">
        <v>94.5454545454545</v>
      </c>
      <c r="F74" s="30" t="n">
        <v>100</v>
      </c>
      <c r="G74" t="n">
        <v>3</v>
      </c>
      <c r="H74" t="n">
        <v>0</v>
      </c>
      <c r="I74" t="s">
        <v>401</v>
      </c>
      <c r="J74" s="28"/>
      <c r="K74" t="s">
        <v>143</v>
      </c>
      <c r="L74" t="s">
        <v>402</v>
      </c>
      <c r="M74" t="s">
        <v>94</v>
      </c>
    </row>
    <row r="75">
      <c r="A75" t="s">
        <v>30</v>
      </c>
      <c r="B75" t="s">
        <v>350</v>
      </c>
      <c r="C75" t="n">
        <v>55</v>
      </c>
      <c r="D75" t="n">
        <v>39</v>
      </c>
      <c r="E75" s="30" t="n">
        <v>96.3636363636364</v>
      </c>
      <c r="F75" s="30" t="n">
        <v>100</v>
      </c>
      <c r="G75" t="n">
        <v>2</v>
      </c>
      <c r="H75" t="n">
        <v>0</v>
      </c>
      <c r="I75" t="s">
        <v>401</v>
      </c>
      <c r="J75" s="28"/>
      <c r="K75" t="s">
        <v>402</v>
      </c>
      <c r="L75" t="s">
        <v>402</v>
      </c>
      <c r="M75" t="s">
        <v>94</v>
      </c>
    </row>
    <row r="76">
      <c r="A76" t="s">
        <v>31</v>
      </c>
      <c r="B76" t="s">
        <v>328</v>
      </c>
      <c r="C76" t="n">
        <v>38</v>
      </c>
      <c r="D76" t="n">
        <v>30</v>
      </c>
      <c r="E76" s="30" t="n">
        <v>13.1578947368421</v>
      </c>
      <c r="F76" s="30" t="n">
        <v>94.7368421052632</v>
      </c>
      <c r="G76" t="n">
        <v>31</v>
      </c>
      <c r="H76" t="n">
        <v>0</v>
      </c>
      <c r="I76" t="s">
        <v>397</v>
      </c>
      <c r="J76" s="28" t="n">
        <v>22.3488372093023</v>
      </c>
      <c r="K76" t="s">
        <v>55</v>
      </c>
      <c r="L76" t="s">
        <v>55</v>
      </c>
      <c r="M76" t="s">
        <v>94</v>
      </c>
    </row>
    <row r="77">
      <c r="A77" t="s">
        <v>31</v>
      </c>
      <c r="B77" t="s">
        <v>332</v>
      </c>
      <c r="C77" t="n">
        <v>38</v>
      </c>
      <c r="D77" t="n">
        <v>30</v>
      </c>
      <c r="E77" s="30" t="n">
        <v>28.9473684210526</v>
      </c>
      <c r="F77" s="30" t="n">
        <v>100</v>
      </c>
      <c r="G77" t="n">
        <v>27</v>
      </c>
      <c r="H77" t="n">
        <v>0</v>
      </c>
      <c r="I77" t="s">
        <v>397</v>
      </c>
      <c r="J77" s="28" t="n">
        <v>19.7027027027027</v>
      </c>
      <c r="K77" t="s">
        <v>55</v>
      </c>
      <c r="L77" t="s">
        <v>55</v>
      </c>
      <c r="M77" t="s">
        <v>94</v>
      </c>
    </row>
    <row r="78">
      <c r="A78" t="s">
        <v>31</v>
      </c>
      <c r="B78" t="s">
        <v>335</v>
      </c>
      <c r="C78" t="n">
        <v>38</v>
      </c>
      <c r="D78" t="n">
        <v>30</v>
      </c>
      <c r="E78" s="30" t="n">
        <v>57.8947368421053</v>
      </c>
      <c r="F78" s="30" t="n">
        <v>100</v>
      </c>
      <c r="G78" t="n">
        <v>16</v>
      </c>
      <c r="H78" t="n">
        <v>0</v>
      </c>
      <c r="I78" t="s">
        <v>398</v>
      </c>
      <c r="J78" s="28"/>
      <c r="K78" t="s">
        <v>55</v>
      </c>
      <c r="L78" t="s">
        <v>307</v>
      </c>
      <c r="M78" t="s">
        <v>94</v>
      </c>
    </row>
    <row r="79">
      <c r="A79" t="s">
        <v>31</v>
      </c>
      <c r="B79" t="s">
        <v>337</v>
      </c>
      <c r="C79" t="n">
        <v>38</v>
      </c>
      <c r="D79" t="n">
        <v>30</v>
      </c>
      <c r="E79" s="30" t="n">
        <v>76.3157894736842</v>
      </c>
      <c r="F79" s="30" t="n">
        <v>100</v>
      </c>
      <c r="G79" t="n">
        <v>9</v>
      </c>
      <c r="H79" t="n">
        <v>0</v>
      </c>
      <c r="I79" t="s">
        <v>398</v>
      </c>
      <c r="J79" s="28"/>
      <c r="K79" t="s">
        <v>184</v>
      </c>
      <c r="L79" t="s">
        <v>81</v>
      </c>
      <c r="M79" t="s">
        <v>94</v>
      </c>
    </row>
    <row r="80">
      <c r="A80" t="s">
        <v>31</v>
      </c>
      <c r="B80" t="s">
        <v>340</v>
      </c>
      <c r="C80" t="n">
        <v>38</v>
      </c>
      <c r="D80" t="n">
        <v>30</v>
      </c>
      <c r="E80" s="30" t="n">
        <v>81.5789473684211</v>
      </c>
      <c r="F80" s="30" t="n">
        <v>100</v>
      </c>
      <c r="G80" t="n">
        <v>7</v>
      </c>
      <c r="H80" t="n">
        <v>0</v>
      </c>
      <c r="I80" t="s">
        <v>398</v>
      </c>
      <c r="J80" s="28"/>
      <c r="K80" t="s">
        <v>81</v>
      </c>
      <c r="L80" t="s">
        <v>81</v>
      </c>
      <c r="M80" t="s">
        <v>94</v>
      </c>
    </row>
    <row r="81">
      <c r="A81" t="s">
        <v>31</v>
      </c>
      <c r="B81" t="s">
        <v>343</v>
      </c>
      <c r="C81" t="n">
        <v>38</v>
      </c>
      <c r="D81" t="n">
        <v>30</v>
      </c>
      <c r="E81" s="30" t="n">
        <v>97.3684210526316</v>
      </c>
      <c r="F81" s="30" t="n">
        <v>100</v>
      </c>
      <c r="G81" t="n">
        <v>1</v>
      </c>
      <c r="H81" t="n">
        <v>0</v>
      </c>
      <c r="I81" t="s">
        <v>382</v>
      </c>
      <c r="J81" s="28"/>
      <c r="K81" t="s">
        <v>94</v>
      </c>
      <c r="L81" t="s">
        <v>94</v>
      </c>
      <c r="M81" t="s">
        <v>1234</v>
      </c>
    </row>
    <row r="82">
      <c r="A82" t="s">
        <v>31</v>
      </c>
      <c r="B82" t="s">
        <v>347</v>
      </c>
      <c r="C82" t="n">
        <v>38</v>
      </c>
      <c r="D82" t="n">
        <v>30</v>
      </c>
      <c r="E82" s="30" t="n">
        <v>100</v>
      </c>
      <c r="F82" s="30" t="n">
        <v>100</v>
      </c>
      <c r="G82" t="n">
        <v>0</v>
      </c>
      <c r="H82" t="n">
        <v>0</v>
      </c>
      <c r="I82" t="s">
        <v>382</v>
      </c>
      <c r="J82" s="28"/>
      <c r="K82" t="s">
        <v>94</v>
      </c>
      <c r="L82" t="s">
        <v>94</v>
      </c>
      <c r="M82" t="s">
        <v>403</v>
      </c>
    </row>
    <row r="83">
      <c r="A83" t="s">
        <v>31</v>
      </c>
      <c r="B83" t="s">
        <v>350</v>
      </c>
      <c r="C83" t="n">
        <v>38</v>
      </c>
      <c r="D83" t="n">
        <v>30</v>
      </c>
      <c r="E83" s="30" t="n">
        <v>100</v>
      </c>
      <c r="F83" s="30" t="n">
        <v>100</v>
      </c>
      <c r="G83" t="n">
        <v>0</v>
      </c>
      <c r="H83" t="n">
        <v>0</v>
      </c>
      <c r="I83" t="s">
        <v>382</v>
      </c>
      <c r="J83" s="28"/>
      <c r="K83" t="s">
        <v>94</v>
      </c>
      <c r="L83" t="s">
        <v>94</v>
      </c>
      <c r="M83" t="s">
        <v>403</v>
      </c>
    </row>
    <row r="85">
      <c r="A85" s="1" t="s">
        <v>404</v>
      </c>
    </row>
    <row r="86">
      <c r="A86" t="s">
        <v>257</v>
      </c>
      <c r="B86" t="s">
        <v>258</v>
      </c>
      <c r="C86" t="s">
        <v>248</v>
      </c>
      <c r="D86" t="s">
        <v>259</v>
      </c>
      <c r="E86" t="s">
        <v>261</v>
      </c>
      <c r="F86" t="s">
        <v>262</v>
      </c>
      <c r="G86" t="s">
        <v>265</v>
      </c>
    </row>
    <row r="87">
      <c r="A87" t="s">
        <v>276</v>
      </c>
      <c r="B87" t="s">
        <v>30</v>
      </c>
      <c r="C87" t="s">
        <v>253</v>
      </c>
      <c r="D87" t="n">
        <v>31</v>
      </c>
      <c r="E87" s="28" t="n">
        <v>-0.378902990386524</v>
      </c>
      <c r="F87" s="28" t="n">
        <v>0.00728429227115992</v>
      </c>
      <c r="G87" t="s">
        <v>1235</v>
      </c>
    </row>
    <row r="88">
      <c r="A88" t="s">
        <v>276</v>
      </c>
      <c r="B88" t="s">
        <v>30</v>
      </c>
      <c r="C88" t="s">
        <v>254</v>
      </c>
      <c r="D88" t="n">
        <v>29</v>
      </c>
      <c r="E88" s="28" t="n">
        <v>-0.298327556567733</v>
      </c>
      <c r="F88" s="28" t="n">
        <v>0.0660878621583463</v>
      </c>
      <c r="G88" t="s">
        <v>1236</v>
      </c>
    </row>
    <row r="89">
      <c r="A89" t="s">
        <v>276</v>
      </c>
      <c r="B89" t="s">
        <v>31</v>
      </c>
      <c r="C89" t="s">
        <v>253</v>
      </c>
      <c r="D89" t="n">
        <v>25</v>
      </c>
      <c r="E89" s="28" t="n">
        <v>-0.414533553962042</v>
      </c>
      <c r="F89" s="28" t="n">
        <v>0.0993109196973847</v>
      </c>
      <c r="G89" t="s">
        <v>1193</v>
      </c>
    </row>
    <row r="90">
      <c r="A90" t="s">
        <v>276</v>
      </c>
      <c r="B90" t="s">
        <v>31</v>
      </c>
      <c r="C90" t="s">
        <v>254</v>
      </c>
      <c r="D90" t="n">
        <v>17</v>
      </c>
      <c r="E90" s="28" t="n">
        <v>-0.421033613107216</v>
      </c>
      <c r="F90" s="28" t="n">
        <v>0.0945587877348563</v>
      </c>
      <c r="G90" t="s">
        <v>1237</v>
      </c>
    </row>
    <row r="91">
      <c r="A91" t="s">
        <v>283</v>
      </c>
      <c r="B91" t="s">
        <v>30</v>
      </c>
      <c r="C91" t="s">
        <v>253</v>
      </c>
      <c r="D91" t="n">
        <v>29</v>
      </c>
      <c r="E91" s="28" t="n">
        <v>0.403950857242232</v>
      </c>
      <c r="F91" s="28" t="n">
        <v>0.0807708154756059</v>
      </c>
      <c r="G91" t="s">
        <v>1238</v>
      </c>
    </row>
    <row r="92">
      <c r="A92" t="s">
        <v>283</v>
      </c>
      <c r="B92" t="s">
        <v>30</v>
      </c>
      <c r="C92" t="s">
        <v>254</v>
      </c>
      <c r="D92" t="n">
        <v>26</v>
      </c>
      <c r="E92" s="28" t="n">
        <v>0.323776989311241</v>
      </c>
      <c r="F92" s="28" t="n">
        <v>-0.0611789646891196</v>
      </c>
      <c r="G92" t="s">
        <v>1239</v>
      </c>
    </row>
    <row r="93">
      <c r="A93" t="s">
        <v>283</v>
      </c>
      <c r="B93" t="s">
        <v>31</v>
      </c>
      <c r="C93" t="s">
        <v>253</v>
      </c>
      <c r="D93" t="n">
        <v>23</v>
      </c>
      <c r="E93" s="28" t="n">
        <v>0.366062609135772</v>
      </c>
      <c r="F93" s="28" t="n">
        <v>-0.0470489938000863</v>
      </c>
      <c r="G93" t="s">
        <v>1240</v>
      </c>
    </row>
    <row r="94">
      <c r="A94" t="s">
        <v>283</v>
      </c>
      <c r="B94" t="s">
        <v>31</v>
      </c>
      <c r="C94" t="s">
        <v>254</v>
      </c>
      <c r="D94" t="n">
        <v>15</v>
      </c>
      <c r="E94" s="28" t="n">
        <v>0.332638372137516</v>
      </c>
      <c r="F94" s="28" t="n">
        <v>-0.0531444655424051</v>
      </c>
      <c r="G94" t="s">
        <v>1241</v>
      </c>
    </row>
    <row r="95">
      <c r="A95" t="s">
        <v>290</v>
      </c>
      <c r="B95" t="s">
        <v>30</v>
      </c>
      <c r="C95" t="s">
        <v>253</v>
      </c>
      <c r="D95" t="n">
        <v>29</v>
      </c>
      <c r="E95" s="28" t="n">
        <v>-0.014341713788207</v>
      </c>
      <c r="F95" s="28" t="n">
        <v>0.0763766473471474</v>
      </c>
      <c r="G95" t="s">
        <v>1242</v>
      </c>
    </row>
    <row r="96">
      <c r="A96" t="s">
        <v>290</v>
      </c>
      <c r="B96" t="s">
        <v>30</v>
      </c>
      <c r="C96" t="s">
        <v>254</v>
      </c>
      <c r="D96" t="n">
        <v>26</v>
      </c>
      <c r="E96" s="28" t="n">
        <v>-0.0263949002570193</v>
      </c>
      <c r="F96" s="28" t="n">
        <v>0.0101333824997435</v>
      </c>
      <c r="G96" t="s">
        <v>1243</v>
      </c>
    </row>
    <row r="97">
      <c r="A97" t="s">
        <v>290</v>
      </c>
      <c r="B97" t="s">
        <v>31</v>
      </c>
      <c r="C97" t="s">
        <v>253</v>
      </c>
      <c r="D97" t="n">
        <v>23</v>
      </c>
      <c r="E97" s="28" t="n">
        <v>-0.010264545927768</v>
      </c>
      <c r="F97" s="28" t="n">
        <v>0.0462763011297291</v>
      </c>
      <c r="G97" t="s">
        <v>1244</v>
      </c>
    </row>
    <row r="98">
      <c r="A98" t="s">
        <v>290</v>
      </c>
      <c r="B98" t="s">
        <v>31</v>
      </c>
      <c r="C98" t="s">
        <v>254</v>
      </c>
      <c r="D98" t="n">
        <v>15</v>
      </c>
      <c r="E98" s="28" t="n">
        <v>-0.0180838026717868</v>
      </c>
      <c r="F98" s="28" t="n">
        <v>-0.00851646856409302</v>
      </c>
      <c r="G98" t="s">
        <v>1245</v>
      </c>
    </row>
    <row r="100">
      <c r="A100" s="1" t="s">
        <v>417</v>
      </c>
    </row>
    <row r="101">
      <c r="A101" t="s">
        <v>257</v>
      </c>
      <c r="B101" t="s">
        <v>258</v>
      </c>
      <c r="C101" t="s">
        <v>418</v>
      </c>
      <c r="D101" t="s">
        <v>419</v>
      </c>
      <c r="E101" t="s">
        <v>420</v>
      </c>
      <c r="F101" t="s">
        <v>421</v>
      </c>
    </row>
    <row r="102">
      <c r="A102" t="s">
        <v>276</v>
      </c>
      <c r="B102" t="s">
        <v>30</v>
      </c>
      <c r="C102" t="s">
        <v>422</v>
      </c>
      <c r="D102" t="n">
        <v>1</v>
      </c>
      <c r="E102" s="28" t="n">
        <v>0.970295726275996</v>
      </c>
      <c r="F102" s="28" t="n">
        <v>-0.241921895599668</v>
      </c>
    </row>
    <row r="103">
      <c r="A103" t="s">
        <v>276</v>
      </c>
      <c r="B103" t="s">
        <v>30</v>
      </c>
      <c r="C103" t="s">
        <v>422</v>
      </c>
      <c r="D103" t="n">
        <v>2</v>
      </c>
      <c r="E103" s="28" t="n">
        <v>0.46947156278589</v>
      </c>
      <c r="F103" s="28" t="n">
        <v>-0.882947592858927</v>
      </c>
    </row>
    <row r="104">
      <c r="A104" t="s">
        <v>276</v>
      </c>
      <c r="B104" t="s">
        <v>30</v>
      </c>
      <c r="C104" t="s">
        <v>422</v>
      </c>
      <c r="D104" t="n">
        <v>3</v>
      </c>
      <c r="E104" s="28" t="n">
        <v>-0.618033988749895</v>
      </c>
      <c r="F104" s="28" t="n">
        <v>-1.90211303259031</v>
      </c>
    </row>
    <row r="105">
      <c r="A105" t="s">
        <v>276</v>
      </c>
      <c r="B105" t="s">
        <v>30</v>
      </c>
      <c r="C105" t="s">
        <v>422</v>
      </c>
      <c r="D105" t="n">
        <v>4</v>
      </c>
      <c r="E105" s="28" t="n">
        <v>-1.21565214830325</v>
      </c>
      <c r="F105" s="28" t="n">
        <v>-1.25884465059264</v>
      </c>
    </row>
    <row r="106">
      <c r="A106" t="s">
        <v>276</v>
      </c>
      <c r="B106" t="s">
        <v>30</v>
      </c>
      <c r="C106" t="s">
        <v>422</v>
      </c>
      <c r="D106" t="n">
        <v>5</v>
      </c>
      <c r="E106" s="28" t="n">
        <v>-2.42573931568999</v>
      </c>
      <c r="F106" s="28" t="n">
        <v>0.604804738999169</v>
      </c>
    </row>
    <row r="107">
      <c r="A107" t="s">
        <v>276</v>
      </c>
      <c r="B107" t="s">
        <v>30</v>
      </c>
      <c r="C107" t="s">
        <v>422</v>
      </c>
      <c r="D107" t="n">
        <v>6</v>
      </c>
      <c r="E107" s="28" t="n">
        <v>-1.25818403280918</v>
      </c>
      <c r="F107" s="28" t="n">
        <v>1.86533453824884</v>
      </c>
    </row>
    <row r="108">
      <c r="A108" t="s">
        <v>276</v>
      </c>
      <c r="B108" t="s">
        <v>30</v>
      </c>
      <c r="C108" t="s">
        <v>422</v>
      </c>
      <c r="D108" t="n">
        <v>7</v>
      </c>
      <c r="E108" s="28" t="n">
        <v>-0.767149506880886</v>
      </c>
      <c r="F108" s="28" t="n">
        <v>1.57288958102354</v>
      </c>
    </row>
    <row r="109">
      <c r="A109" t="s">
        <v>276</v>
      </c>
      <c r="B109" t="s">
        <v>30</v>
      </c>
      <c r="C109" t="s">
        <v>422</v>
      </c>
      <c r="D109" t="n">
        <v>8</v>
      </c>
      <c r="E109" s="28" t="n">
        <v>0.927183854566787</v>
      </c>
      <c r="F109" s="28" t="n">
        <v>0.374606593415912</v>
      </c>
    </row>
    <row r="110">
      <c r="A110" t="s">
        <v>276</v>
      </c>
      <c r="B110" t="s">
        <v>30</v>
      </c>
      <c r="C110" t="s">
        <v>423</v>
      </c>
      <c r="D110" t="n">
        <v>1</v>
      </c>
      <c r="E110" s="28" t="n">
        <v>-0.0659823218607621</v>
      </c>
      <c r="F110" s="28" t="n">
        <v>0.0149248842470991</v>
      </c>
    </row>
    <row r="111">
      <c r="A111" t="s">
        <v>276</v>
      </c>
      <c r="B111" t="s">
        <v>30</v>
      </c>
      <c r="C111" t="s">
        <v>423</v>
      </c>
      <c r="D111" t="n">
        <v>2</v>
      </c>
      <c r="E111" s="28" t="n">
        <v>-0.0963158487213856</v>
      </c>
      <c r="F111" s="28" t="n">
        <v>-0.0230242452764774</v>
      </c>
    </row>
    <row r="112">
      <c r="A112" t="s">
        <v>276</v>
      </c>
      <c r="B112" t="s">
        <v>30</v>
      </c>
      <c r="C112" t="s">
        <v>423</v>
      </c>
      <c r="D112" t="n">
        <v>3</v>
      </c>
      <c r="E112" s="28" t="n">
        <v>-0.160636992557246</v>
      </c>
      <c r="F112" s="28" t="n">
        <v>-0.0686492407433812</v>
      </c>
    </row>
    <row r="113">
      <c r="A113" t="s">
        <v>276</v>
      </c>
      <c r="B113" t="s">
        <v>30</v>
      </c>
      <c r="C113" t="s">
        <v>423</v>
      </c>
      <c r="D113" t="n">
        <v>4</v>
      </c>
      <c r="E113" s="28" t="n">
        <v>-0.198780161005531</v>
      </c>
      <c r="F113" s="28" t="n">
        <v>-0.0831107057360984</v>
      </c>
    </row>
    <row r="114">
      <c r="A114" t="s">
        <v>276</v>
      </c>
      <c r="B114" t="s">
        <v>30</v>
      </c>
      <c r="C114" t="s">
        <v>423</v>
      </c>
      <c r="D114" t="n">
        <v>5</v>
      </c>
      <c r="E114" s="28" t="n">
        <v>-0.310747230024529</v>
      </c>
      <c r="F114" s="28" t="n">
        <v>-0.105087418467472</v>
      </c>
    </row>
    <row r="115">
      <c r="A115" t="s">
        <v>276</v>
      </c>
      <c r="B115" t="s">
        <v>30</v>
      </c>
      <c r="C115" t="s">
        <v>423</v>
      </c>
      <c r="D115" t="n">
        <v>6</v>
      </c>
      <c r="E115" s="28" t="n">
        <v>-0.339590527181975</v>
      </c>
      <c r="F115" s="28" t="n">
        <v>-0.107989234275166</v>
      </c>
    </row>
    <row r="116">
      <c r="A116" t="s">
        <v>276</v>
      </c>
      <c r="B116" t="s">
        <v>30</v>
      </c>
      <c r="C116" t="s">
        <v>423</v>
      </c>
      <c r="D116" t="n">
        <v>7</v>
      </c>
      <c r="E116" s="28" t="n">
        <v>-0.435866297940531</v>
      </c>
      <c r="F116" s="28" t="n">
        <v>-0.0950789167057956</v>
      </c>
    </row>
    <row r="117">
      <c r="A117" t="s">
        <v>276</v>
      </c>
      <c r="B117" t="s">
        <v>30</v>
      </c>
      <c r="C117" t="s">
        <v>423</v>
      </c>
      <c r="D117" t="n">
        <v>8</v>
      </c>
      <c r="E117" s="28" t="n">
        <v>-0.558293364325731</v>
      </c>
      <c r="F117" s="28" t="n">
        <v>-0.0490258525101584</v>
      </c>
    </row>
    <row r="118">
      <c r="A118" t="s">
        <v>276</v>
      </c>
      <c r="B118" t="s">
        <v>30</v>
      </c>
      <c r="C118" t="s">
        <v>423</v>
      </c>
      <c r="D118" t="n">
        <v>9</v>
      </c>
      <c r="E118" s="28" t="n">
        <v>-0.619980157608712</v>
      </c>
      <c r="F118" s="28" t="n">
        <v>0.0531940963522932</v>
      </c>
    </row>
    <row r="119">
      <c r="A119" t="s">
        <v>276</v>
      </c>
      <c r="B119" t="s">
        <v>30</v>
      </c>
      <c r="C119" t="s">
        <v>423</v>
      </c>
      <c r="D119" t="n">
        <v>10</v>
      </c>
      <c r="E119" s="28" t="n">
        <v>-0.571378214001191</v>
      </c>
      <c r="F119" s="28" t="n">
        <v>0.116529684138036</v>
      </c>
    </row>
    <row r="120">
      <c r="A120" t="s">
        <v>276</v>
      </c>
      <c r="B120" t="s">
        <v>30</v>
      </c>
      <c r="C120" t="s">
        <v>423</v>
      </c>
      <c r="D120" t="n">
        <v>11</v>
      </c>
      <c r="E120" s="28" t="n">
        <v>-0.523551198778042</v>
      </c>
      <c r="F120" s="28" t="n">
        <v>0.153050758066237</v>
      </c>
    </row>
    <row r="121">
      <c r="A121" t="s">
        <v>276</v>
      </c>
      <c r="B121" t="s">
        <v>30</v>
      </c>
      <c r="C121" t="s">
        <v>423</v>
      </c>
      <c r="D121" t="n">
        <v>12</v>
      </c>
      <c r="E121" s="28" t="n">
        <v>-0.506353051849324</v>
      </c>
      <c r="F121" s="28" t="n">
        <v>0.162902350726931</v>
      </c>
    </row>
    <row r="122">
      <c r="A122" t="s">
        <v>276</v>
      </c>
      <c r="B122" t="s">
        <v>30</v>
      </c>
      <c r="C122" t="s">
        <v>423</v>
      </c>
      <c r="D122" t="n">
        <v>13</v>
      </c>
      <c r="E122" s="28" t="n">
        <v>-0.416311770038027</v>
      </c>
      <c r="F122" s="28" t="n">
        <v>0.17010196316182</v>
      </c>
    </row>
    <row r="123">
      <c r="A123" t="s">
        <v>276</v>
      </c>
      <c r="B123" t="s">
        <v>30</v>
      </c>
      <c r="C123" t="s">
        <v>423</v>
      </c>
      <c r="D123" t="n">
        <v>14</v>
      </c>
      <c r="E123" s="28" t="n">
        <v>-0.237926456820961</v>
      </c>
      <c r="F123" s="28" t="n">
        <v>0.170087815686833</v>
      </c>
    </row>
    <row r="124">
      <c r="A124" t="s">
        <v>276</v>
      </c>
      <c r="B124" t="s">
        <v>30</v>
      </c>
      <c r="C124" t="s">
        <v>423</v>
      </c>
      <c r="D124" t="n">
        <v>15</v>
      </c>
      <c r="E124" s="28" t="n">
        <v>-0.198112111203388</v>
      </c>
      <c r="F124" s="28" t="n">
        <v>0.162063866247391</v>
      </c>
    </row>
    <row r="125">
      <c r="A125" t="s">
        <v>276</v>
      </c>
      <c r="B125" t="s">
        <v>30</v>
      </c>
      <c r="C125" t="s">
        <v>423</v>
      </c>
      <c r="D125" t="n">
        <v>16</v>
      </c>
      <c r="E125" s="28" t="n">
        <v>-0.136804166613645</v>
      </c>
      <c r="F125" s="28" t="n">
        <v>0.125198989614402</v>
      </c>
    </row>
    <row r="126">
      <c r="A126" t="s">
        <v>276</v>
      </c>
      <c r="B126" t="s">
        <v>30</v>
      </c>
      <c r="C126" t="s">
        <v>423</v>
      </c>
      <c r="D126" t="n">
        <v>17</v>
      </c>
      <c r="E126" s="28" t="n">
        <v>-0.10787303394713</v>
      </c>
      <c r="F126" s="28" t="n">
        <v>0.0879079577056</v>
      </c>
    </row>
    <row r="127">
      <c r="A127" t="s">
        <v>276</v>
      </c>
      <c r="B127" t="s">
        <v>31</v>
      </c>
      <c r="C127" t="s">
        <v>422</v>
      </c>
      <c r="D127" t="n">
        <v>1</v>
      </c>
      <c r="E127" s="28" t="n">
        <v>1.44189254390748</v>
      </c>
      <c r="F127" s="28" t="n">
        <v>0.413456033725499</v>
      </c>
    </row>
    <row r="128">
      <c r="A128" t="s">
        <v>276</v>
      </c>
      <c r="B128" t="s">
        <v>31</v>
      </c>
      <c r="C128" t="s">
        <v>422</v>
      </c>
      <c r="D128" t="n">
        <v>2</v>
      </c>
      <c r="E128" s="28" t="n">
        <v>0.342020143325669</v>
      </c>
      <c r="F128" s="28" t="n">
        <v>-0.939692620785908</v>
      </c>
    </row>
    <row r="129">
      <c r="A129" t="s">
        <v>276</v>
      </c>
      <c r="B129" t="s">
        <v>31</v>
      </c>
      <c r="C129" t="s">
        <v>422</v>
      </c>
      <c r="D129" t="n">
        <v>3</v>
      </c>
      <c r="E129" s="28" t="n">
        <v>-1.73296912029775</v>
      </c>
      <c r="F129" s="28" t="n">
        <v>-0.243552926680115</v>
      </c>
    </row>
    <row r="130">
      <c r="A130" t="s">
        <v>276</v>
      </c>
      <c r="B130" t="s">
        <v>31</v>
      </c>
      <c r="C130" t="s">
        <v>422</v>
      </c>
      <c r="D130" t="n">
        <v>4</v>
      </c>
      <c r="E130" s="28" t="n">
        <v>-1.29903810567666</v>
      </c>
      <c r="F130" s="28" t="n">
        <v>0.75</v>
      </c>
    </row>
    <row r="131">
      <c r="A131" t="s">
        <v>276</v>
      </c>
      <c r="B131" t="s">
        <v>31</v>
      </c>
      <c r="C131" t="s">
        <v>422</v>
      </c>
      <c r="D131" t="n">
        <v>5</v>
      </c>
      <c r="E131" s="28" t="n">
        <v>-1.14906666467847</v>
      </c>
      <c r="F131" s="28" t="n">
        <v>0.964181414529809</v>
      </c>
    </row>
    <row r="132">
      <c r="A132" t="s">
        <v>276</v>
      </c>
      <c r="B132" t="s">
        <v>31</v>
      </c>
      <c r="C132" t="s">
        <v>422</v>
      </c>
      <c r="D132" t="n">
        <v>6</v>
      </c>
      <c r="E132" s="28" t="n">
        <v>-0.88167787843871</v>
      </c>
      <c r="F132" s="28" t="n">
        <v>1.21352549156242</v>
      </c>
    </row>
    <row r="133">
      <c r="A133" t="s">
        <v>276</v>
      </c>
      <c r="B133" t="s">
        <v>31</v>
      </c>
      <c r="C133" t="s">
        <v>422</v>
      </c>
      <c r="D133" t="n">
        <v>7</v>
      </c>
      <c r="E133" s="28" t="n">
        <v>0.561909890123868</v>
      </c>
      <c r="F133" s="28" t="n">
        <v>1.39077578185018</v>
      </c>
    </row>
    <row r="134">
      <c r="A134" t="s">
        <v>276</v>
      </c>
      <c r="B134" t="s">
        <v>31</v>
      </c>
      <c r="C134" t="s">
        <v>423</v>
      </c>
      <c r="D134" t="n">
        <v>1</v>
      </c>
      <c r="E134" s="28" t="n">
        <v>-0.106794038056247</v>
      </c>
      <c r="F134" s="28" t="n">
        <v>0.0266976083074417</v>
      </c>
    </row>
    <row r="135">
      <c r="A135" t="s">
        <v>276</v>
      </c>
      <c r="B135" t="s">
        <v>31</v>
      </c>
      <c r="C135" t="s">
        <v>423</v>
      </c>
      <c r="D135" t="n">
        <v>2</v>
      </c>
      <c r="E135" s="28" t="n">
        <v>-0.133501905686787</v>
      </c>
      <c r="F135" s="28" t="n">
        <v>0.000668820078347991</v>
      </c>
    </row>
    <row r="136">
      <c r="A136" t="s">
        <v>276</v>
      </c>
      <c r="B136" t="s">
        <v>31</v>
      </c>
      <c r="C136" t="s">
        <v>423</v>
      </c>
      <c r="D136" t="n">
        <v>3</v>
      </c>
      <c r="E136" s="28" t="n">
        <v>-0.175932977047568</v>
      </c>
      <c r="F136" s="28" t="n">
        <v>-0.0237625744478314</v>
      </c>
    </row>
    <row r="137">
      <c r="A137" t="s">
        <v>276</v>
      </c>
      <c r="B137" t="s">
        <v>31</v>
      </c>
      <c r="C137" t="s">
        <v>423</v>
      </c>
      <c r="D137" t="n">
        <v>4</v>
      </c>
      <c r="E137" s="28" t="n">
        <v>-0.26056202947737</v>
      </c>
      <c r="F137" s="28" t="n">
        <v>-0.0576622268739789</v>
      </c>
    </row>
    <row r="138">
      <c r="A138" t="s">
        <v>276</v>
      </c>
      <c r="B138" t="s">
        <v>31</v>
      </c>
      <c r="C138" t="s">
        <v>423</v>
      </c>
      <c r="D138" t="n">
        <v>5</v>
      </c>
      <c r="E138" s="28" t="n">
        <v>-0.372941235794573</v>
      </c>
      <c r="F138" s="28" t="n">
        <v>-0.0538297152978325</v>
      </c>
    </row>
    <row r="139">
      <c r="A139" t="s">
        <v>276</v>
      </c>
      <c r="B139" t="s">
        <v>31</v>
      </c>
      <c r="C139" t="s">
        <v>423</v>
      </c>
      <c r="D139" t="n">
        <v>6</v>
      </c>
      <c r="E139" s="28" t="n">
        <v>-0.424763013120107</v>
      </c>
      <c r="F139" s="28" t="n">
        <v>-0.0510531325570082</v>
      </c>
    </row>
    <row r="140">
      <c r="A140" t="s">
        <v>276</v>
      </c>
      <c r="B140" t="s">
        <v>31</v>
      </c>
      <c r="C140" t="s">
        <v>423</v>
      </c>
      <c r="D140" t="n">
        <v>7</v>
      </c>
      <c r="E140" s="28" t="n">
        <v>-0.520384036080414</v>
      </c>
      <c r="F140" s="28" t="n">
        <v>-0.0372925442547528</v>
      </c>
    </row>
    <row r="141">
      <c r="A141" t="s">
        <v>276</v>
      </c>
      <c r="B141" t="s">
        <v>31</v>
      </c>
      <c r="C141" t="s">
        <v>423</v>
      </c>
      <c r="D141" t="n">
        <v>8</v>
      </c>
      <c r="E141" s="28" t="n">
        <v>-0.568854014951668</v>
      </c>
      <c r="F141" s="28" t="n">
        <v>-0.0196413786158992</v>
      </c>
    </row>
    <row r="142">
      <c r="A142" t="s">
        <v>276</v>
      </c>
      <c r="B142" t="s">
        <v>31</v>
      </c>
      <c r="C142" t="s">
        <v>423</v>
      </c>
      <c r="D142" t="n">
        <v>9</v>
      </c>
      <c r="E142" s="28" t="n">
        <v>-0.658885200571604</v>
      </c>
      <c r="F142" s="28" t="n">
        <v>0.0350701523993405</v>
      </c>
    </row>
    <row r="143">
      <c r="A143" t="s">
        <v>276</v>
      </c>
      <c r="B143" t="s">
        <v>31</v>
      </c>
      <c r="C143" t="s">
        <v>423</v>
      </c>
      <c r="D143" t="n">
        <v>10</v>
      </c>
      <c r="E143" s="28" t="n">
        <v>-0.668122712810353</v>
      </c>
      <c r="F143" s="28" t="n">
        <v>0.0407996231169499</v>
      </c>
    </row>
    <row r="144">
      <c r="A144" t="s">
        <v>276</v>
      </c>
      <c r="B144" t="s">
        <v>31</v>
      </c>
      <c r="C144" t="s">
        <v>423</v>
      </c>
      <c r="D144" t="n">
        <v>11</v>
      </c>
      <c r="E144" s="28" t="n">
        <v>-0.740396685185423</v>
      </c>
      <c r="F144" s="28" t="n">
        <v>0.0929652174168973</v>
      </c>
    </row>
    <row r="145">
      <c r="A145" t="s">
        <v>276</v>
      </c>
      <c r="B145" t="s">
        <v>31</v>
      </c>
      <c r="C145" t="s">
        <v>423</v>
      </c>
      <c r="D145" t="n">
        <v>12</v>
      </c>
      <c r="E145" s="28" t="n">
        <v>-0.720547160748913</v>
      </c>
      <c r="F145" s="28" t="n">
        <v>0.172968382900678</v>
      </c>
    </row>
    <row r="146">
      <c r="A146" t="s">
        <v>276</v>
      </c>
      <c r="B146" t="s">
        <v>31</v>
      </c>
      <c r="C146" t="s">
        <v>423</v>
      </c>
      <c r="D146" t="n">
        <v>13</v>
      </c>
      <c r="E146" s="28" t="n">
        <v>-0.686047825343576</v>
      </c>
      <c r="F146" s="28" t="n">
        <v>0.207740968792523</v>
      </c>
    </row>
    <row r="147">
      <c r="A147" t="s">
        <v>276</v>
      </c>
      <c r="B147" t="s">
        <v>31</v>
      </c>
      <c r="C147" t="s">
        <v>423</v>
      </c>
      <c r="D147" t="n">
        <v>14</v>
      </c>
      <c r="E147" s="28" t="n">
        <v>-0.650529737124601</v>
      </c>
      <c r="F147" s="28" t="n">
        <v>0.222639641065874</v>
      </c>
    </row>
    <row r="148">
      <c r="A148" t="s">
        <v>276</v>
      </c>
      <c r="B148" t="s">
        <v>31</v>
      </c>
      <c r="C148" t="s">
        <v>423</v>
      </c>
      <c r="D148" t="n">
        <v>15</v>
      </c>
      <c r="E148" s="28" t="n">
        <v>-0.441968470395935</v>
      </c>
      <c r="F148" s="28" t="n">
        <v>0.248538118385685</v>
      </c>
    </row>
    <row r="149">
      <c r="A149" t="s">
        <v>276</v>
      </c>
      <c r="B149" t="s">
        <v>31</v>
      </c>
      <c r="C149" t="s">
        <v>423</v>
      </c>
      <c r="D149" t="n">
        <v>16</v>
      </c>
      <c r="E149" s="28" t="n">
        <v>-0.37698721479036</v>
      </c>
      <c r="F149" s="28" t="n">
        <v>0.252050658992082</v>
      </c>
    </row>
    <row r="150">
      <c r="A150" t="s">
        <v>276</v>
      </c>
      <c r="B150" t="s">
        <v>31</v>
      </c>
      <c r="C150" t="s">
        <v>423</v>
      </c>
      <c r="D150" t="n">
        <v>17</v>
      </c>
      <c r="E150" s="28" t="n">
        <v>-0.303984636912601</v>
      </c>
      <c r="F150" s="28" t="n">
        <v>0.235396685009209</v>
      </c>
    </row>
    <row r="151">
      <c r="A151" t="s">
        <v>276</v>
      </c>
      <c r="B151" t="s">
        <v>31</v>
      </c>
      <c r="C151" t="s">
        <v>423</v>
      </c>
      <c r="D151" t="n">
        <v>18</v>
      </c>
      <c r="E151" s="28" t="n">
        <v>-0.299425812815247</v>
      </c>
      <c r="F151" s="28" t="n">
        <v>0.233152706859604</v>
      </c>
    </row>
    <row r="152">
      <c r="A152" t="s">
        <v>276</v>
      </c>
      <c r="B152" t="s">
        <v>31</v>
      </c>
      <c r="C152" t="s">
        <v>423</v>
      </c>
      <c r="D152" t="n">
        <v>19</v>
      </c>
      <c r="E152" s="28" t="n">
        <v>-0.200585073469625</v>
      </c>
      <c r="F152" s="28" t="n">
        <v>0.183503281848888</v>
      </c>
    </row>
    <row r="153">
      <c r="A153" t="s">
        <v>276</v>
      </c>
      <c r="B153" t="s">
        <v>31</v>
      </c>
      <c r="C153" t="s">
        <v>423</v>
      </c>
      <c r="D153" t="n">
        <v>20</v>
      </c>
      <c r="E153" s="28" t="n">
        <v>-0.110785609397057</v>
      </c>
      <c r="F153" s="28" t="n">
        <v>0.12421969781483</v>
      </c>
    </row>
    <row r="154">
      <c r="A154" t="s">
        <v>276</v>
      </c>
      <c r="B154" t="s">
        <v>31</v>
      </c>
      <c r="C154" t="s">
        <v>423</v>
      </c>
      <c r="D154" t="n">
        <v>21</v>
      </c>
      <c r="E154" s="28" t="n">
        <v>-0.103366324528698</v>
      </c>
      <c r="F154" s="28" t="n">
        <v>0.102238712039114</v>
      </c>
    </row>
    <row r="155">
      <c r="A155" t="s">
        <v>283</v>
      </c>
      <c r="B155" t="s">
        <v>30</v>
      </c>
      <c r="C155" t="s">
        <v>422</v>
      </c>
      <c r="D155" t="n">
        <v>1</v>
      </c>
      <c r="E155" s="28" t="n">
        <v>2.25845666410028</v>
      </c>
      <c r="F155" s="28" t="n">
        <v>-0.419018532629786</v>
      </c>
    </row>
    <row r="156">
      <c r="A156" t="s">
        <v>283</v>
      </c>
      <c r="B156" t="s">
        <v>30</v>
      </c>
      <c r="C156" t="s">
        <v>422</v>
      </c>
      <c r="D156" t="n">
        <v>2</v>
      </c>
      <c r="E156" s="28" t="n">
        <v>1.01786860882461</v>
      </c>
      <c r="F156" s="28" t="n">
        <v>-1.79642519929459</v>
      </c>
    </row>
    <row r="157">
      <c r="A157" t="s">
        <v>283</v>
      </c>
      <c r="B157" t="s">
        <v>30</v>
      </c>
      <c r="C157" t="s">
        <v>422</v>
      </c>
      <c r="D157" t="n">
        <v>3</v>
      </c>
      <c r="E157" s="28" t="n">
        <v>-0.927183854566787</v>
      </c>
      <c r="F157" s="28" t="n">
        <v>-0.374606593415912</v>
      </c>
    </row>
    <row r="158">
      <c r="A158" t="s">
        <v>283</v>
      </c>
      <c r="B158" t="s">
        <v>30</v>
      </c>
      <c r="C158" t="s">
        <v>422</v>
      </c>
      <c r="D158" t="n">
        <v>4</v>
      </c>
      <c r="E158" s="28" t="n">
        <v>-1.18680207722211</v>
      </c>
      <c r="F158" s="28" t="n">
        <v>0.366921895599668</v>
      </c>
    </row>
    <row r="159">
      <c r="A159" t="s">
        <v>283</v>
      </c>
      <c r="B159" t="s">
        <v>30</v>
      </c>
      <c r="C159" t="s">
        <v>422</v>
      </c>
      <c r="D159" t="n">
        <v>5</v>
      </c>
      <c r="E159" s="28" t="n">
        <v>-0.451509663492657</v>
      </c>
      <c r="F159" s="28" t="n">
        <v>1.17965198329383</v>
      </c>
    </row>
    <row r="160">
      <c r="A160" t="s">
        <v>283</v>
      </c>
      <c r="B160" t="s">
        <v>30</v>
      </c>
      <c r="C160" t="s">
        <v>422</v>
      </c>
      <c r="D160" t="n">
        <v>6</v>
      </c>
      <c r="E160" s="28" t="n">
        <v>0.852957143946371</v>
      </c>
      <c r="F160" s="28" t="n">
        <v>1.81660799675889</v>
      </c>
    </row>
    <row r="161">
      <c r="A161" t="s">
        <v>283</v>
      </c>
      <c r="B161" t="s">
        <v>30</v>
      </c>
      <c r="C161" t="s">
        <v>422</v>
      </c>
      <c r="D161" t="n">
        <v>7</v>
      </c>
      <c r="E161" s="28" t="n">
        <v>1.38293479989296</v>
      </c>
      <c r="F161" s="28" t="n">
        <v>1.07305844422329</v>
      </c>
    </row>
    <row r="162">
      <c r="A162" t="s">
        <v>283</v>
      </c>
      <c r="B162" t="s">
        <v>30</v>
      </c>
      <c r="C162" t="s">
        <v>423</v>
      </c>
      <c r="D162" t="n">
        <v>1</v>
      </c>
      <c r="E162" s="28" t="n">
        <v>0.66241491510507</v>
      </c>
      <c r="F162" s="28" t="n">
        <v>-0.0421152044941004</v>
      </c>
    </row>
    <row r="163">
      <c r="A163" t="s">
        <v>283</v>
      </c>
      <c r="B163" t="s">
        <v>30</v>
      </c>
      <c r="C163" t="s">
        <v>423</v>
      </c>
      <c r="D163" t="n">
        <v>2</v>
      </c>
      <c r="E163" s="28" t="n">
        <v>0.654023448578073</v>
      </c>
      <c r="F163" s="28" t="n">
        <v>-0.0592392731517479</v>
      </c>
    </row>
    <row r="164">
      <c r="A164" t="s">
        <v>283</v>
      </c>
      <c r="B164" t="s">
        <v>30</v>
      </c>
      <c r="C164" t="s">
        <v>423</v>
      </c>
      <c r="D164" t="n">
        <v>3</v>
      </c>
      <c r="E164" s="28" t="n">
        <v>0.614711231827131</v>
      </c>
      <c r="F164" s="28" t="n">
        <v>-0.0867376659156264</v>
      </c>
    </row>
    <row r="165">
      <c r="A165" t="s">
        <v>283</v>
      </c>
      <c r="B165" t="s">
        <v>30</v>
      </c>
      <c r="C165" t="s">
        <v>423</v>
      </c>
      <c r="D165" t="n">
        <v>4</v>
      </c>
      <c r="E165" s="28" t="n">
        <v>0.539835023546296</v>
      </c>
      <c r="F165" s="28" t="n">
        <v>-0.122965252850951</v>
      </c>
    </row>
    <row r="166">
      <c r="A166" t="s">
        <v>283</v>
      </c>
      <c r="B166" t="s">
        <v>30</v>
      </c>
      <c r="C166" t="s">
        <v>423</v>
      </c>
      <c r="D166" t="n">
        <v>5</v>
      </c>
      <c r="E166" s="28" t="n">
        <v>0.53610976697869</v>
      </c>
      <c r="F166" s="28" t="n">
        <v>-0.124499060495763</v>
      </c>
    </row>
    <row r="167">
      <c r="A167" t="s">
        <v>283</v>
      </c>
      <c r="B167" t="s">
        <v>30</v>
      </c>
      <c r="C167" t="s">
        <v>423</v>
      </c>
      <c r="D167" t="n">
        <v>6</v>
      </c>
      <c r="E167" s="28" t="n">
        <v>0.45458410469434</v>
      </c>
      <c r="F167" s="28" t="n">
        <v>-0.133013401321144</v>
      </c>
    </row>
    <row r="168">
      <c r="A168" t="s">
        <v>283</v>
      </c>
      <c r="B168" t="s">
        <v>30</v>
      </c>
      <c r="C168" t="s">
        <v>423</v>
      </c>
      <c r="D168" t="n">
        <v>7</v>
      </c>
      <c r="E168" s="28" t="n">
        <v>0.188182789040511</v>
      </c>
      <c r="F168" s="28" t="n">
        <v>-0.0945716488427209</v>
      </c>
    </row>
    <row r="169">
      <c r="A169" t="s">
        <v>283</v>
      </c>
      <c r="B169" t="s">
        <v>30</v>
      </c>
      <c r="C169" t="s">
        <v>423</v>
      </c>
      <c r="D169" t="n">
        <v>8</v>
      </c>
      <c r="E169" s="28" t="n">
        <v>0.169214843064719</v>
      </c>
      <c r="F169" s="28" t="n">
        <v>-0.0811698123802727</v>
      </c>
    </row>
    <row r="170">
      <c r="A170" t="s">
        <v>283</v>
      </c>
      <c r="B170" t="s">
        <v>30</v>
      </c>
      <c r="C170" t="s">
        <v>423</v>
      </c>
      <c r="D170" t="n">
        <v>9</v>
      </c>
      <c r="E170" s="28" t="n">
        <v>0.0581260253163314</v>
      </c>
      <c r="F170" s="28" t="n">
        <v>0.0205029786004922</v>
      </c>
    </row>
    <row r="171">
      <c r="A171" t="s">
        <v>283</v>
      </c>
      <c r="B171" t="s">
        <v>30</v>
      </c>
      <c r="C171" t="s">
        <v>423</v>
      </c>
      <c r="D171" t="n">
        <v>10</v>
      </c>
      <c r="E171" s="28" t="n">
        <v>0.0559153267675168</v>
      </c>
      <c r="F171" s="28" t="n">
        <v>0.0247764884897899</v>
      </c>
    </row>
    <row r="172">
      <c r="A172" t="s">
        <v>283</v>
      </c>
      <c r="B172" t="s">
        <v>30</v>
      </c>
      <c r="C172" t="s">
        <v>423</v>
      </c>
      <c r="D172" t="n">
        <v>11</v>
      </c>
      <c r="E172" s="28" t="n">
        <v>0.0547673671203147</v>
      </c>
      <c r="F172" s="28" t="n">
        <v>0.0643843991085641</v>
      </c>
    </row>
    <row r="173">
      <c r="A173" t="s">
        <v>283</v>
      </c>
      <c r="B173" t="s">
        <v>30</v>
      </c>
      <c r="C173" t="s">
        <v>423</v>
      </c>
      <c r="D173" t="n">
        <v>12</v>
      </c>
      <c r="E173" s="28" t="n">
        <v>0.0847693568263939</v>
      </c>
      <c r="F173" s="28" t="n">
        <v>0.115405159767822</v>
      </c>
    </row>
    <row r="174">
      <c r="A174" t="s">
        <v>283</v>
      </c>
      <c r="B174" t="s">
        <v>30</v>
      </c>
      <c r="C174" t="s">
        <v>423</v>
      </c>
      <c r="D174" t="n">
        <v>13</v>
      </c>
      <c r="E174" s="28" t="n">
        <v>0.213929547365176</v>
      </c>
      <c r="F174" s="28" t="n">
        <v>0.156105425628093</v>
      </c>
    </row>
    <row r="175">
      <c r="A175" t="s">
        <v>283</v>
      </c>
      <c r="B175" t="s">
        <v>30</v>
      </c>
      <c r="C175" t="s">
        <v>423</v>
      </c>
      <c r="D175" t="n">
        <v>14</v>
      </c>
      <c r="E175" s="28" t="n">
        <v>0.310389850886886</v>
      </c>
      <c r="F175" s="28" t="n">
        <v>0.162865757261039</v>
      </c>
    </row>
    <row r="176">
      <c r="A176" t="s">
        <v>283</v>
      </c>
      <c r="B176" t="s">
        <v>30</v>
      </c>
      <c r="C176" t="s">
        <v>423</v>
      </c>
      <c r="D176" t="n">
        <v>15</v>
      </c>
      <c r="E176" s="28" t="n">
        <v>0.465511056077923</v>
      </c>
      <c r="F176" s="28" t="n">
        <v>0.139231397220454</v>
      </c>
    </row>
    <row r="177">
      <c r="A177" t="s">
        <v>283</v>
      </c>
      <c r="B177" t="s">
        <v>30</v>
      </c>
      <c r="C177" t="s">
        <v>423</v>
      </c>
      <c r="D177" t="n">
        <v>16</v>
      </c>
      <c r="E177" s="28" t="n">
        <v>0.543479081644017</v>
      </c>
      <c r="F177" s="28" t="n">
        <v>0.100750564485817</v>
      </c>
    </row>
    <row r="178">
      <c r="A178" t="s">
        <v>283</v>
      </c>
      <c r="B178" t="s">
        <v>30</v>
      </c>
      <c r="C178" t="s">
        <v>423</v>
      </c>
      <c r="D178" t="n">
        <v>17</v>
      </c>
      <c r="E178" s="28" t="n">
        <v>0.589555170836439</v>
      </c>
      <c r="F178" s="28" t="n">
        <v>0.069397216865628</v>
      </c>
    </row>
    <row r="179">
      <c r="A179" t="s">
        <v>283</v>
      </c>
      <c r="B179" t="s">
        <v>30</v>
      </c>
      <c r="C179" t="s">
        <v>423</v>
      </c>
      <c r="D179" t="n">
        <v>18</v>
      </c>
      <c r="E179" s="28" t="n">
        <v>0.654877248491154</v>
      </c>
      <c r="F179" s="28" t="n">
        <v>0.00936141189734918</v>
      </c>
    </row>
    <row r="180">
      <c r="A180" t="s">
        <v>283</v>
      </c>
      <c r="B180" t="s">
        <v>31</v>
      </c>
      <c r="C180" t="s">
        <v>422</v>
      </c>
      <c r="D180" t="n">
        <v>1</v>
      </c>
      <c r="E180" s="28" t="n">
        <v>1.04237478086035</v>
      </c>
      <c r="F180" s="28" t="n">
        <v>-1.02201438078267</v>
      </c>
    </row>
    <row r="181">
      <c r="A181" t="s">
        <v>283</v>
      </c>
      <c r="B181" t="s">
        <v>31</v>
      </c>
      <c r="C181" t="s">
        <v>422</v>
      </c>
      <c r="D181" t="n">
        <v>2</v>
      </c>
      <c r="E181" s="28" t="n">
        <v>-0.128897188231656</v>
      </c>
      <c r="F181" s="28" t="n">
        <v>-1.14077578185018</v>
      </c>
    </row>
    <row r="182">
      <c r="A182" t="s">
        <v>283</v>
      </c>
      <c r="B182" t="s">
        <v>31</v>
      </c>
      <c r="C182" t="s">
        <v>422</v>
      </c>
      <c r="D182" t="n">
        <v>3</v>
      </c>
      <c r="E182" s="28" t="n">
        <v>-1.19931861233848</v>
      </c>
      <c r="F182" s="28" t="n">
        <v>-0.352975559825579</v>
      </c>
    </row>
    <row r="183">
      <c r="A183" t="s">
        <v>283</v>
      </c>
      <c r="B183" t="s">
        <v>31</v>
      </c>
      <c r="C183" t="s">
        <v>422</v>
      </c>
      <c r="D183" t="n">
        <v>4</v>
      </c>
      <c r="E183" s="28" t="n">
        <v>-0.603578381257266</v>
      </c>
      <c r="F183" s="28" t="n">
        <v>0.427464915077481</v>
      </c>
    </row>
    <row r="184">
      <c r="A184" t="s">
        <v>283</v>
      </c>
      <c r="B184" t="s">
        <v>31</v>
      </c>
      <c r="C184" t="s">
        <v>422</v>
      </c>
      <c r="D184" t="n">
        <v>5</v>
      </c>
      <c r="E184" s="28" t="n">
        <v>-0.197682644691905</v>
      </c>
      <c r="F184" s="28" t="n">
        <v>0.748173037694868</v>
      </c>
    </row>
    <row r="185">
      <c r="A185" t="s">
        <v>283</v>
      </c>
      <c r="B185" t="s">
        <v>31</v>
      </c>
      <c r="C185" t="s">
        <v>422</v>
      </c>
      <c r="D185" t="n">
        <v>6</v>
      </c>
      <c r="E185" s="28" t="n">
        <v>0.104379825720049</v>
      </c>
      <c r="F185" s="28" t="n">
        <v>0.742701051556178</v>
      </c>
    </row>
    <row r="186">
      <c r="A186" t="s">
        <v>283</v>
      </c>
      <c r="B186" t="s">
        <v>31</v>
      </c>
      <c r="C186" t="s">
        <v>422</v>
      </c>
      <c r="D186" t="n">
        <v>7</v>
      </c>
      <c r="E186" s="28" t="n">
        <v>0.618596953681288</v>
      </c>
      <c r="F186" s="28" t="n">
        <v>0.646830460739859</v>
      </c>
    </row>
    <row r="187">
      <c r="A187" t="s">
        <v>283</v>
      </c>
      <c r="B187" t="s">
        <v>31</v>
      </c>
      <c r="C187" t="s">
        <v>422</v>
      </c>
      <c r="D187" t="n">
        <v>8</v>
      </c>
      <c r="E187" s="28" t="n">
        <v>1.98159959413982</v>
      </c>
      <c r="F187" s="28" t="n">
        <v>0.217420810863202</v>
      </c>
    </row>
    <row r="188">
      <c r="A188" t="s">
        <v>283</v>
      </c>
      <c r="B188" t="s">
        <v>31</v>
      </c>
      <c r="C188" t="s">
        <v>423</v>
      </c>
      <c r="D188" t="n">
        <v>1</v>
      </c>
      <c r="E188" s="28" t="n">
        <v>0.67777021432588</v>
      </c>
      <c r="F188" s="28" t="n">
        <v>-0.0981596344416859</v>
      </c>
    </row>
    <row r="189">
      <c r="A189" t="s">
        <v>283</v>
      </c>
      <c r="B189" t="s">
        <v>31</v>
      </c>
      <c r="C189" t="s">
        <v>423</v>
      </c>
      <c r="D189" t="n">
        <v>2</v>
      </c>
      <c r="E189" s="28" t="n">
        <v>0.63741770014472</v>
      </c>
      <c r="F189" s="28" t="n">
        <v>-0.150931597921956</v>
      </c>
    </row>
    <row r="190">
      <c r="A190" t="s">
        <v>283</v>
      </c>
      <c r="B190" t="s">
        <v>31</v>
      </c>
      <c r="C190" t="s">
        <v>423</v>
      </c>
      <c r="D190" t="n">
        <v>3</v>
      </c>
      <c r="E190" s="28" t="n">
        <v>0.594993046520193</v>
      </c>
      <c r="F190" s="28" t="n">
        <v>-0.180353066598636</v>
      </c>
    </row>
    <row r="191">
      <c r="A191" t="s">
        <v>283</v>
      </c>
      <c r="B191" t="s">
        <v>31</v>
      </c>
      <c r="C191" t="s">
        <v>423</v>
      </c>
      <c r="D191" t="n">
        <v>4</v>
      </c>
      <c r="E191" s="28" t="n">
        <v>0.538676803071647</v>
      </c>
      <c r="F191" s="28" t="n">
        <v>-0.201978425324138</v>
      </c>
    </row>
    <row r="192">
      <c r="A192" t="s">
        <v>283</v>
      </c>
      <c r="B192" t="s">
        <v>31</v>
      </c>
      <c r="C192" t="s">
        <v>423</v>
      </c>
      <c r="D192" t="n">
        <v>5</v>
      </c>
      <c r="E192" s="28" t="n">
        <v>0.510948911678101</v>
      </c>
      <c r="F192" s="28" t="n">
        <v>-0.207135763879516</v>
      </c>
    </row>
    <row r="193">
      <c r="A193" t="s">
        <v>283</v>
      </c>
      <c r="B193" t="s">
        <v>31</v>
      </c>
      <c r="C193" t="s">
        <v>423</v>
      </c>
      <c r="D193" t="n">
        <v>6</v>
      </c>
      <c r="E193" s="28" t="n">
        <v>0.291632882619791</v>
      </c>
      <c r="F193" s="28" t="n">
        <v>-0.211553280536184</v>
      </c>
    </row>
    <row r="194">
      <c r="A194" t="s">
        <v>283</v>
      </c>
      <c r="B194" t="s">
        <v>31</v>
      </c>
      <c r="C194" t="s">
        <v>423</v>
      </c>
      <c r="D194" t="n">
        <v>7</v>
      </c>
      <c r="E194" s="28" t="n">
        <v>0.215507153822894</v>
      </c>
      <c r="F194" s="28" t="n">
        <v>-0.195657649177549</v>
      </c>
    </row>
    <row r="195">
      <c r="A195" t="s">
        <v>283</v>
      </c>
      <c r="B195" t="s">
        <v>31</v>
      </c>
      <c r="C195" t="s">
        <v>423</v>
      </c>
      <c r="D195" t="n">
        <v>8</v>
      </c>
      <c r="E195" s="28" t="n">
        <v>0.132580216812997</v>
      </c>
      <c r="F195" s="28" t="n">
        <v>-0.163661291484124</v>
      </c>
    </row>
    <row r="196">
      <c r="A196" t="s">
        <v>283</v>
      </c>
      <c r="B196" t="s">
        <v>31</v>
      </c>
      <c r="C196" t="s">
        <v>423</v>
      </c>
      <c r="D196" t="n">
        <v>9</v>
      </c>
      <c r="E196" s="28" t="n">
        <v>0.0867298385666956</v>
      </c>
      <c r="F196" s="28" t="n">
        <v>-0.137825665039751</v>
      </c>
    </row>
    <row r="197">
      <c r="A197" t="s">
        <v>283</v>
      </c>
      <c r="B197" t="s">
        <v>31</v>
      </c>
      <c r="C197" t="s">
        <v>423</v>
      </c>
      <c r="D197" t="n">
        <v>10</v>
      </c>
      <c r="E197" s="28" t="n">
        <v>0.0434094224060845</v>
      </c>
      <c r="F197" s="28" t="n">
        <v>-0.0842724524405938</v>
      </c>
    </row>
    <row r="198">
      <c r="A198" t="s">
        <v>283</v>
      </c>
      <c r="B198" t="s">
        <v>31</v>
      </c>
      <c r="C198" t="s">
        <v>423</v>
      </c>
      <c r="D198" t="n">
        <v>11</v>
      </c>
      <c r="E198" s="28" t="n">
        <v>0.0165427656622707</v>
      </c>
      <c r="F198" s="28" t="n">
        <v>-0.0492935973992779</v>
      </c>
    </row>
    <row r="199">
      <c r="A199" t="s">
        <v>283</v>
      </c>
      <c r="B199" t="s">
        <v>31</v>
      </c>
      <c r="C199" t="s">
        <v>423</v>
      </c>
      <c r="D199" t="n">
        <v>12</v>
      </c>
      <c r="E199" s="28" t="n">
        <v>0.0445823721628078</v>
      </c>
      <c r="F199" s="28" t="n">
        <v>0.0258555639320419</v>
      </c>
    </row>
    <row r="200">
      <c r="A200" t="s">
        <v>283</v>
      </c>
      <c r="B200" t="s">
        <v>31</v>
      </c>
      <c r="C200" t="s">
        <v>423</v>
      </c>
      <c r="D200" t="n">
        <v>13</v>
      </c>
      <c r="E200" s="28" t="n">
        <v>0.0905420180549017</v>
      </c>
      <c r="F200" s="28" t="n">
        <v>0.0496891901044806</v>
      </c>
    </row>
    <row r="201">
      <c r="A201" t="s">
        <v>283</v>
      </c>
      <c r="B201" t="s">
        <v>31</v>
      </c>
      <c r="C201" t="s">
        <v>423</v>
      </c>
      <c r="D201" t="n">
        <v>14</v>
      </c>
      <c r="E201" s="28" t="n">
        <v>0.140945182987165</v>
      </c>
      <c r="F201" s="28" t="n">
        <v>0.0700403846452647</v>
      </c>
    </row>
    <row r="202">
      <c r="A202" t="s">
        <v>283</v>
      </c>
      <c r="B202" t="s">
        <v>31</v>
      </c>
      <c r="C202" t="s">
        <v>423</v>
      </c>
      <c r="D202" t="n">
        <v>15</v>
      </c>
      <c r="E202" s="28" t="n">
        <v>0.258134924961342</v>
      </c>
      <c r="F202" s="28" t="n">
        <v>0.117333965869548</v>
      </c>
    </row>
    <row r="203">
      <c r="A203" t="s">
        <v>283</v>
      </c>
      <c r="B203" t="s">
        <v>31</v>
      </c>
      <c r="C203" t="s">
        <v>423</v>
      </c>
      <c r="D203" t="n">
        <v>16</v>
      </c>
      <c r="E203" s="28" t="n">
        <v>0.282537915245609</v>
      </c>
      <c r="F203" s="28" t="n">
        <v>0.121443038341119</v>
      </c>
    </row>
    <row r="204">
      <c r="A204" t="s">
        <v>283</v>
      </c>
      <c r="B204" t="s">
        <v>31</v>
      </c>
      <c r="C204" t="s">
        <v>423</v>
      </c>
      <c r="D204" t="n">
        <v>17</v>
      </c>
      <c r="E204" s="28" t="n">
        <v>0.490676148136624</v>
      </c>
      <c r="F204" s="28" t="n">
        <v>0.0993479634716807</v>
      </c>
    </row>
    <row r="205">
      <c r="A205" t="s">
        <v>283</v>
      </c>
      <c r="B205" t="s">
        <v>31</v>
      </c>
      <c r="C205" t="s">
        <v>423</v>
      </c>
      <c r="D205" t="n">
        <v>18</v>
      </c>
      <c r="E205" s="28" t="n">
        <v>0.57774329382305</v>
      </c>
      <c r="F205" s="28" t="n">
        <v>0.0654981568178347</v>
      </c>
    </row>
    <row r="206">
      <c r="A206" t="s">
        <v>283</v>
      </c>
      <c r="B206" t="s">
        <v>31</v>
      </c>
      <c r="C206" t="s">
        <v>423</v>
      </c>
      <c r="D206" t="n">
        <v>19</v>
      </c>
      <c r="E206" s="28" t="n">
        <v>0.649334914026878</v>
      </c>
      <c r="F206" s="28" t="n">
        <v>0.00953337567954588</v>
      </c>
    </row>
    <row r="207">
      <c r="A207" t="s">
        <v>290</v>
      </c>
      <c r="B207" t="s">
        <v>30</v>
      </c>
      <c r="C207" t="s">
        <v>422</v>
      </c>
      <c r="D207" t="n">
        <v>1</v>
      </c>
      <c r="E207" s="28" t="n">
        <v>0.244536900183451</v>
      </c>
      <c r="F207" s="28" t="n">
        <v>0.0519779227044398</v>
      </c>
    </row>
    <row r="208">
      <c r="A208" t="s">
        <v>290</v>
      </c>
      <c r="B208" t="s">
        <v>30</v>
      </c>
      <c r="C208" t="s">
        <v>422</v>
      </c>
      <c r="D208" t="n">
        <v>2</v>
      </c>
      <c r="E208" s="28" t="n">
        <v>0.307830737662829</v>
      </c>
      <c r="F208" s="28" t="n">
        <v>-0.394005376803361</v>
      </c>
    </row>
    <row r="209">
      <c r="A209" t="s">
        <v>290</v>
      </c>
      <c r="B209" t="s">
        <v>30</v>
      </c>
      <c r="C209" t="s">
        <v>422</v>
      </c>
      <c r="D209" t="n">
        <v>3</v>
      </c>
      <c r="E209" s="28" t="n">
        <v>-0.495134034370785</v>
      </c>
      <c r="F209" s="28" t="n">
        <v>-0.0695865504800329</v>
      </c>
    </row>
    <row r="210">
      <c r="A210" t="s">
        <v>290</v>
      </c>
      <c r="B210" t="s">
        <v>30</v>
      </c>
      <c r="C210" t="s">
        <v>422</v>
      </c>
      <c r="D210" t="n">
        <v>4</v>
      </c>
      <c r="E210" s="28" t="n">
        <v>-0.359669900169325</v>
      </c>
      <c r="F210" s="28" t="n">
        <v>0.347329185229499</v>
      </c>
    </row>
    <row r="211">
      <c r="A211" t="s">
        <v>290</v>
      </c>
      <c r="B211" t="s">
        <v>30</v>
      </c>
      <c r="C211" t="s">
        <v>422</v>
      </c>
      <c r="D211" t="n">
        <v>5</v>
      </c>
      <c r="E211" s="28" t="n">
        <v>-0.334565303179429</v>
      </c>
      <c r="F211" s="28" t="n">
        <v>0.371572412738697</v>
      </c>
    </row>
    <row r="212">
      <c r="A212" t="s">
        <v>290</v>
      </c>
      <c r="B212" t="s">
        <v>30</v>
      </c>
      <c r="C212" t="s">
        <v>422</v>
      </c>
      <c r="D212" t="n">
        <v>6</v>
      </c>
      <c r="E212" s="28" t="n">
        <v>0.104379825720049</v>
      </c>
      <c r="F212" s="28" t="n">
        <v>0.742701051556178</v>
      </c>
    </row>
    <row r="213">
      <c r="A213" t="s">
        <v>290</v>
      </c>
      <c r="B213" t="s">
        <v>30</v>
      </c>
      <c r="C213" t="s">
        <v>423</v>
      </c>
      <c r="D213" t="n">
        <v>1</v>
      </c>
      <c r="E213" s="28" t="n">
        <v>0.0524008211631829</v>
      </c>
      <c r="F213" s="28" t="n">
        <v>0.0265349449109547</v>
      </c>
    </row>
    <row r="214">
      <c r="A214" t="s">
        <v>290</v>
      </c>
      <c r="B214" t="s">
        <v>30</v>
      </c>
      <c r="C214" t="s">
        <v>423</v>
      </c>
      <c r="D214" t="n">
        <v>2</v>
      </c>
      <c r="E214" s="28" t="n">
        <v>0.0488531534661549</v>
      </c>
      <c r="F214" s="28" t="n">
        <v>0.0105469037382987</v>
      </c>
    </row>
    <row r="215">
      <c r="A215" t="s">
        <v>290</v>
      </c>
      <c r="B215" t="s">
        <v>30</v>
      </c>
      <c r="C215" t="s">
        <v>423</v>
      </c>
      <c r="D215" t="n">
        <v>3</v>
      </c>
      <c r="E215" s="28" t="n">
        <v>0.0369677528784142</v>
      </c>
      <c r="F215" s="28" t="n">
        <v>-0.0012574121133518</v>
      </c>
    </row>
    <row r="216">
      <c r="A216" t="s">
        <v>290</v>
      </c>
      <c r="B216" t="s">
        <v>30</v>
      </c>
      <c r="C216" t="s">
        <v>423</v>
      </c>
      <c r="D216" t="n">
        <v>4</v>
      </c>
      <c r="E216" s="28" t="n">
        <v>0.0168267650914725</v>
      </c>
      <c r="F216" s="28" t="n">
        <v>-0.0160679358015549</v>
      </c>
    </row>
    <row r="217">
      <c r="A217" t="s">
        <v>290</v>
      </c>
      <c r="B217" t="s">
        <v>30</v>
      </c>
      <c r="C217" t="s">
        <v>423</v>
      </c>
      <c r="D217" t="n">
        <v>5</v>
      </c>
      <c r="E217" s="28" t="n">
        <v>-0.0322732249494738</v>
      </c>
      <c r="F217" s="28" t="n">
        <v>-0.0214882384162522</v>
      </c>
    </row>
    <row r="218">
      <c r="A218" t="s">
        <v>290</v>
      </c>
      <c r="B218" t="s">
        <v>30</v>
      </c>
      <c r="C218" t="s">
        <v>423</v>
      </c>
      <c r="D218" t="n">
        <v>6</v>
      </c>
      <c r="E218" s="28" t="n">
        <v>-0.0543848130239734</v>
      </c>
      <c r="F218" s="28" t="n">
        <v>-0.0179134764537299</v>
      </c>
    </row>
    <row r="219">
      <c r="A219" t="s">
        <v>290</v>
      </c>
      <c r="B219" t="s">
        <v>30</v>
      </c>
      <c r="C219" t="s">
        <v>423</v>
      </c>
      <c r="D219" t="n">
        <v>7</v>
      </c>
      <c r="E219" s="28" t="n">
        <v>-0.0675784735044847</v>
      </c>
      <c r="F219" s="28" t="n">
        <v>-0.00562913666630583</v>
      </c>
    </row>
    <row r="220">
      <c r="A220" t="s">
        <v>290</v>
      </c>
      <c r="B220" t="s">
        <v>30</v>
      </c>
      <c r="C220" t="s">
        <v>423</v>
      </c>
      <c r="D220" t="n">
        <v>8</v>
      </c>
      <c r="E220" s="28" t="n">
        <v>-0.084801340101121</v>
      </c>
      <c r="F220" s="28" t="n">
        <v>0.0118875838569868</v>
      </c>
    </row>
    <row r="221">
      <c r="A221" t="s">
        <v>290</v>
      </c>
      <c r="B221" t="s">
        <v>30</v>
      </c>
      <c r="C221" t="s">
        <v>423</v>
      </c>
      <c r="D221" t="n">
        <v>9</v>
      </c>
      <c r="E221" s="28" t="n">
        <v>-0.0989868868639276</v>
      </c>
      <c r="F221" s="28" t="n">
        <v>0.0411843724453744</v>
      </c>
    </row>
    <row r="222">
      <c r="A222" t="s">
        <v>290</v>
      </c>
      <c r="B222" t="s">
        <v>30</v>
      </c>
      <c r="C222" t="s">
        <v>423</v>
      </c>
      <c r="D222" t="n">
        <v>10</v>
      </c>
      <c r="E222" s="28" t="n">
        <v>-0.0980119259419611</v>
      </c>
      <c r="F222" s="28" t="n">
        <v>0.0487316551562023</v>
      </c>
    </row>
    <row r="223">
      <c r="A223" t="s">
        <v>290</v>
      </c>
      <c r="B223" t="s">
        <v>30</v>
      </c>
      <c r="C223" t="s">
        <v>423</v>
      </c>
      <c r="D223" t="n">
        <v>11</v>
      </c>
      <c r="E223" s="28" t="n">
        <v>-0.0929287057647316</v>
      </c>
      <c r="F223" s="28" t="n">
        <v>0.0707112153722597</v>
      </c>
    </row>
    <row r="224">
      <c r="A224" t="s">
        <v>290</v>
      </c>
      <c r="B224" t="s">
        <v>30</v>
      </c>
      <c r="C224" t="s">
        <v>423</v>
      </c>
      <c r="D224" t="n">
        <v>12</v>
      </c>
      <c r="E224" s="28" t="n">
        <v>-0.0706975220471296</v>
      </c>
      <c r="F224" s="28" t="n">
        <v>0.0985868302225737</v>
      </c>
    </row>
    <row r="225">
      <c r="A225" t="s">
        <v>290</v>
      </c>
      <c r="B225" t="s">
        <v>30</v>
      </c>
      <c r="C225" t="s">
        <v>423</v>
      </c>
      <c r="D225" t="n">
        <v>13</v>
      </c>
      <c r="E225" s="28" t="n">
        <v>-0.0305135440985743</v>
      </c>
      <c r="F225" s="28" t="n">
        <v>0.121727841512939</v>
      </c>
    </row>
    <row r="226">
      <c r="A226" t="s">
        <v>290</v>
      </c>
      <c r="B226" t="s">
        <v>30</v>
      </c>
      <c r="C226" t="s">
        <v>423</v>
      </c>
      <c r="D226" t="n">
        <v>14</v>
      </c>
      <c r="E226" s="28" t="n">
        <v>-0.011491832146367</v>
      </c>
      <c r="F226" s="28" t="n">
        <v>0.117070699680598</v>
      </c>
    </row>
    <row r="227">
      <c r="A227" t="s">
        <v>290</v>
      </c>
      <c r="B227" t="s">
        <v>30</v>
      </c>
      <c r="C227" t="s">
        <v>423</v>
      </c>
      <c r="D227" t="n">
        <v>15</v>
      </c>
      <c r="E227" s="28" t="n">
        <v>0.0105841531221463</v>
      </c>
      <c r="F227" s="28" t="n">
        <v>0.109478525341272</v>
      </c>
    </row>
    <row r="228">
      <c r="A228" t="s">
        <v>290</v>
      </c>
      <c r="B228" t="s">
        <v>30</v>
      </c>
      <c r="C228" t="s">
        <v>423</v>
      </c>
      <c r="D228" t="n">
        <v>16</v>
      </c>
      <c r="E228" s="28" t="n">
        <v>0.0362279928500086</v>
      </c>
      <c r="F228" s="28" t="n">
        <v>0.088807075345693</v>
      </c>
    </row>
    <row r="229">
      <c r="A229" t="s">
        <v>290</v>
      </c>
      <c r="B229" t="s">
        <v>30</v>
      </c>
      <c r="C229" t="s">
        <v>423</v>
      </c>
      <c r="D229" t="n">
        <v>17</v>
      </c>
      <c r="E229" s="28" t="n">
        <v>0.0494343447061328</v>
      </c>
      <c r="F229" s="28" t="n">
        <v>0.0544222278395477</v>
      </c>
    </row>
    <row r="230">
      <c r="A230" t="s">
        <v>290</v>
      </c>
      <c r="B230" t="s">
        <v>31</v>
      </c>
      <c r="C230" t="s">
        <v>422</v>
      </c>
      <c r="D230" t="n">
        <v>1</v>
      </c>
      <c r="E230" s="28" t="n">
        <v>0.109592786697269</v>
      </c>
      <c r="F230" s="28" t="n">
        <v>-0.224698511574792</v>
      </c>
    </row>
    <row r="231">
      <c r="A231" t="s">
        <v>290</v>
      </c>
      <c r="B231" t="s">
        <v>31</v>
      </c>
      <c r="C231" t="s">
        <v>422</v>
      </c>
      <c r="D231" t="n">
        <v>2</v>
      </c>
      <c r="E231" s="28" t="n">
        <v>0.0261321158169135</v>
      </c>
      <c r="F231" s="28" t="n">
        <v>-0.248630473842068</v>
      </c>
    </row>
    <row r="232">
      <c r="A232" t="s">
        <v>290</v>
      </c>
      <c r="B232" t="s">
        <v>31</v>
      </c>
      <c r="C232" t="s">
        <v>422</v>
      </c>
      <c r="D232" t="n">
        <v>3</v>
      </c>
      <c r="E232" s="28" t="n">
        <v>-0.0434120444167326</v>
      </c>
      <c r="F232" s="28" t="n">
        <v>-0.246201938253052</v>
      </c>
    </row>
    <row r="233">
      <c r="A233" t="s">
        <v>290</v>
      </c>
      <c r="B233" t="s">
        <v>31</v>
      </c>
      <c r="C233" t="s">
        <v>422</v>
      </c>
      <c r="D233" t="n">
        <v>4</v>
      </c>
      <c r="E233" s="28" t="n">
        <v>-0.109592786697269</v>
      </c>
      <c r="F233" s="28" t="n">
        <v>-0.224698511574792</v>
      </c>
    </row>
    <row r="234">
      <c r="A234" t="s">
        <v>290</v>
      </c>
      <c r="B234" t="s">
        <v>31</v>
      </c>
      <c r="C234" t="s">
        <v>422</v>
      </c>
      <c r="D234" t="n">
        <v>5</v>
      </c>
      <c r="E234" s="28" t="n">
        <v>-0.139798225867687</v>
      </c>
      <c r="F234" s="28" t="n">
        <v>-0.20725939313876</v>
      </c>
    </row>
    <row r="235">
      <c r="A235" t="s">
        <v>290</v>
      </c>
      <c r="B235" t="s">
        <v>31</v>
      </c>
      <c r="C235" t="s">
        <v>422</v>
      </c>
      <c r="D235" t="n">
        <v>6</v>
      </c>
      <c r="E235" s="28" t="n">
        <v>-0.153915368831415</v>
      </c>
      <c r="F235" s="28" t="n">
        <v>-0.197002688401681</v>
      </c>
    </row>
    <row r="236">
      <c r="A236" t="s">
        <v>290</v>
      </c>
      <c r="B236" t="s">
        <v>31</v>
      </c>
      <c r="C236" t="s">
        <v>422</v>
      </c>
      <c r="D236" t="n">
        <v>7</v>
      </c>
      <c r="E236" s="28" t="n">
        <v>-0.21650635094611</v>
      </c>
      <c r="F236" s="28" t="n">
        <v>-0.125</v>
      </c>
    </row>
    <row r="237">
      <c r="A237" t="s">
        <v>290</v>
      </c>
      <c r="B237" t="s">
        <v>31</v>
      </c>
      <c r="C237" t="s">
        <v>422</v>
      </c>
      <c r="D237" t="n">
        <v>8</v>
      </c>
      <c r="E237" s="28" t="n">
        <v>-0.242573931568999</v>
      </c>
      <c r="F237" s="28" t="n">
        <v>-0.0604804738999169</v>
      </c>
    </row>
    <row r="238">
      <c r="A238" t="s">
        <v>290</v>
      </c>
      <c r="B238" t="s">
        <v>31</v>
      </c>
      <c r="C238" t="s">
        <v>422</v>
      </c>
      <c r="D238" t="n">
        <v>9</v>
      </c>
      <c r="E238" s="28" t="n">
        <v>-0.249391012564956</v>
      </c>
      <c r="F238" s="28" t="n">
        <v>-0.0174391184360313</v>
      </c>
    </row>
    <row r="239">
      <c r="A239" t="s">
        <v>290</v>
      </c>
      <c r="B239" t="s">
        <v>31</v>
      </c>
      <c r="C239" t="s">
        <v>422</v>
      </c>
      <c r="D239" t="n">
        <v>10</v>
      </c>
      <c r="E239" s="28" t="n">
        <v>-0.25</v>
      </c>
      <c r="F239" s="28" t="n">
        <v>0</v>
      </c>
    </row>
    <row r="240">
      <c r="A240" t="s">
        <v>290</v>
      </c>
      <c r="B240" t="s">
        <v>31</v>
      </c>
      <c r="C240" t="s">
        <v>422</v>
      </c>
      <c r="D240" t="n">
        <v>11</v>
      </c>
      <c r="E240" s="28" t="n">
        <v>-0.25</v>
      </c>
      <c r="F240" s="28" t="n">
        <v>0.433012701892219</v>
      </c>
    </row>
    <row r="241">
      <c r="A241" t="s">
        <v>290</v>
      </c>
      <c r="B241" t="s">
        <v>31</v>
      </c>
      <c r="C241" t="s">
        <v>422</v>
      </c>
      <c r="D241" t="n">
        <v>12</v>
      </c>
      <c r="E241" s="28" t="n">
        <v>0.433012701892219</v>
      </c>
      <c r="F241" s="28" t="n">
        <v>0.25</v>
      </c>
    </row>
    <row r="242">
      <c r="A242" t="s">
        <v>290</v>
      </c>
      <c r="B242" t="s">
        <v>31</v>
      </c>
      <c r="C242" t="s">
        <v>422</v>
      </c>
      <c r="D242" t="n">
        <v>13</v>
      </c>
      <c r="E242" s="28" t="n">
        <v>0.244536900183451</v>
      </c>
      <c r="F242" s="28" t="n">
        <v>-0.0519779227044398</v>
      </c>
    </row>
    <row r="243">
      <c r="A243" t="s">
        <v>290</v>
      </c>
      <c r="B243" t="s">
        <v>31</v>
      </c>
      <c r="C243" t="s">
        <v>423</v>
      </c>
      <c r="D243" t="n">
        <v>1</v>
      </c>
      <c r="E243" s="28" t="n">
        <v>0.0591156609421947</v>
      </c>
      <c r="F243" s="28" t="n">
        <v>0.0195338112667113</v>
      </c>
    </row>
    <row r="244">
      <c r="A244" t="s">
        <v>290</v>
      </c>
      <c r="B244" t="s">
        <v>31</v>
      </c>
      <c r="C244" t="s">
        <v>423</v>
      </c>
      <c r="D244" t="n">
        <v>2</v>
      </c>
      <c r="E244" s="28" t="n">
        <v>0.0445250312910241</v>
      </c>
      <c r="F244" s="28" t="n">
        <v>-0.00024201570648122</v>
      </c>
    </row>
    <row r="245">
      <c r="A245" t="s">
        <v>290</v>
      </c>
      <c r="B245" t="s">
        <v>31</v>
      </c>
      <c r="C245" t="s">
        <v>423</v>
      </c>
      <c r="D245" t="n">
        <v>3</v>
      </c>
      <c r="E245" s="28" t="n">
        <v>0.0295989396818314</v>
      </c>
      <c r="F245" s="28" t="n">
        <v>-0.0114626290250148</v>
      </c>
    </row>
    <row r="246">
      <c r="A246" t="s">
        <v>290</v>
      </c>
      <c r="B246" t="s">
        <v>31</v>
      </c>
      <c r="C246" t="s">
        <v>423</v>
      </c>
      <c r="D246" t="n">
        <v>4</v>
      </c>
      <c r="E246" s="28" t="n">
        <v>0.0155247068336474</v>
      </c>
      <c r="F246" s="28" t="n">
        <v>-0.0195460482632353</v>
      </c>
    </row>
    <row r="247">
      <c r="A247" t="s">
        <v>290</v>
      </c>
      <c r="B247" t="s">
        <v>31</v>
      </c>
      <c r="C247" t="s">
        <v>423</v>
      </c>
      <c r="D247" t="n">
        <v>5</v>
      </c>
      <c r="E247" s="28" t="n">
        <v>-0.00153017268271682</v>
      </c>
      <c r="F247" s="28" t="n">
        <v>-0.0287338090421683</v>
      </c>
    </row>
    <row r="248">
      <c r="A248" t="s">
        <v>290</v>
      </c>
      <c r="B248" t="s">
        <v>31</v>
      </c>
      <c r="C248" t="s">
        <v>423</v>
      </c>
      <c r="D248" t="n">
        <v>6</v>
      </c>
      <c r="E248" s="28" t="n">
        <v>-0.0118205655040845</v>
      </c>
      <c r="F248" s="28" t="n">
        <v>-0.032517373548732</v>
      </c>
    </row>
    <row r="249">
      <c r="A249" t="s">
        <v>290</v>
      </c>
      <c r="B249" t="s">
        <v>31</v>
      </c>
      <c r="C249" t="s">
        <v>423</v>
      </c>
      <c r="D249" t="n">
        <v>7</v>
      </c>
      <c r="E249" s="28" t="n">
        <v>-0.0215856479938223</v>
      </c>
      <c r="F249" s="28" t="n">
        <v>-0.0341683739431093</v>
      </c>
    </row>
    <row r="250">
      <c r="A250" t="s">
        <v>290</v>
      </c>
      <c r="B250" t="s">
        <v>31</v>
      </c>
      <c r="C250" t="s">
        <v>423</v>
      </c>
      <c r="D250" t="n">
        <v>8</v>
      </c>
      <c r="E250" s="28" t="n">
        <v>-0.0585512241131186</v>
      </c>
      <c r="F250" s="28" t="n">
        <v>-0.0378011054455384</v>
      </c>
    </row>
    <row r="251">
      <c r="A251" t="s">
        <v>290</v>
      </c>
      <c r="B251" t="s">
        <v>31</v>
      </c>
      <c r="C251" t="s">
        <v>423</v>
      </c>
      <c r="D251" t="n">
        <v>9</v>
      </c>
      <c r="E251" s="28" t="n">
        <v>-0.0664544095806178</v>
      </c>
      <c r="F251" s="28" t="n">
        <v>-0.0342535509852831</v>
      </c>
    </row>
    <row r="252">
      <c r="A252" t="s">
        <v>290</v>
      </c>
      <c r="B252" t="s">
        <v>31</v>
      </c>
      <c r="C252" t="s">
        <v>423</v>
      </c>
      <c r="D252" t="n">
        <v>10</v>
      </c>
      <c r="E252" s="28" t="n">
        <v>-0.098865209948085</v>
      </c>
      <c r="F252" s="28" t="n">
        <v>0.00134233625029843</v>
      </c>
    </row>
    <row r="253">
      <c r="A253" t="s">
        <v>290</v>
      </c>
      <c r="B253" t="s">
        <v>31</v>
      </c>
      <c r="C253" t="s">
        <v>423</v>
      </c>
      <c r="D253" t="n">
        <v>11</v>
      </c>
      <c r="E253" s="28" t="n">
        <v>-0.081642064332823</v>
      </c>
      <c r="F253" s="28" t="n">
        <v>0.0362622198406823</v>
      </c>
    </row>
    <row r="254">
      <c r="A254" t="s">
        <v>290</v>
      </c>
      <c r="B254" t="s">
        <v>31</v>
      </c>
      <c r="C254" t="s">
        <v>423</v>
      </c>
      <c r="D254" t="n">
        <v>12</v>
      </c>
      <c r="E254" s="28" t="n">
        <v>-0.0682804990619347</v>
      </c>
      <c r="F254" s="28" t="n">
        <v>0.0574456259445389</v>
      </c>
    </row>
    <row r="255">
      <c r="A255" t="s">
        <v>290</v>
      </c>
      <c r="B255" t="s">
        <v>31</v>
      </c>
      <c r="C255" t="s">
        <v>423</v>
      </c>
      <c r="D255" t="n">
        <v>13</v>
      </c>
      <c r="E255" s="28" t="n">
        <v>-0.0588180432479728</v>
      </c>
      <c r="F255" s="28" t="n">
        <v>0.0665077811747088</v>
      </c>
    </row>
    <row r="256">
      <c r="A256" t="s">
        <v>290</v>
      </c>
      <c r="B256" t="s">
        <v>31</v>
      </c>
      <c r="C256" t="s">
        <v>423</v>
      </c>
      <c r="D256" t="n">
        <v>14</v>
      </c>
      <c r="E256" s="28" t="n">
        <v>-0.0546962477482942</v>
      </c>
      <c r="F256" s="28" t="n">
        <v>0.0690108996040537</v>
      </c>
    </row>
    <row r="257">
      <c r="A257" t="s">
        <v>290</v>
      </c>
      <c r="B257" t="s">
        <v>31</v>
      </c>
      <c r="C257" t="s">
        <v>423</v>
      </c>
      <c r="D257" t="n">
        <v>15</v>
      </c>
      <c r="E257" s="28" t="n">
        <v>-0.0329026558938544</v>
      </c>
      <c r="F257" s="28" t="n">
        <v>0.0794701472852274</v>
      </c>
    </row>
    <row r="258">
      <c r="A258" t="s">
        <v>290</v>
      </c>
      <c r="B258" t="s">
        <v>31</v>
      </c>
      <c r="C258" t="s">
        <v>423</v>
      </c>
      <c r="D258" t="n">
        <v>16</v>
      </c>
      <c r="E258" s="28" t="n">
        <v>-0.0130214732391224</v>
      </c>
      <c r="F258" s="28" t="n">
        <v>0.0875655490998983</v>
      </c>
    </row>
    <row r="259">
      <c r="A259" t="s">
        <v>290</v>
      </c>
      <c r="B259" t="s">
        <v>31</v>
      </c>
      <c r="C259" t="s">
        <v>423</v>
      </c>
      <c r="D259" t="n">
        <v>17</v>
      </c>
      <c r="E259" s="28" t="n">
        <v>0.00413731705514196</v>
      </c>
      <c r="F259" s="28" t="n">
        <v>0.0889315937832457</v>
      </c>
    </row>
    <row r="260">
      <c r="A260" t="s">
        <v>290</v>
      </c>
      <c r="B260" t="s">
        <v>31</v>
      </c>
      <c r="C260" t="s">
        <v>423</v>
      </c>
      <c r="D260" t="n">
        <v>18</v>
      </c>
      <c r="E260" s="28" t="n">
        <v>0.0335131655378441</v>
      </c>
      <c r="F260" s="28" t="n">
        <v>0.0837981503392745</v>
      </c>
    </row>
    <row r="261">
      <c r="A261" t="s">
        <v>290</v>
      </c>
      <c r="B261" t="s">
        <v>31</v>
      </c>
      <c r="C261" t="s">
        <v>423</v>
      </c>
      <c r="D261" t="n">
        <v>19</v>
      </c>
      <c r="E261" s="28" t="n">
        <v>0.0481953382498416</v>
      </c>
      <c r="F261" s="28" t="n">
        <v>0.0787431289772778</v>
      </c>
    </row>
    <row r="262">
      <c r="A262" t="s">
        <v>290</v>
      </c>
      <c r="B262" t="s">
        <v>31</v>
      </c>
      <c r="C262" t="s">
        <v>423</v>
      </c>
      <c r="D262" t="n">
        <v>20</v>
      </c>
      <c r="E262" s="28" t="n">
        <v>0.0625637812067298</v>
      </c>
      <c r="F262" s="28" t="n">
        <v>0.0649416650769814</v>
      </c>
    </row>
    <row r="263">
      <c r="A263" t="s">
        <v>290</v>
      </c>
      <c r="B263" t="s">
        <v>31</v>
      </c>
      <c r="C263" t="s">
        <v>423</v>
      </c>
      <c r="D263" t="n">
        <v>21</v>
      </c>
      <c r="E263" s="28" t="n">
        <v>0.0681757154496661</v>
      </c>
      <c r="F263" s="28" t="n">
        <v>0.0591023236808364</v>
      </c>
    </row>
    <row r="264">
      <c r="A264" t="s">
        <v>290</v>
      </c>
      <c r="B264" t="s">
        <v>31</v>
      </c>
      <c r="C264" t="s">
        <v>423</v>
      </c>
      <c r="D264" t="n">
        <v>22</v>
      </c>
      <c r="E264" s="28" t="n">
        <v>0.0708094459555221</v>
      </c>
      <c r="F264" s="28" t="n">
        <v>0.0426643229799772</v>
      </c>
    </row>
    <row r="266">
      <c r="A266" s="1" t="s">
        <v>424</v>
      </c>
    </row>
    <row r="267">
      <c r="A267" t="s">
        <v>1</v>
      </c>
    </row>
    <row r="268">
      <c r="A268" t="s">
        <v>425</v>
      </c>
    </row>
    <row r="269">
      <c r="A269" t="s">
        <v>426</v>
      </c>
    </row>
    <row r="270">
      <c r="A270" t="s">
        <v>427</v>
      </c>
    </row>
    <row r="271">
      <c r="A271" t="s">
        <v>428</v>
      </c>
    </row>
    <row r="272">
      <c r="A272" t="s">
        <v>429</v>
      </c>
    </row>
    <row r="273">
      <c r="A273" t="s">
        <v>430</v>
      </c>
    </row>
    <row r="274">
      <c r="A274" t="s">
        <v>431</v>
      </c>
    </row>
    <row r="275">
      <c r="A275" t="s">
        <v>432</v>
      </c>
    </row>
    <row r="276">
      <c r="A276" t="s">
        <v>433</v>
      </c>
    </row>
    <row r="277">
      <c r="A277" t="s">
        <v>434</v>
      </c>
    </row>
  </sheetData>
  <pageMargins left="0.7" right="0.7" top="0.75" bottom="0.75" header="0.3" footer="0.3"/>
  <pageSetup paperSize="9" orientation="portrait" horizontalDpi="300" verticalDpi="300"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0.71" hidden="0" customWidth="1"/>
    <col min="2" max="2" width="80.71" hidden="0" customWidth="1"/>
  </cols>
  <sheetData>
    <row r="1">
      <c r="A1" t="s">
        <v>922</v>
      </c>
      <c r="B1" t="s">
        <v>5</v>
      </c>
    </row>
    <row r="2">
      <c r="A2" t="s">
        <v>1246</v>
      </c>
      <c r="B2" t="s">
        <v>1247</v>
      </c>
    </row>
    <row r="3">
      <c r="A3" t="s">
        <v>1248</v>
      </c>
      <c r="B3" t="s">
        <v>1249</v>
      </c>
    </row>
    <row r="4">
      <c r="A4" t="s">
        <v>1250</v>
      </c>
      <c r="B4" t="s">
        <v>1251</v>
      </c>
    </row>
    <row r="5">
      <c r="A5" t="s">
        <v>1252</v>
      </c>
      <c r="B5" t="s">
        <v>1253</v>
      </c>
    </row>
    <row r="6">
      <c r="A6" t="s">
        <v>1254</v>
      </c>
      <c r="B6" t="s">
        <v>1255</v>
      </c>
    </row>
    <row r="7">
      <c r="A7" t="s">
        <v>1256</v>
      </c>
      <c r="B7" t="s">
        <v>1257</v>
      </c>
    </row>
    <row r="8">
      <c r="A8" t="s">
        <v>1258</v>
      </c>
      <c r="B8" t="s">
        <v>1259</v>
      </c>
    </row>
    <row r="9">
      <c r="A9" t="s">
        <v>1260</v>
      </c>
      <c r="B9" t="s">
        <v>1261</v>
      </c>
    </row>
    <row r="10">
      <c r="A10" t="s">
        <v>1262</v>
      </c>
      <c r="B10" t="s">
        <v>1263</v>
      </c>
    </row>
    <row r="11">
      <c r="A11" t="s">
        <v>1264</v>
      </c>
      <c r="B11" t="s">
        <v>1265</v>
      </c>
    </row>
    <row r="12">
      <c r="A12" t="s">
        <v>1266</v>
      </c>
      <c r="B12" t="s">
        <v>1267</v>
      </c>
    </row>
    <row r="13">
      <c r="A13" t="s">
        <v>1268</v>
      </c>
      <c r="B13" t="s">
        <v>1269</v>
      </c>
    </row>
    <row r="14">
      <c r="A14" t="s">
        <v>1270</v>
      </c>
      <c r="B14" t="s">
        <v>1271</v>
      </c>
    </row>
    <row r="15">
      <c r="A15" t="s">
        <v>1272</v>
      </c>
      <c r="B15" t="s">
        <v>1273</v>
      </c>
    </row>
    <row r="16">
      <c r="A16" t="s">
        <v>1274</v>
      </c>
      <c r="B16" t="s">
        <v>9</v>
      </c>
    </row>
    <row r="17">
      <c r="A17" t="s">
        <v>435</v>
      </c>
      <c r="B17" t="s">
        <v>1275</v>
      </c>
    </row>
    <row r="18">
      <c r="A18" t="s">
        <v>28</v>
      </c>
      <c r="B18" t="s">
        <v>1276</v>
      </c>
    </row>
    <row r="19">
      <c r="A19" t="s">
        <v>941</v>
      </c>
      <c r="B19" t="s">
        <v>30</v>
      </c>
    </row>
    <row r="20">
      <c r="A20" t="s">
        <v>1277</v>
      </c>
      <c r="B20" t="s">
        <v>1278</v>
      </c>
    </row>
    <row r="21">
      <c r="A21" t="s">
        <v>1279</v>
      </c>
      <c r="B21" t="s">
        <v>1280</v>
      </c>
    </row>
    <row r="22">
      <c r="A22" t="s">
        <v>1281</v>
      </c>
      <c r="B22" t="s">
        <v>1282</v>
      </c>
    </row>
    <row r="23">
      <c r="A23" t="s">
        <v>1283</v>
      </c>
      <c r="B23" t="s">
        <v>1284</v>
      </c>
    </row>
    <row r="24">
      <c r="A24" t="s">
        <v>1285</v>
      </c>
      <c r="B24" t="s">
        <v>1286</v>
      </c>
    </row>
    <row r="25">
      <c r="A25" t="s">
        <v>1287</v>
      </c>
      <c r="B25" t="s">
        <v>1288</v>
      </c>
    </row>
    <row r="26">
      <c r="A26" t="s">
        <v>946</v>
      </c>
      <c r="B26" t="s">
        <v>1289</v>
      </c>
    </row>
    <row r="27">
      <c r="A27" t="s">
        <v>1290</v>
      </c>
      <c r="B27" t="s">
        <v>1291</v>
      </c>
    </row>
    <row r="28">
      <c r="A28" t="s">
        <v>1292</v>
      </c>
      <c r="B28" t="s">
        <v>1293</v>
      </c>
    </row>
    <row r="29">
      <c r="A29" t="s">
        <v>1294</v>
      </c>
      <c r="B29" t="s">
        <v>1295</v>
      </c>
    </row>
    <row r="30">
      <c r="A30" t="s">
        <v>1296</v>
      </c>
      <c r="B30" t="s">
        <v>1297</v>
      </c>
    </row>
    <row r="31">
      <c r="A31" t="s">
        <v>1298</v>
      </c>
      <c r="B31" t="s">
        <v>1299</v>
      </c>
    </row>
    <row r="32">
      <c r="A32" t="s">
        <v>944</v>
      </c>
      <c r="B32" t="s">
        <v>945</v>
      </c>
    </row>
    <row r="33">
      <c r="A33" t="s">
        <v>1300</v>
      </c>
      <c r="B33" t="s">
        <v>1301</v>
      </c>
    </row>
    <row r="34">
      <c r="A34" t="s">
        <v>1302</v>
      </c>
      <c r="B34" t="s">
        <v>822</v>
      </c>
    </row>
    <row r="35">
      <c r="A35" t="s">
        <v>1303</v>
      </c>
      <c r="B35" t="s">
        <v>1304</v>
      </c>
    </row>
    <row r="36">
      <c r="A36" t="s">
        <v>1305</v>
      </c>
      <c r="B36" t="s">
        <v>1306</v>
      </c>
    </row>
    <row r="37">
      <c r="A37" t="s">
        <v>1307</v>
      </c>
      <c r="B37" t="s">
        <v>1308</v>
      </c>
    </row>
    <row r="38">
      <c r="A38" t="s">
        <v>1309</v>
      </c>
      <c r="B38" t="s">
        <v>822</v>
      </c>
    </row>
    <row r="39">
      <c r="A39" t="s">
        <v>1310</v>
      </c>
      <c r="B39" t="s">
        <v>1306</v>
      </c>
    </row>
    <row r="40">
      <c r="A40" t="s">
        <v>1311</v>
      </c>
      <c r="B40" t="s">
        <v>1312</v>
      </c>
    </row>
    <row r="41">
      <c r="A41" t="s">
        <v>1313</v>
      </c>
      <c r="B41" t="s">
        <v>1314</v>
      </c>
    </row>
    <row r="42">
      <c r="A42" t="s">
        <v>1315</v>
      </c>
      <c r="B42" t="s">
        <v>1316</v>
      </c>
    </row>
    <row r="43">
      <c r="A43" t="s">
        <v>1317</v>
      </c>
      <c r="B43" t="s">
        <v>1318</v>
      </c>
    </row>
    <row r="44">
      <c r="A44" t="s">
        <v>1319</v>
      </c>
      <c r="B44" t="s">
        <v>1320</v>
      </c>
    </row>
    <row r="45">
      <c r="A45" t="s">
        <v>1321</v>
      </c>
      <c r="B45" t="s">
        <v>1322</v>
      </c>
    </row>
    <row r="46">
      <c r="A46" t="s">
        <v>1323</v>
      </c>
      <c r="B46" t="s">
        <v>1324</v>
      </c>
    </row>
    <row r="47">
      <c r="A47" t="s">
        <v>1325</v>
      </c>
      <c r="B47" t="s">
        <v>1326</v>
      </c>
    </row>
    <row r="48">
      <c r="A48" t="s">
        <v>1327</v>
      </c>
      <c r="B48" t="s">
        <v>1328</v>
      </c>
    </row>
    <row r="49">
      <c r="A49" t="s">
        <v>1329</v>
      </c>
      <c r="B49" t="s">
        <v>1330</v>
      </c>
    </row>
  </sheetData>
  <pageMargins left="0.7" right="0.7" top="0.75" bottom="0.75" header="0.3" footer="0.3"/>
  <pageSetup paperSize="9" orientation="portrait" horizontalDpi="300" verticalDpi="300"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4.71" hidden="0" customWidth="1"/>
    <col min="2" max="2" width="44.71" hidden="0" customWidth="1"/>
    <col min="3" max="3" width="90.71" hidden="0" customWidth="1"/>
  </cols>
  <sheetData>
    <row r="1">
      <c r="A1" t="s">
        <v>1268</v>
      </c>
      <c r="B1" t="s">
        <v>1331</v>
      </c>
      <c r="C1" t="s">
        <v>4</v>
      </c>
    </row>
    <row r="2">
      <c r="A2" s="31" t="str">
        <f>HYPERLINK("#'Manifest'!A1", "Manifest")</f>
      </c>
      <c r="B2" t="s">
        <v>1332</v>
      </c>
      <c r="C2" t="s">
        <v>1333</v>
      </c>
    </row>
    <row r="3">
      <c r="A3" s="31" t="str">
        <f>HYPERLINK("#'Overview'!A1", "Overview")</f>
      </c>
      <c r="B3" t="s">
        <v>1334</v>
      </c>
      <c r="C3" t="s">
        <v>1335</v>
      </c>
    </row>
    <row r="4">
      <c r="A4" s="31" t="str">
        <f>HYPERLINK("#'Baseline &amp; Preop Summary'!A1", "Baseline &amp; Preop Summary")</f>
      </c>
      <c r="B4" t="s">
        <v>1336</v>
      </c>
      <c r="C4" t="s">
        <v>1337</v>
      </c>
    </row>
    <row r="5">
      <c r="A5" s="31" t="str">
        <f>HYPERLINK("#'Outcome Summary'!A1", "Outcome Summary")</f>
      </c>
      <c r="B5" t="s">
        <v>1338</v>
      </c>
      <c r="C5" t="s">
        <v>1339</v>
      </c>
    </row>
    <row r="6">
      <c r="A6" s="31" t="str">
        <f>HYPERLINK("#'Publication Table'!A1", "Publication Table")</f>
      </c>
      <c r="B6" t="s">
        <v>1340</v>
      </c>
      <c r="C6" t="s">
        <v>1341</v>
      </c>
    </row>
    <row r="7">
      <c r="A7" s="31" t="str">
        <f>HYPERLINK("#'mEYEstro_Reference'!A1", "mEYEstro_Reference")</f>
      </c>
      <c r="B7" t="s">
        <v>1342</v>
      </c>
      <c r="C7" t="s">
        <v>1343</v>
      </c>
    </row>
    <row r="8">
      <c r="A8" s="31" t="str">
        <f>HYPERLINK("#'mEYEstro_Cohort A'!A1", "mEYEstro_Cohort A")</f>
      </c>
      <c r="B8" t="s">
        <v>1344</v>
      </c>
      <c r="C8" t="s">
        <v>1343</v>
      </c>
    </row>
    <row r="9">
      <c r="A9" s="31" t="str">
        <f>HYPERLINK("#'AstigMATIC_Reference'!A1", "AstigMATIC_Reference")</f>
      </c>
      <c r="B9" t="s">
        <v>1345</v>
      </c>
      <c r="C9" t="s">
        <v>1346</v>
      </c>
    </row>
    <row r="10">
      <c r="A10" s="31" t="str">
        <f>HYPERLINK("#'AstigMATIC_Cohort A'!A1", "AstigMATIC_Cohort A")</f>
      </c>
      <c r="B10" t="s">
        <v>1347</v>
      </c>
      <c r="C10" t="s">
        <v>1346</v>
      </c>
    </row>
    <row r="11">
      <c r="A11" s="31" t="str">
        <f>HYPERLINK("#'Astigmatism (JCRS 2025)'!A1", "Astigmatism (JCRS 2025)")</f>
      </c>
      <c r="B11" t="s">
        <v>1348</v>
      </c>
      <c r="C11" t="s">
        <v>1349</v>
      </c>
    </row>
    <row r="12">
      <c r="A12" s="31" t="str">
        <f>HYPERLINK("#'Astigmatism vectors'!A1", "Astigmatism vectors")</f>
      </c>
      <c r="B12" t="s">
        <v>1311</v>
      </c>
      <c r="C12" t="s">
        <v>1350</v>
      </c>
    </row>
    <row r="13">
      <c r="A13" s="31" t="str">
        <f>HYPERLINK("#'GEE_Main_Unmatched_Base'!A1", "GEE_Main_Unmatched_Base")</f>
      </c>
      <c r="B13" t="s">
        <v>1351</v>
      </c>
      <c r="C13" t="s">
        <v>1352</v>
      </c>
    </row>
    <row r="14">
      <c r="A14" s="31" t="str">
        <f>HYPERLINK("#'GEE_Main_Unmatched_Preop'!A1", "GEE_Main_Unmatched_Preop")</f>
      </c>
      <c r="B14" t="s">
        <v>1353</v>
      </c>
      <c r="C14" t="s">
        <v>1352</v>
      </c>
    </row>
    <row r="15">
      <c r="A15" s="31" t="str">
        <f>HYPERLINK("#'GEE_Main_Unmatched_Out'!A1", "GEE_Main_Unmatched_Out")</f>
      </c>
      <c r="B15" t="s">
        <v>1354</v>
      </c>
      <c r="C15" t="s">
        <v>1352</v>
      </c>
    </row>
    <row r="16">
      <c r="A16" s="31" t="str">
        <f>HYPERLINK("#'GEE_Adj_Unmatched_Base'!A1", "GEE_Adj_Unmatched_Base")</f>
      </c>
      <c r="B16" t="s">
        <v>1355</v>
      </c>
      <c r="C16" t="s">
        <v>1356</v>
      </c>
    </row>
    <row r="17">
      <c r="A17" s="31" t="str">
        <f>HYPERLINK("#'GEE_Adj_Unmatched_Preop'!A1", "GEE_Adj_Unmatched_Preop")</f>
      </c>
      <c r="B17" t="s">
        <v>1357</v>
      </c>
      <c r="C17" t="s">
        <v>1356</v>
      </c>
    </row>
    <row r="18">
      <c r="A18" s="31" t="str">
        <f>HYPERLINK("#'GEE_Adj_Unmatched_Out'!A1", "GEE_Adj_Unmatched_Out")</f>
      </c>
      <c r="B18" t="s">
        <v>1358</v>
      </c>
      <c r="C18" t="s">
        <v>1356</v>
      </c>
    </row>
    <row r="19">
      <c r="A19" s="31" t="str">
        <f>HYPERLINK("#'Regression (adjusted)'!A1", "Regression (adjusted)")</f>
      </c>
      <c r="B19" t="s">
        <v>1359</v>
      </c>
      <c r="C19" t="s">
        <v>1360</v>
      </c>
    </row>
    <row r="20">
      <c r="A20" s="31" t="str">
        <f>HYPERLINK("#'PSM_Cohort A_vs_Reference'!A1", "PSM_Cohort A_vs_Reference")</f>
      </c>
      <c r="B20" t="s">
        <v>1361</v>
      </c>
      <c r="C20" t="s">
        <v>1362</v>
      </c>
    </row>
    <row r="21">
      <c r="A21" s="31" t="str">
        <f>HYPERLINK("#'GEE_M_Cohort A_vs_Reference'!A1", "GEE_M_Cohort A_vs_Reference")</f>
      </c>
      <c r="B21" t="s">
        <v>1363</v>
      </c>
      <c r="C21" t="s">
        <v>1364</v>
      </c>
    </row>
    <row r="22">
      <c r="A22" s="31" t="str">
        <f>HYPERLINK("#'GEE_Adj_M_Cohort A_vs_Reference'!A1", "GEE_Adj_M_Cohort A_vs_Reference")</f>
      </c>
      <c r="B22" t="s">
        <v>1365</v>
      </c>
      <c r="C22" t="s">
        <v>1366</v>
      </c>
    </row>
    <row r="23">
      <c r="A23" s="31" t="str">
        <f>HYPERLINK("#'Reg_M_Cohort A_vs_Reference'!A1", "Reg_M_Cohort A_vs_Reference")</f>
      </c>
      <c r="B23" t="s">
        <v>1367</v>
      </c>
      <c r="C23" t="s">
        <v>1368</v>
      </c>
    </row>
    <row r="24">
      <c r="A24" s="31" t="str">
        <f>HYPERLINK("#'BasePreop_M_Cohort A_vs_Referen'!A1", "BasePreop_M_Cohort A_vs_Referen")</f>
      </c>
      <c r="B24" t="s">
        <v>1370</v>
      </c>
      <c r="C24" t="s">
        <v>1371</v>
      </c>
    </row>
    <row r="25">
      <c r="A25" s="31" t="str">
        <f>HYPERLINK("#'Out_M_Cohort A_vs_Reference'!A1", "Out_M_Cohort A_vs_Reference")</f>
      </c>
      <c r="B25" t="s">
        <v>1372</v>
      </c>
      <c r="C25" t="s">
        <v>1373</v>
      </c>
    </row>
    <row r="26">
      <c r="A26" s="31" t="str">
        <f>HYPERLINK("#'Pub_M_Cohort A_vs_Reference'!A1", "Pub_M_Cohort A_vs_Reference")</f>
      </c>
      <c r="B26" t="s">
        <v>1374</v>
      </c>
      <c r="C26" t="s">
        <v>1375</v>
      </c>
    </row>
    <row r="27">
      <c r="A27" s="31" t="str">
        <f>HYPERLINK("#'mEYEstro_M1_Reference'!A1", "mEYEstro_M1_Reference")</f>
      </c>
      <c r="B27" t="s">
        <v>1377</v>
      </c>
      <c r="C27" t="s">
        <v>1378</v>
      </c>
    </row>
    <row r="28">
      <c r="A28" s="31" t="str">
        <f>HYPERLINK("#'mEYEstro_M1_Cohort A'!A1", "mEYEstro_M1_Cohort A")</f>
      </c>
      <c r="B28" t="s">
        <v>1380</v>
      </c>
      <c r="C28" t="s">
        <v>1378</v>
      </c>
    </row>
    <row r="29">
      <c r="A29" s="31" t="str">
        <f>HYPERLINK("#'AstigMATIC_M1_Reference'!A1", "AstigMATIC_M1_Reference")</f>
      </c>
      <c r="B29" t="s">
        <v>1382</v>
      </c>
      <c r="C29" t="s">
        <v>1383</v>
      </c>
    </row>
    <row r="30">
      <c r="A30" s="31" t="str">
        <f>HYPERLINK("#'AstigMATIC_M1_Cohort A'!A1", "AstigMATIC_M1_Cohort A")</f>
      </c>
      <c r="B30" t="s">
        <v>1385</v>
      </c>
      <c r="C30" t="s">
        <v>1383</v>
      </c>
    </row>
    <row r="31">
      <c r="A31" s="31" t="str">
        <f>HYPERLINK("#'Astig_M_Cohort A_vs_Reference'!A1", "Astig_M_Cohort A_vs_Reference")</f>
      </c>
      <c r="B31" t="s">
        <v>1386</v>
      </c>
      <c r="C31" t="s">
        <v>1387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StandardEyes 1.1.0</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StandardEyes</dc:creator>
  <cp:lastModifiedBy>StandardEyes</cp:lastModifiedBy>
  <dcterms:created xsi:type="dcterms:W3CDTF">2026-10-13T23:50:12Z</dcterms:created>
</coreProperties>
</file>