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5.xml" ContentType="application/vnd.openxmlformats-officedocument.spreadsheetml.table+xml"/>
  <Override PartName="/xl/worksheets/sheet26.xml" ContentType="application/vnd.openxmlformats-officedocument.spreadsheetml.worksheet+xml"/>
  <Override PartName="/xl/tables/table6.xml" ContentType="application/vnd.openxmlformats-officedocument.spreadsheetml.table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2"/>
  </bookViews>
  <sheets>
    <sheet name="Contents" sheetId="28" state="visible" r:id="rId28"/>
    <sheet name="Manifest" sheetId="27" state="visible" r:id="rId27"/>
    <sheet name="Overview" sheetId="1" state="visible" r:id="rId1"/>
    <sheet name="Baseline &amp; Preop Summary" sheetId="2" state="visible" r:id="rId2"/>
    <sheet name="Outcome Summary" sheetId="3" state="visible" r:id="rId3"/>
    <sheet name="Publication Table" sheetId="4" state="visible" r:id="rId4"/>
    <sheet name="mEYEstro_Control" sheetId="5" state="visible" r:id="rId5"/>
    <sheet name="mEYEstro_Diabetes" sheetId="6" state="visible" r:id="rId6"/>
    <sheet name="AstigMATIC_Control" sheetId="7" state="visible" r:id="rId7"/>
    <sheet name="AstigMATIC_Diabetes" sheetId="8" state="visible" r:id="rId8"/>
    <sheet name="GEE_Main_Unmatched_Base" sheetId="9" state="visible" r:id="rId9"/>
    <sheet name="GEE_Main_Unmatched_Preop" sheetId="10" state="visible" r:id="rId10"/>
    <sheet name="GEE_Main_Unmatched_Out" sheetId="11" state="visible" r:id="rId11"/>
    <sheet name="GEE_Adj_Unmatched_Base" sheetId="12" state="visible" r:id="rId12"/>
    <sheet name="GEE_Adj_Unmatched_Preop" sheetId="13" state="visible" r:id="rId13"/>
    <sheet name="GEE_Adj_Unmatched_Out" sheetId="14" state="visible" r:id="rId14"/>
    <sheet name="Regression (adjusted)" sheetId="15" state="visible" r:id="rId15"/>
    <sheet name="PSM_Diabetes_vs_Control" sheetId="16" state="visible" r:id="rId16"/>
    <sheet name="GEE_M_Diabetes_vs_Control" sheetId="17" state="visible" r:id="rId17"/>
    <sheet name="GEE_Adj_M_Diabetes_vs_Control" sheetId="18" state="visible" r:id="rId18"/>
    <sheet name="Reg_M_Diabetes_vs_Control" sheetId="19" state="visible" r:id="rId19"/>
    <sheet name="BasePreop_M_Diabetes_vs_Control" sheetId="20" state="visible" r:id="rId20"/>
    <sheet name="Out_M_Diabetes_vs_Control" sheetId="21" state="visible" r:id="rId21"/>
    <sheet name="Pub_M_Diabetes_vs_Control" sheetId="22" state="visible" r:id="rId22"/>
    <sheet name="mEYEstro_M_Control_Diabetes_vs_" sheetId="23" state="visible" r:id="rId23"/>
    <sheet name="mEYEstro_M_Diabetes_Diabetes_vs" sheetId="24" state="visible" r:id="rId24"/>
    <sheet name="AstigMATIC_M_Control_Diabetes_v" sheetId="25" state="visible" r:id="rId25"/>
    <sheet name="AstigMATIC_M_Diabetes_Diabetes_" sheetId="26" state="visible" r:id="rId26"/>
  </sheets>
</workbook>
</file>

<file path=xl/sharedStrings.xml><?xml version="1.0" encoding="utf-8"?>
<sst xmlns="http://schemas.openxmlformats.org/spreadsheetml/2006/main" count="1065" uniqueCount="1065">
  <si>
    <t xml:space="preserve">Notes</t>
  </si>
  <si>
    <t xml:space="preserve">Note</t>
  </si>
  <si>
    <t xml:space="preserve">Visual acuity analysed in logMAR (lower = better): Preop_UDVA, Preop_CDVA, Postop_UDVA, Postop_CDVA - converted from the recorded notation.</t>
  </si>
  <si>
    <t xml:space="preserve">Initial Summary</t>
  </si>
  <si>
    <t xml:space="preserve">Description</t>
  </si>
  <si>
    <t xml:space="preserve">Value</t>
  </si>
  <si>
    <t xml:space="preserve">Number of Patients</t>
  </si>
  <si>
    <t xml:space="preserve">235</t>
  </si>
  <si>
    <t xml:space="preserve">Number of Eyes</t>
  </si>
  <si>
    <t xml:space="preserve">360</t>
  </si>
  <si>
    <t xml:space="preserve">Mean Age (per patient)</t>
  </si>
  <si>
    <t xml:space="preserve">33.29</t>
  </si>
  <si>
    <t xml:space="preserve">SD Age (per patient)</t>
  </si>
  <si>
    <t xml:space="preserve">7.38</t>
  </si>
  <si>
    <t xml:space="preserve">Age Range (per patient)</t>
  </si>
  <si>
    <t xml:space="preserve">18 - 54</t>
  </si>
  <si>
    <t xml:space="preserve">Mean Follow-up Time (per eye)</t>
  </si>
  <si>
    <t xml:space="preserve">181.6</t>
  </si>
  <si>
    <t xml:space="preserve">SD Follow-up Time (per eye)</t>
  </si>
  <si>
    <t xml:space="preserve">85.54</t>
  </si>
  <si>
    <t xml:space="preserve">Median Follow-up Time [IQR] (per eye)</t>
  </si>
  <si>
    <t xml:space="preserve">170 [115–259.25]</t>
  </si>
  <si>
    <t xml:space="preserve">Sex (per patient)</t>
  </si>
  <si>
    <t xml:space="preserve">Sex</t>
  </si>
  <si>
    <t xml:space="preserve">Count</t>
  </si>
  <si>
    <t xml:space="preserve">Percentage</t>
  </si>
  <si>
    <t xml:space="preserve">F</t>
  </si>
  <si>
    <t xml:space="preserve">M</t>
  </si>
  <si>
    <t xml:space="preserve">Groups</t>
  </si>
  <si>
    <t xml:space="preserve">GroupLabel</t>
  </si>
  <si>
    <t xml:space="preserve">Control</t>
  </si>
  <si>
    <t xml:space="preserve">Diabetes</t>
  </si>
  <si>
    <t xml:space="preserve">QC - group assignment by source value</t>
  </si>
  <si>
    <t xml:space="preserve">Group_Source_Value</t>
  </si>
  <si>
    <t xml:space="preserve">N</t>
  </si>
  <si>
    <t xml:space="preserve">Baseline</t>
  </si>
  <si>
    <t xml:space="preserve">Parameter</t>
  </si>
  <si>
    <t xml:space="preserve">Control (n = 247 eyes; 163 patients)</t>
  </si>
  <si>
    <t xml:space="preserve">Diabetes (n = 113 eyes; 72 patients)</t>
  </si>
  <si>
    <t xml:space="preserve">p_value</t>
  </si>
  <si>
    <t xml:space="preserve">Test</t>
  </si>
  <si>
    <t xml:space="preserve">Practical Interpretation</t>
  </si>
  <si>
    <t xml:space="preserve">GEE effect (95% CI)</t>
  </si>
  <si>
    <t xml:space="preserve">GEE p value</t>
  </si>
  <si>
    <t xml:space="preserve">Age_Years [per patient]</t>
  </si>
  <si>
    <t xml:space="preserve">30.94 ± 6.34</t>
  </si>
  <si>
    <t xml:space="preserve">38.58 ± 6.83</t>
  </si>
  <si>
    <t xml:space="preserve">&lt;0.001</t>
  </si>
  <si>
    <t xml:space="preserve">Welch t-test</t>
  </si>
  <si>
    <t xml:space="preserve">Significant difference between groups.</t>
  </si>
  <si>
    <t xml:space="preserve">β = 7.627 [5.793, 9.461]</t>
  </si>
  <si>
    <t xml:space="preserve">Preop_SEQ_D</t>
  </si>
  <si>
    <t xml:space="preserve">-4.16 ± 1.89</t>
  </si>
  <si>
    <t xml:space="preserve">-4.4 ± 1.92</t>
  </si>
  <si>
    <t xml:space="preserve">0.256</t>
  </si>
  <si>
    <t xml:space="preserve">No significant difference between groups.</t>
  </si>
  <si>
    <t xml:space="preserve">β = -0.234 [-0.663, 0.196]</t>
  </si>
  <si>
    <t xml:space="preserve">0.286</t>
  </si>
  <si>
    <t xml:space="preserve">Preop_Sphere_D</t>
  </si>
  <si>
    <t xml:space="preserve">-3.83 ± 1.89</t>
  </si>
  <si>
    <t xml:space="preserve">-4.05 ± 1.95</t>
  </si>
  <si>
    <t xml:space="preserve">0.317</t>
  </si>
  <si>
    <t xml:space="preserve">β = -0.205 [-0.642, 0.232]</t>
  </si>
  <si>
    <t xml:space="preserve">0.358</t>
  </si>
  <si>
    <t xml:space="preserve">Preop_Cylinder_D</t>
  </si>
  <si>
    <t xml:space="preserve">-0.65 ± 0.56</t>
  </si>
  <si>
    <t xml:space="preserve">-0.69 ± 0.59</t>
  </si>
  <si>
    <t xml:space="preserve">0.546</t>
  </si>
  <si>
    <t xml:space="preserve">β = -0.040 [-0.161, 0.082]</t>
  </si>
  <si>
    <t xml:space="preserve">0.521</t>
  </si>
  <si>
    <t xml:space="preserve">Preop_UDVA</t>
  </si>
  <si>
    <t xml:space="preserve">1.08 ± 0.23</t>
  </si>
  <si>
    <t xml:space="preserve">1.1 ± 0.23</t>
  </si>
  <si>
    <t xml:space="preserve">0.275</t>
  </si>
  <si>
    <t xml:space="preserve">β = 0.027 [-0.024, 0.079]</t>
  </si>
  <si>
    <t xml:space="preserve">0.295</t>
  </si>
  <si>
    <t xml:space="preserve">Preop_CDVA</t>
  </si>
  <si>
    <t xml:space="preserve">-0.01 ± 0.03</t>
  </si>
  <si>
    <t xml:space="preserve">0.098</t>
  </si>
  <si>
    <t xml:space="preserve">β = 0.006 [-0.001, 0.012]</t>
  </si>
  <si>
    <t xml:space="preserve">0.093</t>
  </si>
  <si>
    <t xml:space="preserve">Preop_Pachymetry_um</t>
  </si>
  <si>
    <t xml:space="preserve">546.34 ± 26.34 (n = 240)</t>
  </si>
  <si>
    <t xml:space="preserve">533.62 ± 25.04 (n = 108)</t>
  </si>
  <si>
    <t xml:space="preserve">β = -12.434 [-18.508, -6.360]</t>
  </si>
  <si>
    <t xml:space="preserve">Preop_Mean_K_D</t>
  </si>
  <si>
    <t xml:space="preserve">43.59 ± 1.4 (n = 243)</t>
  </si>
  <si>
    <t xml:space="preserve">43.58 ± 1.47 (n = 110)</t>
  </si>
  <si>
    <t xml:space="preserve">0.937</t>
  </si>
  <si>
    <t xml:space="preserve">β = -0.005 [-0.321, 0.311]</t>
  </si>
  <si>
    <t xml:space="preserve">0.973</t>
  </si>
  <si>
    <t xml:space="preserve">Preop_DryEye_Grade</t>
  </si>
  <si>
    <t xml:space="preserve">0 [0–1]</t>
  </si>
  <si>
    <t xml:space="preserve">1 [0–2]</t>
  </si>
  <si>
    <t xml:space="preserve">0.048</t>
  </si>
  <si>
    <t xml:space="preserve">Wilcoxon rank-sum test</t>
  </si>
  <si>
    <t xml:space="preserve"/>
  </si>
  <si>
    <t xml:space="preserve">Sex (F) [per patient]</t>
  </si>
  <si>
    <t xml:space="preserve">96/163 (58.9%)</t>
  </si>
  <si>
    <t xml:space="preserve">42/72 (58.3%)</t>
  </si>
  <si>
    <t xml:space="preserve">0.936</t>
  </si>
  <si>
    <t xml:space="preserve">Chi-squared test</t>
  </si>
  <si>
    <t xml:space="preserve">OR = 0.979 [0.557, 1.718]</t>
  </si>
  <si>
    <t xml:space="preserve">0.940</t>
  </si>
  <si>
    <t xml:space="preserve">Smoker (Yes) [per patient]</t>
  </si>
  <si>
    <t xml:space="preserve">38/163 (23.3%)</t>
  </si>
  <si>
    <t xml:space="preserve">13/72 (18.1%)</t>
  </si>
  <si>
    <t xml:space="preserve">0.367</t>
  </si>
  <si>
    <t xml:space="preserve">OR = 0.732 [0.363, 1.477]</t>
  </si>
  <si>
    <t xml:space="preserve">0.384</t>
  </si>
  <si>
    <t xml:space="preserve">Surgeon: Surgeon A</t>
  </si>
  <si>
    <t xml:space="preserve">104/247 (42.1%)</t>
  </si>
  <si>
    <t xml:space="preserve">37/113 (32.7%)</t>
  </si>
  <si>
    <t xml:space="preserve">0.210</t>
  </si>
  <si>
    <t xml:space="preserve">Surgeon: Surgeon B</t>
  </si>
  <si>
    <t xml:space="preserve">86/247 (34.8%)</t>
  </si>
  <si>
    <t xml:space="preserve">43/113 (38.1%)</t>
  </si>
  <si>
    <t xml:space="preserve">Surgeon: Surgeon C</t>
  </si>
  <si>
    <t xml:space="preserve">57/247 (23.1%)</t>
  </si>
  <si>
    <t xml:space="preserve">33/113 (29.2%)</t>
  </si>
  <si>
    <t xml:space="preserve">Preoperative / intraoperative</t>
  </si>
  <si>
    <t xml:space="preserve">Optical_Zone_mm</t>
  </si>
  <si>
    <t xml:space="preserve">6.51 ± 0.29</t>
  </si>
  <si>
    <t xml:space="preserve">6.49 ± 0.32</t>
  </si>
  <si>
    <t xml:space="preserve">0.464</t>
  </si>
  <si>
    <t xml:space="preserve">β = -0.026 [-0.091, 0.039]</t>
  </si>
  <si>
    <t xml:space="preserve">0.433</t>
  </si>
  <si>
    <t xml:space="preserve">Ablation_Depth_um</t>
  </si>
  <si>
    <t xml:space="preserve">64.05 ± 26.74</t>
  </si>
  <si>
    <t xml:space="preserve">67.11 ± 27.86</t>
  </si>
  <si>
    <t xml:space="preserve">0.330</t>
  </si>
  <si>
    <t xml:space="preserve">β = 2.946 [-3.219, 9.111]</t>
  </si>
  <si>
    <t xml:space="preserve">0.349</t>
  </si>
  <si>
    <t xml:space="preserve">Procedure: LASIK</t>
  </si>
  <si>
    <t xml:space="preserve">102/247 (41.3%)</t>
  </si>
  <si>
    <t xml:space="preserve">48/113 (42.5%)</t>
  </si>
  <si>
    <t xml:space="preserve">0.338</t>
  </si>
  <si>
    <t xml:space="preserve">Procedure: PRK</t>
  </si>
  <si>
    <t xml:space="preserve">108/247 (43.7%)</t>
  </si>
  <si>
    <t xml:space="preserve">42/113 (37.2%)</t>
  </si>
  <si>
    <t xml:space="preserve">Procedure: SMILE</t>
  </si>
  <si>
    <t xml:space="preserve">37/247 (15%)</t>
  </si>
  <si>
    <t xml:space="preserve">23/113 (20.4%)</t>
  </si>
  <si>
    <t xml:space="preserve">Within-group only - Control (n = 247 eyes; 163 patients; no between-group test)</t>
  </si>
  <si>
    <t xml:space="preserve">n</t>
  </si>
  <si>
    <t xml:space="preserve">Summary</t>
  </si>
  <si>
    <t xml:space="preserve">Analyzed by</t>
  </si>
  <si>
    <t xml:space="preserve">546.34 ± 26.34  (median 547 [529.75-565.25], range 470-614)</t>
  </si>
  <si>
    <t xml:space="preserve">eye</t>
  </si>
  <si>
    <t xml:space="preserve">0 [0-1]</t>
  </si>
  <si>
    <t xml:space="preserve">Smoker (Yes)</t>
  </si>
  <si>
    <t xml:space="preserve">38 (23.3%)</t>
  </si>
  <si>
    <t xml:space="preserve">patient</t>
  </si>
  <si>
    <t xml:space="preserve">70 (42.9%)</t>
  </si>
  <si>
    <t xml:space="preserve">57 (35%)</t>
  </si>
  <si>
    <t xml:space="preserve">36 (22.1%)</t>
  </si>
  <si>
    <t xml:space="preserve">Within-group only - Diabetes (n = 113 eyes; 72 patients; no between-group test)</t>
  </si>
  <si>
    <t xml:space="preserve">533.62 ± 25.04  (median 532 [518-550.25], range 470-592)</t>
  </si>
  <si>
    <t xml:space="preserve">1 [0-2]</t>
  </si>
  <si>
    <t xml:space="preserve">13 (18.1%)</t>
  </si>
  <si>
    <t xml:space="preserve">23 (31.9%)</t>
  </si>
  <si>
    <t xml:space="preserve">28 (38.9%)</t>
  </si>
  <si>
    <t xml:space="preserve">21 (29.2%)</t>
  </si>
  <si>
    <t xml:space="preserve">Adjusted effect (95% CI)</t>
  </si>
  <si>
    <t xml:space="preserve">Adjusted P</t>
  </si>
  <si>
    <t xml:space="preserve">FollowUp_Days</t>
  </si>
  <si>
    <t xml:space="preserve">184.84 ± 88.81</t>
  </si>
  <si>
    <t xml:space="preserve">174.53 ± 77.83</t>
  </si>
  <si>
    <t xml:space="preserve">0.266</t>
  </si>
  <si>
    <t xml:space="preserve">β = -9.980 [-29.039, 9.079]</t>
  </si>
  <si>
    <t xml:space="preserve">0.305</t>
  </si>
  <si>
    <t xml:space="preserve">beta = -16.48 [-37.51, 4.56]</t>
  </si>
  <si>
    <t xml:space="preserve">0.125</t>
  </si>
  <si>
    <t xml:space="preserve">Postop_SEQ_D</t>
  </si>
  <si>
    <t xml:space="preserve">0.02 ± 0.31</t>
  </si>
  <si>
    <t xml:space="preserve">-0.18 ± 0.45</t>
  </si>
  <si>
    <t xml:space="preserve">β = -0.205 [-0.295, -0.115]</t>
  </si>
  <si>
    <t xml:space="preserve">beta = -0.19 [-0.29, -0.09]</t>
  </si>
  <si>
    <t xml:space="preserve">Postop_Cylinder_D</t>
  </si>
  <si>
    <t xml:space="preserve">-0.22 ± 0.18</t>
  </si>
  <si>
    <t xml:space="preserve">-0.21 ± 0.18</t>
  </si>
  <si>
    <t xml:space="preserve">0.843</t>
  </si>
  <si>
    <t xml:space="preserve">β = 0.005 [-0.038, 0.047]</t>
  </si>
  <si>
    <t xml:space="preserve">0.833</t>
  </si>
  <si>
    <t xml:space="preserve">beta = -0.02 [-0.07, 0.03]</t>
  </si>
  <si>
    <t xml:space="preserve">0.496</t>
  </si>
  <si>
    <t xml:space="preserve">Postop_UDVA</t>
  </si>
  <si>
    <t xml:space="preserve">0 ± 0.05</t>
  </si>
  <si>
    <t xml:space="preserve">0.05 ± 0.06</t>
  </si>
  <si>
    <t xml:space="preserve">β = 0.055 [0.043, 0.067]</t>
  </si>
  <si>
    <t xml:space="preserve">beta = 0.05 [0.04, 0.07]</t>
  </si>
  <si>
    <t xml:space="preserve">Postop_CDVA</t>
  </si>
  <si>
    <t xml:space="preserve">-0.01 ± 0.04</t>
  </si>
  <si>
    <t xml:space="preserve">0.082</t>
  </si>
  <si>
    <t xml:space="preserve">β = 0.007 [-0.001, 0.015]</t>
  </si>
  <si>
    <t xml:space="preserve">0.084</t>
  </si>
  <si>
    <t xml:space="preserve">beta = 0.01 [-0.00, 0.02]</t>
  </si>
  <si>
    <t xml:space="preserve">Postop_Haze_Grade</t>
  </si>
  <si>
    <t xml:space="preserve">0 [0–0]</t>
  </si>
  <si>
    <t xml:space="preserve">0.009</t>
  </si>
  <si>
    <t xml:space="preserve">Patient_Satisfaction_1to5</t>
  </si>
  <si>
    <t xml:space="preserve">4 [4–5] (n = 234)</t>
  </si>
  <si>
    <t xml:space="preserve">4 [3–5] (n = 105)</t>
  </si>
  <si>
    <t xml:space="preserve">0.012</t>
  </si>
  <si>
    <t xml:space="preserve">DryEye_Symptoms (Yes)</t>
  </si>
  <si>
    <t xml:space="preserve">40/247 (16.2%)</t>
  </si>
  <si>
    <t xml:space="preserve">38/113 (33.6%)</t>
  </si>
  <si>
    <t xml:space="preserve">OR = 2.673 [1.652, 4.327]</t>
  </si>
  <si>
    <t xml:space="preserve">OR = 2.46 [1.35, 4.49]</t>
  </si>
  <si>
    <t xml:space="preserve">0.003</t>
  </si>
  <si>
    <t xml:space="preserve">Retreatment_Required (Yes)</t>
  </si>
  <si>
    <t xml:space="preserve">8/247 (3.2%)</t>
  </si>
  <si>
    <t xml:space="preserve">9/113 (8%)</t>
  </si>
  <si>
    <t xml:space="preserve">0.0498</t>
  </si>
  <si>
    <t xml:space="preserve">OR = 2.601 [0.947, 7.140]</t>
  </si>
  <si>
    <t xml:space="preserve">0.064</t>
  </si>
  <si>
    <t xml:space="preserve">OR = 0.85 [0.29, 2.53]</t>
  </si>
  <si>
    <t xml:space="preserve">0.774</t>
  </si>
  <si>
    <t xml:space="preserve">Complication_Type: Corneal haze</t>
  </si>
  <si>
    <t xml:space="preserve">15/247 (6.1%)</t>
  </si>
  <si>
    <t xml:space="preserve">7/113 (6.2%)</t>
  </si>
  <si>
    <t xml:space="preserve">1.000</t>
  </si>
  <si>
    <t xml:space="preserve">Fisher's exact test</t>
  </si>
  <si>
    <t xml:space="preserve">Complication_Type: Diffuse lamellar keratitis</t>
  </si>
  <si>
    <t xml:space="preserve">7/247 (2.8%)</t>
  </si>
  <si>
    <t xml:space="preserve">3/113 (2.7%)</t>
  </si>
  <si>
    <t xml:space="preserve">Complication_Type: Epithelial defect</t>
  </si>
  <si>
    <t xml:space="preserve">14/247 (5.7%)</t>
  </si>
  <si>
    <t xml:space="preserve">6/113 (5.3%)</t>
  </si>
  <si>
    <t xml:space="preserve">Complication_Type: None</t>
  </si>
  <si>
    <t xml:space="preserve">211/247 (85.4%)</t>
  </si>
  <si>
    <t xml:space="preserve">97/113 (85.8%)</t>
  </si>
  <si>
    <t xml:space="preserve">p value</t>
  </si>
  <si>
    <t xml:space="preserve">Baseline characteristics</t>
  </si>
  <si>
    <t xml:space="preserve">Age Years [per patient]</t>
  </si>
  <si>
    <t xml:space="preserve">Preop SEQ D</t>
  </si>
  <si>
    <t xml:space="preserve">Preop Sphere D</t>
  </si>
  <si>
    <t xml:space="preserve">Preop Cylinder D</t>
  </si>
  <si>
    <t xml:space="preserve">Preop UDVA</t>
  </si>
  <si>
    <t xml:space="preserve">Preop CDVA</t>
  </si>
  <si>
    <t xml:space="preserve">Preop Pachymetry um</t>
  </si>
  <si>
    <t xml:space="preserve">Preop Mean K D</t>
  </si>
  <si>
    <t xml:space="preserve">Preop DryEye Grade</t>
  </si>
  <si>
    <t xml:space="preserve">Optical Zone mm</t>
  </si>
  <si>
    <t xml:space="preserve">Ablation Depth um</t>
  </si>
  <si>
    <t xml:space="preserve">Outcomes</t>
  </si>
  <si>
    <t xml:space="preserve">FollowUp Days</t>
  </si>
  <si>
    <t xml:space="preserve">Postop SEQ D</t>
  </si>
  <si>
    <t xml:space="preserve">Postop Cylinder D</t>
  </si>
  <si>
    <t xml:space="preserve">Postop UDVA</t>
  </si>
  <si>
    <t xml:space="preserve">Postop CDVA</t>
  </si>
  <si>
    <t xml:space="preserve">Postop Haze Grade</t>
  </si>
  <si>
    <t xml:space="preserve">Patient Satisfaction 1to5</t>
  </si>
  <si>
    <t xml:space="preserve">DryEye Symptoms (Yes)</t>
  </si>
  <si>
    <t xml:space="preserve">Retreatment Required (Yes)</t>
  </si>
  <si>
    <t xml:space="preserve">Complication Type: Corneal haze</t>
  </si>
  <si>
    <t xml:space="preserve">Complication Type: Diffuse lamellar keratitis</t>
  </si>
  <si>
    <t xml:space="preserve">Complication Type: Epithelial defect</t>
  </si>
  <si>
    <t xml:space="preserve">Complication Type: None</t>
  </si>
  <si>
    <t xml:space="preserve">Pre_BCVA</t>
  </si>
  <si>
    <t xml:space="preserve">Post_UCVA</t>
  </si>
  <si>
    <t xml:space="preserve">Post_BCVA</t>
  </si>
  <si>
    <t xml:space="preserve">Pre_Sph</t>
  </si>
  <si>
    <t xml:space="preserve">Pre_Cyl</t>
  </si>
  <si>
    <t xml:space="preserve">Pre_Axis</t>
  </si>
  <si>
    <t xml:space="preserve">Preop_MR_Vertex_Distance</t>
  </si>
  <si>
    <t xml:space="preserve">Intended_Postop_MR_Sphere</t>
  </si>
  <si>
    <t xml:space="preserve">Intended_Postop_MR_Cylinder</t>
  </si>
  <si>
    <t xml:space="preserve">Intended_Postop_MR_Axis</t>
  </si>
  <si>
    <t xml:space="preserve">Intended_Postop_MR_Vertex_Distance</t>
  </si>
  <si>
    <t xml:space="preserve">Post_Sph</t>
  </si>
  <si>
    <t xml:space="preserve">Post_Cyl</t>
  </si>
  <si>
    <t xml:space="preserve">Post_Axis</t>
  </si>
  <si>
    <t xml:space="preserve">Postop_MR_Vertex_Distance</t>
  </si>
  <si>
    <t xml:space="preserve">Post_SEQ</t>
  </si>
  <si>
    <t xml:space="preserve">20+</t>
  </si>
  <si>
    <t xml:space="preserve">20</t>
  </si>
  <si>
    <t xml:space="preserve">20-1</t>
  </si>
  <si>
    <t xml:space="preserve">20-2</t>
  </si>
  <si>
    <t xml:space="preserve">25</t>
  </si>
  <si>
    <t xml:space="preserve">16-3</t>
  </si>
  <si>
    <t xml:space="preserve">15-2</t>
  </si>
  <si>
    <t xml:space="preserve">15</t>
  </si>
  <si>
    <t xml:space="preserve">15-1</t>
  </si>
  <si>
    <t xml:space="preserve">15-3</t>
  </si>
  <si>
    <t xml:space="preserve">25+</t>
  </si>
  <si>
    <t xml:space="preserve">25-3</t>
  </si>
  <si>
    <t xml:space="preserve">20-3</t>
  </si>
  <si>
    <t xml:space="preserve">25-1</t>
  </si>
  <si>
    <t xml:space="preserve">25-2</t>
  </si>
  <si>
    <t xml:space="preserve">30-2</t>
  </si>
  <si>
    <t xml:space="preserve">30-1</t>
  </si>
  <si>
    <t xml:space="preserve">30</t>
  </si>
  <si>
    <t xml:space="preserve">Eye</t>
  </si>
  <si>
    <t xml:space="preserve">preoperative cylinder</t>
  </si>
  <si>
    <t xml:space="preserve">preoperative axis</t>
  </si>
  <si>
    <t xml:space="preserve">postoperative cylinder</t>
  </si>
  <si>
    <t xml:space="preserve">postoperative axis</t>
  </si>
  <si>
    <t xml:space="preserve">OS</t>
  </si>
  <si>
    <t xml:space="preserve">OD</t>
  </si>
  <si>
    <t xml:space="preserve">GEE results</t>
  </si>
  <si>
    <t xml:space="preserve">Outcome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</si>
  <si>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</si>
  <si>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</si>
  <si>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</si>
  <si>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</si>
  <si>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</si>
  <si>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Effect</t>
  </si>
  <si>
    <t xml:space="preserve">EffectValue</t>
  </si>
  <si>
    <t xml:space="preserve">CI_low</t>
  </si>
  <si>
    <t xml:space="preserve">CI_high</t>
  </si>
  <si>
    <t xml:space="preserve">CI</t>
  </si>
  <si>
    <t xml:space="preserve">Model</t>
  </si>
  <si>
    <t xml:space="preserve">Covariates</t>
  </si>
  <si>
    <t xml:space="preserve">Age_Years</t>
  </si>
  <si>
    <t xml:space="preserve">(Intercept)</t>
  </si>
  <si>
    <t xml:space="preserve">Beta</t>
  </si>
  <si>
    <t xml:space="preserve">[29.965, 31.902]</t>
  </si>
  <si>
    <t xml:space="preserve">GEE Gaussian (exchangeable)</t>
  </si>
  <si>
    <t xml:space="preserve">none</t>
  </si>
  <si>
    <t xml:space="preserve">GroupLabelDiabetes</t>
  </si>
  <si>
    <t xml:space="preserve">[5.793, 9.461]</t>
  </si>
  <si>
    <t xml:space="preserve">[-4.407, -3.904]</t>
  </si>
  <si>
    <t xml:space="preserve">[-0.663, 0.196]</t>
  </si>
  <si>
    <t xml:space="preserve">[-4.084, -3.578]</t>
  </si>
  <si>
    <t xml:space="preserve">[-0.642, 0.232]</t>
  </si>
  <si>
    <t xml:space="preserve">[-0.725, -0.581]</t>
  </si>
  <si>
    <t xml:space="preserve">[-0.161, 0.082]</t>
  </si>
  <si>
    <t xml:space="preserve">[1.045, 1.106]</t>
  </si>
  <si>
    <t xml:space="preserve">[-0.024, 0.079]</t>
  </si>
  <si>
    <t xml:space="preserve">[-0.017, -0.009]</t>
  </si>
  <si>
    <t xml:space="preserve">[-0.001, 0.012]</t>
  </si>
  <si>
    <t xml:space="preserve">[542.921, 549.606]</t>
  </si>
  <si>
    <t xml:space="preserve">[-18.508, -6.360]</t>
  </si>
  <si>
    <t xml:space="preserve">[43.408, 43.757]</t>
  </si>
  <si>
    <t xml:space="preserve">[-0.321, 0.311]</t>
  </si>
  <si>
    <t xml:space="preserve">Skipped: ordinal outcome not modeled in GEE</t>
  </si>
  <si>
    <t xml:space="preserve">OR</t>
  </si>
  <si>
    <t xml:space="preserve">[1.049, 1.958]</t>
  </si>
  <si>
    <t xml:space="preserve">GEE Binomial (exchangeable)</t>
  </si>
  <si>
    <t xml:space="preserve">[0.557, 1.718]</t>
  </si>
  <si>
    <t xml:space="preserve">Smoker</t>
  </si>
  <si>
    <t xml:space="preserve">[0.210, 0.435]</t>
  </si>
  <si>
    <t xml:space="preserve">[0.363, 1.477]</t>
  </si>
  <si>
    <t xml:space="preserve">Surgeon</t>
  </si>
  <si>
    <t xml:space="preserve">Skipped: categorical outcome not modeled in GEE</t>
  </si>
  <si>
    <t xml:space="preserve">[6.478, 6.550]</t>
  </si>
  <si>
    <t xml:space="preserve">[-0.091, 0.039]</t>
  </si>
  <si>
    <t xml:space="preserve">[60.528, 67.529]</t>
  </si>
  <si>
    <t xml:space="preserve">[-3.219, 9.111]</t>
  </si>
  <si>
    <t xml:space="preserve">Procedure</t>
  </si>
  <si>
    <t xml:space="preserve">[173.674, 195.611]</t>
  </si>
  <si>
    <t xml:space="preserve">[-29.039, 9.079]</t>
  </si>
  <si>
    <t xml:space="preserve">[-0.019, 0.061]</t>
  </si>
  <si>
    <t xml:space="preserve">[-0.295, -0.115]</t>
  </si>
  <si>
    <t xml:space="preserve">[-0.241, -0.196]</t>
  </si>
  <si>
    <t xml:space="preserve">[-0.038, 0.047]</t>
  </si>
  <si>
    <t xml:space="preserve">[-0.008, 0.005]</t>
  </si>
  <si>
    <t xml:space="preserve">[0.043, 0.067]</t>
  </si>
  <si>
    <t xml:space="preserve">[-0.019, -0.010]</t>
  </si>
  <si>
    <t xml:space="preserve">[-0.001, 0.015]</t>
  </si>
  <si>
    <t xml:space="preserve">DryEye_Symptoms</t>
  </si>
  <si>
    <t xml:space="preserve">[0.138, 0.262]</t>
  </si>
  <si>
    <t xml:space="preserve">[1.652, 4.327]</t>
  </si>
  <si>
    <t xml:space="preserve">Retreatment_Required</t>
  </si>
  <si>
    <t xml:space="preserve">[0.017, 0.066]</t>
  </si>
  <si>
    <t xml:space="preserve">[0.947, 7.140]</t>
  </si>
  <si>
    <t xml:space="preserve">Complication_Type</t>
  </si>
  <si>
    <t xml:space="preserve">[29.802, 31.822]</t>
  </si>
  <si>
    <t xml:space="preserve">Not adjusted for itself (own value omitted from the covariates). GEE Gaussian (exchangeable)</t>
  </si>
  <si>
    <t xml:space="preserve">[5.788, 9.455]</t>
  </si>
  <si>
    <t xml:space="preserve">[-0.103, 0.044]</t>
  </si>
  <si>
    <t xml:space="preserve">[-4.822, -2.808]</t>
  </si>
  <si>
    <t xml:space="preserve">[-0.635, 0.334]</t>
  </si>
  <si>
    <t xml:space="preserve">[-0.043, 0.021]</t>
  </si>
  <si>
    <t xml:space="preserve">[0.121, 0.408]</t>
  </si>
  <si>
    <t xml:space="preserve">Age_Years, Preop_SEQ_D</t>
  </si>
  <si>
    <t xml:space="preserve">[-0.053, 0.083]</t>
  </si>
  <si>
    <t xml:space="preserve">[-0.003, 0.006]</t>
  </si>
  <si>
    <t xml:space="preserve">[0.982, 1.010]</t>
  </si>
  <si>
    <t xml:space="preserve">[-0.856, -0.300]</t>
  </si>
  <si>
    <t xml:space="preserve">[-0.157, 0.101]</t>
  </si>
  <si>
    <t xml:space="preserve">[-0.010, 0.007]</t>
  </si>
  <si>
    <t xml:space="preserve">[-0.020, 0.037]</t>
  </si>
  <si>
    <t xml:space="preserve">[0.561, 0.663]</t>
  </si>
  <si>
    <t xml:space="preserve">[-0.024, 0.025]</t>
  </si>
  <si>
    <t xml:space="preserve">[-0.001, 0.002]</t>
  </si>
  <si>
    <t xml:space="preserve">[-0.116, -0.105]</t>
  </si>
  <si>
    <t xml:space="preserve">[-0.038, -0.003]</t>
  </si>
  <si>
    <t xml:space="preserve">[-0.004, 0.012]</t>
  </si>
  <si>
    <t xml:space="preserve">[-0.000, 0.001]</t>
  </si>
  <si>
    <t xml:space="preserve">[-0.002, 0.001]</t>
  </si>
  <si>
    <t xml:space="preserve">[534.589, 565.455]</t>
  </si>
  <si>
    <t xml:space="preserve">[-18.871, -5.548]</t>
  </si>
  <si>
    <t xml:space="preserve">[-0.434, 0.465]</t>
  </si>
  <si>
    <t xml:space="preserve">[-0.478, 2.542]</t>
  </si>
  <si>
    <t xml:space="preserve">[42.121, 43.707]</t>
  </si>
  <si>
    <t xml:space="preserve">[-0.527, 0.196]</t>
  </si>
  <si>
    <t xml:space="preserve">[-0.001, 0.046]</t>
  </si>
  <si>
    <t xml:space="preserve">[-0.076, 0.084]</t>
  </si>
  <si>
    <t xml:space="preserve">[0.299, 3.757]</t>
  </si>
  <si>
    <t xml:space="preserve">[0.482, 1.715]</t>
  </si>
  <si>
    <t xml:space="preserve">[0.970, 1.050]</t>
  </si>
  <si>
    <t xml:space="preserve">[0.995, 1.002]</t>
  </si>
  <si>
    <t xml:space="preserve">[0.007, 0.198]</t>
  </si>
  <si>
    <t xml:space="preserve">[0.194, 0.968]</t>
  </si>
  <si>
    <t xml:space="preserve">[1.016, 1.123]</t>
  </si>
  <si>
    <t xml:space="preserve">[0.986, 1.015]</t>
  </si>
  <si>
    <t xml:space="preserve">[6.345, 6.686]</t>
  </si>
  <si>
    <t xml:space="preserve">[-0.098, 0.048]</t>
  </si>
  <si>
    <t xml:space="preserve">[-0.005, 0.005]</t>
  </si>
  <si>
    <t xml:space="preserve">[-0.017, 0.016]</t>
  </si>
  <si>
    <t xml:space="preserve">[0.957, 9.161]</t>
  </si>
  <si>
    <t xml:space="preserve">[-2.605, 0.951]</t>
  </si>
  <si>
    <t xml:space="preserve">[-0.057, 0.185]</t>
  </si>
  <si>
    <t xml:space="preserve">[-14.114, -13.328]</t>
  </si>
  <si>
    <t xml:space="preserve">[95.146, 195.909]</t>
  </si>
  <si>
    <t xml:space="preserve">[-38.550, 2.804]</t>
  </si>
  <si>
    <t xml:space="preserve">[-0.525, 2.471]</t>
  </si>
  <si>
    <t xml:space="preserve">[-7.053, 2.639]</t>
  </si>
  <si>
    <t xml:space="preserve">[-0.024, 0.415]</t>
  </si>
  <si>
    <t xml:space="preserve">[-0.277, -0.072]</t>
  </si>
  <si>
    <t xml:space="preserve">[-0.010, 0.003]</t>
  </si>
  <si>
    <t xml:space="preserve">[-0.004, 0.036]</t>
  </si>
  <si>
    <t xml:space="preserve">[-0.366, -0.166]</t>
  </si>
  <si>
    <t xml:space="preserve">[-0.059, 0.037]</t>
  </si>
  <si>
    <t xml:space="preserve">[-0.001, 0.005]</t>
  </si>
  <si>
    <t xml:space="preserve">[-0.004, 0.015]</t>
  </si>
  <si>
    <t xml:space="preserve">[-0.053, 0.010]</t>
  </si>
  <si>
    <t xml:space="preserve">[0.038, 0.065]</t>
  </si>
  <si>
    <t xml:space="preserve">[-0.004, 0.002]</t>
  </si>
  <si>
    <t xml:space="preserve">[-0.040, 0.002]</t>
  </si>
  <si>
    <t xml:space="preserve">[-0.003, 0.015]</t>
  </si>
  <si>
    <t xml:space="preserve">[-0.001, 0.001]</t>
  </si>
  <si>
    <t xml:space="preserve">[-0.003, 0.002]</t>
  </si>
  <si>
    <t xml:space="preserve">[0.042, 0.543]</t>
  </si>
  <si>
    <t xml:space="preserve">[1.450, 4.552]</t>
  </si>
  <si>
    <t xml:space="preserve">[0.966, 1.044]</t>
  </si>
  <si>
    <t xml:space="preserve">[0.856, 1.116]</t>
  </si>
  <si>
    <t xml:space="preserve">[0.000, 0.008]</t>
  </si>
  <si>
    <t xml:space="preserve">[0.322, 2.699]</t>
  </si>
  <si>
    <t xml:space="preserve">[1.046, 1.244]</t>
  </si>
  <si>
    <t xml:space="preserve">[0.657, 1.131]</t>
  </si>
  <si>
    <t xml:space="preserve">NOTE: 1 model(s) carry a small-sample caution or failed - see the Note column. Interpret flagged estimates cautiously.</t>
  </si>
  <si>
    <t xml:space="preserve">Adjusted regression - unmatched cohort (covariates: Age_Years, Preop_SEQ_D, Preop_Pachymetry_um)</t>
  </si>
  <si>
    <t xml:space="preserve">Comparison</t>
  </si>
  <si>
    <t xml:space="preserve">P value</t>
  </si>
  <si>
    <t xml:space="preserve">Diabetes vs Control</t>
  </si>
  <si>
    <t xml:space="preserve">348</t>
  </si>
  <si>
    <t xml:space="preserve">Skipped: ordinal outcome</t>
  </si>
  <si>
    <t xml:space="preserve">348 (76 events)</t>
  </si>
  <si>
    <t xml:space="preserve">348 (17 events)</t>
  </si>
  <si>
    <t xml:space="preserve">CAUTION: only 17 eyes in the smaller outcome class for 4 parameters (&lt;10 per parameter) - possible overfitting</t>
  </si>
  <si>
    <t xml:space="preserve">Skipped: categorical outcome</t>
  </si>
  <si>
    <t xml:space="preserve">Full models (every term)</t>
  </si>
  <si>
    <t xml:space="preserve">[-71.803, 344.126]</t>
  </si>
  <si>
    <t xml:space="preserve">Linear GEE (beta)</t>
  </si>
  <si>
    <t xml:space="preserve">[-37.512, 4.562]</t>
  </si>
  <si>
    <t xml:space="preserve">[-0.526, 2.559]</t>
  </si>
  <si>
    <t xml:space="preserve">[-6.381, 2.857]</t>
  </si>
  <si>
    <t xml:space="preserve">[-0.347, 0.385]</t>
  </si>
  <si>
    <t xml:space="preserve">[-0.059, 1.643]</t>
  </si>
  <si>
    <t xml:space="preserve">[-0.294, -0.086]</t>
  </si>
  <si>
    <t xml:space="preserve">[-0.011, 0.003]</t>
  </si>
  <si>
    <t xml:space="preserve">[-0.006, 0.035]</t>
  </si>
  <si>
    <t xml:space="preserve">[-0.003, 0.000]</t>
  </si>
  <si>
    <t xml:space="preserve">[-0.543, 0.239]</t>
  </si>
  <si>
    <t xml:space="preserve">[-0.065, 0.032]</t>
  </si>
  <si>
    <t xml:space="preserve">[-0.006, 0.014]</t>
  </si>
  <si>
    <t xml:space="preserve">[-0.001, 0.000]</t>
  </si>
  <si>
    <t xml:space="preserve">[-0.196, 0.034]</t>
  </si>
  <si>
    <t xml:space="preserve">[0.040, 0.068]</t>
  </si>
  <si>
    <t xml:space="preserve">[-0.000, 0.000]</t>
  </si>
  <si>
    <t xml:space="preserve">[-0.132, 0.019]</t>
  </si>
  <si>
    <t xml:space="preserve">[-0.001, 0.017]</t>
  </si>
  <si>
    <t xml:space="preserve">[0.003, 148.143]</t>
  </si>
  <si>
    <t xml:space="preserve">Logistic GEE (OR)</t>
  </si>
  <si>
    <t xml:space="preserve">[1.352, 4.490]</t>
  </si>
  <si>
    <t xml:space="preserve">[0.969, 1.050]</t>
  </si>
  <si>
    <t xml:space="preserve">[0.854, 1.120]</t>
  </si>
  <si>
    <t xml:space="preserve">[0.988, 1.006]</t>
  </si>
  <si>
    <t xml:space="preserve">[0.000, 19.964]</t>
  </si>
  <si>
    <t xml:space="preserve">[0.288, 2.527]</t>
  </si>
  <si>
    <t xml:space="preserve">[1.048, 1.256]</t>
  </si>
  <si>
    <t xml:space="preserve">[0.649, 1.133]</t>
  </si>
  <si>
    <t xml:space="preserve">[0.980, 1.012]</t>
  </si>
  <si>
    <t xml:space="preserve">PSM settings</t>
  </si>
  <si>
    <t xml:space="preserve">Setting</t>
  </si>
  <si>
    <t xml:space="preserve">Matching method</t>
  </si>
  <si>
    <t xml:space="preserve">nearest</t>
  </si>
  <si>
    <t xml:space="preserve">Distance</t>
  </si>
  <si>
    <t xml:space="preserve">logit</t>
  </si>
  <si>
    <t xml:space="preserve">Ratio</t>
  </si>
  <si>
    <t xml:space="preserve">2</t>
  </si>
  <si>
    <t xml:space="preserve">Replacement</t>
  </si>
  <si>
    <t xml:space="preserve">FALSE</t>
  </si>
  <si>
    <t xml:space="preserve">Caliper</t>
  </si>
  <si>
    <t xml:space="preserve">0.2</t>
  </si>
  <si>
    <t xml:space="preserve">Standardized caliper</t>
  </si>
  <si>
    <t xml:space="preserve">TRUE</t>
  </si>
  <si>
    <t xml:space="preserve">Matching order</t>
  </si>
  <si>
    <t xml:space="preserve">largest</t>
  </si>
  <si>
    <t xml:space="preserve">Random seed (matching)</t>
  </si>
  <si>
    <t xml:space="preserve">20250601</t>
  </si>
  <si>
    <t xml:space="preserve">Reference group</t>
  </si>
  <si>
    <t xml:space="preserve">Patient ID (clustering for GEE only; not used in matching)</t>
  </si>
  <si>
    <t xml:space="preserve">PatientID</t>
  </si>
  <si>
    <t xml:space="preserve">Matching covariates</t>
  </si>
  <si>
    <t xml:space="preserve">PSM_Covariates</t>
  </si>
  <si>
    <t xml:space="preserve">Covariate balance (cobalt; standardized differences for every covariate)</t>
  </si>
  <si>
    <t xml:space="preserve">Variable</t>
  </si>
  <si>
    <t xml:space="preserve">Type</t>
  </si>
  <si>
    <t xml:space="preserve">Diff.Un</t>
  </si>
  <si>
    <t xml:space="preserve">Diff.Adj</t>
  </si>
  <si>
    <t xml:space="preserve">M.Threshold</t>
  </si>
  <si>
    <t xml:space="preserve">distance</t>
  </si>
  <si>
    <t xml:space="preserve">Balanced, &lt;0.1</t>
  </si>
  <si>
    <t xml:space="preserve">Contin.</t>
  </si>
  <si>
    <t xml:space="preserve">Propensity-score distribution (matched rows)</t>
  </si>
  <si>
    <t xml:space="preserve">PropensityScore</t>
  </si>
  <si>
    <t xml:space="preserve">MatchingWeight</t>
  </si>
  <si>
    <t xml:space="preserve">P0003</t>
  </si>
  <si>
    <t xml:space="preserve">P0004</t>
  </si>
  <si>
    <t xml:space="preserve">P0005</t>
  </si>
  <si>
    <t xml:space="preserve">P0006</t>
  </si>
  <si>
    <t xml:space="preserve">P0010</t>
  </si>
  <si>
    <t xml:space="preserve">P0013</t>
  </si>
  <si>
    <t xml:space="preserve">P0015</t>
  </si>
  <si>
    <t xml:space="preserve">P0021</t>
  </si>
  <si>
    <t xml:space="preserve">P0022</t>
  </si>
  <si>
    <t xml:space="preserve">P0026</t>
  </si>
  <si>
    <t xml:space="preserve">P0030</t>
  </si>
  <si>
    <t xml:space="preserve">P0031</t>
  </si>
  <si>
    <t xml:space="preserve">P0034</t>
  </si>
  <si>
    <t xml:space="preserve">P0035</t>
  </si>
  <si>
    <t xml:space="preserve">P0037</t>
  </si>
  <si>
    <t xml:space="preserve">P0038</t>
  </si>
  <si>
    <t xml:space="preserve">P0039</t>
  </si>
  <si>
    <t xml:space="preserve">P0040</t>
  </si>
  <si>
    <t xml:space="preserve">P0041</t>
  </si>
  <si>
    <t xml:space="preserve">P0042</t>
  </si>
  <si>
    <t xml:space="preserve">P0047</t>
  </si>
  <si>
    <t xml:space="preserve">P0048</t>
  </si>
  <si>
    <t xml:space="preserve">P0050</t>
  </si>
  <si>
    <t xml:space="preserve">P0051</t>
  </si>
  <si>
    <t xml:space="preserve">P0053</t>
  </si>
  <si>
    <t xml:space="preserve">P0055</t>
  </si>
  <si>
    <t xml:space="preserve">P0057</t>
  </si>
  <si>
    <t xml:space="preserve">P0059</t>
  </si>
  <si>
    <t xml:space="preserve">P0060</t>
  </si>
  <si>
    <t xml:space="preserve">P0062</t>
  </si>
  <si>
    <t xml:space="preserve">P0072</t>
  </si>
  <si>
    <t xml:space="preserve">P0077</t>
  </si>
  <si>
    <t xml:space="preserve">P0082</t>
  </si>
  <si>
    <t xml:space="preserve">P0085</t>
  </si>
  <si>
    <t xml:space="preserve">P0088</t>
  </si>
  <si>
    <t xml:space="preserve">P0090</t>
  </si>
  <si>
    <t xml:space="preserve">P0093</t>
  </si>
  <si>
    <t xml:space="preserve">P0094</t>
  </si>
  <si>
    <t xml:space="preserve">P0095</t>
  </si>
  <si>
    <t xml:space="preserve">P0096</t>
  </si>
  <si>
    <t xml:space="preserve">P0097</t>
  </si>
  <si>
    <t xml:space="preserve">P0103</t>
  </si>
  <si>
    <t xml:space="preserve">P0104</t>
  </si>
  <si>
    <t xml:space="preserve">P0105</t>
  </si>
  <si>
    <t xml:space="preserve">P0108</t>
  </si>
  <si>
    <t xml:space="preserve">P0109</t>
  </si>
  <si>
    <t xml:space="preserve">P0110</t>
  </si>
  <si>
    <t xml:space="preserve">P0113</t>
  </si>
  <si>
    <t xml:space="preserve">P0114</t>
  </si>
  <si>
    <t xml:space="preserve">P0115</t>
  </si>
  <si>
    <t xml:space="preserve">P0116</t>
  </si>
  <si>
    <t xml:space="preserve">P0124</t>
  </si>
  <si>
    <t xml:space="preserve">P0125</t>
  </si>
  <si>
    <t xml:space="preserve">P0127</t>
  </si>
  <si>
    <t xml:space="preserve">P0128</t>
  </si>
  <si>
    <t xml:space="preserve">P0131</t>
  </si>
  <si>
    <t xml:space="preserve">P0132</t>
  </si>
  <si>
    <t xml:space="preserve">P0137</t>
  </si>
  <si>
    <t xml:space="preserve">P0140</t>
  </si>
  <si>
    <t xml:space="preserve">P0141</t>
  </si>
  <si>
    <t xml:space="preserve">P0142</t>
  </si>
  <si>
    <t xml:space="preserve">P0145</t>
  </si>
  <si>
    <t xml:space="preserve">P0146</t>
  </si>
  <si>
    <t xml:space="preserve">P0147</t>
  </si>
  <si>
    <t xml:space="preserve">P0148</t>
  </si>
  <si>
    <t xml:space="preserve">P0150</t>
  </si>
  <si>
    <t xml:space="preserve">P0151</t>
  </si>
  <si>
    <t xml:space="preserve">P0152</t>
  </si>
  <si>
    <t xml:space="preserve">P0153</t>
  </si>
  <si>
    <t xml:space="preserve">P0157</t>
  </si>
  <si>
    <t xml:space="preserve">P0158</t>
  </si>
  <si>
    <t xml:space="preserve">P0159</t>
  </si>
  <si>
    <t xml:space="preserve">P0161</t>
  </si>
  <si>
    <t xml:space="preserve">P0162</t>
  </si>
  <si>
    <t xml:space="preserve">P0163</t>
  </si>
  <si>
    <t xml:space="preserve">P0165</t>
  </si>
  <si>
    <t xml:space="preserve">P0166</t>
  </si>
  <si>
    <t xml:space="preserve">P0171</t>
  </si>
  <si>
    <t xml:space="preserve">P0173</t>
  </si>
  <si>
    <t xml:space="preserve">P0175</t>
  </si>
  <si>
    <t xml:space="preserve">P0176</t>
  </si>
  <si>
    <t xml:space="preserve">P0177</t>
  </si>
  <si>
    <t xml:space="preserve">P0178</t>
  </si>
  <si>
    <t xml:space="preserve">P0183</t>
  </si>
  <si>
    <t xml:space="preserve">P0184</t>
  </si>
  <si>
    <t xml:space="preserve">P0185</t>
  </si>
  <si>
    <t xml:space="preserve">P0191</t>
  </si>
  <si>
    <t xml:space="preserve">P0192</t>
  </si>
  <si>
    <t xml:space="preserve">P0193</t>
  </si>
  <si>
    <t xml:space="preserve">P0195</t>
  </si>
  <si>
    <t xml:space="preserve">P0196</t>
  </si>
  <si>
    <t xml:space="preserve">P0197</t>
  </si>
  <si>
    <t xml:space="preserve">P0198</t>
  </si>
  <si>
    <t xml:space="preserve">P0201</t>
  </si>
  <si>
    <t xml:space="preserve">P0203</t>
  </si>
  <si>
    <t xml:space="preserve">P0207</t>
  </si>
  <si>
    <t xml:space="preserve">P0212</t>
  </si>
  <si>
    <t xml:space="preserve">P0214</t>
  </si>
  <si>
    <t xml:space="preserve">P0216</t>
  </si>
  <si>
    <t xml:space="preserve">P0218</t>
  </si>
  <si>
    <t xml:space="preserve">P0222</t>
  </si>
  <si>
    <t xml:space="preserve">P0223</t>
  </si>
  <si>
    <t xml:space="preserve">P0226</t>
  </si>
  <si>
    <t xml:space="preserve">P0227</t>
  </si>
  <si>
    <t xml:space="preserve">P0228</t>
  </si>
  <si>
    <t xml:space="preserve">P0229</t>
  </si>
  <si>
    <t xml:space="preserve">P0230</t>
  </si>
  <si>
    <t xml:space="preserve">P0231</t>
  </si>
  <si>
    <t xml:space="preserve">P0232</t>
  </si>
  <si>
    <t xml:space="preserve">P0235</t>
  </si>
  <si>
    <t xml:space="preserve">P0240</t>
  </si>
  <si>
    <t xml:space="preserve">P0243</t>
  </si>
  <si>
    <t xml:space="preserve">P0244</t>
  </si>
  <si>
    <t xml:space="preserve">P0246</t>
  </si>
  <si>
    <t xml:space="preserve">P0248</t>
  </si>
  <si>
    <t xml:space="preserve">P0251</t>
  </si>
  <si>
    <t xml:space="preserve">P0252</t>
  </si>
  <si>
    <t xml:space="preserve">P0253</t>
  </si>
  <si>
    <t xml:space="preserve">P0256</t>
  </si>
  <si>
    <t xml:space="preserve">P0259</t>
  </si>
  <si>
    <t xml:space="preserve">P0261</t>
  </si>
  <si>
    <t xml:space="preserve">P0262</t>
  </si>
  <si>
    <t xml:space="preserve">P0263</t>
  </si>
  <si>
    <t xml:space="preserve">P0265</t>
  </si>
  <si>
    <t xml:space="preserve">P0268</t>
  </si>
  <si>
    <t xml:space="preserve">P0269</t>
  </si>
  <si>
    <t xml:space="preserve">P0270</t>
  </si>
  <si>
    <t xml:space="preserve">P0274</t>
  </si>
  <si>
    <t xml:space="preserve">P0280</t>
  </si>
  <si>
    <t xml:space="preserve">P0281</t>
  </si>
  <si>
    <t xml:space="preserve">P0282</t>
  </si>
  <si>
    <t xml:space="preserve">P0283</t>
  </si>
  <si>
    <t xml:space="preserve">P0284</t>
  </si>
  <si>
    <t xml:space="preserve">P0285</t>
  </si>
  <si>
    <t xml:space="preserve">P0286</t>
  </si>
  <si>
    <t xml:space="preserve">P0287</t>
  </si>
  <si>
    <t xml:space="preserve">P0289</t>
  </si>
  <si>
    <t xml:space="preserve">P0290</t>
  </si>
  <si>
    <t xml:space="preserve">P0291</t>
  </si>
  <si>
    <t xml:space="preserve">P0293</t>
  </si>
  <si>
    <t xml:space="preserve">P0295</t>
  </si>
  <si>
    <t xml:space="preserve">P0296</t>
  </si>
  <si>
    <t xml:space="preserve">P0297</t>
  </si>
  <si>
    <t xml:space="preserve">P0301</t>
  </si>
  <si>
    <t xml:space="preserve">P0302</t>
  </si>
  <si>
    <t xml:space="preserve">P0307</t>
  </si>
  <si>
    <t xml:space="preserve">P0308</t>
  </si>
  <si>
    <t xml:space="preserve">P0309</t>
  </si>
  <si>
    <t xml:space="preserve">P0310</t>
  </si>
  <si>
    <t xml:space="preserve">P0311</t>
  </si>
  <si>
    <t xml:space="preserve">P0315</t>
  </si>
  <si>
    <t xml:space="preserve">P0317</t>
  </si>
  <si>
    <t xml:space="preserve">P0318</t>
  </si>
  <si>
    <t xml:space="preserve">P0320</t>
  </si>
  <si>
    <t xml:space="preserve">NOTE: Models weighted by the matching weights - working correlation: independence (weighted), robust (sandwich) standard errors.</t>
  </si>
  <si>
    <t xml:space="preserve">GEE - baseline</t>
  </si>
  <si>
    <t xml:space="preserve">[34.835, 36.867]</t>
  </si>
  <si>
    <t xml:space="preserve">GEE Gaussian, working correlation: independence (weighted)</t>
  </si>
  <si>
    <t xml:space="preserve">[-1.428, 1.797]</t>
  </si>
  <si>
    <t xml:space="preserve">[-4.637, -3.882]</t>
  </si>
  <si>
    <t xml:space="preserve">[-0.550, 0.509]</t>
  </si>
  <si>
    <t xml:space="preserve">[-4.315, -3.536]</t>
  </si>
  <si>
    <t xml:space="preserve">[-0.535, 0.547]</t>
  </si>
  <si>
    <t xml:space="preserve">[-0.761, -0.563]</t>
  </si>
  <si>
    <t xml:space="preserve">[-0.200, 0.102]</t>
  </si>
  <si>
    <t xml:space="preserve">[1.047, 1.134]</t>
  </si>
  <si>
    <t xml:space="preserve">[-0.061, 0.064]</t>
  </si>
  <si>
    <t xml:space="preserve">[-0.016, -0.004]</t>
  </si>
  <si>
    <t xml:space="preserve">[-0.004, 0.014]</t>
  </si>
  <si>
    <t xml:space="preserve">[533.290, 544.044]</t>
  </si>
  <si>
    <t xml:space="preserve">[-9.187, 6.187]</t>
  </si>
  <si>
    <t xml:space="preserve">[43.475, 43.967]</t>
  </si>
  <si>
    <t xml:space="preserve">[-0.617, 0.136]</t>
  </si>
  <si>
    <t xml:space="preserve">[0.875, 2.133]</t>
  </si>
  <si>
    <t xml:space="preserve">GEE Binomial, working correlation: independence (weighted)</t>
  </si>
  <si>
    <t xml:space="preserve">[0.460, 1.881]</t>
  </si>
  <si>
    <t xml:space="preserve">[0.298, 0.795]</t>
  </si>
  <si>
    <t xml:space="preserve">[0.153, 0.922]</t>
  </si>
  <si>
    <t xml:space="preserve">GEE - preop/intraop</t>
  </si>
  <si>
    <t xml:space="preserve">[6.476, 6.579]</t>
  </si>
  <si>
    <t xml:space="preserve">[-0.149, 0.015]</t>
  </si>
  <si>
    <t xml:space="preserve">[60.702, 71.071]</t>
  </si>
  <si>
    <t xml:space="preserve">[-8.079, 6.996]</t>
  </si>
  <si>
    <t xml:space="preserve">GEE - outcomes</t>
  </si>
  <si>
    <t xml:space="preserve">[170.534, 202.383]</t>
  </si>
  <si>
    <t xml:space="preserve">[-37.911, 9.709]</t>
  </si>
  <si>
    <t xml:space="preserve">[-0.029, 0.092]</t>
  </si>
  <si>
    <t xml:space="preserve">[-0.291, -0.057]</t>
  </si>
  <si>
    <t xml:space="preserve">[-0.248, -0.187]</t>
  </si>
  <si>
    <t xml:space="preserve">[-0.068, 0.038]</t>
  </si>
  <si>
    <t xml:space="preserve">[-0.004, 0.016]</t>
  </si>
  <si>
    <t xml:space="preserve">[0.037, 0.067]</t>
  </si>
  <si>
    <t xml:space="preserve">[-0.017, -0.004]</t>
  </si>
  <si>
    <t xml:space="preserve">[-0.003, 0.016]</t>
  </si>
  <si>
    <t xml:space="preserve">[0.111, 0.302]</t>
  </si>
  <si>
    <t xml:space="preserve">[1.318, 5.079]</t>
  </si>
  <si>
    <t xml:space="preserve">[0.031, 0.157]</t>
  </si>
  <si>
    <t xml:space="preserve">[0.317, 3.808]</t>
  </si>
  <si>
    <t xml:space="preserve">Adjusted GEE - baseline</t>
  </si>
  <si>
    <t xml:space="preserve">[33.905, 37.389]</t>
  </si>
  <si>
    <t xml:space="preserve">Not adjusted for itself (own value omitted from the covariates). GEE Gaussian, working correlation: independence (weighted)</t>
  </si>
  <si>
    <t xml:space="preserve">[-1.431, 1.798]</t>
  </si>
  <si>
    <t xml:space="preserve">[-0.401, 0.305]</t>
  </si>
  <si>
    <t xml:space="preserve">[-5.938, -2.050]</t>
  </si>
  <si>
    <t xml:space="preserve">[-0.550, 0.512]</t>
  </si>
  <si>
    <t xml:space="preserve">[-0.062, 0.047]</t>
  </si>
  <si>
    <t xml:space="preserve">[-0.007, 0.572]</t>
  </si>
  <si>
    <t xml:space="preserve">[-0.052, 0.104]</t>
  </si>
  <si>
    <t xml:space="preserve">[-0.006, 0.010]</t>
  </si>
  <si>
    <t xml:space="preserve">[0.984, 1.022]</t>
  </si>
  <si>
    <t xml:space="preserve">[-1.187, -0.088]</t>
  </si>
  <si>
    <t xml:space="preserve">[-0.199, 0.101]</t>
  </si>
  <si>
    <t xml:space="preserve">[-0.016, 0.013]</t>
  </si>
  <si>
    <t xml:space="preserve">[-0.047, 0.029]</t>
  </si>
  <si>
    <t xml:space="preserve">[0.540, 0.735]</t>
  </si>
  <si>
    <t xml:space="preserve">[-0.028, 0.027]</t>
  </si>
  <si>
    <t xml:space="preserve">[-0.118, -0.104]</t>
  </si>
  <si>
    <t xml:space="preserve">[-0.030, 0.027]</t>
  </si>
  <si>
    <t xml:space="preserve">[-0.003, 0.014]</t>
  </si>
  <si>
    <t xml:space="preserve">[-0.005, 0.000]</t>
  </si>
  <si>
    <t xml:space="preserve">[461.114, 514.428]</t>
  </si>
  <si>
    <t xml:space="preserve">[-9.115, 5.589]</t>
  </si>
  <si>
    <t xml:space="preserve">[0.787, 2.225]</t>
  </si>
  <si>
    <t xml:space="preserve">[-1.220, 2.669]</t>
  </si>
  <si>
    <t xml:space="preserve">[40.749, 43.559]</t>
  </si>
  <si>
    <t xml:space="preserve">[-0.621, 0.124]</t>
  </si>
  <si>
    <t xml:space="preserve">[0.009, 0.086]</t>
  </si>
  <si>
    <t xml:space="preserve">[-0.069, 0.138]</t>
  </si>
  <si>
    <t xml:space="preserve">[0.065, 12.639]</t>
  </si>
  <si>
    <t xml:space="preserve">[0.454, 1.892]</t>
  </si>
  <si>
    <t xml:space="preserve">[0.952, 1.099]</t>
  </si>
  <si>
    <t xml:space="preserve">[0.940, 1.290]</t>
  </si>
  <si>
    <t xml:space="preserve">[0.001, 0.848]</t>
  </si>
  <si>
    <t xml:space="preserve">[0.149, 0.886]</t>
  </si>
  <si>
    <t xml:space="preserve">[0.984, 1.172]</t>
  </si>
  <si>
    <t xml:space="preserve">[0.811, 1.169]</t>
  </si>
  <si>
    <t xml:space="preserve">Adjusted GEE - preop/intraop</t>
  </si>
  <si>
    <t xml:space="preserve">[6.294, 6.935]</t>
  </si>
  <si>
    <t xml:space="preserve">[-0.148, 0.015]</t>
  </si>
  <si>
    <t xml:space="preserve">[-0.012, 0.006]</t>
  </si>
  <si>
    <t xml:space="preserve">[-0.029, 0.019]</t>
  </si>
  <si>
    <t xml:space="preserve">[-3.178, 10.830]</t>
  </si>
  <si>
    <t xml:space="preserve">[-2.921, 1.240]</t>
  </si>
  <si>
    <t xml:space="preserve">[-0.097, 0.288]</t>
  </si>
  <si>
    <t xml:space="preserve">[-14.335, -13.199]</t>
  </si>
  <si>
    <t xml:space="preserve">Adjusted GEE - outcomes</t>
  </si>
  <si>
    <t xml:space="preserve">[26.660, 215.762]</t>
  </si>
  <si>
    <t xml:space="preserve">[-38.091, 9.223]</t>
  </si>
  <si>
    <t xml:space="preserve">[-0.995, 4.142]</t>
  </si>
  <si>
    <t xml:space="preserve">[-8.662, 4.512]</t>
  </si>
  <si>
    <t xml:space="preserve">[-0.552, 0.287]</t>
  </si>
  <si>
    <t xml:space="preserve">[-0.292, -0.058]</t>
  </si>
  <si>
    <t xml:space="preserve">[-0.007, 0.017]</t>
  </si>
  <si>
    <t xml:space="preserve">[-0.023, 0.031]</t>
  </si>
  <si>
    <t xml:space="preserve">[-0.589, -0.170]</t>
  </si>
  <si>
    <t xml:space="preserve">[-0.069, 0.037]</t>
  </si>
  <si>
    <t xml:space="preserve">[-0.000, 0.011]</t>
  </si>
  <si>
    <t xml:space="preserve">[-0.006, 0.021]</t>
  </si>
  <si>
    <t xml:space="preserve">[-0.045, 0.059]</t>
  </si>
  <si>
    <t xml:space="preserve">[-0.007, 0.002]</t>
  </si>
  <si>
    <t xml:space="preserve">[-0.035, 0.030]</t>
  </si>
  <si>
    <t xml:space="preserve">[0.005, 1.105]</t>
  </si>
  <si>
    <t xml:space="preserve">[1.316, 5.062]</t>
  </si>
  <si>
    <t xml:space="preserve">[0.952, 1.106]</t>
  </si>
  <si>
    <t xml:space="preserve">[0.837, 1.210]</t>
  </si>
  <si>
    <t xml:space="preserve">[0.000, 0.001]</t>
  </si>
  <si>
    <t xml:space="preserve">[0.317, 3.845]</t>
  </si>
  <si>
    <t xml:space="preserve">[1.095, 1.436]</t>
  </si>
  <si>
    <t xml:space="preserve">[0.555, 1.270]</t>
  </si>
  <si>
    <t xml:space="preserve">Adjusted regression - matched cohort (Diabetes_vs_Control) (covariates: Age_Years, Preop_SEQ_D, Preop_Pachymetry_um)</t>
  </si>
  <si>
    <t xml:space="preserve">beta = -14.49 [-38.10, 9.13]</t>
  </si>
  <si>
    <t xml:space="preserve">0.229</t>
  </si>
  <si>
    <t xml:space="preserve">210</t>
  </si>
  <si>
    <t xml:space="preserve">beta = -0.18 [-0.29, -0.06]</t>
  </si>
  <si>
    <t xml:space="preserve">beta = -0.02 [-0.07, 0.04]</t>
  </si>
  <si>
    <t xml:space="preserve">0.542</t>
  </si>
  <si>
    <t xml:space="preserve">0.155</t>
  </si>
  <si>
    <t xml:space="preserve">OR = 2.56 [1.31, 5.03]</t>
  </si>
  <si>
    <t xml:space="preserve">0.006</t>
  </si>
  <si>
    <t xml:space="preserve">210 (46 events)</t>
  </si>
  <si>
    <t xml:space="preserve">OR = 1.01 [0.31, 3.36]</t>
  </si>
  <si>
    <t xml:space="preserve">0.981</t>
  </si>
  <si>
    <t xml:space="preserve">210 (12 events)</t>
  </si>
  <si>
    <t xml:space="preserve">CAUTION: only 12 eyes in the smaller outcome class for 4 parameters (&lt;10 per parameter) - possible overfitting</t>
  </si>
  <si>
    <t xml:space="preserve">[-141.529, 412.832]</t>
  </si>
  <si>
    <t xml:space="preserve">Linear GEE (beta), working correlation: independence (weighted)</t>
  </si>
  <si>
    <t xml:space="preserve">[-38.103, 9.130]</t>
  </si>
  <si>
    <t xml:space="preserve">[-0.932, 4.168]</t>
  </si>
  <si>
    <t xml:space="preserve">[-8.608, 4.501]</t>
  </si>
  <si>
    <t xml:space="preserve">[-0.534, 0.475]</t>
  </si>
  <si>
    <t xml:space="preserve">[-0.824, 1.576]</t>
  </si>
  <si>
    <t xml:space="preserve">[-0.292, -0.062]</t>
  </si>
  <si>
    <t xml:space="preserve">[-0.005, 0.018]</t>
  </si>
  <si>
    <t xml:space="preserve">[-0.022, 0.032]</t>
  </si>
  <si>
    <t xml:space="preserve">[-0.003, 0.001]</t>
  </si>
  <si>
    <t xml:space="preserve">[-0.721, 0.326]</t>
  </si>
  <si>
    <t xml:space="preserve">[-0.069, 0.036]</t>
  </si>
  <si>
    <t xml:space="preserve">[0.000, 0.012]</t>
  </si>
  <si>
    <t xml:space="preserve">[-0.361, -0.063]</t>
  </si>
  <si>
    <t xml:space="preserve">[0.038, 0.067]</t>
  </si>
  <si>
    <t xml:space="preserve">[-0.008, 0.001]</t>
  </si>
  <si>
    <t xml:space="preserve">[-0.200, -0.023]</t>
  </si>
  <si>
    <t xml:space="preserve">[-0.002, 0.000]</t>
  </si>
  <si>
    <t xml:space="preserve">[-0.005, -0.000]</t>
  </si>
  <si>
    <t xml:space="preserve">[0.000, 0.000]</t>
  </si>
  <si>
    <t xml:space="preserve">[0.000, 3286.280]</t>
  </si>
  <si>
    <t xml:space="preserve">Logistic GEE (OR), working correlation: independence (weighted)</t>
  </si>
  <si>
    <t xml:space="preserve">[1.306, 5.029]</t>
  </si>
  <si>
    <t xml:space="preserve">[0.955, 1.121]</t>
  </si>
  <si>
    <t xml:space="preserve">[0.839, 1.222]</t>
  </si>
  <si>
    <t xml:space="preserve">[0.979, 1.010]</t>
  </si>
  <si>
    <t xml:space="preserve">[0.000, 160.258]</t>
  </si>
  <si>
    <t xml:space="preserve">[0.307, 3.356]</t>
  </si>
  <si>
    <t xml:space="preserve">[1.114, 1.501]</t>
  </si>
  <si>
    <t xml:space="preserve">[0.549, 1.273]</t>
  </si>
  <si>
    <t xml:space="preserve">[0.963, 1.010]</t>
  </si>
  <si>
    <t xml:space="preserve">NOTE: the matched cohort carries non-unit matching weights (0.75-1.5). Descriptives and the table tests are weighted by the MatchIt weights (weighted Wald test, GEE robust SE); n = matched rows, ESS = effective sample size. The GEE / adjusted-regression columns are weighted too. Within-group sections and the mEYEstro / AstigMATIC tabs list the matched rows unweighted.</t>
  </si>
  <si>
    <t xml:space="preserve">Baseline (matched)</t>
  </si>
  <si>
    <t xml:space="preserve">Control (n = 126 eyes; 95 patients, ESS = 112)</t>
  </si>
  <si>
    <t xml:space="preserve">Diabetes (n = 84 eyes; 59 patients, ESS = 84)</t>
  </si>
  <si>
    <t xml:space="preserve">35.77 ± 4.98</t>
  </si>
  <si>
    <t xml:space="preserve">36.31 ± 4.95</t>
  </si>
  <si>
    <t xml:space="preserve">0.524</t>
  </si>
  <si>
    <t xml:space="preserve">Weighted Wald test (GEE, robust SE)</t>
  </si>
  <si>
    <t xml:space="preserve">β = 0.185 [-1.428, 1.797]</t>
  </si>
  <si>
    <t xml:space="preserve">0.823</t>
  </si>
  <si>
    <t xml:space="preserve">-4.26 ± 1.89</t>
  </si>
  <si>
    <t xml:space="preserve">-4.28 ± 1.85</t>
  </si>
  <si>
    <t xml:space="preserve">β = -0.020 [-0.550, 0.509]</t>
  </si>
  <si>
    <t xml:space="preserve">-3.93 ± 1.91</t>
  </si>
  <si>
    <t xml:space="preserve">-3.92 ± 1.88</t>
  </si>
  <si>
    <t xml:space="preserve">0.983</t>
  </si>
  <si>
    <t xml:space="preserve">β = 0.006 [-0.535, 0.547]</t>
  </si>
  <si>
    <t xml:space="preserve">-0.66 ± 0.55</t>
  </si>
  <si>
    <t xml:space="preserve">-0.71 ± 0.6</t>
  </si>
  <si>
    <t xml:space="preserve">β = -0.049 [-0.200, 0.102]</t>
  </si>
  <si>
    <t xml:space="preserve">1.09 ± 0.22</t>
  </si>
  <si>
    <t xml:space="preserve">1.09 ± 0.23</t>
  </si>
  <si>
    <t xml:space="preserve">0.960</t>
  </si>
  <si>
    <t xml:space="preserve">β = 0.002 [-0.061, 0.064]</t>
  </si>
  <si>
    <t xml:space="preserve">0 ± 0.03</t>
  </si>
  <si>
    <t xml:space="preserve">0.254</t>
  </si>
  <si>
    <t xml:space="preserve">β = 0.005 [-0.004, 0.014]</t>
  </si>
  <si>
    <t xml:space="preserve">538.67 ± 26.86</t>
  </si>
  <si>
    <t xml:space="preserve">537.17 ± 24.74</t>
  </si>
  <si>
    <t xml:space="preserve">0.702</t>
  </si>
  <si>
    <t xml:space="preserve">β = -1.500 [-9.187, 6.187]</t>
  </si>
  <si>
    <t xml:space="preserve">43.72 ± 1.39</t>
  </si>
  <si>
    <t xml:space="preserve">43.48 ± 1.4</t>
  </si>
  <si>
    <t xml:space="preserve">β = -0.241 [-0.617, 0.136]</t>
  </si>
  <si>
    <t xml:space="preserve">1 [0–1]</t>
  </si>
  <si>
    <t xml:space="preserve">0.307</t>
  </si>
  <si>
    <t xml:space="preserve">Weighted Wald test on ranks (GEE, robust SE)</t>
  </si>
  <si>
    <t xml:space="preserve">52.9/95.2 (55.5%)</t>
  </si>
  <si>
    <t xml:space="preserve">34/59 (57.6%)</t>
  </si>
  <si>
    <t xml:space="preserve">0.801</t>
  </si>
  <si>
    <t xml:space="preserve">OR = 0.930 [0.460, 1.881]</t>
  </si>
  <si>
    <t xml:space="preserve">0.840</t>
  </si>
  <si>
    <t xml:space="preserve">28.9/95.2 (30.3%)</t>
  </si>
  <si>
    <t xml:space="preserve">9/59 (15.3%)</t>
  </si>
  <si>
    <t xml:space="preserve">0.043</t>
  </si>
  <si>
    <t xml:space="preserve">OR = 0.376 [0.153, 0.922]</t>
  </si>
  <si>
    <t xml:space="preserve">0.033</t>
  </si>
  <si>
    <t xml:space="preserve">43.5/126 (34.5%)</t>
  </si>
  <si>
    <t xml:space="preserve">27/84 (32.1%)</t>
  </si>
  <si>
    <t xml:space="preserve">Not available with matching weights</t>
  </si>
  <si>
    <t xml:space="preserve">Not estimable - no weighted test for a categorical variable with more than two levels.</t>
  </si>
  <si>
    <t xml:space="preserve">57.8/126 (45.8%)</t>
  </si>
  <si>
    <t xml:space="preserve">31/84 (36.9%)</t>
  </si>
  <si>
    <t xml:space="preserve">24.8/126 (19.6%)</t>
  </si>
  <si>
    <t xml:space="preserve">26/84 (31%)</t>
  </si>
  <si>
    <t xml:space="preserve">Preoperative / intraoperative (matched)</t>
  </si>
  <si>
    <t xml:space="preserve">6.53 ± 0.29</t>
  </si>
  <si>
    <t xml:space="preserve">6.46 ± 0.31</t>
  </si>
  <si>
    <t xml:space="preserve">0.109</t>
  </si>
  <si>
    <t xml:space="preserve">β = -0.067 [-0.149, 0.015]</t>
  </si>
  <si>
    <t xml:space="preserve">65.89 ± 26.74</t>
  </si>
  <si>
    <t xml:space="preserve">65.35 ± 27.1</t>
  </si>
  <si>
    <t xml:space="preserve">0.888</t>
  </si>
  <si>
    <t xml:space="preserve">β = -0.542 [-8.079, 6.996]</t>
  </si>
  <si>
    <t xml:space="preserve">52.5/126 (41.7%)</t>
  </si>
  <si>
    <t xml:space="preserve">33/84 (39.3%)</t>
  </si>
  <si>
    <t xml:space="preserve">55.5/126 (44%)</t>
  </si>
  <si>
    <t xml:space="preserve">32/84 (38.1%)</t>
  </si>
  <si>
    <t xml:space="preserve">18/126 (14.3%)</t>
  </si>
  <si>
    <t xml:space="preserve">19/84 (22.6%)</t>
  </si>
  <si>
    <t xml:space="preserve">Within-group only - Control (n = 126 eyes; 95 patients; no between-group test)</t>
  </si>
  <si>
    <t xml:space="preserve">540.27 ± 25.88  (median 541 [521.25-562], range 470-599)</t>
  </si>
  <si>
    <t xml:space="preserve">26 (27.4%)</t>
  </si>
  <si>
    <t xml:space="preserve">35 (36.8%)</t>
  </si>
  <si>
    <t xml:space="preserve">41 (43.2%)</t>
  </si>
  <si>
    <t xml:space="preserve">19 (20%)</t>
  </si>
  <si>
    <t xml:space="preserve">Within-group only - Diabetes (n = 84 eyes; 59 patients; no between-group test)</t>
  </si>
  <si>
    <t xml:space="preserve">537.17 ± 24.74  (median 533 [520-557], range 475-592)</t>
  </si>
  <si>
    <t xml:space="preserve">1 [0-1]</t>
  </si>
  <si>
    <t xml:space="preserve">9 (15.3%)</t>
  </si>
  <si>
    <t xml:space="preserve">19 (32.2%)</t>
  </si>
  <si>
    <t xml:space="preserve">23 (39%)</t>
  </si>
  <si>
    <t xml:space="preserve">17 (28.8%)</t>
  </si>
  <si>
    <t xml:space="preserve">186.46 ± 88.04</t>
  </si>
  <si>
    <t xml:space="preserve">172.36 ± 74.12</t>
  </si>
  <si>
    <t xml:space="preserve">0.246</t>
  </si>
  <si>
    <t xml:space="preserve">β = -14.101 [-37.911, 9.709]</t>
  </si>
  <si>
    <t xml:space="preserve">0.03 ± 0.31</t>
  </si>
  <si>
    <t xml:space="preserve">-0.14 ± 0.46</t>
  </si>
  <si>
    <t xml:space="preserve">0.004</t>
  </si>
  <si>
    <t xml:space="preserve">β = -0.174 [-0.291, -0.057]</t>
  </si>
  <si>
    <t xml:space="preserve">-0.23 ± 0.19</t>
  </si>
  <si>
    <t xml:space="preserve">0.583</t>
  </si>
  <si>
    <t xml:space="preserve">β = -0.015 [-0.068, 0.038]</t>
  </si>
  <si>
    <t xml:space="preserve">0.01 ± 0.05</t>
  </si>
  <si>
    <t xml:space="preserve">0.06 ± 0.05</t>
  </si>
  <si>
    <t xml:space="preserve">β = 0.052 [0.037, 0.067]</t>
  </si>
  <si>
    <t xml:space="preserve">0.196</t>
  </si>
  <si>
    <t xml:space="preserve">β = 0.006 [-0.003, 0.016]</t>
  </si>
  <si>
    <t xml:space="preserve">4 [4–5] (n = 124)</t>
  </si>
  <si>
    <t xml:space="preserve">4 [3–5] (n = 81)</t>
  </si>
  <si>
    <t xml:space="preserve">0.166</t>
  </si>
  <si>
    <t xml:space="preserve">19.5/126 (15.5%)</t>
  </si>
  <si>
    <t xml:space="preserve">OR = 2.587 [1.318, 5.079]</t>
  </si>
  <si>
    <t xml:space="preserve">8.2/126 (6.5%)</t>
  </si>
  <si>
    <t xml:space="preserve">6/84 (7.1%)</t>
  </si>
  <si>
    <t xml:space="preserve">0.883</t>
  </si>
  <si>
    <t xml:space="preserve">OR = 1.098 [0.317, 3.808]</t>
  </si>
  <si>
    <t xml:space="preserve">4.5/126 (3.6%)</t>
  </si>
  <si>
    <t xml:space="preserve">3/126 (2.4%)</t>
  </si>
  <si>
    <t xml:space="preserve">3/84 (3.6%)</t>
  </si>
  <si>
    <t xml:space="preserve">6/126 (4.8%)</t>
  </si>
  <si>
    <t xml:space="preserve">5/84 (6%)</t>
  </si>
  <si>
    <t xml:space="preserve">112.5/126 (89.3%)</t>
  </si>
  <si>
    <t xml:space="preserve">70/84 (83.3%)</t>
  </si>
  <si>
    <t xml:space="preserve">NE</t>
  </si>
  <si>
    <t xml:space="preserve">NE = not estimable (no P value):</t>
  </si>
  <si>
    <t xml:space="preserve">- no weighted test for a categorical variable with more than two levels: Surgeon; Procedure; Complication Type.</t>
  </si>
  <si>
    <t xml:space="preserve">StandardEyes version</t>
  </si>
  <si>
    <t xml:space="preserve">not recorded (run from the command line)</t>
  </si>
  <si>
    <t xml:space="preserve">Build</t>
  </si>
  <si>
    <t xml:space="preserve">R version</t>
  </si>
  <si>
    <t xml:space="preserve">R version 4.5.2 (2025-10-31 ucrt)</t>
  </si>
  <si>
    <t xml:space="preserve">MatchIt</t>
  </si>
  <si>
    <t xml:space="preserve">4.7.2</t>
  </si>
  <si>
    <t xml:space="preserve">cobalt</t>
  </si>
  <si>
    <t xml:space="preserve">4.6.1</t>
  </si>
  <si>
    <t xml:space="preserve">geepack</t>
  </si>
  <si>
    <t xml:space="preserve">1.3.13</t>
  </si>
  <si>
    <t xml:space="preserve">ggplot2</t>
  </si>
  <si>
    <t xml:space="preserve">4.0.1</t>
  </si>
  <si>
    <t xml:space="preserve">openxlsx</t>
  </si>
  <si>
    <t xml:space="preserve">4.2.8.1</t>
  </si>
  <si>
    <t xml:space="preserve">Run time</t>
  </si>
  <si>
    <t xml:space="preserve">2026-10-02 22:35:51</t>
  </si>
  <si>
    <t xml:space="preserve">Input file</t>
  </si>
  <si>
    <t xml:space="preserve">Example_Refractive_Dataset.xlsx</t>
  </si>
  <si>
    <t xml:space="preserve">Sheet</t>
  </si>
  <si>
    <t xml:space="preserve">sheet 1 ('Surgeries')</t>
  </si>
  <si>
    <t xml:space="preserve">Input MD5 checksum</t>
  </si>
  <si>
    <t xml:space="preserve">90362219da759c9a1c04ef170ffca4ec</t>
  </si>
  <si>
    <t xml:space="preserve">Run / subset</t>
  </si>
  <si>
    <t xml:space="preserve">All (all rows)</t>
  </si>
  <si>
    <t xml:space="preserve">Rows analyzed</t>
  </si>
  <si>
    <t xml:space="preserve">Patient ID</t>
  </si>
  <si>
    <t xml:space="preserve">'PatientID'</t>
  </si>
  <si>
    <t xml:space="preserve">Control = 247; Diabetes = 113</t>
  </si>
  <si>
    <t xml:space="preserve">Filter rules</t>
  </si>
  <si>
    <t xml:space="preserve">4</t>
  </si>
  <si>
    <t xml:space="preserve">VA notation</t>
  </si>
  <si>
    <t xml:space="preserve">decimal (1.0 = 20/20)</t>
  </si>
  <si>
    <t xml:space="preserve">LogMAR conversion</t>
  </si>
  <si>
    <t xml:space="preserve">on: Preop_UDVA, Preop_CDVA, Postop_UDVA, Postop_CDVA</t>
  </si>
  <si>
    <t xml:space="preserve">Matching</t>
  </si>
  <si>
    <t xml:space="preserve">nearest-neighbour on the propensity score (MatchIt)</t>
  </si>
  <si>
    <t xml:space="preserve">Matching settings</t>
  </si>
  <si>
    <t xml:space="preserve">method nearest, distance logit, ratio 2, replacement off, caliper 0.2 (SD of the propensity score), order largest, seed 20250601</t>
  </si>
  <si>
    <t xml:space="preserve">Matching weights</t>
  </si>
  <si>
    <t xml:space="preserve">non-unit (0.75-1.5); used in the matched tables and in the matched GEE / regression (working correlation: independence (weighted))</t>
  </si>
  <si>
    <t xml:space="preserve">GEE stage</t>
  </si>
  <si>
    <t xml:space="preserve">both</t>
  </si>
  <si>
    <t xml:space="preserve">GEE adjustment covariates</t>
  </si>
  <si>
    <t xml:space="preserve">GEE columns in summary tables</t>
  </si>
  <si>
    <t xml:space="preserve">main GEE, in the unmatched and matched summary tables</t>
  </si>
  <si>
    <t xml:space="preserve">Regression</t>
  </si>
  <si>
    <t xml:space="preserve">on</t>
  </si>
  <si>
    <t xml:space="preserve">Minus-cyl standardization</t>
  </si>
  <si>
    <t xml:space="preserve">Astigmatism test</t>
  </si>
  <si>
    <t xml:space="preserve">robust (20%-trimmed mean vectors, pooled winsorized covariance; cluster bootstrap over patients B = 999, seed 20250601)</t>
  </si>
  <si>
    <t xml:space="preserve">mEYEstro intended refraction</t>
  </si>
  <si>
    <t xml:space="preserve">SEQ plano (no target SEQ mapped); no cylinder (no astigmatism target mapped); vertex distance 12 mm assumed</t>
  </si>
  <si>
    <t xml:space="preserve">mEYEstro refraction notation</t>
  </si>
  <si>
    <t xml:space="preserve">minus cylinder (plus-cylinder rows transposed in the tab only)</t>
  </si>
  <si>
    <t xml:space="preserve">Random seeds</t>
  </si>
  <si>
    <t xml:space="preserve">bootstrap and Monte-Carlo exact tests 20250601; matching 20250601 (fixed, set locally; identical settings give identical results)</t>
  </si>
  <si>
    <t xml:space="preserve">Figure p-values</t>
  </si>
  <si>
    <t xml:space="preserve">clustered by patient (GEE)</t>
  </si>
  <si>
    <t xml:space="preserve">Full name</t>
  </si>
  <si>
    <t xml:space="preserve">Manifest</t>
  </si>
  <si>
    <t xml:space="preserve">Versions, input checksum and settings of this run.</t>
  </si>
  <si>
    <t xml:space="preserve">Overview</t>
  </si>
  <si>
    <t xml:space="preserve">Initial data summary, notes and quality checks.</t>
  </si>
  <si>
    <t xml:space="preserve">Baseline &amp; Preop Summary</t>
  </si>
  <si>
    <t xml:space="preserve">Baseline and preoperative tables, with within-group sections.</t>
  </si>
  <si>
    <t xml:space="preserve">Outcome Summary</t>
  </si>
  <si>
    <t xml:space="preserve">Outcome comparisons (GEE / adjusted columns merged in when requested).</t>
  </si>
  <si>
    <t xml:space="preserve">Publication Table</t>
  </si>
  <si>
    <t xml:space="preserve">Manuscript-ready stacked table.</t>
  </si>
  <si>
    <t xml:space="preserve">mEYEstro_Control</t>
  </si>
  <si>
    <t xml:space="preserve">mEYEstro-format export of one group (all rows): copy columns E-S (15 columns, template order) into the mEYEstro template - yellow E-I preop refraction, vertex (12 mm), preop CDVA; green J-M intended refraction; red N-S postop refraction, vertex, postop CDVA, postop UDVA. Grey A-D (group, decimal acuities) and blue T (postop SEQ) are for reference only.</t>
  </si>
  <si>
    <t xml:space="preserve">mEYEstro_Diabetes</t>
  </si>
  <si>
    <t xml:space="preserve">AstigMATIC_Control</t>
  </si>
  <si>
    <t xml:space="preserve">AstigMATIC input for one group (all rows): columns A-E (eye OD/OS, preop cylinder, preop axis, postop cylinder, postop axis) load directly into AstigMATIC; minus cylinder accepted.</t>
  </si>
  <si>
    <t xml:space="preserve">AstigMATIC_Diabetes</t>
  </si>
  <si>
    <t xml:space="preserve">GEE_Main_Unmatched_Base</t>
  </si>
  <si>
    <t xml:space="preserve">Clustered GEE, group as the only predictor.</t>
  </si>
  <si>
    <t xml:space="preserve">GEE_Main_Unmatched_Preop</t>
  </si>
  <si>
    <t xml:space="preserve">GEE_Main_Unmatched_Out</t>
  </si>
  <si>
    <t xml:space="preserve">GEE_Adj_Unmatched_Base</t>
  </si>
  <si>
    <t xml:space="preserve">Clustered GEE adjusted for the covariates listed per row and in the Manifest (a variable is never adjusted for itself).</t>
  </si>
  <si>
    <t xml:space="preserve">GEE_Adj_Unmatched_Preop</t>
  </si>
  <si>
    <t xml:space="preserve">GEE_Adj_Unmatched_Out</t>
  </si>
  <si>
    <t xml:space="preserve">Regression (adjusted)</t>
  </si>
  <si>
    <t xml:space="preserve">Covariate-adjusted models, with full-model appendix.</t>
  </si>
  <si>
    <t xml:space="preserve">PSM_Diabetes_vs_Control</t>
  </si>
  <si>
    <t xml:space="preserve">Matching (MatchIt): settings, covariates, balance and the matched rows.</t>
  </si>
  <si>
    <t xml:space="preserve">GEE_M_Diabetes_vs_Control</t>
  </si>
  <si>
    <t xml:space="preserve">Clustered GEE on the matched cohort.</t>
  </si>
  <si>
    <t xml:space="preserve">GEE_Adj_M_Diabetes_vs_Control</t>
  </si>
  <si>
    <t xml:space="preserve">Adjusted clustered GEE on the matched cohort (covariates listed per row and in the Manifest).</t>
  </si>
  <si>
    <t xml:space="preserve">Reg_M_Diabetes_vs_Control</t>
  </si>
  <si>
    <t xml:space="preserve">Covariate-adjusted models on the matched cohort.</t>
  </si>
  <si>
    <t xml:space="preserve">BasePreop_M_Diabetes_vs_Control</t>
  </si>
  <si>
    <t xml:space="preserve">Baseline and preop tables after matching.</t>
  </si>
  <si>
    <t xml:space="preserve">Out_M_Diabetes_vs_Control</t>
  </si>
  <si>
    <t xml:space="preserve">Outcome comparisons after matching.</t>
  </si>
  <si>
    <t xml:space="preserve">Pub_M_Diabetes_vs_Control</t>
  </si>
  <si>
    <t xml:space="preserve">Publication-style table for the matched cohort.</t>
  </si>
  <si>
    <t xml:space="preserve">mEYEstro_M_Control_Diabetes_vs_</t>
  </si>
  <si>
    <t xml:space="preserve">mEYEstro_M_Control_Diabetes_vs_Control</t>
  </si>
  <si>
    <t xml:space="preserve">mEYEstro-format export of one group of a matched pairing (matched rows, unweighted): copy columns E-S (15 columns, template order) into the mEYEstro template - yellow E-I preop refraction, vertex (12 mm), preop CDVA; green J-M intended refraction; red N-S postop refraction, vertex, postop CDVA, postop UDVA. Grey A-D (group, decimal acuities) and blue T (postop SEQ) are for reference only.</t>
  </si>
  <si>
    <t xml:space="preserve">mEYEstro_M_Diabetes_Diabetes_vs</t>
  </si>
  <si>
    <t xml:space="preserve">mEYEstro_M_Diabetes_Diabetes_vs_Control</t>
  </si>
  <si>
    <t xml:space="preserve">AstigMATIC_M_Control_Diabetes_v</t>
  </si>
  <si>
    <t xml:space="preserve">AstigMATIC_M_Control_Diabetes_vs_Control</t>
  </si>
  <si>
    <t xml:space="preserve">AstigMATIC input for one group of a matched pairing (matched rows, unweighted): columns A-E (eye OD/OS, preop cylinder, preop axis, postop cylinder, postop axis) load directly into AstigMATIC; minus cylinder accepted.</t>
  </si>
  <si>
    <t xml:space="preserve">AstigMATIC_M_Diabetes_Diabetes_</t>
  </si>
  <si>
    <t xml:space="preserve">AstigMATIC_M_Diabetes_Diabetes_vs_Control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</si>
</sst>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  <b/>
    </font>
    <font>
      <sz val="11"/>
      <color rgb="FFC00000"/>
      <name val="Calibri"/>
      <b/>
    </font>
    <font>
      <sz val="11"/>
      <color theme="10"/>
      <name val="Calibri"/>
      <u val="single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FFFF99"/>
      </patternFill>
    </fill>
    <fill>
      <patternFill patternType="solid">
        <fgColor rgb="FFCCFFCC"/>
      </patternFill>
    </fill>
    <fill>
      <patternFill patternType="solid">
        <fgColor rgb="FFFF9999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2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248" totalsRowCount="0" totalsRowShown="0">
  <autoFilter ref="A1:E248"/>
  <tableColumns count="5">
    <tableColumn id="1" name="Eye"/>
    <tableColumn id="2" name="preoperative cylinder"/>
    <tableColumn id="3" name="preoperative axis"/>
    <tableColumn id="4" name="postoperative cylinder"/>
    <tableColumn id="5" name="postoperative axi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114" totalsRowCount="0" totalsRowShown="0">
  <autoFilter ref="A1:E114"/>
  <tableColumns count="5">
    <tableColumn id="1" name="Eye"/>
    <tableColumn id="2" name="preoperative cylinder"/>
    <tableColumn id="3" name="preoperative axis"/>
    <tableColumn id="4" name="postoperative cylinder"/>
    <tableColumn id="5" name="postoperative axi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E127" totalsRowCount="0" totalsRowShown="0">
  <autoFilter ref="A1:E127"/>
  <tableColumns count="5">
    <tableColumn id="1" name="Eye"/>
    <tableColumn id="2" name="preoperative cylinder"/>
    <tableColumn id="3" name="preoperative axis"/>
    <tableColumn id="4" name="postoperative cylinder"/>
    <tableColumn id="5" name="postoperative axi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E85" totalsRowCount="0" totalsRowShown="0">
  <autoFilter ref="A1:E85"/>
  <tableColumns count="5">
    <tableColumn id="1" name="Eye"/>
    <tableColumn id="2" name="preoperative cylinder"/>
    <tableColumn id="3" name="preoperative axis"/>
    <tableColumn id="4" name="postoperative cylinder"/>
    <tableColumn id="5" name="postoperative axi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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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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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
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
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Relationship Id="rId3" Type="http://schemas.openxmlformats.org/officeDocument/2006/relationships/table" Target="../tables/table3.xml"/></Relationships>
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Relationship Id="rId4" Type="http://schemas.openxmlformats.org/officeDocument/2006/relationships/table" Target="../tables/table4.xml"/></Relationships>
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/Relationships>
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0.bin"/></Relationships>
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1.bin"/></Relationships>
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2.bin"/></Relationships>
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3.bin"/></Relationships>

</file>

<file path=xl/worksheets/_rels/sheet1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4.bin"/></Relationships>
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5.bin"/></Relationships>
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6.bin"/></Relationships>

</file>

<file path=xl/worksheets/_rels/sheet1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7.bin"/></Relationships>
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8.bin"/></Relationships>

</file>

<file path=xl/worksheets/_rels/sheet1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9.bin"/></Relationships>

</file>

<file path=xl/worksheets/_rels/sheet2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0.bin"/></Relationships>

</file>

<file path=xl/worksheets/_rels/sheet2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1.bin"/></Relationships>

</file>

<file path=xl/worksheets/_rels/sheet2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2.bin"/></Relationships>

</file>

<file path=xl/worksheets/_rels/sheet2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3.bin"/></Relationships>

</file>

<file path=xl/worksheets/_rels/sheet2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4.bin"/></Relationships>

</file>

<file path=xl/worksheets/_rels/sheet2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5.bin"/><Relationship Id="rId5" Type="http://schemas.openxmlformats.org/officeDocument/2006/relationships/table" Target="../tables/table5.xml"/></Relationships>

</file>

<file path=xl/worksheets/_rels/sheet2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6.bin"/><Relationship Id="rId6" Type="http://schemas.openxmlformats.org/officeDocument/2006/relationships/table" Target="../tables/table6.xml"/></Relationships>

</file>

<file path=xl/worksheets/_rels/sheet2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7.bin"/></Relationships>

</file>

<file path=xl/worksheets/_rels/sheet2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8.bin"/>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t="s">
        <v>1</v>
      </c>
    </row>
    <row r="3">
      <c r="A3" t="s">
        <v>2</v>
      </c>
    </row>
    <row r="5">
      <c r="A5" s="1" t="s">
        <v>3</v>
      </c>
    </row>
    <row r="6">
      <c r="A6" t="s">
        <v>4</v>
      </c>
      <c r="B6" t="s">
        <v>5</v>
      </c>
    </row>
    <row r="7">
      <c r="A7" t="s">
        <v>6</v>
      </c>
      <c r="B7" t="s">
        <v>7</v>
      </c>
    </row>
    <row r="8">
      <c r="A8" t="s">
        <v>8</v>
      </c>
      <c r="B8" t="s">
        <v>9</v>
      </c>
    </row>
    <row r="9">
      <c r="A9" t="s">
        <v>10</v>
      </c>
      <c r="B9" t="s">
        <v>11</v>
      </c>
    </row>
    <row r="10">
      <c r="A10" t="s">
        <v>12</v>
      </c>
      <c r="B10" t="s">
        <v>13</v>
      </c>
    </row>
    <row r="11">
      <c r="A11" t="s">
        <v>14</v>
      </c>
      <c r="B11" t="s">
        <v>15</v>
      </c>
    </row>
    <row r="12">
      <c r="A12" t="s">
        <v>16</v>
      </c>
      <c r="B12" t="s">
        <v>17</v>
      </c>
    </row>
    <row r="13">
      <c r="A13" t="s">
        <v>18</v>
      </c>
      <c r="B13" t="s">
        <v>19</v>
      </c>
    </row>
    <row r="14">
      <c r="A14" t="s">
        <v>20</v>
      </c>
      <c r="B14" t="s">
        <v>21</v>
      </c>
    </row>
    <row r="16">
      <c r="A16" s="1" t="s">
        <v>22</v>
      </c>
    </row>
    <row r="17">
      <c r="A17" t="s">
        <v>23</v>
      </c>
      <c r="B17" t="s">
        <v>24</v>
      </c>
      <c r="C17" t="s">
        <v>25</v>
      </c>
    </row>
    <row r="18">
      <c r="A18" t="s">
        <v>26</v>
      </c>
      <c r="B18" t="n">
        <v>138</v>
      </c>
      <c r="C18" t="n">
        <v>58.7</v>
      </c>
    </row>
    <row r="19">
      <c r="A19" t="s">
        <v>27</v>
      </c>
      <c r="B19" t="n">
        <v>97</v>
      </c>
      <c r="C19" t="n">
        <v>41.3</v>
      </c>
    </row>
    <row r="21">
      <c r="A21" s="1" t="s">
        <v>28</v>
      </c>
    </row>
    <row r="22">
      <c r="A22" t="s">
        <v>29</v>
      </c>
      <c r="B22" t="s">
        <v>24</v>
      </c>
      <c r="C22" t="s">
        <v>25</v>
      </c>
    </row>
    <row r="23">
      <c r="A23" t="s">
        <v>30</v>
      </c>
      <c r="B23" t="n">
        <v>247</v>
      </c>
      <c r="C23" t="n">
        <v>68.6</v>
      </c>
    </row>
    <row r="24">
      <c r="A24" t="s">
        <v>31</v>
      </c>
      <c r="B24" t="n">
        <v>113</v>
      </c>
      <c r="C24" t="n">
        <v>31.4</v>
      </c>
    </row>
    <row r="26">
      <c r="A26" s="1" t="s">
        <v>32</v>
      </c>
    </row>
    <row r="27">
      <c r="A27" t="s">
        <v>33</v>
      </c>
      <c r="B27" t="s">
        <v>29</v>
      </c>
      <c r="C27" t="s">
        <v>34</v>
      </c>
    </row>
    <row r="28">
      <c r="A28" t="s">
        <v>30</v>
      </c>
      <c r="B28" t="s">
        <v>30</v>
      </c>
      <c r="C28" t="n">
        <v>247</v>
      </c>
    </row>
    <row r="29">
      <c r="A29" t="s">
        <v>31</v>
      </c>
      <c r="B29" t="s">
        <v>31</v>
      </c>
      <c r="C29" t="n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</row>
    <row r="3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47</v>
      </c>
    </row>
    <row r="4">
      <c r="A4" t="s">
        <v>51</v>
      </c>
      <c r="B4" t="s">
        <v>52</v>
      </c>
      <c r="C4" t="s">
        <v>53</v>
      </c>
      <c r="D4" t="s">
        <v>54</v>
      </c>
      <c r="E4" t="s">
        <v>48</v>
      </c>
      <c r="F4" t="s">
        <v>55</v>
      </c>
      <c r="G4" t="s">
        <v>56</v>
      </c>
      <c r="H4" t="s">
        <v>57</v>
      </c>
    </row>
    <row r="5">
      <c r="A5" t="s">
        <v>58</v>
      </c>
      <c r="B5" t="s">
        <v>59</v>
      </c>
      <c r="C5" t="s">
        <v>60</v>
      </c>
      <c r="D5" t="s">
        <v>61</v>
      </c>
      <c r="E5" t="s">
        <v>48</v>
      </c>
      <c r="F5" t="s">
        <v>55</v>
      </c>
      <c r="G5" t="s">
        <v>62</v>
      </c>
      <c r="H5" t="s">
        <v>63</v>
      </c>
    </row>
    <row r="6">
      <c r="A6" t="s">
        <v>64</v>
      </c>
      <c r="B6" t="s">
        <v>65</v>
      </c>
      <c r="C6" t="s">
        <v>66</v>
      </c>
      <c r="D6" t="s">
        <v>67</v>
      </c>
      <c r="E6" t="s">
        <v>48</v>
      </c>
      <c r="F6" t="s">
        <v>55</v>
      </c>
      <c r="G6" t="s">
        <v>68</v>
      </c>
      <c r="H6" t="s">
        <v>69</v>
      </c>
    </row>
    <row r="7">
      <c r="A7" t="s">
        <v>70</v>
      </c>
      <c r="B7" t="s">
        <v>71</v>
      </c>
      <c r="C7" t="s">
        <v>72</v>
      </c>
      <c r="D7" t="s">
        <v>73</v>
      </c>
      <c r="E7" t="s">
        <v>48</v>
      </c>
      <c r="F7" t="s">
        <v>55</v>
      </c>
      <c r="G7" t="s">
        <v>74</v>
      </c>
      <c r="H7" t="s">
        <v>75</v>
      </c>
    </row>
    <row r="8">
      <c r="A8" t="s">
        <v>76</v>
      </c>
      <c r="B8" t="s">
        <v>77</v>
      </c>
      <c r="C8" t="s">
        <v>77</v>
      </c>
      <c r="D8" t="s">
        <v>78</v>
      </c>
      <c r="E8" t="s">
        <v>48</v>
      </c>
      <c r="F8" t="s">
        <v>55</v>
      </c>
      <c r="G8" t="s">
        <v>79</v>
      </c>
      <c r="H8" t="s">
        <v>80</v>
      </c>
    </row>
    <row r="9">
      <c r="A9" t="s">
        <v>81</v>
      </c>
      <c r="B9" t="s">
        <v>82</v>
      </c>
      <c r="C9" t="s">
        <v>83</v>
      </c>
      <c r="D9" t="s">
        <v>47</v>
      </c>
      <c r="E9" t="s">
        <v>48</v>
      </c>
      <c r="F9" t="s">
        <v>49</v>
      </c>
      <c r="G9" t="s">
        <v>84</v>
      </c>
      <c r="H9" t="s">
        <v>47</v>
      </c>
    </row>
    <row r="10">
      <c r="A10" t="s">
        <v>85</v>
      </c>
      <c r="B10" t="s">
        <v>86</v>
      </c>
      <c r="C10" t="s">
        <v>87</v>
      </c>
      <c r="D10" t="s">
        <v>88</v>
      </c>
      <c r="E10" t="s">
        <v>48</v>
      </c>
      <c r="F10" t="s">
        <v>55</v>
      </c>
      <c r="G10" t="s">
        <v>89</v>
      </c>
      <c r="H10" t="s">
        <v>90</v>
      </c>
    </row>
    <row r="11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 t="s">
        <v>49</v>
      </c>
      <c r="G11" t="s">
        <v>96</v>
      </c>
      <c r="H11" t="s">
        <v>96</v>
      </c>
    </row>
    <row r="12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55</v>
      </c>
      <c r="G12" t="s">
        <v>102</v>
      </c>
      <c r="H12" t="s">
        <v>103</v>
      </c>
    </row>
    <row r="13">
      <c r="A13" t="s">
        <v>104</v>
      </c>
      <c r="B13" t="s">
        <v>105</v>
      </c>
      <c r="C13" t="s">
        <v>106</v>
      </c>
      <c r="D13" t="s">
        <v>107</v>
      </c>
      <c r="E13" t="s">
        <v>101</v>
      </c>
      <c r="F13" t="s">
        <v>55</v>
      </c>
      <c r="G13" t="s">
        <v>108</v>
      </c>
      <c r="H13" t="s">
        <v>109</v>
      </c>
    </row>
    <row r="14">
      <c r="A14" t="s">
        <v>110</v>
      </c>
      <c r="B14" t="s">
        <v>111</v>
      </c>
      <c r="C14" t="s">
        <v>112</v>
      </c>
      <c r="D14" t="s">
        <v>113</v>
      </c>
      <c r="E14" t="s">
        <v>101</v>
      </c>
      <c r="F14" t="s">
        <v>55</v>
      </c>
      <c r="G14" t="s">
        <v>96</v>
      </c>
      <c r="H14" t="s">
        <v>96</v>
      </c>
    </row>
    <row r="15">
      <c r="A15" t="s">
        <v>114</v>
      </c>
      <c r="B15" t="s">
        <v>115</v>
      </c>
      <c r="C15" t="s">
        <v>116</v>
      </c>
      <c r="D15" t="s">
        <v>96</v>
      </c>
      <c r="E15" t="s">
        <v>96</v>
      </c>
      <c r="F15" t="s">
        <v>96</v>
      </c>
      <c r="G15" t="s">
        <v>96</v>
      </c>
      <c r="H15" t="s">
        <v>96</v>
      </c>
    </row>
    <row r="16">
      <c r="A16" t="s">
        <v>117</v>
      </c>
      <c r="B16" t="s">
        <v>118</v>
      </c>
      <c r="C16" t="s">
        <v>119</v>
      </c>
      <c r="D16" t="s">
        <v>96</v>
      </c>
      <c r="E16" t="s">
        <v>96</v>
      </c>
      <c r="F16" t="s">
        <v>96</v>
      </c>
      <c r="G16" t="s">
        <v>96</v>
      </c>
      <c r="H16" t="s">
        <v>96</v>
      </c>
    </row>
    <row r="18">
      <c r="A18" s="1" t="s">
        <v>120</v>
      </c>
    </row>
    <row r="19">
      <c r="A19" t="s">
        <v>36</v>
      </c>
      <c r="B19" t="s">
        <v>37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</row>
    <row r="20">
      <c r="A20" t="s">
        <v>121</v>
      </c>
      <c r="B20" t="s">
        <v>122</v>
      </c>
      <c r="C20" t="s">
        <v>123</v>
      </c>
      <c r="D20" t="s">
        <v>124</v>
      </c>
      <c r="E20" t="s">
        <v>48</v>
      </c>
      <c r="F20" t="s">
        <v>55</v>
      </c>
      <c r="G20" t="s">
        <v>125</v>
      </c>
      <c r="H20" t="s">
        <v>126</v>
      </c>
    </row>
    <row r="21">
      <c r="A21" t="s">
        <v>127</v>
      </c>
      <c r="B21" t="s">
        <v>128</v>
      </c>
      <c r="C21" t="s">
        <v>129</v>
      </c>
      <c r="D21" t="s">
        <v>130</v>
      </c>
      <c r="E21" t="s">
        <v>48</v>
      </c>
      <c r="F21" t="s">
        <v>55</v>
      </c>
      <c r="G21" t="s">
        <v>131</v>
      </c>
      <c r="H21" t="s">
        <v>132</v>
      </c>
    </row>
    <row r="22">
      <c r="A22" t="s">
        <v>133</v>
      </c>
      <c r="B22" t="s">
        <v>134</v>
      </c>
      <c r="C22" t="s">
        <v>135</v>
      </c>
      <c r="D22" t="s">
        <v>136</v>
      </c>
      <c r="E22" t="s">
        <v>101</v>
      </c>
      <c r="F22" t="s">
        <v>55</v>
      </c>
      <c r="G22" t="s">
        <v>96</v>
      </c>
      <c r="H22" t="s">
        <v>96</v>
      </c>
    </row>
    <row r="23">
      <c r="A23" t="s">
        <v>137</v>
      </c>
      <c r="B23" t="s">
        <v>138</v>
      </c>
      <c r="C23" t="s">
        <v>139</v>
      </c>
      <c r="D23" t="s">
        <v>96</v>
      </c>
      <c r="E23" t="s">
        <v>96</v>
      </c>
      <c r="F23" t="s">
        <v>96</v>
      </c>
      <c r="G23" t="s">
        <v>96</v>
      </c>
      <c r="H23" t="s">
        <v>96</v>
      </c>
    </row>
    <row r="24">
      <c r="A24" t="s">
        <v>140</v>
      </c>
      <c r="B24" t="s">
        <v>141</v>
      </c>
      <c r="C24" t="s">
        <v>142</v>
      </c>
      <c r="D24" t="s">
        <v>96</v>
      </c>
      <c r="E24" t="s">
        <v>96</v>
      </c>
      <c r="F24" t="s">
        <v>96</v>
      </c>
      <c r="G24" t="s">
        <v>96</v>
      </c>
      <c r="H24" t="s">
        <v>96</v>
      </c>
    </row>
    <row r="26">
      <c r="A26" s="1" t="s">
        <v>143</v>
      </c>
    </row>
    <row r="27">
      <c r="A27" t="s">
        <v>36</v>
      </c>
      <c r="B27" t="s">
        <v>144</v>
      </c>
      <c r="C27" t="s">
        <v>145</v>
      </c>
      <c r="D27" t="s">
        <v>146</v>
      </c>
    </row>
    <row r="28">
      <c r="A28" t="s">
        <v>81</v>
      </c>
      <c r="B28" t="n">
        <v>240</v>
      </c>
      <c r="C28" t="s">
        <v>147</v>
      </c>
      <c r="D28" t="s">
        <v>148</v>
      </c>
    </row>
    <row r="29">
      <c r="A29" t="s">
        <v>91</v>
      </c>
      <c r="B29" t="n">
        <v>247</v>
      </c>
      <c r="C29" t="s">
        <v>149</v>
      </c>
      <c r="D29" t="s">
        <v>148</v>
      </c>
    </row>
    <row r="30">
      <c r="A30" t="s">
        <v>150</v>
      </c>
      <c r="B30" t="n">
        <v>163</v>
      </c>
      <c r="C30" t="s">
        <v>151</v>
      </c>
      <c r="D30" t="s">
        <v>152</v>
      </c>
    </row>
    <row r="31">
      <c r="A31" t="s">
        <v>110</v>
      </c>
      <c r="B31" t="n">
        <v>163</v>
      </c>
      <c r="C31" t="s">
        <v>153</v>
      </c>
      <c r="D31" t="s">
        <v>152</v>
      </c>
    </row>
    <row r="32">
      <c r="A32" t="s">
        <v>114</v>
      </c>
      <c r="B32" t="n">
        <v>163</v>
      </c>
      <c r="C32" t="s">
        <v>154</v>
      </c>
      <c r="D32" t="s">
        <v>152</v>
      </c>
    </row>
    <row r="33">
      <c r="A33" t="s">
        <v>117</v>
      </c>
      <c r="B33" t="n">
        <v>163</v>
      </c>
      <c r="C33" t="s">
        <v>155</v>
      </c>
      <c r="D33" t="s">
        <v>152</v>
      </c>
    </row>
    <row r="35">
      <c r="A35" s="1" t="s">
        <v>156</v>
      </c>
    </row>
    <row r="36">
      <c r="A36" t="s">
        <v>36</v>
      </c>
      <c r="B36" t="s">
        <v>144</v>
      </c>
      <c r="C36" t="s">
        <v>145</v>
      </c>
      <c r="D36" t="s">
        <v>146</v>
      </c>
    </row>
    <row r="37">
      <c r="A37" t="s">
        <v>81</v>
      </c>
      <c r="B37" t="n">
        <v>108</v>
      </c>
      <c r="C37" t="s">
        <v>157</v>
      </c>
      <c r="D37" t="s">
        <v>148</v>
      </c>
    </row>
    <row r="38">
      <c r="A38" t="s">
        <v>91</v>
      </c>
      <c r="B38" t="n">
        <v>113</v>
      </c>
      <c r="C38" t="s">
        <v>158</v>
      </c>
      <c r="D38" t="s">
        <v>148</v>
      </c>
    </row>
    <row r="39">
      <c r="A39" t="s">
        <v>150</v>
      </c>
      <c r="B39" t="n">
        <v>72</v>
      </c>
      <c r="C39" t="s">
        <v>159</v>
      </c>
      <c r="D39" t="s">
        <v>152</v>
      </c>
    </row>
    <row r="40">
      <c r="A40" t="s">
        <v>110</v>
      </c>
      <c r="B40" t="n">
        <v>72</v>
      </c>
      <c r="C40" t="s">
        <v>160</v>
      </c>
      <c r="D40" t="s">
        <v>152</v>
      </c>
    </row>
    <row r="41">
      <c r="A41" t="s">
        <v>114</v>
      </c>
      <c r="B41" t="n">
        <v>72</v>
      </c>
      <c r="C41" t="s">
        <v>161</v>
      </c>
      <c r="D41" t="s">
        <v>152</v>
      </c>
    </row>
    <row r="42">
      <c r="A42" t="s">
        <v>117</v>
      </c>
      <c r="B42" t="n">
        <v>72</v>
      </c>
      <c r="C42" t="s">
        <v>162</v>
      </c>
      <c r="D42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163</v>
      </c>
      <c r="J1" t="s">
        <v>164</v>
      </c>
    </row>
    <row r="2">
      <c r="A2" t="s">
        <v>165</v>
      </c>
      <c r="B2" t="s">
        <v>166</v>
      </c>
      <c r="C2" t="s">
        <v>167</v>
      </c>
      <c r="D2" t="s">
        <v>168</v>
      </c>
      <c r="E2" t="s">
        <v>48</v>
      </c>
      <c r="F2" t="s">
        <v>55</v>
      </c>
      <c r="G2" t="s">
        <v>169</v>
      </c>
      <c r="H2" t="s">
        <v>170</v>
      </c>
      <c r="I2" t="s">
        <v>171</v>
      </c>
      <c r="J2" t="s">
        <v>172</v>
      </c>
    </row>
    <row r="3">
      <c r="A3" t="s">
        <v>173</v>
      </c>
      <c r="B3" t="s">
        <v>174</v>
      </c>
      <c r="C3" t="s">
        <v>175</v>
      </c>
      <c r="D3" t="s">
        <v>47</v>
      </c>
      <c r="E3" t="s">
        <v>48</v>
      </c>
      <c r="F3" t="s">
        <v>49</v>
      </c>
      <c r="G3" t="s">
        <v>176</v>
      </c>
      <c r="H3" t="s">
        <v>47</v>
      </c>
      <c r="I3" t="s">
        <v>177</v>
      </c>
      <c r="J3" t="s">
        <v>47</v>
      </c>
    </row>
    <row r="4">
      <c r="A4" t="s">
        <v>178</v>
      </c>
      <c r="B4" t="s">
        <v>179</v>
      </c>
      <c r="C4" t="s">
        <v>180</v>
      </c>
      <c r="D4" t="s">
        <v>181</v>
      </c>
      <c r="E4" t="s">
        <v>48</v>
      </c>
      <c r="F4" t="s">
        <v>55</v>
      </c>
      <c r="G4" t="s">
        <v>182</v>
      </c>
      <c r="H4" t="s">
        <v>183</v>
      </c>
      <c r="I4" t="s">
        <v>184</v>
      </c>
      <c r="J4" t="s">
        <v>185</v>
      </c>
    </row>
    <row r="5">
      <c r="A5" t="s">
        <v>186</v>
      </c>
      <c r="B5" t="s">
        <v>187</v>
      </c>
      <c r="C5" t="s">
        <v>188</v>
      </c>
      <c r="D5" t="s">
        <v>47</v>
      </c>
      <c r="E5" t="s">
        <v>48</v>
      </c>
      <c r="F5" t="s">
        <v>49</v>
      </c>
      <c r="G5" t="s">
        <v>189</v>
      </c>
      <c r="H5" t="s">
        <v>47</v>
      </c>
      <c r="I5" t="s">
        <v>190</v>
      </c>
      <c r="J5" t="s">
        <v>47</v>
      </c>
    </row>
    <row r="6">
      <c r="A6" t="s">
        <v>191</v>
      </c>
      <c r="B6" t="s">
        <v>192</v>
      </c>
      <c r="C6" t="s">
        <v>77</v>
      </c>
      <c r="D6" t="s">
        <v>193</v>
      </c>
      <c r="E6" t="s">
        <v>48</v>
      </c>
      <c r="F6" t="s">
        <v>55</v>
      </c>
      <c r="G6" t="s">
        <v>194</v>
      </c>
      <c r="H6" t="s">
        <v>195</v>
      </c>
      <c r="I6" t="s">
        <v>196</v>
      </c>
      <c r="J6" t="s">
        <v>193</v>
      </c>
    </row>
    <row r="7">
      <c r="A7" t="s">
        <v>197</v>
      </c>
      <c r="B7" t="s">
        <v>92</v>
      </c>
      <c r="C7" t="s">
        <v>198</v>
      </c>
      <c r="D7" t="s">
        <v>199</v>
      </c>
      <c r="E7" t="s">
        <v>95</v>
      </c>
      <c r="F7" t="s">
        <v>49</v>
      </c>
      <c r="G7" t="s">
        <v>96</v>
      </c>
      <c r="H7" t="s">
        <v>96</v>
      </c>
      <c r="I7" t="s">
        <v>96</v>
      </c>
      <c r="J7" t="s">
        <v>96</v>
      </c>
    </row>
    <row r="8">
      <c r="A8" t="s">
        <v>200</v>
      </c>
      <c r="B8" t="s">
        <v>201</v>
      </c>
      <c r="C8" t="s">
        <v>202</v>
      </c>
      <c r="D8" t="s">
        <v>203</v>
      </c>
      <c r="E8" t="s">
        <v>95</v>
      </c>
      <c r="F8" t="s">
        <v>49</v>
      </c>
      <c r="G8" t="s">
        <v>96</v>
      </c>
      <c r="H8" t="s">
        <v>96</v>
      </c>
      <c r="I8" t="s">
        <v>96</v>
      </c>
      <c r="J8" t="s">
        <v>96</v>
      </c>
    </row>
    <row r="9">
      <c r="A9" t="s">
        <v>204</v>
      </c>
      <c r="B9" t="s">
        <v>205</v>
      </c>
      <c r="C9" t="s">
        <v>206</v>
      </c>
      <c r="D9" t="s">
        <v>47</v>
      </c>
      <c r="E9" t="s">
        <v>101</v>
      </c>
      <c r="F9" t="s">
        <v>49</v>
      </c>
      <c r="G9" t="s">
        <v>207</v>
      </c>
      <c r="H9" t="s">
        <v>47</v>
      </c>
      <c r="I9" t="s">
        <v>208</v>
      </c>
      <c r="J9" t="s">
        <v>209</v>
      </c>
    </row>
    <row r="10">
      <c r="A10" t="s">
        <v>210</v>
      </c>
      <c r="B10" t="s">
        <v>211</v>
      </c>
      <c r="C10" t="s">
        <v>212</v>
      </c>
      <c r="D10" t="s">
        <v>213</v>
      </c>
      <c r="E10" t="s">
        <v>101</v>
      </c>
      <c r="F10" t="s">
        <v>49</v>
      </c>
      <c r="G10" t="s">
        <v>214</v>
      </c>
      <c r="H10" t="s">
        <v>215</v>
      </c>
      <c r="I10" t="s">
        <v>216</v>
      </c>
      <c r="J10" t="s">
        <v>217</v>
      </c>
    </row>
    <row r="11">
      <c r="A11" t="s">
        <v>218</v>
      </c>
      <c r="B11" t="s">
        <v>219</v>
      </c>
      <c r="C11" t="s">
        <v>220</v>
      </c>
      <c r="D11" t="s">
        <v>221</v>
      </c>
      <c r="E11" t="s">
        <v>222</v>
      </c>
      <c r="F11" t="s">
        <v>55</v>
      </c>
      <c r="G11" t="s">
        <v>96</v>
      </c>
      <c r="H11" t="s">
        <v>96</v>
      </c>
      <c r="I11" t="s">
        <v>96</v>
      </c>
      <c r="J11" t="s">
        <v>96</v>
      </c>
    </row>
    <row r="12">
      <c r="A12" t="s">
        <v>223</v>
      </c>
      <c r="B12" t="s">
        <v>224</v>
      </c>
      <c r="C12" t="s">
        <v>225</v>
      </c>
      <c r="D12" t="s">
        <v>96</v>
      </c>
      <c r="E12" t="s">
        <v>96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</row>
    <row r="13">
      <c r="A13" t="s">
        <v>226</v>
      </c>
      <c r="B13" t="s">
        <v>227</v>
      </c>
      <c r="C13" t="s">
        <v>228</v>
      </c>
      <c r="D13" t="s">
        <v>96</v>
      </c>
      <c r="E13" t="s">
        <v>96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</row>
    <row r="14">
      <c r="A14" t="s">
        <v>229</v>
      </c>
      <c r="B14" t="s">
        <v>230</v>
      </c>
      <c r="C14" t="s">
        <v>231</v>
      </c>
      <c r="D14" t="s">
        <v>96</v>
      </c>
      <c r="E14" t="s">
        <v>96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</cols>
  <sheetData>
    <row r="1">
      <c r="A1" s="2" t="s">
        <v>36</v>
      </c>
      <c r="B1" s="2" t="s">
        <v>37</v>
      </c>
      <c r="C1" s="2" t="s">
        <v>38</v>
      </c>
      <c r="D1" s="2" t="s">
        <v>232</v>
      </c>
      <c r="E1" s="2" t="s">
        <v>42</v>
      </c>
      <c r="F1" s="2" t="s">
        <v>43</v>
      </c>
      <c r="G1" s="2" t="s">
        <v>163</v>
      </c>
      <c r="H1" s="2" t="s">
        <v>164</v>
      </c>
    </row>
    <row r="2">
      <c r="A2" s="3" t="s">
        <v>233</v>
      </c>
      <c r="B2" s="3" t="s">
        <v>96</v>
      </c>
      <c r="C2" s="3" t="s">
        <v>96</v>
      </c>
      <c r="D2" s="3" t="s">
        <v>96</v>
      </c>
      <c r="E2" s="3" t="s">
        <v>96</v>
      </c>
      <c r="F2" s="3" t="s">
        <v>96</v>
      </c>
      <c r="G2" s="3" t="s">
        <v>96</v>
      </c>
      <c r="H2" s="3" t="s">
        <v>96</v>
      </c>
    </row>
    <row r="3">
      <c r="A3" t="s">
        <v>234</v>
      </c>
      <c r="B3" t="s">
        <v>45</v>
      </c>
      <c r="C3" t="s">
        <v>46</v>
      </c>
      <c r="D3" t="s">
        <v>47</v>
      </c>
      <c r="E3" t="s">
        <v>50</v>
      </c>
      <c r="F3" t="s">
        <v>47</v>
      </c>
      <c r="G3" t="s">
        <v>96</v>
      </c>
      <c r="H3" t="s">
        <v>96</v>
      </c>
    </row>
    <row r="4">
      <c r="A4" t="s">
        <v>235</v>
      </c>
      <c r="B4" t="s">
        <v>52</v>
      </c>
      <c r="C4" t="s">
        <v>53</v>
      </c>
      <c r="D4" t="s">
        <v>54</v>
      </c>
      <c r="E4" t="s">
        <v>56</v>
      </c>
      <c r="F4" t="s">
        <v>57</v>
      </c>
      <c r="G4" t="s">
        <v>96</v>
      </c>
      <c r="H4" t="s">
        <v>96</v>
      </c>
    </row>
    <row r="5">
      <c r="A5" t="s">
        <v>236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96</v>
      </c>
      <c r="H5" t="s">
        <v>96</v>
      </c>
    </row>
    <row r="6">
      <c r="A6" t="s">
        <v>237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96</v>
      </c>
      <c r="H6" t="s">
        <v>96</v>
      </c>
    </row>
    <row r="7">
      <c r="A7" t="s">
        <v>238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96</v>
      </c>
      <c r="H7" t="s">
        <v>96</v>
      </c>
    </row>
    <row r="8">
      <c r="A8" t="s">
        <v>239</v>
      </c>
      <c r="B8" t="s">
        <v>77</v>
      </c>
      <c r="C8" t="s">
        <v>77</v>
      </c>
      <c r="D8" t="s">
        <v>78</v>
      </c>
      <c r="E8" t="s">
        <v>79</v>
      </c>
      <c r="F8" t="s">
        <v>80</v>
      </c>
      <c r="G8" t="s">
        <v>96</v>
      </c>
      <c r="H8" t="s">
        <v>96</v>
      </c>
    </row>
    <row r="9">
      <c r="A9" t="s">
        <v>240</v>
      </c>
      <c r="B9" t="s">
        <v>82</v>
      </c>
      <c r="C9" t="s">
        <v>83</v>
      </c>
      <c r="D9" t="s">
        <v>47</v>
      </c>
      <c r="E9" t="s">
        <v>84</v>
      </c>
      <c r="F9" t="s">
        <v>47</v>
      </c>
      <c r="G9" t="s">
        <v>96</v>
      </c>
      <c r="H9" t="s">
        <v>96</v>
      </c>
    </row>
    <row r="10">
      <c r="A10" t="s">
        <v>241</v>
      </c>
      <c r="B10" t="s">
        <v>86</v>
      </c>
      <c r="C10" t="s">
        <v>87</v>
      </c>
      <c r="D10" t="s">
        <v>88</v>
      </c>
      <c r="E10" t="s">
        <v>89</v>
      </c>
      <c r="F10" t="s">
        <v>90</v>
      </c>
      <c r="G10" t="s">
        <v>96</v>
      </c>
      <c r="H10" t="s">
        <v>96</v>
      </c>
    </row>
    <row r="11">
      <c r="A11" t="s">
        <v>242</v>
      </c>
      <c r="B11" t="s">
        <v>92</v>
      </c>
      <c r="C11" t="s">
        <v>93</v>
      </c>
      <c r="D11" t="s">
        <v>94</v>
      </c>
      <c r="E11" t="s">
        <v>96</v>
      </c>
      <c r="F11" t="s">
        <v>96</v>
      </c>
      <c r="G11" t="s">
        <v>96</v>
      </c>
      <c r="H11" t="s">
        <v>96</v>
      </c>
    </row>
    <row r="12">
      <c r="A12" t="s">
        <v>97</v>
      </c>
      <c r="B12" t="s">
        <v>98</v>
      </c>
      <c r="C12" t="s">
        <v>99</v>
      </c>
      <c r="D12" t="s">
        <v>100</v>
      </c>
      <c r="E12" t="s">
        <v>102</v>
      </c>
      <c r="F12" t="s">
        <v>103</v>
      </c>
      <c r="G12" t="s">
        <v>96</v>
      </c>
      <c r="H12" t="s">
        <v>96</v>
      </c>
    </row>
    <row r="13">
      <c r="A13" t="s">
        <v>104</v>
      </c>
      <c r="B13" t="s">
        <v>105</v>
      </c>
      <c r="C13" t="s">
        <v>106</v>
      </c>
      <c r="D13" t="s">
        <v>107</v>
      </c>
      <c r="E13" t="s">
        <v>108</v>
      </c>
      <c r="F13" t="s">
        <v>109</v>
      </c>
      <c r="G13" t="s">
        <v>96</v>
      </c>
      <c r="H13" t="s">
        <v>96</v>
      </c>
    </row>
    <row r="14">
      <c r="A14" t="s">
        <v>110</v>
      </c>
      <c r="B14" t="s">
        <v>111</v>
      </c>
      <c r="C14" t="s">
        <v>112</v>
      </c>
      <c r="D14" t="s">
        <v>113</v>
      </c>
      <c r="E14" t="s">
        <v>96</v>
      </c>
      <c r="F14" t="s">
        <v>96</v>
      </c>
      <c r="G14" t="s">
        <v>96</v>
      </c>
      <c r="H14" t="s">
        <v>96</v>
      </c>
    </row>
    <row r="15">
      <c r="A15" t="s">
        <v>114</v>
      </c>
      <c r="B15" t="s">
        <v>115</v>
      </c>
      <c r="C15" t="s">
        <v>116</v>
      </c>
      <c r="D15" t="s">
        <v>96</v>
      </c>
      <c r="E15" t="s">
        <v>96</v>
      </c>
      <c r="F15" t="s">
        <v>96</v>
      </c>
      <c r="G15" t="s">
        <v>96</v>
      </c>
      <c r="H15" t="s">
        <v>96</v>
      </c>
    </row>
    <row r="16">
      <c r="A16" t="s">
        <v>117</v>
      </c>
      <c r="B16" t="s">
        <v>118</v>
      </c>
      <c r="C16" t="s">
        <v>119</v>
      </c>
      <c r="D16" t="s">
        <v>96</v>
      </c>
      <c r="E16" t="s">
        <v>96</v>
      </c>
      <c r="F16" t="s">
        <v>96</v>
      </c>
      <c r="G16" t="s">
        <v>96</v>
      </c>
      <c r="H16" t="s">
        <v>96</v>
      </c>
    </row>
    <row r="17">
      <c r="A17" s="3" t="s">
        <v>120</v>
      </c>
      <c r="B17" s="3" t="s">
        <v>96</v>
      </c>
      <c r="C17" s="3" t="s">
        <v>96</v>
      </c>
      <c r="D17" s="3" t="s">
        <v>96</v>
      </c>
      <c r="E17" s="3" t="s">
        <v>96</v>
      </c>
      <c r="F17" s="3" t="s">
        <v>96</v>
      </c>
      <c r="G17" s="3" t="s">
        <v>96</v>
      </c>
      <c r="H17" s="3" t="s">
        <v>96</v>
      </c>
    </row>
    <row r="18">
      <c r="A18" t="s">
        <v>243</v>
      </c>
      <c r="B18" t="s">
        <v>122</v>
      </c>
      <c r="C18" t="s">
        <v>123</v>
      </c>
      <c r="D18" t="s">
        <v>124</v>
      </c>
      <c r="E18" t="s">
        <v>125</v>
      </c>
      <c r="F18" t="s">
        <v>126</v>
      </c>
      <c r="G18" t="s">
        <v>96</v>
      </c>
      <c r="H18" t="s">
        <v>96</v>
      </c>
    </row>
    <row r="19">
      <c r="A19" t="s">
        <v>244</v>
      </c>
      <c r="B19" t="s">
        <v>128</v>
      </c>
      <c r="C19" t="s">
        <v>129</v>
      </c>
      <c r="D19" t="s">
        <v>130</v>
      </c>
      <c r="E19" t="s">
        <v>131</v>
      </c>
      <c r="F19" t="s">
        <v>132</v>
      </c>
      <c r="G19" t="s">
        <v>96</v>
      </c>
      <c r="H19" t="s">
        <v>96</v>
      </c>
    </row>
    <row r="20">
      <c r="A20" t="s">
        <v>133</v>
      </c>
      <c r="B20" t="s">
        <v>134</v>
      </c>
      <c r="C20" t="s">
        <v>135</v>
      </c>
      <c r="D20" t="s">
        <v>136</v>
      </c>
      <c r="E20" t="s">
        <v>96</v>
      </c>
      <c r="F20" t="s">
        <v>96</v>
      </c>
      <c r="G20" t="s">
        <v>96</v>
      </c>
      <c r="H20" t="s">
        <v>96</v>
      </c>
    </row>
    <row r="21">
      <c r="A21" t="s">
        <v>137</v>
      </c>
      <c r="B21" t="s">
        <v>138</v>
      </c>
      <c r="C21" t="s">
        <v>139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</row>
    <row r="22">
      <c r="A22" t="s">
        <v>140</v>
      </c>
      <c r="B22" t="s">
        <v>141</v>
      </c>
      <c r="C22" t="s">
        <v>142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</row>
    <row r="23">
      <c r="A23" s="3" t="s">
        <v>245</v>
      </c>
      <c r="B23" s="3" t="s">
        <v>96</v>
      </c>
      <c r="C23" s="3" t="s">
        <v>96</v>
      </c>
      <c r="D23" s="3" t="s">
        <v>96</v>
      </c>
      <c r="E23" s="3" t="s">
        <v>96</v>
      </c>
      <c r="F23" s="3" t="s">
        <v>96</v>
      </c>
      <c r="G23" s="3" t="s">
        <v>96</v>
      </c>
      <c r="H23" s="3" t="s">
        <v>96</v>
      </c>
    </row>
    <row r="24">
      <c r="A24" t="s">
        <v>246</v>
      </c>
      <c r="B24" t="s">
        <v>166</v>
      </c>
      <c r="C24" t="s">
        <v>167</v>
      </c>
      <c r="D24" t="s">
        <v>168</v>
      </c>
      <c r="E24" t="s">
        <v>169</v>
      </c>
      <c r="F24" t="s">
        <v>170</v>
      </c>
      <c r="G24" t="s">
        <v>171</v>
      </c>
      <c r="H24" t="s">
        <v>172</v>
      </c>
    </row>
    <row r="25">
      <c r="A25" t="s">
        <v>247</v>
      </c>
      <c r="B25" t="s">
        <v>174</v>
      </c>
      <c r="C25" t="s">
        <v>175</v>
      </c>
      <c r="D25" t="s">
        <v>47</v>
      </c>
      <c r="E25" t="s">
        <v>176</v>
      </c>
      <c r="F25" t="s">
        <v>47</v>
      </c>
      <c r="G25" t="s">
        <v>177</v>
      </c>
      <c r="H25" t="s">
        <v>47</v>
      </c>
    </row>
    <row r="26">
      <c r="A26" t="s">
        <v>248</v>
      </c>
      <c r="B26" t="s">
        <v>179</v>
      </c>
      <c r="C26" t="s">
        <v>180</v>
      </c>
      <c r="D26" t="s">
        <v>181</v>
      </c>
      <c r="E26" t="s">
        <v>182</v>
      </c>
      <c r="F26" t="s">
        <v>183</v>
      </c>
      <c r="G26" t="s">
        <v>184</v>
      </c>
      <c r="H26" t="s">
        <v>185</v>
      </c>
    </row>
    <row r="27">
      <c r="A27" t="s">
        <v>249</v>
      </c>
      <c r="B27" t="s">
        <v>187</v>
      </c>
      <c r="C27" t="s">
        <v>188</v>
      </c>
      <c r="D27" t="s">
        <v>47</v>
      </c>
      <c r="E27" t="s">
        <v>189</v>
      </c>
      <c r="F27" t="s">
        <v>47</v>
      </c>
      <c r="G27" t="s">
        <v>190</v>
      </c>
      <c r="H27" t="s">
        <v>47</v>
      </c>
    </row>
    <row r="28">
      <c r="A28" t="s">
        <v>250</v>
      </c>
      <c r="B28" t="s">
        <v>192</v>
      </c>
      <c r="C28" t="s">
        <v>77</v>
      </c>
      <c r="D28" t="s">
        <v>193</v>
      </c>
      <c r="E28" t="s">
        <v>194</v>
      </c>
      <c r="F28" t="s">
        <v>195</v>
      </c>
      <c r="G28" t="s">
        <v>196</v>
      </c>
      <c r="H28" t="s">
        <v>193</v>
      </c>
    </row>
    <row r="29">
      <c r="A29" t="s">
        <v>251</v>
      </c>
      <c r="B29" t="s">
        <v>92</v>
      </c>
      <c r="C29" t="s">
        <v>198</v>
      </c>
      <c r="D29" t="s">
        <v>199</v>
      </c>
      <c r="E29" t="s">
        <v>96</v>
      </c>
      <c r="F29" t="s">
        <v>96</v>
      </c>
      <c r="G29" t="s">
        <v>96</v>
      </c>
      <c r="H29" t="s">
        <v>96</v>
      </c>
    </row>
    <row r="30">
      <c r="A30" t="s">
        <v>252</v>
      </c>
      <c r="B30" t="s">
        <v>201</v>
      </c>
      <c r="C30" t="s">
        <v>202</v>
      </c>
      <c r="D30" t="s">
        <v>203</v>
      </c>
      <c r="E30" t="s">
        <v>96</v>
      </c>
      <c r="F30" t="s">
        <v>96</v>
      </c>
      <c r="G30" t="s">
        <v>96</v>
      </c>
      <c r="H30" t="s">
        <v>96</v>
      </c>
    </row>
    <row r="31">
      <c r="A31" t="s">
        <v>253</v>
      </c>
      <c r="B31" t="s">
        <v>205</v>
      </c>
      <c r="C31" t="s">
        <v>206</v>
      </c>
      <c r="D31" t="s">
        <v>47</v>
      </c>
      <c r="E31" t="s">
        <v>207</v>
      </c>
      <c r="F31" t="s">
        <v>47</v>
      </c>
      <c r="G31" t="s">
        <v>208</v>
      </c>
      <c r="H31" t="s">
        <v>209</v>
      </c>
    </row>
    <row r="32">
      <c r="A32" t="s">
        <v>254</v>
      </c>
      <c r="B32" t="s">
        <v>211</v>
      </c>
      <c r="C32" t="s">
        <v>212</v>
      </c>
      <c r="D32" t="s">
        <v>213</v>
      </c>
      <c r="E32" t="s">
        <v>214</v>
      </c>
      <c r="F32" t="s">
        <v>215</v>
      </c>
      <c r="G32" t="s">
        <v>216</v>
      </c>
      <c r="H32" t="s">
        <v>217</v>
      </c>
    </row>
    <row r="33">
      <c r="A33" t="s">
        <v>255</v>
      </c>
      <c r="B33" t="s">
        <v>219</v>
      </c>
      <c r="C33" t="s">
        <v>220</v>
      </c>
      <c r="D33" t="s">
        <v>221</v>
      </c>
      <c r="E33" t="s">
        <v>96</v>
      </c>
      <c r="F33" t="s">
        <v>96</v>
      </c>
      <c r="G33" t="s">
        <v>96</v>
      </c>
      <c r="H33" t="s">
        <v>96</v>
      </c>
    </row>
    <row r="34">
      <c r="A34" t="s">
        <v>256</v>
      </c>
      <c r="B34" t="s">
        <v>224</v>
      </c>
      <c r="C34" t="s">
        <v>225</v>
      </c>
      <c r="D34" t="s">
        <v>96</v>
      </c>
      <c r="E34" t="s">
        <v>96</v>
      </c>
      <c r="F34" t="s">
        <v>96</v>
      </c>
      <c r="G34" t="s">
        <v>96</v>
      </c>
      <c r="H34" t="s">
        <v>96</v>
      </c>
    </row>
    <row r="35">
      <c r="A35" t="s">
        <v>257</v>
      </c>
      <c r="B35" t="s">
        <v>227</v>
      </c>
      <c r="C35" t="s">
        <v>228</v>
      </c>
      <c r="D35" t="s">
        <v>96</v>
      </c>
      <c r="E35" t="s">
        <v>96</v>
      </c>
      <c r="F35" t="s">
        <v>96</v>
      </c>
      <c r="G35" t="s">
        <v>96</v>
      </c>
      <c r="H35" t="s">
        <v>96</v>
      </c>
    </row>
    <row r="36">
      <c r="A36" t="s">
        <v>258</v>
      </c>
      <c r="B36" t="s">
        <v>230</v>
      </c>
      <c r="C36" t="s">
        <v>231</v>
      </c>
      <c r="D36" t="s">
        <v>96</v>
      </c>
      <c r="E36" t="s">
        <v>96</v>
      </c>
      <c r="F36" t="s">
        <v>96</v>
      </c>
      <c r="G36" t="s">
        <v>96</v>
      </c>
      <c r="H36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" t="s">
        <v>29</v>
      </c>
      <c r="B1" s="4" t="s">
        <v>259</v>
      </c>
      <c r="C1" s="4" t="s">
        <v>260</v>
      </c>
      <c r="D1" s="4" t="s">
        <v>261</v>
      </c>
      <c r="E1" s="5" t="s">
        <v>262</v>
      </c>
      <c r="F1" s="5" t="s">
        <v>263</v>
      </c>
      <c r="G1" s="5" t="s">
        <v>264</v>
      </c>
      <c r="H1" s="5" t="s">
        <v>265</v>
      </c>
      <c r="I1" s="5" t="s">
        <v>76</v>
      </c>
      <c r="J1" s="6" t="s">
        <v>266</v>
      </c>
      <c r="K1" s="6" t="s">
        <v>267</v>
      </c>
      <c r="L1" s="6" t="s">
        <v>268</v>
      </c>
      <c r="M1" s="6" t="s">
        <v>269</v>
      </c>
      <c r="N1" s="7" t="s">
        <v>270</v>
      </c>
      <c r="O1" s="7" t="s">
        <v>271</v>
      </c>
      <c r="P1" s="7" t="s">
        <v>272</v>
      </c>
      <c r="Q1" s="7" t="s">
        <v>273</v>
      </c>
      <c r="R1" s="7" t="s">
        <v>191</v>
      </c>
      <c r="S1" s="7" t="s">
        <v>186</v>
      </c>
      <c r="T1" s="8" t="s">
        <v>274</v>
      </c>
    </row>
    <row r="2">
      <c r="A2" t="s">
        <v>30</v>
      </c>
      <c r="B2" t="n">
        <v>1.04</v>
      </c>
      <c r="C2" t="n">
        <v>1.03</v>
      </c>
      <c r="D2" t="n">
        <v>1.01</v>
      </c>
      <c r="E2" t="n">
        <v>-2.75</v>
      </c>
      <c r="F2" t="n">
        <v>-1.5</v>
      </c>
      <c r="G2" t="n">
        <v>161</v>
      </c>
      <c r="H2" t="n">
        <v>12</v>
      </c>
      <c r="I2" t="s">
        <v>275</v>
      </c>
      <c r="J2" t="n">
        <v>0</v>
      </c>
      <c r="K2" t="n">
        <v>0</v>
      </c>
      <c r="L2" t="n">
        <v>0</v>
      </c>
      <c r="M2" t="n">
        <v>12</v>
      </c>
      <c r="N2" t="n">
        <v>0</v>
      </c>
      <c r="O2" t="n">
        <v>-0.25</v>
      </c>
      <c r="P2" t="n">
        <v>167</v>
      </c>
      <c r="Q2" t="n">
        <v>12</v>
      </c>
      <c r="R2" t="s">
        <v>276</v>
      </c>
      <c r="S2" t="s">
        <v>275</v>
      </c>
      <c r="T2" t="n">
        <v>0</v>
      </c>
    </row>
    <row r="3">
      <c r="A3" t="s">
        <v>30</v>
      </c>
      <c r="B3" t="n">
        <v>0.97</v>
      </c>
      <c r="C3" t="n">
        <v>0.78</v>
      </c>
      <c r="D3" t="n">
        <v>0.93</v>
      </c>
      <c r="E3" t="n">
        <v>-3.75</v>
      </c>
      <c r="F3" t="n">
        <v>-2.25</v>
      </c>
      <c r="G3" t="n">
        <v>35</v>
      </c>
      <c r="H3" t="n">
        <v>12</v>
      </c>
      <c r="I3" t="s">
        <v>277</v>
      </c>
      <c r="J3" t="n">
        <v>0</v>
      </c>
      <c r="K3" t="n">
        <v>0</v>
      </c>
      <c r="L3" t="n">
        <v>0</v>
      </c>
      <c r="M3" t="n">
        <v>12</v>
      </c>
      <c r="N3" t="n">
        <v>0</v>
      </c>
      <c r="O3" t="n">
        <v>0</v>
      </c>
      <c r="P3" t="n">
        <v>40</v>
      </c>
      <c r="Q3" t="n">
        <v>12</v>
      </c>
      <c r="R3" t="s">
        <v>278</v>
      </c>
      <c r="S3" t="s">
        <v>279</v>
      </c>
      <c r="T3" t="n">
        <v>0</v>
      </c>
    </row>
    <row r="4">
      <c r="A4" t="s">
        <v>30</v>
      </c>
      <c r="B4" t="n">
        <v>1.03</v>
      </c>
      <c r="C4" t="n">
        <v>1</v>
      </c>
      <c r="D4" t="n">
        <v>1.03</v>
      </c>
      <c r="E4" t="n">
        <v>-3</v>
      </c>
      <c r="F4" t="n">
        <v>-0.75</v>
      </c>
      <c r="G4" t="n">
        <v>78</v>
      </c>
      <c r="H4" t="n">
        <v>12</v>
      </c>
      <c r="I4" t="s">
        <v>275</v>
      </c>
      <c r="J4" t="n">
        <v>0</v>
      </c>
      <c r="K4" t="n">
        <v>0</v>
      </c>
      <c r="L4" t="n">
        <v>0</v>
      </c>
      <c r="M4" t="n">
        <v>12</v>
      </c>
      <c r="N4" t="n">
        <v>0</v>
      </c>
      <c r="O4" t="n">
        <v>-0.25</v>
      </c>
      <c r="P4" t="n">
        <v>110</v>
      </c>
      <c r="Q4" t="n">
        <v>12</v>
      </c>
      <c r="R4" t="s">
        <v>275</v>
      </c>
      <c r="S4" t="s">
        <v>276</v>
      </c>
      <c r="T4" t="n">
        <v>0</v>
      </c>
    </row>
    <row r="5">
      <c r="A5" t="s">
        <v>30</v>
      </c>
      <c r="B5" t="n">
        <v>1.06</v>
      </c>
      <c r="C5" t="n">
        <v>1.02</v>
      </c>
      <c r="D5" t="n">
        <v>1.08</v>
      </c>
      <c r="E5" t="n">
        <v>-0.75</v>
      </c>
      <c r="F5" t="n">
        <v>0</v>
      </c>
      <c r="G5" t="n">
        <v>80</v>
      </c>
      <c r="H5" t="n">
        <v>12</v>
      </c>
      <c r="I5" t="s">
        <v>275</v>
      </c>
      <c r="J5" t="n">
        <v>0</v>
      </c>
      <c r="K5" t="n">
        <v>0</v>
      </c>
      <c r="L5" t="n">
        <v>0</v>
      </c>
      <c r="M5" t="n">
        <v>12</v>
      </c>
      <c r="N5" t="n">
        <v>0.25</v>
      </c>
      <c r="O5" t="n">
        <v>0</v>
      </c>
      <c r="P5" t="n">
        <v>89</v>
      </c>
      <c r="Q5" t="n">
        <v>12</v>
      </c>
      <c r="R5" t="s">
        <v>280</v>
      </c>
      <c r="S5" t="s">
        <v>276</v>
      </c>
      <c r="T5" t="n">
        <v>0.25</v>
      </c>
    </row>
    <row r="6">
      <c r="A6" t="s">
        <v>30</v>
      </c>
      <c r="B6" t="n">
        <v>1.2</v>
      </c>
      <c r="C6" t="n">
        <v>1.25</v>
      </c>
      <c r="D6" t="n">
        <v>1.3</v>
      </c>
      <c r="E6" t="n">
        <v>-1.75</v>
      </c>
      <c r="F6" t="n">
        <v>-1</v>
      </c>
      <c r="G6" t="n">
        <v>103</v>
      </c>
      <c r="H6" t="n">
        <v>12</v>
      </c>
      <c r="I6" t="s">
        <v>281</v>
      </c>
      <c r="J6" t="n">
        <v>0</v>
      </c>
      <c r="K6" t="n">
        <v>0</v>
      </c>
      <c r="L6" t="n">
        <v>0</v>
      </c>
      <c r="M6" t="n">
        <v>12</v>
      </c>
      <c r="N6" t="n">
        <v>0.25</v>
      </c>
      <c r="O6" t="n">
        <v>-0.5</v>
      </c>
      <c r="P6" t="n">
        <v>78</v>
      </c>
      <c r="Q6" t="n">
        <v>12</v>
      </c>
      <c r="R6" t="s">
        <v>282</v>
      </c>
      <c r="S6" t="s">
        <v>283</v>
      </c>
      <c r="T6" t="n">
        <v>0</v>
      </c>
    </row>
    <row r="7">
      <c r="A7" t="s">
        <v>30</v>
      </c>
      <c r="B7" t="n">
        <v>1.09</v>
      </c>
      <c r="C7" t="n">
        <v>1.16</v>
      </c>
      <c r="D7" t="n">
        <v>1.08</v>
      </c>
      <c r="E7" t="n">
        <v>-0.5</v>
      </c>
      <c r="F7" t="n">
        <v>-0.25</v>
      </c>
      <c r="G7" t="n">
        <v>3</v>
      </c>
      <c r="H7" t="n">
        <v>12</v>
      </c>
      <c r="I7" t="s">
        <v>280</v>
      </c>
      <c r="J7" t="n">
        <v>0</v>
      </c>
      <c r="K7" t="n">
        <v>0</v>
      </c>
      <c r="L7" t="n">
        <v>0</v>
      </c>
      <c r="M7" t="n">
        <v>12</v>
      </c>
      <c r="N7" t="n">
        <v>0.5</v>
      </c>
      <c r="O7" t="n">
        <v>-0.25</v>
      </c>
      <c r="P7" t="n">
        <v>177</v>
      </c>
      <c r="Q7" t="n">
        <v>12</v>
      </c>
      <c r="R7" t="s">
        <v>280</v>
      </c>
      <c r="S7" t="s">
        <v>284</v>
      </c>
      <c r="T7" t="n">
        <v>0.25</v>
      </c>
    </row>
    <row r="8">
      <c r="A8" t="s">
        <v>30</v>
      </c>
      <c r="B8" t="n">
        <v>1.1</v>
      </c>
      <c r="C8" t="n">
        <v>1.09</v>
      </c>
      <c r="D8" t="n">
        <v>1.12</v>
      </c>
      <c r="E8" t="n">
        <v>-5.25</v>
      </c>
      <c r="F8" t="n">
        <v>-1.25</v>
      </c>
      <c r="G8" t="n">
        <v>103</v>
      </c>
      <c r="H8" t="n">
        <v>12</v>
      </c>
      <c r="I8" t="s">
        <v>280</v>
      </c>
      <c r="J8" t="n">
        <v>0</v>
      </c>
      <c r="K8" t="n">
        <v>0</v>
      </c>
      <c r="L8" t="n">
        <v>0</v>
      </c>
      <c r="M8" t="n">
        <v>12</v>
      </c>
      <c r="N8" t="n">
        <v>0.5</v>
      </c>
      <c r="O8" t="n">
        <v>-0.5</v>
      </c>
      <c r="P8" t="n">
        <v>75</v>
      </c>
      <c r="Q8" t="n">
        <v>12</v>
      </c>
      <c r="R8" t="s">
        <v>280</v>
      </c>
      <c r="S8" t="s">
        <v>280</v>
      </c>
      <c r="T8" t="n">
        <v>0.25</v>
      </c>
    </row>
    <row r="9">
      <c r="A9" t="s">
        <v>30</v>
      </c>
      <c r="B9" t="n">
        <v>0.93</v>
      </c>
      <c r="C9" t="n">
        <v>0.93</v>
      </c>
      <c r="D9" t="n">
        <v>0.95</v>
      </c>
      <c r="E9" t="n">
        <v>-3.25</v>
      </c>
      <c r="F9" t="n">
        <v>-1</v>
      </c>
      <c r="G9" t="n">
        <v>24</v>
      </c>
      <c r="H9" t="n">
        <v>12</v>
      </c>
      <c r="I9" t="s">
        <v>278</v>
      </c>
      <c r="J9" t="n">
        <v>0</v>
      </c>
      <c r="K9" t="n">
        <v>0</v>
      </c>
      <c r="L9" t="n">
        <v>0</v>
      </c>
      <c r="M9" t="n">
        <v>12</v>
      </c>
      <c r="N9" t="n">
        <v>0.5</v>
      </c>
      <c r="O9" t="n">
        <v>-0.5</v>
      </c>
      <c r="P9" t="n">
        <v>36</v>
      </c>
      <c r="Q9" t="n">
        <v>12</v>
      </c>
      <c r="R9" t="s">
        <v>277</v>
      </c>
      <c r="S9" t="s">
        <v>278</v>
      </c>
      <c r="T9" t="n">
        <v>0.25</v>
      </c>
    </row>
    <row r="10">
      <c r="A10" t="s">
        <v>30</v>
      </c>
      <c r="B10" t="n">
        <v>0.96</v>
      </c>
      <c r="C10" t="n">
        <v>0.94</v>
      </c>
      <c r="D10" t="n">
        <v>0.95</v>
      </c>
      <c r="E10" t="n">
        <v>-1</v>
      </c>
      <c r="F10" t="n">
        <v>-0.5</v>
      </c>
      <c r="G10" t="n">
        <v>101</v>
      </c>
      <c r="H10" t="n">
        <v>12</v>
      </c>
      <c r="I10" t="s">
        <v>277</v>
      </c>
      <c r="J10" t="n">
        <v>0</v>
      </c>
      <c r="K10" t="n">
        <v>0</v>
      </c>
      <c r="L10" t="n">
        <v>0</v>
      </c>
      <c r="M10" t="n">
        <v>12</v>
      </c>
      <c r="N10" t="n">
        <v>0.5</v>
      </c>
      <c r="O10" t="n">
        <v>-0.25</v>
      </c>
      <c r="P10" t="n">
        <v>98</v>
      </c>
      <c r="Q10" t="n">
        <v>12</v>
      </c>
      <c r="R10" t="s">
        <v>277</v>
      </c>
      <c r="S10" t="s">
        <v>277</v>
      </c>
      <c r="T10" t="n">
        <v>0.25</v>
      </c>
    </row>
    <row r="11">
      <c r="A11" t="s">
        <v>30</v>
      </c>
      <c r="B11" t="n">
        <v>0.95</v>
      </c>
      <c r="C11" t="n">
        <v>0.9</v>
      </c>
      <c r="D11" t="n">
        <v>1.01</v>
      </c>
      <c r="E11" t="n">
        <v>-5.25</v>
      </c>
      <c r="F11" t="n">
        <v>-1.25</v>
      </c>
      <c r="G11" t="n">
        <v>79</v>
      </c>
      <c r="H11" t="n">
        <v>12</v>
      </c>
      <c r="I11" t="s">
        <v>277</v>
      </c>
      <c r="J11" t="n">
        <v>0</v>
      </c>
      <c r="K11" t="n">
        <v>0</v>
      </c>
      <c r="L11" t="n">
        <v>0</v>
      </c>
      <c r="M11" t="n">
        <v>12</v>
      </c>
      <c r="N11" t="n">
        <v>0</v>
      </c>
      <c r="O11" t="n">
        <v>-0.75</v>
      </c>
      <c r="P11" t="n">
        <v>64</v>
      </c>
      <c r="Q11" t="n">
        <v>12</v>
      </c>
      <c r="R11" t="s">
        <v>276</v>
      </c>
      <c r="S11" t="s">
        <v>278</v>
      </c>
      <c r="T11" t="n">
        <v>-0.25</v>
      </c>
    </row>
    <row r="12">
      <c r="A12" t="s">
        <v>30</v>
      </c>
      <c r="B12" t="n">
        <v>1.06</v>
      </c>
      <c r="C12" t="n">
        <v>1.05</v>
      </c>
      <c r="D12" t="n">
        <v>1.13</v>
      </c>
      <c r="E12" t="n">
        <v>-2</v>
      </c>
      <c r="F12" t="n">
        <v>-0.5</v>
      </c>
      <c r="G12" t="n">
        <v>162</v>
      </c>
      <c r="H12" t="n">
        <v>12</v>
      </c>
      <c r="I12" t="s">
        <v>275</v>
      </c>
      <c r="J12" t="n">
        <v>0</v>
      </c>
      <c r="K12" t="n">
        <v>0</v>
      </c>
      <c r="L12" t="n">
        <v>0</v>
      </c>
      <c r="M12" t="n">
        <v>12</v>
      </c>
      <c r="N12" t="n">
        <v>0.5</v>
      </c>
      <c r="O12" t="n">
        <v>-0.25</v>
      </c>
      <c r="P12" t="n">
        <v>138</v>
      </c>
      <c r="Q12" t="n">
        <v>12</v>
      </c>
      <c r="R12" t="s">
        <v>284</v>
      </c>
      <c r="S12" t="s">
        <v>275</v>
      </c>
      <c r="T12" t="n">
        <v>0.25</v>
      </c>
    </row>
    <row r="13">
      <c r="A13" t="s">
        <v>30</v>
      </c>
      <c r="B13" t="n">
        <v>0.98</v>
      </c>
      <c r="C13" t="n">
        <v>1.05</v>
      </c>
      <c r="D13" t="n">
        <v>0.97</v>
      </c>
      <c r="E13" t="n">
        <v>-4.5</v>
      </c>
      <c r="F13" t="n">
        <v>-1.5</v>
      </c>
      <c r="G13" t="n">
        <v>20</v>
      </c>
      <c r="H13" t="n">
        <v>12</v>
      </c>
      <c r="I13" t="s">
        <v>276</v>
      </c>
      <c r="J13" t="n">
        <v>0</v>
      </c>
      <c r="K13" t="n">
        <v>0</v>
      </c>
      <c r="L13" t="n">
        <v>0</v>
      </c>
      <c r="M13" t="n">
        <v>12</v>
      </c>
      <c r="N13" t="n">
        <v>-0.25</v>
      </c>
      <c r="O13" t="n">
        <v>0</v>
      </c>
      <c r="P13" t="n">
        <v>24</v>
      </c>
      <c r="Q13" t="n">
        <v>12</v>
      </c>
      <c r="R13" t="s">
        <v>277</v>
      </c>
      <c r="S13" t="s">
        <v>275</v>
      </c>
      <c r="T13" t="n">
        <v>-0.25</v>
      </c>
    </row>
    <row r="14">
      <c r="A14" t="s">
        <v>30</v>
      </c>
      <c r="B14" t="n">
        <v>0.97</v>
      </c>
      <c r="C14" t="n">
        <v>0.83</v>
      </c>
      <c r="D14" t="n">
        <v>0.93</v>
      </c>
      <c r="E14" t="n">
        <v>-5.5</v>
      </c>
      <c r="F14" t="n">
        <v>-1</v>
      </c>
      <c r="G14" t="n">
        <v>102</v>
      </c>
      <c r="H14" t="n">
        <v>12</v>
      </c>
      <c r="I14" t="s">
        <v>277</v>
      </c>
      <c r="J14" t="n">
        <v>0</v>
      </c>
      <c r="K14" t="n">
        <v>0</v>
      </c>
      <c r="L14" t="n">
        <v>0</v>
      </c>
      <c r="M14" t="n">
        <v>12</v>
      </c>
      <c r="N14" t="n">
        <v>-0.25</v>
      </c>
      <c r="O14" t="n">
        <v>0</v>
      </c>
      <c r="P14" t="n">
        <v>88</v>
      </c>
      <c r="Q14" t="n">
        <v>12</v>
      </c>
      <c r="R14" t="s">
        <v>278</v>
      </c>
      <c r="S14" t="s">
        <v>285</v>
      </c>
      <c r="T14" t="n">
        <v>-0.25</v>
      </c>
    </row>
    <row r="15">
      <c r="A15" t="s">
        <v>30</v>
      </c>
      <c r="B15" t="n">
        <v>1.16</v>
      </c>
      <c r="C15" t="n">
        <v>1</v>
      </c>
      <c r="D15" t="n">
        <v>1.16</v>
      </c>
      <c r="E15" t="n">
        <v>-1.5</v>
      </c>
      <c r="F15" t="n">
        <v>-0.25</v>
      </c>
      <c r="G15" t="n">
        <v>3</v>
      </c>
      <c r="H15" t="n">
        <v>12</v>
      </c>
      <c r="I15" t="s">
        <v>284</v>
      </c>
      <c r="J15" t="n">
        <v>0</v>
      </c>
      <c r="K15" t="n">
        <v>0</v>
      </c>
      <c r="L15" t="n">
        <v>0</v>
      </c>
      <c r="M15" t="n">
        <v>12</v>
      </c>
      <c r="N15" t="n">
        <v>0.5</v>
      </c>
      <c r="O15" t="n">
        <v>-0.25</v>
      </c>
      <c r="P15" t="n">
        <v>152</v>
      </c>
      <c r="Q15" t="n">
        <v>12</v>
      </c>
      <c r="R15" t="s">
        <v>284</v>
      </c>
      <c r="S15" t="s">
        <v>276</v>
      </c>
      <c r="T15" t="n">
        <v>0.5</v>
      </c>
    </row>
    <row r="16">
      <c r="A16" t="s">
        <v>30</v>
      </c>
      <c r="B16" t="n">
        <v>0.83</v>
      </c>
      <c r="C16" t="n">
        <v>0.7</v>
      </c>
      <c r="D16" t="n">
        <v>0.8</v>
      </c>
      <c r="E16" t="n">
        <v>-7</v>
      </c>
      <c r="F16" t="n">
        <v>0</v>
      </c>
      <c r="G16" t="n">
        <v>8</v>
      </c>
      <c r="H16" t="n">
        <v>12</v>
      </c>
      <c r="I16" t="s">
        <v>285</v>
      </c>
      <c r="J16" t="n">
        <v>0</v>
      </c>
      <c r="K16" t="n">
        <v>0</v>
      </c>
      <c r="L16" t="n">
        <v>0</v>
      </c>
      <c r="M16" t="n">
        <v>12</v>
      </c>
      <c r="N16" t="n">
        <v>0</v>
      </c>
      <c r="O16" t="n">
        <v>-0.25</v>
      </c>
      <c r="P16" t="n">
        <v>75</v>
      </c>
      <c r="Q16" t="n">
        <v>12</v>
      </c>
      <c r="R16" t="s">
        <v>279</v>
      </c>
      <c r="S16" t="s">
        <v>286</v>
      </c>
      <c r="T16" t="n">
        <v>-0.25</v>
      </c>
    </row>
    <row r="17">
      <c r="A17" t="s">
        <v>30</v>
      </c>
      <c r="B17" t="n">
        <v>1.13</v>
      </c>
      <c r="C17" t="n">
        <v>1.05</v>
      </c>
      <c r="D17" t="n">
        <v>1.14</v>
      </c>
      <c r="E17" t="n">
        <v>-3.25</v>
      </c>
      <c r="F17" t="n">
        <v>-1.5</v>
      </c>
      <c r="G17" t="n">
        <v>92</v>
      </c>
      <c r="H17" t="n">
        <v>12</v>
      </c>
      <c r="I17" t="s">
        <v>284</v>
      </c>
      <c r="J17" t="n">
        <v>0</v>
      </c>
      <c r="K17" t="n">
        <v>0</v>
      </c>
      <c r="L17" t="n">
        <v>0</v>
      </c>
      <c r="M17" t="n">
        <v>12</v>
      </c>
      <c r="N17" t="n">
        <v>0</v>
      </c>
      <c r="O17" t="n">
        <v>-0.25</v>
      </c>
      <c r="P17" t="n">
        <v>97</v>
      </c>
      <c r="Q17" t="n">
        <v>12</v>
      </c>
      <c r="R17" t="s">
        <v>284</v>
      </c>
      <c r="S17" t="s">
        <v>275</v>
      </c>
      <c r="T17" t="n">
        <v>0</v>
      </c>
    </row>
    <row r="18">
      <c r="A18" t="s">
        <v>30</v>
      </c>
      <c r="B18" t="n">
        <v>1.15</v>
      </c>
      <c r="C18" t="n">
        <v>1.04</v>
      </c>
      <c r="D18" t="n">
        <v>1.15</v>
      </c>
      <c r="E18" t="n">
        <v>-5.75</v>
      </c>
      <c r="F18" t="n">
        <v>-0.75</v>
      </c>
      <c r="G18" t="n">
        <v>17</v>
      </c>
      <c r="H18" t="n">
        <v>12</v>
      </c>
      <c r="I18" t="s">
        <v>284</v>
      </c>
      <c r="J18" t="n">
        <v>0</v>
      </c>
      <c r="K18" t="n">
        <v>0</v>
      </c>
      <c r="L18" t="n">
        <v>0</v>
      </c>
      <c r="M18" t="n">
        <v>12</v>
      </c>
      <c r="N18" t="n">
        <v>-0.5</v>
      </c>
      <c r="O18" t="n">
        <v>-0.25</v>
      </c>
      <c r="P18" t="n">
        <v>20</v>
      </c>
      <c r="Q18" t="n">
        <v>12</v>
      </c>
      <c r="R18" t="s">
        <v>284</v>
      </c>
      <c r="S18" t="s">
        <v>275</v>
      </c>
      <c r="T18" t="n">
        <v>-0.75</v>
      </c>
    </row>
    <row r="19">
      <c r="A19" t="s">
        <v>30</v>
      </c>
      <c r="B19" t="n">
        <v>1.06</v>
      </c>
      <c r="C19" t="n">
        <v>1.01</v>
      </c>
      <c r="D19" t="n">
        <v>1.09</v>
      </c>
      <c r="E19" t="n">
        <v>-2.75</v>
      </c>
      <c r="F19" t="n">
        <v>-0.25</v>
      </c>
      <c r="G19" t="n">
        <v>7</v>
      </c>
      <c r="H19" t="n">
        <v>12</v>
      </c>
      <c r="I19" t="s">
        <v>275</v>
      </c>
      <c r="J19" t="n">
        <v>0</v>
      </c>
      <c r="K19" t="n">
        <v>0</v>
      </c>
      <c r="L19" t="n">
        <v>0</v>
      </c>
      <c r="M19" t="n">
        <v>12</v>
      </c>
      <c r="N19" t="n">
        <v>0</v>
      </c>
      <c r="O19" t="n">
        <v>0</v>
      </c>
      <c r="P19" t="n">
        <v>178</v>
      </c>
      <c r="Q19" t="n">
        <v>12</v>
      </c>
      <c r="R19" t="s">
        <v>280</v>
      </c>
      <c r="S19" t="s">
        <v>276</v>
      </c>
      <c r="T19" t="n">
        <v>0</v>
      </c>
    </row>
    <row r="20">
      <c r="A20" t="s">
        <v>30</v>
      </c>
      <c r="B20" t="n">
        <v>1</v>
      </c>
      <c r="C20" t="n">
        <v>0.92</v>
      </c>
      <c r="D20" t="n">
        <v>0.95</v>
      </c>
      <c r="E20" t="n">
        <v>-1.5</v>
      </c>
      <c r="F20" t="n">
        <v>0</v>
      </c>
      <c r="G20" t="n">
        <v>97</v>
      </c>
      <c r="H20" t="n">
        <v>12</v>
      </c>
      <c r="I20" t="s">
        <v>276</v>
      </c>
      <c r="J20" t="n">
        <v>0</v>
      </c>
      <c r="K20" t="n">
        <v>0</v>
      </c>
      <c r="L20" t="n">
        <v>0</v>
      </c>
      <c r="M20" t="n">
        <v>12</v>
      </c>
      <c r="N20" t="n">
        <v>-0.5</v>
      </c>
      <c r="O20" t="n">
        <v>-0.25</v>
      </c>
      <c r="P20" t="n">
        <v>122</v>
      </c>
      <c r="Q20" t="n">
        <v>12</v>
      </c>
      <c r="R20" t="s">
        <v>277</v>
      </c>
      <c r="S20" t="s">
        <v>278</v>
      </c>
      <c r="T20" t="n">
        <v>-0.5</v>
      </c>
    </row>
    <row r="21">
      <c r="A21" t="s">
        <v>30</v>
      </c>
      <c r="B21" t="n">
        <v>1.05</v>
      </c>
      <c r="C21" t="n">
        <v>0.9</v>
      </c>
      <c r="D21" t="n">
        <v>1.06</v>
      </c>
      <c r="E21" t="n">
        <v>-6</v>
      </c>
      <c r="F21" t="n">
        <v>-1.5</v>
      </c>
      <c r="G21" t="n">
        <v>161</v>
      </c>
      <c r="H21" t="n">
        <v>12</v>
      </c>
      <c r="I21" t="s">
        <v>275</v>
      </c>
      <c r="J21" t="n">
        <v>0</v>
      </c>
      <c r="K21" t="n">
        <v>0</v>
      </c>
      <c r="L21" t="n">
        <v>0</v>
      </c>
      <c r="M21" t="n">
        <v>12</v>
      </c>
      <c r="N21" t="n">
        <v>0.5</v>
      </c>
      <c r="O21" t="n">
        <v>-0.25</v>
      </c>
      <c r="P21" t="n">
        <v>12</v>
      </c>
      <c r="Q21" t="n">
        <v>12</v>
      </c>
      <c r="R21" t="s">
        <v>275</v>
      </c>
      <c r="S21" t="s">
        <v>278</v>
      </c>
      <c r="T21" t="n">
        <v>0.25</v>
      </c>
    </row>
    <row r="22">
      <c r="A22" t="s">
        <v>30</v>
      </c>
      <c r="B22" t="n">
        <v>1.11</v>
      </c>
      <c r="C22" t="n">
        <v>1.14</v>
      </c>
      <c r="D22" t="n">
        <v>1.08</v>
      </c>
      <c r="E22" t="n">
        <v>-4.25</v>
      </c>
      <c r="F22" t="n">
        <v>-2.5</v>
      </c>
      <c r="G22" t="n">
        <v>3</v>
      </c>
      <c r="H22" t="n">
        <v>12</v>
      </c>
      <c r="I22" t="s">
        <v>280</v>
      </c>
      <c r="J22" t="n">
        <v>0</v>
      </c>
      <c r="K22" t="n">
        <v>0</v>
      </c>
      <c r="L22" t="n">
        <v>0</v>
      </c>
      <c r="M22" t="n">
        <v>12</v>
      </c>
      <c r="N22" t="n">
        <v>0</v>
      </c>
      <c r="O22" t="n">
        <v>0</v>
      </c>
      <c r="P22" t="n">
        <v>9</v>
      </c>
      <c r="Q22" t="n">
        <v>12</v>
      </c>
      <c r="R22" t="s">
        <v>280</v>
      </c>
      <c r="S22" t="s">
        <v>284</v>
      </c>
      <c r="T22" t="n">
        <v>0</v>
      </c>
    </row>
    <row r="23">
      <c r="A23" t="s">
        <v>30</v>
      </c>
      <c r="B23" t="n">
        <v>1.1</v>
      </c>
      <c r="C23" t="n">
        <v>1.09</v>
      </c>
      <c r="D23" t="n">
        <v>1.12</v>
      </c>
      <c r="E23" t="n">
        <v>-5.25</v>
      </c>
      <c r="F23" t="n">
        <v>-0.5</v>
      </c>
      <c r="G23" t="n">
        <v>13</v>
      </c>
      <c r="H23" t="n">
        <v>12</v>
      </c>
      <c r="I23" t="s">
        <v>280</v>
      </c>
      <c r="J23" t="n">
        <v>0</v>
      </c>
      <c r="K23" t="n">
        <v>0</v>
      </c>
      <c r="L23" t="n">
        <v>0</v>
      </c>
      <c r="M23" t="n">
        <v>12</v>
      </c>
      <c r="N23" t="n">
        <v>0</v>
      </c>
      <c r="O23" t="n">
        <v>-0.25</v>
      </c>
      <c r="P23" t="n">
        <v>173</v>
      </c>
      <c r="Q23" t="n">
        <v>12</v>
      </c>
      <c r="R23" t="s">
        <v>280</v>
      </c>
      <c r="S23" t="s">
        <v>280</v>
      </c>
      <c r="T23" t="n">
        <v>0</v>
      </c>
    </row>
    <row r="24">
      <c r="A24" t="s">
        <v>30</v>
      </c>
      <c r="B24" t="n">
        <v>1.07</v>
      </c>
      <c r="C24" t="n">
        <v>0.97</v>
      </c>
      <c r="D24" t="n">
        <v>1.1</v>
      </c>
      <c r="E24" t="n">
        <v>-2.75</v>
      </c>
      <c r="F24" t="n">
        <v>-0.25</v>
      </c>
      <c r="G24" t="n">
        <v>178</v>
      </c>
      <c r="H24" t="n">
        <v>12</v>
      </c>
      <c r="I24" t="s">
        <v>275</v>
      </c>
      <c r="J24" t="n">
        <v>0</v>
      </c>
      <c r="K24" t="n">
        <v>0</v>
      </c>
      <c r="L24" t="n">
        <v>0</v>
      </c>
      <c r="M24" t="n">
        <v>12</v>
      </c>
      <c r="N24" t="n">
        <v>1</v>
      </c>
      <c r="O24" t="n">
        <v>-0.25</v>
      </c>
      <c r="P24" t="n">
        <v>162</v>
      </c>
      <c r="Q24" t="n">
        <v>12</v>
      </c>
      <c r="R24" t="s">
        <v>280</v>
      </c>
      <c r="S24" t="s">
        <v>277</v>
      </c>
      <c r="T24" t="n">
        <v>0.75</v>
      </c>
    </row>
    <row r="25">
      <c r="A25" t="s">
        <v>30</v>
      </c>
      <c r="B25" t="n">
        <v>1.02</v>
      </c>
      <c r="C25" t="n">
        <v>0.99</v>
      </c>
      <c r="D25" t="n">
        <v>0.96</v>
      </c>
      <c r="E25" t="n">
        <v>-3.75</v>
      </c>
      <c r="F25" t="n">
        <v>0</v>
      </c>
      <c r="G25" t="n">
        <v>159</v>
      </c>
      <c r="H25" t="n">
        <v>12</v>
      </c>
      <c r="I25" t="s">
        <v>276</v>
      </c>
      <c r="J25" t="n">
        <v>0</v>
      </c>
      <c r="K25" t="n">
        <v>0</v>
      </c>
      <c r="L25" t="n">
        <v>0</v>
      </c>
      <c r="M25" t="n">
        <v>12</v>
      </c>
      <c r="N25" t="n">
        <v>0.5</v>
      </c>
      <c r="O25" t="n">
        <v>0</v>
      </c>
      <c r="P25" t="n">
        <v>159</v>
      </c>
      <c r="Q25" t="n">
        <v>12</v>
      </c>
      <c r="R25" t="s">
        <v>277</v>
      </c>
      <c r="S25" t="s">
        <v>276</v>
      </c>
      <c r="T25" t="n">
        <v>0.5</v>
      </c>
    </row>
    <row r="26">
      <c r="A26" t="s">
        <v>30</v>
      </c>
      <c r="B26" t="n">
        <v>0.95</v>
      </c>
      <c r="C26" t="n">
        <v>1.14</v>
      </c>
      <c r="D26" t="n">
        <v>0.95</v>
      </c>
      <c r="E26" t="n">
        <v>-1.75</v>
      </c>
      <c r="F26" t="n">
        <v>0</v>
      </c>
      <c r="G26" t="n">
        <v>161</v>
      </c>
      <c r="H26" t="n">
        <v>12</v>
      </c>
      <c r="I26" t="s">
        <v>277</v>
      </c>
      <c r="J26" t="n">
        <v>0</v>
      </c>
      <c r="K26" t="n">
        <v>0</v>
      </c>
      <c r="L26" t="n">
        <v>0</v>
      </c>
      <c r="M26" t="n">
        <v>12</v>
      </c>
      <c r="N26" t="n">
        <v>0</v>
      </c>
      <c r="O26" t="n">
        <v>-0.25</v>
      </c>
      <c r="P26" t="n">
        <v>7</v>
      </c>
      <c r="Q26" t="n">
        <v>12</v>
      </c>
      <c r="R26" t="s">
        <v>277</v>
      </c>
      <c r="S26" t="s">
        <v>284</v>
      </c>
      <c r="T26" t="n">
        <v>0</v>
      </c>
    </row>
    <row r="27">
      <c r="A27" t="s">
        <v>30</v>
      </c>
      <c r="B27" t="n">
        <v>0.97</v>
      </c>
      <c r="C27" t="n">
        <v>1.06</v>
      </c>
      <c r="D27" t="n">
        <v>0.98</v>
      </c>
      <c r="E27" t="n">
        <v>-3.75</v>
      </c>
      <c r="F27" t="n">
        <v>-1.75</v>
      </c>
      <c r="G27" t="n">
        <v>15</v>
      </c>
      <c r="H27" t="n">
        <v>12</v>
      </c>
      <c r="I27" t="s">
        <v>277</v>
      </c>
      <c r="J27" t="n">
        <v>0</v>
      </c>
      <c r="K27" t="n">
        <v>0</v>
      </c>
      <c r="L27" t="n">
        <v>0</v>
      </c>
      <c r="M27" t="n">
        <v>12</v>
      </c>
      <c r="N27" t="n">
        <v>0.75</v>
      </c>
      <c r="O27" t="n">
        <v>-0.5</v>
      </c>
      <c r="P27" t="n">
        <v>24</v>
      </c>
      <c r="Q27" t="n">
        <v>12</v>
      </c>
      <c r="R27" t="s">
        <v>276</v>
      </c>
      <c r="S27" t="s">
        <v>275</v>
      </c>
      <c r="T27" t="n">
        <v>0.5</v>
      </c>
    </row>
    <row r="28">
      <c r="A28" t="s">
        <v>30</v>
      </c>
      <c r="B28" t="n">
        <v>1.04</v>
      </c>
      <c r="C28" t="n">
        <v>0.91</v>
      </c>
      <c r="D28" t="n">
        <v>1.04</v>
      </c>
      <c r="E28" t="n">
        <v>-5.25</v>
      </c>
      <c r="F28" t="n">
        <v>0</v>
      </c>
      <c r="G28" t="n">
        <v>3</v>
      </c>
      <c r="H28" t="n">
        <v>12</v>
      </c>
      <c r="I28" t="s">
        <v>275</v>
      </c>
      <c r="J28" t="n">
        <v>0</v>
      </c>
      <c r="K28" t="n">
        <v>0</v>
      </c>
      <c r="L28" t="n">
        <v>0</v>
      </c>
      <c r="M28" t="n">
        <v>12</v>
      </c>
      <c r="N28" t="n">
        <v>0.25</v>
      </c>
      <c r="O28" t="n">
        <v>-0.5</v>
      </c>
      <c r="P28" t="n">
        <v>91</v>
      </c>
      <c r="Q28" t="n">
        <v>12</v>
      </c>
      <c r="R28" t="s">
        <v>275</v>
      </c>
      <c r="S28" t="s">
        <v>278</v>
      </c>
      <c r="T28" t="n">
        <v>0</v>
      </c>
    </row>
    <row r="29">
      <c r="A29" t="s">
        <v>30</v>
      </c>
      <c r="B29" t="n">
        <v>1.13</v>
      </c>
      <c r="C29" t="n">
        <v>1.18</v>
      </c>
      <c r="D29" t="n">
        <v>1.16</v>
      </c>
      <c r="E29" t="n">
        <v>-5.75</v>
      </c>
      <c r="F29" t="n">
        <v>-1.25</v>
      </c>
      <c r="G29" t="n">
        <v>100</v>
      </c>
      <c r="H29" t="n">
        <v>12</v>
      </c>
      <c r="I29" t="s">
        <v>284</v>
      </c>
      <c r="J29" t="n">
        <v>0</v>
      </c>
      <c r="K29" t="n">
        <v>0</v>
      </c>
      <c r="L29" t="n">
        <v>0</v>
      </c>
      <c r="M29" t="n">
        <v>12</v>
      </c>
      <c r="N29" t="n">
        <v>0</v>
      </c>
      <c r="O29" t="n">
        <v>-0.25</v>
      </c>
      <c r="P29" t="n">
        <v>103</v>
      </c>
      <c r="Q29" t="n">
        <v>12</v>
      </c>
      <c r="R29" t="s">
        <v>284</v>
      </c>
      <c r="S29" t="s">
        <v>281</v>
      </c>
      <c r="T29" t="n">
        <v>0</v>
      </c>
    </row>
    <row r="30">
      <c r="A30" t="s">
        <v>30</v>
      </c>
      <c r="B30" t="n">
        <v>0.92</v>
      </c>
      <c r="C30" t="n">
        <v>0.87</v>
      </c>
      <c r="D30" t="n">
        <v>0.92</v>
      </c>
      <c r="E30" t="n">
        <v>-3.25</v>
      </c>
      <c r="F30" t="n">
        <v>0</v>
      </c>
      <c r="G30" t="n">
        <v>3</v>
      </c>
      <c r="H30" t="n">
        <v>12</v>
      </c>
      <c r="I30" t="s">
        <v>278</v>
      </c>
      <c r="J30" t="n">
        <v>0</v>
      </c>
      <c r="K30" t="n">
        <v>0</v>
      </c>
      <c r="L30" t="n">
        <v>0</v>
      </c>
      <c r="M30" t="n">
        <v>12</v>
      </c>
      <c r="N30" t="n">
        <v>0</v>
      </c>
      <c r="O30" t="n">
        <v>-0.25</v>
      </c>
      <c r="P30" t="n">
        <v>140</v>
      </c>
      <c r="Q30" t="n">
        <v>12</v>
      </c>
      <c r="R30" t="s">
        <v>278</v>
      </c>
      <c r="S30" t="s">
        <v>287</v>
      </c>
      <c r="T30" t="n">
        <v>0</v>
      </c>
    </row>
    <row r="31">
      <c r="A31" t="s">
        <v>30</v>
      </c>
      <c r="B31" t="n">
        <v>0.89</v>
      </c>
      <c r="C31" t="n">
        <v>0.81</v>
      </c>
      <c r="D31" t="n">
        <v>0.85</v>
      </c>
      <c r="E31" t="n">
        <v>-2.5</v>
      </c>
      <c r="F31" t="n">
        <v>0</v>
      </c>
      <c r="G31" t="n">
        <v>1</v>
      </c>
      <c r="H31" t="n">
        <v>12</v>
      </c>
      <c r="I31" t="s">
        <v>287</v>
      </c>
      <c r="J31" t="n">
        <v>0</v>
      </c>
      <c r="K31" t="n">
        <v>0</v>
      </c>
      <c r="L31" t="n">
        <v>0</v>
      </c>
      <c r="M31" t="n">
        <v>12</v>
      </c>
      <c r="N31" t="n">
        <v>0.5</v>
      </c>
      <c r="O31" t="n">
        <v>-0.5</v>
      </c>
      <c r="P31" t="n">
        <v>23</v>
      </c>
      <c r="Q31" t="n">
        <v>12</v>
      </c>
      <c r="R31" t="s">
        <v>285</v>
      </c>
      <c r="S31" t="s">
        <v>279</v>
      </c>
      <c r="T31" t="n">
        <v>0.25</v>
      </c>
    </row>
    <row r="32">
      <c r="A32" t="s">
        <v>30</v>
      </c>
      <c r="B32" t="n">
        <v>1.12</v>
      </c>
      <c r="C32" t="n">
        <v>1.15</v>
      </c>
      <c r="D32" t="n">
        <v>1.17</v>
      </c>
      <c r="E32" t="n">
        <v>-0.75</v>
      </c>
      <c r="F32" t="n">
        <v>0</v>
      </c>
      <c r="G32" t="n">
        <v>163</v>
      </c>
      <c r="H32" t="n">
        <v>12</v>
      </c>
      <c r="I32" t="s">
        <v>280</v>
      </c>
      <c r="J32" t="n">
        <v>0</v>
      </c>
      <c r="K32" t="n">
        <v>0</v>
      </c>
      <c r="L32" t="n">
        <v>0</v>
      </c>
      <c r="M32" t="n">
        <v>12</v>
      </c>
      <c r="N32" t="n">
        <v>0</v>
      </c>
      <c r="O32" t="n">
        <v>-0.25</v>
      </c>
      <c r="P32" t="n">
        <v>149</v>
      </c>
      <c r="Q32" t="n">
        <v>12</v>
      </c>
      <c r="R32" t="s">
        <v>284</v>
      </c>
      <c r="S32" t="s">
        <v>284</v>
      </c>
      <c r="T32" t="n">
        <v>0</v>
      </c>
    </row>
    <row r="33">
      <c r="A33" t="s">
        <v>30</v>
      </c>
      <c r="B33" t="n">
        <v>0.97</v>
      </c>
      <c r="C33" t="n">
        <v>1</v>
      </c>
      <c r="D33" t="n">
        <v>0.95</v>
      </c>
      <c r="E33" t="n">
        <v>-5</v>
      </c>
      <c r="F33" t="n">
        <v>-1</v>
      </c>
      <c r="G33" t="n">
        <v>159</v>
      </c>
      <c r="H33" t="n">
        <v>12</v>
      </c>
      <c r="I33" t="s">
        <v>277</v>
      </c>
      <c r="J33" t="n">
        <v>0</v>
      </c>
      <c r="K33" t="n">
        <v>0</v>
      </c>
      <c r="L33" t="n">
        <v>0</v>
      </c>
      <c r="M33" t="n">
        <v>12</v>
      </c>
      <c r="N33" t="n">
        <v>0.25</v>
      </c>
      <c r="O33" t="n">
        <v>-0.5</v>
      </c>
      <c r="P33" t="n">
        <v>169</v>
      </c>
      <c r="Q33" t="n">
        <v>12</v>
      </c>
      <c r="R33" t="s">
        <v>277</v>
      </c>
      <c r="S33" t="s">
        <v>276</v>
      </c>
      <c r="T33" t="n">
        <v>0</v>
      </c>
    </row>
    <row r="34">
      <c r="A34" t="s">
        <v>30</v>
      </c>
      <c r="B34" t="n">
        <v>1.02</v>
      </c>
      <c r="C34" t="n">
        <v>1.2</v>
      </c>
      <c r="D34" t="n">
        <v>1.05</v>
      </c>
      <c r="E34" t="n">
        <v>-2.5</v>
      </c>
      <c r="F34" t="n">
        <v>-0.5</v>
      </c>
      <c r="G34" t="n">
        <v>168</v>
      </c>
      <c r="H34" t="n">
        <v>12</v>
      </c>
      <c r="I34" t="s">
        <v>276</v>
      </c>
      <c r="J34" t="n">
        <v>0</v>
      </c>
      <c r="K34" t="n">
        <v>0</v>
      </c>
      <c r="L34" t="n">
        <v>0</v>
      </c>
      <c r="M34" t="n">
        <v>12</v>
      </c>
      <c r="N34" t="n">
        <v>0</v>
      </c>
      <c r="O34" t="n">
        <v>-0.25</v>
      </c>
      <c r="P34" t="n">
        <v>4</v>
      </c>
      <c r="Q34" t="n">
        <v>12</v>
      </c>
      <c r="R34" t="s">
        <v>275</v>
      </c>
      <c r="S34" t="s">
        <v>281</v>
      </c>
      <c r="T34" t="n">
        <v>0</v>
      </c>
    </row>
    <row r="35">
      <c r="A35" t="s">
        <v>30</v>
      </c>
      <c r="B35" t="n">
        <v>1.15</v>
      </c>
      <c r="C35" t="n">
        <v>1.16</v>
      </c>
      <c r="D35" t="n">
        <v>1.12</v>
      </c>
      <c r="E35" t="n">
        <v>-2.5</v>
      </c>
      <c r="F35" t="n">
        <v>-0.5</v>
      </c>
      <c r="G35" t="n">
        <v>164</v>
      </c>
      <c r="H35" t="n">
        <v>12</v>
      </c>
      <c r="I35" t="s">
        <v>284</v>
      </c>
      <c r="J35" t="n">
        <v>0</v>
      </c>
      <c r="K35" t="n">
        <v>0</v>
      </c>
      <c r="L35" t="n">
        <v>0</v>
      </c>
      <c r="M35" t="n">
        <v>12</v>
      </c>
      <c r="N35" t="n">
        <v>1</v>
      </c>
      <c r="O35" t="n">
        <v>-0.25</v>
      </c>
      <c r="P35" t="n">
        <v>170</v>
      </c>
      <c r="Q35" t="n">
        <v>12</v>
      </c>
      <c r="R35" t="s">
        <v>280</v>
      </c>
      <c r="S35" t="s">
        <v>284</v>
      </c>
      <c r="T35" t="n">
        <v>0.75</v>
      </c>
    </row>
    <row r="36">
      <c r="A36" t="s">
        <v>30</v>
      </c>
      <c r="B36" t="n">
        <v>1.11</v>
      </c>
      <c r="C36" t="n">
        <v>1.25</v>
      </c>
      <c r="D36" t="n">
        <v>1.14</v>
      </c>
      <c r="E36" t="n">
        <v>-2</v>
      </c>
      <c r="F36" t="n">
        <v>-0.25</v>
      </c>
      <c r="G36" t="n">
        <v>10</v>
      </c>
      <c r="H36" t="n">
        <v>12</v>
      </c>
      <c r="I36" t="s">
        <v>280</v>
      </c>
      <c r="J36" t="n">
        <v>0</v>
      </c>
      <c r="K36" t="n">
        <v>0</v>
      </c>
      <c r="L36" t="n">
        <v>0</v>
      </c>
      <c r="M36" t="n">
        <v>12</v>
      </c>
      <c r="N36" t="n">
        <v>0</v>
      </c>
      <c r="O36" t="n">
        <v>-0.5</v>
      </c>
      <c r="P36" t="n">
        <v>28</v>
      </c>
      <c r="Q36" t="n">
        <v>12</v>
      </c>
      <c r="R36" t="s">
        <v>284</v>
      </c>
      <c r="S36" t="s">
        <v>283</v>
      </c>
      <c r="T36" t="n">
        <v>-0.25</v>
      </c>
    </row>
    <row r="37">
      <c r="A37" t="s">
        <v>30</v>
      </c>
      <c r="B37" t="n">
        <v>1.01</v>
      </c>
      <c r="C37" t="n">
        <v>0.91</v>
      </c>
      <c r="D37" t="n">
        <v>1</v>
      </c>
      <c r="E37" t="n">
        <v>-3.25</v>
      </c>
      <c r="F37" t="n">
        <v>-0.25</v>
      </c>
      <c r="G37" t="n">
        <v>47</v>
      </c>
      <c r="H37" t="n">
        <v>12</v>
      </c>
      <c r="I37" t="s">
        <v>276</v>
      </c>
      <c r="J37" t="n">
        <v>0</v>
      </c>
      <c r="K37" t="n">
        <v>0</v>
      </c>
      <c r="L37" t="n">
        <v>0</v>
      </c>
      <c r="M37" t="n">
        <v>12</v>
      </c>
      <c r="N37" t="n">
        <v>0.5</v>
      </c>
      <c r="O37" t="n">
        <v>-0.5</v>
      </c>
      <c r="P37" t="n">
        <v>48</v>
      </c>
      <c r="Q37" t="n">
        <v>12</v>
      </c>
      <c r="R37" t="s">
        <v>276</v>
      </c>
      <c r="S37" t="s">
        <v>278</v>
      </c>
      <c r="T37" t="n">
        <v>0.25</v>
      </c>
    </row>
    <row r="38">
      <c r="A38" t="s">
        <v>30</v>
      </c>
      <c r="B38" t="n">
        <v>1.01</v>
      </c>
      <c r="C38" t="n">
        <v>1.14</v>
      </c>
      <c r="D38" t="n">
        <v>0.98</v>
      </c>
      <c r="E38" t="n">
        <v>-6.75</v>
      </c>
      <c r="F38" t="n">
        <v>-0.5</v>
      </c>
      <c r="G38" t="n">
        <v>7</v>
      </c>
      <c r="H38" t="n">
        <v>12</v>
      </c>
      <c r="I38" t="s">
        <v>276</v>
      </c>
      <c r="J38" t="n">
        <v>0</v>
      </c>
      <c r="K38" t="n">
        <v>0</v>
      </c>
      <c r="L38" t="n">
        <v>0</v>
      </c>
      <c r="M38" t="n">
        <v>12</v>
      </c>
      <c r="N38" t="n">
        <v>0</v>
      </c>
      <c r="O38" t="n">
        <v>-0.25</v>
      </c>
      <c r="P38" t="n">
        <v>21</v>
      </c>
      <c r="Q38" t="n">
        <v>12</v>
      </c>
      <c r="R38" t="s">
        <v>276</v>
      </c>
      <c r="S38" t="s">
        <v>284</v>
      </c>
      <c r="T38" t="n">
        <v>-0.25</v>
      </c>
    </row>
    <row r="39">
      <c r="A39" t="s">
        <v>30</v>
      </c>
      <c r="B39" t="n">
        <v>1.03</v>
      </c>
      <c r="C39" t="n">
        <v>0.93</v>
      </c>
      <c r="D39" t="n">
        <v>1.03</v>
      </c>
      <c r="E39" t="n">
        <v>-7.25</v>
      </c>
      <c r="F39" t="n">
        <v>-0.5</v>
      </c>
      <c r="G39" t="n">
        <v>180</v>
      </c>
      <c r="H39" t="n">
        <v>12</v>
      </c>
      <c r="I39" t="s">
        <v>275</v>
      </c>
      <c r="J39" t="n">
        <v>0</v>
      </c>
      <c r="K39" t="n">
        <v>0</v>
      </c>
      <c r="L39" t="n">
        <v>0</v>
      </c>
      <c r="M39" t="n">
        <v>12</v>
      </c>
      <c r="N39" t="n">
        <v>0.5</v>
      </c>
      <c r="O39" t="n">
        <v>-0.5</v>
      </c>
      <c r="P39" t="n">
        <v>16</v>
      </c>
      <c r="Q39" t="n">
        <v>12</v>
      </c>
      <c r="R39" t="s">
        <v>275</v>
      </c>
      <c r="S39" t="s">
        <v>278</v>
      </c>
      <c r="T39" t="n">
        <v>0.25</v>
      </c>
    </row>
    <row r="40">
      <c r="A40" t="s">
        <v>30</v>
      </c>
      <c r="B40" t="n">
        <v>1.13</v>
      </c>
      <c r="C40" t="n">
        <v>0.9</v>
      </c>
      <c r="D40" t="n">
        <v>1.12</v>
      </c>
      <c r="E40" t="n">
        <v>-2</v>
      </c>
      <c r="F40" t="n">
        <v>-0.75</v>
      </c>
      <c r="G40" t="n">
        <v>85</v>
      </c>
      <c r="H40" t="n">
        <v>12</v>
      </c>
      <c r="I40" t="s">
        <v>284</v>
      </c>
      <c r="J40" t="n">
        <v>0</v>
      </c>
      <c r="K40" t="n">
        <v>0</v>
      </c>
      <c r="L40" t="n">
        <v>0</v>
      </c>
      <c r="M40" t="n">
        <v>12</v>
      </c>
      <c r="N40" t="n">
        <v>0.5</v>
      </c>
      <c r="O40" t="n">
        <v>0</v>
      </c>
      <c r="P40" t="n">
        <v>137</v>
      </c>
      <c r="Q40" t="n">
        <v>12</v>
      </c>
      <c r="R40" t="s">
        <v>280</v>
      </c>
      <c r="S40" t="s">
        <v>278</v>
      </c>
      <c r="T40" t="n">
        <v>0.5</v>
      </c>
    </row>
    <row r="41">
      <c r="A41" t="s">
        <v>30</v>
      </c>
      <c r="B41" t="n">
        <v>0.98</v>
      </c>
      <c r="C41" t="n">
        <v>0.86</v>
      </c>
      <c r="D41" t="n">
        <v>0.95</v>
      </c>
      <c r="E41" t="n">
        <v>-7.25</v>
      </c>
      <c r="F41" t="n">
        <v>-0.75</v>
      </c>
      <c r="G41" t="n">
        <v>14</v>
      </c>
      <c r="H41" t="n">
        <v>12</v>
      </c>
      <c r="I41" t="s">
        <v>276</v>
      </c>
      <c r="J41" t="n">
        <v>0</v>
      </c>
      <c r="K41" t="n">
        <v>0</v>
      </c>
      <c r="L41" t="n">
        <v>0</v>
      </c>
      <c r="M41" t="n">
        <v>12</v>
      </c>
      <c r="N41" t="n">
        <v>0</v>
      </c>
      <c r="O41" t="n">
        <v>-0.5</v>
      </c>
      <c r="P41" t="n">
        <v>167</v>
      </c>
      <c r="Q41" t="n">
        <v>12</v>
      </c>
      <c r="R41" t="s">
        <v>277</v>
      </c>
      <c r="S41" t="s">
        <v>287</v>
      </c>
      <c r="T41" t="n">
        <v>-0.25</v>
      </c>
    </row>
    <row r="42">
      <c r="A42" t="s">
        <v>30</v>
      </c>
      <c r="B42" t="n">
        <v>0.88</v>
      </c>
      <c r="C42" t="n">
        <v>0.83</v>
      </c>
      <c r="D42" t="n">
        <v>0.82</v>
      </c>
      <c r="E42" t="n">
        <v>-4.5</v>
      </c>
      <c r="F42" t="n">
        <v>-1.25</v>
      </c>
      <c r="G42" t="n">
        <v>75</v>
      </c>
      <c r="H42" t="n">
        <v>12</v>
      </c>
      <c r="I42" t="s">
        <v>287</v>
      </c>
      <c r="J42" t="n">
        <v>0</v>
      </c>
      <c r="K42" t="n">
        <v>0</v>
      </c>
      <c r="L42" t="n">
        <v>0</v>
      </c>
      <c r="M42" t="n">
        <v>12</v>
      </c>
      <c r="N42" t="n">
        <v>0.25</v>
      </c>
      <c r="O42" t="n">
        <v>-0.5</v>
      </c>
      <c r="P42" t="n">
        <v>50</v>
      </c>
      <c r="Q42" t="n">
        <v>12</v>
      </c>
      <c r="R42" t="s">
        <v>285</v>
      </c>
      <c r="S42" t="s">
        <v>285</v>
      </c>
      <c r="T42" t="n">
        <v>0</v>
      </c>
    </row>
    <row r="43">
      <c r="A43" t="s">
        <v>30</v>
      </c>
      <c r="B43" t="n">
        <v>1.11</v>
      </c>
      <c r="C43" t="n">
        <v>1.08</v>
      </c>
      <c r="D43" t="n">
        <v>1.14</v>
      </c>
      <c r="E43" t="n">
        <v>-4.75</v>
      </c>
      <c r="F43" t="n">
        <v>-1.25</v>
      </c>
      <c r="G43" t="n">
        <v>17</v>
      </c>
      <c r="H43" t="n">
        <v>12</v>
      </c>
      <c r="I43" t="s">
        <v>280</v>
      </c>
      <c r="J43" t="n">
        <v>0</v>
      </c>
      <c r="K43" t="n">
        <v>0</v>
      </c>
      <c r="L43" t="n">
        <v>0</v>
      </c>
      <c r="M43" t="n">
        <v>12</v>
      </c>
      <c r="N43" t="n">
        <v>0</v>
      </c>
      <c r="O43" t="n">
        <v>0</v>
      </c>
      <c r="P43" t="n">
        <v>18</v>
      </c>
      <c r="Q43" t="n">
        <v>12</v>
      </c>
      <c r="R43" t="s">
        <v>284</v>
      </c>
      <c r="S43" t="s">
        <v>280</v>
      </c>
      <c r="T43" t="n">
        <v>0</v>
      </c>
    </row>
    <row r="44">
      <c r="A44" t="s">
        <v>30</v>
      </c>
      <c r="B44" t="n">
        <v>1.1</v>
      </c>
      <c r="C44" t="n">
        <v>1.22</v>
      </c>
      <c r="D44" t="n">
        <v>1.12</v>
      </c>
      <c r="E44" t="n">
        <v>-4.25</v>
      </c>
      <c r="F44" t="n">
        <v>-2.75</v>
      </c>
      <c r="G44" t="n">
        <v>170</v>
      </c>
      <c r="H44" t="n">
        <v>12</v>
      </c>
      <c r="I44" t="s">
        <v>280</v>
      </c>
      <c r="J44" t="n">
        <v>0</v>
      </c>
      <c r="K44" t="n">
        <v>0</v>
      </c>
      <c r="L44" t="n">
        <v>0</v>
      </c>
      <c r="M44" t="n">
        <v>12</v>
      </c>
      <c r="N44" t="n">
        <v>0.25</v>
      </c>
      <c r="O44" t="n">
        <v>-0.5</v>
      </c>
      <c r="P44" t="n">
        <v>13</v>
      </c>
      <c r="Q44" t="n">
        <v>12</v>
      </c>
      <c r="R44" t="s">
        <v>280</v>
      </c>
      <c r="S44" t="s">
        <v>281</v>
      </c>
      <c r="T44" t="n">
        <v>0</v>
      </c>
    </row>
    <row r="45">
      <c r="A45" t="s">
        <v>30</v>
      </c>
      <c r="B45" t="n">
        <v>0.99</v>
      </c>
      <c r="C45" t="n">
        <v>0.92</v>
      </c>
      <c r="D45" t="n">
        <v>0.98</v>
      </c>
      <c r="E45" t="n">
        <v>-0.5</v>
      </c>
      <c r="F45" t="n">
        <v>-0.5</v>
      </c>
      <c r="G45" t="n">
        <v>23</v>
      </c>
      <c r="H45" t="n">
        <v>12</v>
      </c>
      <c r="I45" t="s">
        <v>276</v>
      </c>
      <c r="J45" t="n">
        <v>0</v>
      </c>
      <c r="K45" t="n">
        <v>0</v>
      </c>
      <c r="L45" t="n">
        <v>0</v>
      </c>
      <c r="M45" t="n">
        <v>12</v>
      </c>
      <c r="N45" t="n">
        <v>0.5</v>
      </c>
      <c r="O45" t="n">
        <v>-0.25</v>
      </c>
      <c r="P45" t="n">
        <v>49</v>
      </c>
      <c r="Q45" t="n">
        <v>12</v>
      </c>
      <c r="R45" t="s">
        <v>276</v>
      </c>
      <c r="S45" t="s">
        <v>278</v>
      </c>
      <c r="T45" t="n">
        <v>0.5</v>
      </c>
    </row>
    <row r="46">
      <c r="A46" t="s">
        <v>30</v>
      </c>
      <c r="B46" t="n">
        <v>1.08</v>
      </c>
      <c r="C46" t="n">
        <v>1.15</v>
      </c>
      <c r="D46" t="n">
        <v>1.04</v>
      </c>
      <c r="E46" t="n">
        <v>-4.75</v>
      </c>
      <c r="F46" t="n">
        <v>-0.25</v>
      </c>
      <c r="G46" t="n">
        <v>172</v>
      </c>
      <c r="H46" t="n">
        <v>12</v>
      </c>
      <c r="I46" t="s">
        <v>280</v>
      </c>
      <c r="J46" t="n">
        <v>0</v>
      </c>
      <c r="K46" t="n">
        <v>0</v>
      </c>
      <c r="L46" t="n">
        <v>0</v>
      </c>
      <c r="M46" t="n">
        <v>12</v>
      </c>
      <c r="N46" t="n">
        <v>0.5</v>
      </c>
      <c r="O46" t="n">
        <v>-0.25</v>
      </c>
      <c r="P46" t="n">
        <v>15</v>
      </c>
      <c r="Q46" t="n">
        <v>12</v>
      </c>
      <c r="R46" t="s">
        <v>275</v>
      </c>
      <c r="S46" t="s">
        <v>284</v>
      </c>
      <c r="T46" t="n">
        <v>0.25</v>
      </c>
    </row>
    <row r="47">
      <c r="A47" t="s">
        <v>30</v>
      </c>
      <c r="B47" t="n">
        <v>1.06</v>
      </c>
      <c r="C47" t="n">
        <v>1.09</v>
      </c>
      <c r="D47" t="n">
        <v>1.13</v>
      </c>
      <c r="E47" t="n">
        <v>-3.25</v>
      </c>
      <c r="F47" t="n">
        <v>-0.25</v>
      </c>
      <c r="G47" t="n">
        <v>97</v>
      </c>
      <c r="H47" t="n">
        <v>12</v>
      </c>
      <c r="I47" t="s">
        <v>275</v>
      </c>
      <c r="J47" t="n">
        <v>0</v>
      </c>
      <c r="K47" t="n">
        <v>0</v>
      </c>
      <c r="L47" t="n">
        <v>0</v>
      </c>
      <c r="M47" t="n">
        <v>12</v>
      </c>
      <c r="N47" t="n">
        <v>0.5</v>
      </c>
      <c r="O47" t="n">
        <v>-0.25</v>
      </c>
      <c r="P47" t="n">
        <v>122</v>
      </c>
      <c r="Q47" t="n">
        <v>12</v>
      </c>
      <c r="R47" t="s">
        <v>284</v>
      </c>
      <c r="S47" t="s">
        <v>280</v>
      </c>
      <c r="T47" t="n">
        <v>0.25</v>
      </c>
    </row>
    <row r="48">
      <c r="A48" t="s">
        <v>30</v>
      </c>
      <c r="B48" t="n">
        <v>1.02</v>
      </c>
      <c r="C48" t="n">
        <v>0.94</v>
      </c>
      <c r="D48" t="n">
        <v>1.02</v>
      </c>
      <c r="E48" t="n">
        <v>-2.75</v>
      </c>
      <c r="F48" t="n">
        <v>-2.25</v>
      </c>
      <c r="G48" t="n">
        <v>7</v>
      </c>
      <c r="H48" t="n">
        <v>12</v>
      </c>
      <c r="I48" t="s">
        <v>276</v>
      </c>
      <c r="J48" t="n">
        <v>0</v>
      </c>
      <c r="K48" t="n">
        <v>0</v>
      </c>
      <c r="L48" t="n">
        <v>0</v>
      </c>
      <c r="M48" t="n">
        <v>12</v>
      </c>
      <c r="N48" t="n">
        <v>-0.5</v>
      </c>
      <c r="O48" t="n">
        <v>-0.25</v>
      </c>
      <c r="P48" t="n">
        <v>153</v>
      </c>
      <c r="Q48" t="n">
        <v>12</v>
      </c>
      <c r="R48" t="s">
        <v>276</v>
      </c>
      <c r="S48" t="s">
        <v>277</v>
      </c>
      <c r="T48" t="n">
        <v>-0.5</v>
      </c>
    </row>
    <row r="49">
      <c r="A49" t="s">
        <v>30</v>
      </c>
      <c r="B49" t="n">
        <v>1.06</v>
      </c>
      <c r="C49" t="n">
        <v>1.11</v>
      </c>
      <c r="D49" t="n">
        <v>1.06</v>
      </c>
      <c r="E49" t="n">
        <v>-3</v>
      </c>
      <c r="F49" t="n">
        <v>-0.75</v>
      </c>
      <c r="G49" t="n">
        <v>165</v>
      </c>
      <c r="H49" t="n">
        <v>12</v>
      </c>
      <c r="I49" t="s">
        <v>275</v>
      </c>
      <c r="J49" t="n">
        <v>0</v>
      </c>
      <c r="K49" t="n">
        <v>0</v>
      </c>
      <c r="L49" t="n">
        <v>0</v>
      </c>
      <c r="M49" t="n">
        <v>12</v>
      </c>
      <c r="N49" t="n">
        <v>0</v>
      </c>
      <c r="O49" t="n">
        <v>-0.5</v>
      </c>
      <c r="P49" t="n">
        <v>12</v>
      </c>
      <c r="Q49" t="n">
        <v>12</v>
      </c>
      <c r="R49" t="s">
        <v>275</v>
      </c>
      <c r="S49" t="s">
        <v>280</v>
      </c>
      <c r="T49" t="n">
        <v>-0.25</v>
      </c>
    </row>
    <row r="50">
      <c r="A50" t="s">
        <v>30</v>
      </c>
      <c r="B50" t="n">
        <v>1.02</v>
      </c>
      <c r="C50" t="n">
        <v>0.96</v>
      </c>
      <c r="D50" t="n">
        <v>0.96</v>
      </c>
      <c r="E50" t="n">
        <v>-4.25</v>
      </c>
      <c r="F50" t="n">
        <v>-0.5</v>
      </c>
      <c r="G50" t="n">
        <v>76</v>
      </c>
      <c r="H50" t="n">
        <v>12</v>
      </c>
      <c r="I50" t="s">
        <v>276</v>
      </c>
      <c r="J50" t="n">
        <v>0</v>
      </c>
      <c r="K50" t="n">
        <v>0</v>
      </c>
      <c r="L50" t="n">
        <v>0</v>
      </c>
      <c r="M50" t="n">
        <v>12</v>
      </c>
      <c r="N50" t="n">
        <v>0</v>
      </c>
      <c r="O50" t="n">
        <v>-0.25</v>
      </c>
      <c r="P50" t="n">
        <v>62</v>
      </c>
      <c r="Q50" t="n">
        <v>12</v>
      </c>
      <c r="R50" t="s">
        <v>277</v>
      </c>
      <c r="S50" t="s">
        <v>277</v>
      </c>
      <c r="T50" t="n">
        <v>0</v>
      </c>
    </row>
    <row r="51">
      <c r="A51" t="s">
        <v>30</v>
      </c>
      <c r="B51" t="n">
        <v>0.9</v>
      </c>
      <c r="C51" t="n">
        <v>0.91</v>
      </c>
      <c r="D51" t="n">
        <v>0.91</v>
      </c>
      <c r="E51" t="n">
        <v>-3.5</v>
      </c>
      <c r="F51" t="n">
        <v>0</v>
      </c>
      <c r="G51" t="n">
        <v>170</v>
      </c>
      <c r="H51" t="n">
        <v>12</v>
      </c>
      <c r="I51" t="s">
        <v>278</v>
      </c>
      <c r="J51" t="n">
        <v>0</v>
      </c>
      <c r="K51" t="n">
        <v>0</v>
      </c>
      <c r="L51" t="n">
        <v>0</v>
      </c>
      <c r="M51" t="n">
        <v>12</v>
      </c>
      <c r="N51" t="n">
        <v>0</v>
      </c>
      <c r="O51" t="n">
        <v>-0.25</v>
      </c>
      <c r="P51" t="n">
        <v>165</v>
      </c>
      <c r="Q51" t="n">
        <v>12</v>
      </c>
      <c r="R51" t="s">
        <v>278</v>
      </c>
      <c r="S51" t="s">
        <v>278</v>
      </c>
      <c r="T51" t="n">
        <v>0</v>
      </c>
    </row>
    <row r="52">
      <c r="A52" t="s">
        <v>30</v>
      </c>
      <c r="B52" t="n">
        <v>1.06</v>
      </c>
      <c r="C52" t="n">
        <v>0.95</v>
      </c>
      <c r="D52" t="n">
        <v>1.06</v>
      </c>
      <c r="E52" t="n">
        <v>-3.25</v>
      </c>
      <c r="F52" t="n">
        <v>-1.25</v>
      </c>
      <c r="G52" t="n">
        <v>84</v>
      </c>
      <c r="H52" t="n">
        <v>12</v>
      </c>
      <c r="I52" t="s">
        <v>275</v>
      </c>
      <c r="J52" t="n">
        <v>0</v>
      </c>
      <c r="K52" t="n">
        <v>0</v>
      </c>
      <c r="L52" t="n">
        <v>0</v>
      </c>
      <c r="M52" t="n">
        <v>12</v>
      </c>
      <c r="N52" t="n">
        <v>0.5</v>
      </c>
      <c r="O52" t="n">
        <v>-0.25</v>
      </c>
      <c r="P52" t="n">
        <v>62</v>
      </c>
      <c r="Q52" t="n">
        <v>12</v>
      </c>
      <c r="R52" t="s">
        <v>275</v>
      </c>
      <c r="S52" t="s">
        <v>277</v>
      </c>
      <c r="T52" t="n">
        <v>0.5</v>
      </c>
    </row>
    <row r="53">
      <c r="A53" t="s">
        <v>30</v>
      </c>
      <c r="B53" t="n">
        <v>1.11</v>
      </c>
      <c r="C53" t="n">
        <v>1.06</v>
      </c>
      <c r="D53" t="n">
        <v>1.09</v>
      </c>
      <c r="E53" t="n">
        <v>-6.75</v>
      </c>
      <c r="F53" t="n">
        <v>-0.75</v>
      </c>
      <c r="G53" t="n">
        <v>81</v>
      </c>
      <c r="H53" t="n">
        <v>12</v>
      </c>
      <c r="I53" t="s">
        <v>280</v>
      </c>
      <c r="J53" t="n">
        <v>0</v>
      </c>
      <c r="K53" t="n">
        <v>0</v>
      </c>
      <c r="L53" t="n">
        <v>0</v>
      </c>
      <c r="M53" t="n">
        <v>12</v>
      </c>
      <c r="N53" t="n">
        <v>-0.5</v>
      </c>
      <c r="O53" t="n">
        <v>-0.25</v>
      </c>
      <c r="P53" t="n">
        <v>34</v>
      </c>
      <c r="Q53" t="n">
        <v>12</v>
      </c>
      <c r="R53" t="s">
        <v>280</v>
      </c>
      <c r="S53" t="s">
        <v>275</v>
      </c>
      <c r="T53" t="n">
        <v>-0.5</v>
      </c>
    </row>
    <row r="54">
      <c r="A54" t="s">
        <v>30</v>
      </c>
      <c r="B54" t="n">
        <v>1.01</v>
      </c>
      <c r="C54" t="n">
        <v>1.07</v>
      </c>
      <c r="D54" t="n">
        <v>1.02</v>
      </c>
      <c r="E54" t="n">
        <v>-2.5</v>
      </c>
      <c r="F54" t="n">
        <v>-0.5</v>
      </c>
      <c r="G54" t="n">
        <v>149</v>
      </c>
      <c r="H54" t="n">
        <v>12</v>
      </c>
      <c r="I54" t="s">
        <v>276</v>
      </c>
      <c r="J54" t="n">
        <v>0</v>
      </c>
      <c r="K54" t="n">
        <v>0</v>
      </c>
      <c r="L54" t="n">
        <v>0</v>
      </c>
      <c r="M54" t="n">
        <v>12</v>
      </c>
      <c r="N54" t="n">
        <v>0</v>
      </c>
      <c r="O54" t="n">
        <v>-0.25</v>
      </c>
      <c r="P54" t="n">
        <v>161</v>
      </c>
      <c r="Q54" t="n">
        <v>12</v>
      </c>
      <c r="R54" t="s">
        <v>276</v>
      </c>
      <c r="S54" t="s">
        <v>275</v>
      </c>
      <c r="T54" t="n">
        <v>0</v>
      </c>
    </row>
    <row r="55">
      <c r="A55" t="s">
        <v>30</v>
      </c>
      <c r="B55" t="n">
        <v>0.92</v>
      </c>
      <c r="C55" t="n">
        <v>0.75</v>
      </c>
      <c r="D55" t="n">
        <v>0.93</v>
      </c>
      <c r="E55" t="n">
        <v>-8.25</v>
      </c>
      <c r="F55" t="n">
        <v>-0.75</v>
      </c>
      <c r="G55" t="n">
        <v>172</v>
      </c>
      <c r="H55" t="n">
        <v>12</v>
      </c>
      <c r="I55" t="s">
        <v>278</v>
      </c>
      <c r="J55" t="n">
        <v>0</v>
      </c>
      <c r="K55" t="n">
        <v>0</v>
      </c>
      <c r="L55" t="n">
        <v>0</v>
      </c>
      <c r="M55" t="n">
        <v>12</v>
      </c>
      <c r="N55" t="n">
        <v>-0.5</v>
      </c>
      <c r="O55" t="n">
        <v>-0.25</v>
      </c>
      <c r="P55" t="n">
        <v>171</v>
      </c>
      <c r="Q55" t="n">
        <v>12</v>
      </c>
      <c r="R55" t="s">
        <v>278</v>
      </c>
      <c r="S55" t="s">
        <v>288</v>
      </c>
      <c r="T55" t="n">
        <v>-0.5</v>
      </c>
    </row>
    <row r="56">
      <c r="A56" t="s">
        <v>30</v>
      </c>
      <c r="B56" t="n">
        <v>0.99</v>
      </c>
      <c r="C56" t="n">
        <v>0.96</v>
      </c>
      <c r="D56" t="n">
        <v>1.01</v>
      </c>
      <c r="E56" t="n">
        <v>-5</v>
      </c>
      <c r="F56" t="n">
        <v>-0.25</v>
      </c>
      <c r="G56" t="n">
        <v>161</v>
      </c>
      <c r="H56" t="n">
        <v>12</v>
      </c>
      <c r="I56" t="s">
        <v>276</v>
      </c>
      <c r="J56" t="n">
        <v>0</v>
      </c>
      <c r="K56" t="n">
        <v>0</v>
      </c>
      <c r="L56" t="n">
        <v>0</v>
      </c>
      <c r="M56" t="n">
        <v>12</v>
      </c>
      <c r="N56" t="n">
        <v>0</v>
      </c>
      <c r="O56" t="n">
        <v>0</v>
      </c>
      <c r="P56" t="n">
        <v>80</v>
      </c>
      <c r="Q56" t="n">
        <v>12</v>
      </c>
      <c r="R56" t="s">
        <v>276</v>
      </c>
      <c r="S56" t="s">
        <v>277</v>
      </c>
      <c r="T56" t="n">
        <v>0</v>
      </c>
    </row>
    <row r="57">
      <c r="A57" t="s">
        <v>30</v>
      </c>
      <c r="B57" t="n">
        <v>0.91</v>
      </c>
      <c r="C57" t="n">
        <v>0.93</v>
      </c>
      <c r="D57" t="n">
        <v>0.9</v>
      </c>
      <c r="E57" t="n">
        <v>-1.25</v>
      </c>
      <c r="F57" t="n">
        <v>-0.25</v>
      </c>
      <c r="G57" t="n">
        <v>166</v>
      </c>
      <c r="H57" t="n">
        <v>12</v>
      </c>
      <c r="I57" t="s">
        <v>278</v>
      </c>
      <c r="J57" t="n">
        <v>0</v>
      </c>
      <c r="K57" t="n">
        <v>0</v>
      </c>
      <c r="L57" t="n">
        <v>0</v>
      </c>
      <c r="M57" t="n">
        <v>12</v>
      </c>
      <c r="N57" t="n">
        <v>0</v>
      </c>
      <c r="O57" t="n">
        <v>0</v>
      </c>
      <c r="P57" t="n">
        <v>141</v>
      </c>
      <c r="Q57" t="n">
        <v>12</v>
      </c>
      <c r="R57" t="s">
        <v>278</v>
      </c>
      <c r="S57" t="s">
        <v>278</v>
      </c>
      <c r="T57" t="n">
        <v>0</v>
      </c>
    </row>
    <row r="58">
      <c r="A58" t="s">
        <v>30</v>
      </c>
      <c r="B58" t="n">
        <v>1.01</v>
      </c>
      <c r="C58" t="n">
        <v>0.95</v>
      </c>
      <c r="D58" t="n">
        <v>1.01</v>
      </c>
      <c r="E58" t="n">
        <v>-7.75</v>
      </c>
      <c r="F58" t="n">
        <v>0</v>
      </c>
      <c r="G58" t="n">
        <v>168</v>
      </c>
      <c r="H58" t="n">
        <v>12</v>
      </c>
      <c r="I58" t="s">
        <v>276</v>
      </c>
      <c r="J58" t="n">
        <v>0</v>
      </c>
      <c r="K58" t="n">
        <v>0</v>
      </c>
      <c r="L58" t="n">
        <v>0</v>
      </c>
      <c r="M58" t="n">
        <v>12</v>
      </c>
      <c r="N58" t="n">
        <v>0.25</v>
      </c>
      <c r="O58" t="n">
        <v>0</v>
      </c>
      <c r="P58" t="n">
        <v>12</v>
      </c>
      <c r="Q58" t="n">
        <v>12</v>
      </c>
      <c r="R58" t="s">
        <v>276</v>
      </c>
      <c r="S58" t="s">
        <v>277</v>
      </c>
      <c r="T58" t="n">
        <v>0.25</v>
      </c>
    </row>
    <row r="59">
      <c r="A59" t="s">
        <v>30</v>
      </c>
      <c r="B59" t="n">
        <v>0.93</v>
      </c>
      <c r="C59" t="n">
        <v>0.96</v>
      </c>
      <c r="D59" t="n">
        <v>0.94</v>
      </c>
      <c r="E59" t="n">
        <v>-5.75</v>
      </c>
      <c r="F59" t="n">
        <v>-1</v>
      </c>
      <c r="G59" t="n">
        <v>83</v>
      </c>
      <c r="H59" t="n">
        <v>12</v>
      </c>
      <c r="I59" t="s">
        <v>278</v>
      </c>
      <c r="J59" t="n">
        <v>0</v>
      </c>
      <c r="K59" t="n">
        <v>0</v>
      </c>
      <c r="L59" t="n">
        <v>0</v>
      </c>
      <c r="M59" t="n">
        <v>12</v>
      </c>
      <c r="N59" t="n">
        <v>0</v>
      </c>
      <c r="O59" t="n">
        <v>-0.25</v>
      </c>
      <c r="P59" t="n">
        <v>78</v>
      </c>
      <c r="Q59" t="n">
        <v>12</v>
      </c>
      <c r="R59" t="s">
        <v>277</v>
      </c>
      <c r="S59" t="s">
        <v>277</v>
      </c>
      <c r="T59" t="n">
        <v>0</v>
      </c>
    </row>
    <row r="60">
      <c r="A60" t="s">
        <v>30</v>
      </c>
      <c r="B60" t="n">
        <v>0.91</v>
      </c>
      <c r="C60" t="n">
        <v>0.89</v>
      </c>
      <c r="D60" t="n">
        <v>0.88</v>
      </c>
      <c r="E60" t="n">
        <v>-4</v>
      </c>
      <c r="F60" t="n">
        <v>0</v>
      </c>
      <c r="G60" t="n">
        <v>100</v>
      </c>
      <c r="H60" t="n">
        <v>12</v>
      </c>
      <c r="I60" t="s">
        <v>278</v>
      </c>
      <c r="J60" t="n">
        <v>0</v>
      </c>
      <c r="K60" t="n">
        <v>0</v>
      </c>
      <c r="L60" t="n">
        <v>0</v>
      </c>
      <c r="M60" t="n">
        <v>12</v>
      </c>
      <c r="N60" t="n">
        <v>0</v>
      </c>
      <c r="O60" t="n">
        <v>0</v>
      </c>
      <c r="P60" t="n">
        <v>124</v>
      </c>
      <c r="Q60" t="n">
        <v>12</v>
      </c>
      <c r="R60" t="s">
        <v>287</v>
      </c>
      <c r="S60" t="s">
        <v>287</v>
      </c>
      <c r="T60" t="n">
        <v>0</v>
      </c>
    </row>
    <row r="61">
      <c r="A61" t="s">
        <v>30</v>
      </c>
      <c r="B61" t="n">
        <v>1.04</v>
      </c>
      <c r="C61" t="n">
        <v>1.09</v>
      </c>
      <c r="D61" t="n">
        <v>1.03</v>
      </c>
      <c r="E61" t="n">
        <v>-3.25</v>
      </c>
      <c r="F61" t="n">
        <v>-0.5</v>
      </c>
      <c r="G61" t="n">
        <v>82</v>
      </c>
      <c r="H61" t="n">
        <v>12</v>
      </c>
      <c r="I61" t="s">
        <v>275</v>
      </c>
      <c r="J61" t="n">
        <v>0</v>
      </c>
      <c r="K61" t="n">
        <v>0</v>
      </c>
      <c r="L61" t="n">
        <v>0</v>
      </c>
      <c r="M61" t="n">
        <v>12</v>
      </c>
      <c r="N61" t="n">
        <v>0.5</v>
      </c>
      <c r="O61" t="n">
        <v>-0.5</v>
      </c>
      <c r="P61" t="n">
        <v>86</v>
      </c>
      <c r="Q61" t="n">
        <v>12</v>
      </c>
      <c r="R61" t="s">
        <v>275</v>
      </c>
      <c r="S61" t="s">
        <v>280</v>
      </c>
      <c r="T61" t="n">
        <v>0.25</v>
      </c>
    </row>
    <row r="62">
      <c r="A62" t="s">
        <v>30</v>
      </c>
      <c r="B62" t="n">
        <v>1.03</v>
      </c>
      <c r="C62" t="n">
        <v>1.08</v>
      </c>
      <c r="D62" t="n">
        <v>1.06</v>
      </c>
      <c r="E62" t="n">
        <v>-1</v>
      </c>
      <c r="F62" t="n">
        <v>-0.5</v>
      </c>
      <c r="G62" t="n">
        <v>80</v>
      </c>
      <c r="H62" t="n">
        <v>12</v>
      </c>
      <c r="I62" t="s">
        <v>275</v>
      </c>
      <c r="J62" t="n">
        <v>0</v>
      </c>
      <c r="K62" t="n">
        <v>0</v>
      </c>
      <c r="L62" t="n">
        <v>0</v>
      </c>
      <c r="M62" t="n">
        <v>12</v>
      </c>
      <c r="N62" t="n">
        <v>0</v>
      </c>
      <c r="O62" t="n">
        <v>0</v>
      </c>
      <c r="P62" t="n">
        <v>11</v>
      </c>
      <c r="Q62" t="n">
        <v>12</v>
      </c>
      <c r="R62" t="s">
        <v>275</v>
      </c>
      <c r="S62" t="s">
        <v>280</v>
      </c>
      <c r="T62" t="n">
        <v>0</v>
      </c>
    </row>
    <row r="63">
      <c r="A63" t="s">
        <v>30</v>
      </c>
      <c r="B63" t="n">
        <v>1.04</v>
      </c>
      <c r="C63" t="n">
        <v>1.1</v>
      </c>
      <c r="D63" t="n">
        <v>1.06</v>
      </c>
      <c r="E63" t="n">
        <v>-1.25</v>
      </c>
      <c r="F63" t="n">
        <v>-1</v>
      </c>
      <c r="G63" t="n">
        <v>180</v>
      </c>
      <c r="H63" t="n">
        <v>12</v>
      </c>
      <c r="I63" t="s">
        <v>275</v>
      </c>
      <c r="J63" t="n">
        <v>0</v>
      </c>
      <c r="K63" t="n">
        <v>0</v>
      </c>
      <c r="L63" t="n">
        <v>0</v>
      </c>
      <c r="M63" t="n">
        <v>12</v>
      </c>
      <c r="N63" t="n">
        <v>-0.5</v>
      </c>
      <c r="O63" t="n">
        <v>0</v>
      </c>
      <c r="P63" t="n">
        <v>178</v>
      </c>
      <c r="Q63" t="n">
        <v>12</v>
      </c>
      <c r="R63" t="s">
        <v>275</v>
      </c>
      <c r="S63" t="s">
        <v>280</v>
      </c>
      <c r="T63" t="n">
        <v>-0.5</v>
      </c>
    </row>
    <row r="64">
      <c r="A64" t="s">
        <v>30</v>
      </c>
      <c r="B64" t="n">
        <v>0.98</v>
      </c>
      <c r="C64" t="n">
        <v>1.08</v>
      </c>
      <c r="D64" t="n">
        <v>1.02</v>
      </c>
      <c r="E64" t="n">
        <v>-0.5</v>
      </c>
      <c r="F64" t="n">
        <v>-0.75</v>
      </c>
      <c r="G64" t="n">
        <v>7</v>
      </c>
      <c r="H64" t="n">
        <v>12</v>
      </c>
      <c r="I64" t="s">
        <v>276</v>
      </c>
      <c r="J64" t="n">
        <v>0</v>
      </c>
      <c r="K64" t="n">
        <v>0</v>
      </c>
      <c r="L64" t="n">
        <v>0</v>
      </c>
      <c r="M64" t="n">
        <v>12</v>
      </c>
      <c r="N64" t="n">
        <v>0</v>
      </c>
      <c r="O64" t="n">
        <v>-0.25</v>
      </c>
      <c r="P64" t="n">
        <v>24</v>
      </c>
      <c r="Q64" t="n">
        <v>12</v>
      </c>
      <c r="R64" t="s">
        <v>276</v>
      </c>
      <c r="S64" t="s">
        <v>280</v>
      </c>
      <c r="T64" t="n">
        <v>0</v>
      </c>
    </row>
    <row r="65">
      <c r="A65" t="s">
        <v>30</v>
      </c>
      <c r="B65" t="n">
        <v>1.19</v>
      </c>
      <c r="C65" t="n">
        <v>1.16</v>
      </c>
      <c r="D65" t="n">
        <v>1.23</v>
      </c>
      <c r="E65" t="n">
        <v>-2</v>
      </c>
      <c r="F65" t="n">
        <v>0</v>
      </c>
      <c r="G65" t="n">
        <v>170</v>
      </c>
      <c r="H65" t="n">
        <v>12</v>
      </c>
      <c r="I65" t="s">
        <v>281</v>
      </c>
      <c r="J65" t="n">
        <v>0</v>
      </c>
      <c r="K65" t="n">
        <v>0</v>
      </c>
      <c r="L65" t="n">
        <v>0</v>
      </c>
      <c r="M65" t="n">
        <v>12</v>
      </c>
      <c r="N65" t="n">
        <v>0.25</v>
      </c>
      <c r="O65" t="n">
        <v>-0.5</v>
      </c>
      <c r="P65" t="n">
        <v>23</v>
      </c>
      <c r="Q65" t="n">
        <v>12</v>
      </c>
      <c r="R65" t="s">
        <v>281</v>
      </c>
      <c r="S65" t="s">
        <v>284</v>
      </c>
      <c r="T65" t="n">
        <v>0</v>
      </c>
    </row>
    <row r="66">
      <c r="A66" t="s">
        <v>30</v>
      </c>
      <c r="B66" t="n">
        <v>1.07</v>
      </c>
      <c r="C66" t="n">
        <v>1.09</v>
      </c>
      <c r="D66" t="n">
        <v>1.1</v>
      </c>
      <c r="E66" t="n">
        <v>-4.25</v>
      </c>
      <c r="F66" t="n">
        <v>-0.25</v>
      </c>
      <c r="G66" t="n">
        <v>175</v>
      </c>
      <c r="H66" t="n">
        <v>12</v>
      </c>
      <c r="I66" t="s">
        <v>275</v>
      </c>
      <c r="J66" t="n">
        <v>0</v>
      </c>
      <c r="K66" t="n">
        <v>0</v>
      </c>
      <c r="L66" t="n">
        <v>0</v>
      </c>
      <c r="M66" t="n">
        <v>12</v>
      </c>
      <c r="N66" t="n">
        <v>0</v>
      </c>
      <c r="O66" t="n">
        <v>-0.25</v>
      </c>
      <c r="P66" t="n">
        <v>23</v>
      </c>
      <c r="Q66" t="n">
        <v>12</v>
      </c>
      <c r="R66" t="s">
        <v>280</v>
      </c>
      <c r="S66" t="s">
        <v>280</v>
      </c>
      <c r="T66" t="n">
        <v>0</v>
      </c>
    </row>
    <row r="67">
      <c r="A67" t="s">
        <v>30</v>
      </c>
      <c r="B67" t="n">
        <v>1.05</v>
      </c>
      <c r="C67" t="n">
        <v>0.96</v>
      </c>
      <c r="D67" t="n">
        <v>1.02</v>
      </c>
      <c r="E67" t="n">
        <v>-4.5</v>
      </c>
      <c r="F67" t="n">
        <v>-0.25</v>
      </c>
      <c r="G67" t="n">
        <v>165</v>
      </c>
      <c r="H67" t="n">
        <v>12</v>
      </c>
      <c r="I67" t="s">
        <v>275</v>
      </c>
      <c r="J67" t="n">
        <v>0</v>
      </c>
      <c r="K67" t="n">
        <v>0</v>
      </c>
      <c r="L67" t="n">
        <v>0</v>
      </c>
      <c r="M67" t="n">
        <v>12</v>
      </c>
      <c r="N67" t="n">
        <v>0.5</v>
      </c>
      <c r="O67" t="n">
        <v>-0.25</v>
      </c>
      <c r="P67" t="n">
        <v>164</v>
      </c>
      <c r="Q67" t="n">
        <v>12</v>
      </c>
      <c r="R67" t="s">
        <v>276</v>
      </c>
      <c r="S67" t="s">
        <v>277</v>
      </c>
      <c r="T67" t="n">
        <v>0.25</v>
      </c>
    </row>
    <row r="68">
      <c r="A68" t="s">
        <v>30</v>
      </c>
      <c r="B68" t="n">
        <v>1.13</v>
      </c>
      <c r="C68" t="n">
        <v>1.05</v>
      </c>
      <c r="D68" t="n">
        <v>1.14</v>
      </c>
      <c r="E68" t="n">
        <v>-6</v>
      </c>
      <c r="F68" t="n">
        <v>-0.5</v>
      </c>
      <c r="G68" t="n">
        <v>86</v>
      </c>
      <c r="H68" t="n">
        <v>12</v>
      </c>
      <c r="I68" t="s">
        <v>284</v>
      </c>
      <c r="J68" t="n">
        <v>0</v>
      </c>
      <c r="K68" t="n">
        <v>0</v>
      </c>
      <c r="L68" t="n">
        <v>0</v>
      </c>
      <c r="M68" t="n">
        <v>12</v>
      </c>
      <c r="N68" t="n">
        <v>0</v>
      </c>
      <c r="O68" t="n">
        <v>-0.25</v>
      </c>
      <c r="P68" t="n">
        <v>106</v>
      </c>
      <c r="Q68" t="n">
        <v>12</v>
      </c>
      <c r="R68" t="s">
        <v>284</v>
      </c>
      <c r="S68" t="s">
        <v>275</v>
      </c>
      <c r="T68" t="n">
        <v>-0.25</v>
      </c>
    </row>
    <row r="69">
      <c r="A69" t="s">
        <v>30</v>
      </c>
      <c r="B69" t="n">
        <v>0.99</v>
      </c>
      <c r="C69" t="n">
        <v>1.09</v>
      </c>
      <c r="D69" t="n">
        <v>1.05</v>
      </c>
      <c r="E69" t="n">
        <v>-5.75</v>
      </c>
      <c r="F69" t="n">
        <v>-0.75</v>
      </c>
      <c r="G69" t="n">
        <v>171</v>
      </c>
      <c r="H69" t="n">
        <v>12</v>
      </c>
      <c r="I69" t="s">
        <v>276</v>
      </c>
      <c r="J69" t="n">
        <v>0</v>
      </c>
      <c r="K69" t="n">
        <v>0</v>
      </c>
      <c r="L69" t="n">
        <v>0</v>
      </c>
      <c r="M69" t="n">
        <v>12</v>
      </c>
      <c r="N69" t="n">
        <v>0.25</v>
      </c>
      <c r="O69" t="n">
        <v>-0.5</v>
      </c>
      <c r="P69" t="n">
        <v>129</v>
      </c>
      <c r="Q69" t="n">
        <v>12</v>
      </c>
      <c r="R69" t="s">
        <v>275</v>
      </c>
      <c r="S69" t="s">
        <v>280</v>
      </c>
      <c r="T69" t="n">
        <v>0</v>
      </c>
    </row>
    <row r="70">
      <c r="A70" t="s">
        <v>30</v>
      </c>
      <c r="B70" t="n">
        <v>1</v>
      </c>
      <c r="C70" t="n">
        <v>1.07</v>
      </c>
      <c r="D70" t="n">
        <v>0.97</v>
      </c>
      <c r="E70" t="n">
        <v>-6.25</v>
      </c>
      <c r="F70" t="n">
        <v>-0.25</v>
      </c>
      <c r="G70" t="n">
        <v>91</v>
      </c>
      <c r="H70" t="n">
        <v>12</v>
      </c>
      <c r="I70" t="s">
        <v>276</v>
      </c>
      <c r="J70" t="n">
        <v>0</v>
      </c>
      <c r="K70" t="n">
        <v>0</v>
      </c>
      <c r="L70" t="n">
        <v>0</v>
      </c>
      <c r="M70" t="n">
        <v>12</v>
      </c>
      <c r="N70" t="n">
        <v>-0.25</v>
      </c>
      <c r="O70" t="n">
        <v>0</v>
      </c>
      <c r="P70" t="n">
        <v>164</v>
      </c>
      <c r="Q70" t="n">
        <v>12</v>
      </c>
      <c r="R70" t="s">
        <v>277</v>
      </c>
      <c r="S70" t="s">
        <v>275</v>
      </c>
      <c r="T70" t="n">
        <v>-0.25</v>
      </c>
    </row>
    <row r="71">
      <c r="A71" t="s">
        <v>30</v>
      </c>
      <c r="B71" t="n">
        <v>0.93</v>
      </c>
      <c r="C71" t="n">
        <v>0.87</v>
      </c>
      <c r="D71" t="n">
        <v>0.94</v>
      </c>
      <c r="E71" t="n">
        <v>-5</v>
      </c>
      <c r="F71" t="n">
        <v>-0.75</v>
      </c>
      <c r="G71" t="n">
        <v>88</v>
      </c>
      <c r="H71" t="n">
        <v>12</v>
      </c>
      <c r="I71" t="s">
        <v>278</v>
      </c>
      <c r="J71" t="n">
        <v>0</v>
      </c>
      <c r="K71" t="n">
        <v>0</v>
      </c>
      <c r="L71" t="n">
        <v>0</v>
      </c>
      <c r="M71" t="n">
        <v>12</v>
      </c>
      <c r="N71" t="n">
        <v>0.5</v>
      </c>
      <c r="O71" t="n">
        <v>-0.5</v>
      </c>
      <c r="P71" t="n">
        <v>148</v>
      </c>
      <c r="Q71" t="n">
        <v>12</v>
      </c>
      <c r="R71" t="s">
        <v>277</v>
      </c>
      <c r="S71" t="s">
        <v>287</v>
      </c>
      <c r="T71" t="n">
        <v>0.25</v>
      </c>
    </row>
    <row r="72">
      <c r="A72" t="s">
        <v>30</v>
      </c>
      <c r="B72" t="n">
        <v>1.06</v>
      </c>
      <c r="C72" t="n">
        <v>1.13</v>
      </c>
      <c r="D72" t="n">
        <v>1.05</v>
      </c>
      <c r="E72" t="n">
        <v>-1.25</v>
      </c>
      <c r="F72" t="n">
        <v>-0.75</v>
      </c>
      <c r="G72" t="n">
        <v>99</v>
      </c>
      <c r="H72" t="n">
        <v>12</v>
      </c>
      <c r="I72" t="s">
        <v>275</v>
      </c>
      <c r="J72" t="n">
        <v>0</v>
      </c>
      <c r="K72" t="n">
        <v>0</v>
      </c>
      <c r="L72" t="n">
        <v>0</v>
      </c>
      <c r="M72" t="n">
        <v>12</v>
      </c>
      <c r="N72" t="n">
        <v>-0.5</v>
      </c>
      <c r="O72" t="n">
        <v>-0.25</v>
      </c>
      <c r="P72" t="n">
        <v>75</v>
      </c>
      <c r="Q72" t="n">
        <v>12</v>
      </c>
      <c r="R72" t="s">
        <v>275</v>
      </c>
      <c r="S72" t="s">
        <v>284</v>
      </c>
      <c r="T72" t="n">
        <v>-0.5</v>
      </c>
    </row>
    <row r="73">
      <c r="A73" t="s">
        <v>30</v>
      </c>
      <c r="B73" t="n">
        <v>0.86</v>
      </c>
      <c r="C73" t="n">
        <v>0.83</v>
      </c>
      <c r="D73" t="n">
        <v>0.84</v>
      </c>
      <c r="E73" t="n">
        <v>-3.75</v>
      </c>
      <c r="F73" t="n">
        <v>-1.25</v>
      </c>
      <c r="G73" t="n">
        <v>23</v>
      </c>
      <c r="H73" t="n">
        <v>12</v>
      </c>
      <c r="I73" t="s">
        <v>287</v>
      </c>
      <c r="J73" t="n">
        <v>0</v>
      </c>
      <c r="K73" t="n">
        <v>0</v>
      </c>
      <c r="L73" t="n">
        <v>0</v>
      </c>
      <c r="M73" t="n">
        <v>12</v>
      </c>
      <c r="N73" t="n">
        <v>0.5</v>
      </c>
      <c r="O73" t="n">
        <v>-0.75</v>
      </c>
      <c r="P73" t="n">
        <v>166</v>
      </c>
      <c r="Q73" t="n">
        <v>12</v>
      </c>
      <c r="R73" t="s">
        <v>285</v>
      </c>
      <c r="S73" t="s">
        <v>285</v>
      </c>
      <c r="T73" t="n">
        <v>0</v>
      </c>
    </row>
    <row r="74">
      <c r="A74" t="s">
        <v>30</v>
      </c>
      <c r="B74" t="n">
        <v>0.99</v>
      </c>
      <c r="C74" t="n">
        <v>0.82</v>
      </c>
      <c r="D74" t="n">
        <v>0.97</v>
      </c>
      <c r="E74" t="n">
        <v>-4.75</v>
      </c>
      <c r="F74" t="n">
        <v>0</v>
      </c>
      <c r="G74" t="n">
        <v>5</v>
      </c>
      <c r="H74" t="n">
        <v>12</v>
      </c>
      <c r="I74" t="s">
        <v>276</v>
      </c>
      <c r="J74" t="n">
        <v>0</v>
      </c>
      <c r="K74" t="n">
        <v>0</v>
      </c>
      <c r="L74" t="n">
        <v>0</v>
      </c>
      <c r="M74" t="n">
        <v>12</v>
      </c>
      <c r="N74" t="n">
        <v>0.5</v>
      </c>
      <c r="O74" t="n">
        <v>0</v>
      </c>
      <c r="P74" t="n">
        <v>177</v>
      </c>
      <c r="Q74" t="n">
        <v>12</v>
      </c>
      <c r="R74" t="s">
        <v>277</v>
      </c>
      <c r="S74" t="s">
        <v>285</v>
      </c>
      <c r="T74" t="n">
        <v>0.5</v>
      </c>
    </row>
    <row r="75">
      <c r="A75" t="s">
        <v>30</v>
      </c>
      <c r="B75" t="n">
        <v>0.94</v>
      </c>
      <c r="C75" t="n">
        <v>0.98</v>
      </c>
      <c r="D75" t="n">
        <v>1</v>
      </c>
      <c r="E75" t="n">
        <v>-0.75</v>
      </c>
      <c r="F75" t="n">
        <v>-0.5</v>
      </c>
      <c r="G75" t="n">
        <v>16</v>
      </c>
      <c r="H75" t="n">
        <v>12</v>
      </c>
      <c r="I75" t="s">
        <v>277</v>
      </c>
      <c r="J75" t="n">
        <v>0</v>
      </c>
      <c r="K75" t="n">
        <v>0</v>
      </c>
      <c r="L75" t="n">
        <v>0</v>
      </c>
      <c r="M75" t="n">
        <v>12</v>
      </c>
      <c r="N75" t="n">
        <v>-0.25</v>
      </c>
      <c r="O75" t="n">
        <v>0</v>
      </c>
      <c r="P75" t="n">
        <v>128</v>
      </c>
      <c r="Q75" t="n">
        <v>12</v>
      </c>
      <c r="R75" t="s">
        <v>276</v>
      </c>
      <c r="S75" t="s">
        <v>276</v>
      </c>
      <c r="T75" t="n">
        <v>-0.25</v>
      </c>
    </row>
    <row r="76">
      <c r="A76" t="s">
        <v>30</v>
      </c>
      <c r="B76" t="n">
        <v>0.96</v>
      </c>
      <c r="C76" t="n">
        <v>0.98</v>
      </c>
      <c r="D76" t="n">
        <v>0.97</v>
      </c>
      <c r="E76" t="n">
        <v>-6.25</v>
      </c>
      <c r="F76" t="n">
        <v>-0.25</v>
      </c>
      <c r="G76" t="n">
        <v>67</v>
      </c>
      <c r="H76" t="n">
        <v>12</v>
      </c>
      <c r="I76" t="s">
        <v>277</v>
      </c>
      <c r="J76" t="n">
        <v>0</v>
      </c>
      <c r="K76" t="n">
        <v>0</v>
      </c>
      <c r="L76" t="n">
        <v>0</v>
      </c>
      <c r="M76" t="n">
        <v>12</v>
      </c>
      <c r="N76" t="n">
        <v>0.5</v>
      </c>
      <c r="O76" t="n">
        <v>-0.25</v>
      </c>
      <c r="P76" t="n">
        <v>8</v>
      </c>
      <c r="Q76" t="n">
        <v>12</v>
      </c>
      <c r="R76" t="s">
        <v>277</v>
      </c>
      <c r="S76" t="s">
        <v>276</v>
      </c>
      <c r="T76" t="n">
        <v>0.5</v>
      </c>
    </row>
    <row r="77">
      <c r="A77" t="s">
        <v>30</v>
      </c>
      <c r="B77" t="n">
        <v>1.07</v>
      </c>
      <c r="C77" t="n">
        <v>1.11</v>
      </c>
      <c r="D77" t="n">
        <v>1.12</v>
      </c>
      <c r="E77" t="n">
        <v>-2.5</v>
      </c>
      <c r="F77" t="n">
        <v>-0.75</v>
      </c>
      <c r="G77" t="n">
        <v>100</v>
      </c>
      <c r="H77" t="n">
        <v>12</v>
      </c>
      <c r="I77" t="s">
        <v>275</v>
      </c>
      <c r="J77" t="n">
        <v>0</v>
      </c>
      <c r="K77" t="n">
        <v>0</v>
      </c>
      <c r="L77" t="n">
        <v>0</v>
      </c>
      <c r="M77" t="n">
        <v>12</v>
      </c>
      <c r="N77" t="n">
        <v>-0.25</v>
      </c>
      <c r="O77" t="n">
        <v>0</v>
      </c>
      <c r="P77" t="n">
        <v>86</v>
      </c>
      <c r="Q77" t="n">
        <v>12</v>
      </c>
      <c r="R77" t="s">
        <v>280</v>
      </c>
      <c r="S77" t="s">
        <v>280</v>
      </c>
      <c r="T77" t="n">
        <v>-0.25</v>
      </c>
    </row>
    <row r="78">
      <c r="A78" t="s">
        <v>30</v>
      </c>
      <c r="B78" t="n">
        <v>0.99</v>
      </c>
      <c r="C78" t="n">
        <v>1.01</v>
      </c>
      <c r="D78" t="n">
        <v>1</v>
      </c>
      <c r="E78" t="n">
        <v>-4</v>
      </c>
      <c r="F78" t="n">
        <v>-0.25</v>
      </c>
      <c r="G78" t="n">
        <v>89</v>
      </c>
      <c r="H78" t="n">
        <v>12</v>
      </c>
      <c r="I78" t="s">
        <v>276</v>
      </c>
      <c r="J78" t="n">
        <v>0</v>
      </c>
      <c r="K78" t="n">
        <v>0</v>
      </c>
      <c r="L78" t="n">
        <v>0</v>
      </c>
      <c r="M78" t="n">
        <v>12</v>
      </c>
      <c r="N78" t="n">
        <v>0</v>
      </c>
      <c r="O78" t="n">
        <v>-0.25</v>
      </c>
      <c r="P78" t="n">
        <v>106</v>
      </c>
      <c r="Q78" t="n">
        <v>12</v>
      </c>
      <c r="R78" t="s">
        <v>276</v>
      </c>
      <c r="S78" t="s">
        <v>276</v>
      </c>
      <c r="T78" t="n">
        <v>0</v>
      </c>
    </row>
    <row r="79">
      <c r="A79" t="s">
        <v>30</v>
      </c>
      <c r="B79" t="n">
        <v>1.1</v>
      </c>
      <c r="C79" t="n">
        <v>1.13</v>
      </c>
      <c r="D79" t="n">
        <v>1.14</v>
      </c>
      <c r="E79" t="n">
        <v>-5.25</v>
      </c>
      <c r="F79" t="n">
        <v>-1.5</v>
      </c>
      <c r="G79" t="n">
        <v>96</v>
      </c>
      <c r="H79" t="n">
        <v>12</v>
      </c>
      <c r="I79" t="s">
        <v>280</v>
      </c>
      <c r="J79" t="n">
        <v>0</v>
      </c>
      <c r="K79" t="n">
        <v>0</v>
      </c>
      <c r="L79" t="n">
        <v>0</v>
      </c>
      <c r="M79" t="n">
        <v>12</v>
      </c>
      <c r="N79" t="n">
        <v>-0.5</v>
      </c>
      <c r="O79" t="n">
        <v>0</v>
      </c>
      <c r="P79" t="n">
        <v>21</v>
      </c>
      <c r="Q79" t="n">
        <v>12</v>
      </c>
      <c r="R79" t="s">
        <v>284</v>
      </c>
      <c r="S79" t="s">
        <v>284</v>
      </c>
      <c r="T79" t="n">
        <v>-0.5</v>
      </c>
    </row>
    <row r="80">
      <c r="A80" t="s">
        <v>30</v>
      </c>
      <c r="B80" t="n">
        <v>1.07</v>
      </c>
      <c r="C80" t="n">
        <v>0.94</v>
      </c>
      <c r="D80" t="n">
        <v>1.05</v>
      </c>
      <c r="E80" t="n">
        <v>-5.5</v>
      </c>
      <c r="F80" t="n">
        <v>-0.25</v>
      </c>
      <c r="G80" t="n">
        <v>11</v>
      </c>
      <c r="H80" t="n">
        <v>12</v>
      </c>
      <c r="I80" t="s">
        <v>275</v>
      </c>
      <c r="J80" t="n">
        <v>0</v>
      </c>
      <c r="K80" t="n">
        <v>0</v>
      </c>
      <c r="L80" t="n">
        <v>0</v>
      </c>
      <c r="M80" t="n">
        <v>12</v>
      </c>
      <c r="N80" t="n">
        <v>0</v>
      </c>
      <c r="O80" t="n">
        <v>-0.25</v>
      </c>
      <c r="P80" t="n">
        <v>18</v>
      </c>
      <c r="Q80" t="n">
        <v>12</v>
      </c>
      <c r="R80" t="s">
        <v>275</v>
      </c>
      <c r="S80" t="s">
        <v>277</v>
      </c>
      <c r="T80" t="n">
        <v>-0.25</v>
      </c>
    </row>
    <row r="81">
      <c r="A81" t="s">
        <v>30</v>
      </c>
      <c r="B81" t="n">
        <v>0.92</v>
      </c>
      <c r="C81" t="n">
        <v>0.84</v>
      </c>
      <c r="D81" t="n">
        <v>0.87</v>
      </c>
      <c r="E81" t="n">
        <v>-2</v>
      </c>
      <c r="F81" t="n">
        <v>-0.75</v>
      </c>
      <c r="G81" t="n">
        <v>180</v>
      </c>
      <c r="H81" t="n">
        <v>12</v>
      </c>
      <c r="I81" t="s">
        <v>278</v>
      </c>
      <c r="J81" t="n">
        <v>0</v>
      </c>
      <c r="K81" t="n">
        <v>0</v>
      </c>
      <c r="L81" t="n">
        <v>0</v>
      </c>
      <c r="M81" t="n">
        <v>12</v>
      </c>
      <c r="N81" t="n">
        <v>0</v>
      </c>
      <c r="O81" t="n">
        <v>-0.5</v>
      </c>
      <c r="P81" t="n">
        <v>10</v>
      </c>
      <c r="Q81" t="n">
        <v>12</v>
      </c>
      <c r="R81" t="s">
        <v>287</v>
      </c>
      <c r="S81" t="s">
        <v>285</v>
      </c>
      <c r="T81" t="n">
        <v>-0.25</v>
      </c>
    </row>
    <row r="82">
      <c r="A82" t="s">
        <v>30</v>
      </c>
      <c r="B82" t="n">
        <v>1.18</v>
      </c>
      <c r="C82" t="n">
        <v>1.24</v>
      </c>
      <c r="D82" t="n">
        <v>1.2</v>
      </c>
      <c r="E82" t="n">
        <v>-5</v>
      </c>
      <c r="F82" t="n">
        <v>-0.25</v>
      </c>
      <c r="G82" t="n">
        <v>155</v>
      </c>
      <c r="H82" t="n">
        <v>12</v>
      </c>
      <c r="I82" t="s">
        <v>281</v>
      </c>
      <c r="J82" t="n">
        <v>0</v>
      </c>
      <c r="K82" t="n">
        <v>0</v>
      </c>
      <c r="L82" t="n">
        <v>0</v>
      </c>
      <c r="M82" t="n">
        <v>12</v>
      </c>
      <c r="N82" t="n">
        <v>0</v>
      </c>
      <c r="O82" t="n">
        <v>-0.25</v>
      </c>
      <c r="P82" t="n">
        <v>160</v>
      </c>
      <c r="Q82" t="n">
        <v>12</v>
      </c>
      <c r="R82" t="s">
        <v>281</v>
      </c>
      <c r="S82" t="s">
        <v>283</v>
      </c>
      <c r="T82" t="n">
        <v>-0.25</v>
      </c>
    </row>
    <row r="83">
      <c r="A83" t="s">
        <v>30</v>
      </c>
      <c r="B83" t="n">
        <v>1.04</v>
      </c>
      <c r="C83" t="n">
        <v>1.07</v>
      </c>
      <c r="D83" t="n">
        <v>1.02</v>
      </c>
      <c r="E83" t="n">
        <v>-3</v>
      </c>
      <c r="F83" t="n">
        <v>-0.5</v>
      </c>
      <c r="G83" t="n">
        <v>84</v>
      </c>
      <c r="H83" t="n">
        <v>12</v>
      </c>
      <c r="I83" t="s">
        <v>275</v>
      </c>
      <c r="J83" t="n">
        <v>0</v>
      </c>
      <c r="K83" t="n">
        <v>0</v>
      </c>
      <c r="L83" t="n">
        <v>0</v>
      </c>
      <c r="M83" t="n">
        <v>12</v>
      </c>
      <c r="N83" t="n">
        <v>0.5</v>
      </c>
      <c r="O83" t="n">
        <v>-0.25</v>
      </c>
      <c r="P83" t="n">
        <v>101</v>
      </c>
      <c r="Q83" t="n">
        <v>12</v>
      </c>
      <c r="R83" t="s">
        <v>276</v>
      </c>
      <c r="S83" t="s">
        <v>275</v>
      </c>
      <c r="T83" t="n">
        <v>0.25</v>
      </c>
    </row>
    <row r="84">
      <c r="A84" t="s">
        <v>30</v>
      </c>
      <c r="B84" t="n">
        <v>1.02</v>
      </c>
      <c r="C84" t="n">
        <v>0.91</v>
      </c>
      <c r="D84" t="n">
        <v>1.01</v>
      </c>
      <c r="E84" t="n">
        <v>-1.5</v>
      </c>
      <c r="F84" t="n">
        <v>-0.75</v>
      </c>
      <c r="G84" t="n">
        <v>168</v>
      </c>
      <c r="H84" t="n">
        <v>12</v>
      </c>
      <c r="I84" t="s">
        <v>276</v>
      </c>
      <c r="J84" t="n">
        <v>0</v>
      </c>
      <c r="K84" t="n">
        <v>0</v>
      </c>
      <c r="L84" t="n">
        <v>0</v>
      </c>
      <c r="M84" t="n">
        <v>12</v>
      </c>
      <c r="N84" t="n">
        <v>0.5</v>
      </c>
      <c r="O84" t="n">
        <v>-0.75</v>
      </c>
      <c r="P84" t="n">
        <v>163</v>
      </c>
      <c r="Q84" t="n">
        <v>12</v>
      </c>
      <c r="R84" t="s">
        <v>276</v>
      </c>
      <c r="S84" t="s">
        <v>278</v>
      </c>
      <c r="T84" t="n">
        <v>0.25</v>
      </c>
    </row>
    <row r="85">
      <c r="A85" t="s">
        <v>30</v>
      </c>
      <c r="B85" t="n">
        <v>0.93</v>
      </c>
      <c r="C85" t="n">
        <v>0.85</v>
      </c>
      <c r="D85" t="n">
        <v>0.9</v>
      </c>
      <c r="E85" t="n">
        <v>-1.25</v>
      </c>
      <c r="F85" t="n">
        <v>-1.75</v>
      </c>
      <c r="G85" t="n">
        <v>178</v>
      </c>
      <c r="H85" t="n">
        <v>12</v>
      </c>
      <c r="I85" t="s">
        <v>278</v>
      </c>
      <c r="J85" t="n">
        <v>0</v>
      </c>
      <c r="K85" t="n">
        <v>0</v>
      </c>
      <c r="L85" t="n">
        <v>0</v>
      </c>
      <c r="M85" t="n">
        <v>12</v>
      </c>
      <c r="N85" t="n">
        <v>0</v>
      </c>
      <c r="O85" t="n">
        <v>0</v>
      </c>
      <c r="P85" t="n">
        <v>16</v>
      </c>
      <c r="Q85" t="n">
        <v>12</v>
      </c>
      <c r="R85" t="s">
        <v>278</v>
      </c>
      <c r="S85" t="s">
        <v>285</v>
      </c>
      <c r="T85" t="n">
        <v>0</v>
      </c>
    </row>
    <row r="86">
      <c r="A86" t="s">
        <v>30</v>
      </c>
      <c r="B86" t="n">
        <v>1</v>
      </c>
      <c r="C86" t="n">
        <v>0.99</v>
      </c>
      <c r="D86" t="n">
        <v>1.05</v>
      </c>
      <c r="E86" t="n">
        <v>-1.5</v>
      </c>
      <c r="F86" t="n">
        <v>-1.25</v>
      </c>
      <c r="G86" t="n">
        <v>99</v>
      </c>
      <c r="H86" t="n">
        <v>12</v>
      </c>
      <c r="I86" t="s">
        <v>276</v>
      </c>
      <c r="J86" t="n">
        <v>0</v>
      </c>
      <c r="K86" t="n">
        <v>0</v>
      </c>
      <c r="L86" t="n">
        <v>0</v>
      </c>
      <c r="M86" t="n">
        <v>12</v>
      </c>
      <c r="N86" t="n">
        <v>-0.25</v>
      </c>
      <c r="O86" t="n">
        <v>0</v>
      </c>
      <c r="P86" t="n">
        <v>79</v>
      </c>
      <c r="Q86" t="n">
        <v>12</v>
      </c>
      <c r="R86" t="s">
        <v>275</v>
      </c>
      <c r="S86" t="s">
        <v>276</v>
      </c>
      <c r="T86" t="n">
        <v>-0.25</v>
      </c>
    </row>
    <row r="87">
      <c r="A87" t="s">
        <v>30</v>
      </c>
      <c r="B87" t="n">
        <v>1.03</v>
      </c>
      <c r="C87" t="n">
        <v>1.03</v>
      </c>
      <c r="D87" t="n">
        <v>1.01</v>
      </c>
      <c r="E87" t="n">
        <v>-3.5</v>
      </c>
      <c r="F87" t="n">
        <v>-0.75</v>
      </c>
      <c r="G87" t="n">
        <v>96</v>
      </c>
      <c r="H87" t="n">
        <v>12</v>
      </c>
      <c r="I87" t="s">
        <v>275</v>
      </c>
      <c r="J87" t="n">
        <v>0</v>
      </c>
      <c r="K87" t="n">
        <v>0</v>
      </c>
      <c r="L87" t="n">
        <v>0</v>
      </c>
      <c r="M87" t="n">
        <v>12</v>
      </c>
      <c r="N87" t="n">
        <v>-0.5</v>
      </c>
      <c r="O87" t="n">
        <v>0</v>
      </c>
      <c r="P87" t="n">
        <v>6</v>
      </c>
      <c r="Q87" t="n">
        <v>12</v>
      </c>
      <c r="R87" t="s">
        <v>276</v>
      </c>
      <c r="S87" t="s">
        <v>275</v>
      </c>
      <c r="T87" t="n">
        <v>-0.5</v>
      </c>
    </row>
    <row r="88">
      <c r="A88" t="s">
        <v>30</v>
      </c>
      <c r="B88" t="n">
        <v>1.12</v>
      </c>
      <c r="C88" t="n">
        <v>1.22</v>
      </c>
      <c r="D88" t="n">
        <v>1.14</v>
      </c>
      <c r="E88" t="n">
        <v>-6</v>
      </c>
      <c r="F88" t="n">
        <v>0</v>
      </c>
      <c r="G88" t="n">
        <v>93</v>
      </c>
      <c r="H88" t="n">
        <v>12</v>
      </c>
      <c r="I88" t="s">
        <v>280</v>
      </c>
      <c r="J88" t="n">
        <v>0</v>
      </c>
      <c r="K88" t="n">
        <v>0</v>
      </c>
      <c r="L88" t="n">
        <v>0</v>
      </c>
      <c r="M88" t="n">
        <v>12</v>
      </c>
      <c r="N88" t="n">
        <v>0</v>
      </c>
      <c r="O88" t="n">
        <v>-0.5</v>
      </c>
      <c r="P88" t="n">
        <v>70</v>
      </c>
      <c r="Q88" t="n">
        <v>12</v>
      </c>
      <c r="R88" t="s">
        <v>284</v>
      </c>
      <c r="S88" t="s">
        <v>281</v>
      </c>
      <c r="T88" t="n">
        <v>-0.25</v>
      </c>
    </row>
    <row r="89">
      <c r="A89" t="s">
        <v>30</v>
      </c>
      <c r="B89" t="n">
        <v>0.98</v>
      </c>
      <c r="C89" t="n">
        <v>0.98</v>
      </c>
      <c r="D89" t="n">
        <v>0.97</v>
      </c>
      <c r="E89" t="n">
        <v>-6.25</v>
      </c>
      <c r="F89" t="n">
        <v>-0.25</v>
      </c>
      <c r="G89" t="n">
        <v>40</v>
      </c>
      <c r="H89" t="n">
        <v>12</v>
      </c>
      <c r="I89" t="s">
        <v>276</v>
      </c>
      <c r="J89" t="n">
        <v>0</v>
      </c>
      <c r="K89" t="n">
        <v>0</v>
      </c>
      <c r="L89" t="n">
        <v>0</v>
      </c>
      <c r="M89" t="n">
        <v>12</v>
      </c>
      <c r="N89" t="n">
        <v>0.25</v>
      </c>
      <c r="O89" t="n">
        <v>0</v>
      </c>
      <c r="P89" t="n">
        <v>139</v>
      </c>
      <c r="Q89" t="n">
        <v>12</v>
      </c>
      <c r="R89" t="s">
        <v>277</v>
      </c>
      <c r="S89" t="s">
        <v>276</v>
      </c>
      <c r="T89" t="n">
        <v>0.25</v>
      </c>
    </row>
    <row r="90">
      <c r="A90" t="s">
        <v>30</v>
      </c>
      <c r="B90" t="n">
        <v>0.96</v>
      </c>
      <c r="C90" t="n">
        <v>0.94</v>
      </c>
      <c r="D90" t="n">
        <v>1.01</v>
      </c>
      <c r="E90" t="n">
        <v>-6.5</v>
      </c>
      <c r="F90" t="n">
        <v>-0.25</v>
      </c>
      <c r="G90" t="n">
        <v>138</v>
      </c>
      <c r="H90" t="n">
        <v>12</v>
      </c>
      <c r="I90" t="s">
        <v>277</v>
      </c>
      <c r="J90" t="n">
        <v>0</v>
      </c>
      <c r="K90" t="n">
        <v>0</v>
      </c>
      <c r="L90" t="n">
        <v>0</v>
      </c>
      <c r="M90" t="n">
        <v>12</v>
      </c>
      <c r="N90" t="n">
        <v>0.25</v>
      </c>
      <c r="O90" t="n">
        <v>0</v>
      </c>
      <c r="P90" t="n">
        <v>131</v>
      </c>
      <c r="Q90" t="n">
        <v>12</v>
      </c>
      <c r="R90" t="s">
        <v>276</v>
      </c>
      <c r="S90" t="s">
        <v>277</v>
      </c>
      <c r="T90" t="n">
        <v>0.25</v>
      </c>
    </row>
    <row r="91">
      <c r="A91" t="s">
        <v>30</v>
      </c>
      <c r="B91" t="n">
        <v>0.92</v>
      </c>
      <c r="C91" t="n">
        <v>0.89</v>
      </c>
      <c r="D91" t="n">
        <v>0.9</v>
      </c>
      <c r="E91" t="n">
        <v>-7</v>
      </c>
      <c r="F91" t="n">
        <v>-0.25</v>
      </c>
      <c r="G91" t="n">
        <v>80</v>
      </c>
      <c r="H91" t="n">
        <v>12</v>
      </c>
      <c r="I91" t="s">
        <v>278</v>
      </c>
      <c r="J91" t="n">
        <v>0</v>
      </c>
      <c r="K91" t="n">
        <v>0</v>
      </c>
      <c r="L91" t="n">
        <v>0</v>
      </c>
      <c r="M91" t="n">
        <v>12</v>
      </c>
      <c r="N91" t="n">
        <v>0.5</v>
      </c>
      <c r="O91" t="n">
        <v>-0.25</v>
      </c>
      <c r="P91" t="n">
        <v>56</v>
      </c>
      <c r="Q91" t="n">
        <v>12</v>
      </c>
      <c r="R91" t="s">
        <v>278</v>
      </c>
      <c r="S91" t="s">
        <v>287</v>
      </c>
      <c r="T91" t="n">
        <v>0.5</v>
      </c>
    </row>
    <row r="92">
      <c r="A92" t="s">
        <v>30</v>
      </c>
      <c r="B92" t="n">
        <v>1</v>
      </c>
      <c r="C92" t="n">
        <v>0.89</v>
      </c>
      <c r="D92" t="n">
        <v>0.98</v>
      </c>
      <c r="E92" t="n">
        <v>-5.75</v>
      </c>
      <c r="F92" t="n">
        <v>-0.25</v>
      </c>
      <c r="G92" t="n">
        <v>20</v>
      </c>
      <c r="H92" t="n">
        <v>12</v>
      </c>
      <c r="I92" t="s">
        <v>276</v>
      </c>
      <c r="J92" t="n">
        <v>0</v>
      </c>
      <c r="K92" t="n">
        <v>0</v>
      </c>
      <c r="L92" t="n">
        <v>0</v>
      </c>
      <c r="M92" t="n">
        <v>12</v>
      </c>
      <c r="N92" t="n">
        <v>0.5</v>
      </c>
      <c r="O92" t="n">
        <v>-0.25</v>
      </c>
      <c r="P92" t="n">
        <v>25</v>
      </c>
      <c r="Q92" t="n">
        <v>12</v>
      </c>
      <c r="R92" t="s">
        <v>276</v>
      </c>
      <c r="S92" t="s">
        <v>287</v>
      </c>
      <c r="T92" t="n">
        <v>0.25</v>
      </c>
    </row>
    <row r="93">
      <c r="A93" t="s">
        <v>30</v>
      </c>
      <c r="B93" t="n">
        <v>0.97</v>
      </c>
      <c r="C93" t="n">
        <v>0.96</v>
      </c>
      <c r="D93" t="n">
        <v>1.02</v>
      </c>
      <c r="E93" t="n">
        <v>-3.75</v>
      </c>
      <c r="F93" t="n">
        <v>-0.5</v>
      </c>
      <c r="G93" t="n">
        <v>85</v>
      </c>
      <c r="H93" t="n">
        <v>12</v>
      </c>
      <c r="I93" t="s">
        <v>277</v>
      </c>
      <c r="J93" t="n">
        <v>0</v>
      </c>
      <c r="K93" t="n">
        <v>0</v>
      </c>
      <c r="L93" t="n">
        <v>0</v>
      </c>
      <c r="M93" t="n">
        <v>12</v>
      </c>
      <c r="N93" t="n">
        <v>0.5</v>
      </c>
      <c r="O93" t="n">
        <v>-0.25</v>
      </c>
      <c r="P93" t="n">
        <v>78</v>
      </c>
      <c r="Q93" t="n">
        <v>12</v>
      </c>
      <c r="R93" t="s">
        <v>276</v>
      </c>
      <c r="S93" t="s">
        <v>277</v>
      </c>
      <c r="T93" t="n">
        <v>0.25</v>
      </c>
    </row>
    <row r="94">
      <c r="A94" t="s">
        <v>30</v>
      </c>
      <c r="B94" t="n">
        <v>1.02</v>
      </c>
      <c r="C94" t="n">
        <v>0.94</v>
      </c>
      <c r="D94" t="n">
        <v>1.03</v>
      </c>
      <c r="E94" t="n">
        <v>-6.5</v>
      </c>
      <c r="F94" t="n">
        <v>-0.25</v>
      </c>
      <c r="G94" t="n">
        <v>87</v>
      </c>
      <c r="H94" t="n">
        <v>12</v>
      </c>
      <c r="I94" t="s">
        <v>276</v>
      </c>
      <c r="J94" t="n">
        <v>0</v>
      </c>
      <c r="K94" t="n">
        <v>0</v>
      </c>
      <c r="L94" t="n">
        <v>0</v>
      </c>
      <c r="M94" t="n">
        <v>12</v>
      </c>
      <c r="N94" t="n">
        <v>-0.25</v>
      </c>
      <c r="O94" t="n">
        <v>0</v>
      </c>
      <c r="P94" t="n">
        <v>149</v>
      </c>
      <c r="Q94" t="n">
        <v>12</v>
      </c>
      <c r="R94" t="s">
        <v>275</v>
      </c>
      <c r="S94" t="s">
        <v>277</v>
      </c>
      <c r="T94" t="n">
        <v>-0.25</v>
      </c>
    </row>
    <row r="95">
      <c r="A95" t="s">
        <v>30</v>
      </c>
      <c r="B95" t="n">
        <v>1.05</v>
      </c>
      <c r="C95" t="n">
        <v>1.08</v>
      </c>
      <c r="D95" t="n">
        <v>1.07</v>
      </c>
      <c r="E95" t="n">
        <v>-7</v>
      </c>
      <c r="F95" t="n">
        <v>-0.25</v>
      </c>
      <c r="G95" t="n">
        <v>100</v>
      </c>
      <c r="H95" t="n">
        <v>12</v>
      </c>
      <c r="I95" t="s">
        <v>275</v>
      </c>
      <c r="J95" t="n">
        <v>0</v>
      </c>
      <c r="K95" t="n">
        <v>0</v>
      </c>
      <c r="L95" t="n">
        <v>0</v>
      </c>
      <c r="M95" t="n">
        <v>12</v>
      </c>
      <c r="N95" t="n">
        <v>0.5</v>
      </c>
      <c r="O95" t="n">
        <v>-0.25</v>
      </c>
      <c r="P95" t="n">
        <v>122</v>
      </c>
      <c r="Q95" t="n">
        <v>12</v>
      </c>
      <c r="R95" t="s">
        <v>275</v>
      </c>
      <c r="S95" t="s">
        <v>280</v>
      </c>
      <c r="T95" t="n">
        <v>0.25</v>
      </c>
    </row>
    <row r="96">
      <c r="A96" t="s">
        <v>30</v>
      </c>
      <c r="B96" t="n">
        <v>1.1</v>
      </c>
      <c r="C96" t="n">
        <v>1.09</v>
      </c>
      <c r="D96" t="n">
        <v>1.12</v>
      </c>
      <c r="E96" t="n">
        <v>-4</v>
      </c>
      <c r="F96" t="n">
        <v>-0.25</v>
      </c>
      <c r="G96" t="n">
        <v>94</v>
      </c>
      <c r="H96" t="n">
        <v>12</v>
      </c>
      <c r="I96" t="s">
        <v>280</v>
      </c>
      <c r="J96" t="n">
        <v>0</v>
      </c>
      <c r="K96" t="n">
        <v>0</v>
      </c>
      <c r="L96" t="n">
        <v>0</v>
      </c>
      <c r="M96" t="n">
        <v>12</v>
      </c>
      <c r="N96" t="n">
        <v>-0.25</v>
      </c>
      <c r="O96" t="n">
        <v>0</v>
      </c>
      <c r="P96" t="n">
        <v>78</v>
      </c>
      <c r="Q96" t="n">
        <v>12</v>
      </c>
      <c r="R96" t="s">
        <v>280</v>
      </c>
      <c r="S96" t="s">
        <v>280</v>
      </c>
      <c r="T96" t="n">
        <v>-0.25</v>
      </c>
    </row>
    <row r="97">
      <c r="A97" t="s">
        <v>30</v>
      </c>
      <c r="B97" t="n">
        <v>1.08</v>
      </c>
      <c r="C97" t="n">
        <v>1.12</v>
      </c>
      <c r="D97" t="n">
        <v>1.11</v>
      </c>
      <c r="E97" t="n">
        <v>-1.25</v>
      </c>
      <c r="F97" t="n">
        <v>-0.75</v>
      </c>
      <c r="G97" t="n">
        <v>102</v>
      </c>
      <c r="H97" t="n">
        <v>12</v>
      </c>
      <c r="I97" t="s">
        <v>280</v>
      </c>
      <c r="J97" t="n">
        <v>0</v>
      </c>
      <c r="K97" t="n">
        <v>0</v>
      </c>
      <c r="L97" t="n">
        <v>0</v>
      </c>
      <c r="M97" t="n">
        <v>12</v>
      </c>
      <c r="N97" t="n">
        <v>0</v>
      </c>
      <c r="O97" t="n">
        <v>0</v>
      </c>
      <c r="P97" t="n">
        <v>0</v>
      </c>
      <c r="Q97" t="n">
        <v>12</v>
      </c>
      <c r="R97" t="s">
        <v>280</v>
      </c>
      <c r="S97" t="s">
        <v>280</v>
      </c>
      <c r="T97" t="n">
        <v>0</v>
      </c>
    </row>
    <row r="98">
      <c r="A98" t="s">
        <v>30</v>
      </c>
      <c r="B98" t="n">
        <v>0.97</v>
      </c>
      <c r="C98" t="n">
        <v>1.02</v>
      </c>
      <c r="D98" t="n">
        <v>0.99</v>
      </c>
      <c r="E98" t="n">
        <v>-5.75</v>
      </c>
      <c r="F98" t="n">
        <v>-0.5</v>
      </c>
      <c r="G98" t="n">
        <v>95</v>
      </c>
      <c r="H98" t="n">
        <v>12</v>
      </c>
      <c r="I98" t="s">
        <v>277</v>
      </c>
      <c r="J98" t="n">
        <v>0</v>
      </c>
      <c r="K98" t="n">
        <v>0</v>
      </c>
      <c r="L98" t="n">
        <v>0</v>
      </c>
      <c r="M98" t="n">
        <v>12</v>
      </c>
      <c r="N98" t="n">
        <v>0</v>
      </c>
      <c r="O98" t="n">
        <v>-0.25</v>
      </c>
      <c r="P98" t="n">
        <v>89</v>
      </c>
      <c r="Q98" t="n">
        <v>12</v>
      </c>
      <c r="R98" t="s">
        <v>276</v>
      </c>
      <c r="S98" t="s">
        <v>276</v>
      </c>
      <c r="T98" t="n">
        <v>-0.25</v>
      </c>
    </row>
    <row r="99">
      <c r="A99" t="s">
        <v>30</v>
      </c>
      <c r="B99" t="n">
        <v>0.93</v>
      </c>
      <c r="C99" t="n">
        <v>0.92</v>
      </c>
      <c r="D99" t="n">
        <v>0.99</v>
      </c>
      <c r="E99" t="n">
        <v>-6</v>
      </c>
      <c r="F99" t="n">
        <v>-0.25</v>
      </c>
      <c r="G99" t="n">
        <v>156</v>
      </c>
      <c r="H99" t="n">
        <v>12</v>
      </c>
      <c r="I99" t="s">
        <v>278</v>
      </c>
      <c r="J99" t="n">
        <v>0</v>
      </c>
      <c r="K99" t="n">
        <v>0</v>
      </c>
      <c r="L99" t="n">
        <v>0</v>
      </c>
      <c r="M99" t="n">
        <v>12</v>
      </c>
      <c r="N99" t="n">
        <v>0.25</v>
      </c>
      <c r="O99" t="n">
        <v>0</v>
      </c>
      <c r="P99" t="n">
        <v>91</v>
      </c>
      <c r="Q99" t="n">
        <v>12</v>
      </c>
      <c r="R99" t="s">
        <v>276</v>
      </c>
      <c r="S99" t="s">
        <v>278</v>
      </c>
      <c r="T99" t="n">
        <v>0.25</v>
      </c>
    </row>
    <row r="100">
      <c r="A100" t="s">
        <v>30</v>
      </c>
      <c r="B100" t="n">
        <v>0.88</v>
      </c>
      <c r="C100" t="n">
        <v>0.71</v>
      </c>
      <c r="D100" t="n">
        <v>0.86</v>
      </c>
      <c r="E100" t="n">
        <v>-7.5</v>
      </c>
      <c r="F100" t="n">
        <v>-0.25</v>
      </c>
      <c r="G100" t="n">
        <v>79</v>
      </c>
      <c r="H100" t="n">
        <v>12</v>
      </c>
      <c r="I100" t="s">
        <v>287</v>
      </c>
      <c r="J100" t="n">
        <v>0</v>
      </c>
      <c r="K100" t="n">
        <v>0</v>
      </c>
      <c r="L100" t="n">
        <v>0</v>
      </c>
      <c r="M100" t="n">
        <v>12</v>
      </c>
      <c r="N100" t="n">
        <v>0.5</v>
      </c>
      <c r="O100" t="n">
        <v>0</v>
      </c>
      <c r="P100" t="n">
        <v>65</v>
      </c>
      <c r="Q100" t="n">
        <v>12</v>
      </c>
      <c r="R100" t="s">
        <v>287</v>
      </c>
      <c r="S100" t="s">
        <v>289</v>
      </c>
      <c r="T100" t="n">
        <v>0.5</v>
      </c>
    </row>
    <row r="101">
      <c r="A101" t="s">
        <v>30</v>
      </c>
      <c r="B101" t="n">
        <v>0.98</v>
      </c>
      <c r="C101" t="n">
        <v>1</v>
      </c>
      <c r="D101" t="n">
        <v>0.95</v>
      </c>
      <c r="E101" t="n">
        <v>-2</v>
      </c>
      <c r="F101" t="n">
        <v>-0.25</v>
      </c>
      <c r="G101" t="n">
        <v>92</v>
      </c>
      <c r="H101" t="n">
        <v>12</v>
      </c>
      <c r="I101" t="s">
        <v>276</v>
      </c>
      <c r="J101" t="n">
        <v>0</v>
      </c>
      <c r="K101" t="n">
        <v>0</v>
      </c>
      <c r="L101" t="n">
        <v>0</v>
      </c>
      <c r="M101" t="n">
        <v>12</v>
      </c>
      <c r="N101" t="n">
        <v>0</v>
      </c>
      <c r="O101" t="n">
        <v>-0.25</v>
      </c>
      <c r="P101" t="n">
        <v>69</v>
      </c>
      <c r="Q101" t="n">
        <v>12</v>
      </c>
      <c r="R101" t="s">
        <v>277</v>
      </c>
      <c r="S101" t="s">
        <v>276</v>
      </c>
      <c r="T101" t="n">
        <v>-0.25</v>
      </c>
    </row>
    <row r="102">
      <c r="A102" t="s">
        <v>30</v>
      </c>
      <c r="B102" t="n">
        <v>1.1</v>
      </c>
      <c r="C102" t="n">
        <v>1.11</v>
      </c>
      <c r="D102" t="n">
        <v>1.12</v>
      </c>
      <c r="E102" t="n">
        <v>-5</v>
      </c>
      <c r="F102" t="n">
        <v>0</v>
      </c>
      <c r="G102" t="n">
        <v>3</v>
      </c>
      <c r="H102" t="n">
        <v>12</v>
      </c>
      <c r="I102" t="s">
        <v>280</v>
      </c>
      <c r="J102" t="n">
        <v>0</v>
      </c>
      <c r="K102" t="n">
        <v>0</v>
      </c>
      <c r="L102" t="n">
        <v>0</v>
      </c>
      <c r="M102" t="n">
        <v>12</v>
      </c>
      <c r="N102" t="n">
        <v>0.25</v>
      </c>
      <c r="O102" t="n">
        <v>0</v>
      </c>
      <c r="P102" t="n">
        <v>28</v>
      </c>
      <c r="Q102" t="n">
        <v>12</v>
      </c>
      <c r="R102" t="s">
        <v>280</v>
      </c>
      <c r="S102" t="s">
        <v>280</v>
      </c>
      <c r="T102" t="n">
        <v>0.25</v>
      </c>
    </row>
    <row r="103">
      <c r="A103" t="s">
        <v>30</v>
      </c>
      <c r="B103" t="n">
        <v>1.03</v>
      </c>
      <c r="C103" t="n">
        <v>1.05</v>
      </c>
      <c r="D103" t="n">
        <v>1.02</v>
      </c>
      <c r="E103" t="n">
        <v>-1.5</v>
      </c>
      <c r="F103" t="n">
        <v>-0.75</v>
      </c>
      <c r="G103" t="n">
        <v>104</v>
      </c>
      <c r="H103" t="n">
        <v>12</v>
      </c>
      <c r="I103" t="s">
        <v>275</v>
      </c>
      <c r="J103" t="n">
        <v>0</v>
      </c>
      <c r="K103" t="n">
        <v>0</v>
      </c>
      <c r="L103" t="n">
        <v>0</v>
      </c>
      <c r="M103" t="n">
        <v>12</v>
      </c>
      <c r="N103" t="n">
        <v>0</v>
      </c>
      <c r="O103" t="n">
        <v>-0.25</v>
      </c>
      <c r="P103" t="n">
        <v>103</v>
      </c>
      <c r="Q103" t="n">
        <v>12</v>
      </c>
      <c r="R103" t="s">
        <v>276</v>
      </c>
      <c r="S103" t="s">
        <v>275</v>
      </c>
      <c r="T103" t="n">
        <v>0</v>
      </c>
    </row>
    <row r="104">
      <c r="A104" t="s">
        <v>30</v>
      </c>
      <c r="B104" t="n">
        <v>1.07</v>
      </c>
      <c r="C104" t="n">
        <v>1.25</v>
      </c>
      <c r="D104" t="n">
        <v>1.12</v>
      </c>
      <c r="E104" t="n">
        <v>-4.25</v>
      </c>
      <c r="F104" t="n">
        <v>-0.75</v>
      </c>
      <c r="G104" t="n">
        <v>174</v>
      </c>
      <c r="H104" t="n">
        <v>12</v>
      </c>
      <c r="I104" t="s">
        <v>275</v>
      </c>
      <c r="J104" t="n">
        <v>0</v>
      </c>
      <c r="K104" t="n">
        <v>0</v>
      </c>
      <c r="L104" t="n">
        <v>0</v>
      </c>
      <c r="M104" t="n">
        <v>12</v>
      </c>
      <c r="N104" t="n">
        <v>0</v>
      </c>
      <c r="O104" t="n">
        <v>-0.25</v>
      </c>
      <c r="P104" t="n">
        <v>32</v>
      </c>
      <c r="Q104" t="n">
        <v>12</v>
      </c>
      <c r="R104" t="s">
        <v>280</v>
      </c>
      <c r="S104" t="s">
        <v>283</v>
      </c>
      <c r="T104" t="n">
        <v>0</v>
      </c>
    </row>
    <row r="105">
      <c r="A105" t="s">
        <v>30</v>
      </c>
      <c r="B105" t="n">
        <v>1.07</v>
      </c>
      <c r="C105" t="n">
        <v>1.07</v>
      </c>
      <c r="D105" t="n">
        <v>1.07</v>
      </c>
      <c r="E105" t="n">
        <v>-1.75</v>
      </c>
      <c r="F105" t="n">
        <v>-1</v>
      </c>
      <c r="G105" t="n">
        <v>162</v>
      </c>
      <c r="H105" t="n">
        <v>12</v>
      </c>
      <c r="I105" t="s">
        <v>275</v>
      </c>
      <c r="J105" t="n">
        <v>0</v>
      </c>
      <c r="K105" t="n">
        <v>0</v>
      </c>
      <c r="L105" t="n">
        <v>0</v>
      </c>
      <c r="M105" t="n">
        <v>12</v>
      </c>
      <c r="N105" t="n">
        <v>-0.25</v>
      </c>
      <c r="O105" t="n">
        <v>0</v>
      </c>
      <c r="P105" t="n">
        <v>78</v>
      </c>
      <c r="Q105" t="n">
        <v>12</v>
      </c>
      <c r="R105" t="s">
        <v>275</v>
      </c>
      <c r="S105" t="s">
        <v>275</v>
      </c>
      <c r="T105" t="n">
        <v>-0.25</v>
      </c>
    </row>
    <row r="106">
      <c r="A106" t="s">
        <v>30</v>
      </c>
      <c r="B106" t="n">
        <v>1</v>
      </c>
      <c r="C106" t="n">
        <v>0.91</v>
      </c>
      <c r="D106" t="n">
        <v>1</v>
      </c>
      <c r="E106" t="n">
        <v>-5</v>
      </c>
      <c r="F106" t="n">
        <v>-1</v>
      </c>
      <c r="G106" t="n">
        <v>177</v>
      </c>
      <c r="H106" t="n">
        <v>12</v>
      </c>
      <c r="I106" t="s">
        <v>276</v>
      </c>
      <c r="J106" t="n">
        <v>0</v>
      </c>
      <c r="K106" t="n">
        <v>0</v>
      </c>
      <c r="L106" t="n">
        <v>0</v>
      </c>
      <c r="M106" t="n">
        <v>12</v>
      </c>
      <c r="N106" t="n">
        <v>0</v>
      </c>
      <c r="O106" t="n">
        <v>-0.25</v>
      </c>
      <c r="P106" t="n">
        <v>177</v>
      </c>
      <c r="Q106" t="n">
        <v>12</v>
      </c>
      <c r="R106" t="s">
        <v>276</v>
      </c>
      <c r="S106" t="s">
        <v>278</v>
      </c>
      <c r="T106" t="n">
        <v>0</v>
      </c>
    </row>
    <row r="107">
      <c r="A107" t="s">
        <v>30</v>
      </c>
      <c r="B107" t="n">
        <v>1.04</v>
      </c>
      <c r="C107" t="n">
        <v>1.05</v>
      </c>
      <c r="D107" t="n">
        <v>1.05</v>
      </c>
      <c r="E107" t="n">
        <v>-6.75</v>
      </c>
      <c r="F107" t="n">
        <v>-0.75</v>
      </c>
      <c r="G107" t="n">
        <v>83</v>
      </c>
      <c r="H107" t="n">
        <v>12</v>
      </c>
      <c r="I107" t="s">
        <v>275</v>
      </c>
      <c r="J107" t="n">
        <v>0</v>
      </c>
      <c r="K107" t="n">
        <v>0</v>
      </c>
      <c r="L107" t="n">
        <v>0</v>
      </c>
      <c r="M107" t="n">
        <v>12</v>
      </c>
      <c r="N107" t="n">
        <v>0.5</v>
      </c>
      <c r="O107" t="n">
        <v>-0.25</v>
      </c>
      <c r="P107" t="n">
        <v>100</v>
      </c>
      <c r="Q107" t="n">
        <v>12</v>
      </c>
      <c r="R107" t="s">
        <v>275</v>
      </c>
      <c r="S107" t="s">
        <v>275</v>
      </c>
      <c r="T107" t="n">
        <v>0.25</v>
      </c>
    </row>
    <row r="108">
      <c r="A108" t="s">
        <v>30</v>
      </c>
      <c r="B108" t="n">
        <v>1</v>
      </c>
      <c r="C108" t="n">
        <v>0.93</v>
      </c>
      <c r="D108" t="n">
        <v>0.93</v>
      </c>
      <c r="E108" t="n">
        <v>-1</v>
      </c>
      <c r="F108" t="n">
        <v>0</v>
      </c>
      <c r="G108" t="n">
        <v>9</v>
      </c>
      <c r="H108" t="n">
        <v>12</v>
      </c>
      <c r="I108" t="s">
        <v>276</v>
      </c>
      <c r="J108" t="n">
        <v>0</v>
      </c>
      <c r="K108" t="n">
        <v>0</v>
      </c>
      <c r="L108" t="n">
        <v>0</v>
      </c>
      <c r="M108" t="n">
        <v>12</v>
      </c>
      <c r="N108" t="n">
        <v>0.5</v>
      </c>
      <c r="O108" t="n">
        <v>-0.25</v>
      </c>
      <c r="P108" t="n">
        <v>159</v>
      </c>
      <c r="Q108" t="n">
        <v>12</v>
      </c>
      <c r="R108" t="s">
        <v>278</v>
      </c>
      <c r="S108" t="s">
        <v>278</v>
      </c>
      <c r="T108" t="n">
        <v>0.25</v>
      </c>
    </row>
    <row r="109">
      <c r="A109" t="s">
        <v>30</v>
      </c>
      <c r="B109" t="n">
        <v>0.95</v>
      </c>
      <c r="C109" t="n">
        <v>0.88</v>
      </c>
      <c r="D109" t="n">
        <v>0.94</v>
      </c>
      <c r="E109" t="n">
        <v>-3.75</v>
      </c>
      <c r="F109" t="n">
        <v>-0.25</v>
      </c>
      <c r="G109" t="n">
        <v>96</v>
      </c>
      <c r="H109" t="n">
        <v>12</v>
      </c>
      <c r="I109" t="s">
        <v>277</v>
      </c>
      <c r="J109" t="n">
        <v>0</v>
      </c>
      <c r="K109" t="n">
        <v>0</v>
      </c>
      <c r="L109" t="n">
        <v>0</v>
      </c>
      <c r="M109" t="n">
        <v>12</v>
      </c>
      <c r="N109" t="n">
        <v>-0.25</v>
      </c>
      <c r="O109" t="n">
        <v>0</v>
      </c>
      <c r="P109" t="n">
        <v>86</v>
      </c>
      <c r="Q109" t="n">
        <v>12</v>
      </c>
      <c r="R109" t="s">
        <v>277</v>
      </c>
      <c r="S109" t="s">
        <v>287</v>
      </c>
      <c r="T109" t="n">
        <v>-0.25</v>
      </c>
    </row>
    <row r="110">
      <c r="A110" t="s">
        <v>30</v>
      </c>
      <c r="B110" t="n">
        <v>1.07</v>
      </c>
      <c r="C110" t="n">
        <v>0.98</v>
      </c>
      <c r="D110" t="n">
        <v>1.1</v>
      </c>
      <c r="E110" t="n">
        <v>-5.25</v>
      </c>
      <c r="F110" t="n">
        <v>-1.25</v>
      </c>
      <c r="G110" t="n">
        <v>98</v>
      </c>
      <c r="H110" t="n">
        <v>12</v>
      </c>
      <c r="I110" t="s">
        <v>275</v>
      </c>
      <c r="J110" t="n">
        <v>0</v>
      </c>
      <c r="K110" t="n">
        <v>0</v>
      </c>
      <c r="L110" t="n">
        <v>0</v>
      </c>
      <c r="M110" t="n">
        <v>12</v>
      </c>
      <c r="N110" t="n">
        <v>-0.5</v>
      </c>
      <c r="O110" t="n">
        <v>-0.25</v>
      </c>
      <c r="P110" t="n">
        <v>98</v>
      </c>
      <c r="Q110" t="n">
        <v>12</v>
      </c>
      <c r="R110" t="s">
        <v>280</v>
      </c>
      <c r="S110" t="s">
        <v>276</v>
      </c>
      <c r="T110" t="n">
        <v>-0.5</v>
      </c>
    </row>
    <row r="111">
      <c r="A111" t="s">
        <v>30</v>
      </c>
      <c r="B111" t="n">
        <v>1.01</v>
      </c>
      <c r="C111" t="n">
        <v>0.86</v>
      </c>
      <c r="D111" t="n">
        <v>1.03</v>
      </c>
      <c r="E111" t="n">
        <v>-5</v>
      </c>
      <c r="F111" t="n">
        <v>-0.5</v>
      </c>
      <c r="G111" t="n">
        <v>86</v>
      </c>
      <c r="H111" t="n">
        <v>12</v>
      </c>
      <c r="I111" t="s">
        <v>276</v>
      </c>
      <c r="J111" t="n">
        <v>0</v>
      </c>
      <c r="K111" t="n">
        <v>0</v>
      </c>
      <c r="L111" t="n">
        <v>0</v>
      </c>
      <c r="M111" t="n">
        <v>12</v>
      </c>
      <c r="N111" t="n">
        <v>-0.5</v>
      </c>
      <c r="O111" t="n">
        <v>0</v>
      </c>
      <c r="P111" t="n">
        <v>85</v>
      </c>
      <c r="Q111" t="n">
        <v>12</v>
      </c>
      <c r="R111" t="s">
        <v>275</v>
      </c>
      <c r="S111" t="s">
        <v>287</v>
      </c>
      <c r="T111" t="n">
        <v>-0.5</v>
      </c>
    </row>
    <row r="112">
      <c r="A112" t="s">
        <v>30</v>
      </c>
      <c r="B112" t="n">
        <v>1.1</v>
      </c>
      <c r="C112" t="n">
        <v>1.19</v>
      </c>
      <c r="D112" t="n">
        <v>1.16</v>
      </c>
      <c r="E112" t="n">
        <v>-4</v>
      </c>
      <c r="F112" t="n">
        <v>0</v>
      </c>
      <c r="G112" t="n">
        <v>99</v>
      </c>
      <c r="H112" t="n">
        <v>12</v>
      </c>
      <c r="I112" t="s">
        <v>280</v>
      </c>
      <c r="J112" t="n">
        <v>0</v>
      </c>
      <c r="K112" t="n">
        <v>0</v>
      </c>
      <c r="L112" t="n">
        <v>0</v>
      </c>
      <c r="M112" t="n">
        <v>12</v>
      </c>
      <c r="N112" t="n">
        <v>0</v>
      </c>
      <c r="O112" t="n">
        <v>-0.25</v>
      </c>
      <c r="P112" t="n">
        <v>111</v>
      </c>
      <c r="Q112" t="n">
        <v>12</v>
      </c>
      <c r="R112" t="s">
        <v>284</v>
      </c>
      <c r="S112" t="s">
        <v>281</v>
      </c>
      <c r="T112" t="n">
        <v>0</v>
      </c>
    </row>
    <row r="113">
      <c r="A113" t="s">
        <v>30</v>
      </c>
      <c r="B113" t="n">
        <v>1.08</v>
      </c>
      <c r="C113" t="n">
        <v>1.05</v>
      </c>
      <c r="D113" t="n">
        <v>1.13</v>
      </c>
      <c r="E113" t="n">
        <v>-1.5</v>
      </c>
      <c r="F113" t="n">
        <v>-1</v>
      </c>
      <c r="G113" t="n">
        <v>58</v>
      </c>
      <c r="H113" t="n">
        <v>12</v>
      </c>
      <c r="I113" t="s">
        <v>280</v>
      </c>
      <c r="J113" t="n">
        <v>0</v>
      </c>
      <c r="K113" t="n">
        <v>0</v>
      </c>
      <c r="L113" t="n">
        <v>0</v>
      </c>
      <c r="M113" t="n">
        <v>12</v>
      </c>
      <c r="N113" t="n">
        <v>-0.25</v>
      </c>
      <c r="O113" t="n">
        <v>0</v>
      </c>
      <c r="P113" t="n">
        <v>65</v>
      </c>
      <c r="Q113" t="n">
        <v>12</v>
      </c>
      <c r="R113" t="s">
        <v>284</v>
      </c>
      <c r="S113" t="s">
        <v>275</v>
      </c>
      <c r="T113" t="n">
        <v>-0.25</v>
      </c>
    </row>
    <row r="114">
      <c r="A114" t="s">
        <v>30</v>
      </c>
      <c r="B114" t="n">
        <v>1.11</v>
      </c>
      <c r="C114" t="n">
        <v>1.14</v>
      </c>
      <c r="D114" t="n">
        <v>1.17</v>
      </c>
      <c r="E114" t="n">
        <v>-3</v>
      </c>
      <c r="F114" t="n">
        <v>-0.25</v>
      </c>
      <c r="G114" t="n">
        <v>99</v>
      </c>
      <c r="H114" t="n">
        <v>12</v>
      </c>
      <c r="I114" t="s">
        <v>280</v>
      </c>
      <c r="J114" t="n">
        <v>0</v>
      </c>
      <c r="K114" t="n">
        <v>0</v>
      </c>
      <c r="L114" t="n">
        <v>0</v>
      </c>
      <c r="M114" t="n">
        <v>12</v>
      </c>
      <c r="N114" t="n">
        <v>0.25</v>
      </c>
      <c r="O114" t="n">
        <v>0</v>
      </c>
      <c r="P114" t="n">
        <v>64</v>
      </c>
      <c r="Q114" t="n">
        <v>12</v>
      </c>
      <c r="R114" t="s">
        <v>284</v>
      </c>
      <c r="S114" t="s">
        <v>284</v>
      </c>
      <c r="T114" t="n">
        <v>0.25</v>
      </c>
    </row>
    <row r="115">
      <c r="A115" t="s">
        <v>30</v>
      </c>
      <c r="B115" t="n">
        <v>1.05</v>
      </c>
      <c r="C115" t="n">
        <v>0.97</v>
      </c>
      <c r="D115" t="n">
        <v>1.02</v>
      </c>
      <c r="E115" t="n">
        <v>-5</v>
      </c>
      <c r="F115" t="n">
        <v>-0.25</v>
      </c>
      <c r="G115" t="n">
        <v>96</v>
      </c>
      <c r="H115" t="n">
        <v>12</v>
      </c>
      <c r="I115" t="s">
        <v>275</v>
      </c>
      <c r="J115" t="n">
        <v>0</v>
      </c>
      <c r="K115" t="n">
        <v>0</v>
      </c>
      <c r="L115" t="n">
        <v>0</v>
      </c>
      <c r="M115" t="n">
        <v>12</v>
      </c>
      <c r="N115" t="n">
        <v>0.25</v>
      </c>
      <c r="O115" t="n">
        <v>0</v>
      </c>
      <c r="P115" t="n">
        <v>43</v>
      </c>
      <c r="Q115" t="n">
        <v>12</v>
      </c>
      <c r="R115" t="s">
        <v>276</v>
      </c>
      <c r="S115" t="s">
        <v>277</v>
      </c>
      <c r="T115" t="n">
        <v>0.25</v>
      </c>
    </row>
    <row r="116">
      <c r="A116" t="s">
        <v>30</v>
      </c>
      <c r="B116" t="n">
        <v>1.04</v>
      </c>
      <c r="C116" t="n">
        <v>0.88</v>
      </c>
      <c r="D116" t="n">
        <v>0.99</v>
      </c>
      <c r="E116" t="n">
        <v>-3.75</v>
      </c>
      <c r="F116" t="n">
        <v>-0.5</v>
      </c>
      <c r="G116" t="n">
        <v>95</v>
      </c>
      <c r="H116" t="n">
        <v>12</v>
      </c>
      <c r="I116" t="s">
        <v>275</v>
      </c>
      <c r="J116" t="n">
        <v>0</v>
      </c>
      <c r="K116" t="n">
        <v>0</v>
      </c>
      <c r="L116" t="n">
        <v>0</v>
      </c>
      <c r="M116" t="n">
        <v>12</v>
      </c>
      <c r="N116" t="n">
        <v>0</v>
      </c>
      <c r="O116" t="n">
        <v>-0.25</v>
      </c>
      <c r="P116" t="n">
        <v>90</v>
      </c>
      <c r="Q116" t="n">
        <v>12</v>
      </c>
      <c r="R116" t="s">
        <v>276</v>
      </c>
      <c r="S116" t="s">
        <v>287</v>
      </c>
      <c r="T116" t="n">
        <v>-0.25</v>
      </c>
    </row>
    <row r="117">
      <c r="A117" t="s">
        <v>30</v>
      </c>
      <c r="B117" t="n">
        <v>1.03</v>
      </c>
      <c r="C117" t="n">
        <v>0.88</v>
      </c>
      <c r="D117" t="n">
        <v>1</v>
      </c>
      <c r="E117" t="n">
        <v>-4.75</v>
      </c>
      <c r="F117" t="n">
        <v>-0.75</v>
      </c>
      <c r="G117" t="n">
        <v>23</v>
      </c>
      <c r="H117" t="n">
        <v>12</v>
      </c>
      <c r="I117" t="s">
        <v>275</v>
      </c>
      <c r="J117" t="n">
        <v>0</v>
      </c>
      <c r="K117" t="n">
        <v>0</v>
      </c>
      <c r="L117" t="n">
        <v>0</v>
      </c>
      <c r="M117" t="n">
        <v>12</v>
      </c>
      <c r="N117" t="n">
        <v>0</v>
      </c>
      <c r="O117" t="n">
        <v>-0.25</v>
      </c>
      <c r="P117" t="n">
        <v>5</v>
      </c>
      <c r="Q117" t="n">
        <v>12</v>
      </c>
      <c r="R117" t="s">
        <v>276</v>
      </c>
      <c r="S117" t="s">
        <v>287</v>
      </c>
      <c r="T117" t="n">
        <v>-0.25</v>
      </c>
    </row>
    <row r="118">
      <c r="A118" t="s">
        <v>30</v>
      </c>
      <c r="B118" t="n">
        <v>1.06</v>
      </c>
      <c r="C118" t="n">
        <v>1.07</v>
      </c>
      <c r="D118" t="n">
        <v>1.05</v>
      </c>
      <c r="E118" t="n">
        <v>-5</v>
      </c>
      <c r="F118" t="n">
        <v>-0.75</v>
      </c>
      <c r="G118" t="n">
        <v>6</v>
      </c>
      <c r="H118" t="n">
        <v>12</v>
      </c>
      <c r="I118" t="s">
        <v>275</v>
      </c>
      <c r="J118" t="n">
        <v>0</v>
      </c>
      <c r="K118" t="n">
        <v>0</v>
      </c>
      <c r="L118" t="n">
        <v>0</v>
      </c>
      <c r="M118" t="n">
        <v>12</v>
      </c>
      <c r="N118" t="n">
        <v>0.5</v>
      </c>
      <c r="O118" t="n">
        <v>0</v>
      </c>
      <c r="P118" t="n">
        <v>26</v>
      </c>
      <c r="Q118" t="n">
        <v>12</v>
      </c>
      <c r="R118" t="s">
        <v>275</v>
      </c>
      <c r="S118" t="s">
        <v>275</v>
      </c>
      <c r="T118" t="n">
        <v>0.5</v>
      </c>
    </row>
    <row r="119">
      <c r="A119" t="s">
        <v>30</v>
      </c>
      <c r="B119" t="n">
        <v>1.1</v>
      </c>
      <c r="C119" t="n">
        <v>1.08</v>
      </c>
      <c r="D119" t="n">
        <v>1.09</v>
      </c>
      <c r="E119" t="n">
        <v>-2.5</v>
      </c>
      <c r="F119" t="n">
        <v>-0.75</v>
      </c>
      <c r="G119" t="n">
        <v>178</v>
      </c>
      <c r="H119" t="n">
        <v>12</v>
      </c>
      <c r="I119" t="s">
        <v>280</v>
      </c>
      <c r="J119" t="n">
        <v>0</v>
      </c>
      <c r="K119" t="n">
        <v>0</v>
      </c>
      <c r="L119" t="n">
        <v>0</v>
      </c>
      <c r="M119" t="n">
        <v>12</v>
      </c>
      <c r="N119" t="n">
        <v>0</v>
      </c>
      <c r="O119" t="n">
        <v>-0.25</v>
      </c>
      <c r="P119" t="n">
        <v>4</v>
      </c>
      <c r="Q119" t="n">
        <v>12</v>
      </c>
      <c r="R119" t="s">
        <v>280</v>
      </c>
      <c r="S119" t="s">
        <v>280</v>
      </c>
      <c r="T119" t="n">
        <v>-0.25</v>
      </c>
    </row>
    <row r="120">
      <c r="A120" t="s">
        <v>30</v>
      </c>
      <c r="B120" t="n">
        <v>1.04</v>
      </c>
      <c r="C120" t="n">
        <v>0.98</v>
      </c>
      <c r="D120" t="n">
        <v>1</v>
      </c>
      <c r="E120" t="n">
        <v>-1.25</v>
      </c>
      <c r="F120" t="n">
        <v>-0.5</v>
      </c>
      <c r="G120" t="n">
        <v>84</v>
      </c>
      <c r="H120" t="n">
        <v>12</v>
      </c>
      <c r="I120" t="s">
        <v>275</v>
      </c>
      <c r="J120" t="n">
        <v>0</v>
      </c>
      <c r="K120" t="n">
        <v>0</v>
      </c>
      <c r="L120" t="n">
        <v>0</v>
      </c>
      <c r="M120" t="n">
        <v>12</v>
      </c>
      <c r="N120" t="n">
        <v>0.75</v>
      </c>
      <c r="O120" t="n">
        <v>0</v>
      </c>
      <c r="P120" t="n">
        <v>138</v>
      </c>
      <c r="Q120" t="n">
        <v>12</v>
      </c>
      <c r="R120" t="s">
        <v>276</v>
      </c>
      <c r="S120" t="s">
        <v>276</v>
      </c>
      <c r="T120" t="n">
        <v>0.75</v>
      </c>
    </row>
    <row r="121">
      <c r="A121" t="s">
        <v>30</v>
      </c>
      <c r="B121" t="n">
        <v>0.94</v>
      </c>
      <c r="C121" t="n">
        <v>0.93</v>
      </c>
      <c r="D121" t="n">
        <v>0.94</v>
      </c>
      <c r="E121" t="n">
        <v>-1.5</v>
      </c>
      <c r="F121" t="n">
        <v>-0.5</v>
      </c>
      <c r="G121" t="n">
        <v>94</v>
      </c>
      <c r="H121" t="n">
        <v>12</v>
      </c>
      <c r="I121" t="s">
        <v>277</v>
      </c>
      <c r="J121" t="n">
        <v>0</v>
      </c>
      <c r="K121" t="n">
        <v>0</v>
      </c>
      <c r="L121" t="n">
        <v>0</v>
      </c>
      <c r="M121" t="n">
        <v>12</v>
      </c>
      <c r="N121" t="n">
        <v>0.5</v>
      </c>
      <c r="O121" t="n">
        <v>-0.25</v>
      </c>
      <c r="P121" t="n">
        <v>96</v>
      </c>
      <c r="Q121" t="n">
        <v>12</v>
      </c>
      <c r="R121" t="s">
        <v>277</v>
      </c>
      <c r="S121" t="s">
        <v>278</v>
      </c>
      <c r="T121" t="n">
        <v>0.5</v>
      </c>
    </row>
    <row r="122">
      <c r="A122" t="s">
        <v>30</v>
      </c>
      <c r="B122" t="n">
        <v>1.06</v>
      </c>
      <c r="C122" t="n">
        <v>1.04</v>
      </c>
      <c r="D122" t="n">
        <v>1.02</v>
      </c>
      <c r="E122" t="n">
        <v>-5</v>
      </c>
      <c r="F122" t="n">
        <v>0</v>
      </c>
      <c r="G122" t="n">
        <v>7</v>
      </c>
      <c r="H122" t="n">
        <v>12</v>
      </c>
      <c r="I122" t="s">
        <v>275</v>
      </c>
      <c r="J122" t="n">
        <v>0</v>
      </c>
      <c r="K122" t="n">
        <v>0</v>
      </c>
      <c r="L122" t="n">
        <v>0</v>
      </c>
      <c r="M122" t="n">
        <v>12</v>
      </c>
      <c r="N122" t="n">
        <v>0.25</v>
      </c>
      <c r="O122" t="n">
        <v>-0.5</v>
      </c>
      <c r="P122" t="n">
        <v>3</v>
      </c>
      <c r="Q122" t="n">
        <v>12</v>
      </c>
      <c r="R122" t="s">
        <v>276</v>
      </c>
      <c r="S122" t="s">
        <v>275</v>
      </c>
      <c r="T122" t="n">
        <v>0</v>
      </c>
    </row>
    <row r="123">
      <c r="A123" t="s">
        <v>30</v>
      </c>
      <c r="B123" t="n">
        <v>1.03</v>
      </c>
      <c r="C123" t="n">
        <v>1.04</v>
      </c>
      <c r="D123" t="n">
        <v>1.07</v>
      </c>
      <c r="E123" t="n">
        <v>-5.25</v>
      </c>
      <c r="F123" t="n">
        <v>-0.25</v>
      </c>
      <c r="G123" t="n">
        <v>85</v>
      </c>
      <c r="H123" t="n">
        <v>12</v>
      </c>
      <c r="I123" t="s">
        <v>275</v>
      </c>
      <c r="J123" t="n">
        <v>0</v>
      </c>
      <c r="K123" t="n">
        <v>0</v>
      </c>
      <c r="L123" t="n">
        <v>0</v>
      </c>
      <c r="M123" t="n">
        <v>12</v>
      </c>
      <c r="N123" t="n">
        <v>0.25</v>
      </c>
      <c r="O123" t="n">
        <v>-0.5</v>
      </c>
      <c r="P123" t="n">
        <v>133</v>
      </c>
      <c r="Q123" t="n">
        <v>12</v>
      </c>
      <c r="R123" t="s">
        <v>275</v>
      </c>
      <c r="S123" t="s">
        <v>275</v>
      </c>
      <c r="T123" t="n">
        <v>0</v>
      </c>
    </row>
    <row r="124">
      <c r="A124" t="s">
        <v>30</v>
      </c>
      <c r="B124" t="n">
        <v>0.99</v>
      </c>
      <c r="C124" t="n">
        <v>1.03</v>
      </c>
      <c r="D124" t="n">
        <v>1</v>
      </c>
      <c r="E124" t="n">
        <v>-3.25</v>
      </c>
      <c r="F124" t="n">
        <v>-1.75</v>
      </c>
      <c r="G124" t="n">
        <v>16</v>
      </c>
      <c r="H124" t="n">
        <v>12</v>
      </c>
      <c r="I124" t="s">
        <v>276</v>
      </c>
      <c r="J124" t="n">
        <v>0</v>
      </c>
      <c r="K124" t="n">
        <v>0</v>
      </c>
      <c r="L124" t="n">
        <v>0</v>
      </c>
      <c r="M124" t="n">
        <v>12</v>
      </c>
      <c r="N124" t="n">
        <v>0.25</v>
      </c>
      <c r="O124" t="n">
        <v>-0.5</v>
      </c>
      <c r="P124" t="n">
        <v>16</v>
      </c>
      <c r="Q124" t="n">
        <v>12</v>
      </c>
      <c r="R124" t="s">
        <v>276</v>
      </c>
      <c r="S124" t="s">
        <v>275</v>
      </c>
      <c r="T124" t="n">
        <v>0</v>
      </c>
    </row>
    <row r="125">
      <c r="A125" t="s">
        <v>30</v>
      </c>
      <c r="B125" t="n">
        <v>0.94</v>
      </c>
      <c r="C125" t="n">
        <v>0.93</v>
      </c>
      <c r="D125" t="n">
        <v>1</v>
      </c>
      <c r="E125" t="n">
        <v>-5.5</v>
      </c>
      <c r="F125" t="n">
        <v>-0.75</v>
      </c>
      <c r="G125" t="n">
        <v>170</v>
      </c>
      <c r="H125" t="n">
        <v>12</v>
      </c>
      <c r="I125" t="s">
        <v>277</v>
      </c>
      <c r="J125" t="n">
        <v>0</v>
      </c>
      <c r="K125" t="n">
        <v>0</v>
      </c>
      <c r="L125" t="n">
        <v>0</v>
      </c>
      <c r="M125" t="n">
        <v>12</v>
      </c>
      <c r="N125" t="n">
        <v>0</v>
      </c>
      <c r="O125" t="n">
        <v>-0.25</v>
      </c>
      <c r="P125" t="n">
        <v>170</v>
      </c>
      <c r="Q125" t="n">
        <v>12</v>
      </c>
      <c r="R125" t="s">
        <v>276</v>
      </c>
      <c r="S125" t="s">
        <v>278</v>
      </c>
      <c r="T125" t="n">
        <v>0</v>
      </c>
    </row>
    <row r="126">
      <c r="A126" t="s">
        <v>30</v>
      </c>
      <c r="B126" t="n">
        <v>1.03</v>
      </c>
      <c r="C126" t="n">
        <v>0.94</v>
      </c>
      <c r="D126" t="n">
        <v>1.01</v>
      </c>
      <c r="E126" t="n">
        <v>-2.5</v>
      </c>
      <c r="F126" t="n">
        <v>0</v>
      </c>
      <c r="G126" t="n">
        <v>80</v>
      </c>
      <c r="H126" t="n">
        <v>12</v>
      </c>
      <c r="I126" t="s">
        <v>275</v>
      </c>
      <c r="J126" t="n">
        <v>0</v>
      </c>
      <c r="K126" t="n">
        <v>0</v>
      </c>
      <c r="L126" t="n">
        <v>0</v>
      </c>
      <c r="M126" t="n">
        <v>12</v>
      </c>
      <c r="N126" t="n">
        <v>0.25</v>
      </c>
      <c r="O126" t="n">
        <v>0</v>
      </c>
      <c r="P126" t="n">
        <v>68</v>
      </c>
      <c r="Q126" t="n">
        <v>12</v>
      </c>
      <c r="R126" t="s">
        <v>276</v>
      </c>
      <c r="S126" t="s">
        <v>277</v>
      </c>
      <c r="T126" t="n">
        <v>0.25</v>
      </c>
    </row>
    <row r="127">
      <c r="A127" t="s">
        <v>30</v>
      </c>
      <c r="B127" t="n">
        <v>1.01</v>
      </c>
      <c r="C127" t="n">
        <v>0.89</v>
      </c>
      <c r="D127" t="n">
        <v>1.02</v>
      </c>
      <c r="E127" t="n">
        <v>-2.75</v>
      </c>
      <c r="F127" t="n">
        <v>-0.5</v>
      </c>
      <c r="G127" t="n">
        <v>167</v>
      </c>
      <c r="H127" t="n">
        <v>12</v>
      </c>
      <c r="I127" t="s">
        <v>276</v>
      </c>
      <c r="J127" t="n">
        <v>0</v>
      </c>
      <c r="K127" t="n">
        <v>0</v>
      </c>
      <c r="L127" t="n">
        <v>0</v>
      </c>
      <c r="M127" t="n">
        <v>12</v>
      </c>
      <c r="N127" t="n">
        <v>0.25</v>
      </c>
      <c r="O127" t="n">
        <v>0</v>
      </c>
      <c r="P127" t="n">
        <v>24</v>
      </c>
      <c r="Q127" t="n">
        <v>12</v>
      </c>
      <c r="R127" t="s">
        <v>276</v>
      </c>
      <c r="S127" t="s">
        <v>287</v>
      </c>
      <c r="T127" t="n">
        <v>0.25</v>
      </c>
    </row>
    <row r="128">
      <c r="A128" t="s">
        <v>30</v>
      </c>
      <c r="B128" t="n">
        <v>1.04</v>
      </c>
      <c r="C128" t="n">
        <v>1.01</v>
      </c>
      <c r="D128" t="n">
        <v>1.01</v>
      </c>
      <c r="E128" t="n">
        <v>-4.25</v>
      </c>
      <c r="F128" t="n">
        <v>-1.5</v>
      </c>
      <c r="G128" t="n">
        <v>175</v>
      </c>
      <c r="H128" t="n">
        <v>12</v>
      </c>
      <c r="I128" t="s">
        <v>275</v>
      </c>
      <c r="J128" t="n">
        <v>0</v>
      </c>
      <c r="K128" t="n">
        <v>0</v>
      </c>
      <c r="L128" t="n">
        <v>0</v>
      </c>
      <c r="M128" t="n">
        <v>12</v>
      </c>
      <c r="N128" t="n">
        <v>0</v>
      </c>
      <c r="O128" t="n">
        <v>0</v>
      </c>
      <c r="P128" t="n">
        <v>99</v>
      </c>
      <c r="Q128" t="n">
        <v>12</v>
      </c>
      <c r="R128" t="s">
        <v>276</v>
      </c>
      <c r="S128" t="s">
        <v>276</v>
      </c>
      <c r="T128" t="n">
        <v>0</v>
      </c>
    </row>
    <row r="129">
      <c r="A129" t="s">
        <v>30</v>
      </c>
      <c r="B129" t="n">
        <v>1.12</v>
      </c>
      <c r="C129" t="n">
        <v>1.04</v>
      </c>
      <c r="D129" t="n">
        <v>1.09</v>
      </c>
      <c r="E129" t="n">
        <v>-5.25</v>
      </c>
      <c r="F129" t="n">
        <v>-0.75</v>
      </c>
      <c r="G129" t="n">
        <v>173</v>
      </c>
      <c r="H129" t="n">
        <v>12</v>
      </c>
      <c r="I129" t="s">
        <v>280</v>
      </c>
      <c r="J129" t="n">
        <v>0</v>
      </c>
      <c r="K129" t="n">
        <v>0</v>
      </c>
      <c r="L129" t="n">
        <v>0</v>
      </c>
      <c r="M129" t="n">
        <v>12</v>
      </c>
      <c r="N129" t="n">
        <v>1</v>
      </c>
      <c r="O129" t="n">
        <v>-0.25</v>
      </c>
      <c r="P129" t="n">
        <v>162</v>
      </c>
      <c r="Q129" t="n">
        <v>12</v>
      </c>
      <c r="R129" t="s">
        <v>280</v>
      </c>
      <c r="S129" t="s">
        <v>275</v>
      </c>
      <c r="T129" t="n">
        <v>0.75</v>
      </c>
    </row>
    <row r="130">
      <c r="A130" t="s">
        <v>30</v>
      </c>
      <c r="B130" t="n">
        <v>1.11</v>
      </c>
      <c r="C130" t="n">
        <v>1.14</v>
      </c>
      <c r="D130" t="n">
        <v>1.12</v>
      </c>
      <c r="E130" t="n">
        <v>-3.25</v>
      </c>
      <c r="F130" t="n">
        <v>-0.5</v>
      </c>
      <c r="G130" t="n">
        <v>11</v>
      </c>
      <c r="H130" t="n">
        <v>12</v>
      </c>
      <c r="I130" t="s">
        <v>280</v>
      </c>
      <c r="J130" t="n">
        <v>0</v>
      </c>
      <c r="K130" t="n">
        <v>0</v>
      </c>
      <c r="L130" t="n">
        <v>0</v>
      </c>
      <c r="M130" t="n">
        <v>12</v>
      </c>
      <c r="N130" t="n">
        <v>0</v>
      </c>
      <c r="O130" t="n">
        <v>-0.25</v>
      </c>
      <c r="P130" t="n">
        <v>2</v>
      </c>
      <c r="Q130" t="n">
        <v>12</v>
      </c>
      <c r="R130" t="s">
        <v>280</v>
      </c>
      <c r="S130" t="s">
        <v>284</v>
      </c>
      <c r="T130" t="n">
        <v>0</v>
      </c>
    </row>
    <row r="131">
      <c r="A131" t="s">
        <v>30</v>
      </c>
      <c r="B131" t="n">
        <v>1.05</v>
      </c>
      <c r="C131" t="n">
        <v>1.07</v>
      </c>
      <c r="D131" t="n">
        <v>1.08</v>
      </c>
      <c r="E131" t="n">
        <v>-4</v>
      </c>
      <c r="F131" t="n">
        <v>-0.25</v>
      </c>
      <c r="G131" t="n">
        <v>166</v>
      </c>
      <c r="H131" t="n">
        <v>12</v>
      </c>
      <c r="I131" t="s">
        <v>275</v>
      </c>
      <c r="J131" t="n">
        <v>0</v>
      </c>
      <c r="K131" t="n">
        <v>0</v>
      </c>
      <c r="L131" t="n">
        <v>0</v>
      </c>
      <c r="M131" t="n">
        <v>12</v>
      </c>
      <c r="N131" t="n">
        <v>0</v>
      </c>
      <c r="O131" t="n">
        <v>-0.5</v>
      </c>
      <c r="P131" t="n">
        <v>1</v>
      </c>
      <c r="Q131" t="n">
        <v>12</v>
      </c>
      <c r="R131" t="s">
        <v>280</v>
      </c>
      <c r="S131" t="s">
        <v>275</v>
      </c>
      <c r="T131" t="n">
        <v>-0.25</v>
      </c>
    </row>
    <row r="132">
      <c r="A132" t="s">
        <v>30</v>
      </c>
      <c r="B132" t="n">
        <v>1</v>
      </c>
      <c r="C132" t="n">
        <v>0.76</v>
      </c>
      <c r="D132" t="n">
        <v>0.9</v>
      </c>
      <c r="E132" t="n">
        <v>-5</v>
      </c>
      <c r="F132" t="n">
        <v>-0.5</v>
      </c>
      <c r="G132" t="n">
        <v>98</v>
      </c>
      <c r="H132" t="n">
        <v>12</v>
      </c>
      <c r="I132" t="s">
        <v>276</v>
      </c>
      <c r="J132" t="n">
        <v>0</v>
      </c>
      <c r="K132" t="n">
        <v>0</v>
      </c>
      <c r="L132" t="n">
        <v>0</v>
      </c>
      <c r="M132" t="n">
        <v>12</v>
      </c>
      <c r="N132" t="n">
        <v>0</v>
      </c>
      <c r="O132" t="n">
        <v>-0.5</v>
      </c>
      <c r="P132" t="n">
        <v>125</v>
      </c>
      <c r="Q132" t="n">
        <v>12</v>
      </c>
      <c r="R132" t="s">
        <v>278</v>
      </c>
      <c r="S132" t="s">
        <v>288</v>
      </c>
      <c r="T132" t="n">
        <v>-0.25</v>
      </c>
    </row>
    <row r="133">
      <c r="A133" t="s">
        <v>30</v>
      </c>
      <c r="B133" t="n">
        <v>1.13</v>
      </c>
      <c r="C133" t="n">
        <v>1.17</v>
      </c>
      <c r="D133" t="n">
        <v>1.15</v>
      </c>
      <c r="E133" t="n">
        <v>0</v>
      </c>
      <c r="F133" t="n">
        <v>-1.5</v>
      </c>
      <c r="G133" t="n">
        <v>6</v>
      </c>
      <c r="H133" t="n">
        <v>12</v>
      </c>
      <c r="I133" t="s">
        <v>284</v>
      </c>
      <c r="J133" t="n">
        <v>0</v>
      </c>
      <c r="K133" t="n">
        <v>0</v>
      </c>
      <c r="L133" t="n">
        <v>0</v>
      </c>
      <c r="M133" t="n">
        <v>12</v>
      </c>
      <c r="N133" t="n">
        <v>0.5</v>
      </c>
      <c r="O133" t="n">
        <v>-0.25</v>
      </c>
      <c r="P133" t="n">
        <v>18</v>
      </c>
      <c r="Q133" t="n">
        <v>12</v>
      </c>
      <c r="R133" t="s">
        <v>284</v>
      </c>
      <c r="S133" t="s">
        <v>284</v>
      </c>
      <c r="T133" t="n">
        <v>0.25</v>
      </c>
    </row>
    <row r="134">
      <c r="A134" t="s">
        <v>30</v>
      </c>
      <c r="B134" t="n">
        <v>1</v>
      </c>
      <c r="C134" t="n">
        <v>1</v>
      </c>
      <c r="D134" t="n">
        <v>1.05</v>
      </c>
      <c r="E134" t="n">
        <v>-1.75</v>
      </c>
      <c r="F134" t="n">
        <v>-0.5</v>
      </c>
      <c r="G134" t="n">
        <v>76</v>
      </c>
      <c r="H134" t="n">
        <v>12</v>
      </c>
      <c r="I134" t="s">
        <v>276</v>
      </c>
      <c r="J134" t="n">
        <v>0</v>
      </c>
      <c r="K134" t="n">
        <v>0</v>
      </c>
      <c r="L134" t="n">
        <v>0</v>
      </c>
      <c r="M134" t="n">
        <v>12</v>
      </c>
      <c r="N134" t="n">
        <v>0.25</v>
      </c>
      <c r="O134" t="n">
        <v>0</v>
      </c>
      <c r="P134" t="n">
        <v>34</v>
      </c>
      <c r="Q134" t="n">
        <v>12</v>
      </c>
      <c r="R134" t="s">
        <v>275</v>
      </c>
      <c r="S134" t="s">
        <v>276</v>
      </c>
      <c r="T134" t="n">
        <v>0.25</v>
      </c>
    </row>
    <row r="135">
      <c r="A135" t="s">
        <v>30</v>
      </c>
      <c r="B135" t="n">
        <v>1.1</v>
      </c>
      <c r="C135" t="n">
        <v>1.01</v>
      </c>
      <c r="D135" t="n">
        <v>1.05</v>
      </c>
      <c r="E135" t="n">
        <v>-3.75</v>
      </c>
      <c r="F135" t="n">
        <v>-1</v>
      </c>
      <c r="G135" t="n">
        <v>13</v>
      </c>
      <c r="H135" t="n">
        <v>12</v>
      </c>
      <c r="I135" t="s">
        <v>280</v>
      </c>
      <c r="J135" t="n">
        <v>0</v>
      </c>
      <c r="K135" t="n">
        <v>0</v>
      </c>
      <c r="L135" t="n">
        <v>0</v>
      </c>
      <c r="M135" t="n">
        <v>12</v>
      </c>
      <c r="N135" t="n">
        <v>0</v>
      </c>
      <c r="O135" t="n">
        <v>-0.25</v>
      </c>
      <c r="P135" t="n">
        <v>16</v>
      </c>
      <c r="Q135" t="n">
        <v>12</v>
      </c>
      <c r="R135" t="s">
        <v>275</v>
      </c>
      <c r="S135" t="s">
        <v>276</v>
      </c>
      <c r="T135" t="n">
        <v>0</v>
      </c>
    </row>
    <row r="136">
      <c r="A136" t="s">
        <v>30</v>
      </c>
      <c r="B136" t="n">
        <v>1</v>
      </c>
      <c r="C136" t="n">
        <v>0.99</v>
      </c>
      <c r="D136" t="n">
        <v>0.99</v>
      </c>
      <c r="E136" t="n">
        <v>-4.25</v>
      </c>
      <c r="F136" t="n">
        <v>0</v>
      </c>
      <c r="G136" t="n">
        <v>95</v>
      </c>
      <c r="H136" t="n">
        <v>12</v>
      </c>
      <c r="I136" t="s">
        <v>276</v>
      </c>
      <c r="J136" t="n">
        <v>0</v>
      </c>
      <c r="K136" t="n">
        <v>0</v>
      </c>
      <c r="L136" t="n">
        <v>0</v>
      </c>
      <c r="M136" t="n">
        <v>12</v>
      </c>
      <c r="N136" t="n">
        <v>0.25</v>
      </c>
      <c r="O136" t="n">
        <v>0</v>
      </c>
      <c r="P136" t="n">
        <v>114</v>
      </c>
      <c r="Q136" t="n">
        <v>12</v>
      </c>
      <c r="R136" t="s">
        <v>276</v>
      </c>
      <c r="S136" t="s">
        <v>276</v>
      </c>
      <c r="T136" t="n">
        <v>0.25</v>
      </c>
    </row>
    <row r="137">
      <c r="A137" t="s">
        <v>30</v>
      </c>
      <c r="B137" t="n">
        <v>1.07</v>
      </c>
      <c r="C137" t="n">
        <v>1.1</v>
      </c>
      <c r="D137" t="n">
        <v>1.05</v>
      </c>
      <c r="E137" t="n">
        <v>-4</v>
      </c>
      <c r="F137" t="n">
        <v>-1.25</v>
      </c>
      <c r="G137" t="n">
        <v>169</v>
      </c>
      <c r="H137" t="n">
        <v>12</v>
      </c>
      <c r="I137" t="s">
        <v>275</v>
      </c>
      <c r="J137" t="n">
        <v>0</v>
      </c>
      <c r="K137" t="n">
        <v>0</v>
      </c>
      <c r="L137" t="n">
        <v>0</v>
      </c>
      <c r="M137" t="n">
        <v>12</v>
      </c>
      <c r="N137" t="n">
        <v>0</v>
      </c>
      <c r="O137" t="n">
        <v>-0.25</v>
      </c>
      <c r="P137" t="n">
        <v>176</v>
      </c>
      <c r="Q137" t="n">
        <v>12</v>
      </c>
      <c r="R137" t="s">
        <v>275</v>
      </c>
      <c r="S137" t="s">
        <v>280</v>
      </c>
      <c r="T137" t="n">
        <v>0</v>
      </c>
    </row>
    <row r="138">
      <c r="A138" t="s">
        <v>30</v>
      </c>
      <c r="B138" t="n">
        <v>1.1</v>
      </c>
      <c r="C138" t="n">
        <v>0.97</v>
      </c>
      <c r="D138" t="n">
        <v>1.13</v>
      </c>
      <c r="E138" t="n">
        <v>-0.75</v>
      </c>
      <c r="F138" t="n">
        <v>-1.25</v>
      </c>
      <c r="G138" t="n">
        <v>22</v>
      </c>
      <c r="H138" t="n">
        <v>12</v>
      </c>
      <c r="I138" t="s">
        <v>280</v>
      </c>
      <c r="J138" t="n">
        <v>0</v>
      </c>
      <c r="K138" t="n">
        <v>0</v>
      </c>
      <c r="L138" t="n">
        <v>0</v>
      </c>
      <c r="M138" t="n">
        <v>12</v>
      </c>
      <c r="N138" t="n">
        <v>0.5</v>
      </c>
      <c r="O138" t="n">
        <v>-0.25</v>
      </c>
      <c r="P138" t="n">
        <v>33</v>
      </c>
      <c r="Q138" t="n">
        <v>12</v>
      </c>
      <c r="R138" t="s">
        <v>284</v>
      </c>
      <c r="S138" t="s">
        <v>277</v>
      </c>
      <c r="T138" t="n">
        <v>0.25</v>
      </c>
    </row>
    <row r="139">
      <c r="A139" t="s">
        <v>30</v>
      </c>
      <c r="B139" t="n">
        <v>0.94</v>
      </c>
      <c r="C139" t="n">
        <v>0.96</v>
      </c>
      <c r="D139" t="n">
        <v>0.95</v>
      </c>
      <c r="E139" t="n">
        <v>-3</v>
      </c>
      <c r="F139" t="n">
        <v>-2.75</v>
      </c>
      <c r="G139" t="n">
        <v>0</v>
      </c>
      <c r="H139" t="n">
        <v>12</v>
      </c>
      <c r="I139" t="s">
        <v>277</v>
      </c>
      <c r="J139" t="n">
        <v>0</v>
      </c>
      <c r="K139" t="n">
        <v>0</v>
      </c>
      <c r="L139" t="n">
        <v>0</v>
      </c>
      <c r="M139" t="n">
        <v>12</v>
      </c>
      <c r="N139" t="n">
        <v>0</v>
      </c>
      <c r="O139" t="n">
        <v>-0.5</v>
      </c>
      <c r="P139" t="n">
        <v>155</v>
      </c>
      <c r="Q139" t="n">
        <v>12</v>
      </c>
      <c r="R139" t="s">
        <v>277</v>
      </c>
      <c r="S139" t="s">
        <v>277</v>
      </c>
      <c r="T139" t="n">
        <v>-0.25</v>
      </c>
    </row>
    <row r="140">
      <c r="A140" t="s">
        <v>30</v>
      </c>
      <c r="B140" t="n">
        <v>1.02</v>
      </c>
      <c r="C140" t="n">
        <v>1.04</v>
      </c>
      <c r="D140" t="n">
        <v>1.03</v>
      </c>
      <c r="E140" t="n">
        <v>-2.25</v>
      </c>
      <c r="F140" t="n">
        <v>-0.5</v>
      </c>
      <c r="G140" t="n">
        <v>86</v>
      </c>
      <c r="H140" t="n">
        <v>12</v>
      </c>
      <c r="I140" t="s">
        <v>276</v>
      </c>
      <c r="J140" t="n">
        <v>0</v>
      </c>
      <c r="K140" t="n">
        <v>0</v>
      </c>
      <c r="L140" t="n">
        <v>0</v>
      </c>
      <c r="M140" t="n">
        <v>12</v>
      </c>
      <c r="N140" t="n">
        <v>0</v>
      </c>
      <c r="O140" t="n">
        <v>-0.25</v>
      </c>
      <c r="P140" t="n">
        <v>118</v>
      </c>
      <c r="Q140" t="n">
        <v>12</v>
      </c>
      <c r="R140" t="s">
        <v>275</v>
      </c>
      <c r="S140" t="s">
        <v>275</v>
      </c>
      <c r="T140" t="n">
        <v>0</v>
      </c>
    </row>
    <row r="141">
      <c r="A141" t="s">
        <v>30</v>
      </c>
      <c r="B141" t="n">
        <v>0.98</v>
      </c>
      <c r="C141" t="n">
        <v>0.9</v>
      </c>
      <c r="D141" t="n">
        <v>0.95</v>
      </c>
      <c r="E141" t="n">
        <v>-5.5</v>
      </c>
      <c r="F141" t="n">
        <v>-0.25</v>
      </c>
      <c r="G141" t="n">
        <v>157</v>
      </c>
      <c r="H141" t="n">
        <v>12</v>
      </c>
      <c r="I141" t="s">
        <v>276</v>
      </c>
      <c r="J141" t="n">
        <v>0</v>
      </c>
      <c r="K141" t="n">
        <v>0</v>
      </c>
      <c r="L141" t="n">
        <v>0</v>
      </c>
      <c r="M141" t="n">
        <v>12</v>
      </c>
      <c r="N141" t="n">
        <v>0.25</v>
      </c>
      <c r="O141" t="n">
        <v>0</v>
      </c>
      <c r="P141" t="n">
        <v>156</v>
      </c>
      <c r="Q141" t="n">
        <v>12</v>
      </c>
      <c r="R141" t="s">
        <v>277</v>
      </c>
      <c r="S141" t="s">
        <v>278</v>
      </c>
      <c r="T141" t="n">
        <v>0.25</v>
      </c>
    </row>
    <row r="142">
      <c r="A142" t="s">
        <v>30</v>
      </c>
      <c r="B142" t="n">
        <v>1.09</v>
      </c>
      <c r="C142" t="n">
        <v>1.19</v>
      </c>
      <c r="D142" t="n">
        <v>1.17</v>
      </c>
      <c r="E142" t="n">
        <v>-3</v>
      </c>
      <c r="F142" t="n">
        <v>-1.5</v>
      </c>
      <c r="G142" t="n">
        <v>171</v>
      </c>
      <c r="H142" t="n">
        <v>12</v>
      </c>
      <c r="I142" t="s">
        <v>280</v>
      </c>
      <c r="J142" t="n">
        <v>0</v>
      </c>
      <c r="K142" t="n">
        <v>0</v>
      </c>
      <c r="L142" t="n">
        <v>0</v>
      </c>
      <c r="M142" t="n">
        <v>12</v>
      </c>
      <c r="N142" t="n">
        <v>0.5</v>
      </c>
      <c r="O142" t="n">
        <v>0</v>
      </c>
      <c r="P142" t="n">
        <v>9</v>
      </c>
      <c r="Q142" t="n">
        <v>12</v>
      </c>
      <c r="R142" t="s">
        <v>284</v>
      </c>
      <c r="S142" t="s">
        <v>281</v>
      </c>
      <c r="T142" t="n">
        <v>0.5</v>
      </c>
    </row>
    <row r="143">
      <c r="A143" t="s">
        <v>30</v>
      </c>
      <c r="B143" t="n">
        <v>0.95</v>
      </c>
      <c r="C143" t="n">
        <v>1.01</v>
      </c>
      <c r="D143" t="n">
        <v>0.97</v>
      </c>
      <c r="E143" t="n">
        <v>-2.25</v>
      </c>
      <c r="F143" t="n">
        <v>-2.25</v>
      </c>
      <c r="G143" t="n">
        <v>170</v>
      </c>
      <c r="H143" t="n">
        <v>12</v>
      </c>
      <c r="I143" t="s">
        <v>277</v>
      </c>
      <c r="J143" t="n">
        <v>0</v>
      </c>
      <c r="K143" t="n">
        <v>0</v>
      </c>
      <c r="L143" t="n">
        <v>0</v>
      </c>
      <c r="M143" t="n">
        <v>12</v>
      </c>
      <c r="N143" t="n">
        <v>0</v>
      </c>
      <c r="O143" t="n">
        <v>-0.25</v>
      </c>
      <c r="P143" t="n">
        <v>175</v>
      </c>
      <c r="Q143" t="n">
        <v>12</v>
      </c>
      <c r="R143" t="s">
        <v>277</v>
      </c>
      <c r="S143" t="s">
        <v>276</v>
      </c>
      <c r="T143" t="n">
        <v>0</v>
      </c>
    </row>
    <row r="144">
      <c r="A144" t="s">
        <v>30</v>
      </c>
      <c r="B144" t="n">
        <v>0.99</v>
      </c>
      <c r="C144" t="n">
        <v>0.84</v>
      </c>
      <c r="D144" t="n">
        <v>0.95</v>
      </c>
      <c r="E144" t="n">
        <v>-1.25</v>
      </c>
      <c r="F144" t="n">
        <v>-0.5</v>
      </c>
      <c r="G144" t="n">
        <v>109</v>
      </c>
      <c r="H144" t="n">
        <v>12</v>
      </c>
      <c r="I144" t="s">
        <v>276</v>
      </c>
      <c r="J144" t="n">
        <v>0</v>
      </c>
      <c r="K144" t="n">
        <v>0</v>
      </c>
      <c r="L144" t="n">
        <v>0</v>
      </c>
      <c r="M144" t="n">
        <v>12</v>
      </c>
      <c r="N144" t="n">
        <v>0</v>
      </c>
      <c r="O144" t="n">
        <v>-0.25</v>
      </c>
      <c r="P144" t="n">
        <v>120</v>
      </c>
      <c r="Q144" t="n">
        <v>12</v>
      </c>
      <c r="R144" t="s">
        <v>277</v>
      </c>
      <c r="S144" t="s">
        <v>285</v>
      </c>
      <c r="T144" t="n">
        <v>-0.25</v>
      </c>
    </row>
    <row r="145">
      <c r="A145" t="s">
        <v>30</v>
      </c>
      <c r="B145" t="n">
        <v>1</v>
      </c>
      <c r="C145" t="n">
        <v>1.03</v>
      </c>
      <c r="D145" t="n">
        <v>1.06</v>
      </c>
      <c r="E145" t="n">
        <v>-7.5</v>
      </c>
      <c r="F145" t="n">
        <v>-0.25</v>
      </c>
      <c r="G145" t="n">
        <v>172</v>
      </c>
      <c r="H145" t="n">
        <v>12</v>
      </c>
      <c r="I145" t="s">
        <v>276</v>
      </c>
      <c r="J145" t="n">
        <v>0</v>
      </c>
      <c r="K145" t="n">
        <v>0</v>
      </c>
      <c r="L145" t="n">
        <v>0</v>
      </c>
      <c r="M145" t="n">
        <v>12</v>
      </c>
      <c r="N145" t="n">
        <v>-0.5</v>
      </c>
      <c r="O145" t="n">
        <v>-0.25</v>
      </c>
      <c r="P145" t="n">
        <v>165</v>
      </c>
      <c r="Q145" t="n">
        <v>12</v>
      </c>
      <c r="R145" t="s">
        <v>275</v>
      </c>
      <c r="S145" t="s">
        <v>275</v>
      </c>
      <c r="T145" t="n">
        <v>-0.5</v>
      </c>
    </row>
    <row r="146">
      <c r="A146" t="s">
        <v>30</v>
      </c>
      <c r="B146" t="n">
        <v>1</v>
      </c>
      <c r="C146" t="n">
        <v>1.02</v>
      </c>
      <c r="D146" t="n">
        <v>1.02</v>
      </c>
      <c r="E146" t="n">
        <v>-4</v>
      </c>
      <c r="F146" t="n">
        <v>-0.25</v>
      </c>
      <c r="G146" t="n">
        <v>85</v>
      </c>
      <c r="H146" t="n">
        <v>12</v>
      </c>
      <c r="I146" t="s">
        <v>276</v>
      </c>
      <c r="J146" t="n">
        <v>0</v>
      </c>
      <c r="K146" t="n">
        <v>0</v>
      </c>
      <c r="L146" t="n">
        <v>0</v>
      </c>
      <c r="M146" t="n">
        <v>12</v>
      </c>
      <c r="N146" t="n">
        <v>-0.5</v>
      </c>
      <c r="O146" t="n">
        <v>0</v>
      </c>
      <c r="P146" t="n">
        <v>63</v>
      </c>
      <c r="Q146" t="n">
        <v>12</v>
      </c>
      <c r="R146" t="s">
        <v>276</v>
      </c>
      <c r="S146" t="s">
        <v>276</v>
      </c>
      <c r="T146" t="n">
        <v>-0.5</v>
      </c>
    </row>
    <row r="147">
      <c r="A147" t="s">
        <v>30</v>
      </c>
      <c r="B147" t="n">
        <v>0.98</v>
      </c>
      <c r="C147" t="n">
        <v>1.01</v>
      </c>
      <c r="D147" t="n">
        <v>0.99</v>
      </c>
      <c r="E147" t="n">
        <v>-4</v>
      </c>
      <c r="F147" t="n">
        <v>-0.25</v>
      </c>
      <c r="G147" t="n">
        <v>170</v>
      </c>
      <c r="H147" t="n">
        <v>12</v>
      </c>
      <c r="I147" t="s">
        <v>276</v>
      </c>
      <c r="J147" t="n">
        <v>0</v>
      </c>
      <c r="K147" t="n">
        <v>0</v>
      </c>
      <c r="L147" t="n">
        <v>0</v>
      </c>
      <c r="M147" t="n">
        <v>12</v>
      </c>
      <c r="N147" t="n">
        <v>0</v>
      </c>
      <c r="O147" t="n">
        <v>0</v>
      </c>
      <c r="P147" t="n">
        <v>157</v>
      </c>
      <c r="Q147" t="n">
        <v>12</v>
      </c>
      <c r="R147" t="s">
        <v>276</v>
      </c>
      <c r="S147" t="s">
        <v>276</v>
      </c>
      <c r="T147" t="n">
        <v>0</v>
      </c>
    </row>
    <row r="148">
      <c r="A148" t="s">
        <v>30</v>
      </c>
      <c r="B148" t="n">
        <v>0.88</v>
      </c>
      <c r="C148" t="n">
        <v>0.84</v>
      </c>
      <c r="D148" t="n">
        <v>0.86</v>
      </c>
      <c r="E148" t="n">
        <v>-0.5</v>
      </c>
      <c r="F148" t="n">
        <v>-0.5</v>
      </c>
      <c r="G148" t="n">
        <v>18</v>
      </c>
      <c r="H148" t="n">
        <v>12</v>
      </c>
      <c r="I148" t="s">
        <v>287</v>
      </c>
      <c r="J148" t="n">
        <v>0</v>
      </c>
      <c r="K148" t="n">
        <v>0</v>
      </c>
      <c r="L148" t="n">
        <v>0</v>
      </c>
      <c r="M148" t="n">
        <v>12</v>
      </c>
      <c r="N148" t="n">
        <v>0</v>
      </c>
      <c r="O148" t="n">
        <v>-0.5</v>
      </c>
      <c r="P148" t="n">
        <v>43</v>
      </c>
      <c r="Q148" t="n">
        <v>12</v>
      </c>
      <c r="R148" t="s">
        <v>287</v>
      </c>
      <c r="S148" t="s">
        <v>285</v>
      </c>
      <c r="T148" t="n">
        <v>-0.25</v>
      </c>
    </row>
    <row r="149">
      <c r="A149" t="s">
        <v>30</v>
      </c>
      <c r="B149" t="n">
        <v>1.11</v>
      </c>
      <c r="C149" t="n">
        <v>1.03</v>
      </c>
      <c r="D149" t="n">
        <v>1.06</v>
      </c>
      <c r="E149" t="n">
        <v>-5.25</v>
      </c>
      <c r="F149" t="n">
        <v>-2.25</v>
      </c>
      <c r="G149" t="n">
        <v>82</v>
      </c>
      <c r="H149" t="n">
        <v>12</v>
      </c>
      <c r="I149" t="s">
        <v>280</v>
      </c>
      <c r="J149" t="n">
        <v>0</v>
      </c>
      <c r="K149" t="n">
        <v>0</v>
      </c>
      <c r="L149" t="n">
        <v>0</v>
      </c>
      <c r="M149" t="n">
        <v>12</v>
      </c>
      <c r="N149" t="n">
        <v>0</v>
      </c>
      <c r="O149" t="n">
        <v>-0.5</v>
      </c>
      <c r="P149" t="n">
        <v>54</v>
      </c>
      <c r="Q149" t="n">
        <v>12</v>
      </c>
      <c r="R149" t="s">
        <v>275</v>
      </c>
      <c r="S149" t="s">
        <v>275</v>
      </c>
      <c r="T149" t="n">
        <v>-0.25</v>
      </c>
    </row>
    <row r="150">
      <c r="A150" t="s">
        <v>30</v>
      </c>
      <c r="B150" t="n">
        <v>1.11</v>
      </c>
      <c r="C150" t="n">
        <v>1.17</v>
      </c>
      <c r="D150" t="n">
        <v>1.16</v>
      </c>
      <c r="E150" t="n">
        <v>-6</v>
      </c>
      <c r="F150" t="n">
        <v>-0.25</v>
      </c>
      <c r="G150" t="n">
        <v>94</v>
      </c>
      <c r="H150" t="n">
        <v>12</v>
      </c>
      <c r="I150" t="s">
        <v>280</v>
      </c>
      <c r="J150" t="n">
        <v>0</v>
      </c>
      <c r="K150" t="n">
        <v>0</v>
      </c>
      <c r="L150" t="n">
        <v>0</v>
      </c>
      <c r="M150" t="n">
        <v>12</v>
      </c>
      <c r="N150" t="n">
        <v>0</v>
      </c>
      <c r="O150" t="n">
        <v>0</v>
      </c>
      <c r="P150" t="n">
        <v>59</v>
      </c>
      <c r="Q150" t="n">
        <v>12</v>
      </c>
      <c r="R150" t="s">
        <v>284</v>
      </c>
      <c r="S150" t="s">
        <v>284</v>
      </c>
      <c r="T150" t="n">
        <v>0</v>
      </c>
    </row>
    <row r="151">
      <c r="A151" t="s">
        <v>30</v>
      </c>
      <c r="B151" t="n">
        <v>1.13</v>
      </c>
      <c r="C151" t="n">
        <v>1.13</v>
      </c>
      <c r="D151" t="n">
        <v>1.13</v>
      </c>
      <c r="E151" t="n">
        <v>-5.25</v>
      </c>
      <c r="F151" t="n">
        <v>-0.75</v>
      </c>
      <c r="G151" t="n">
        <v>54</v>
      </c>
      <c r="H151" t="n">
        <v>12</v>
      </c>
      <c r="I151" t="s">
        <v>284</v>
      </c>
      <c r="J151" t="n">
        <v>0</v>
      </c>
      <c r="K151" t="n">
        <v>0</v>
      </c>
      <c r="L151" t="n">
        <v>0</v>
      </c>
      <c r="M151" t="n">
        <v>12</v>
      </c>
      <c r="N151" t="n">
        <v>-0.25</v>
      </c>
      <c r="O151" t="n">
        <v>0</v>
      </c>
      <c r="P151" t="n">
        <v>167</v>
      </c>
      <c r="Q151" t="n">
        <v>12</v>
      </c>
      <c r="R151" t="s">
        <v>284</v>
      </c>
      <c r="S151" t="s">
        <v>284</v>
      </c>
      <c r="T151" t="n">
        <v>-0.25</v>
      </c>
    </row>
    <row r="152">
      <c r="A152" t="s">
        <v>30</v>
      </c>
      <c r="B152" t="n">
        <v>1.02</v>
      </c>
      <c r="C152" t="n">
        <v>1.2</v>
      </c>
      <c r="D152" t="n">
        <v>1.03</v>
      </c>
      <c r="E152" t="n">
        <v>-4.25</v>
      </c>
      <c r="F152" t="n">
        <v>-0.5</v>
      </c>
      <c r="G152" t="n">
        <v>177</v>
      </c>
      <c r="H152" t="n">
        <v>12</v>
      </c>
      <c r="I152" t="s">
        <v>276</v>
      </c>
      <c r="J152" t="n">
        <v>0</v>
      </c>
      <c r="K152" t="n">
        <v>0</v>
      </c>
      <c r="L152" t="n">
        <v>0</v>
      </c>
      <c r="M152" t="n">
        <v>12</v>
      </c>
      <c r="N152" t="n">
        <v>0.5</v>
      </c>
      <c r="O152" t="n">
        <v>-0.25</v>
      </c>
      <c r="P152" t="n">
        <v>3</v>
      </c>
      <c r="Q152" t="n">
        <v>12</v>
      </c>
      <c r="R152" t="s">
        <v>275</v>
      </c>
      <c r="S152" t="s">
        <v>281</v>
      </c>
      <c r="T152" t="n">
        <v>0.25</v>
      </c>
    </row>
    <row r="153">
      <c r="A153" t="s">
        <v>30</v>
      </c>
      <c r="B153" t="n">
        <v>1</v>
      </c>
      <c r="C153" t="n">
        <v>1.08</v>
      </c>
      <c r="D153" t="n">
        <v>0.99</v>
      </c>
      <c r="E153" t="n">
        <v>-0.5</v>
      </c>
      <c r="F153" t="n">
        <v>-1</v>
      </c>
      <c r="G153" t="n">
        <v>1</v>
      </c>
      <c r="H153" t="n">
        <v>12</v>
      </c>
      <c r="I153" t="s">
        <v>276</v>
      </c>
      <c r="J153" t="n">
        <v>0</v>
      </c>
      <c r="K153" t="n">
        <v>0</v>
      </c>
      <c r="L153" t="n">
        <v>0</v>
      </c>
      <c r="M153" t="n">
        <v>12</v>
      </c>
      <c r="N153" t="n">
        <v>0.25</v>
      </c>
      <c r="O153" t="n">
        <v>0</v>
      </c>
      <c r="P153" t="n">
        <v>110</v>
      </c>
      <c r="Q153" t="n">
        <v>12</v>
      </c>
      <c r="R153" t="s">
        <v>276</v>
      </c>
      <c r="S153" t="s">
        <v>280</v>
      </c>
      <c r="T153" t="n">
        <v>0.25</v>
      </c>
    </row>
    <row r="154">
      <c r="A154" t="s">
        <v>30</v>
      </c>
      <c r="B154" t="n">
        <v>0.93</v>
      </c>
      <c r="C154" t="n">
        <v>0.95</v>
      </c>
      <c r="D154" t="n">
        <v>0.92</v>
      </c>
      <c r="E154" t="n">
        <v>-2</v>
      </c>
      <c r="F154" t="n">
        <v>-0.25</v>
      </c>
      <c r="G154" t="n">
        <v>40</v>
      </c>
      <c r="H154" t="n">
        <v>12</v>
      </c>
      <c r="I154" t="s">
        <v>278</v>
      </c>
      <c r="J154" t="n">
        <v>0</v>
      </c>
      <c r="K154" t="n">
        <v>0</v>
      </c>
      <c r="L154" t="n">
        <v>0</v>
      </c>
      <c r="M154" t="n">
        <v>12</v>
      </c>
      <c r="N154" t="n">
        <v>-0.25</v>
      </c>
      <c r="O154" t="n">
        <v>0</v>
      </c>
      <c r="P154" t="n">
        <v>17</v>
      </c>
      <c r="Q154" t="n">
        <v>12</v>
      </c>
      <c r="R154" t="s">
        <v>278</v>
      </c>
      <c r="S154" t="s">
        <v>277</v>
      </c>
      <c r="T154" t="n">
        <v>-0.25</v>
      </c>
    </row>
    <row r="155">
      <c r="A155" t="s">
        <v>30</v>
      </c>
      <c r="B155" t="n">
        <v>0.94</v>
      </c>
      <c r="C155" t="n">
        <v>0.79</v>
      </c>
      <c r="D155" t="n">
        <v>0.84</v>
      </c>
      <c r="E155" t="n">
        <v>-1.5</v>
      </c>
      <c r="F155" t="n">
        <v>-0.25</v>
      </c>
      <c r="G155" t="n">
        <v>8</v>
      </c>
      <c r="H155" t="n">
        <v>12</v>
      </c>
      <c r="I155" t="s">
        <v>277</v>
      </c>
      <c r="J155" t="n">
        <v>0</v>
      </c>
      <c r="K155" t="n">
        <v>0</v>
      </c>
      <c r="L155" t="n">
        <v>0</v>
      </c>
      <c r="M155" t="n">
        <v>12</v>
      </c>
      <c r="N155" t="n">
        <v>0</v>
      </c>
      <c r="O155" t="n">
        <v>-0.25</v>
      </c>
      <c r="P155" t="n">
        <v>33</v>
      </c>
      <c r="Q155" t="n">
        <v>12</v>
      </c>
      <c r="R155" t="s">
        <v>285</v>
      </c>
      <c r="S155" t="s">
        <v>279</v>
      </c>
      <c r="T155" t="n">
        <v>-0.25</v>
      </c>
    </row>
    <row r="156">
      <c r="A156" t="s">
        <v>30</v>
      </c>
      <c r="B156" t="n">
        <v>1.02</v>
      </c>
      <c r="C156" t="n">
        <v>1.01</v>
      </c>
      <c r="D156" t="n">
        <v>1.06</v>
      </c>
      <c r="E156" t="n">
        <v>-3.25</v>
      </c>
      <c r="F156" t="n">
        <v>-0.75</v>
      </c>
      <c r="G156" t="n">
        <v>91</v>
      </c>
      <c r="H156" t="n">
        <v>12</v>
      </c>
      <c r="I156" t="s">
        <v>276</v>
      </c>
      <c r="J156" t="n">
        <v>0</v>
      </c>
      <c r="K156" t="n">
        <v>0</v>
      </c>
      <c r="L156" t="n">
        <v>0</v>
      </c>
      <c r="M156" t="n">
        <v>12</v>
      </c>
      <c r="N156" t="n">
        <v>0.5</v>
      </c>
      <c r="O156" t="n">
        <v>-0.25</v>
      </c>
      <c r="P156" t="n">
        <v>94</v>
      </c>
      <c r="Q156" t="n">
        <v>12</v>
      </c>
      <c r="R156" t="s">
        <v>275</v>
      </c>
      <c r="S156" t="s">
        <v>276</v>
      </c>
      <c r="T156" t="n">
        <v>0.25</v>
      </c>
    </row>
    <row r="157">
      <c r="A157" t="s">
        <v>30</v>
      </c>
      <c r="B157" t="n">
        <v>1.23</v>
      </c>
      <c r="C157" t="n">
        <v>1.18</v>
      </c>
      <c r="D157" t="n">
        <v>1.18</v>
      </c>
      <c r="E157" t="n">
        <v>-0.75</v>
      </c>
      <c r="F157" t="n">
        <v>0</v>
      </c>
      <c r="G157" t="n">
        <v>169</v>
      </c>
      <c r="H157" t="n">
        <v>12</v>
      </c>
      <c r="I157" t="s">
        <v>281</v>
      </c>
      <c r="J157" t="n">
        <v>0</v>
      </c>
      <c r="K157" t="n">
        <v>0</v>
      </c>
      <c r="L157" t="n">
        <v>0</v>
      </c>
      <c r="M157" t="n">
        <v>12</v>
      </c>
      <c r="N157" t="n">
        <v>-0.25</v>
      </c>
      <c r="O157" t="n">
        <v>0</v>
      </c>
      <c r="P157" t="n">
        <v>145</v>
      </c>
      <c r="Q157" t="n">
        <v>12</v>
      </c>
      <c r="R157" t="s">
        <v>281</v>
      </c>
      <c r="S157" t="s">
        <v>281</v>
      </c>
      <c r="T157" t="n">
        <v>-0.25</v>
      </c>
    </row>
    <row r="158">
      <c r="A158" t="s">
        <v>30</v>
      </c>
      <c r="B158" t="n">
        <v>1.05</v>
      </c>
      <c r="C158" t="n">
        <v>0.95</v>
      </c>
      <c r="D158" t="n">
        <v>0.97</v>
      </c>
      <c r="E158" t="n">
        <v>-2.25</v>
      </c>
      <c r="F158" t="n">
        <v>-0.5</v>
      </c>
      <c r="G158" t="n">
        <v>177</v>
      </c>
      <c r="H158" t="n">
        <v>12</v>
      </c>
      <c r="I158" t="s">
        <v>275</v>
      </c>
      <c r="J158" t="n">
        <v>0</v>
      </c>
      <c r="K158" t="n">
        <v>0</v>
      </c>
      <c r="L158" t="n">
        <v>0</v>
      </c>
      <c r="M158" t="n">
        <v>12</v>
      </c>
      <c r="N158" t="n">
        <v>0.5</v>
      </c>
      <c r="O158" t="n">
        <v>-0.25</v>
      </c>
      <c r="P158" t="n">
        <v>9</v>
      </c>
      <c r="Q158" t="n">
        <v>12</v>
      </c>
      <c r="R158" t="s">
        <v>277</v>
      </c>
      <c r="S158" t="s">
        <v>277</v>
      </c>
      <c r="T158" t="n">
        <v>0.25</v>
      </c>
    </row>
    <row r="159">
      <c r="A159" t="s">
        <v>30</v>
      </c>
      <c r="B159" t="n">
        <v>1.07</v>
      </c>
      <c r="C159" t="n">
        <v>1</v>
      </c>
      <c r="D159" t="n">
        <v>1.03</v>
      </c>
      <c r="E159" t="n">
        <v>-0.5</v>
      </c>
      <c r="F159" t="n">
        <v>-0.25</v>
      </c>
      <c r="G159" t="n">
        <v>17</v>
      </c>
      <c r="H159" t="n">
        <v>12</v>
      </c>
      <c r="I159" t="s">
        <v>275</v>
      </c>
      <c r="J159" t="n">
        <v>0</v>
      </c>
      <c r="K159" t="n">
        <v>0</v>
      </c>
      <c r="L159" t="n">
        <v>0</v>
      </c>
      <c r="M159" t="n">
        <v>12</v>
      </c>
      <c r="N159" t="n">
        <v>0.5</v>
      </c>
      <c r="O159" t="n">
        <v>-0.5</v>
      </c>
      <c r="P159" t="n">
        <v>178</v>
      </c>
      <c r="Q159" t="n">
        <v>12</v>
      </c>
      <c r="R159" t="s">
        <v>275</v>
      </c>
      <c r="S159" t="s">
        <v>276</v>
      </c>
      <c r="T159" t="n">
        <v>0.25</v>
      </c>
    </row>
    <row r="160">
      <c r="A160" t="s">
        <v>30</v>
      </c>
      <c r="B160" t="n">
        <v>1.03</v>
      </c>
      <c r="C160" t="n">
        <v>0.98</v>
      </c>
      <c r="D160" t="n">
        <v>1.05</v>
      </c>
      <c r="E160" t="n">
        <v>-2</v>
      </c>
      <c r="F160" t="n">
        <v>-1.5</v>
      </c>
      <c r="G160" t="n">
        <v>16</v>
      </c>
      <c r="H160" t="n">
        <v>12</v>
      </c>
      <c r="I160" t="s">
        <v>275</v>
      </c>
      <c r="J160" t="n">
        <v>0</v>
      </c>
      <c r="K160" t="n">
        <v>0</v>
      </c>
      <c r="L160" t="n">
        <v>0</v>
      </c>
      <c r="M160" t="n">
        <v>12</v>
      </c>
      <c r="N160" t="n">
        <v>0</v>
      </c>
      <c r="O160" t="n">
        <v>0</v>
      </c>
      <c r="P160" t="n">
        <v>7</v>
      </c>
      <c r="Q160" t="n">
        <v>12</v>
      </c>
      <c r="R160" t="s">
        <v>275</v>
      </c>
      <c r="S160" t="s">
        <v>276</v>
      </c>
      <c r="T160" t="n">
        <v>0</v>
      </c>
    </row>
    <row r="161">
      <c r="A161" t="s">
        <v>30</v>
      </c>
      <c r="B161" t="n">
        <v>1.02</v>
      </c>
      <c r="C161" t="n">
        <v>1.1</v>
      </c>
      <c r="D161" t="n">
        <v>1.06</v>
      </c>
      <c r="E161" t="n">
        <v>-7</v>
      </c>
      <c r="F161" t="n">
        <v>-0.25</v>
      </c>
      <c r="G161" t="n">
        <v>5</v>
      </c>
      <c r="H161" t="n">
        <v>12</v>
      </c>
      <c r="I161" t="s">
        <v>276</v>
      </c>
      <c r="J161" t="n">
        <v>0</v>
      </c>
      <c r="K161" t="n">
        <v>0</v>
      </c>
      <c r="L161" t="n">
        <v>0</v>
      </c>
      <c r="M161" t="n">
        <v>12</v>
      </c>
      <c r="N161" t="n">
        <v>0</v>
      </c>
      <c r="O161" t="n">
        <v>0</v>
      </c>
      <c r="P161" t="n">
        <v>149</v>
      </c>
      <c r="Q161" t="n">
        <v>12</v>
      </c>
      <c r="R161" t="s">
        <v>275</v>
      </c>
      <c r="S161" t="s">
        <v>280</v>
      </c>
      <c r="T161" t="n">
        <v>0</v>
      </c>
    </row>
    <row r="162">
      <c r="A162" t="s">
        <v>30</v>
      </c>
      <c r="B162" t="n">
        <v>1.05</v>
      </c>
      <c r="C162" t="n">
        <v>0.97</v>
      </c>
      <c r="D162" t="n">
        <v>1.01</v>
      </c>
      <c r="E162" t="n">
        <v>-4.25</v>
      </c>
      <c r="F162" t="n">
        <v>-0.5</v>
      </c>
      <c r="G162" t="n">
        <v>9</v>
      </c>
      <c r="H162" t="n">
        <v>12</v>
      </c>
      <c r="I162" t="s">
        <v>275</v>
      </c>
      <c r="J162" t="n">
        <v>0</v>
      </c>
      <c r="K162" t="n">
        <v>0</v>
      </c>
      <c r="L162" t="n">
        <v>0</v>
      </c>
      <c r="M162" t="n">
        <v>12</v>
      </c>
      <c r="N162" t="n">
        <v>0.5</v>
      </c>
      <c r="O162" t="n">
        <v>-0.25</v>
      </c>
      <c r="P162" t="n">
        <v>15</v>
      </c>
      <c r="Q162" t="n">
        <v>12</v>
      </c>
      <c r="R162" t="s">
        <v>276</v>
      </c>
      <c r="S162" t="s">
        <v>277</v>
      </c>
      <c r="T162" t="n">
        <v>0.25</v>
      </c>
    </row>
    <row r="163">
      <c r="A163" t="s">
        <v>30</v>
      </c>
      <c r="B163" t="n">
        <v>0.96</v>
      </c>
      <c r="C163" t="n">
        <v>0.93</v>
      </c>
      <c r="D163" t="n">
        <v>0.92</v>
      </c>
      <c r="E163" t="n">
        <v>-6.5</v>
      </c>
      <c r="F163" t="n">
        <v>0</v>
      </c>
      <c r="G163" t="n">
        <v>68</v>
      </c>
      <c r="H163" t="n">
        <v>12</v>
      </c>
      <c r="I163" t="s">
        <v>277</v>
      </c>
      <c r="J163" t="n">
        <v>0</v>
      </c>
      <c r="K163" t="n">
        <v>0</v>
      </c>
      <c r="L163" t="n">
        <v>0</v>
      </c>
      <c r="M163" t="n">
        <v>12</v>
      </c>
      <c r="N163" t="n">
        <v>0</v>
      </c>
      <c r="O163" t="n">
        <v>-0.25</v>
      </c>
      <c r="P163" t="n">
        <v>174</v>
      </c>
      <c r="Q163" t="n">
        <v>12</v>
      </c>
      <c r="R163" t="s">
        <v>278</v>
      </c>
      <c r="S163" t="s">
        <v>278</v>
      </c>
      <c r="T163" t="n">
        <v>0</v>
      </c>
    </row>
    <row r="164">
      <c r="A164" t="s">
        <v>30</v>
      </c>
      <c r="B164" t="n">
        <v>0.96</v>
      </c>
      <c r="C164" t="n">
        <v>0.95</v>
      </c>
      <c r="D164" t="n">
        <v>0.96</v>
      </c>
      <c r="E164" t="n">
        <v>-2</v>
      </c>
      <c r="F164" t="n">
        <v>-0.5</v>
      </c>
      <c r="G164" t="n">
        <v>98</v>
      </c>
      <c r="H164" t="n">
        <v>12</v>
      </c>
      <c r="I164" t="s">
        <v>277</v>
      </c>
      <c r="J164" t="n">
        <v>0</v>
      </c>
      <c r="K164" t="n">
        <v>0</v>
      </c>
      <c r="L164" t="n">
        <v>0</v>
      </c>
      <c r="M164" t="n">
        <v>12</v>
      </c>
      <c r="N164" t="n">
        <v>0</v>
      </c>
      <c r="O164" t="n">
        <v>-0.25</v>
      </c>
      <c r="P164" t="n">
        <v>77</v>
      </c>
      <c r="Q164" t="n">
        <v>12</v>
      </c>
      <c r="R164" t="s">
        <v>277</v>
      </c>
      <c r="S164" t="s">
        <v>277</v>
      </c>
      <c r="T164" t="n">
        <v>-0.25</v>
      </c>
    </row>
    <row r="165">
      <c r="A165" t="s">
        <v>30</v>
      </c>
      <c r="B165" t="n">
        <v>1.02</v>
      </c>
      <c r="C165" t="n">
        <v>1.07</v>
      </c>
      <c r="D165" t="n">
        <v>1.08</v>
      </c>
      <c r="E165" t="n">
        <v>-3.25</v>
      </c>
      <c r="F165" t="n">
        <v>-1.25</v>
      </c>
      <c r="G165" t="n">
        <v>162</v>
      </c>
      <c r="H165" t="n">
        <v>12</v>
      </c>
      <c r="I165" t="s">
        <v>276</v>
      </c>
      <c r="J165" t="n">
        <v>0</v>
      </c>
      <c r="K165" t="n">
        <v>0</v>
      </c>
      <c r="L165" t="n">
        <v>0</v>
      </c>
      <c r="M165" t="n">
        <v>12</v>
      </c>
      <c r="N165" t="n">
        <v>0.5</v>
      </c>
      <c r="O165" t="n">
        <v>-0.25</v>
      </c>
      <c r="P165" t="n">
        <v>148</v>
      </c>
      <c r="Q165" t="n">
        <v>12</v>
      </c>
      <c r="R165" t="s">
        <v>280</v>
      </c>
      <c r="S165" t="s">
        <v>275</v>
      </c>
      <c r="T165" t="n">
        <v>0.25</v>
      </c>
    </row>
    <row r="166">
      <c r="A166" t="s">
        <v>30</v>
      </c>
      <c r="B166" t="n">
        <v>1.14</v>
      </c>
      <c r="C166" t="n">
        <v>1.15</v>
      </c>
      <c r="D166" t="n">
        <v>1.13</v>
      </c>
      <c r="E166" t="n">
        <v>-4.75</v>
      </c>
      <c r="F166" t="n">
        <v>-0.5</v>
      </c>
      <c r="G166" t="n">
        <v>95</v>
      </c>
      <c r="H166" t="n">
        <v>12</v>
      </c>
      <c r="I166" t="s">
        <v>284</v>
      </c>
      <c r="J166" t="n">
        <v>0</v>
      </c>
      <c r="K166" t="n">
        <v>0</v>
      </c>
      <c r="L166" t="n">
        <v>0</v>
      </c>
      <c r="M166" t="n">
        <v>12</v>
      </c>
      <c r="N166" t="n">
        <v>0</v>
      </c>
      <c r="O166" t="n">
        <v>-0.25</v>
      </c>
      <c r="P166" t="n">
        <v>95</v>
      </c>
      <c r="Q166" t="n">
        <v>12</v>
      </c>
      <c r="R166" t="s">
        <v>284</v>
      </c>
      <c r="S166" t="s">
        <v>284</v>
      </c>
      <c r="T166" t="n">
        <v>0</v>
      </c>
    </row>
    <row r="167">
      <c r="A167" t="s">
        <v>30</v>
      </c>
      <c r="B167" t="n">
        <v>0.97</v>
      </c>
      <c r="C167" t="n">
        <v>0.93</v>
      </c>
      <c r="D167" t="n">
        <v>0.98</v>
      </c>
      <c r="E167" t="n">
        <v>-2</v>
      </c>
      <c r="F167" t="n">
        <v>-0.25</v>
      </c>
      <c r="G167" t="n">
        <v>27</v>
      </c>
      <c r="H167" t="n">
        <v>12</v>
      </c>
      <c r="I167" t="s">
        <v>277</v>
      </c>
      <c r="J167" t="n">
        <v>0</v>
      </c>
      <c r="K167" t="n">
        <v>0</v>
      </c>
      <c r="L167" t="n">
        <v>0</v>
      </c>
      <c r="M167" t="n">
        <v>12</v>
      </c>
      <c r="N167" t="n">
        <v>0.5</v>
      </c>
      <c r="O167" t="n">
        <v>-0.25</v>
      </c>
      <c r="P167" t="n">
        <v>38</v>
      </c>
      <c r="Q167" t="n">
        <v>12</v>
      </c>
      <c r="R167" t="s">
        <v>276</v>
      </c>
      <c r="S167" t="s">
        <v>278</v>
      </c>
      <c r="T167" t="n">
        <v>0.25</v>
      </c>
    </row>
    <row r="168">
      <c r="A168" t="s">
        <v>30</v>
      </c>
      <c r="B168" t="n">
        <v>1.06</v>
      </c>
      <c r="C168" t="n">
        <v>0.94</v>
      </c>
      <c r="D168" t="n">
        <v>1.05</v>
      </c>
      <c r="E168" t="n">
        <v>-6.25</v>
      </c>
      <c r="F168" t="n">
        <v>-1.25</v>
      </c>
      <c r="G168" t="n">
        <v>4</v>
      </c>
      <c r="H168" t="n">
        <v>12</v>
      </c>
      <c r="I168" t="s">
        <v>275</v>
      </c>
      <c r="J168" t="n">
        <v>0</v>
      </c>
      <c r="K168" t="n">
        <v>0</v>
      </c>
      <c r="L168" t="n">
        <v>0</v>
      </c>
      <c r="M168" t="n">
        <v>12</v>
      </c>
      <c r="N168" t="n">
        <v>0</v>
      </c>
      <c r="O168" t="n">
        <v>-0.25</v>
      </c>
      <c r="P168" t="n">
        <v>46</v>
      </c>
      <c r="Q168" t="n">
        <v>12</v>
      </c>
      <c r="R168" t="s">
        <v>275</v>
      </c>
      <c r="S168" t="s">
        <v>277</v>
      </c>
      <c r="T168" t="n">
        <v>0</v>
      </c>
    </row>
    <row r="169">
      <c r="A169" t="s">
        <v>30</v>
      </c>
      <c r="B169" t="n">
        <v>1.15</v>
      </c>
      <c r="C169" t="n">
        <v>1.25</v>
      </c>
      <c r="D169" t="n">
        <v>1.16</v>
      </c>
      <c r="E169" t="n">
        <v>-4.75</v>
      </c>
      <c r="F169" t="n">
        <v>-0.5</v>
      </c>
      <c r="G169" t="n">
        <v>82</v>
      </c>
      <c r="H169" t="n">
        <v>12</v>
      </c>
      <c r="I169" t="s">
        <v>284</v>
      </c>
      <c r="J169" t="n">
        <v>0</v>
      </c>
      <c r="K169" t="n">
        <v>0</v>
      </c>
      <c r="L169" t="n">
        <v>0</v>
      </c>
      <c r="M169" t="n">
        <v>12</v>
      </c>
      <c r="N169" t="n">
        <v>0</v>
      </c>
      <c r="O169" t="n">
        <v>-0.25</v>
      </c>
      <c r="P169" t="n">
        <v>61</v>
      </c>
      <c r="Q169" t="n">
        <v>12</v>
      </c>
      <c r="R169" t="s">
        <v>284</v>
      </c>
      <c r="S169" t="s">
        <v>283</v>
      </c>
      <c r="T169" t="n">
        <v>0</v>
      </c>
    </row>
    <row r="170">
      <c r="A170" t="s">
        <v>30</v>
      </c>
      <c r="B170" t="n">
        <v>1.18</v>
      </c>
      <c r="C170" t="n">
        <v>1.17</v>
      </c>
      <c r="D170" t="n">
        <v>1.14</v>
      </c>
      <c r="E170" t="n">
        <v>-2.25</v>
      </c>
      <c r="F170" t="n">
        <v>-0.25</v>
      </c>
      <c r="G170" t="n">
        <v>94</v>
      </c>
      <c r="H170" t="n">
        <v>12</v>
      </c>
      <c r="I170" t="s">
        <v>281</v>
      </c>
      <c r="J170" t="n">
        <v>0</v>
      </c>
      <c r="K170" t="n">
        <v>0</v>
      </c>
      <c r="L170" t="n">
        <v>0</v>
      </c>
      <c r="M170" t="n">
        <v>12</v>
      </c>
      <c r="N170" t="n">
        <v>0.5</v>
      </c>
      <c r="O170" t="n">
        <v>0</v>
      </c>
      <c r="P170" t="n">
        <v>18</v>
      </c>
      <c r="Q170" t="n">
        <v>12</v>
      </c>
      <c r="R170" t="s">
        <v>284</v>
      </c>
      <c r="S170" t="s">
        <v>284</v>
      </c>
      <c r="T170" t="n">
        <v>0.5</v>
      </c>
    </row>
    <row r="171">
      <c r="A171" t="s">
        <v>30</v>
      </c>
      <c r="B171" t="n">
        <v>1.08</v>
      </c>
      <c r="C171" t="n">
        <v>1.04</v>
      </c>
      <c r="D171" t="n">
        <v>1.11</v>
      </c>
      <c r="E171" t="n">
        <v>-4</v>
      </c>
      <c r="F171" t="n">
        <v>-0.25</v>
      </c>
      <c r="G171" t="n">
        <v>24</v>
      </c>
      <c r="H171" t="n">
        <v>12</v>
      </c>
      <c r="I171" t="s">
        <v>280</v>
      </c>
      <c r="J171" t="n">
        <v>0</v>
      </c>
      <c r="K171" t="n">
        <v>0</v>
      </c>
      <c r="L171" t="n">
        <v>0</v>
      </c>
      <c r="M171" t="n">
        <v>12</v>
      </c>
      <c r="N171" t="n">
        <v>0</v>
      </c>
      <c r="O171" t="n">
        <v>-0.25</v>
      </c>
      <c r="P171" t="n">
        <v>152</v>
      </c>
      <c r="Q171" t="n">
        <v>12</v>
      </c>
      <c r="R171" t="s">
        <v>280</v>
      </c>
      <c r="S171" t="s">
        <v>275</v>
      </c>
      <c r="T171" t="n">
        <v>0</v>
      </c>
    </row>
    <row r="172">
      <c r="A172" t="s">
        <v>30</v>
      </c>
      <c r="B172" t="n">
        <v>1.05</v>
      </c>
      <c r="C172" t="n">
        <v>0.92</v>
      </c>
      <c r="D172" t="n">
        <v>1.04</v>
      </c>
      <c r="E172" t="n">
        <v>-3.5</v>
      </c>
      <c r="F172" t="n">
        <v>-1.25</v>
      </c>
      <c r="G172" t="n">
        <v>102</v>
      </c>
      <c r="H172" t="n">
        <v>12</v>
      </c>
      <c r="I172" t="s">
        <v>275</v>
      </c>
      <c r="J172" t="n">
        <v>0</v>
      </c>
      <c r="K172" t="n">
        <v>0</v>
      </c>
      <c r="L172" t="n">
        <v>0</v>
      </c>
      <c r="M172" t="n">
        <v>12</v>
      </c>
      <c r="N172" t="n">
        <v>0</v>
      </c>
      <c r="O172" t="n">
        <v>-0.25</v>
      </c>
      <c r="P172" t="n">
        <v>93</v>
      </c>
      <c r="Q172" t="n">
        <v>12</v>
      </c>
      <c r="R172" t="s">
        <v>275</v>
      </c>
      <c r="S172" t="s">
        <v>278</v>
      </c>
      <c r="T172" t="n">
        <v>0</v>
      </c>
    </row>
    <row r="173">
      <c r="A173" t="s">
        <v>30</v>
      </c>
      <c r="B173" t="n">
        <v>0.96</v>
      </c>
      <c r="C173" t="n">
        <v>0.82</v>
      </c>
      <c r="D173" t="n">
        <v>0.93</v>
      </c>
      <c r="E173" t="n">
        <v>-4</v>
      </c>
      <c r="F173" t="n">
        <v>-0.25</v>
      </c>
      <c r="G173" t="n">
        <v>97</v>
      </c>
      <c r="H173" t="n">
        <v>12</v>
      </c>
      <c r="I173" t="s">
        <v>277</v>
      </c>
      <c r="J173" t="n">
        <v>0</v>
      </c>
      <c r="K173" t="n">
        <v>0</v>
      </c>
      <c r="L173" t="n">
        <v>0</v>
      </c>
      <c r="M173" t="n">
        <v>12</v>
      </c>
      <c r="N173" t="n">
        <v>0.5</v>
      </c>
      <c r="O173" t="n">
        <v>0</v>
      </c>
      <c r="P173" t="n">
        <v>119</v>
      </c>
      <c r="Q173" t="n">
        <v>12</v>
      </c>
      <c r="R173" t="s">
        <v>278</v>
      </c>
      <c r="S173" t="s">
        <v>285</v>
      </c>
      <c r="T173" t="n">
        <v>0.5</v>
      </c>
    </row>
    <row r="174">
      <c r="A174" t="s">
        <v>30</v>
      </c>
      <c r="B174" t="n">
        <v>1.03</v>
      </c>
      <c r="C174" t="n">
        <v>1.08</v>
      </c>
      <c r="D174" t="n">
        <v>1.06</v>
      </c>
      <c r="E174" t="n">
        <v>-1.25</v>
      </c>
      <c r="F174" t="n">
        <v>-0.5</v>
      </c>
      <c r="G174" t="n">
        <v>71</v>
      </c>
      <c r="H174" t="n">
        <v>12</v>
      </c>
      <c r="I174" t="s">
        <v>275</v>
      </c>
      <c r="J174" t="n">
        <v>0</v>
      </c>
      <c r="K174" t="n">
        <v>0</v>
      </c>
      <c r="L174" t="n">
        <v>0</v>
      </c>
      <c r="M174" t="n">
        <v>12</v>
      </c>
      <c r="N174" t="n">
        <v>0.25</v>
      </c>
      <c r="O174" t="n">
        <v>-0.5</v>
      </c>
      <c r="P174" t="n">
        <v>96</v>
      </c>
      <c r="Q174" t="n">
        <v>12</v>
      </c>
      <c r="R174" t="s">
        <v>275</v>
      </c>
      <c r="S174" t="s">
        <v>280</v>
      </c>
      <c r="T174" t="n">
        <v>0</v>
      </c>
    </row>
    <row r="175">
      <c r="A175" t="s">
        <v>30</v>
      </c>
      <c r="B175" t="n">
        <v>1.11</v>
      </c>
      <c r="C175" t="n">
        <v>1.17</v>
      </c>
      <c r="D175" t="n">
        <v>1.14</v>
      </c>
      <c r="E175" t="n">
        <v>-4</v>
      </c>
      <c r="F175" t="n">
        <v>0</v>
      </c>
      <c r="G175" t="n">
        <v>80</v>
      </c>
      <c r="H175" t="n">
        <v>12</v>
      </c>
      <c r="I175" t="s">
        <v>280</v>
      </c>
      <c r="J175" t="n">
        <v>0</v>
      </c>
      <c r="K175" t="n">
        <v>0</v>
      </c>
      <c r="L175" t="n">
        <v>0</v>
      </c>
      <c r="M175" t="n">
        <v>12</v>
      </c>
      <c r="N175" t="n">
        <v>0</v>
      </c>
      <c r="O175" t="n">
        <v>-0.25</v>
      </c>
      <c r="P175" t="n">
        <v>130</v>
      </c>
      <c r="Q175" t="n">
        <v>12</v>
      </c>
      <c r="R175" t="s">
        <v>284</v>
      </c>
      <c r="S175" t="s">
        <v>284</v>
      </c>
      <c r="T175" t="n">
        <v>-0.25</v>
      </c>
    </row>
    <row r="176">
      <c r="A176" t="s">
        <v>30</v>
      </c>
      <c r="B176" t="n">
        <v>1.1</v>
      </c>
      <c r="C176" t="n">
        <v>0.99</v>
      </c>
      <c r="D176" t="n">
        <v>1.07</v>
      </c>
      <c r="E176" t="n">
        <v>-3.5</v>
      </c>
      <c r="F176" t="n">
        <v>-1</v>
      </c>
      <c r="G176" t="n">
        <v>161</v>
      </c>
      <c r="H176" t="n">
        <v>12</v>
      </c>
      <c r="I176" t="s">
        <v>280</v>
      </c>
      <c r="J176" t="n">
        <v>0</v>
      </c>
      <c r="K176" t="n">
        <v>0</v>
      </c>
      <c r="L176" t="n">
        <v>0</v>
      </c>
      <c r="M176" t="n">
        <v>12</v>
      </c>
      <c r="N176" t="n">
        <v>0.5</v>
      </c>
      <c r="O176" t="n">
        <v>-0.25</v>
      </c>
      <c r="P176" t="n">
        <v>147</v>
      </c>
      <c r="Q176" t="n">
        <v>12</v>
      </c>
      <c r="R176" t="s">
        <v>275</v>
      </c>
      <c r="S176" t="s">
        <v>276</v>
      </c>
      <c r="T176" t="n">
        <v>0.25</v>
      </c>
    </row>
    <row r="177">
      <c r="A177" t="s">
        <v>30</v>
      </c>
      <c r="B177" t="n">
        <v>0.97</v>
      </c>
      <c r="C177" t="n">
        <v>0.9</v>
      </c>
      <c r="D177" t="n">
        <v>1.02</v>
      </c>
      <c r="E177" t="n">
        <v>-2.75</v>
      </c>
      <c r="F177" t="n">
        <v>-0.5</v>
      </c>
      <c r="G177" t="n">
        <v>62</v>
      </c>
      <c r="H177" t="n">
        <v>12</v>
      </c>
      <c r="I177" t="s">
        <v>277</v>
      </c>
      <c r="J177" t="n">
        <v>0</v>
      </c>
      <c r="K177" t="n">
        <v>0</v>
      </c>
      <c r="L177" t="n">
        <v>0</v>
      </c>
      <c r="M177" t="n">
        <v>12</v>
      </c>
      <c r="N177" t="n">
        <v>0</v>
      </c>
      <c r="O177" t="n">
        <v>-0.25</v>
      </c>
      <c r="P177" t="n">
        <v>92</v>
      </c>
      <c r="Q177" t="n">
        <v>12</v>
      </c>
      <c r="R177" t="s">
        <v>276</v>
      </c>
      <c r="S177" t="s">
        <v>278</v>
      </c>
      <c r="T177" t="n">
        <v>-0.25</v>
      </c>
    </row>
    <row r="178">
      <c r="A178" t="s">
        <v>30</v>
      </c>
      <c r="B178" t="n">
        <v>1.14</v>
      </c>
      <c r="C178" t="n">
        <v>1.14</v>
      </c>
      <c r="D178" t="n">
        <v>1.17</v>
      </c>
      <c r="E178" t="n">
        <v>-4</v>
      </c>
      <c r="F178" t="n">
        <v>-0.75</v>
      </c>
      <c r="G178" t="n">
        <v>103</v>
      </c>
      <c r="H178" t="n">
        <v>12</v>
      </c>
      <c r="I178" t="s">
        <v>284</v>
      </c>
      <c r="J178" t="n">
        <v>0</v>
      </c>
      <c r="K178" t="n">
        <v>0</v>
      </c>
      <c r="L178" t="n">
        <v>0</v>
      </c>
      <c r="M178" t="n">
        <v>12</v>
      </c>
      <c r="N178" t="n">
        <v>0.5</v>
      </c>
      <c r="O178" t="n">
        <v>0</v>
      </c>
      <c r="P178" t="n">
        <v>8</v>
      </c>
      <c r="Q178" t="n">
        <v>12</v>
      </c>
      <c r="R178" t="s">
        <v>284</v>
      </c>
      <c r="S178" t="s">
        <v>284</v>
      </c>
      <c r="T178" t="n">
        <v>0.5</v>
      </c>
    </row>
    <row r="179">
      <c r="A179" t="s">
        <v>30</v>
      </c>
      <c r="B179" t="n">
        <v>1.08</v>
      </c>
      <c r="C179" t="n">
        <v>1.2</v>
      </c>
      <c r="D179" t="n">
        <v>1.12</v>
      </c>
      <c r="E179" t="n">
        <v>-3.5</v>
      </c>
      <c r="F179" t="n">
        <v>-1.25</v>
      </c>
      <c r="G179" t="n">
        <v>10</v>
      </c>
      <c r="H179" t="n">
        <v>12</v>
      </c>
      <c r="I179" t="s">
        <v>280</v>
      </c>
      <c r="J179" t="n">
        <v>0</v>
      </c>
      <c r="K179" t="n">
        <v>0</v>
      </c>
      <c r="L179" t="n">
        <v>0</v>
      </c>
      <c r="M179" t="n">
        <v>12</v>
      </c>
      <c r="N179" t="n">
        <v>0</v>
      </c>
      <c r="O179" t="n">
        <v>-0.25</v>
      </c>
      <c r="P179" t="n">
        <v>21</v>
      </c>
      <c r="Q179" t="n">
        <v>12</v>
      </c>
      <c r="R179" t="s">
        <v>280</v>
      </c>
      <c r="S179" t="s">
        <v>281</v>
      </c>
      <c r="T179" t="n">
        <v>0</v>
      </c>
    </row>
    <row r="180">
      <c r="A180" t="s">
        <v>30</v>
      </c>
      <c r="B180" t="n">
        <v>1.13</v>
      </c>
      <c r="C180" t="n">
        <v>1.07</v>
      </c>
      <c r="D180" t="n">
        <v>1.09</v>
      </c>
      <c r="E180" t="n">
        <v>-6</v>
      </c>
      <c r="F180" t="n">
        <v>-0.5</v>
      </c>
      <c r="G180" t="n">
        <v>82</v>
      </c>
      <c r="H180" t="n">
        <v>12</v>
      </c>
      <c r="I180" t="s">
        <v>284</v>
      </c>
      <c r="J180" t="n">
        <v>0</v>
      </c>
      <c r="K180" t="n">
        <v>0</v>
      </c>
      <c r="L180" t="n">
        <v>0</v>
      </c>
      <c r="M180" t="n">
        <v>12</v>
      </c>
      <c r="N180" t="n">
        <v>0.25</v>
      </c>
      <c r="O180" t="n">
        <v>-0.5</v>
      </c>
      <c r="P180" t="n">
        <v>106</v>
      </c>
      <c r="Q180" t="n">
        <v>12</v>
      </c>
      <c r="R180" t="s">
        <v>280</v>
      </c>
      <c r="S180" t="s">
        <v>275</v>
      </c>
      <c r="T180" t="n">
        <v>0</v>
      </c>
    </row>
    <row r="181">
      <c r="A181" t="s">
        <v>30</v>
      </c>
      <c r="B181" t="n">
        <v>0.99</v>
      </c>
      <c r="C181" t="n">
        <v>1.03</v>
      </c>
      <c r="D181" t="n">
        <v>1.03</v>
      </c>
      <c r="E181" t="n">
        <v>-6</v>
      </c>
      <c r="F181" t="n">
        <v>-1.25</v>
      </c>
      <c r="G181" t="n">
        <v>165</v>
      </c>
      <c r="H181" t="n">
        <v>12</v>
      </c>
      <c r="I181" t="s">
        <v>276</v>
      </c>
      <c r="J181" t="n">
        <v>0</v>
      </c>
      <c r="K181" t="n">
        <v>0</v>
      </c>
      <c r="L181" t="n">
        <v>0</v>
      </c>
      <c r="M181" t="n">
        <v>12</v>
      </c>
      <c r="N181" t="n">
        <v>-0.75</v>
      </c>
      <c r="O181" t="n">
        <v>0</v>
      </c>
      <c r="P181" t="n">
        <v>14</v>
      </c>
      <c r="Q181" t="n">
        <v>12</v>
      </c>
      <c r="R181" t="s">
        <v>275</v>
      </c>
      <c r="S181" t="s">
        <v>275</v>
      </c>
      <c r="T181" t="n">
        <v>-0.75</v>
      </c>
    </row>
    <row r="182">
      <c r="A182" t="s">
        <v>30</v>
      </c>
      <c r="B182" t="n">
        <v>0.94</v>
      </c>
      <c r="C182" t="n">
        <v>0.96</v>
      </c>
      <c r="D182" t="n">
        <v>0.93</v>
      </c>
      <c r="E182" t="n">
        <v>-3.75</v>
      </c>
      <c r="F182" t="n">
        <v>0</v>
      </c>
      <c r="G182" t="n">
        <v>149</v>
      </c>
      <c r="H182" t="n">
        <v>12</v>
      </c>
      <c r="I182" t="s">
        <v>277</v>
      </c>
      <c r="J182" t="n">
        <v>0</v>
      </c>
      <c r="K182" t="n">
        <v>0</v>
      </c>
      <c r="L182" t="n">
        <v>0</v>
      </c>
      <c r="M182" t="n">
        <v>12</v>
      </c>
      <c r="N182" t="n">
        <v>0</v>
      </c>
      <c r="O182" t="n">
        <v>-0.5</v>
      </c>
      <c r="P182" t="n">
        <v>143</v>
      </c>
      <c r="Q182" t="n">
        <v>12</v>
      </c>
      <c r="R182" t="s">
        <v>278</v>
      </c>
      <c r="S182" t="s">
        <v>277</v>
      </c>
      <c r="T182" t="n">
        <v>-0.25</v>
      </c>
    </row>
    <row r="183">
      <c r="A183" t="s">
        <v>30</v>
      </c>
      <c r="B183" t="n">
        <v>0.96</v>
      </c>
      <c r="C183" t="n">
        <v>1.08</v>
      </c>
      <c r="D183" t="n">
        <v>0.97</v>
      </c>
      <c r="E183" t="n">
        <v>-3.5</v>
      </c>
      <c r="F183" t="n">
        <v>-0.5</v>
      </c>
      <c r="G183" t="n">
        <v>2</v>
      </c>
      <c r="H183" t="n">
        <v>12</v>
      </c>
      <c r="I183" t="s">
        <v>277</v>
      </c>
      <c r="J183" t="n">
        <v>0</v>
      </c>
      <c r="K183" t="n">
        <v>0</v>
      </c>
      <c r="L183" t="n">
        <v>0</v>
      </c>
      <c r="M183" t="n">
        <v>12</v>
      </c>
      <c r="N183" t="n">
        <v>0.5</v>
      </c>
      <c r="O183" t="n">
        <v>-0.25</v>
      </c>
      <c r="P183" t="n">
        <v>175</v>
      </c>
      <c r="Q183" t="n">
        <v>12</v>
      </c>
      <c r="R183" t="s">
        <v>277</v>
      </c>
      <c r="S183" t="s">
        <v>280</v>
      </c>
      <c r="T183" t="n">
        <v>0.25</v>
      </c>
    </row>
    <row r="184">
      <c r="A184" t="s">
        <v>30</v>
      </c>
      <c r="B184" t="n">
        <v>1.07</v>
      </c>
      <c r="C184" t="n">
        <v>1.09</v>
      </c>
      <c r="D184" t="n">
        <v>1.17</v>
      </c>
      <c r="E184" t="n">
        <v>-2.75</v>
      </c>
      <c r="F184" t="n">
        <v>-1</v>
      </c>
      <c r="G184" t="n">
        <v>152</v>
      </c>
      <c r="H184" t="n">
        <v>12</v>
      </c>
      <c r="I184" t="s">
        <v>275</v>
      </c>
      <c r="J184" t="n">
        <v>0</v>
      </c>
      <c r="K184" t="n">
        <v>0</v>
      </c>
      <c r="L184" t="n">
        <v>0</v>
      </c>
      <c r="M184" t="n">
        <v>12</v>
      </c>
      <c r="N184" t="n">
        <v>0.25</v>
      </c>
      <c r="O184" t="n">
        <v>0</v>
      </c>
      <c r="P184" t="n">
        <v>156</v>
      </c>
      <c r="Q184" t="n">
        <v>12</v>
      </c>
      <c r="R184" t="s">
        <v>284</v>
      </c>
      <c r="S184" t="s">
        <v>280</v>
      </c>
      <c r="T184" t="n">
        <v>0.25</v>
      </c>
    </row>
    <row r="185">
      <c r="A185" t="s">
        <v>30</v>
      </c>
      <c r="B185" t="n">
        <v>0.93</v>
      </c>
      <c r="C185" t="n">
        <v>0.9</v>
      </c>
      <c r="D185" t="n">
        <v>0.92</v>
      </c>
      <c r="E185" t="n">
        <v>-2.5</v>
      </c>
      <c r="F185" t="n">
        <v>-1</v>
      </c>
      <c r="G185" t="n">
        <v>24</v>
      </c>
      <c r="H185" t="n">
        <v>12</v>
      </c>
      <c r="I185" t="s">
        <v>278</v>
      </c>
      <c r="J185" t="n">
        <v>0</v>
      </c>
      <c r="K185" t="n">
        <v>0</v>
      </c>
      <c r="L185" t="n">
        <v>0</v>
      </c>
      <c r="M185" t="n">
        <v>12</v>
      </c>
      <c r="N185" t="n">
        <v>0</v>
      </c>
      <c r="O185" t="n">
        <v>-0.25</v>
      </c>
      <c r="P185" t="n">
        <v>15</v>
      </c>
      <c r="Q185" t="n">
        <v>12</v>
      </c>
      <c r="R185" t="s">
        <v>278</v>
      </c>
      <c r="S185" t="s">
        <v>278</v>
      </c>
      <c r="T185" t="n">
        <v>-0.25</v>
      </c>
    </row>
    <row r="186">
      <c r="A186" t="s">
        <v>30</v>
      </c>
      <c r="B186" t="n">
        <v>1.05</v>
      </c>
      <c r="C186" t="n">
        <v>0.89</v>
      </c>
      <c r="D186" t="n">
        <v>1.04</v>
      </c>
      <c r="E186" t="n">
        <v>-4.25</v>
      </c>
      <c r="F186" t="n">
        <v>-1.5</v>
      </c>
      <c r="G186" t="n">
        <v>5</v>
      </c>
      <c r="H186" t="n">
        <v>12</v>
      </c>
      <c r="I186" t="s">
        <v>275</v>
      </c>
      <c r="J186" t="n">
        <v>0</v>
      </c>
      <c r="K186" t="n">
        <v>0</v>
      </c>
      <c r="L186" t="n">
        <v>0</v>
      </c>
      <c r="M186" t="n">
        <v>12</v>
      </c>
      <c r="N186" t="n">
        <v>0.5</v>
      </c>
      <c r="O186" t="n">
        <v>-0.25</v>
      </c>
      <c r="P186" t="n">
        <v>172</v>
      </c>
      <c r="Q186" t="n">
        <v>12</v>
      </c>
      <c r="R186" t="s">
        <v>275</v>
      </c>
      <c r="S186" t="s">
        <v>287</v>
      </c>
      <c r="T186" t="n">
        <v>0.5</v>
      </c>
    </row>
    <row r="187">
      <c r="A187" t="s">
        <v>30</v>
      </c>
      <c r="B187" t="n">
        <v>1.11</v>
      </c>
      <c r="C187" t="n">
        <v>0.99</v>
      </c>
      <c r="D187" t="n">
        <v>1.08</v>
      </c>
      <c r="E187" t="n">
        <v>-4</v>
      </c>
      <c r="F187" t="n">
        <v>-0.75</v>
      </c>
      <c r="G187" t="n">
        <v>88</v>
      </c>
      <c r="H187" t="n">
        <v>12</v>
      </c>
      <c r="I187" t="s">
        <v>280</v>
      </c>
      <c r="J187" t="n">
        <v>0</v>
      </c>
      <c r="K187" t="n">
        <v>0</v>
      </c>
      <c r="L187" t="n">
        <v>0</v>
      </c>
      <c r="M187" t="n">
        <v>12</v>
      </c>
      <c r="N187" t="n">
        <v>0.5</v>
      </c>
      <c r="O187" t="n">
        <v>-0.25</v>
      </c>
      <c r="P187" t="n">
        <v>81</v>
      </c>
      <c r="Q187" t="n">
        <v>12</v>
      </c>
      <c r="R187" t="s">
        <v>280</v>
      </c>
      <c r="S187" t="s">
        <v>276</v>
      </c>
      <c r="T187" t="n">
        <v>0.25</v>
      </c>
    </row>
    <row r="188">
      <c r="A188" t="s">
        <v>30</v>
      </c>
      <c r="B188" t="n">
        <v>1.03</v>
      </c>
      <c r="C188" t="n">
        <v>0.9</v>
      </c>
      <c r="D188" t="n">
        <v>1.09</v>
      </c>
      <c r="E188" t="n">
        <v>-3.25</v>
      </c>
      <c r="F188" t="n">
        <v>-0.5</v>
      </c>
      <c r="G188" t="n">
        <v>180</v>
      </c>
      <c r="H188" t="n">
        <v>12</v>
      </c>
      <c r="I188" t="s">
        <v>275</v>
      </c>
      <c r="J188" t="n">
        <v>0</v>
      </c>
      <c r="K188" t="n">
        <v>0</v>
      </c>
      <c r="L188" t="n">
        <v>0</v>
      </c>
      <c r="M188" t="n">
        <v>12</v>
      </c>
      <c r="N188" t="n">
        <v>0</v>
      </c>
      <c r="O188" t="n">
        <v>-0.25</v>
      </c>
      <c r="P188" t="n">
        <v>152</v>
      </c>
      <c r="Q188" t="n">
        <v>12</v>
      </c>
      <c r="R188" t="s">
        <v>280</v>
      </c>
      <c r="S188" t="s">
        <v>278</v>
      </c>
      <c r="T188" t="n">
        <v>-0.25</v>
      </c>
    </row>
    <row r="189">
      <c r="A189" t="s">
        <v>30</v>
      </c>
      <c r="B189" t="n">
        <v>1.18</v>
      </c>
      <c r="C189" t="n">
        <v>1.19</v>
      </c>
      <c r="D189" t="n">
        <v>1.13</v>
      </c>
      <c r="E189" t="n">
        <v>-6.25</v>
      </c>
      <c r="F189" t="n">
        <v>-0.25</v>
      </c>
      <c r="G189" t="n">
        <v>89</v>
      </c>
      <c r="H189" t="n">
        <v>12</v>
      </c>
      <c r="I189" t="s">
        <v>281</v>
      </c>
      <c r="J189" t="n">
        <v>0</v>
      </c>
      <c r="K189" t="n">
        <v>0</v>
      </c>
      <c r="L189" t="n">
        <v>0</v>
      </c>
      <c r="M189" t="n">
        <v>12</v>
      </c>
      <c r="N189" t="n">
        <v>0</v>
      </c>
      <c r="O189" t="n">
        <v>-0.25</v>
      </c>
      <c r="P189" t="n">
        <v>103</v>
      </c>
      <c r="Q189" t="n">
        <v>12</v>
      </c>
      <c r="R189" t="s">
        <v>284</v>
      </c>
      <c r="S189" t="s">
        <v>281</v>
      </c>
      <c r="T189" t="n">
        <v>0</v>
      </c>
    </row>
    <row r="190">
      <c r="A190" t="s">
        <v>30</v>
      </c>
      <c r="B190" t="n">
        <v>1.11</v>
      </c>
      <c r="C190" t="n">
        <v>0.97</v>
      </c>
      <c r="D190" t="n">
        <v>1.11</v>
      </c>
      <c r="E190" t="n">
        <v>-5.25</v>
      </c>
      <c r="F190" t="n">
        <v>-1</v>
      </c>
      <c r="G190" t="n">
        <v>22</v>
      </c>
      <c r="H190" t="n">
        <v>12</v>
      </c>
      <c r="I190" t="s">
        <v>280</v>
      </c>
      <c r="J190" t="n">
        <v>0</v>
      </c>
      <c r="K190" t="n">
        <v>0</v>
      </c>
      <c r="L190" t="n">
        <v>0</v>
      </c>
      <c r="M190" t="n">
        <v>12</v>
      </c>
      <c r="N190" t="n">
        <v>0.75</v>
      </c>
      <c r="O190" t="n">
        <v>-0.5</v>
      </c>
      <c r="P190" t="n">
        <v>14</v>
      </c>
      <c r="Q190" t="n">
        <v>12</v>
      </c>
      <c r="R190" t="s">
        <v>280</v>
      </c>
      <c r="S190" t="s">
        <v>277</v>
      </c>
      <c r="T190" t="n">
        <v>0.5</v>
      </c>
    </row>
    <row r="191">
      <c r="A191" t="s">
        <v>30</v>
      </c>
      <c r="B191" t="n">
        <v>1.04</v>
      </c>
      <c r="C191" t="n">
        <v>1.08</v>
      </c>
      <c r="D191" t="n">
        <v>1.07</v>
      </c>
      <c r="E191" t="n">
        <v>-3.25</v>
      </c>
      <c r="F191" t="n">
        <v>-0.5</v>
      </c>
      <c r="G191" t="n">
        <v>101</v>
      </c>
      <c r="H191" t="n">
        <v>12</v>
      </c>
      <c r="I191" t="s">
        <v>275</v>
      </c>
      <c r="J191" t="n">
        <v>0</v>
      </c>
      <c r="K191" t="n">
        <v>0</v>
      </c>
      <c r="L191" t="n">
        <v>0</v>
      </c>
      <c r="M191" t="n">
        <v>12</v>
      </c>
      <c r="N191" t="n">
        <v>0</v>
      </c>
      <c r="O191" t="n">
        <v>-0.25</v>
      </c>
      <c r="P191" t="n">
        <v>98</v>
      </c>
      <c r="Q191" t="n">
        <v>12</v>
      </c>
      <c r="R191" t="s">
        <v>275</v>
      </c>
      <c r="S191" t="s">
        <v>280</v>
      </c>
      <c r="T191" t="n">
        <v>-0.25</v>
      </c>
    </row>
    <row r="192">
      <c r="A192" t="s">
        <v>30</v>
      </c>
      <c r="B192" t="n">
        <v>1</v>
      </c>
      <c r="C192" t="n">
        <v>0.94</v>
      </c>
      <c r="D192" t="n">
        <v>1.02</v>
      </c>
      <c r="E192" t="n">
        <v>-5.5</v>
      </c>
      <c r="F192" t="n">
        <v>-0.5</v>
      </c>
      <c r="G192" t="n">
        <v>173</v>
      </c>
      <c r="H192" t="n">
        <v>12</v>
      </c>
      <c r="I192" t="s">
        <v>276</v>
      </c>
      <c r="J192" t="n">
        <v>0</v>
      </c>
      <c r="K192" t="n">
        <v>0</v>
      </c>
      <c r="L192" t="n">
        <v>0</v>
      </c>
      <c r="M192" t="n">
        <v>12</v>
      </c>
      <c r="N192" t="n">
        <v>0</v>
      </c>
      <c r="O192" t="n">
        <v>-0.5</v>
      </c>
      <c r="P192" t="n">
        <v>24</v>
      </c>
      <c r="Q192" t="n">
        <v>12</v>
      </c>
      <c r="R192" t="s">
        <v>276</v>
      </c>
      <c r="S192" t="s">
        <v>277</v>
      </c>
      <c r="T192" t="n">
        <v>-0.25</v>
      </c>
    </row>
    <row r="193">
      <c r="A193" t="s">
        <v>30</v>
      </c>
      <c r="B193" t="n">
        <v>1.1</v>
      </c>
      <c r="C193" t="n">
        <v>1.14</v>
      </c>
      <c r="D193" t="n">
        <v>1.13</v>
      </c>
      <c r="E193" t="n">
        <v>-7.25</v>
      </c>
      <c r="F193" t="n">
        <v>-1</v>
      </c>
      <c r="G193" t="n">
        <v>156</v>
      </c>
      <c r="H193" t="n">
        <v>12</v>
      </c>
      <c r="I193" t="s">
        <v>280</v>
      </c>
      <c r="J193" t="n">
        <v>0</v>
      </c>
      <c r="K193" t="n">
        <v>0</v>
      </c>
      <c r="L193" t="n">
        <v>0</v>
      </c>
      <c r="M193" t="n">
        <v>12</v>
      </c>
      <c r="N193" t="n">
        <v>0.25</v>
      </c>
      <c r="O193" t="n">
        <v>-0.5</v>
      </c>
      <c r="P193" t="n">
        <v>40</v>
      </c>
      <c r="Q193" t="n">
        <v>12</v>
      </c>
      <c r="R193" t="s">
        <v>284</v>
      </c>
      <c r="S193" t="s">
        <v>284</v>
      </c>
      <c r="T193" t="n">
        <v>0</v>
      </c>
    </row>
    <row r="194">
      <c r="A194" t="s">
        <v>30</v>
      </c>
      <c r="B194" t="n">
        <v>1.11</v>
      </c>
      <c r="C194" t="n">
        <v>1.07</v>
      </c>
      <c r="D194" t="n">
        <v>1.14</v>
      </c>
      <c r="E194" t="n">
        <v>-5.5</v>
      </c>
      <c r="F194" t="n">
        <v>-0.5</v>
      </c>
      <c r="G194" t="n">
        <v>21</v>
      </c>
      <c r="H194" t="n">
        <v>12</v>
      </c>
      <c r="I194" t="s">
        <v>280</v>
      </c>
      <c r="J194" t="n">
        <v>0</v>
      </c>
      <c r="K194" t="n">
        <v>0</v>
      </c>
      <c r="L194" t="n">
        <v>0</v>
      </c>
      <c r="M194" t="n">
        <v>12</v>
      </c>
      <c r="N194" t="n">
        <v>0</v>
      </c>
      <c r="O194" t="n">
        <v>-0.25</v>
      </c>
      <c r="P194" t="n">
        <v>8</v>
      </c>
      <c r="Q194" t="n">
        <v>12</v>
      </c>
      <c r="R194" t="s">
        <v>284</v>
      </c>
      <c r="S194" t="s">
        <v>275</v>
      </c>
      <c r="T194" t="n">
        <v>0</v>
      </c>
    </row>
    <row r="195">
      <c r="A195" t="s">
        <v>30</v>
      </c>
      <c r="B195" t="n">
        <v>1.03</v>
      </c>
      <c r="C195" t="n">
        <v>1.01</v>
      </c>
      <c r="D195" t="n">
        <v>1.03</v>
      </c>
      <c r="E195" t="n">
        <v>-0.5</v>
      </c>
      <c r="F195" t="n">
        <v>-0.25</v>
      </c>
      <c r="G195" t="n">
        <v>6</v>
      </c>
      <c r="H195" t="n">
        <v>12</v>
      </c>
      <c r="I195" t="s">
        <v>275</v>
      </c>
      <c r="J195" t="n">
        <v>0</v>
      </c>
      <c r="K195" t="n">
        <v>0</v>
      </c>
      <c r="L195" t="n">
        <v>0</v>
      </c>
      <c r="M195" t="n">
        <v>12</v>
      </c>
      <c r="N195" t="n">
        <v>0</v>
      </c>
      <c r="O195" t="n">
        <v>-0.25</v>
      </c>
      <c r="P195" t="n">
        <v>179</v>
      </c>
      <c r="Q195" t="n">
        <v>12</v>
      </c>
      <c r="R195" t="s">
        <v>275</v>
      </c>
      <c r="S195" t="s">
        <v>276</v>
      </c>
      <c r="T195" t="n">
        <v>-0.25</v>
      </c>
    </row>
    <row r="196">
      <c r="A196" t="s">
        <v>30</v>
      </c>
      <c r="B196" t="n">
        <v>1.02</v>
      </c>
      <c r="C196" t="n">
        <v>1.12</v>
      </c>
      <c r="D196" t="n">
        <v>1.05</v>
      </c>
      <c r="E196" t="n">
        <v>-3.5</v>
      </c>
      <c r="F196" t="n">
        <v>-0.75</v>
      </c>
      <c r="G196" t="n">
        <v>167</v>
      </c>
      <c r="H196" t="n">
        <v>12</v>
      </c>
      <c r="I196" t="s">
        <v>276</v>
      </c>
      <c r="J196" t="n">
        <v>0</v>
      </c>
      <c r="K196" t="n">
        <v>0</v>
      </c>
      <c r="L196" t="n">
        <v>0</v>
      </c>
      <c r="M196" t="n">
        <v>12</v>
      </c>
      <c r="N196" t="n">
        <v>0</v>
      </c>
      <c r="O196" t="n">
        <v>-0.25</v>
      </c>
      <c r="P196" t="n">
        <v>168</v>
      </c>
      <c r="Q196" t="n">
        <v>12</v>
      </c>
      <c r="R196" t="s">
        <v>275</v>
      </c>
      <c r="S196" t="s">
        <v>280</v>
      </c>
      <c r="T196" t="n">
        <v>0</v>
      </c>
    </row>
    <row r="197">
      <c r="A197" t="s">
        <v>30</v>
      </c>
      <c r="B197" t="n">
        <v>1.04</v>
      </c>
      <c r="C197" t="n">
        <v>0.87</v>
      </c>
      <c r="D197" t="n">
        <v>1.04</v>
      </c>
      <c r="E197" t="n">
        <v>-4.75</v>
      </c>
      <c r="F197" t="n">
        <v>-0.5</v>
      </c>
      <c r="G197" t="n">
        <v>2</v>
      </c>
      <c r="H197" t="n">
        <v>12</v>
      </c>
      <c r="I197" t="s">
        <v>275</v>
      </c>
      <c r="J197" t="n">
        <v>0</v>
      </c>
      <c r="K197" t="n">
        <v>0</v>
      </c>
      <c r="L197" t="n">
        <v>0</v>
      </c>
      <c r="M197" t="n">
        <v>12</v>
      </c>
      <c r="N197" t="n">
        <v>-0.5</v>
      </c>
      <c r="O197" t="n">
        <v>-0.5</v>
      </c>
      <c r="P197" t="n">
        <v>19</v>
      </c>
      <c r="Q197" t="n">
        <v>12</v>
      </c>
      <c r="R197" t="s">
        <v>275</v>
      </c>
      <c r="S197" t="s">
        <v>287</v>
      </c>
      <c r="T197" t="n">
        <v>-0.75</v>
      </c>
    </row>
    <row r="198">
      <c r="A198" t="s">
        <v>30</v>
      </c>
      <c r="B198" t="n">
        <v>1.05</v>
      </c>
      <c r="C198" t="n">
        <v>1.02</v>
      </c>
      <c r="D198" t="n">
        <v>1</v>
      </c>
      <c r="E198" t="n">
        <v>-5.5</v>
      </c>
      <c r="F198" t="n">
        <v>-0.25</v>
      </c>
      <c r="G198" t="n">
        <v>11</v>
      </c>
      <c r="H198" t="n">
        <v>12</v>
      </c>
      <c r="I198" t="s">
        <v>275</v>
      </c>
      <c r="J198" t="n">
        <v>0</v>
      </c>
      <c r="K198" t="n">
        <v>0</v>
      </c>
      <c r="L198" t="n">
        <v>0</v>
      </c>
      <c r="M198" t="n">
        <v>12</v>
      </c>
      <c r="N198" t="n">
        <v>-0.25</v>
      </c>
      <c r="O198" t="n">
        <v>0</v>
      </c>
      <c r="P198" t="n">
        <v>160</v>
      </c>
      <c r="Q198" t="n">
        <v>12</v>
      </c>
      <c r="R198" t="s">
        <v>276</v>
      </c>
      <c r="S198" t="s">
        <v>276</v>
      </c>
      <c r="T198" t="n">
        <v>-0.25</v>
      </c>
    </row>
    <row r="199">
      <c r="A199" t="s">
        <v>30</v>
      </c>
      <c r="B199" t="n">
        <v>1.12</v>
      </c>
      <c r="C199" t="n">
        <v>1.18</v>
      </c>
      <c r="D199" t="n">
        <v>1.16</v>
      </c>
      <c r="E199" t="n">
        <v>-6.5</v>
      </c>
      <c r="F199" t="n">
        <v>-1</v>
      </c>
      <c r="G199" t="n">
        <v>159</v>
      </c>
      <c r="H199" t="n">
        <v>12</v>
      </c>
      <c r="I199" t="s">
        <v>280</v>
      </c>
      <c r="J199" t="n">
        <v>0</v>
      </c>
      <c r="K199" t="n">
        <v>0</v>
      </c>
      <c r="L199" t="n">
        <v>0</v>
      </c>
      <c r="M199" t="n">
        <v>12</v>
      </c>
      <c r="N199" t="n">
        <v>0</v>
      </c>
      <c r="O199" t="n">
        <v>0</v>
      </c>
      <c r="P199" t="n">
        <v>13</v>
      </c>
      <c r="Q199" t="n">
        <v>12</v>
      </c>
      <c r="R199" t="s">
        <v>284</v>
      </c>
      <c r="S199" t="s">
        <v>281</v>
      </c>
      <c r="T199" t="n">
        <v>0</v>
      </c>
    </row>
    <row r="200">
      <c r="A200" t="s">
        <v>30</v>
      </c>
      <c r="B200" t="n">
        <v>1.06</v>
      </c>
      <c r="C200" t="n">
        <v>1.07</v>
      </c>
      <c r="D200" t="n">
        <v>1.09</v>
      </c>
      <c r="E200" t="n">
        <v>-4.25</v>
      </c>
      <c r="F200" t="n">
        <v>0</v>
      </c>
      <c r="G200" t="n">
        <v>1</v>
      </c>
      <c r="H200" t="n">
        <v>12</v>
      </c>
      <c r="I200" t="s">
        <v>275</v>
      </c>
      <c r="J200" t="n">
        <v>0</v>
      </c>
      <c r="K200" t="n">
        <v>0</v>
      </c>
      <c r="L200" t="n">
        <v>0</v>
      </c>
      <c r="M200" t="n">
        <v>12</v>
      </c>
      <c r="N200" t="n">
        <v>0.5</v>
      </c>
      <c r="O200" t="n">
        <v>-0.25</v>
      </c>
      <c r="P200" t="n">
        <v>13</v>
      </c>
      <c r="Q200" t="n">
        <v>12</v>
      </c>
      <c r="R200" t="s">
        <v>280</v>
      </c>
      <c r="S200" t="s">
        <v>275</v>
      </c>
      <c r="T200" t="n">
        <v>0.25</v>
      </c>
    </row>
    <row r="201">
      <c r="A201" t="s">
        <v>30</v>
      </c>
      <c r="B201" t="n">
        <v>1.04</v>
      </c>
      <c r="C201" t="n">
        <v>1.07</v>
      </c>
      <c r="D201" t="n">
        <v>1.01</v>
      </c>
      <c r="E201" t="n">
        <v>-5</v>
      </c>
      <c r="F201" t="n">
        <v>-0.25</v>
      </c>
      <c r="G201" t="n">
        <v>89</v>
      </c>
      <c r="H201" t="n">
        <v>12</v>
      </c>
      <c r="I201" t="s">
        <v>275</v>
      </c>
      <c r="J201" t="n">
        <v>0</v>
      </c>
      <c r="K201" t="n">
        <v>0</v>
      </c>
      <c r="L201" t="n">
        <v>0</v>
      </c>
      <c r="M201" t="n">
        <v>12</v>
      </c>
      <c r="N201" t="n">
        <v>0</v>
      </c>
      <c r="O201" t="n">
        <v>-0.25</v>
      </c>
      <c r="P201" t="n">
        <v>60</v>
      </c>
      <c r="Q201" t="n">
        <v>12</v>
      </c>
      <c r="R201" t="s">
        <v>276</v>
      </c>
      <c r="S201" t="s">
        <v>275</v>
      </c>
      <c r="T201" t="n">
        <v>0</v>
      </c>
    </row>
    <row r="202">
      <c r="A202" t="s">
        <v>30</v>
      </c>
      <c r="B202" t="n">
        <v>0.91</v>
      </c>
      <c r="C202" t="n">
        <v>0.94</v>
      </c>
      <c r="D202" t="n">
        <v>0.94</v>
      </c>
      <c r="E202" t="n">
        <v>-3.5</v>
      </c>
      <c r="F202" t="n">
        <v>-1</v>
      </c>
      <c r="G202" t="n">
        <v>110</v>
      </c>
      <c r="H202" t="n">
        <v>12</v>
      </c>
      <c r="I202" t="s">
        <v>278</v>
      </c>
      <c r="J202" t="n">
        <v>0</v>
      </c>
      <c r="K202" t="n">
        <v>0</v>
      </c>
      <c r="L202" t="n">
        <v>0</v>
      </c>
      <c r="M202" t="n">
        <v>12</v>
      </c>
      <c r="N202" t="n">
        <v>0</v>
      </c>
      <c r="O202" t="n">
        <v>-0.25</v>
      </c>
      <c r="P202" t="n">
        <v>121</v>
      </c>
      <c r="Q202" t="n">
        <v>12</v>
      </c>
      <c r="R202" t="s">
        <v>277</v>
      </c>
      <c r="S202" t="s">
        <v>277</v>
      </c>
      <c r="T202" t="n">
        <v>-0.25</v>
      </c>
    </row>
    <row r="203">
      <c r="A203" t="s">
        <v>30</v>
      </c>
      <c r="B203" t="n">
        <v>1.04</v>
      </c>
      <c r="C203" t="n">
        <v>0.89</v>
      </c>
      <c r="D203" t="n">
        <v>1.05</v>
      </c>
      <c r="E203" t="n">
        <v>-2.5</v>
      </c>
      <c r="F203" t="n">
        <v>-0.25</v>
      </c>
      <c r="G203" t="n">
        <v>105</v>
      </c>
      <c r="H203" t="n">
        <v>12</v>
      </c>
      <c r="I203" t="s">
        <v>275</v>
      </c>
      <c r="J203" t="n">
        <v>0</v>
      </c>
      <c r="K203" t="n">
        <v>0</v>
      </c>
      <c r="L203" t="n">
        <v>0</v>
      </c>
      <c r="M203" t="n">
        <v>12</v>
      </c>
      <c r="N203" t="n">
        <v>0.25</v>
      </c>
      <c r="O203" t="n">
        <v>-0.5</v>
      </c>
      <c r="P203" t="n">
        <v>132</v>
      </c>
      <c r="Q203" t="n">
        <v>12</v>
      </c>
      <c r="R203" t="s">
        <v>275</v>
      </c>
      <c r="S203" t="s">
        <v>287</v>
      </c>
      <c r="T203" t="n">
        <v>0</v>
      </c>
    </row>
    <row r="204">
      <c r="A204" t="s">
        <v>30</v>
      </c>
      <c r="B204" t="n">
        <v>1.01</v>
      </c>
      <c r="C204" t="n">
        <v>1.09</v>
      </c>
      <c r="D204" t="n">
        <v>1.01</v>
      </c>
      <c r="E204" t="n">
        <v>-6.75</v>
      </c>
      <c r="F204" t="n">
        <v>-1.25</v>
      </c>
      <c r="G204" t="n">
        <v>14</v>
      </c>
      <c r="H204" t="n">
        <v>12</v>
      </c>
      <c r="I204" t="s">
        <v>276</v>
      </c>
      <c r="J204" t="n">
        <v>0</v>
      </c>
      <c r="K204" t="n">
        <v>0</v>
      </c>
      <c r="L204" t="n">
        <v>0</v>
      </c>
      <c r="M204" t="n">
        <v>12</v>
      </c>
      <c r="N204" t="n">
        <v>0</v>
      </c>
      <c r="O204" t="n">
        <v>-0.25</v>
      </c>
      <c r="P204" t="n">
        <v>13</v>
      </c>
      <c r="Q204" t="n">
        <v>12</v>
      </c>
      <c r="R204" t="s">
        <v>276</v>
      </c>
      <c r="S204" t="s">
        <v>280</v>
      </c>
      <c r="T204" t="n">
        <v>-0.25</v>
      </c>
    </row>
    <row r="205">
      <c r="A205" t="s">
        <v>30</v>
      </c>
      <c r="B205" t="n">
        <v>0.94</v>
      </c>
      <c r="C205" t="n">
        <v>0.92</v>
      </c>
      <c r="D205" t="n">
        <v>0.95</v>
      </c>
      <c r="E205" t="n">
        <v>-3</v>
      </c>
      <c r="F205" t="n">
        <v>-1.25</v>
      </c>
      <c r="G205" t="n">
        <v>163</v>
      </c>
      <c r="H205" t="n">
        <v>12</v>
      </c>
      <c r="I205" t="s">
        <v>277</v>
      </c>
      <c r="J205" t="n">
        <v>0</v>
      </c>
      <c r="K205" t="n">
        <v>0</v>
      </c>
      <c r="L205" t="n">
        <v>0</v>
      </c>
      <c r="M205" t="n">
        <v>12</v>
      </c>
      <c r="N205" t="n">
        <v>0</v>
      </c>
      <c r="O205" t="n">
        <v>0</v>
      </c>
      <c r="P205" t="n">
        <v>5</v>
      </c>
      <c r="Q205" t="n">
        <v>12</v>
      </c>
      <c r="R205" t="s">
        <v>277</v>
      </c>
      <c r="S205" t="s">
        <v>278</v>
      </c>
      <c r="T205" t="n">
        <v>0</v>
      </c>
    </row>
    <row r="206">
      <c r="A206" t="s">
        <v>30</v>
      </c>
      <c r="B206" t="n">
        <v>1.03</v>
      </c>
      <c r="C206" t="n">
        <v>0.87</v>
      </c>
      <c r="D206" t="n">
        <v>1</v>
      </c>
      <c r="E206" t="n">
        <v>-2</v>
      </c>
      <c r="F206" t="n">
        <v>-1</v>
      </c>
      <c r="G206" t="n">
        <v>94</v>
      </c>
      <c r="H206" t="n">
        <v>12</v>
      </c>
      <c r="I206" t="s">
        <v>275</v>
      </c>
      <c r="J206" t="n">
        <v>0</v>
      </c>
      <c r="K206" t="n">
        <v>0</v>
      </c>
      <c r="L206" t="n">
        <v>0</v>
      </c>
      <c r="M206" t="n">
        <v>12</v>
      </c>
      <c r="N206" t="n">
        <v>0.5</v>
      </c>
      <c r="O206" t="n">
        <v>0</v>
      </c>
      <c r="P206" t="n">
        <v>104</v>
      </c>
      <c r="Q206" t="n">
        <v>12</v>
      </c>
      <c r="R206" t="s">
        <v>276</v>
      </c>
      <c r="S206" t="s">
        <v>287</v>
      </c>
      <c r="T206" t="n">
        <v>0.5</v>
      </c>
    </row>
    <row r="207">
      <c r="A207" t="s">
        <v>30</v>
      </c>
      <c r="B207" t="n">
        <v>0.94</v>
      </c>
      <c r="C207" t="n">
        <v>0.91</v>
      </c>
      <c r="D207" t="n">
        <v>0.93</v>
      </c>
      <c r="E207" t="n">
        <v>-6</v>
      </c>
      <c r="F207" t="n">
        <v>-0.5</v>
      </c>
      <c r="G207" t="n">
        <v>85</v>
      </c>
      <c r="H207" t="n">
        <v>12</v>
      </c>
      <c r="I207" t="s">
        <v>277</v>
      </c>
      <c r="J207" t="n">
        <v>0</v>
      </c>
      <c r="K207" t="n">
        <v>0</v>
      </c>
      <c r="L207" t="n">
        <v>0</v>
      </c>
      <c r="M207" t="n">
        <v>12</v>
      </c>
      <c r="N207" t="n">
        <v>0</v>
      </c>
      <c r="O207" t="n">
        <v>-0.25</v>
      </c>
      <c r="P207" t="n">
        <v>110</v>
      </c>
      <c r="Q207" t="n">
        <v>12</v>
      </c>
      <c r="R207" t="s">
        <v>278</v>
      </c>
      <c r="S207" t="s">
        <v>278</v>
      </c>
      <c r="T207" t="n">
        <v>0</v>
      </c>
    </row>
    <row r="208">
      <c r="A208" t="s">
        <v>30</v>
      </c>
      <c r="B208" t="n">
        <v>1.12</v>
      </c>
      <c r="C208" t="n">
        <v>1.08</v>
      </c>
      <c r="D208" t="n">
        <v>1.12</v>
      </c>
      <c r="E208" t="n">
        <v>-7</v>
      </c>
      <c r="F208" t="n">
        <v>-0.5</v>
      </c>
      <c r="G208" t="n">
        <v>127</v>
      </c>
      <c r="H208" t="n">
        <v>12</v>
      </c>
      <c r="I208" t="s">
        <v>280</v>
      </c>
      <c r="J208" t="n">
        <v>0</v>
      </c>
      <c r="K208" t="n">
        <v>0</v>
      </c>
      <c r="L208" t="n">
        <v>0</v>
      </c>
      <c r="M208" t="n">
        <v>12</v>
      </c>
      <c r="N208" t="n">
        <v>0.75</v>
      </c>
      <c r="O208" t="n">
        <v>-0.5</v>
      </c>
      <c r="P208" t="n">
        <v>132</v>
      </c>
      <c r="Q208" t="n">
        <v>12</v>
      </c>
      <c r="R208" t="s">
        <v>280</v>
      </c>
      <c r="S208" t="s">
        <v>280</v>
      </c>
      <c r="T208" t="n">
        <v>0.5</v>
      </c>
    </row>
    <row r="209">
      <c r="A209" t="s">
        <v>30</v>
      </c>
      <c r="B209" t="n">
        <v>0.95</v>
      </c>
      <c r="C209" t="n">
        <v>1.02</v>
      </c>
      <c r="D209" t="n">
        <v>0.99</v>
      </c>
      <c r="E209" t="n">
        <v>-3.75</v>
      </c>
      <c r="F209" t="n">
        <v>-0.25</v>
      </c>
      <c r="G209" t="n">
        <v>173</v>
      </c>
      <c r="H209" t="n">
        <v>12</v>
      </c>
      <c r="I209" t="s">
        <v>277</v>
      </c>
      <c r="J209" t="n">
        <v>0</v>
      </c>
      <c r="K209" t="n">
        <v>0</v>
      </c>
      <c r="L209" t="n">
        <v>0</v>
      </c>
      <c r="M209" t="n">
        <v>12</v>
      </c>
      <c r="N209" t="n">
        <v>0.25</v>
      </c>
      <c r="O209" t="n">
        <v>0</v>
      </c>
      <c r="P209" t="n">
        <v>11</v>
      </c>
      <c r="Q209" t="n">
        <v>12</v>
      </c>
      <c r="R209" t="s">
        <v>276</v>
      </c>
      <c r="S209" t="s">
        <v>276</v>
      </c>
      <c r="T209" t="n">
        <v>0.25</v>
      </c>
    </row>
    <row r="210">
      <c r="A210" t="s">
        <v>30</v>
      </c>
      <c r="B210" t="n">
        <v>1.04</v>
      </c>
      <c r="C210" t="n">
        <v>1.15</v>
      </c>
      <c r="D210" t="n">
        <v>1.07</v>
      </c>
      <c r="E210" t="n">
        <v>-1</v>
      </c>
      <c r="F210" t="n">
        <v>-1</v>
      </c>
      <c r="G210" t="n">
        <v>87</v>
      </c>
      <c r="H210" t="n">
        <v>12</v>
      </c>
      <c r="I210" t="s">
        <v>275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-0.25</v>
      </c>
      <c r="P210" t="n">
        <v>102</v>
      </c>
      <c r="Q210" t="n">
        <v>12</v>
      </c>
      <c r="R210" t="s">
        <v>275</v>
      </c>
      <c r="S210" t="s">
        <v>284</v>
      </c>
      <c r="T210" t="n">
        <v>-0.25</v>
      </c>
    </row>
    <row r="211">
      <c r="A211" t="s">
        <v>30</v>
      </c>
      <c r="B211" t="n">
        <v>0.99</v>
      </c>
      <c r="C211" t="n">
        <v>0.89</v>
      </c>
      <c r="D211" t="n">
        <v>0.99</v>
      </c>
      <c r="E211" t="n">
        <v>-0.5</v>
      </c>
      <c r="F211" t="n">
        <v>-0.75</v>
      </c>
      <c r="G211" t="n">
        <v>89</v>
      </c>
      <c r="H211" t="n">
        <v>12</v>
      </c>
      <c r="I211" t="s">
        <v>276</v>
      </c>
      <c r="J211" t="n">
        <v>0</v>
      </c>
      <c r="K211" t="n">
        <v>0</v>
      </c>
      <c r="L211" t="n">
        <v>0</v>
      </c>
      <c r="M211" t="n">
        <v>12</v>
      </c>
      <c r="N211" t="n">
        <v>0.5</v>
      </c>
      <c r="O211" t="n">
        <v>-0.25</v>
      </c>
      <c r="P211" t="n">
        <v>74</v>
      </c>
      <c r="Q211" t="n">
        <v>12</v>
      </c>
      <c r="R211" t="s">
        <v>276</v>
      </c>
      <c r="S211" t="s">
        <v>287</v>
      </c>
      <c r="T211" t="n">
        <v>0.5</v>
      </c>
    </row>
    <row r="212">
      <c r="A212" t="s">
        <v>30</v>
      </c>
      <c r="B212" t="n">
        <v>1.06</v>
      </c>
      <c r="C212" t="n">
        <v>1.02</v>
      </c>
      <c r="D212" t="n">
        <v>1.07</v>
      </c>
      <c r="E212" t="n">
        <v>-1.75</v>
      </c>
      <c r="F212" t="n">
        <v>-2.5</v>
      </c>
      <c r="G212" t="n">
        <v>20</v>
      </c>
      <c r="H212" t="n">
        <v>12</v>
      </c>
      <c r="I212" t="s">
        <v>275</v>
      </c>
      <c r="J212" t="n">
        <v>0</v>
      </c>
      <c r="K212" t="n">
        <v>0</v>
      </c>
      <c r="L212" t="n">
        <v>0</v>
      </c>
      <c r="M212" t="n">
        <v>12</v>
      </c>
      <c r="N212" t="n">
        <v>0.25</v>
      </c>
      <c r="O212" t="n">
        <v>0</v>
      </c>
      <c r="P212" t="n">
        <v>33</v>
      </c>
      <c r="Q212" t="n">
        <v>12</v>
      </c>
      <c r="R212" t="s">
        <v>275</v>
      </c>
      <c r="S212" t="s">
        <v>276</v>
      </c>
      <c r="T212" t="n">
        <v>0.25</v>
      </c>
    </row>
    <row r="213">
      <c r="A213" t="s">
        <v>30</v>
      </c>
      <c r="B213" t="n">
        <v>1.05</v>
      </c>
      <c r="C213" t="n">
        <v>0.83</v>
      </c>
      <c r="D213" t="n">
        <v>1.05</v>
      </c>
      <c r="E213" t="n">
        <v>-3.5</v>
      </c>
      <c r="F213" t="n">
        <v>-0.75</v>
      </c>
      <c r="G213" t="n">
        <v>15</v>
      </c>
      <c r="H213" t="n">
        <v>12</v>
      </c>
      <c r="I213" t="s">
        <v>275</v>
      </c>
      <c r="J213" t="n">
        <v>0</v>
      </c>
      <c r="K213" t="n">
        <v>0</v>
      </c>
      <c r="L213" t="n">
        <v>0</v>
      </c>
      <c r="M213" t="n">
        <v>12</v>
      </c>
      <c r="N213" t="n">
        <v>-0.25</v>
      </c>
      <c r="O213" t="n">
        <v>0</v>
      </c>
      <c r="P213" t="n">
        <v>108</v>
      </c>
      <c r="Q213" t="n">
        <v>12</v>
      </c>
      <c r="R213" t="s">
        <v>275</v>
      </c>
      <c r="S213" t="s">
        <v>285</v>
      </c>
      <c r="T213" t="n">
        <v>-0.25</v>
      </c>
    </row>
    <row r="214">
      <c r="A214" t="s">
        <v>30</v>
      </c>
      <c r="B214" t="n">
        <v>1.06</v>
      </c>
      <c r="C214" t="n">
        <v>1.08</v>
      </c>
      <c r="D214" t="n">
        <v>1.07</v>
      </c>
      <c r="E214" t="n">
        <v>-4</v>
      </c>
      <c r="F214" t="n">
        <v>-1</v>
      </c>
      <c r="G214" t="n">
        <v>60</v>
      </c>
      <c r="H214" t="n">
        <v>12</v>
      </c>
      <c r="I214" t="s">
        <v>275</v>
      </c>
      <c r="J214" t="n">
        <v>0</v>
      </c>
      <c r="K214" t="n">
        <v>0</v>
      </c>
      <c r="L214" t="n">
        <v>0</v>
      </c>
      <c r="M214" t="n">
        <v>12</v>
      </c>
      <c r="N214" t="n">
        <v>-0.25</v>
      </c>
      <c r="O214" t="n">
        <v>0</v>
      </c>
      <c r="P214" t="n">
        <v>130</v>
      </c>
      <c r="Q214" t="n">
        <v>12</v>
      </c>
      <c r="R214" t="s">
        <v>275</v>
      </c>
      <c r="S214" t="s">
        <v>280</v>
      </c>
      <c r="T214" t="n">
        <v>-0.25</v>
      </c>
    </row>
    <row r="215">
      <c r="A215" t="s">
        <v>30</v>
      </c>
      <c r="B215" t="n">
        <v>1</v>
      </c>
      <c r="C215" t="n">
        <v>0.81</v>
      </c>
      <c r="D215" t="n">
        <v>0.85</v>
      </c>
      <c r="E215" t="n">
        <v>-5.5</v>
      </c>
      <c r="F215" t="n">
        <v>-0.25</v>
      </c>
      <c r="G215" t="n">
        <v>99</v>
      </c>
      <c r="H215" t="n">
        <v>12</v>
      </c>
      <c r="I215" t="s">
        <v>276</v>
      </c>
      <c r="J215" t="n">
        <v>0</v>
      </c>
      <c r="K215" t="n">
        <v>0</v>
      </c>
      <c r="L215" t="n">
        <v>0</v>
      </c>
      <c r="M215" t="n">
        <v>12</v>
      </c>
      <c r="N215" t="n">
        <v>0</v>
      </c>
      <c r="O215" t="n">
        <v>-0.25</v>
      </c>
      <c r="P215" t="n">
        <v>110</v>
      </c>
      <c r="Q215" t="n">
        <v>12</v>
      </c>
      <c r="R215" t="s">
        <v>285</v>
      </c>
      <c r="S215" t="s">
        <v>279</v>
      </c>
      <c r="T215" t="n">
        <v>0</v>
      </c>
    </row>
    <row r="216">
      <c r="A216" t="s">
        <v>30</v>
      </c>
      <c r="B216" t="n">
        <v>0.98</v>
      </c>
      <c r="C216" t="n">
        <v>0.83</v>
      </c>
      <c r="D216" t="n">
        <v>0.93</v>
      </c>
      <c r="E216" t="n">
        <v>-8.75</v>
      </c>
      <c r="F216" t="n">
        <v>-1</v>
      </c>
      <c r="G216" t="n">
        <v>87</v>
      </c>
      <c r="H216" t="n">
        <v>12</v>
      </c>
      <c r="I216" t="s">
        <v>276</v>
      </c>
      <c r="J216" t="n">
        <v>0</v>
      </c>
      <c r="K216" t="n">
        <v>0</v>
      </c>
      <c r="L216" t="n">
        <v>0</v>
      </c>
      <c r="M216" t="n">
        <v>12</v>
      </c>
      <c r="N216" t="n">
        <v>-0.5</v>
      </c>
      <c r="O216" t="n">
        <v>-0.25</v>
      </c>
      <c r="P216" t="n">
        <v>104</v>
      </c>
      <c r="Q216" t="n">
        <v>12</v>
      </c>
      <c r="R216" t="s">
        <v>278</v>
      </c>
      <c r="S216" t="s">
        <v>285</v>
      </c>
      <c r="T216" t="n">
        <v>-0.5</v>
      </c>
    </row>
    <row r="217">
      <c r="A217" t="s">
        <v>30</v>
      </c>
      <c r="B217" t="n">
        <v>0.91</v>
      </c>
      <c r="C217" t="n">
        <v>0.81</v>
      </c>
      <c r="D217" t="n">
        <v>0.9</v>
      </c>
      <c r="E217" t="n">
        <v>-7.25</v>
      </c>
      <c r="F217" t="n">
        <v>-0.25</v>
      </c>
      <c r="G217" t="n">
        <v>12</v>
      </c>
      <c r="H217" t="n">
        <v>12</v>
      </c>
      <c r="I217" t="s">
        <v>278</v>
      </c>
      <c r="J217" t="n">
        <v>0</v>
      </c>
      <c r="K217" t="n">
        <v>0</v>
      </c>
      <c r="L217" t="n">
        <v>0</v>
      </c>
      <c r="M217" t="n">
        <v>12</v>
      </c>
      <c r="N217" t="n">
        <v>0</v>
      </c>
      <c r="O217" t="n">
        <v>-0.25</v>
      </c>
      <c r="P217" t="n">
        <v>34</v>
      </c>
      <c r="Q217" t="n">
        <v>12</v>
      </c>
      <c r="R217" t="s">
        <v>278</v>
      </c>
      <c r="S217" t="s">
        <v>279</v>
      </c>
      <c r="T217" t="n">
        <v>-0.25</v>
      </c>
    </row>
    <row r="218">
      <c r="A218" t="s">
        <v>30</v>
      </c>
      <c r="B218" t="n">
        <v>1</v>
      </c>
      <c r="C218" t="n">
        <v>0.8</v>
      </c>
      <c r="D218" t="n">
        <v>0.97</v>
      </c>
      <c r="E218" t="n">
        <v>-3.5</v>
      </c>
      <c r="F218" t="n">
        <v>-0.5</v>
      </c>
      <c r="G218" t="n">
        <v>158</v>
      </c>
      <c r="H218" t="n">
        <v>12</v>
      </c>
      <c r="I218" t="s">
        <v>276</v>
      </c>
      <c r="J218" t="n">
        <v>0</v>
      </c>
      <c r="K218" t="n">
        <v>0</v>
      </c>
      <c r="L218" t="n">
        <v>0</v>
      </c>
      <c r="M218" t="n">
        <v>12</v>
      </c>
      <c r="N218" t="n">
        <v>-0.25</v>
      </c>
      <c r="O218" t="n">
        <v>-0.5</v>
      </c>
      <c r="P218" t="n">
        <v>158</v>
      </c>
      <c r="Q218" t="n">
        <v>12</v>
      </c>
      <c r="R218" t="s">
        <v>277</v>
      </c>
      <c r="S218" t="s">
        <v>279</v>
      </c>
      <c r="T218" t="n">
        <v>-0.5</v>
      </c>
    </row>
    <row r="219">
      <c r="A219" t="s">
        <v>30</v>
      </c>
      <c r="B219" t="n">
        <v>1.12</v>
      </c>
      <c r="C219" t="n">
        <v>1.18</v>
      </c>
      <c r="D219" t="n">
        <v>1.14</v>
      </c>
      <c r="E219" t="n">
        <v>-0.5</v>
      </c>
      <c r="F219" t="n">
        <v>-0.5</v>
      </c>
      <c r="G219" t="n">
        <v>177</v>
      </c>
      <c r="H219" t="n">
        <v>12</v>
      </c>
      <c r="I219" t="s">
        <v>280</v>
      </c>
      <c r="J219" t="n">
        <v>0</v>
      </c>
      <c r="K219" t="n">
        <v>0</v>
      </c>
      <c r="L219" t="n">
        <v>0</v>
      </c>
      <c r="M219" t="n">
        <v>12</v>
      </c>
      <c r="N219" t="n">
        <v>0</v>
      </c>
      <c r="O219" t="n">
        <v>-0.25</v>
      </c>
      <c r="P219" t="n">
        <v>14</v>
      </c>
      <c r="Q219" t="n">
        <v>12</v>
      </c>
      <c r="R219" t="s">
        <v>284</v>
      </c>
      <c r="S219" t="s">
        <v>281</v>
      </c>
      <c r="T219" t="n">
        <v>-0.25</v>
      </c>
    </row>
    <row r="220">
      <c r="A220" t="s">
        <v>30</v>
      </c>
      <c r="B220" t="n">
        <v>1.02</v>
      </c>
      <c r="C220" t="n">
        <v>0.89</v>
      </c>
      <c r="D220" t="n">
        <v>1.08</v>
      </c>
      <c r="E220" t="n">
        <v>-5.25</v>
      </c>
      <c r="F220" t="n">
        <v>-0.25</v>
      </c>
      <c r="G220" t="n">
        <v>81</v>
      </c>
      <c r="H220" t="n">
        <v>12</v>
      </c>
      <c r="I220" t="s">
        <v>276</v>
      </c>
      <c r="J220" t="n">
        <v>0</v>
      </c>
      <c r="K220" t="n">
        <v>0</v>
      </c>
      <c r="L220" t="n">
        <v>0</v>
      </c>
      <c r="M220" t="n">
        <v>12</v>
      </c>
      <c r="N220" t="n">
        <v>-0.5</v>
      </c>
      <c r="O220" t="n">
        <v>-0.25</v>
      </c>
      <c r="P220" t="n">
        <v>104</v>
      </c>
      <c r="Q220" t="n">
        <v>12</v>
      </c>
      <c r="R220" t="s">
        <v>280</v>
      </c>
      <c r="S220" t="s">
        <v>287</v>
      </c>
      <c r="T220" t="n">
        <v>-0.5</v>
      </c>
    </row>
    <row r="221">
      <c r="A221" t="s">
        <v>30</v>
      </c>
      <c r="B221" t="n">
        <v>1.11</v>
      </c>
      <c r="C221" t="n">
        <v>1.11</v>
      </c>
      <c r="D221" t="n">
        <v>1.15</v>
      </c>
      <c r="E221" t="n">
        <v>-2.25</v>
      </c>
      <c r="F221" t="n">
        <v>-0.5</v>
      </c>
      <c r="G221" t="n">
        <v>17</v>
      </c>
      <c r="H221" t="n">
        <v>12</v>
      </c>
      <c r="I221" t="s">
        <v>280</v>
      </c>
      <c r="J221" t="n">
        <v>0</v>
      </c>
      <c r="K221" t="n">
        <v>0</v>
      </c>
      <c r="L221" t="n">
        <v>0</v>
      </c>
      <c r="M221" t="n">
        <v>12</v>
      </c>
      <c r="N221" t="n">
        <v>0.25</v>
      </c>
      <c r="O221" t="n">
        <v>0</v>
      </c>
      <c r="P221" t="n">
        <v>10</v>
      </c>
      <c r="Q221" t="n">
        <v>12</v>
      </c>
      <c r="R221" t="s">
        <v>284</v>
      </c>
      <c r="S221" t="s">
        <v>280</v>
      </c>
      <c r="T221" t="n">
        <v>0.25</v>
      </c>
    </row>
    <row r="222">
      <c r="A222" t="s">
        <v>30</v>
      </c>
      <c r="B222" t="n">
        <v>1</v>
      </c>
      <c r="C222" t="n">
        <v>1.1</v>
      </c>
      <c r="D222" t="n">
        <v>1.05</v>
      </c>
      <c r="E222" t="n">
        <v>-3.75</v>
      </c>
      <c r="F222" t="n">
        <v>-0.5</v>
      </c>
      <c r="G222" t="n">
        <v>91</v>
      </c>
      <c r="H222" t="n">
        <v>12</v>
      </c>
      <c r="I222" t="s">
        <v>276</v>
      </c>
      <c r="J222" t="n">
        <v>0</v>
      </c>
      <c r="K222" t="n">
        <v>0</v>
      </c>
      <c r="L222" t="n">
        <v>0</v>
      </c>
      <c r="M222" t="n">
        <v>12</v>
      </c>
      <c r="N222" t="n">
        <v>0.25</v>
      </c>
      <c r="O222" t="n">
        <v>0</v>
      </c>
      <c r="P222" t="n">
        <v>93</v>
      </c>
      <c r="Q222" t="n">
        <v>12</v>
      </c>
      <c r="R222" t="s">
        <v>275</v>
      </c>
      <c r="S222" t="s">
        <v>280</v>
      </c>
      <c r="T222" t="n">
        <v>0.25</v>
      </c>
    </row>
    <row r="223">
      <c r="A223" t="s">
        <v>30</v>
      </c>
      <c r="B223" t="n">
        <v>0.94</v>
      </c>
      <c r="C223" t="n">
        <v>0.99</v>
      </c>
      <c r="D223" t="n">
        <v>0.98</v>
      </c>
      <c r="E223" t="n">
        <v>-6</v>
      </c>
      <c r="F223" t="n">
        <v>0</v>
      </c>
      <c r="G223" t="n">
        <v>166</v>
      </c>
      <c r="H223" t="n">
        <v>12</v>
      </c>
      <c r="I223" t="s">
        <v>277</v>
      </c>
      <c r="J223" t="n">
        <v>0</v>
      </c>
      <c r="K223" t="n">
        <v>0</v>
      </c>
      <c r="L223" t="n">
        <v>0</v>
      </c>
      <c r="M223" t="n">
        <v>12</v>
      </c>
      <c r="N223" t="n">
        <v>0.25</v>
      </c>
      <c r="O223" t="n">
        <v>0</v>
      </c>
      <c r="P223" t="n">
        <v>5</v>
      </c>
      <c r="Q223" t="n">
        <v>12</v>
      </c>
      <c r="R223" t="s">
        <v>276</v>
      </c>
      <c r="S223" t="s">
        <v>276</v>
      </c>
      <c r="T223" t="n">
        <v>0.25</v>
      </c>
    </row>
    <row r="224">
      <c r="A224" t="s">
        <v>30</v>
      </c>
      <c r="B224" t="n">
        <v>1.07</v>
      </c>
      <c r="C224" t="n">
        <v>1.01</v>
      </c>
      <c r="D224" t="n">
        <v>1.1</v>
      </c>
      <c r="E224" t="n">
        <v>-3.75</v>
      </c>
      <c r="F224" t="n">
        <v>-0.25</v>
      </c>
      <c r="G224" t="n">
        <v>100</v>
      </c>
      <c r="H224" t="n">
        <v>12</v>
      </c>
      <c r="I224" t="s">
        <v>275</v>
      </c>
      <c r="J224" t="n">
        <v>0</v>
      </c>
      <c r="K224" t="n">
        <v>0</v>
      </c>
      <c r="L224" t="n">
        <v>0</v>
      </c>
      <c r="M224" t="n">
        <v>12</v>
      </c>
      <c r="N224" t="n">
        <v>0</v>
      </c>
      <c r="O224" t="n">
        <v>0</v>
      </c>
      <c r="P224" t="n">
        <v>114</v>
      </c>
      <c r="Q224" t="n">
        <v>12</v>
      </c>
      <c r="R224" t="s">
        <v>280</v>
      </c>
      <c r="S224" t="s">
        <v>276</v>
      </c>
      <c r="T224" t="n">
        <v>0</v>
      </c>
    </row>
    <row r="225">
      <c r="A225" t="s">
        <v>30</v>
      </c>
      <c r="B225" t="n">
        <v>0.98</v>
      </c>
      <c r="C225" t="n">
        <v>0.76</v>
      </c>
      <c r="D225" t="n">
        <v>1</v>
      </c>
      <c r="E225" t="n">
        <v>-4</v>
      </c>
      <c r="F225" t="n">
        <v>0</v>
      </c>
      <c r="G225" t="n">
        <v>87</v>
      </c>
      <c r="H225" t="n">
        <v>12</v>
      </c>
      <c r="I225" t="s">
        <v>276</v>
      </c>
      <c r="J225" t="n">
        <v>0</v>
      </c>
      <c r="K225" t="n">
        <v>0</v>
      </c>
      <c r="L225" t="n">
        <v>0</v>
      </c>
      <c r="M225" t="n">
        <v>12</v>
      </c>
      <c r="N225" t="n">
        <v>-0.5</v>
      </c>
      <c r="O225" t="n">
        <v>0</v>
      </c>
      <c r="P225" t="n">
        <v>97</v>
      </c>
      <c r="Q225" t="n">
        <v>12</v>
      </c>
      <c r="R225" t="s">
        <v>276</v>
      </c>
      <c r="S225" t="s">
        <v>288</v>
      </c>
      <c r="T225" t="n">
        <v>-0.5</v>
      </c>
    </row>
    <row r="226">
      <c r="A226" t="s">
        <v>30</v>
      </c>
      <c r="B226" t="n">
        <v>1.13</v>
      </c>
      <c r="C226" t="n">
        <v>1.11</v>
      </c>
      <c r="D226" t="n">
        <v>1.19</v>
      </c>
      <c r="E226" t="n">
        <v>-5.25</v>
      </c>
      <c r="F226" t="n">
        <v>-0.75</v>
      </c>
      <c r="G226" t="n">
        <v>117</v>
      </c>
      <c r="H226" t="n">
        <v>12</v>
      </c>
      <c r="I226" t="s">
        <v>284</v>
      </c>
      <c r="J226" t="n">
        <v>0</v>
      </c>
      <c r="K226" t="n">
        <v>0</v>
      </c>
      <c r="L226" t="n">
        <v>0</v>
      </c>
      <c r="M226" t="n">
        <v>12</v>
      </c>
      <c r="N226" t="n">
        <v>-0.25</v>
      </c>
      <c r="O226" t="n">
        <v>-0.5</v>
      </c>
      <c r="P226" t="n">
        <v>103</v>
      </c>
      <c r="Q226" t="n">
        <v>12</v>
      </c>
      <c r="R226" t="s">
        <v>281</v>
      </c>
      <c r="S226" t="s">
        <v>280</v>
      </c>
      <c r="T226" t="n">
        <v>-0.5</v>
      </c>
    </row>
    <row r="227">
      <c r="A227" t="s">
        <v>30</v>
      </c>
      <c r="B227" t="n">
        <v>0.98</v>
      </c>
      <c r="C227" t="n">
        <v>0.96</v>
      </c>
      <c r="D227" t="n">
        <v>0.97</v>
      </c>
      <c r="E227" t="n">
        <v>-6.75</v>
      </c>
      <c r="F227" t="n">
        <v>0</v>
      </c>
      <c r="G227" t="n">
        <v>146</v>
      </c>
      <c r="H227" t="n">
        <v>12</v>
      </c>
      <c r="I227" t="s">
        <v>276</v>
      </c>
      <c r="J227" t="n">
        <v>0</v>
      </c>
      <c r="K227" t="n">
        <v>0</v>
      </c>
      <c r="L227" t="n">
        <v>0</v>
      </c>
      <c r="M227" t="n">
        <v>12</v>
      </c>
      <c r="N227" t="n">
        <v>0</v>
      </c>
      <c r="O227" t="n">
        <v>-0.25</v>
      </c>
      <c r="P227" t="n">
        <v>116</v>
      </c>
      <c r="Q227" t="n">
        <v>12</v>
      </c>
      <c r="R227" t="s">
        <v>277</v>
      </c>
      <c r="S227" t="s">
        <v>277</v>
      </c>
      <c r="T227" t="n">
        <v>-0.25</v>
      </c>
    </row>
    <row r="228">
      <c r="A228" t="s">
        <v>30</v>
      </c>
      <c r="B228" t="n">
        <v>1.14</v>
      </c>
      <c r="C228" t="n">
        <v>1.25</v>
      </c>
      <c r="D228" t="n">
        <v>1.19</v>
      </c>
      <c r="E228" t="n">
        <v>-6.5</v>
      </c>
      <c r="F228" t="n">
        <v>-0.25</v>
      </c>
      <c r="G228" t="n">
        <v>1</v>
      </c>
      <c r="H228" t="n">
        <v>12</v>
      </c>
      <c r="I228" t="s">
        <v>284</v>
      </c>
      <c r="J228" t="n">
        <v>0</v>
      </c>
      <c r="K228" t="n">
        <v>0</v>
      </c>
      <c r="L228" t="n">
        <v>0</v>
      </c>
      <c r="M228" t="n">
        <v>12</v>
      </c>
      <c r="N228" t="n">
        <v>-0.25</v>
      </c>
      <c r="O228" t="n">
        <v>0</v>
      </c>
      <c r="P228" t="n">
        <v>97</v>
      </c>
      <c r="Q228" t="n">
        <v>12</v>
      </c>
      <c r="R228" t="s">
        <v>281</v>
      </c>
      <c r="S228" t="s">
        <v>283</v>
      </c>
      <c r="T228" t="n">
        <v>-0.25</v>
      </c>
    </row>
    <row r="229">
      <c r="A229" t="s">
        <v>30</v>
      </c>
      <c r="B229" t="n">
        <v>1</v>
      </c>
      <c r="C229" t="n">
        <v>0.99</v>
      </c>
      <c r="D229" t="n">
        <v>1.06</v>
      </c>
      <c r="E229" t="n">
        <v>-4.25</v>
      </c>
      <c r="F229" t="n">
        <v>-1.25</v>
      </c>
      <c r="G229" t="n">
        <v>75</v>
      </c>
      <c r="H229" t="n">
        <v>12</v>
      </c>
      <c r="I229" t="s">
        <v>276</v>
      </c>
      <c r="J229" t="n">
        <v>0</v>
      </c>
      <c r="K229" t="n">
        <v>0</v>
      </c>
      <c r="L229" t="n">
        <v>0</v>
      </c>
      <c r="M229" t="n">
        <v>12</v>
      </c>
      <c r="N229" t="n">
        <v>1</v>
      </c>
      <c r="O229" t="n">
        <v>-0.25</v>
      </c>
      <c r="P229" t="n">
        <v>50</v>
      </c>
      <c r="Q229" t="n">
        <v>12</v>
      </c>
      <c r="R229" t="s">
        <v>275</v>
      </c>
      <c r="S229" t="s">
        <v>276</v>
      </c>
      <c r="T229" t="n">
        <v>0.75</v>
      </c>
    </row>
    <row r="230">
      <c r="A230" t="s">
        <v>30</v>
      </c>
      <c r="B230" t="n">
        <v>1.07</v>
      </c>
      <c r="C230" t="n">
        <v>1.21</v>
      </c>
      <c r="D230" t="n">
        <v>1.04</v>
      </c>
      <c r="E230" t="n">
        <v>-3.75</v>
      </c>
      <c r="F230" t="n">
        <v>-0.5</v>
      </c>
      <c r="G230" t="n">
        <v>10</v>
      </c>
      <c r="H230" t="n">
        <v>12</v>
      </c>
      <c r="I230" t="s">
        <v>275</v>
      </c>
      <c r="J230" t="n">
        <v>0</v>
      </c>
      <c r="K230" t="n">
        <v>0</v>
      </c>
      <c r="L230" t="n">
        <v>0</v>
      </c>
      <c r="M230" t="n">
        <v>12</v>
      </c>
      <c r="N230" t="n">
        <v>0.5</v>
      </c>
      <c r="O230" t="n">
        <v>-0.25</v>
      </c>
      <c r="P230" t="n">
        <v>176</v>
      </c>
      <c r="Q230" t="n">
        <v>12</v>
      </c>
      <c r="R230" t="s">
        <v>275</v>
      </c>
      <c r="S230" t="s">
        <v>281</v>
      </c>
      <c r="T230" t="n">
        <v>0.5</v>
      </c>
    </row>
    <row r="231">
      <c r="A231" t="s">
        <v>30</v>
      </c>
      <c r="B231" t="n">
        <v>1.03</v>
      </c>
      <c r="C231" t="n">
        <v>0.98</v>
      </c>
      <c r="D231" t="n">
        <v>1.03</v>
      </c>
      <c r="E231" t="n">
        <v>-6</v>
      </c>
      <c r="F231" t="n">
        <v>-0.25</v>
      </c>
      <c r="G231" t="n">
        <v>152</v>
      </c>
      <c r="H231" t="n">
        <v>12</v>
      </c>
      <c r="I231" t="s">
        <v>275</v>
      </c>
      <c r="J231" t="n">
        <v>0</v>
      </c>
      <c r="K231" t="n">
        <v>0</v>
      </c>
      <c r="L231" t="n">
        <v>0</v>
      </c>
      <c r="M231" t="n">
        <v>12</v>
      </c>
      <c r="N231" t="n">
        <v>0</v>
      </c>
      <c r="O231" t="n">
        <v>0</v>
      </c>
      <c r="P231" t="n">
        <v>57</v>
      </c>
      <c r="Q231" t="n">
        <v>12</v>
      </c>
      <c r="R231" t="s">
        <v>275</v>
      </c>
      <c r="S231" t="s">
        <v>276</v>
      </c>
      <c r="T231" t="n">
        <v>0</v>
      </c>
    </row>
    <row r="232">
      <c r="A232" t="s">
        <v>30</v>
      </c>
      <c r="B232" t="n">
        <v>1.09</v>
      </c>
      <c r="C232" t="n">
        <v>1.14</v>
      </c>
      <c r="D232" t="n">
        <v>1.05</v>
      </c>
      <c r="E232" t="n">
        <v>-5.5</v>
      </c>
      <c r="F232" t="n">
        <v>-1.25</v>
      </c>
      <c r="G232" t="n">
        <v>105</v>
      </c>
      <c r="H232" t="n">
        <v>12</v>
      </c>
      <c r="I232" t="s">
        <v>280</v>
      </c>
      <c r="J232" t="n">
        <v>0</v>
      </c>
      <c r="K232" t="n">
        <v>0</v>
      </c>
      <c r="L232" t="n">
        <v>0</v>
      </c>
      <c r="M232" t="n">
        <v>12</v>
      </c>
      <c r="N232" t="n">
        <v>0.75</v>
      </c>
      <c r="O232" t="n">
        <v>-0.5</v>
      </c>
      <c r="P232" t="n">
        <v>107</v>
      </c>
      <c r="Q232" t="n">
        <v>12</v>
      </c>
      <c r="R232" t="s">
        <v>275</v>
      </c>
      <c r="S232" t="s">
        <v>284</v>
      </c>
      <c r="T232" t="n">
        <v>0.5</v>
      </c>
    </row>
    <row r="233">
      <c r="A233" t="s">
        <v>30</v>
      </c>
      <c r="B233" t="n">
        <v>0.98</v>
      </c>
      <c r="C233" t="n">
        <v>1.05</v>
      </c>
      <c r="D233" t="n">
        <v>0.99</v>
      </c>
      <c r="E233" t="n">
        <v>-1</v>
      </c>
      <c r="F233" t="n">
        <v>-0.5</v>
      </c>
      <c r="G233" t="n">
        <v>78</v>
      </c>
      <c r="H233" t="n">
        <v>12</v>
      </c>
      <c r="I233" t="s">
        <v>276</v>
      </c>
      <c r="J233" t="n">
        <v>0</v>
      </c>
      <c r="K233" t="n">
        <v>0</v>
      </c>
      <c r="L233" t="n">
        <v>0</v>
      </c>
      <c r="M233" t="n">
        <v>12</v>
      </c>
      <c r="N233" t="n">
        <v>0</v>
      </c>
      <c r="O233" t="n">
        <v>-0.25</v>
      </c>
      <c r="P233" t="n">
        <v>65</v>
      </c>
      <c r="Q233" t="n">
        <v>12</v>
      </c>
      <c r="R233" t="s">
        <v>276</v>
      </c>
      <c r="S233" t="s">
        <v>275</v>
      </c>
      <c r="T233" t="n">
        <v>0</v>
      </c>
    </row>
    <row r="234">
      <c r="A234" t="s">
        <v>30</v>
      </c>
      <c r="B234" t="n">
        <v>1.18</v>
      </c>
      <c r="C234" t="n">
        <v>1.13</v>
      </c>
      <c r="D234" t="n">
        <v>1.23</v>
      </c>
      <c r="E234" t="n">
        <v>-2.75</v>
      </c>
      <c r="F234" t="n">
        <v>-0.25</v>
      </c>
      <c r="G234" t="n">
        <v>179</v>
      </c>
      <c r="H234" t="n">
        <v>12</v>
      </c>
      <c r="I234" t="s">
        <v>281</v>
      </c>
      <c r="J234" t="n">
        <v>0</v>
      </c>
      <c r="K234" t="n">
        <v>0</v>
      </c>
      <c r="L234" t="n">
        <v>0</v>
      </c>
      <c r="M234" t="n">
        <v>12</v>
      </c>
      <c r="N234" t="n">
        <v>0</v>
      </c>
      <c r="O234" t="n">
        <v>-0.25</v>
      </c>
      <c r="P234" t="n">
        <v>24</v>
      </c>
      <c r="Q234" t="n">
        <v>12</v>
      </c>
      <c r="R234" t="s">
        <v>281</v>
      </c>
      <c r="S234" t="s">
        <v>284</v>
      </c>
      <c r="T234" t="n">
        <v>-0.25</v>
      </c>
    </row>
    <row r="235">
      <c r="A235" t="s">
        <v>30</v>
      </c>
      <c r="B235" t="n">
        <v>0.99</v>
      </c>
      <c r="C235" t="n">
        <v>1.01</v>
      </c>
      <c r="D235" t="n">
        <v>1.03</v>
      </c>
      <c r="E235" t="n">
        <v>-2.75</v>
      </c>
      <c r="F235" t="n">
        <v>-0.25</v>
      </c>
      <c r="G235" t="n">
        <v>102</v>
      </c>
      <c r="H235" t="n">
        <v>12</v>
      </c>
      <c r="I235" t="s">
        <v>276</v>
      </c>
      <c r="J235" t="n">
        <v>0</v>
      </c>
      <c r="K235" t="n">
        <v>0</v>
      </c>
      <c r="L235" t="n">
        <v>0</v>
      </c>
      <c r="M235" t="n">
        <v>12</v>
      </c>
      <c r="N235" t="n">
        <v>1</v>
      </c>
      <c r="O235" t="n">
        <v>-0.25</v>
      </c>
      <c r="P235" t="n">
        <v>81</v>
      </c>
      <c r="Q235" t="n">
        <v>12</v>
      </c>
      <c r="R235" t="s">
        <v>275</v>
      </c>
      <c r="S235" t="s">
        <v>276</v>
      </c>
      <c r="T235" t="n">
        <v>0.75</v>
      </c>
    </row>
    <row r="236">
      <c r="A236" t="s">
        <v>30</v>
      </c>
      <c r="B236" t="n">
        <v>0.98</v>
      </c>
      <c r="C236" t="n">
        <v>1.03</v>
      </c>
      <c r="D236" t="n">
        <v>1.03</v>
      </c>
      <c r="E236" t="n">
        <v>-1.5</v>
      </c>
      <c r="F236" t="n">
        <v>-2.75</v>
      </c>
      <c r="G236" t="n">
        <v>43</v>
      </c>
      <c r="H236" t="n">
        <v>12</v>
      </c>
      <c r="I236" t="s">
        <v>276</v>
      </c>
      <c r="J236" t="n">
        <v>0</v>
      </c>
      <c r="K236" t="n">
        <v>0</v>
      </c>
      <c r="L236" t="n">
        <v>0</v>
      </c>
      <c r="M236" t="n">
        <v>12</v>
      </c>
      <c r="N236" t="n">
        <v>0</v>
      </c>
      <c r="O236" t="n">
        <v>-0.25</v>
      </c>
      <c r="P236" t="n">
        <v>47</v>
      </c>
      <c r="Q236" t="n">
        <v>12</v>
      </c>
      <c r="R236" t="s">
        <v>275</v>
      </c>
      <c r="S236" t="s">
        <v>275</v>
      </c>
      <c r="T236" t="n">
        <v>0</v>
      </c>
    </row>
    <row r="237">
      <c r="A237" t="s">
        <v>30</v>
      </c>
      <c r="B237" t="n">
        <v>1.07</v>
      </c>
      <c r="C237" t="n">
        <v>0.87</v>
      </c>
      <c r="D237" t="n">
        <v>1.06</v>
      </c>
      <c r="E237" t="n">
        <v>-2.75</v>
      </c>
      <c r="F237" t="n">
        <v>-0.25</v>
      </c>
      <c r="G237" t="n">
        <v>85</v>
      </c>
      <c r="H237" t="n">
        <v>12</v>
      </c>
      <c r="I237" t="s">
        <v>275</v>
      </c>
      <c r="J237" t="n">
        <v>0</v>
      </c>
      <c r="K237" t="n">
        <v>0</v>
      </c>
      <c r="L237" t="n">
        <v>0</v>
      </c>
      <c r="M237" t="n">
        <v>12</v>
      </c>
      <c r="N237" t="n">
        <v>-0.75</v>
      </c>
      <c r="O237" t="n">
        <v>0</v>
      </c>
      <c r="P237" t="n">
        <v>83</v>
      </c>
      <c r="Q237" t="n">
        <v>12</v>
      </c>
      <c r="R237" t="s">
        <v>275</v>
      </c>
      <c r="S237" t="s">
        <v>287</v>
      </c>
      <c r="T237" t="n">
        <v>-0.75</v>
      </c>
    </row>
    <row r="238">
      <c r="A238" t="s">
        <v>30</v>
      </c>
      <c r="B238" t="n">
        <v>1.06</v>
      </c>
      <c r="C238" t="n">
        <v>1.22</v>
      </c>
      <c r="D238" t="n">
        <v>1.14</v>
      </c>
      <c r="E238" t="n">
        <v>-5.5</v>
      </c>
      <c r="F238" t="n">
        <v>-0.25</v>
      </c>
      <c r="G238" t="n">
        <v>76</v>
      </c>
      <c r="H238" t="n">
        <v>12</v>
      </c>
      <c r="I238" t="s">
        <v>275</v>
      </c>
      <c r="J238" t="n">
        <v>0</v>
      </c>
      <c r="K238" t="n">
        <v>0</v>
      </c>
      <c r="L238" t="n">
        <v>0</v>
      </c>
      <c r="M238" t="n">
        <v>12</v>
      </c>
      <c r="N238" t="n">
        <v>0.25</v>
      </c>
      <c r="O238" t="n">
        <v>-0.5</v>
      </c>
      <c r="P238" t="n">
        <v>66</v>
      </c>
      <c r="Q238" t="n">
        <v>12</v>
      </c>
      <c r="R238" t="s">
        <v>284</v>
      </c>
      <c r="S238" t="s">
        <v>281</v>
      </c>
      <c r="T238" t="n">
        <v>0</v>
      </c>
    </row>
    <row r="239">
      <c r="A239" t="s">
        <v>30</v>
      </c>
      <c r="B239" t="n">
        <v>1.18</v>
      </c>
      <c r="C239" t="n">
        <v>1.25</v>
      </c>
      <c r="D239" t="n">
        <v>1.25</v>
      </c>
      <c r="E239" t="n">
        <v>-2</v>
      </c>
      <c r="F239" t="n">
        <v>-0.5</v>
      </c>
      <c r="G239" t="n">
        <v>176</v>
      </c>
      <c r="H239" t="n">
        <v>12</v>
      </c>
      <c r="I239" t="s">
        <v>281</v>
      </c>
      <c r="J239" t="n">
        <v>0</v>
      </c>
      <c r="K239" t="n">
        <v>0</v>
      </c>
      <c r="L239" t="n">
        <v>0</v>
      </c>
      <c r="M239" t="n">
        <v>12</v>
      </c>
      <c r="N239" t="n">
        <v>0.5</v>
      </c>
      <c r="O239" t="n">
        <v>-0.25</v>
      </c>
      <c r="P239" t="n">
        <v>137</v>
      </c>
      <c r="Q239" t="n">
        <v>12</v>
      </c>
      <c r="R239" t="s">
        <v>283</v>
      </c>
      <c r="S239" t="s">
        <v>283</v>
      </c>
      <c r="T239" t="n">
        <v>0.25</v>
      </c>
    </row>
    <row r="240">
      <c r="A240" t="s">
        <v>30</v>
      </c>
      <c r="B240" t="n">
        <v>1.08</v>
      </c>
      <c r="C240" t="n">
        <v>0.97</v>
      </c>
      <c r="D240" t="n">
        <v>1.14</v>
      </c>
      <c r="E240" t="n">
        <v>-2.25</v>
      </c>
      <c r="F240" t="n">
        <v>-1.5</v>
      </c>
      <c r="G240" t="n">
        <v>3</v>
      </c>
      <c r="H240" t="n">
        <v>12</v>
      </c>
      <c r="I240" t="s">
        <v>280</v>
      </c>
      <c r="J240" t="n">
        <v>0</v>
      </c>
      <c r="K240" t="n">
        <v>0</v>
      </c>
      <c r="L240" t="n">
        <v>0</v>
      </c>
      <c r="M240" t="n">
        <v>12</v>
      </c>
      <c r="N240" t="n">
        <v>0.5</v>
      </c>
      <c r="O240" t="n">
        <v>-0.25</v>
      </c>
      <c r="P240" t="n">
        <v>2</v>
      </c>
      <c r="Q240" t="n">
        <v>12</v>
      </c>
      <c r="R240" t="s">
        <v>284</v>
      </c>
      <c r="S240" t="s">
        <v>277</v>
      </c>
      <c r="T240" t="n">
        <v>0.5</v>
      </c>
    </row>
    <row r="241">
      <c r="A241" t="s">
        <v>30</v>
      </c>
      <c r="B241" t="n">
        <v>0.92</v>
      </c>
      <c r="C241" t="n">
        <v>0.91</v>
      </c>
      <c r="D241" t="n">
        <v>0.93</v>
      </c>
      <c r="E241" t="n">
        <v>-0.5</v>
      </c>
      <c r="F241" t="n">
        <v>-0.75</v>
      </c>
      <c r="G241" t="n">
        <v>32</v>
      </c>
      <c r="H241" t="n">
        <v>12</v>
      </c>
      <c r="I241" t="s">
        <v>278</v>
      </c>
      <c r="J241" t="n">
        <v>0</v>
      </c>
      <c r="K241" t="n">
        <v>0</v>
      </c>
      <c r="L241" t="n">
        <v>0</v>
      </c>
      <c r="M241" t="n">
        <v>12</v>
      </c>
      <c r="N241" t="n">
        <v>0</v>
      </c>
      <c r="O241" t="n">
        <v>-0.25</v>
      </c>
      <c r="P241" t="n">
        <v>23</v>
      </c>
      <c r="Q241" t="n">
        <v>12</v>
      </c>
      <c r="R241" t="s">
        <v>278</v>
      </c>
      <c r="S241" t="s">
        <v>278</v>
      </c>
      <c r="T241" t="n">
        <v>-0.25</v>
      </c>
    </row>
    <row r="242">
      <c r="A242" t="s">
        <v>30</v>
      </c>
      <c r="B242" t="n">
        <v>1</v>
      </c>
      <c r="C242" t="n">
        <v>0.94</v>
      </c>
      <c r="D242" t="n">
        <v>1.02</v>
      </c>
      <c r="E242" t="n">
        <v>-4.75</v>
      </c>
      <c r="F242" t="n">
        <v>-0.5</v>
      </c>
      <c r="G242" t="n">
        <v>93</v>
      </c>
      <c r="H242" t="n">
        <v>12</v>
      </c>
      <c r="I242" t="s">
        <v>276</v>
      </c>
      <c r="J242" t="n">
        <v>0</v>
      </c>
      <c r="K242" t="n">
        <v>0</v>
      </c>
      <c r="L242" t="n">
        <v>0</v>
      </c>
      <c r="M242" t="n">
        <v>12</v>
      </c>
      <c r="N242" t="n">
        <v>0</v>
      </c>
      <c r="O242" t="n">
        <v>0</v>
      </c>
      <c r="P242" t="n">
        <v>83</v>
      </c>
      <c r="Q242" t="n">
        <v>12</v>
      </c>
      <c r="R242" t="s">
        <v>276</v>
      </c>
      <c r="S242" t="s">
        <v>277</v>
      </c>
      <c r="T242" t="n">
        <v>0</v>
      </c>
    </row>
    <row r="243">
      <c r="A243" t="s">
        <v>30</v>
      </c>
      <c r="B243" t="n">
        <v>1.08</v>
      </c>
      <c r="C243" t="n">
        <v>1.02</v>
      </c>
      <c r="D243" t="n">
        <v>1.05</v>
      </c>
      <c r="E243" t="n">
        <v>-2.5</v>
      </c>
      <c r="F243" t="n">
        <v>-0.5</v>
      </c>
      <c r="G243" t="n">
        <v>40</v>
      </c>
      <c r="H243" t="n">
        <v>12</v>
      </c>
      <c r="I243" t="s">
        <v>280</v>
      </c>
      <c r="J243" t="n">
        <v>0</v>
      </c>
      <c r="K243" t="n">
        <v>0</v>
      </c>
      <c r="L243" t="n">
        <v>0</v>
      </c>
      <c r="M243" t="n">
        <v>12</v>
      </c>
      <c r="N243" t="n">
        <v>0.25</v>
      </c>
      <c r="O243" t="n">
        <v>0</v>
      </c>
      <c r="P243" t="n">
        <v>109</v>
      </c>
      <c r="Q243" t="n">
        <v>12</v>
      </c>
      <c r="R243" t="s">
        <v>275</v>
      </c>
      <c r="S243" t="s">
        <v>276</v>
      </c>
      <c r="T243" t="n">
        <v>0.25</v>
      </c>
    </row>
    <row r="244">
      <c r="A244" t="s">
        <v>30</v>
      </c>
      <c r="B244" t="n">
        <v>1.06</v>
      </c>
      <c r="C244" t="n">
        <v>1.03</v>
      </c>
      <c r="D244" t="n">
        <v>1.07</v>
      </c>
      <c r="E244" t="n">
        <v>-4</v>
      </c>
      <c r="F244" t="n">
        <v>-0.5</v>
      </c>
      <c r="G244" t="n">
        <v>2</v>
      </c>
      <c r="H244" t="n">
        <v>12</v>
      </c>
      <c r="I244" t="s">
        <v>275</v>
      </c>
      <c r="J244" t="n">
        <v>0</v>
      </c>
      <c r="K244" t="n">
        <v>0</v>
      </c>
      <c r="L244" t="n">
        <v>0</v>
      </c>
      <c r="M244" t="n">
        <v>12</v>
      </c>
      <c r="N244" t="n">
        <v>0.5</v>
      </c>
      <c r="O244" t="n">
        <v>-0.25</v>
      </c>
      <c r="P244" t="n">
        <v>171</v>
      </c>
      <c r="Q244" t="n">
        <v>12</v>
      </c>
      <c r="R244" t="s">
        <v>275</v>
      </c>
      <c r="S244" t="s">
        <v>275</v>
      </c>
      <c r="T244" t="n">
        <v>0.25</v>
      </c>
    </row>
    <row r="245">
      <c r="A245" t="s">
        <v>30</v>
      </c>
      <c r="B245" t="n">
        <v>1.11</v>
      </c>
      <c r="C245" t="n">
        <v>1.05</v>
      </c>
      <c r="D245" t="n">
        <v>1.11</v>
      </c>
      <c r="E245" t="n">
        <v>-6</v>
      </c>
      <c r="F245" t="n">
        <v>-1</v>
      </c>
      <c r="G245" t="n">
        <v>155</v>
      </c>
      <c r="H245" t="n">
        <v>12</v>
      </c>
      <c r="I245" t="s">
        <v>280</v>
      </c>
      <c r="J245" t="n">
        <v>0</v>
      </c>
      <c r="K245" t="n">
        <v>0</v>
      </c>
      <c r="L245" t="n">
        <v>0</v>
      </c>
      <c r="M245" t="n">
        <v>12</v>
      </c>
      <c r="N245" t="n">
        <v>0.25</v>
      </c>
      <c r="O245" t="n">
        <v>0</v>
      </c>
      <c r="P245" t="n">
        <v>108</v>
      </c>
      <c r="Q245" t="n">
        <v>12</v>
      </c>
      <c r="R245" t="s">
        <v>280</v>
      </c>
      <c r="S245" t="s">
        <v>275</v>
      </c>
      <c r="T245" t="n">
        <v>0.25</v>
      </c>
    </row>
    <row r="246">
      <c r="A246" t="s">
        <v>30</v>
      </c>
      <c r="B246" t="n">
        <v>1.05</v>
      </c>
      <c r="C246" t="n">
        <v>0.95</v>
      </c>
      <c r="D246" t="n">
        <v>1.07</v>
      </c>
      <c r="E246" t="n">
        <v>-3.75</v>
      </c>
      <c r="F246" t="n">
        <v>-0.5</v>
      </c>
      <c r="G246" t="n">
        <v>180</v>
      </c>
      <c r="H246" t="n">
        <v>12</v>
      </c>
      <c r="I246" t="s">
        <v>275</v>
      </c>
      <c r="J246" t="n">
        <v>0</v>
      </c>
      <c r="K246" t="n">
        <v>0</v>
      </c>
      <c r="L246" t="n">
        <v>0</v>
      </c>
      <c r="M246" t="n">
        <v>12</v>
      </c>
      <c r="N246" t="n">
        <v>0.5</v>
      </c>
      <c r="O246" t="n">
        <v>-0.5</v>
      </c>
      <c r="P246" t="n">
        <v>13</v>
      </c>
      <c r="Q246" t="n">
        <v>12</v>
      </c>
      <c r="R246" t="s">
        <v>275</v>
      </c>
      <c r="S246" t="s">
        <v>277</v>
      </c>
      <c r="T246" t="n">
        <v>0.25</v>
      </c>
    </row>
    <row r="247">
      <c r="A247" t="s">
        <v>30</v>
      </c>
      <c r="B247" t="n">
        <v>1.01</v>
      </c>
      <c r="C247" t="n">
        <v>0.87</v>
      </c>
      <c r="D247" t="n">
        <v>0.98</v>
      </c>
      <c r="E247" t="n">
        <v>-4.75</v>
      </c>
      <c r="F247" t="n">
        <v>-1</v>
      </c>
      <c r="G247" t="n">
        <v>11</v>
      </c>
      <c r="H247" t="n">
        <v>12</v>
      </c>
      <c r="I247" t="s">
        <v>276</v>
      </c>
      <c r="J247" t="n">
        <v>0</v>
      </c>
      <c r="K247" t="n">
        <v>0</v>
      </c>
      <c r="L247" t="n">
        <v>0</v>
      </c>
      <c r="M247" t="n">
        <v>12</v>
      </c>
      <c r="N247" t="n">
        <v>-0.5</v>
      </c>
      <c r="O247" t="n">
        <v>0</v>
      </c>
      <c r="P247" t="n">
        <v>167</v>
      </c>
      <c r="Q247" t="n">
        <v>12</v>
      </c>
      <c r="R247" t="s">
        <v>276</v>
      </c>
      <c r="S247" t="s">
        <v>287</v>
      </c>
      <c r="T247" t="n">
        <v>-0.5</v>
      </c>
    </row>
    <row r="248">
      <c r="A248" t="s">
        <v>30</v>
      </c>
      <c r="B248" t="n">
        <v>1.07</v>
      </c>
      <c r="C248" t="n">
        <v>1.07</v>
      </c>
      <c r="D248" t="n">
        <v>1.1</v>
      </c>
      <c r="E248" t="n">
        <v>-3.75</v>
      </c>
      <c r="F248" t="n">
        <v>-0.25</v>
      </c>
      <c r="G248" t="n">
        <v>8</v>
      </c>
      <c r="H248" t="n">
        <v>12</v>
      </c>
      <c r="I248" t="s">
        <v>275</v>
      </c>
      <c r="J248" t="n">
        <v>0</v>
      </c>
      <c r="K248" t="n">
        <v>0</v>
      </c>
      <c r="L248" t="n">
        <v>0</v>
      </c>
      <c r="M248" t="n">
        <v>12</v>
      </c>
      <c r="N248" t="n">
        <v>0.5</v>
      </c>
      <c r="O248" t="n">
        <v>-0.25</v>
      </c>
      <c r="P248" t="n">
        <v>179</v>
      </c>
      <c r="Q248" t="n">
        <v>12</v>
      </c>
      <c r="R248" t="s">
        <v>280</v>
      </c>
      <c r="S248" t="s">
        <v>275</v>
      </c>
      <c r="T248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" t="s">
        <v>29</v>
      </c>
      <c r="B1" s="4" t="s">
        <v>259</v>
      </c>
      <c r="C1" s="4" t="s">
        <v>260</v>
      </c>
      <c r="D1" s="4" t="s">
        <v>261</v>
      </c>
      <c r="E1" s="5" t="s">
        <v>262</v>
      </c>
      <c r="F1" s="5" t="s">
        <v>263</v>
      </c>
      <c r="G1" s="5" t="s">
        <v>264</v>
      </c>
      <c r="H1" s="5" t="s">
        <v>265</v>
      </c>
      <c r="I1" s="5" t="s">
        <v>76</v>
      </c>
      <c r="J1" s="6" t="s">
        <v>266</v>
      </c>
      <c r="K1" s="6" t="s">
        <v>267</v>
      </c>
      <c r="L1" s="6" t="s">
        <v>268</v>
      </c>
      <c r="M1" s="6" t="s">
        <v>269</v>
      </c>
      <c r="N1" s="7" t="s">
        <v>270</v>
      </c>
      <c r="O1" s="7" t="s">
        <v>271</v>
      </c>
      <c r="P1" s="7" t="s">
        <v>272</v>
      </c>
      <c r="Q1" s="7" t="s">
        <v>273</v>
      </c>
      <c r="R1" s="7" t="s">
        <v>191</v>
      </c>
      <c r="S1" s="7" t="s">
        <v>186</v>
      </c>
      <c r="T1" s="8" t="s">
        <v>274</v>
      </c>
    </row>
    <row r="2">
      <c r="A2" t="s">
        <v>31</v>
      </c>
      <c r="B2" t="n">
        <v>1.09</v>
      </c>
      <c r="C2" t="n">
        <v>0.9</v>
      </c>
      <c r="D2" t="n">
        <v>1.05</v>
      </c>
      <c r="E2" t="n">
        <v>-1.5</v>
      </c>
      <c r="F2" t="n">
        <v>-0.25</v>
      </c>
      <c r="G2" t="n">
        <v>48</v>
      </c>
      <c r="H2" t="n">
        <v>12</v>
      </c>
      <c r="I2" t="s">
        <v>280</v>
      </c>
      <c r="J2" t="n">
        <v>0</v>
      </c>
      <c r="K2" t="n">
        <v>0</v>
      </c>
      <c r="L2" t="n">
        <v>0</v>
      </c>
      <c r="M2" t="n">
        <v>12</v>
      </c>
      <c r="N2" t="n">
        <v>0.25</v>
      </c>
      <c r="O2" t="n">
        <v>0</v>
      </c>
      <c r="P2" t="n">
        <v>108</v>
      </c>
      <c r="Q2" t="n">
        <v>12</v>
      </c>
      <c r="R2" t="s">
        <v>275</v>
      </c>
      <c r="S2" t="s">
        <v>278</v>
      </c>
      <c r="T2" t="n">
        <v>0.25</v>
      </c>
    </row>
    <row r="3">
      <c r="A3" t="s">
        <v>31</v>
      </c>
      <c r="B3" t="n">
        <v>1.07</v>
      </c>
      <c r="C3" t="n">
        <v>1.12</v>
      </c>
      <c r="D3" t="n">
        <v>1.11</v>
      </c>
      <c r="E3" t="n">
        <v>-2.5</v>
      </c>
      <c r="F3" t="n">
        <v>-1.25</v>
      </c>
      <c r="G3" t="n">
        <v>12</v>
      </c>
      <c r="H3" t="n">
        <v>12</v>
      </c>
      <c r="I3" t="s">
        <v>275</v>
      </c>
      <c r="J3" t="n">
        <v>0</v>
      </c>
      <c r="K3" t="n">
        <v>0</v>
      </c>
      <c r="L3" t="n">
        <v>0</v>
      </c>
      <c r="M3" t="n">
        <v>12</v>
      </c>
      <c r="N3" t="n">
        <v>0</v>
      </c>
      <c r="O3" t="n">
        <v>-0.25</v>
      </c>
      <c r="P3" t="n">
        <v>8</v>
      </c>
      <c r="Q3" t="n">
        <v>12</v>
      </c>
      <c r="R3" t="s">
        <v>280</v>
      </c>
      <c r="S3" t="s">
        <v>280</v>
      </c>
      <c r="T3" t="n">
        <v>0</v>
      </c>
    </row>
    <row r="4">
      <c r="A4" t="s">
        <v>31</v>
      </c>
      <c r="B4" t="n">
        <v>1.13</v>
      </c>
      <c r="C4" t="n">
        <v>0.89</v>
      </c>
      <c r="D4" t="n">
        <v>1.18</v>
      </c>
      <c r="E4" t="n">
        <v>-1.25</v>
      </c>
      <c r="F4" t="n">
        <v>-1.25</v>
      </c>
      <c r="G4" t="n">
        <v>174</v>
      </c>
      <c r="H4" t="n">
        <v>12</v>
      </c>
      <c r="I4" t="s">
        <v>284</v>
      </c>
      <c r="J4" t="n">
        <v>0</v>
      </c>
      <c r="K4" t="n">
        <v>0</v>
      </c>
      <c r="L4" t="n">
        <v>0</v>
      </c>
      <c r="M4" t="n">
        <v>12</v>
      </c>
      <c r="N4" t="n">
        <v>-0.5</v>
      </c>
      <c r="O4" t="n">
        <v>-0.25</v>
      </c>
      <c r="P4" t="n">
        <v>162</v>
      </c>
      <c r="Q4" t="n">
        <v>12</v>
      </c>
      <c r="R4" t="s">
        <v>281</v>
      </c>
      <c r="S4" t="s">
        <v>287</v>
      </c>
      <c r="T4" t="n">
        <v>-0.5</v>
      </c>
    </row>
    <row r="5">
      <c r="A5" t="s">
        <v>31</v>
      </c>
      <c r="B5" t="n">
        <v>1.02</v>
      </c>
      <c r="C5" t="n">
        <v>1.04</v>
      </c>
      <c r="D5" t="n">
        <v>1.03</v>
      </c>
      <c r="E5" t="n">
        <v>-3</v>
      </c>
      <c r="F5" t="n">
        <v>-0.25</v>
      </c>
      <c r="G5" t="n">
        <v>99</v>
      </c>
      <c r="H5" t="n">
        <v>12</v>
      </c>
      <c r="I5" t="s">
        <v>276</v>
      </c>
      <c r="J5" t="n">
        <v>0</v>
      </c>
      <c r="K5" t="n">
        <v>0</v>
      </c>
      <c r="L5" t="n">
        <v>0</v>
      </c>
      <c r="M5" t="n">
        <v>12</v>
      </c>
      <c r="N5" t="n">
        <v>0.5</v>
      </c>
      <c r="O5" t="n">
        <v>-0.25</v>
      </c>
      <c r="P5" t="n">
        <v>87</v>
      </c>
      <c r="Q5" t="n">
        <v>12</v>
      </c>
      <c r="R5" t="s">
        <v>275</v>
      </c>
      <c r="S5" t="s">
        <v>275</v>
      </c>
      <c r="T5" t="n">
        <v>0.25</v>
      </c>
    </row>
    <row r="6">
      <c r="A6" t="s">
        <v>31</v>
      </c>
      <c r="B6" t="n">
        <v>0.97</v>
      </c>
      <c r="C6" t="n">
        <v>0.83</v>
      </c>
      <c r="D6" t="n">
        <v>0.99</v>
      </c>
      <c r="E6" t="n">
        <v>-1.75</v>
      </c>
      <c r="F6" t="n">
        <v>-0.25</v>
      </c>
      <c r="G6" t="n">
        <v>94</v>
      </c>
      <c r="H6" t="n">
        <v>12</v>
      </c>
      <c r="I6" t="s">
        <v>277</v>
      </c>
      <c r="J6" t="n">
        <v>0</v>
      </c>
      <c r="K6" t="n">
        <v>0</v>
      </c>
      <c r="L6" t="n">
        <v>0</v>
      </c>
      <c r="M6" t="n">
        <v>12</v>
      </c>
      <c r="N6" t="n">
        <v>0.25</v>
      </c>
      <c r="O6" t="n">
        <v>0</v>
      </c>
      <c r="P6" t="n">
        <v>154</v>
      </c>
      <c r="Q6" t="n">
        <v>12</v>
      </c>
      <c r="R6" t="s">
        <v>276</v>
      </c>
      <c r="S6" t="s">
        <v>285</v>
      </c>
      <c r="T6" t="n">
        <v>0.25</v>
      </c>
    </row>
    <row r="7">
      <c r="A7" t="s">
        <v>31</v>
      </c>
      <c r="B7" t="n">
        <v>0.87</v>
      </c>
      <c r="C7" t="n">
        <v>0.85</v>
      </c>
      <c r="D7" t="n">
        <v>0.9</v>
      </c>
      <c r="E7" t="n">
        <v>-6.5</v>
      </c>
      <c r="F7" t="n">
        <v>0</v>
      </c>
      <c r="G7" t="n">
        <v>96</v>
      </c>
      <c r="H7" t="n">
        <v>12</v>
      </c>
      <c r="I7" t="s">
        <v>287</v>
      </c>
      <c r="J7" t="n">
        <v>0</v>
      </c>
      <c r="K7" t="n">
        <v>0</v>
      </c>
      <c r="L7" t="n">
        <v>0</v>
      </c>
      <c r="M7" t="n">
        <v>12</v>
      </c>
      <c r="N7" t="n">
        <v>-0.25</v>
      </c>
      <c r="O7" t="n">
        <v>0</v>
      </c>
      <c r="P7" t="n">
        <v>82</v>
      </c>
      <c r="Q7" t="n">
        <v>12</v>
      </c>
      <c r="R7" t="s">
        <v>278</v>
      </c>
      <c r="S7" t="s">
        <v>285</v>
      </c>
      <c r="T7" t="n">
        <v>-0.25</v>
      </c>
    </row>
    <row r="8">
      <c r="A8" t="s">
        <v>31</v>
      </c>
      <c r="B8" t="n">
        <v>1.02</v>
      </c>
      <c r="C8" t="n">
        <v>0.86</v>
      </c>
      <c r="D8" t="n">
        <v>0.98</v>
      </c>
      <c r="E8" t="n">
        <v>-3.25</v>
      </c>
      <c r="F8" t="n">
        <v>-0.5</v>
      </c>
      <c r="G8" t="n">
        <v>18</v>
      </c>
      <c r="H8" t="n">
        <v>12</v>
      </c>
      <c r="I8" t="s">
        <v>276</v>
      </c>
      <c r="J8" t="n">
        <v>0</v>
      </c>
      <c r="K8" t="n">
        <v>0</v>
      </c>
      <c r="L8" t="n">
        <v>0</v>
      </c>
      <c r="M8" t="n">
        <v>12</v>
      </c>
      <c r="N8" t="n">
        <v>0</v>
      </c>
      <c r="O8" t="n">
        <v>-0.25</v>
      </c>
      <c r="P8" t="n">
        <v>154</v>
      </c>
      <c r="Q8" t="n">
        <v>12</v>
      </c>
      <c r="R8" t="s">
        <v>276</v>
      </c>
      <c r="S8" t="s">
        <v>287</v>
      </c>
      <c r="T8" t="n">
        <v>-0.25</v>
      </c>
    </row>
    <row r="9">
      <c r="A9" t="s">
        <v>31</v>
      </c>
      <c r="B9" t="n">
        <v>0.93</v>
      </c>
      <c r="C9" t="n">
        <v>0.8</v>
      </c>
      <c r="D9" t="n">
        <v>0.92</v>
      </c>
      <c r="E9" t="n">
        <v>-5.25</v>
      </c>
      <c r="F9" t="n">
        <v>-0.5</v>
      </c>
      <c r="G9" t="n">
        <v>159</v>
      </c>
      <c r="H9" t="n">
        <v>12</v>
      </c>
      <c r="I9" t="s">
        <v>278</v>
      </c>
      <c r="J9" t="n">
        <v>0</v>
      </c>
      <c r="K9" t="n">
        <v>0</v>
      </c>
      <c r="L9" t="n">
        <v>0</v>
      </c>
      <c r="M9" t="n">
        <v>12</v>
      </c>
      <c r="N9" t="n">
        <v>0.25</v>
      </c>
      <c r="O9" t="n">
        <v>-0.5</v>
      </c>
      <c r="P9" t="n">
        <v>128</v>
      </c>
      <c r="Q9" t="n">
        <v>12</v>
      </c>
      <c r="R9" t="s">
        <v>278</v>
      </c>
      <c r="S9" t="s">
        <v>279</v>
      </c>
      <c r="T9" t="n">
        <v>0</v>
      </c>
    </row>
    <row r="10">
      <c r="A10" t="s">
        <v>31</v>
      </c>
      <c r="B10" t="n">
        <v>0.9</v>
      </c>
      <c r="C10" t="n">
        <v>0.69</v>
      </c>
      <c r="D10" t="n">
        <v>0.93</v>
      </c>
      <c r="E10" t="n">
        <v>-5</v>
      </c>
      <c r="F10" t="n">
        <v>-0.25</v>
      </c>
      <c r="G10" t="n">
        <v>94</v>
      </c>
      <c r="H10" t="n">
        <v>12</v>
      </c>
      <c r="I10" t="s">
        <v>278</v>
      </c>
      <c r="J10" t="n">
        <v>0</v>
      </c>
      <c r="K10" t="n">
        <v>0</v>
      </c>
      <c r="L10" t="n">
        <v>0</v>
      </c>
      <c r="M10" t="n">
        <v>12</v>
      </c>
      <c r="N10" t="n">
        <v>-1</v>
      </c>
      <c r="O10" t="n">
        <v>0</v>
      </c>
      <c r="P10" t="n">
        <v>70</v>
      </c>
      <c r="Q10" t="n">
        <v>12</v>
      </c>
      <c r="R10" t="s">
        <v>278</v>
      </c>
      <c r="S10" t="s">
        <v>286</v>
      </c>
      <c r="T10" t="n">
        <v>-1</v>
      </c>
    </row>
    <row r="11">
      <c r="A11" t="s">
        <v>31</v>
      </c>
      <c r="B11" t="n">
        <v>1.06</v>
      </c>
      <c r="C11" t="n">
        <v>0.92</v>
      </c>
      <c r="D11" t="n">
        <v>1.07</v>
      </c>
      <c r="E11" t="n">
        <v>-2</v>
      </c>
      <c r="F11" t="n">
        <v>-1.25</v>
      </c>
      <c r="G11" t="n">
        <v>96</v>
      </c>
      <c r="H11" t="n">
        <v>12</v>
      </c>
      <c r="I11" t="s">
        <v>275</v>
      </c>
      <c r="J11" t="n">
        <v>0</v>
      </c>
      <c r="K11" t="n">
        <v>0</v>
      </c>
      <c r="L11" t="n">
        <v>0</v>
      </c>
      <c r="M11" t="n">
        <v>12</v>
      </c>
      <c r="N11" t="n">
        <v>0.25</v>
      </c>
      <c r="O11" t="n">
        <v>0</v>
      </c>
      <c r="P11" t="n">
        <v>99</v>
      </c>
      <c r="Q11" t="n">
        <v>12</v>
      </c>
      <c r="R11" t="s">
        <v>275</v>
      </c>
      <c r="S11" t="s">
        <v>278</v>
      </c>
      <c r="T11" t="n">
        <v>0.25</v>
      </c>
    </row>
    <row r="12">
      <c r="A12" t="s">
        <v>31</v>
      </c>
      <c r="B12" t="n">
        <v>1.12</v>
      </c>
      <c r="C12" t="n">
        <v>0.88</v>
      </c>
      <c r="D12" t="n">
        <v>1.17</v>
      </c>
      <c r="E12" t="n">
        <v>-7.25</v>
      </c>
      <c r="F12" t="n">
        <v>-1</v>
      </c>
      <c r="G12" t="n">
        <v>11</v>
      </c>
      <c r="H12" t="n">
        <v>12</v>
      </c>
      <c r="I12" t="s">
        <v>280</v>
      </c>
      <c r="J12" t="n">
        <v>0</v>
      </c>
      <c r="K12" t="n">
        <v>0</v>
      </c>
      <c r="L12" t="n">
        <v>0</v>
      </c>
      <c r="M12" t="n">
        <v>12</v>
      </c>
      <c r="N12" t="n">
        <v>-0.5</v>
      </c>
      <c r="O12" t="n">
        <v>-0.25</v>
      </c>
      <c r="P12" t="n">
        <v>44</v>
      </c>
      <c r="Q12" t="n">
        <v>12</v>
      </c>
      <c r="R12" t="s">
        <v>284</v>
      </c>
      <c r="S12" t="s">
        <v>287</v>
      </c>
      <c r="T12" t="n">
        <v>-0.75</v>
      </c>
    </row>
    <row r="13">
      <c r="A13" t="s">
        <v>31</v>
      </c>
      <c r="B13" t="n">
        <v>0.93</v>
      </c>
      <c r="C13" t="n">
        <v>0.85</v>
      </c>
      <c r="D13" t="n">
        <v>0.98</v>
      </c>
      <c r="E13" t="n">
        <v>-4.5</v>
      </c>
      <c r="F13" t="n">
        <v>-1.25</v>
      </c>
      <c r="G13" t="n">
        <v>32</v>
      </c>
      <c r="H13" t="n">
        <v>12</v>
      </c>
      <c r="I13" t="s">
        <v>278</v>
      </c>
      <c r="J13" t="n">
        <v>0</v>
      </c>
      <c r="K13" t="n">
        <v>0</v>
      </c>
      <c r="L13" t="n">
        <v>0</v>
      </c>
      <c r="M13" t="n">
        <v>12</v>
      </c>
      <c r="N13" t="n">
        <v>0</v>
      </c>
      <c r="O13" t="n">
        <v>0</v>
      </c>
      <c r="P13" t="n">
        <v>43</v>
      </c>
      <c r="Q13" t="n">
        <v>12</v>
      </c>
      <c r="R13" t="s">
        <v>276</v>
      </c>
      <c r="S13" t="s">
        <v>285</v>
      </c>
      <c r="T13" t="n">
        <v>0</v>
      </c>
    </row>
    <row r="14">
      <c r="A14" t="s">
        <v>31</v>
      </c>
      <c r="B14" t="n">
        <v>0.97</v>
      </c>
      <c r="C14" t="n">
        <v>0.78</v>
      </c>
      <c r="D14" t="n">
        <v>0.92</v>
      </c>
      <c r="E14" t="n">
        <v>-0.5</v>
      </c>
      <c r="F14" t="n">
        <v>-0.5</v>
      </c>
      <c r="G14" t="n">
        <v>24</v>
      </c>
      <c r="H14" t="n">
        <v>12</v>
      </c>
      <c r="I14" t="s">
        <v>277</v>
      </c>
      <c r="J14" t="n">
        <v>0</v>
      </c>
      <c r="K14" t="n">
        <v>0</v>
      </c>
      <c r="L14" t="n">
        <v>0</v>
      </c>
      <c r="M14" t="n">
        <v>12</v>
      </c>
      <c r="N14" t="n">
        <v>0</v>
      </c>
      <c r="O14" t="n">
        <v>0</v>
      </c>
      <c r="P14" t="n">
        <v>17</v>
      </c>
      <c r="Q14" t="n">
        <v>12</v>
      </c>
      <c r="R14" t="s">
        <v>278</v>
      </c>
      <c r="S14" t="s">
        <v>279</v>
      </c>
      <c r="T14" t="n">
        <v>0</v>
      </c>
    </row>
    <row r="15">
      <c r="A15" t="s">
        <v>31</v>
      </c>
      <c r="B15" t="n">
        <v>0.92</v>
      </c>
      <c r="C15" t="n">
        <v>0.8</v>
      </c>
      <c r="D15" t="n">
        <v>0.98</v>
      </c>
      <c r="E15" t="n">
        <v>-1.25</v>
      </c>
      <c r="F15" t="n">
        <v>-0.25</v>
      </c>
      <c r="G15" t="n">
        <v>68</v>
      </c>
      <c r="H15" t="n">
        <v>12</v>
      </c>
      <c r="I15" t="s">
        <v>278</v>
      </c>
      <c r="J15" t="n">
        <v>0</v>
      </c>
      <c r="K15" t="n">
        <v>0</v>
      </c>
      <c r="L15" t="n">
        <v>0</v>
      </c>
      <c r="M15" t="n">
        <v>12</v>
      </c>
      <c r="N15" t="n">
        <v>0</v>
      </c>
      <c r="O15" t="n">
        <v>0</v>
      </c>
      <c r="P15" t="n">
        <v>71</v>
      </c>
      <c r="Q15" t="n">
        <v>12</v>
      </c>
      <c r="R15" t="s">
        <v>276</v>
      </c>
      <c r="S15" t="s">
        <v>279</v>
      </c>
      <c r="T15" t="n">
        <v>0</v>
      </c>
    </row>
    <row r="16">
      <c r="A16" t="s">
        <v>31</v>
      </c>
      <c r="B16" t="n">
        <v>0.89</v>
      </c>
      <c r="C16" t="n">
        <v>0.78</v>
      </c>
      <c r="D16" t="n">
        <v>0.93</v>
      </c>
      <c r="E16" t="n">
        <v>-6.25</v>
      </c>
      <c r="F16" t="n">
        <v>-0.75</v>
      </c>
      <c r="G16" t="n">
        <v>85</v>
      </c>
      <c r="H16" t="n">
        <v>12</v>
      </c>
      <c r="I16" t="s">
        <v>287</v>
      </c>
      <c r="J16" t="n">
        <v>0</v>
      </c>
      <c r="K16" t="n">
        <v>0</v>
      </c>
      <c r="L16" t="n">
        <v>0</v>
      </c>
      <c r="M16" t="n">
        <v>12</v>
      </c>
      <c r="N16" t="n">
        <v>-0.5</v>
      </c>
      <c r="O16" t="n">
        <v>-0.25</v>
      </c>
      <c r="P16" t="n">
        <v>117</v>
      </c>
      <c r="Q16" t="n">
        <v>12</v>
      </c>
      <c r="R16" t="s">
        <v>278</v>
      </c>
      <c r="S16" t="s">
        <v>279</v>
      </c>
      <c r="T16" t="n">
        <v>-0.5</v>
      </c>
    </row>
    <row r="17">
      <c r="A17" t="s">
        <v>31</v>
      </c>
      <c r="B17" t="n">
        <v>1.07</v>
      </c>
      <c r="C17" t="n">
        <v>1.02</v>
      </c>
      <c r="D17" t="n">
        <v>1.08</v>
      </c>
      <c r="E17" t="n">
        <v>-3</v>
      </c>
      <c r="F17" t="n">
        <v>-2</v>
      </c>
      <c r="G17" t="n">
        <v>173</v>
      </c>
      <c r="H17" t="n">
        <v>12</v>
      </c>
      <c r="I17" t="s">
        <v>275</v>
      </c>
      <c r="J17" t="n">
        <v>0</v>
      </c>
      <c r="K17" t="n">
        <v>0</v>
      </c>
      <c r="L17" t="n">
        <v>0</v>
      </c>
      <c r="M17" t="n">
        <v>12</v>
      </c>
      <c r="N17" t="n">
        <v>-0.5</v>
      </c>
      <c r="O17" t="n">
        <v>-0.25</v>
      </c>
      <c r="P17" t="n">
        <v>157</v>
      </c>
      <c r="Q17" t="n">
        <v>12</v>
      </c>
      <c r="R17" t="s">
        <v>280</v>
      </c>
      <c r="S17" t="s">
        <v>276</v>
      </c>
      <c r="T17" t="n">
        <v>-0.5</v>
      </c>
    </row>
    <row r="18">
      <c r="A18" t="s">
        <v>31</v>
      </c>
      <c r="B18" t="n">
        <v>1.02</v>
      </c>
      <c r="C18" t="n">
        <v>0.91</v>
      </c>
      <c r="D18" t="n">
        <v>1.06</v>
      </c>
      <c r="E18" t="n">
        <v>-6</v>
      </c>
      <c r="F18" t="n">
        <v>-0.25</v>
      </c>
      <c r="G18" t="n">
        <v>18</v>
      </c>
      <c r="H18" t="n">
        <v>12</v>
      </c>
      <c r="I18" t="s">
        <v>276</v>
      </c>
      <c r="J18" t="n">
        <v>0</v>
      </c>
      <c r="K18" t="n">
        <v>0</v>
      </c>
      <c r="L18" t="n">
        <v>0</v>
      </c>
      <c r="M18" t="n">
        <v>12</v>
      </c>
      <c r="N18" t="n">
        <v>-1</v>
      </c>
      <c r="O18" t="n">
        <v>0</v>
      </c>
      <c r="P18" t="n">
        <v>170</v>
      </c>
      <c r="Q18" t="n">
        <v>12</v>
      </c>
      <c r="R18" t="s">
        <v>275</v>
      </c>
      <c r="S18" t="s">
        <v>278</v>
      </c>
      <c r="T18" t="n">
        <v>-1</v>
      </c>
    </row>
    <row r="19">
      <c r="A19" t="s">
        <v>31</v>
      </c>
      <c r="B19" t="n">
        <v>0.94</v>
      </c>
      <c r="C19" t="n">
        <v>0.82</v>
      </c>
      <c r="D19" t="n">
        <v>0.87</v>
      </c>
      <c r="E19" t="n">
        <v>-1.5</v>
      </c>
      <c r="F19" t="n">
        <v>-0.25</v>
      </c>
      <c r="G19" t="n">
        <v>164</v>
      </c>
      <c r="H19" t="n">
        <v>12</v>
      </c>
      <c r="I19" t="s">
        <v>277</v>
      </c>
      <c r="J19" t="n">
        <v>0</v>
      </c>
      <c r="K19" t="n">
        <v>0</v>
      </c>
      <c r="L19" t="n">
        <v>0</v>
      </c>
      <c r="M19" t="n">
        <v>12</v>
      </c>
      <c r="N19" t="n">
        <v>0.5</v>
      </c>
      <c r="O19" t="n">
        <v>-0.25</v>
      </c>
      <c r="P19" t="n">
        <v>159</v>
      </c>
      <c r="Q19" t="n">
        <v>12</v>
      </c>
      <c r="R19" t="s">
        <v>287</v>
      </c>
      <c r="S19" t="s">
        <v>285</v>
      </c>
      <c r="T19" t="n">
        <v>0.25</v>
      </c>
    </row>
    <row r="20">
      <c r="A20" t="s">
        <v>31</v>
      </c>
      <c r="B20" t="n">
        <v>1.02</v>
      </c>
      <c r="C20" t="n">
        <v>0.85</v>
      </c>
      <c r="D20" t="n">
        <v>0.99</v>
      </c>
      <c r="E20" t="n">
        <v>-3</v>
      </c>
      <c r="F20" t="n">
        <v>-0.5</v>
      </c>
      <c r="G20" t="n">
        <v>172</v>
      </c>
      <c r="H20" t="n">
        <v>12</v>
      </c>
      <c r="I20" t="s">
        <v>276</v>
      </c>
      <c r="J20" t="n">
        <v>0</v>
      </c>
      <c r="K20" t="n">
        <v>0</v>
      </c>
      <c r="L20" t="n">
        <v>0</v>
      </c>
      <c r="M20" t="n">
        <v>12</v>
      </c>
      <c r="N20" t="n">
        <v>0.5</v>
      </c>
      <c r="O20" t="n">
        <v>-0.25</v>
      </c>
      <c r="P20" t="n">
        <v>142</v>
      </c>
      <c r="Q20" t="n">
        <v>12</v>
      </c>
      <c r="R20" t="s">
        <v>276</v>
      </c>
      <c r="S20" t="s">
        <v>285</v>
      </c>
      <c r="T20" t="n">
        <v>0.5</v>
      </c>
    </row>
    <row r="21">
      <c r="A21" t="s">
        <v>31</v>
      </c>
      <c r="B21" t="n">
        <v>1</v>
      </c>
      <c r="C21" t="n">
        <v>0.94</v>
      </c>
      <c r="D21" t="n">
        <v>1.04</v>
      </c>
      <c r="E21" t="n">
        <v>-1.75</v>
      </c>
      <c r="F21" t="n">
        <v>-1.25</v>
      </c>
      <c r="G21" t="n">
        <v>179</v>
      </c>
      <c r="H21" t="n">
        <v>12</v>
      </c>
      <c r="I21" t="s">
        <v>276</v>
      </c>
      <c r="J21" t="n">
        <v>0</v>
      </c>
      <c r="K21" t="n">
        <v>0</v>
      </c>
      <c r="L21" t="n">
        <v>0</v>
      </c>
      <c r="M21" t="n">
        <v>12</v>
      </c>
      <c r="N21" t="n">
        <v>0.25</v>
      </c>
      <c r="O21" t="n">
        <v>0</v>
      </c>
      <c r="P21" t="n">
        <v>155</v>
      </c>
      <c r="Q21" t="n">
        <v>12</v>
      </c>
      <c r="R21" t="s">
        <v>275</v>
      </c>
      <c r="S21" t="s">
        <v>277</v>
      </c>
      <c r="T21" t="n">
        <v>0.25</v>
      </c>
    </row>
    <row r="22">
      <c r="A22" t="s">
        <v>31</v>
      </c>
      <c r="B22" t="n">
        <v>0.93</v>
      </c>
      <c r="C22" t="n">
        <v>0.91</v>
      </c>
      <c r="D22" t="n">
        <v>0.92</v>
      </c>
      <c r="E22" t="n">
        <v>-3.25</v>
      </c>
      <c r="F22" t="n">
        <v>-0.25</v>
      </c>
      <c r="G22" t="n">
        <v>11</v>
      </c>
      <c r="H22" t="n">
        <v>12</v>
      </c>
      <c r="I22" t="s">
        <v>278</v>
      </c>
      <c r="J22" t="n">
        <v>0</v>
      </c>
      <c r="K22" t="n">
        <v>0</v>
      </c>
      <c r="L22" t="n">
        <v>0</v>
      </c>
      <c r="M22" t="n">
        <v>12</v>
      </c>
      <c r="N22" t="n">
        <v>0.5</v>
      </c>
      <c r="O22" t="n">
        <v>-0.25</v>
      </c>
      <c r="P22" t="n">
        <v>169</v>
      </c>
      <c r="Q22" t="n">
        <v>12</v>
      </c>
      <c r="R22" t="s">
        <v>278</v>
      </c>
      <c r="S22" t="s">
        <v>278</v>
      </c>
      <c r="T22" t="n">
        <v>0.25</v>
      </c>
    </row>
    <row r="23">
      <c r="A23" t="s">
        <v>31</v>
      </c>
      <c r="B23" t="n">
        <v>0.96</v>
      </c>
      <c r="C23" t="n">
        <v>0.98</v>
      </c>
      <c r="D23" t="n">
        <v>1</v>
      </c>
      <c r="E23" t="n">
        <v>-5.25</v>
      </c>
      <c r="F23" t="n">
        <v>-0.5</v>
      </c>
      <c r="G23" t="n">
        <v>167</v>
      </c>
      <c r="H23" t="n">
        <v>12</v>
      </c>
      <c r="I23" t="s">
        <v>277</v>
      </c>
      <c r="J23" t="n">
        <v>0</v>
      </c>
      <c r="K23" t="n">
        <v>0</v>
      </c>
      <c r="L23" t="n">
        <v>0</v>
      </c>
      <c r="M23" t="n">
        <v>12</v>
      </c>
      <c r="N23" t="n">
        <v>0</v>
      </c>
      <c r="O23" t="n">
        <v>-0.75</v>
      </c>
      <c r="P23" t="n">
        <v>3</v>
      </c>
      <c r="Q23" t="n">
        <v>12</v>
      </c>
      <c r="R23" t="s">
        <v>276</v>
      </c>
      <c r="S23" t="s">
        <v>276</v>
      </c>
      <c r="T23" t="n">
        <v>-0.25</v>
      </c>
    </row>
    <row r="24">
      <c r="A24" t="s">
        <v>31</v>
      </c>
      <c r="B24" t="n">
        <v>1.05</v>
      </c>
      <c r="C24" t="n">
        <v>0.89</v>
      </c>
      <c r="D24" t="n">
        <v>1.04</v>
      </c>
      <c r="E24" t="n">
        <v>-3.75</v>
      </c>
      <c r="F24" t="n">
        <v>-0.75</v>
      </c>
      <c r="G24" t="n">
        <v>94</v>
      </c>
      <c r="H24" t="n">
        <v>12</v>
      </c>
      <c r="I24" t="s">
        <v>275</v>
      </c>
      <c r="J24" t="n">
        <v>0</v>
      </c>
      <c r="K24" t="n">
        <v>0</v>
      </c>
      <c r="L24" t="n">
        <v>0</v>
      </c>
      <c r="M24" t="n">
        <v>12</v>
      </c>
      <c r="N24" t="n">
        <v>-0.5</v>
      </c>
      <c r="O24" t="n">
        <v>-0.25</v>
      </c>
      <c r="P24" t="n">
        <v>63</v>
      </c>
      <c r="Q24" t="n">
        <v>12</v>
      </c>
      <c r="R24" t="s">
        <v>275</v>
      </c>
      <c r="S24" t="s">
        <v>287</v>
      </c>
      <c r="T24" t="n">
        <v>-0.75</v>
      </c>
    </row>
    <row r="25">
      <c r="A25" t="s">
        <v>31</v>
      </c>
      <c r="B25" t="n">
        <v>1.09</v>
      </c>
      <c r="C25" t="n">
        <v>1</v>
      </c>
      <c r="D25" t="n">
        <v>1.11</v>
      </c>
      <c r="E25" t="n">
        <v>-4.75</v>
      </c>
      <c r="F25" t="n">
        <v>-1.5</v>
      </c>
      <c r="G25" t="n">
        <v>174</v>
      </c>
      <c r="H25" t="n">
        <v>12</v>
      </c>
      <c r="I25" t="s">
        <v>280</v>
      </c>
      <c r="J25" t="n">
        <v>0</v>
      </c>
      <c r="K25" t="n">
        <v>0</v>
      </c>
      <c r="L25" t="n">
        <v>0</v>
      </c>
      <c r="M25" t="n">
        <v>12</v>
      </c>
      <c r="N25" t="n">
        <v>0</v>
      </c>
      <c r="O25" t="n">
        <v>-0.25</v>
      </c>
      <c r="P25" t="n">
        <v>1</v>
      </c>
      <c r="Q25" t="n">
        <v>12</v>
      </c>
      <c r="R25" t="s">
        <v>280</v>
      </c>
      <c r="S25" t="s">
        <v>276</v>
      </c>
      <c r="T25" t="n">
        <v>0</v>
      </c>
    </row>
    <row r="26">
      <c r="A26" t="s">
        <v>31</v>
      </c>
      <c r="B26" t="n">
        <v>1.01</v>
      </c>
      <c r="C26" t="n">
        <v>0.92</v>
      </c>
      <c r="D26" t="n">
        <v>1</v>
      </c>
      <c r="E26" t="n">
        <v>-4.25</v>
      </c>
      <c r="F26" t="n">
        <v>-0.5</v>
      </c>
      <c r="G26" t="n">
        <v>9</v>
      </c>
      <c r="H26" t="n">
        <v>12</v>
      </c>
      <c r="I26" t="s">
        <v>276</v>
      </c>
      <c r="J26" t="n">
        <v>0</v>
      </c>
      <c r="K26" t="n">
        <v>0</v>
      </c>
      <c r="L26" t="n">
        <v>0</v>
      </c>
      <c r="M26" t="n">
        <v>12</v>
      </c>
      <c r="N26" t="n">
        <v>1</v>
      </c>
      <c r="O26" t="n">
        <v>-0.25</v>
      </c>
      <c r="P26" t="n">
        <v>175</v>
      </c>
      <c r="Q26" t="n">
        <v>12</v>
      </c>
      <c r="R26" t="s">
        <v>276</v>
      </c>
      <c r="S26" t="s">
        <v>278</v>
      </c>
      <c r="T26" t="n">
        <v>0.75</v>
      </c>
    </row>
    <row r="27">
      <c r="A27" t="s">
        <v>31</v>
      </c>
      <c r="B27" t="n">
        <v>1.07</v>
      </c>
      <c r="C27" t="n">
        <v>1.09</v>
      </c>
      <c r="D27" t="n">
        <v>1.14</v>
      </c>
      <c r="E27" t="n">
        <v>-8</v>
      </c>
      <c r="F27" t="n">
        <v>-0.5</v>
      </c>
      <c r="G27" t="n">
        <v>89</v>
      </c>
      <c r="H27" t="n">
        <v>12</v>
      </c>
      <c r="I27" t="s">
        <v>275</v>
      </c>
      <c r="J27" t="n">
        <v>0</v>
      </c>
      <c r="K27" t="n">
        <v>0</v>
      </c>
      <c r="L27" t="n">
        <v>0</v>
      </c>
      <c r="M27" t="n">
        <v>12</v>
      </c>
      <c r="N27" t="n">
        <v>0</v>
      </c>
      <c r="O27" t="n">
        <v>-0.5</v>
      </c>
      <c r="P27" t="n">
        <v>109</v>
      </c>
      <c r="Q27" t="n">
        <v>12</v>
      </c>
      <c r="R27" t="s">
        <v>284</v>
      </c>
      <c r="S27" t="s">
        <v>280</v>
      </c>
      <c r="T27" t="n">
        <v>-0.25</v>
      </c>
    </row>
    <row r="28">
      <c r="A28" t="s">
        <v>31</v>
      </c>
      <c r="B28" t="n">
        <v>0.96</v>
      </c>
      <c r="C28" t="n">
        <v>0.9</v>
      </c>
      <c r="D28" t="n">
        <v>0.97</v>
      </c>
      <c r="E28" t="n">
        <v>-6</v>
      </c>
      <c r="F28" t="n">
        <v>-1.5</v>
      </c>
      <c r="G28" t="n">
        <v>100</v>
      </c>
      <c r="H28" t="n">
        <v>12</v>
      </c>
      <c r="I28" t="s">
        <v>277</v>
      </c>
      <c r="J28" t="n">
        <v>0</v>
      </c>
      <c r="K28" t="n">
        <v>0</v>
      </c>
      <c r="L28" t="n">
        <v>0</v>
      </c>
      <c r="M28" t="n">
        <v>12</v>
      </c>
      <c r="N28" t="n">
        <v>0</v>
      </c>
      <c r="O28" t="n">
        <v>-0.5</v>
      </c>
      <c r="P28" t="n">
        <v>95</v>
      </c>
      <c r="Q28" t="n">
        <v>12</v>
      </c>
      <c r="R28" t="s">
        <v>277</v>
      </c>
      <c r="S28" t="s">
        <v>278</v>
      </c>
      <c r="T28" t="n">
        <v>-0.25</v>
      </c>
    </row>
    <row r="29">
      <c r="A29" t="s">
        <v>31</v>
      </c>
      <c r="B29" t="n">
        <v>0.91</v>
      </c>
      <c r="C29" t="n">
        <v>0.68</v>
      </c>
      <c r="D29" t="n">
        <v>0.91</v>
      </c>
      <c r="E29" t="n">
        <v>-1.25</v>
      </c>
      <c r="F29" t="n">
        <v>-0.25</v>
      </c>
      <c r="G29" t="n">
        <v>100</v>
      </c>
      <c r="H29" t="n">
        <v>12</v>
      </c>
      <c r="I29" t="s">
        <v>278</v>
      </c>
      <c r="J29" t="n">
        <v>0</v>
      </c>
      <c r="K29" t="n">
        <v>0</v>
      </c>
      <c r="L29" t="n">
        <v>0</v>
      </c>
      <c r="M29" t="n">
        <v>12</v>
      </c>
      <c r="N29" t="n">
        <v>-0.5</v>
      </c>
      <c r="O29" t="n">
        <v>-0.5</v>
      </c>
      <c r="P29" t="n">
        <v>74</v>
      </c>
      <c r="Q29" t="n">
        <v>12</v>
      </c>
      <c r="R29" t="s">
        <v>278</v>
      </c>
      <c r="S29" t="s">
        <v>286</v>
      </c>
      <c r="T29" t="n">
        <v>-0.75</v>
      </c>
    </row>
    <row r="30">
      <c r="A30" t="s">
        <v>31</v>
      </c>
      <c r="B30" t="n">
        <v>1.12</v>
      </c>
      <c r="C30" t="n">
        <v>0.91</v>
      </c>
      <c r="D30" t="n">
        <v>1.08</v>
      </c>
      <c r="E30" t="n">
        <v>-6</v>
      </c>
      <c r="F30" t="n">
        <v>-0.5</v>
      </c>
      <c r="G30" t="n">
        <v>4</v>
      </c>
      <c r="H30" t="n">
        <v>12</v>
      </c>
      <c r="I30" t="s">
        <v>280</v>
      </c>
      <c r="J30" t="n">
        <v>0</v>
      </c>
      <c r="K30" t="n">
        <v>0</v>
      </c>
      <c r="L30" t="n">
        <v>0</v>
      </c>
      <c r="M30" t="n">
        <v>12</v>
      </c>
      <c r="N30" t="n">
        <v>0</v>
      </c>
      <c r="O30" t="n">
        <v>-0.25</v>
      </c>
      <c r="P30" t="n">
        <v>179</v>
      </c>
      <c r="Q30" t="n">
        <v>12</v>
      </c>
      <c r="R30" t="s">
        <v>280</v>
      </c>
      <c r="S30" t="s">
        <v>278</v>
      </c>
      <c r="T30" t="n">
        <v>-0.25</v>
      </c>
    </row>
    <row r="31">
      <c r="A31" t="s">
        <v>31</v>
      </c>
      <c r="B31" t="n">
        <v>1.09</v>
      </c>
      <c r="C31" t="n">
        <v>0.91</v>
      </c>
      <c r="D31" t="n">
        <v>1.13</v>
      </c>
      <c r="E31" t="n">
        <v>-4.25</v>
      </c>
      <c r="F31" t="n">
        <v>-0.75</v>
      </c>
      <c r="G31" t="n">
        <v>159</v>
      </c>
      <c r="H31" t="n">
        <v>12</v>
      </c>
      <c r="I31" t="s">
        <v>280</v>
      </c>
      <c r="J31" t="n">
        <v>0</v>
      </c>
      <c r="K31" t="n">
        <v>0</v>
      </c>
      <c r="L31" t="n">
        <v>0</v>
      </c>
      <c r="M31" t="n">
        <v>12</v>
      </c>
      <c r="N31" t="n">
        <v>-0.5</v>
      </c>
      <c r="O31" t="n">
        <v>-0.25</v>
      </c>
      <c r="P31" t="n">
        <v>175</v>
      </c>
      <c r="Q31" t="n">
        <v>12</v>
      </c>
      <c r="R31" t="s">
        <v>284</v>
      </c>
      <c r="S31" t="s">
        <v>278</v>
      </c>
      <c r="T31" t="n">
        <v>-0.75</v>
      </c>
    </row>
    <row r="32">
      <c r="A32" t="s">
        <v>31</v>
      </c>
      <c r="B32" t="n">
        <v>0.94</v>
      </c>
      <c r="C32" t="n">
        <v>0.87</v>
      </c>
      <c r="D32" t="n">
        <v>0.93</v>
      </c>
      <c r="E32" t="n">
        <v>-4.75</v>
      </c>
      <c r="F32" t="n">
        <v>-1</v>
      </c>
      <c r="G32" t="n">
        <v>180</v>
      </c>
      <c r="H32" t="n">
        <v>12</v>
      </c>
      <c r="I32" t="s">
        <v>277</v>
      </c>
      <c r="J32" t="n">
        <v>0</v>
      </c>
      <c r="K32" t="n">
        <v>0</v>
      </c>
      <c r="L32" t="n">
        <v>0</v>
      </c>
      <c r="M32" t="n">
        <v>12</v>
      </c>
      <c r="N32" t="n">
        <v>0</v>
      </c>
      <c r="O32" t="n">
        <v>-0.25</v>
      </c>
      <c r="P32" t="n">
        <v>13</v>
      </c>
      <c r="Q32" t="n">
        <v>12</v>
      </c>
      <c r="R32" t="s">
        <v>278</v>
      </c>
      <c r="S32" t="s">
        <v>287</v>
      </c>
      <c r="T32" t="n">
        <v>0</v>
      </c>
    </row>
    <row r="33">
      <c r="A33" t="s">
        <v>31</v>
      </c>
      <c r="B33" t="n">
        <v>0.94</v>
      </c>
      <c r="C33" t="n">
        <v>0.8</v>
      </c>
      <c r="D33" t="n">
        <v>0.97</v>
      </c>
      <c r="E33" t="n">
        <v>-6</v>
      </c>
      <c r="F33" t="n">
        <v>-1.25</v>
      </c>
      <c r="G33" t="n">
        <v>179</v>
      </c>
      <c r="H33" t="n">
        <v>12</v>
      </c>
      <c r="I33" t="s">
        <v>277</v>
      </c>
      <c r="J33" t="n">
        <v>0</v>
      </c>
      <c r="K33" t="n">
        <v>0</v>
      </c>
      <c r="L33" t="n">
        <v>0</v>
      </c>
      <c r="M33" t="n">
        <v>12</v>
      </c>
      <c r="N33" t="n">
        <v>-0.5</v>
      </c>
      <c r="O33" t="n">
        <v>0</v>
      </c>
      <c r="P33" t="n">
        <v>12</v>
      </c>
      <c r="Q33" t="n">
        <v>12</v>
      </c>
      <c r="R33" t="s">
        <v>277</v>
      </c>
      <c r="S33" t="s">
        <v>279</v>
      </c>
      <c r="T33" t="n">
        <v>-0.5</v>
      </c>
    </row>
    <row r="34">
      <c r="A34" t="s">
        <v>31</v>
      </c>
      <c r="B34" t="n">
        <v>1.03</v>
      </c>
      <c r="C34" t="n">
        <v>0.88</v>
      </c>
      <c r="D34" t="n">
        <v>1.04</v>
      </c>
      <c r="E34" t="n">
        <v>-4.75</v>
      </c>
      <c r="F34" t="n">
        <v>-0.75</v>
      </c>
      <c r="G34" t="n">
        <v>6</v>
      </c>
      <c r="H34" t="n">
        <v>12</v>
      </c>
      <c r="I34" t="s">
        <v>275</v>
      </c>
      <c r="J34" t="n">
        <v>0</v>
      </c>
      <c r="K34" t="n">
        <v>0</v>
      </c>
      <c r="L34" t="n">
        <v>0</v>
      </c>
      <c r="M34" t="n">
        <v>12</v>
      </c>
      <c r="N34" t="n">
        <v>0.75</v>
      </c>
      <c r="O34" t="n">
        <v>0</v>
      </c>
      <c r="P34" t="n">
        <v>23</v>
      </c>
      <c r="Q34" t="n">
        <v>12</v>
      </c>
      <c r="R34" t="s">
        <v>275</v>
      </c>
      <c r="S34" t="s">
        <v>287</v>
      </c>
      <c r="T34" t="n">
        <v>0.75</v>
      </c>
    </row>
    <row r="35">
      <c r="A35" t="s">
        <v>31</v>
      </c>
      <c r="B35" t="n">
        <v>1.09</v>
      </c>
      <c r="C35" t="n">
        <v>1.04</v>
      </c>
      <c r="D35" t="n">
        <v>1.16</v>
      </c>
      <c r="E35" t="n">
        <v>-5</v>
      </c>
      <c r="F35" t="n">
        <v>0</v>
      </c>
      <c r="G35" t="n">
        <v>19</v>
      </c>
      <c r="H35" t="n">
        <v>12</v>
      </c>
      <c r="I35" t="s">
        <v>280</v>
      </c>
      <c r="J35" t="n">
        <v>0</v>
      </c>
      <c r="K35" t="n">
        <v>0</v>
      </c>
      <c r="L35" t="n">
        <v>0</v>
      </c>
      <c r="M35" t="n">
        <v>12</v>
      </c>
      <c r="N35" t="n">
        <v>0</v>
      </c>
      <c r="O35" t="n">
        <v>0</v>
      </c>
      <c r="P35" t="n">
        <v>52</v>
      </c>
      <c r="Q35" t="n">
        <v>12</v>
      </c>
      <c r="R35" t="s">
        <v>284</v>
      </c>
      <c r="S35" t="s">
        <v>275</v>
      </c>
      <c r="T35" t="n">
        <v>0</v>
      </c>
    </row>
    <row r="36">
      <c r="A36" t="s">
        <v>31</v>
      </c>
      <c r="B36" t="n">
        <v>1.11</v>
      </c>
      <c r="C36" t="n">
        <v>0.99</v>
      </c>
      <c r="D36" t="n">
        <v>1.13</v>
      </c>
      <c r="E36" t="n">
        <v>-7</v>
      </c>
      <c r="F36" t="n">
        <v>-0.5</v>
      </c>
      <c r="G36" t="n">
        <v>17</v>
      </c>
      <c r="H36" t="n">
        <v>12</v>
      </c>
      <c r="I36" t="s">
        <v>280</v>
      </c>
      <c r="J36" t="n">
        <v>0</v>
      </c>
      <c r="K36" t="n">
        <v>0</v>
      </c>
      <c r="L36" t="n">
        <v>0</v>
      </c>
      <c r="M36" t="n">
        <v>12</v>
      </c>
      <c r="N36" t="n">
        <v>-0.75</v>
      </c>
      <c r="O36" t="n">
        <v>0</v>
      </c>
      <c r="P36" t="n">
        <v>171</v>
      </c>
      <c r="Q36" t="n">
        <v>12</v>
      </c>
      <c r="R36" t="s">
        <v>284</v>
      </c>
      <c r="S36" t="s">
        <v>276</v>
      </c>
      <c r="T36" t="n">
        <v>-0.75</v>
      </c>
    </row>
    <row r="37">
      <c r="A37" t="s">
        <v>31</v>
      </c>
      <c r="B37" t="n">
        <v>1.08</v>
      </c>
      <c r="C37" t="n">
        <v>0.88</v>
      </c>
      <c r="D37" t="n">
        <v>1.1</v>
      </c>
      <c r="E37" t="n">
        <v>-2.75</v>
      </c>
      <c r="F37" t="n">
        <v>-0.25</v>
      </c>
      <c r="G37" t="n">
        <v>157</v>
      </c>
      <c r="H37" t="n">
        <v>12</v>
      </c>
      <c r="I37" t="s">
        <v>280</v>
      </c>
      <c r="J37" t="n">
        <v>0</v>
      </c>
      <c r="K37" t="n">
        <v>0</v>
      </c>
      <c r="L37" t="n">
        <v>0</v>
      </c>
      <c r="M37" t="n">
        <v>12</v>
      </c>
      <c r="N37" t="n">
        <v>0.5</v>
      </c>
      <c r="O37" t="n">
        <v>-0.25</v>
      </c>
      <c r="P37" t="n">
        <v>128</v>
      </c>
      <c r="Q37" t="n">
        <v>12</v>
      </c>
      <c r="R37" t="s">
        <v>280</v>
      </c>
      <c r="S37" t="s">
        <v>287</v>
      </c>
      <c r="T37" t="n">
        <v>0.5</v>
      </c>
    </row>
    <row r="38">
      <c r="A38" t="s">
        <v>31</v>
      </c>
      <c r="B38" t="n">
        <v>1.05</v>
      </c>
      <c r="C38" t="n">
        <v>1.01</v>
      </c>
      <c r="D38" t="n">
        <v>1.07</v>
      </c>
      <c r="E38" t="n">
        <v>-5</v>
      </c>
      <c r="F38" t="n">
        <v>-1.5</v>
      </c>
      <c r="G38" t="n">
        <v>0</v>
      </c>
      <c r="H38" t="n">
        <v>12</v>
      </c>
      <c r="I38" t="s">
        <v>275</v>
      </c>
      <c r="J38" t="n">
        <v>0</v>
      </c>
      <c r="K38" t="n">
        <v>0</v>
      </c>
      <c r="L38" t="n">
        <v>0</v>
      </c>
      <c r="M38" t="n">
        <v>12</v>
      </c>
      <c r="N38" t="n">
        <v>0</v>
      </c>
      <c r="O38" t="n">
        <v>0</v>
      </c>
      <c r="P38" t="n">
        <v>5</v>
      </c>
      <c r="Q38" t="n">
        <v>12</v>
      </c>
      <c r="R38" t="s">
        <v>275</v>
      </c>
      <c r="S38" t="s">
        <v>276</v>
      </c>
      <c r="T38" t="n">
        <v>0</v>
      </c>
    </row>
    <row r="39">
      <c r="A39" t="s">
        <v>31</v>
      </c>
      <c r="B39" t="n">
        <v>1.07</v>
      </c>
      <c r="C39" t="n">
        <v>0.91</v>
      </c>
      <c r="D39" t="n">
        <v>1.02</v>
      </c>
      <c r="E39" t="n">
        <v>-2</v>
      </c>
      <c r="F39" t="n">
        <v>0</v>
      </c>
      <c r="G39" t="n">
        <v>100</v>
      </c>
      <c r="H39" t="n">
        <v>12</v>
      </c>
      <c r="I39" t="s">
        <v>275</v>
      </c>
      <c r="J39" t="n">
        <v>0</v>
      </c>
      <c r="K39" t="n">
        <v>0</v>
      </c>
      <c r="L39" t="n">
        <v>0</v>
      </c>
      <c r="M39" t="n">
        <v>12</v>
      </c>
      <c r="N39" t="n">
        <v>-0.5</v>
      </c>
      <c r="O39" t="n">
        <v>-0.5</v>
      </c>
      <c r="P39" t="n">
        <v>87</v>
      </c>
      <c r="Q39" t="n">
        <v>12</v>
      </c>
      <c r="R39" t="s">
        <v>276</v>
      </c>
      <c r="S39" t="s">
        <v>278</v>
      </c>
      <c r="T39" t="n">
        <v>-0.75</v>
      </c>
    </row>
    <row r="40">
      <c r="A40" t="s">
        <v>31</v>
      </c>
      <c r="B40" t="n">
        <v>0.94</v>
      </c>
      <c r="C40" t="n">
        <v>0.91</v>
      </c>
      <c r="D40" t="n">
        <v>0.94</v>
      </c>
      <c r="E40" t="n">
        <v>-6.25</v>
      </c>
      <c r="F40" t="n">
        <v>-0.75</v>
      </c>
      <c r="G40" t="n">
        <v>13</v>
      </c>
      <c r="H40" t="n">
        <v>12</v>
      </c>
      <c r="I40" t="s">
        <v>277</v>
      </c>
      <c r="J40" t="n">
        <v>0</v>
      </c>
      <c r="K40" t="n">
        <v>0</v>
      </c>
      <c r="L40" t="n">
        <v>0</v>
      </c>
      <c r="M40" t="n">
        <v>12</v>
      </c>
      <c r="N40" t="n">
        <v>0</v>
      </c>
      <c r="O40" t="n">
        <v>0</v>
      </c>
      <c r="P40" t="n">
        <v>9</v>
      </c>
      <c r="Q40" t="n">
        <v>12</v>
      </c>
      <c r="R40" t="s">
        <v>277</v>
      </c>
      <c r="S40" t="s">
        <v>278</v>
      </c>
      <c r="T40" t="n">
        <v>0</v>
      </c>
    </row>
    <row r="41">
      <c r="A41" t="s">
        <v>31</v>
      </c>
      <c r="B41" t="n">
        <v>1.01</v>
      </c>
      <c r="C41" t="n">
        <v>0.99</v>
      </c>
      <c r="D41" t="n">
        <v>1.05</v>
      </c>
      <c r="E41" t="n">
        <v>-4.75</v>
      </c>
      <c r="F41" t="n">
        <v>0</v>
      </c>
      <c r="G41" t="n">
        <v>158</v>
      </c>
      <c r="H41" t="n">
        <v>12</v>
      </c>
      <c r="I41" t="s">
        <v>276</v>
      </c>
      <c r="J41" t="n">
        <v>0</v>
      </c>
      <c r="K41" t="n">
        <v>0</v>
      </c>
      <c r="L41" t="n">
        <v>0</v>
      </c>
      <c r="M41" t="n">
        <v>12</v>
      </c>
      <c r="N41" t="n">
        <v>0</v>
      </c>
      <c r="O41" t="n">
        <v>-0.25</v>
      </c>
      <c r="P41" t="n">
        <v>5</v>
      </c>
      <c r="Q41" t="n">
        <v>12</v>
      </c>
      <c r="R41" t="s">
        <v>275</v>
      </c>
      <c r="S41" t="s">
        <v>276</v>
      </c>
      <c r="T41" t="n">
        <v>-0.25</v>
      </c>
    </row>
    <row r="42">
      <c r="A42" t="s">
        <v>31</v>
      </c>
      <c r="B42" t="n">
        <v>1.09</v>
      </c>
      <c r="C42" t="n">
        <v>0.85</v>
      </c>
      <c r="D42" t="n">
        <v>1.06</v>
      </c>
      <c r="E42" t="n">
        <v>-4.25</v>
      </c>
      <c r="F42" t="n">
        <v>-1.75</v>
      </c>
      <c r="G42" t="n">
        <v>104</v>
      </c>
      <c r="H42" t="n">
        <v>12</v>
      </c>
      <c r="I42" t="s">
        <v>280</v>
      </c>
      <c r="J42" t="n">
        <v>0</v>
      </c>
      <c r="K42" t="n">
        <v>0</v>
      </c>
      <c r="L42" t="n">
        <v>0</v>
      </c>
      <c r="M42" t="n">
        <v>12</v>
      </c>
      <c r="N42" t="n">
        <v>-0.5</v>
      </c>
      <c r="O42" t="n">
        <v>-0.25</v>
      </c>
      <c r="P42" t="n">
        <v>99</v>
      </c>
      <c r="Q42" t="n">
        <v>12</v>
      </c>
      <c r="R42" t="s">
        <v>275</v>
      </c>
      <c r="S42" t="s">
        <v>285</v>
      </c>
      <c r="T42" t="n">
        <v>-0.75</v>
      </c>
    </row>
    <row r="43">
      <c r="A43" t="s">
        <v>31</v>
      </c>
      <c r="B43" t="n">
        <v>1.01</v>
      </c>
      <c r="C43" t="n">
        <v>0.84</v>
      </c>
      <c r="D43" t="n">
        <v>0.98</v>
      </c>
      <c r="E43" t="n">
        <v>-5.25</v>
      </c>
      <c r="F43" t="n">
        <v>-0.5</v>
      </c>
      <c r="G43" t="n">
        <v>38</v>
      </c>
      <c r="H43" t="n">
        <v>12</v>
      </c>
      <c r="I43" t="s">
        <v>276</v>
      </c>
      <c r="J43" t="n">
        <v>0</v>
      </c>
      <c r="K43" t="n">
        <v>0</v>
      </c>
      <c r="L43" t="n">
        <v>0</v>
      </c>
      <c r="M43" t="n">
        <v>12</v>
      </c>
      <c r="N43" t="n">
        <v>0</v>
      </c>
      <c r="O43" t="n">
        <v>-0.5</v>
      </c>
      <c r="P43" t="n">
        <v>3</v>
      </c>
      <c r="Q43" t="n">
        <v>12</v>
      </c>
      <c r="R43" t="s">
        <v>276</v>
      </c>
      <c r="S43" t="s">
        <v>285</v>
      </c>
      <c r="T43" t="n">
        <v>-0.25</v>
      </c>
    </row>
    <row r="44">
      <c r="A44" t="s">
        <v>31</v>
      </c>
      <c r="B44" t="n">
        <v>0.97</v>
      </c>
      <c r="C44" t="n">
        <v>0.78</v>
      </c>
      <c r="D44" t="n">
        <v>0.93</v>
      </c>
      <c r="E44" t="n">
        <v>-5.5</v>
      </c>
      <c r="F44" t="n">
        <v>-0.5</v>
      </c>
      <c r="G44" t="n">
        <v>179</v>
      </c>
      <c r="H44" t="n">
        <v>12</v>
      </c>
      <c r="I44" t="s">
        <v>277</v>
      </c>
      <c r="J44" t="n">
        <v>0</v>
      </c>
      <c r="K44" t="n">
        <v>0</v>
      </c>
      <c r="L44" t="n">
        <v>0</v>
      </c>
      <c r="M44" t="n">
        <v>12</v>
      </c>
      <c r="N44" t="n">
        <v>-0.5</v>
      </c>
      <c r="O44" t="n">
        <v>-0.75</v>
      </c>
      <c r="P44" t="n">
        <v>0</v>
      </c>
      <c r="Q44" t="n">
        <v>12</v>
      </c>
      <c r="R44" t="s">
        <v>278</v>
      </c>
      <c r="S44" t="s">
        <v>279</v>
      </c>
      <c r="T44" t="n">
        <v>-1</v>
      </c>
    </row>
    <row r="45">
      <c r="A45" t="s">
        <v>31</v>
      </c>
      <c r="B45" t="n">
        <v>1.01</v>
      </c>
      <c r="C45" t="n">
        <v>1.12</v>
      </c>
      <c r="D45" t="n">
        <v>1.07</v>
      </c>
      <c r="E45" t="n">
        <v>-5.5</v>
      </c>
      <c r="F45" t="n">
        <v>-0.75</v>
      </c>
      <c r="G45" t="n">
        <v>21</v>
      </c>
      <c r="H45" t="n">
        <v>12</v>
      </c>
      <c r="I45" t="s">
        <v>276</v>
      </c>
      <c r="J45" t="n">
        <v>0</v>
      </c>
      <c r="K45" t="n">
        <v>0</v>
      </c>
      <c r="L45" t="n">
        <v>0</v>
      </c>
      <c r="M45" t="n">
        <v>12</v>
      </c>
      <c r="N45" t="n">
        <v>0.5</v>
      </c>
      <c r="O45" t="n">
        <v>-0.5</v>
      </c>
      <c r="P45" t="n">
        <v>28</v>
      </c>
      <c r="Q45" t="n">
        <v>12</v>
      </c>
      <c r="R45" t="s">
        <v>275</v>
      </c>
      <c r="S45" t="s">
        <v>280</v>
      </c>
      <c r="T45" t="n">
        <v>0.25</v>
      </c>
    </row>
    <row r="46">
      <c r="A46" t="s">
        <v>31</v>
      </c>
      <c r="B46" t="n">
        <v>1</v>
      </c>
      <c r="C46" t="n">
        <v>0.94</v>
      </c>
      <c r="D46" t="n">
        <v>0.96</v>
      </c>
      <c r="E46" t="n">
        <v>-2.75</v>
      </c>
      <c r="F46" t="n">
        <v>-1</v>
      </c>
      <c r="G46" t="n">
        <v>77</v>
      </c>
      <c r="H46" t="n">
        <v>12</v>
      </c>
      <c r="I46" t="s">
        <v>276</v>
      </c>
      <c r="J46" t="n">
        <v>0</v>
      </c>
      <c r="K46" t="n">
        <v>0</v>
      </c>
      <c r="L46" t="n">
        <v>0</v>
      </c>
      <c r="M46" t="n">
        <v>12</v>
      </c>
      <c r="N46" t="n">
        <v>0</v>
      </c>
      <c r="O46" t="n">
        <v>0</v>
      </c>
      <c r="P46" t="n">
        <v>72</v>
      </c>
      <c r="Q46" t="n">
        <v>12</v>
      </c>
      <c r="R46" t="s">
        <v>277</v>
      </c>
      <c r="S46" t="s">
        <v>277</v>
      </c>
      <c r="T46" t="n">
        <v>0</v>
      </c>
    </row>
    <row r="47">
      <c r="A47" t="s">
        <v>31</v>
      </c>
      <c r="B47" t="n">
        <v>1.02</v>
      </c>
      <c r="C47" t="n">
        <v>0.99</v>
      </c>
      <c r="D47" t="n">
        <v>1.01</v>
      </c>
      <c r="E47" t="n">
        <v>-3.25</v>
      </c>
      <c r="F47" t="n">
        <v>-0.25</v>
      </c>
      <c r="G47" t="n">
        <v>85</v>
      </c>
      <c r="H47" t="n">
        <v>12</v>
      </c>
      <c r="I47" t="s">
        <v>276</v>
      </c>
      <c r="J47" t="n">
        <v>0</v>
      </c>
      <c r="K47" t="n">
        <v>0</v>
      </c>
      <c r="L47" t="n">
        <v>0</v>
      </c>
      <c r="M47" t="n">
        <v>12</v>
      </c>
      <c r="N47" t="n">
        <v>0</v>
      </c>
      <c r="O47" t="n">
        <v>-0.25</v>
      </c>
      <c r="P47" t="n">
        <v>78</v>
      </c>
      <c r="Q47" t="n">
        <v>12</v>
      </c>
      <c r="R47" t="s">
        <v>276</v>
      </c>
      <c r="S47" t="s">
        <v>276</v>
      </c>
      <c r="T47" t="n">
        <v>0</v>
      </c>
    </row>
    <row r="48">
      <c r="A48" t="s">
        <v>31</v>
      </c>
      <c r="B48" t="n">
        <v>1.15</v>
      </c>
      <c r="C48" t="n">
        <v>0.83</v>
      </c>
      <c r="D48" t="n">
        <v>1.08</v>
      </c>
      <c r="E48" t="n">
        <v>-4.5</v>
      </c>
      <c r="F48" t="n">
        <v>-2.5</v>
      </c>
      <c r="G48" t="n">
        <v>104</v>
      </c>
      <c r="H48" t="n">
        <v>12</v>
      </c>
      <c r="I48" t="s">
        <v>284</v>
      </c>
      <c r="J48" t="n">
        <v>0</v>
      </c>
      <c r="K48" t="n">
        <v>0</v>
      </c>
      <c r="L48" t="n">
        <v>0</v>
      </c>
      <c r="M48" t="n">
        <v>12</v>
      </c>
      <c r="N48" t="n">
        <v>1</v>
      </c>
      <c r="O48" t="n">
        <v>-0.25</v>
      </c>
      <c r="P48" t="n">
        <v>105</v>
      </c>
      <c r="Q48" t="n">
        <v>12</v>
      </c>
      <c r="R48" t="s">
        <v>280</v>
      </c>
      <c r="S48" t="s">
        <v>285</v>
      </c>
      <c r="T48" t="n">
        <v>0.75</v>
      </c>
    </row>
    <row r="49">
      <c r="A49" t="s">
        <v>31</v>
      </c>
      <c r="B49" t="n">
        <v>0.89</v>
      </c>
      <c r="C49" t="n">
        <v>0.89</v>
      </c>
      <c r="D49" t="n">
        <v>0.92</v>
      </c>
      <c r="E49" t="n">
        <v>-4.25</v>
      </c>
      <c r="F49" t="n">
        <v>-0.25</v>
      </c>
      <c r="G49" t="n">
        <v>2</v>
      </c>
      <c r="H49" t="n">
        <v>12</v>
      </c>
      <c r="I49" t="s">
        <v>287</v>
      </c>
      <c r="J49" t="n">
        <v>0</v>
      </c>
      <c r="K49" t="n">
        <v>0</v>
      </c>
      <c r="L49" t="n">
        <v>0</v>
      </c>
      <c r="M49" t="n">
        <v>12</v>
      </c>
      <c r="N49" t="n">
        <v>0</v>
      </c>
      <c r="O49" t="n">
        <v>0</v>
      </c>
      <c r="P49" t="n">
        <v>82</v>
      </c>
      <c r="Q49" t="n">
        <v>12</v>
      </c>
      <c r="R49" t="s">
        <v>278</v>
      </c>
      <c r="S49" t="s">
        <v>287</v>
      </c>
      <c r="T49" t="n">
        <v>0</v>
      </c>
    </row>
    <row r="50">
      <c r="A50" t="s">
        <v>31</v>
      </c>
      <c r="B50" t="n">
        <v>0.94</v>
      </c>
      <c r="C50" t="n">
        <v>0.77</v>
      </c>
      <c r="D50" t="n">
        <v>0.94</v>
      </c>
      <c r="E50" t="n">
        <v>-4.25</v>
      </c>
      <c r="F50" t="n">
        <v>-0.25</v>
      </c>
      <c r="G50" t="n">
        <v>10</v>
      </c>
      <c r="H50" t="n">
        <v>12</v>
      </c>
      <c r="I50" t="s">
        <v>277</v>
      </c>
      <c r="J50" t="n">
        <v>0</v>
      </c>
      <c r="K50" t="n">
        <v>0</v>
      </c>
      <c r="L50" t="n">
        <v>0</v>
      </c>
      <c r="M50" t="n">
        <v>12</v>
      </c>
      <c r="N50" t="n">
        <v>-0.5</v>
      </c>
      <c r="O50" t="n">
        <v>-0.25</v>
      </c>
      <c r="P50" t="n">
        <v>172</v>
      </c>
      <c r="Q50" t="n">
        <v>12</v>
      </c>
      <c r="R50" t="s">
        <v>277</v>
      </c>
      <c r="S50" t="s">
        <v>288</v>
      </c>
      <c r="T50" t="n">
        <v>-0.5</v>
      </c>
    </row>
    <row r="51">
      <c r="A51" t="s">
        <v>31</v>
      </c>
      <c r="B51" t="n">
        <v>1.04</v>
      </c>
      <c r="C51" t="n">
        <v>0.94</v>
      </c>
      <c r="D51" t="n">
        <v>0.99</v>
      </c>
      <c r="E51" t="n">
        <v>-3.5</v>
      </c>
      <c r="F51" t="n">
        <v>0</v>
      </c>
      <c r="G51" t="n">
        <v>78</v>
      </c>
      <c r="H51" t="n">
        <v>12</v>
      </c>
      <c r="I51" t="s">
        <v>275</v>
      </c>
      <c r="J51" t="n">
        <v>0</v>
      </c>
      <c r="K51" t="n">
        <v>0</v>
      </c>
      <c r="L51" t="n">
        <v>0</v>
      </c>
      <c r="M51" t="n">
        <v>12</v>
      </c>
      <c r="N51" t="n">
        <v>0.5</v>
      </c>
      <c r="O51" t="n">
        <v>-0.25</v>
      </c>
      <c r="P51" t="n">
        <v>64</v>
      </c>
      <c r="Q51" t="n">
        <v>12</v>
      </c>
      <c r="R51" t="s">
        <v>276</v>
      </c>
      <c r="S51" t="s">
        <v>277</v>
      </c>
      <c r="T51" t="n">
        <v>0.25</v>
      </c>
    </row>
    <row r="52">
      <c r="A52" t="s">
        <v>31</v>
      </c>
      <c r="B52" t="n">
        <v>1.04</v>
      </c>
      <c r="C52" t="n">
        <v>0.85</v>
      </c>
      <c r="D52" t="n">
        <v>1.11</v>
      </c>
      <c r="E52" t="n">
        <v>-5.75</v>
      </c>
      <c r="F52" t="n">
        <v>-0.5</v>
      </c>
      <c r="G52" t="n">
        <v>87</v>
      </c>
      <c r="H52" t="n">
        <v>12</v>
      </c>
      <c r="I52" t="s">
        <v>275</v>
      </c>
      <c r="J52" t="n">
        <v>0</v>
      </c>
      <c r="K52" t="n">
        <v>0</v>
      </c>
      <c r="L52" t="n">
        <v>0</v>
      </c>
      <c r="M52" t="n">
        <v>12</v>
      </c>
      <c r="N52" t="n">
        <v>-0.5</v>
      </c>
      <c r="O52" t="n">
        <v>-0.25</v>
      </c>
      <c r="P52" t="n">
        <v>90</v>
      </c>
      <c r="Q52" t="n">
        <v>12</v>
      </c>
      <c r="R52" t="s">
        <v>280</v>
      </c>
      <c r="S52" t="s">
        <v>285</v>
      </c>
      <c r="T52" t="n">
        <v>-0.75</v>
      </c>
    </row>
    <row r="53">
      <c r="A53" t="s">
        <v>31</v>
      </c>
      <c r="B53" t="n">
        <v>1.13</v>
      </c>
      <c r="C53" t="n">
        <v>1.04</v>
      </c>
      <c r="D53" t="n">
        <v>1.08</v>
      </c>
      <c r="E53" t="n">
        <v>-3.5</v>
      </c>
      <c r="F53" t="n">
        <v>-1.25</v>
      </c>
      <c r="G53" t="n">
        <v>165</v>
      </c>
      <c r="H53" t="n">
        <v>12</v>
      </c>
      <c r="I53" t="s">
        <v>284</v>
      </c>
      <c r="J53" t="n">
        <v>0</v>
      </c>
      <c r="K53" t="n">
        <v>0</v>
      </c>
      <c r="L53" t="n">
        <v>0</v>
      </c>
      <c r="M53" t="n">
        <v>12</v>
      </c>
      <c r="N53" t="n">
        <v>0.5</v>
      </c>
      <c r="O53" t="n">
        <v>-0.25</v>
      </c>
      <c r="P53" t="n">
        <v>156</v>
      </c>
      <c r="Q53" t="n">
        <v>12</v>
      </c>
      <c r="R53" t="s">
        <v>280</v>
      </c>
      <c r="S53" t="s">
        <v>275</v>
      </c>
      <c r="T53" t="n">
        <v>0.25</v>
      </c>
    </row>
    <row r="54">
      <c r="A54" t="s">
        <v>31</v>
      </c>
      <c r="B54" t="n">
        <v>1.05</v>
      </c>
      <c r="C54" t="n">
        <v>0.87</v>
      </c>
      <c r="D54" t="n">
        <v>1.08</v>
      </c>
      <c r="E54" t="n">
        <v>0</v>
      </c>
      <c r="F54" t="n">
        <v>-1.25</v>
      </c>
      <c r="G54" t="n">
        <v>13</v>
      </c>
      <c r="H54" t="n">
        <v>12</v>
      </c>
      <c r="I54" t="s">
        <v>275</v>
      </c>
      <c r="J54" t="n">
        <v>0</v>
      </c>
      <c r="K54" t="n">
        <v>0</v>
      </c>
      <c r="L54" t="n">
        <v>0</v>
      </c>
      <c r="M54" t="n">
        <v>12</v>
      </c>
      <c r="N54" t="n">
        <v>0</v>
      </c>
      <c r="O54" t="n">
        <v>-0.5</v>
      </c>
      <c r="P54" t="n">
        <v>164</v>
      </c>
      <c r="Q54" t="n">
        <v>12</v>
      </c>
      <c r="R54" t="s">
        <v>280</v>
      </c>
      <c r="S54" t="s">
        <v>287</v>
      </c>
      <c r="T54" t="n">
        <v>-0.25</v>
      </c>
    </row>
    <row r="55">
      <c r="A55" t="s">
        <v>31</v>
      </c>
      <c r="B55" t="n">
        <v>0.91</v>
      </c>
      <c r="C55" t="n">
        <v>0.79</v>
      </c>
      <c r="D55" t="n">
        <v>0.88</v>
      </c>
      <c r="E55" t="n">
        <v>-6.75</v>
      </c>
      <c r="F55" t="n">
        <v>0</v>
      </c>
      <c r="G55" t="n">
        <v>84</v>
      </c>
      <c r="H55" t="n">
        <v>12</v>
      </c>
      <c r="I55" t="s">
        <v>278</v>
      </c>
      <c r="J55" t="n">
        <v>0</v>
      </c>
      <c r="K55" t="n">
        <v>0</v>
      </c>
      <c r="L55" t="n">
        <v>0</v>
      </c>
      <c r="M55" t="n">
        <v>12</v>
      </c>
      <c r="N55" t="n">
        <v>0</v>
      </c>
      <c r="O55" t="n">
        <v>-0.25</v>
      </c>
      <c r="P55" t="n">
        <v>161</v>
      </c>
      <c r="Q55" t="n">
        <v>12</v>
      </c>
      <c r="R55" t="s">
        <v>287</v>
      </c>
      <c r="S55" t="s">
        <v>279</v>
      </c>
      <c r="T55" t="n">
        <v>0</v>
      </c>
    </row>
    <row r="56">
      <c r="A56" t="s">
        <v>31</v>
      </c>
      <c r="B56" t="n">
        <v>0.98</v>
      </c>
      <c r="C56" t="n">
        <v>0.8</v>
      </c>
      <c r="D56" t="n">
        <v>0.95</v>
      </c>
      <c r="E56" t="n">
        <v>-3.25</v>
      </c>
      <c r="F56" t="n">
        <v>-1</v>
      </c>
      <c r="G56" t="n">
        <v>176</v>
      </c>
      <c r="H56" t="n">
        <v>12</v>
      </c>
      <c r="I56" t="s">
        <v>276</v>
      </c>
      <c r="J56" t="n">
        <v>0</v>
      </c>
      <c r="K56" t="n">
        <v>0</v>
      </c>
      <c r="L56" t="n">
        <v>0</v>
      </c>
      <c r="M56" t="n">
        <v>12</v>
      </c>
      <c r="N56" t="n">
        <v>-0.5</v>
      </c>
      <c r="O56" t="n">
        <v>-0.25</v>
      </c>
      <c r="P56" t="n">
        <v>31</v>
      </c>
      <c r="Q56" t="n">
        <v>12</v>
      </c>
      <c r="R56" t="s">
        <v>277</v>
      </c>
      <c r="S56" t="s">
        <v>279</v>
      </c>
      <c r="T56" t="n">
        <v>-0.5</v>
      </c>
    </row>
    <row r="57">
      <c r="A57" t="s">
        <v>31</v>
      </c>
      <c r="B57" t="n">
        <v>0.95</v>
      </c>
      <c r="C57" t="n">
        <v>0.89</v>
      </c>
      <c r="D57" t="n">
        <v>0.94</v>
      </c>
      <c r="E57" t="n">
        <v>-3.5</v>
      </c>
      <c r="F57" t="n">
        <v>-2.75</v>
      </c>
      <c r="G57" t="n">
        <v>8</v>
      </c>
      <c r="H57" t="n">
        <v>12</v>
      </c>
      <c r="I57" t="s">
        <v>277</v>
      </c>
      <c r="J57" t="n">
        <v>0</v>
      </c>
      <c r="K57" t="n">
        <v>0</v>
      </c>
      <c r="L57" t="n">
        <v>0</v>
      </c>
      <c r="M57" t="n">
        <v>12</v>
      </c>
      <c r="N57" t="n">
        <v>0</v>
      </c>
      <c r="O57" t="n">
        <v>-0.25</v>
      </c>
      <c r="P57" t="n">
        <v>177</v>
      </c>
      <c r="Q57" t="n">
        <v>12</v>
      </c>
      <c r="R57" t="s">
        <v>277</v>
      </c>
      <c r="S57" t="s">
        <v>287</v>
      </c>
      <c r="T57" t="n">
        <v>-0.25</v>
      </c>
    </row>
    <row r="58">
      <c r="A58" t="s">
        <v>31</v>
      </c>
      <c r="B58" t="n">
        <v>0.97</v>
      </c>
      <c r="C58" t="n">
        <v>0.77</v>
      </c>
      <c r="D58" t="n">
        <v>0.93</v>
      </c>
      <c r="E58" t="n">
        <v>-3.5</v>
      </c>
      <c r="F58" t="n">
        <v>0</v>
      </c>
      <c r="G58" t="n">
        <v>174</v>
      </c>
      <c r="H58" t="n">
        <v>12</v>
      </c>
      <c r="I58" t="s">
        <v>277</v>
      </c>
      <c r="J58" t="n">
        <v>0</v>
      </c>
      <c r="K58" t="n">
        <v>0</v>
      </c>
      <c r="L58" t="n">
        <v>0</v>
      </c>
      <c r="M58" t="n">
        <v>12</v>
      </c>
      <c r="N58" t="n">
        <v>0.5</v>
      </c>
      <c r="O58" t="n">
        <v>-0.25</v>
      </c>
      <c r="P58" t="n">
        <v>116</v>
      </c>
      <c r="Q58" t="n">
        <v>12</v>
      </c>
      <c r="R58" t="s">
        <v>278</v>
      </c>
      <c r="S58" t="s">
        <v>288</v>
      </c>
      <c r="T58" t="n">
        <v>0.25</v>
      </c>
    </row>
    <row r="59">
      <c r="A59" t="s">
        <v>31</v>
      </c>
      <c r="B59" t="n">
        <v>1.04</v>
      </c>
      <c r="C59" t="n">
        <v>0.87</v>
      </c>
      <c r="D59" t="n">
        <v>1</v>
      </c>
      <c r="E59" t="n">
        <v>-0.75</v>
      </c>
      <c r="F59" t="n">
        <v>-0.75</v>
      </c>
      <c r="G59" t="n">
        <v>103</v>
      </c>
      <c r="H59" t="n">
        <v>12</v>
      </c>
      <c r="I59" t="s">
        <v>275</v>
      </c>
      <c r="J59" t="n">
        <v>0</v>
      </c>
      <c r="K59" t="n">
        <v>0</v>
      </c>
      <c r="L59" t="n">
        <v>0</v>
      </c>
      <c r="M59" t="n">
        <v>12</v>
      </c>
      <c r="N59" t="n">
        <v>0</v>
      </c>
      <c r="O59" t="n">
        <v>0</v>
      </c>
      <c r="P59" t="n">
        <v>88</v>
      </c>
      <c r="Q59" t="n">
        <v>12</v>
      </c>
      <c r="R59" t="s">
        <v>276</v>
      </c>
      <c r="S59" t="s">
        <v>287</v>
      </c>
      <c r="T59" t="n">
        <v>0</v>
      </c>
    </row>
    <row r="60">
      <c r="A60" t="s">
        <v>31</v>
      </c>
      <c r="B60" t="n">
        <v>1.02</v>
      </c>
      <c r="C60" t="n">
        <v>1.02</v>
      </c>
      <c r="D60" t="n">
        <v>1.09</v>
      </c>
      <c r="E60" t="n">
        <v>-3.5</v>
      </c>
      <c r="F60" t="n">
        <v>0</v>
      </c>
      <c r="G60" t="n">
        <v>78</v>
      </c>
      <c r="H60" t="n">
        <v>12</v>
      </c>
      <c r="I60" t="s">
        <v>276</v>
      </c>
      <c r="J60" t="n">
        <v>0</v>
      </c>
      <c r="K60" t="n">
        <v>0</v>
      </c>
      <c r="L60" t="n">
        <v>0</v>
      </c>
      <c r="M60" t="n">
        <v>12</v>
      </c>
      <c r="N60" t="n">
        <v>-0.25</v>
      </c>
      <c r="O60" t="n">
        <v>0</v>
      </c>
      <c r="P60" t="n">
        <v>88</v>
      </c>
      <c r="Q60" t="n">
        <v>12</v>
      </c>
      <c r="R60" t="s">
        <v>280</v>
      </c>
      <c r="S60" t="s">
        <v>276</v>
      </c>
      <c r="T60" t="n">
        <v>-0.25</v>
      </c>
    </row>
    <row r="61">
      <c r="A61" t="s">
        <v>31</v>
      </c>
      <c r="B61" t="n">
        <v>1.01</v>
      </c>
      <c r="C61" t="n">
        <v>0.85</v>
      </c>
      <c r="D61" t="n">
        <v>0.99</v>
      </c>
      <c r="E61" t="n">
        <v>-6</v>
      </c>
      <c r="F61" t="n">
        <v>-0.5</v>
      </c>
      <c r="G61" t="n">
        <v>2</v>
      </c>
      <c r="H61" t="n">
        <v>12</v>
      </c>
      <c r="I61" t="s">
        <v>276</v>
      </c>
      <c r="J61" t="n">
        <v>0</v>
      </c>
      <c r="K61" t="n">
        <v>0</v>
      </c>
      <c r="L61" t="n">
        <v>0</v>
      </c>
      <c r="M61" t="n">
        <v>12</v>
      </c>
      <c r="N61" t="n">
        <v>-0.5</v>
      </c>
      <c r="O61" t="n">
        <v>-0.25</v>
      </c>
      <c r="P61" t="n">
        <v>0</v>
      </c>
      <c r="Q61" t="n">
        <v>12</v>
      </c>
      <c r="R61" t="s">
        <v>276</v>
      </c>
      <c r="S61" t="s">
        <v>285</v>
      </c>
      <c r="T61" t="n">
        <v>-0.5</v>
      </c>
    </row>
    <row r="62">
      <c r="A62" t="s">
        <v>31</v>
      </c>
      <c r="B62" t="n">
        <v>0.96</v>
      </c>
      <c r="C62" t="n">
        <v>0.81</v>
      </c>
      <c r="D62" t="n">
        <v>0.96</v>
      </c>
      <c r="E62" t="n">
        <v>-2.5</v>
      </c>
      <c r="F62" t="n">
        <v>-0.75</v>
      </c>
      <c r="G62" t="n">
        <v>81</v>
      </c>
      <c r="H62" t="n">
        <v>12</v>
      </c>
      <c r="I62" t="s">
        <v>277</v>
      </c>
      <c r="J62" t="n">
        <v>0</v>
      </c>
      <c r="K62" t="n">
        <v>0</v>
      </c>
      <c r="L62" t="n">
        <v>0</v>
      </c>
      <c r="M62" t="n">
        <v>12</v>
      </c>
      <c r="N62" t="n">
        <v>-0.25</v>
      </c>
      <c r="O62" t="n">
        <v>-0.5</v>
      </c>
      <c r="P62" t="n">
        <v>85</v>
      </c>
      <c r="Q62" t="n">
        <v>12</v>
      </c>
      <c r="R62" t="s">
        <v>277</v>
      </c>
      <c r="S62" t="s">
        <v>279</v>
      </c>
      <c r="T62" t="n">
        <v>-0.5</v>
      </c>
    </row>
    <row r="63">
      <c r="A63" t="s">
        <v>31</v>
      </c>
      <c r="B63" t="n">
        <v>1.06</v>
      </c>
      <c r="C63" t="n">
        <v>1</v>
      </c>
      <c r="D63" t="n">
        <v>1.14</v>
      </c>
      <c r="E63" t="n">
        <v>-1</v>
      </c>
      <c r="F63" t="n">
        <v>-1.5</v>
      </c>
      <c r="G63" t="n">
        <v>165</v>
      </c>
      <c r="H63" t="n">
        <v>12</v>
      </c>
      <c r="I63" t="s">
        <v>275</v>
      </c>
      <c r="J63" t="n">
        <v>0</v>
      </c>
      <c r="K63" t="n">
        <v>0</v>
      </c>
      <c r="L63" t="n">
        <v>0</v>
      </c>
      <c r="M63" t="n">
        <v>12</v>
      </c>
      <c r="N63" t="n">
        <v>0</v>
      </c>
      <c r="O63" t="n">
        <v>-0.5</v>
      </c>
      <c r="P63" t="n">
        <v>179</v>
      </c>
      <c r="Q63" t="n">
        <v>12</v>
      </c>
      <c r="R63" t="s">
        <v>284</v>
      </c>
      <c r="S63" t="s">
        <v>276</v>
      </c>
      <c r="T63" t="n">
        <v>-0.25</v>
      </c>
    </row>
    <row r="64">
      <c r="A64" t="s">
        <v>31</v>
      </c>
      <c r="B64" t="n">
        <v>1</v>
      </c>
      <c r="C64" t="n">
        <v>0.93</v>
      </c>
      <c r="D64" t="n">
        <v>1</v>
      </c>
      <c r="E64" t="n">
        <v>-2</v>
      </c>
      <c r="F64" t="n">
        <v>-1.25</v>
      </c>
      <c r="G64" t="n">
        <v>102</v>
      </c>
      <c r="H64" t="n">
        <v>12</v>
      </c>
      <c r="I64" t="s">
        <v>276</v>
      </c>
      <c r="J64" t="n">
        <v>0</v>
      </c>
      <c r="K64" t="n">
        <v>0</v>
      </c>
      <c r="L64" t="n">
        <v>0</v>
      </c>
      <c r="M64" t="n">
        <v>12</v>
      </c>
      <c r="N64" t="n">
        <v>0.25</v>
      </c>
      <c r="O64" t="n">
        <v>-0.5</v>
      </c>
      <c r="P64" t="n">
        <v>100</v>
      </c>
      <c r="Q64" t="n">
        <v>12</v>
      </c>
      <c r="R64" t="s">
        <v>276</v>
      </c>
      <c r="S64" t="s">
        <v>278</v>
      </c>
      <c r="T64" t="n">
        <v>0</v>
      </c>
    </row>
    <row r="65">
      <c r="A65" t="s">
        <v>31</v>
      </c>
      <c r="B65" t="n">
        <v>1.05</v>
      </c>
      <c r="C65" t="n">
        <v>0.94</v>
      </c>
      <c r="D65" t="n">
        <v>1</v>
      </c>
      <c r="E65" t="n">
        <v>-5.75</v>
      </c>
      <c r="F65" t="n">
        <v>-0.5</v>
      </c>
      <c r="G65" t="n">
        <v>18</v>
      </c>
      <c r="H65" t="n">
        <v>12</v>
      </c>
      <c r="I65" t="s">
        <v>275</v>
      </c>
      <c r="J65" t="n">
        <v>0</v>
      </c>
      <c r="K65" t="n">
        <v>0</v>
      </c>
      <c r="L65" t="n">
        <v>0</v>
      </c>
      <c r="M65" t="n">
        <v>12</v>
      </c>
      <c r="N65" t="n">
        <v>0</v>
      </c>
      <c r="O65" t="n">
        <v>-0.25</v>
      </c>
      <c r="P65" t="n">
        <v>166</v>
      </c>
      <c r="Q65" t="n">
        <v>12</v>
      </c>
      <c r="R65" t="s">
        <v>276</v>
      </c>
      <c r="S65" t="s">
        <v>277</v>
      </c>
      <c r="T65" t="n">
        <v>0</v>
      </c>
    </row>
    <row r="66">
      <c r="A66" t="s">
        <v>31</v>
      </c>
      <c r="B66" t="n">
        <v>1.11</v>
      </c>
      <c r="C66" t="n">
        <v>0.93</v>
      </c>
      <c r="D66" t="n">
        <v>1.09</v>
      </c>
      <c r="E66" t="n">
        <v>-2</v>
      </c>
      <c r="F66" t="n">
        <v>-1</v>
      </c>
      <c r="G66" t="n">
        <v>176</v>
      </c>
      <c r="H66" t="n">
        <v>12</v>
      </c>
      <c r="I66" t="s">
        <v>280</v>
      </c>
      <c r="J66" t="n">
        <v>0</v>
      </c>
      <c r="K66" t="n">
        <v>0</v>
      </c>
      <c r="L66" t="n">
        <v>0</v>
      </c>
      <c r="M66" t="n">
        <v>12</v>
      </c>
      <c r="N66" t="n">
        <v>-0.5</v>
      </c>
      <c r="O66" t="n">
        <v>-0.25</v>
      </c>
      <c r="P66" t="n">
        <v>21</v>
      </c>
      <c r="Q66" t="n">
        <v>12</v>
      </c>
      <c r="R66" t="s">
        <v>280</v>
      </c>
      <c r="S66" t="s">
        <v>278</v>
      </c>
      <c r="T66" t="n">
        <v>-0.75</v>
      </c>
    </row>
    <row r="67">
      <c r="A67" t="s">
        <v>31</v>
      </c>
      <c r="B67" t="n">
        <v>1.01</v>
      </c>
      <c r="C67" t="n">
        <v>0.96</v>
      </c>
      <c r="D67" t="n">
        <v>1</v>
      </c>
      <c r="E67" t="n">
        <v>-3.75</v>
      </c>
      <c r="F67" t="n">
        <v>-0.5</v>
      </c>
      <c r="G67" t="n">
        <v>167</v>
      </c>
      <c r="H67" t="n">
        <v>12</v>
      </c>
      <c r="I67" t="s">
        <v>276</v>
      </c>
      <c r="J67" t="n">
        <v>0</v>
      </c>
      <c r="K67" t="n">
        <v>0</v>
      </c>
      <c r="L67" t="n">
        <v>0</v>
      </c>
      <c r="M67" t="n">
        <v>12</v>
      </c>
      <c r="N67" t="n">
        <v>-0.25</v>
      </c>
      <c r="O67" t="n">
        <v>0</v>
      </c>
      <c r="P67" t="n">
        <v>64</v>
      </c>
      <c r="Q67" t="n">
        <v>12</v>
      </c>
      <c r="R67" t="s">
        <v>276</v>
      </c>
      <c r="S67" t="s">
        <v>277</v>
      </c>
      <c r="T67" t="n">
        <v>-0.25</v>
      </c>
    </row>
    <row r="68">
      <c r="A68" t="s">
        <v>31</v>
      </c>
      <c r="B68" t="n">
        <v>1.01</v>
      </c>
      <c r="C68" t="n">
        <v>0.73</v>
      </c>
      <c r="D68" t="n">
        <v>0.96</v>
      </c>
      <c r="E68" t="n">
        <v>-1.25</v>
      </c>
      <c r="F68" t="n">
        <v>0</v>
      </c>
      <c r="G68" t="n">
        <v>178</v>
      </c>
      <c r="H68" t="n">
        <v>12</v>
      </c>
      <c r="I68" t="s">
        <v>276</v>
      </c>
      <c r="J68" t="n">
        <v>0</v>
      </c>
      <c r="K68" t="n">
        <v>0</v>
      </c>
      <c r="L68" t="n">
        <v>0</v>
      </c>
      <c r="M68" t="n">
        <v>12</v>
      </c>
      <c r="N68" t="n">
        <v>0.5</v>
      </c>
      <c r="O68" t="n">
        <v>-0.25</v>
      </c>
      <c r="P68" t="n">
        <v>41</v>
      </c>
      <c r="Q68" t="n">
        <v>12</v>
      </c>
      <c r="R68" t="s">
        <v>277</v>
      </c>
      <c r="S68" t="s">
        <v>289</v>
      </c>
      <c r="T68" t="n">
        <v>0.5</v>
      </c>
    </row>
    <row r="69">
      <c r="A69" t="s">
        <v>31</v>
      </c>
      <c r="B69" t="n">
        <v>0.94</v>
      </c>
      <c r="C69" t="n">
        <v>0.79</v>
      </c>
      <c r="D69" t="n">
        <v>0.89</v>
      </c>
      <c r="E69" t="n">
        <v>-5</v>
      </c>
      <c r="F69" t="n">
        <v>-1</v>
      </c>
      <c r="G69" t="n">
        <v>18</v>
      </c>
      <c r="H69" t="n">
        <v>12</v>
      </c>
      <c r="I69" t="s">
        <v>277</v>
      </c>
      <c r="J69" t="n">
        <v>0</v>
      </c>
      <c r="K69" t="n">
        <v>0</v>
      </c>
      <c r="L69" t="n">
        <v>0</v>
      </c>
      <c r="M69" t="n">
        <v>12</v>
      </c>
      <c r="N69" t="n">
        <v>-0.5</v>
      </c>
      <c r="O69" t="n">
        <v>-0.25</v>
      </c>
      <c r="P69" t="n">
        <v>174</v>
      </c>
      <c r="Q69" t="n">
        <v>12</v>
      </c>
      <c r="R69" t="s">
        <v>287</v>
      </c>
      <c r="S69" t="s">
        <v>279</v>
      </c>
      <c r="T69" t="n">
        <v>-0.5</v>
      </c>
    </row>
    <row r="70">
      <c r="A70" t="s">
        <v>31</v>
      </c>
      <c r="B70" t="n">
        <v>0.92</v>
      </c>
      <c r="C70" t="n">
        <v>0.61</v>
      </c>
      <c r="D70" t="n">
        <v>0.91</v>
      </c>
      <c r="E70" t="n">
        <v>-4.75</v>
      </c>
      <c r="F70" t="n">
        <v>-1</v>
      </c>
      <c r="G70" t="n">
        <v>161</v>
      </c>
      <c r="H70" t="n">
        <v>12</v>
      </c>
      <c r="I70" t="s">
        <v>278</v>
      </c>
      <c r="J70" t="n">
        <v>0</v>
      </c>
      <c r="K70" t="n">
        <v>0</v>
      </c>
      <c r="L70" t="n">
        <v>0</v>
      </c>
      <c r="M70" t="n">
        <v>12</v>
      </c>
      <c r="N70" t="n">
        <v>-1</v>
      </c>
      <c r="O70" t="n">
        <v>-0.25</v>
      </c>
      <c r="P70" t="n">
        <v>100</v>
      </c>
      <c r="Q70" t="n">
        <v>12</v>
      </c>
      <c r="R70" t="s">
        <v>278</v>
      </c>
      <c r="S70" t="s">
        <v>290</v>
      </c>
      <c r="T70" t="n">
        <v>-1</v>
      </c>
    </row>
    <row r="71">
      <c r="A71" t="s">
        <v>31</v>
      </c>
      <c r="B71" t="n">
        <v>1.25</v>
      </c>
      <c r="C71" t="n">
        <v>1.24</v>
      </c>
      <c r="D71" t="n">
        <v>1.28</v>
      </c>
      <c r="E71" t="n">
        <v>-0.5</v>
      </c>
      <c r="F71" t="n">
        <v>-2.75</v>
      </c>
      <c r="G71" t="n">
        <v>20</v>
      </c>
      <c r="H71" t="n">
        <v>12</v>
      </c>
      <c r="I71" t="s">
        <v>283</v>
      </c>
      <c r="J71" t="n">
        <v>0</v>
      </c>
      <c r="K71" t="n">
        <v>0</v>
      </c>
      <c r="L71" t="n">
        <v>0</v>
      </c>
      <c r="M71" t="n">
        <v>12</v>
      </c>
      <c r="N71" t="n">
        <v>-0.25</v>
      </c>
      <c r="O71" t="n">
        <v>0</v>
      </c>
      <c r="P71" t="n">
        <v>26</v>
      </c>
      <c r="Q71" t="n">
        <v>12</v>
      </c>
      <c r="R71" t="s">
        <v>283</v>
      </c>
      <c r="S71" t="s">
        <v>283</v>
      </c>
      <c r="T71" t="n">
        <v>-0.25</v>
      </c>
    </row>
    <row r="72">
      <c r="A72" t="s">
        <v>31</v>
      </c>
      <c r="B72" t="n">
        <v>1</v>
      </c>
      <c r="C72" t="n">
        <v>0.95</v>
      </c>
      <c r="D72" t="n">
        <v>0.97</v>
      </c>
      <c r="E72" t="n">
        <v>-4.75</v>
      </c>
      <c r="F72" t="n">
        <v>-0.5</v>
      </c>
      <c r="G72" t="n">
        <v>12</v>
      </c>
      <c r="H72" t="n">
        <v>12</v>
      </c>
      <c r="I72" t="s">
        <v>276</v>
      </c>
      <c r="J72" t="n">
        <v>0</v>
      </c>
      <c r="K72" t="n">
        <v>0</v>
      </c>
      <c r="L72" t="n">
        <v>0</v>
      </c>
      <c r="M72" t="n">
        <v>12</v>
      </c>
      <c r="N72" t="n">
        <v>0</v>
      </c>
      <c r="O72" t="n">
        <v>-0.25</v>
      </c>
      <c r="P72" t="n">
        <v>54</v>
      </c>
      <c r="Q72" t="n">
        <v>12</v>
      </c>
      <c r="R72" t="s">
        <v>277</v>
      </c>
      <c r="S72" t="s">
        <v>277</v>
      </c>
      <c r="T72" t="n">
        <v>0</v>
      </c>
    </row>
    <row r="73">
      <c r="A73" t="s">
        <v>31</v>
      </c>
      <c r="B73" t="n">
        <v>0.91</v>
      </c>
      <c r="C73" t="n">
        <v>0.83</v>
      </c>
      <c r="D73" t="n">
        <v>0.95</v>
      </c>
      <c r="E73" t="n">
        <v>-2.5</v>
      </c>
      <c r="F73" t="n">
        <v>-0.25</v>
      </c>
      <c r="G73" t="n">
        <v>37</v>
      </c>
      <c r="H73" t="n">
        <v>12</v>
      </c>
      <c r="I73" t="s">
        <v>278</v>
      </c>
      <c r="J73" t="n">
        <v>0</v>
      </c>
      <c r="K73" t="n">
        <v>0</v>
      </c>
      <c r="L73" t="n">
        <v>0</v>
      </c>
      <c r="M73" t="n">
        <v>12</v>
      </c>
      <c r="N73" t="n">
        <v>0</v>
      </c>
      <c r="O73" t="n">
        <v>-0.25</v>
      </c>
      <c r="P73" t="n">
        <v>48</v>
      </c>
      <c r="Q73" t="n">
        <v>12</v>
      </c>
      <c r="R73" t="s">
        <v>277</v>
      </c>
      <c r="S73" t="s">
        <v>285</v>
      </c>
      <c r="T73" t="n">
        <v>-0.25</v>
      </c>
    </row>
    <row r="74">
      <c r="A74" t="s">
        <v>31</v>
      </c>
      <c r="B74" t="n">
        <v>1.14</v>
      </c>
      <c r="C74" t="n">
        <v>0.81</v>
      </c>
      <c r="D74" t="n">
        <v>1.1</v>
      </c>
      <c r="E74" t="n">
        <v>-4.75</v>
      </c>
      <c r="F74" t="n">
        <v>-1</v>
      </c>
      <c r="G74" t="n">
        <v>12</v>
      </c>
      <c r="H74" t="n">
        <v>12</v>
      </c>
      <c r="I74" t="s">
        <v>284</v>
      </c>
      <c r="J74" t="n">
        <v>0</v>
      </c>
      <c r="K74" t="n">
        <v>0</v>
      </c>
      <c r="L74" t="n">
        <v>0</v>
      </c>
      <c r="M74" t="n">
        <v>12</v>
      </c>
      <c r="N74" t="n">
        <v>-1</v>
      </c>
      <c r="O74" t="n">
        <v>-0.25</v>
      </c>
      <c r="P74" t="n">
        <v>32</v>
      </c>
      <c r="Q74" t="n">
        <v>12</v>
      </c>
      <c r="R74" t="s">
        <v>280</v>
      </c>
      <c r="S74" t="s">
        <v>279</v>
      </c>
      <c r="T74" t="n">
        <v>-1</v>
      </c>
    </row>
    <row r="75">
      <c r="A75" t="s">
        <v>31</v>
      </c>
      <c r="B75" t="n">
        <v>1</v>
      </c>
      <c r="C75" t="n">
        <v>0.92</v>
      </c>
      <c r="D75" t="n">
        <v>0.95</v>
      </c>
      <c r="E75" t="n">
        <v>-3.25</v>
      </c>
      <c r="F75" t="n">
        <v>-0.75</v>
      </c>
      <c r="G75" t="n">
        <v>180</v>
      </c>
      <c r="H75" t="n">
        <v>12</v>
      </c>
      <c r="I75" t="s">
        <v>276</v>
      </c>
      <c r="J75" t="n">
        <v>0</v>
      </c>
      <c r="K75" t="n">
        <v>0</v>
      </c>
      <c r="L75" t="n">
        <v>0</v>
      </c>
      <c r="M75" t="n">
        <v>12</v>
      </c>
      <c r="N75" t="n">
        <v>-0.25</v>
      </c>
      <c r="O75" t="n">
        <v>-0.5</v>
      </c>
      <c r="P75" t="n">
        <v>167</v>
      </c>
      <c r="Q75" t="n">
        <v>12</v>
      </c>
      <c r="R75" t="s">
        <v>277</v>
      </c>
      <c r="S75" t="s">
        <v>278</v>
      </c>
      <c r="T75" t="n">
        <v>-0.5</v>
      </c>
    </row>
    <row r="76">
      <c r="A76" t="s">
        <v>31</v>
      </c>
      <c r="B76" t="n">
        <v>1.09</v>
      </c>
      <c r="C76" t="n">
        <v>0.97</v>
      </c>
      <c r="D76" t="n">
        <v>1.15</v>
      </c>
      <c r="E76" t="n">
        <v>-8.5</v>
      </c>
      <c r="F76" t="n">
        <v>-0.5</v>
      </c>
      <c r="G76" t="n">
        <v>103</v>
      </c>
      <c r="H76" t="n">
        <v>12</v>
      </c>
      <c r="I76" t="s">
        <v>280</v>
      </c>
      <c r="J76" t="n">
        <v>0</v>
      </c>
      <c r="K76" t="n">
        <v>0</v>
      </c>
      <c r="L76" t="n">
        <v>0</v>
      </c>
      <c r="M76" t="n">
        <v>12</v>
      </c>
      <c r="N76" t="n">
        <v>0.5</v>
      </c>
      <c r="O76" t="n">
        <v>-0.25</v>
      </c>
      <c r="P76" t="n">
        <v>89</v>
      </c>
      <c r="Q76" t="n">
        <v>12</v>
      </c>
      <c r="R76" t="s">
        <v>284</v>
      </c>
      <c r="S76" t="s">
        <v>277</v>
      </c>
      <c r="T76" t="n">
        <v>0.5</v>
      </c>
    </row>
    <row r="77">
      <c r="A77" t="s">
        <v>31</v>
      </c>
      <c r="B77" t="n">
        <v>0.98</v>
      </c>
      <c r="C77" t="n">
        <v>0.82</v>
      </c>
      <c r="D77" t="n">
        <v>1.01</v>
      </c>
      <c r="E77" t="n">
        <v>-4</v>
      </c>
      <c r="F77" t="n">
        <v>-0.25</v>
      </c>
      <c r="G77" t="n">
        <v>78</v>
      </c>
      <c r="H77" t="n">
        <v>12</v>
      </c>
      <c r="I77" t="s">
        <v>276</v>
      </c>
      <c r="J77" t="n">
        <v>0</v>
      </c>
      <c r="K77" t="n">
        <v>0</v>
      </c>
      <c r="L77" t="n">
        <v>0</v>
      </c>
      <c r="M77" t="n">
        <v>12</v>
      </c>
      <c r="N77" t="n">
        <v>-1</v>
      </c>
      <c r="O77" t="n">
        <v>-0.25</v>
      </c>
      <c r="P77" t="n">
        <v>78</v>
      </c>
      <c r="Q77" t="n">
        <v>12</v>
      </c>
      <c r="R77" t="s">
        <v>276</v>
      </c>
      <c r="S77" t="s">
        <v>285</v>
      </c>
      <c r="T77" t="n">
        <v>-1</v>
      </c>
    </row>
    <row r="78">
      <c r="A78" t="s">
        <v>31</v>
      </c>
      <c r="B78" t="n">
        <v>1.04</v>
      </c>
      <c r="C78" t="n">
        <v>0.9</v>
      </c>
      <c r="D78" t="n">
        <v>1.06</v>
      </c>
      <c r="E78" t="n">
        <v>-6.5</v>
      </c>
      <c r="F78" t="n">
        <v>-0.5</v>
      </c>
      <c r="G78" t="n">
        <v>12</v>
      </c>
      <c r="H78" t="n">
        <v>12</v>
      </c>
      <c r="I78" t="s">
        <v>275</v>
      </c>
      <c r="J78" t="n">
        <v>0</v>
      </c>
      <c r="K78" t="n">
        <v>0</v>
      </c>
      <c r="L78" t="n">
        <v>0</v>
      </c>
      <c r="M78" t="n">
        <v>12</v>
      </c>
      <c r="N78" t="n">
        <v>0</v>
      </c>
      <c r="O78" t="n">
        <v>-0.25</v>
      </c>
      <c r="P78" t="n">
        <v>5</v>
      </c>
      <c r="Q78" t="n">
        <v>12</v>
      </c>
      <c r="R78" t="s">
        <v>275</v>
      </c>
      <c r="S78" t="s">
        <v>278</v>
      </c>
      <c r="T78" t="n">
        <v>-0.25</v>
      </c>
    </row>
    <row r="79">
      <c r="A79" t="s">
        <v>31</v>
      </c>
      <c r="B79" t="n">
        <v>1.1</v>
      </c>
      <c r="C79" t="n">
        <v>0.95</v>
      </c>
      <c r="D79" t="n">
        <v>1.11</v>
      </c>
      <c r="E79" t="n">
        <v>-6.75</v>
      </c>
      <c r="F79" t="n">
        <v>-0.25</v>
      </c>
      <c r="G79" t="n">
        <v>21</v>
      </c>
      <c r="H79" t="n">
        <v>12</v>
      </c>
      <c r="I79" t="s">
        <v>280</v>
      </c>
      <c r="J79" t="n">
        <v>0</v>
      </c>
      <c r="K79" t="n">
        <v>0</v>
      </c>
      <c r="L79" t="n">
        <v>0</v>
      </c>
      <c r="M79" t="n">
        <v>12</v>
      </c>
      <c r="N79" t="n">
        <v>0</v>
      </c>
      <c r="O79" t="n">
        <v>-0.25</v>
      </c>
      <c r="P79" t="n">
        <v>35</v>
      </c>
      <c r="Q79" t="n">
        <v>12</v>
      </c>
      <c r="R79" t="s">
        <v>280</v>
      </c>
      <c r="S79" t="s">
        <v>277</v>
      </c>
      <c r="T79" t="n">
        <v>-0.25</v>
      </c>
    </row>
    <row r="80">
      <c r="A80" t="s">
        <v>31</v>
      </c>
      <c r="B80" t="n">
        <v>0.97</v>
      </c>
      <c r="C80" t="n">
        <v>0.59</v>
      </c>
      <c r="D80" t="n">
        <v>0.93</v>
      </c>
      <c r="E80" t="n">
        <v>-3.25</v>
      </c>
      <c r="F80" t="n">
        <v>-0.25</v>
      </c>
      <c r="G80" t="n">
        <v>169</v>
      </c>
      <c r="H80" t="n">
        <v>12</v>
      </c>
      <c r="I80" t="s">
        <v>277</v>
      </c>
      <c r="J80" t="n">
        <v>0</v>
      </c>
      <c r="K80" t="n">
        <v>0</v>
      </c>
      <c r="L80" t="n">
        <v>0</v>
      </c>
      <c r="M80" t="n">
        <v>12</v>
      </c>
      <c r="N80" t="n">
        <v>-1</v>
      </c>
      <c r="O80" t="n">
        <v>0</v>
      </c>
      <c r="P80" t="n">
        <v>82</v>
      </c>
      <c r="Q80" t="n">
        <v>12</v>
      </c>
      <c r="R80" t="s">
        <v>278</v>
      </c>
      <c r="S80" t="s">
        <v>290</v>
      </c>
      <c r="T80" t="n">
        <v>-1</v>
      </c>
    </row>
    <row r="81">
      <c r="A81" t="s">
        <v>31</v>
      </c>
      <c r="B81" t="n">
        <v>1.04</v>
      </c>
      <c r="C81" t="n">
        <v>0.89</v>
      </c>
      <c r="D81" t="n">
        <v>1.04</v>
      </c>
      <c r="E81" t="n">
        <v>-4</v>
      </c>
      <c r="F81" t="n">
        <v>-0.25</v>
      </c>
      <c r="G81" t="n">
        <v>12</v>
      </c>
      <c r="H81" t="n">
        <v>12</v>
      </c>
      <c r="I81" t="s">
        <v>275</v>
      </c>
      <c r="J81" t="n">
        <v>0</v>
      </c>
      <c r="K81" t="n">
        <v>0</v>
      </c>
      <c r="L81" t="n">
        <v>0</v>
      </c>
      <c r="M81" t="n">
        <v>12</v>
      </c>
      <c r="N81" t="n">
        <v>0.5</v>
      </c>
      <c r="O81" t="n">
        <v>-0.25</v>
      </c>
      <c r="P81" t="n">
        <v>3</v>
      </c>
      <c r="Q81" t="n">
        <v>12</v>
      </c>
      <c r="R81" t="s">
        <v>275</v>
      </c>
      <c r="S81" t="s">
        <v>287</v>
      </c>
      <c r="T81" t="n">
        <v>0.25</v>
      </c>
    </row>
    <row r="82">
      <c r="A82" t="s">
        <v>31</v>
      </c>
      <c r="B82" t="n">
        <v>1.08</v>
      </c>
      <c r="C82" t="n">
        <v>1.06</v>
      </c>
      <c r="D82" t="n">
        <v>1.17</v>
      </c>
      <c r="E82" t="n">
        <v>-4.5</v>
      </c>
      <c r="F82" t="n">
        <v>-0.75</v>
      </c>
      <c r="G82" t="n">
        <v>77</v>
      </c>
      <c r="H82" t="n">
        <v>12</v>
      </c>
      <c r="I82" t="s">
        <v>280</v>
      </c>
      <c r="J82" t="n">
        <v>0</v>
      </c>
      <c r="K82" t="n">
        <v>0</v>
      </c>
      <c r="L82" t="n">
        <v>0</v>
      </c>
      <c r="M82" t="n">
        <v>12</v>
      </c>
      <c r="N82" t="n">
        <v>-1</v>
      </c>
      <c r="O82" t="n">
        <v>-0.25</v>
      </c>
      <c r="P82" t="n">
        <v>117</v>
      </c>
      <c r="Q82" t="n">
        <v>12</v>
      </c>
      <c r="R82" t="s">
        <v>284</v>
      </c>
      <c r="S82" t="s">
        <v>275</v>
      </c>
      <c r="T82" t="n">
        <v>-1</v>
      </c>
    </row>
    <row r="83">
      <c r="A83" t="s">
        <v>31</v>
      </c>
      <c r="B83" t="n">
        <v>1.05</v>
      </c>
      <c r="C83" t="n">
        <v>0.85</v>
      </c>
      <c r="D83" t="n">
        <v>1.06</v>
      </c>
      <c r="E83" t="n">
        <v>-3</v>
      </c>
      <c r="F83" t="n">
        <v>-0.75</v>
      </c>
      <c r="G83" t="n">
        <v>7</v>
      </c>
      <c r="H83" t="n">
        <v>12</v>
      </c>
      <c r="I83" t="s">
        <v>275</v>
      </c>
      <c r="J83" t="n">
        <v>0</v>
      </c>
      <c r="K83" t="n">
        <v>0</v>
      </c>
      <c r="L83" t="n">
        <v>0</v>
      </c>
      <c r="M83" t="n">
        <v>12</v>
      </c>
      <c r="N83" t="n">
        <v>-0.75</v>
      </c>
      <c r="O83" t="n">
        <v>0</v>
      </c>
      <c r="P83" t="n">
        <v>13</v>
      </c>
      <c r="Q83" t="n">
        <v>12</v>
      </c>
      <c r="R83" t="s">
        <v>275</v>
      </c>
      <c r="S83" t="s">
        <v>285</v>
      </c>
      <c r="T83" t="n">
        <v>-0.75</v>
      </c>
    </row>
    <row r="84">
      <c r="A84" t="s">
        <v>31</v>
      </c>
      <c r="B84" t="n">
        <v>1.15</v>
      </c>
      <c r="C84" t="n">
        <v>1.07</v>
      </c>
      <c r="D84" t="n">
        <v>1.13</v>
      </c>
      <c r="E84" t="n">
        <v>-3</v>
      </c>
      <c r="F84" t="n">
        <v>-0.5</v>
      </c>
      <c r="G84" t="n">
        <v>12</v>
      </c>
      <c r="H84" t="n">
        <v>12</v>
      </c>
      <c r="I84" t="s">
        <v>284</v>
      </c>
      <c r="J84" t="n">
        <v>0</v>
      </c>
      <c r="K84" t="n">
        <v>0</v>
      </c>
      <c r="L84" t="n">
        <v>0</v>
      </c>
      <c r="M84" t="n">
        <v>12</v>
      </c>
      <c r="N84" t="n">
        <v>-0.5</v>
      </c>
      <c r="O84" t="n">
        <v>-0.25</v>
      </c>
      <c r="P84" t="n">
        <v>17</v>
      </c>
      <c r="Q84" t="n">
        <v>12</v>
      </c>
      <c r="R84" t="s">
        <v>284</v>
      </c>
      <c r="S84" t="s">
        <v>275</v>
      </c>
      <c r="T84" t="n">
        <v>-0.5</v>
      </c>
    </row>
    <row r="85">
      <c r="A85" t="s">
        <v>31</v>
      </c>
      <c r="B85" t="n">
        <v>0.96</v>
      </c>
      <c r="C85" t="n">
        <v>0.92</v>
      </c>
      <c r="D85" t="n">
        <v>1</v>
      </c>
      <c r="E85" t="n">
        <v>-5.25</v>
      </c>
      <c r="F85" t="n">
        <v>-0.5</v>
      </c>
      <c r="G85" t="n">
        <v>156</v>
      </c>
      <c r="H85" t="n">
        <v>12</v>
      </c>
      <c r="I85" t="s">
        <v>277</v>
      </c>
      <c r="J85" t="n">
        <v>0</v>
      </c>
      <c r="K85" t="n">
        <v>0</v>
      </c>
      <c r="L85" t="n">
        <v>0</v>
      </c>
      <c r="M85" t="n">
        <v>12</v>
      </c>
      <c r="N85" t="n">
        <v>0.5</v>
      </c>
      <c r="O85" t="n">
        <v>-0.5</v>
      </c>
      <c r="P85" t="n">
        <v>1</v>
      </c>
      <c r="Q85" t="n">
        <v>12</v>
      </c>
      <c r="R85" t="s">
        <v>276</v>
      </c>
      <c r="S85" t="s">
        <v>278</v>
      </c>
      <c r="T85" t="n">
        <v>0.25</v>
      </c>
    </row>
    <row r="86">
      <c r="A86" t="s">
        <v>31</v>
      </c>
      <c r="B86" t="n">
        <v>0.97</v>
      </c>
      <c r="C86" t="n">
        <v>0.76</v>
      </c>
      <c r="D86" t="n">
        <v>0.96</v>
      </c>
      <c r="E86" t="n">
        <v>-3.75</v>
      </c>
      <c r="F86" t="n">
        <v>-0.5</v>
      </c>
      <c r="G86" t="n">
        <v>174</v>
      </c>
      <c r="H86" t="n">
        <v>12</v>
      </c>
      <c r="I86" t="s">
        <v>277</v>
      </c>
      <c r="J86" t="n">
        <v>0</v>
      </c>
      <c r="K86" t="n">
        <v>0</v>
      </c>
      <c r="L86" t="n">
        <v>0</v>
      </c>
      <c r="M86" t="n">
        <v>12</v>
      </c>
      <c r="N86" t="n">
        <v>1</v>
      </c>
      <c r="O86" t="n">
        <v>-0.25</v>
      </c>
      <c r="P86" t="n">
        <v>9</v>
      </c>
      <c r="Q86" t="n">
        <v>12</v>
      </c>
      <c r="R86" t="s">
        <v>277</v>
      </c>
      <c r="S86" t="s">
        <v>288</v>
      </c>
      <c r="T86" t="n">
        <v>0.75</v>
      </c>
    </row>
    <row r="87">
      <c r="A87" t="s">
        <v>31</v>
      </c>
      <c r="B87" t="n">
        <v>1.08</v>
      </c>
      <c r="C87" t="n">
        <v>1.01</v>
      </c>
      <c r="D87" t="n">
        <v>1.1</v>
      </c>
      <c r="E87" t="n">
        <v>-1.75</v>
      </c>
      <c r="F87" t="n">
        <v>-1</v>
      </c>
      <c r="G87" t="n">
        <v>59</v>
      </c>
      <c r="H87" t="n">
        <v>12</v>
      </c>
      <c r="I87" t="s">
        <v>280</v>
      </c>
      <c r="J87" t="n">
        <v>0</v>
      </c>
      <c r="K87" t="n">
        <v>0</v>
      </c>
      <c r="L87" t="n">
        <v>0</v>
      </c>
      <c r="M87" t="n">
        <v>12</v>
      </c>
      <c r="N87" t="n">
        <v>0.5</v>
      </c>
      <c r="O87" t="n">
        <v>-0.5</v>
      </c>
      <c r="P87" t="n">
        <v>84</v>
      </c>
      <c r="Q87" t="n">
        <v>12</v>
      </c>
      <c r="R87" t="s">
        <v>280</v>
      </c>
      <c r="S87" t="s">
        <v>276</v>
      </c>
      <c r="T87" t="n">
        <v>0.25</v>
      </c>
    </row>
    <row r="88">
      <c r="A88" t="s">
        <v>31</v>
      </c>
      <c r="B88" t="n">
        <v>1.09</v>
      </c>
      <c r="C88" t="n">
        <v>0.94</v>
      </c>
      <c r="D88" t="n">
        <v>1.11</v>
      </c>
      <c r="E88" t="n">
        <v>-7.5</v>
      </c>
      <c r="F88" t="n">
        <v>-0.5</v>
      </c>
      <c r="G88" t="n">
        <v>76</v>
      </c>
      <c r="H88" t="n">
        <v>12</v>
      </c>
      <c r="I88" t="s">
        <v>280</v>
      </c>
      <c r="J88" t="n">
        <v>0</v>
      </c>
      <c r="K88" t="n">
        <v>0</v>
      </c>
      <c r="L88" t="n">
        <v>0</v>
      </c>
      <c r="M88" t="n">
        <v>12</v>
      </c>
      <c r="N88" t="n">
        <v>0.5</v>
      </c>
      <c r="O88" t="n">
        <v>-0.25</v>
      </c>
      <c r="P88" t="n">
        <v>50</v>
      </c>
      <c r="Q88" t="n">
        <v>12</v>
      </c>
      <c r="R88" t="s">
        <v>280</v>
      </c>
      <c r="S88" t="s">
        <v>277</v>
      </c>
      <c r="T88" t="n">
        <v>0.25</v>
      </c>
    </row>
    <row r="89">
      <c r="A89" t="s">
        <v>31</v>
      </c>
      <c r="B89" t="n">
        <v>1.02</v>
      </c>
      <c r="C89" t="n">
        <v>0.8</v>
      </c>
      <c r="D89" t="n">
        <v>1.03</v>
      </c>
      <c r="E89" t="n">
        <v>-3.5</v>
      </c>
      <c r="F89" t="n">
        <v>0</v>
      </c>
      <c r="G89" t="n">
        <v>179</v>
      </c>
      <c r="H89" t="n">
        <v>12</v>
      </c>
      <c r="I89" t="s">
        <v>276</v>
      </c>
      <c r="J89" t="n">
        <v>0</v>
      </c>
      <c r="K89" t="n">
        <v>0</v>
      </c>
      <c r="L89" t="n">
        <v>0</v>
      </c>
      <c r="M89" t="n">
        <v>12</v>
      </c>
      <c r="N89" t="n">
        <v>-0.75</v>
      </c>
      <c r="O89" t="n">
        <v>0</v>
      </c>
      <c r="P89" t="n">
        <v>20</v>
      </c>
      <c r="Q89" t="n">
        <v>12</v>
      </c>
      <c r="R89" t="s">
        <v>275</v>
      </c>
      <c r="S89" t="s">
        <v>279</v>
      </c>
      <c r="T89" t="n">
        <v>-0.75</v>
      </c>
    </row>
    <row r="90">
      <c r="A90" t="s">
        <v>31</v>
      </c>
      <c r="B90" t="n">
        <v>1.01</v>
      </c>
      <c r="C90" t="n">
        <v>0.94</v>
      </c>
      <c r="D90" t="n">
        <v>1.02</v>
      </c>
      <c r="E90" t="n">
        <v>-4.25</v>
      </c>
      <c r="F90" t="n">
        <v>-0.25</v>
      </c>
      <c r="G90" t="n">
        <v>100</v>
      </c>
      <c r="H90" t="n">
        <v>12</v>
      </c>
      <c r="I90" t="s">
        <v>276</v>
      </c>
      <c r="J90" t="n">
        <v>0</v>
      </c>
      <c r="K90" t="n">
        <v>0</v>
      </c>
      <c r="L90" t="n">
        <v>0</v>
      </c>
      <c r="M90" t="n">
        <v>12</v>
      </c>
      <c r="N90" t="n">
        <v>0</v>
      </c>
      <c r="O90" t="n">
        <v>-0.25</v>
      </c>
      <c r="P90" t="n">
        <v>102</v>
      </c>
      <c r="Q90" t="n">
        <v>12</v>
      </c>
      <c r="R90" t="s">
        <v>276</v>
      </c>
      <c r="S90" t="s">
        <v>277</v>
      </c>
      <c r="T90" t="n">
        <v>0</v>
      </c>
    </row>
    <row r="91">
      <c r="A91" t="s">
        <v>31</v>
      </c>
      <c r="B91" t="n">
        <v>0.87</v>
      </c>
      <c r="C91" t="n">
        <v>0.64</v>
      </c>
      <c r="D91" t="n">
        <v>0.84</v>
      </c>
      <c r="E91" t="n">
        <v>-3.75</v>
      </c>
      <c r="F91" t="n">
        <v>-0.75</v>
      </c>
      <c r="G91" t="n">
        <v>172</v>
      </c>
      <c r="H91" t="n">
        <v>12</v>
      </c>
      <c r="I91" t="s">
        <v>287</v>
      </c>
      <c r="J91" t="n">
        <v>0</v>
      </c>
      <c r="K91" t="n">
        <v>0</v>
      </c>
      <c r="L91" t="n">
        <v>0</v>
      </c>
      <c r="M91" t="n">
        <v>12</v>
      </c>
      <c r="N91" t="n">
        <v>0</v>
      </c>
      <c r="O91" t="n">
        <v>-0.25</v>
      </c>
      <c r="P91" t="n">
        <v>159</v>
      </c>
      <c r="Q91" t="n">
        <v>12</v>
      </c>
      <c r="R91" t="s">
        <v>285</v>
      </c>
      <c r="S91" t="s">
        <v>291</v>
      </c>
      <c r="T91" t="n">
        <v>-0.25</v>
      </c>
    </row>
    <row r="92">
      <c r="A92" t="s">
        <v>31</v>
      </c>
      <c r="B92" t="n">
        <v>1.09</v>
      </c>
      <c r="C92" t="n">
        <v>1.05</v>
      </c>
      <c r="D92" t="n">
        <v>1.18</v>
      </c>
      <c r="E92" t="n">
        <v>-3.25</v>
      </c>
      <c r="F92" t="n">
        <v>-0.5</v>
      </c>
      <c r="G92" t="n">
        <v>1</v>
      </c>
      <c r="H92" t="n">
        <v>12</v>
      </c>
      <c r="I92" t="s">
        <v>280</v>
      </c>
      <c r="J92" t="n">
        <v>0</v>
      </c>
      <c r="K92" t="n">
        <v>0</v>
      </c>
      <c r="L92" t="n">
        <v>0</v>
      </c>
      <c r="M92" t="n">
        <v>12</v>
      </c>
      <c r="N92" t="n">
        <v>0</v>
      </c>
      <c r="O92" t="n">
        <v>-0.25</v>
      </c>
      <c r="P92" t="n">
        <v>148</v>
      </c>
      <c r="Q92" t="n">
        <v>12</v>
      </c>
      <c r="R92" t="s">
        <v>281</v>
      </c>
      <c r="S92" t="s">
        <v>275</v>
      </c>
      <c r="T92" t="n">
        <v>-0.25</v>
      </c>
    </row>
    <row r="93">
      <c r="A93" t="s">
        <v>31</v>
      </c>
      <c r="B93" t="n">
        <v>1.12</v>
      </c>
      <c r="C93" t="n">
        <v>0.78</v>
      </c>
      <c r="D93" t="n">
        <v>1.06</v>
      </c>
      <c r="E93" t="n">
        <v>-6.75</v>
      </c>
      <c r="F93" t="n">
        <v>0</v>
      </c>
      <c r="G93" t="n">
        <v>22</v>
      </c>
      <c r="H93" t="n">
        <v>12</v>
      </c>
      <c r="I93" t="s">
        <v>280</v>
      </c>
      <c r="J93" t="n">
        <v>0</v>
      </c>
      <c r="K93" t="n">
        <v>0</v>
      </c>
      <c r="L93" t="n">
        <v>0</v>
      </c>
      <c r="M93" t="n">
        <v>12</v>
      </c>
      <c r="N93" t="n">
        <v>0</v>
      </c>
      <c r="O93" t="n">
        <v>-0.25</v>
      </c>
      <c r="P93" t="n">
        <v>97</v>
      </c>
      <c r="Q93" t="n">
        <v>12</v>
      </c>
      <c r="R93" t="s">
        <v>275</v>
      </c>
      <c r="S93" t="s">
        <v>279</v>
      </c>
      <c r="T93" t="n">
        <v>-0.25</v>
      </c>
    </row>
    <row r="94">
      <c r="A94" t="s">
        <v>31</v>
      </c>
      <c r="B94" t="n">
        <v>1.01</v>
      </c>
      <c r="C94" t="n">
        <v>0.89</v>
      </c>
      <c r="D94" t="n">
        <v>0.99</v>
      </c>
      <c r="E94" t="n">
        <v>-6</v>
      </c>
      <c r="F94" t="n">
        <v>0</v>
      </c>
      <c r="G94" t="n">
        <v>87</v>
      </c>
      <c r="H94" t="n">
        <v>12</v>
      </c>
      <c r="I94" t="s">
        <v>276</v>
      </c>
      <c r="J94" t="n">
        <v>0</v>
      </c>
      <c r="K94" t="n">
        <v>0</v>
      </c>
      <c r="L94" t="n">
        <v>0</v>
      </c>
      <c r="M94" t="n">
        <v>12</v>
      </c>
      <c r="N94" t="n">
        <v>-0.5</v>
      </c>
      <c r="O94" t="n">
        <v>-0.25</v>
      </c>
      <c r="P94" t="n">
        <v>160</v>
      </c>
      <c r="Q94" t="n">
        <v>12</v>
      </c>
      <c r="R94" t="s">
        <v>276</v>
      </c>
      <c r="S94" t="s">
        <v>287</v>
      </c>
      <c r="T94" t="n">
        <v>-0.5</v>
      </c>
    </row>
    <row r="95">
      <c r="A95" t="s">
        <v>31</v>
      </c>
      <c r="B95" t="n">
        <v>1.02</v>
      </c>
      <c r="C95" t="n">
        <v>0.88</v>
      </c>
      <c r="D95" t="n">
        <v>1.03</v>
      </c>
      <c r="E95" t="n">
        <v>-2.5</v>
      </c>
      <c r="F95" t="n">
        <v>-0.25</v>
      </c>
      <c r="G95" t="n">
        <v>177</v>
      </c>
      <c r="H95" t="n">
        <v>12</v>
      </c>
      <c r="I95" t="s">
        <v>276</v>
      </c>
      <c r="J95" t="n">
        <v>0</v>
      </c>
      <c r="K95" t="n">
        <v>0</v>
      </c>
      <c r="L95" t="n">
        <v>0</v>
      </c>
      <c r="M95" t="n">
        <v>12</v>
      </c>
      <c r="N95" t="n">
        <v>1</v>
      </c>
      <c r="O95" t="n">
        <v>-0.25</v>
      </c>
      <c r="P95" t="n">
        <v>161</v>
      </c>
      <c r="Q95" t="n">
        <v>12</v>
      </c>
      <c r="R95" t="s">
        <v>275</v>
      </c>
      <c r="S95" t="s">
        <v>287</v>
      </c>
      <c r="T95" t="n">
        <v>0.75</v>
      </c>
    </row>
    <row r="96">
      <c r="A96" t="s">
        <v>31</v>
      </c>
      <c r="B96" t="n">
        <v>1</v>
      </c>
      <c r="C96" t="n">
        <v>0.65</v>
      </c>
      <c r="D96" t="n">
        <v>0.93</v>
      </c>
      <c r="E96" t="n">
        <v>-5</v>
      </c>
      <c r="F96" t="n">
        <v>0</v>
      </c>
      <c r="G96" t="n">
        <v>92</v>
      </c>
      <c r="H96" t="n">
        <v>12</v>
      </c>
      <c r="I96" t="s">
        <v>276</v>
      </c>
      <c r="J96" t="n">
        <v>0</v>
      </c>
      <c r="K96" t="n">
        <v>0</v>
      </c>
      <c r="L96" t="n">
        <v>0</v>
      </c>
      <c r="M96" t="n">
        <v>12</v>
      </c>
      <c r="N96" t="n">
        <v>-1</v>
      </c>
      <c r="O96" t="n">
        <v>0</v>
      </c>
      <c r="P96" t="n">
        <v>108</v>
      </c>
      <c r="Q96" t="n">
        <v>12</v>
      </c>
      <c r="R96" t="s">
        <v>278</v>
      </c>
      <c r="S96" t="s">
        <v>292</v>
      </c>
      <c r="T96" t="n">
        <v>-1</v>
      </c>
    </row>
    <row r="97">
      <c r="A97" t="s">
        <v>31</v>
      </c>
      <c r="B97" t="n">
        <v>0.95</v>
      </c>
      <c r="C97" t="n">
        <v>0.68</v>
      </c>
      <c r="D97" t="n">
        <v>0.89</v>
      </c>
      <c r="E97" t="n">
        <v>-6.25</v>
      </c>
      <c r="F97" t="n">
        <v>-0.25</v>
      </c>
      <c r="G97" t="n">
        <v>84</v>
      </c>
      <c r="H97" t="n">
        <v>12</v>
      </c>
      <c r="I97" t="s">
        <v>277</v>
      </c>
      <c r="J97" t="n">
        <v>0</v>
      </c>
      <c r="K97" t="n">
        <v>0</v>
      </c>
      <c r="L97" t="n">
        <v>0</v>
      </c>
      <c r="M97" t="n">
        <v>12</v>
      </c>
      <c r="N97" t="n">
        <v>0.5</v>
      </c>
      <c r="O97" t="n">
        <v>0</v>
      </c>
      <c r="P97" t="n">
        <v>66</v>
      </c>
      <c r="Q97" t="n">
        <v>12</v>
      </c>
      <c r="R97" t="s">
        <v>287</v>
      </c>
      <c r="S97" t="s">
        <v>286</v>
      </c>
      <c r="T97" t="n">
        <v>0.5</v>
      </c>
    </row>
    <row r="98">
      <c r="A98" t="s">
        <v>31</v>
      </c>
      <c r="B98" t="n">
        <v>1.07</v>
      </c>
      <c r="C98" t="n">
        <v>0.83</v>
      </c>
      <c r="D98" t="n">
        <v>0.99</v>
      </c>
      <c r="E98" t="n">
        <v>-4.25</v>
      </c>
      <c r="F98" t="n">
        <v>-2</v>
      </c>
      <c r="G98" t="n">
        <v>39</v>
      </c>
      <c r="H98" t="n">
        <v>12</v>
      </c>
      <c r="I98" t="s">
        <v>275</v>
      </c>
      <c r="J98" t="n">
        <v>0</v>
      </c>
      <c r="K98" t="n">
        <v>0</v>
      </c>
      <c r="L98" t="n">
        <v>0</v>
      </c>
      <c r="M98" t="n">
        <v>12</v>
      </c>
      <c r="N98" t="n">
        <v>0</v>
      </c>
      <c r="O98" t="n">
        <v>-0.25</v>
      </c>
      <c r="P98" t="n">
        <v>32</v>
      </c>
      <c r="Q98" t="n">
        <v>12</v>
      </c>
      <c r="R98" t="s">
        <v>276</v>
      </c>
      <c r="S98" t="s">
        <v>285</v>
      </c>
      <c r="T98" t="n">
        <v>0</v>
      </c>
    </row>
    <row r="99">
      <c r="A99" t="s">
        <v>31</v>
      </c>
      <c r="B99" t="n">
        <v>1.07</v>
      </c>
      <c r="C99" t="n">
        <v>0.97</v>
      </c>
      <c r="D99" t="n">
        <v>1.06</v>
      </c>
      <c r="E99" t="n">
        <v>-6</v>
      </c>
      <c r="F99" t="n">
        <v>-1.25</v>
      </c>
      <c r="G99" t="n">
        <v>33</v>
      </c>
      <c r="H99" t="n">
        <v>12</v>
      </c>
      <c r="I99" t="s">
        <v>275</v>
      </c>
      <c r="J99" t="n">
        <v>0</v>
      </c>
      <c r="K99" t="n">
        <v>0</v>
      </c>
      <c r="L99" t="n">
        <v>0</v>
      </c>
      <c r="M99" t="n">
        <v>12</v>
      </c>
      <c r="N99" t="n">
        <v>0.5</v>
      </c>
      <c r="O99" t="n">
        <v>0</v>
      </c>
      <c r="P99" t="n">
        <v>20</v>
      </c>
      <c r="Q99" t="n">
        <v>12</v>
      </c>
      <c r="R99" t="s">
        <v>275</v>
      </c>
      <c r="S99" t="s">
        <v>277</v>
      </c>
      <c r="T99" t="n">
        <v>0.5</v>
      </c>
    </row>
    <row r="100">
      <c r="A100" t="s">
        <v>31</v>
      </c>
      <c r="B100" t="n">
        <v>1</v>
      </c>
      <c r="C100" t="n">
        <v>0.97</v>
      </c>
      <c r="D100" t="n">
        <v>1.03</v>
      </c>
      <c r="E100" t="n">
        <v>-4.25</v>
      </c>
      <c r="F100" t="n">
        <v>-0.75</v>
      </c>
      <c r="G100" t="n">
        <v>171</v>
      </c>
      <c r="H100" t="n">
        <v>12</v>
      </c>
      <c r="I100" t="s">
        <v>276</v>
      </c>
      <c r="J100" t="n">
        <v>0</v>
      </c>
      <c r="K100" t="n">
        <v>0</v>
      </c>
      <c r="L100" t="n">
        <v>0</v>
      </c>
      <c r="M100" t="n">
        <v>12</v>
      </c>
      <c r="N100" t="n">
        <v>-0.5</v>
      </c>
      <c r="O100" t="n">
        <v>0</v>
      </c>
      <c r="P100" t="n">
        <v>11</v>
      </c>
      <c r="Q100" t="n">
        <v>12</v>
      </c>
      <c r="R100" t="s">
        <v>275</v>
      </c>
      <c r="S100" t="s">
        <v>277</v>
      </c>
      <c r="T100" t="n">
        <v>-0.5</v>
      </c>
    </row>
    <row r="101">
      <c r="A101" t="s">
        <v>31</v>
      </c>
      <c r="B101" t="n">
        <v>1.02</v>
      </c>
      <c r="C101" t="n">
        <v>0.9</v>
      </c>
      <c r="D101" t="n">
        <v>1.01</v>
      </c>
      <c r="E101" t="n">
        <v>-4.25</v>
      </c>
      <c r="F101" t="n">
        <v>-0.5</v>
      </c>
      <c r="G101" t="n">
        <v>77</v>
      </c>
      <c r="H101" t="n">
        <v>12</v>
      </c>
      <c r="I101" t="s">
        <v>276</v>
      </c>
      <c r="J101" t="n">
        <v>0</v>
      </c>
      <c r="K101" t="n">
        <v>0</v>
      </c>
      <c r="L101" t="n">
        <v>0</v>
      </c>
      <c r="M101" t="n">
        <v>12</v>
      </c>
      <c r="N101" t="n">
        <v>0</v>
      </c>
      <c r="O101" t="n">
        <v>-0.25</v>
      </c>
      <c r="P101" t="n">
        <v>67</v>
      </c>
      <c r="Q101" t="n">
        <v>12</v>
      </c>
      <c r="R101" t="s">
        <v>276</v>
      </c>
      <c r="S101" t="s">
        <v>278</v>
      </c>
      <c r="T101" t="n">
        <v>0</v>
      </c>
    </row>
    <row r="102">
      <c r="A102" t="s">
        <v>31</v>
      </c>
      <c r="B102" t="n">
        <v>1.03</v>
      </c>
      <c r="C102" t="n">
        <v>0.92</v>
      </c>
      <c r="D102" t="n">
        <v>1.02</v>
      </c>
      <c r="E102" t="n">
        <v>-3.75</v>
      </c>
      <c r="F102" t="n">
        <v>-0.25</v>
      </c>
      <c r="G102" t="n">
        <v>140</v>
      </c>
      <c r="H102" t="n">
        <v>12</v>
      </c>
      <c r="I102" t="s">
        <v>275</v>
      </c>
      <c r="J102" t="n">
        <v>0</v>
      </c>
      <c r="K102" t="n">
        <v>0</v>
      </c>
      <c r="L102" t="n">
        <v>0</v>
      </c>
      <c r="M102" t="n">
        <v>12</v>
      </c>
      <c r="N102" t="n">
        <v>-0.5</v>
      </c>
      <c r="O102" t="n">
        <v>-0.25</v>
      </c>
      <c r="P102" t="n">
        <v>142</v>
      </c>
      <c r="Q102" t="n">
        <v>12</v>
      </c>
      <c r="R102" t="s">
        <v>276</v>
      </c>
      <c r="S102" t="s">
        <v>278</v>
      </c>
      <c r="T102" t="n">
        <v>-0.5</v>
      </c>
    </row>
    <row r="103">
      <c r="A103" t="s">
        <v>31</v>
      </c>
      <c r="B103" t="n">
        <v>0.96</v>
      </c>
      <c r="C103" t="n">
        <v>0.85</v>
      </c>
      <c r="D103" t="n">
        <v>1</v>
      </c>
      <c r="E103" t="n">
        <v>-3.75</v>
      </c>
      <c r="F103" t="n">
        <v>-0.5</v>
      </c>
      <c r="G103" t="n">
        <v>170</v>
      </c>
      <c r="H103" t="n">
        <v>12</v>
      </c>
      <c r="I103" t="s">
        <v>277</v>
      </c>
      <c r="J103" t="n">
        <v>0</v>
      </c>
      <c r="K103" t="n">
        <v>0</v>
      </c>
      <c r="L103" t="n">
        <v>0</v>
      </c>
      <c r="M103" t="n">
        <v>12</v>
      </c>
      <c r="N103" t="n">
        <v>0</v>
      </c>
      <c r="O103" t="n">
        <v>-0.25</v>
      </c>
      <c r="P103" t="n">
        <v>172</v>
      </c>
      <c r="Q103" t="n">
        <v>12</v>
      </c>
      <c r="R103" t="s">
        <v>276</v>
      </c>
      <c r="S103" t="s">
        <v>285</v>
      </c>
      <c r="T103" t="n">
        <v>-0.25</v>
      </c>
    </row>
    <row r="104">
      <c r="A104" t="s">
        <v>31</v>
      </c>
      <c r="B104" t="n">
        <v>1.02</v>
      </c>
      <c r="C104" t="n">
        <v>0.92</v>
      </c>
      <c r="D104" t="n">
        <v>1</v>
      </c>
      <c r="E104" t="n">
        <v>-1.75</v>
      </c>
      <c r="F104" t="n">
        <v>-1</v>
      </c>
      <c r="G104" t="n">
        <v>56</v>
      </c>
      <c r="H104" t="n">
        <v>12</v>
      </c>
      <c r="I104" t="s">
        <v>276</v>
      </c>
      <c r="J104" t="n">
        <v>0</v>
      </c>
      <c r="K104" t="n">
        <v>0</v>
      </c>
      <c r="L104" t="n">
        <v>0</v>
      </c>
      <c r="M104" t="n">
        <v>12</v>
      </c>
      <c r="N104" t="n">
        <v>0</v>
      </c>
      <c r="O104" t="n">
        <v>0</v>
      </c>
      <c r="P104" t="n">
        <v>53</v>
      </c>
      <c r="Q104" t="n">
        <v>12</v>
      </c>
      <c r="R104" t="s">
        <v>276</v>
      </c>
      <c r="S104" t="s">
        <v>278</v>
      </c>
      <c r="T104" t="n">
        <v>0</v>
      </c>
    </row>
    <row r="105">
      <c r="A105" t="s">
        <v>31</v>
      </c>
      <c r="B105" t="n">
        <v>1</v>
      </c>
      <c r="C105" t="n">
        <v>0.85</v>
      </c>
      <c r="D105" t="n">
        <v>0.95</v>
      </c>
      <c r="E105" t="n">
        <v>-8.5</v>
      </c>
      <c r="F105" t="n">
        <v>-0.5</v>
      </c>
      <c r="G105" t="n">
        <v>103</v>
      </c>
      <c r="H105" t="n">
        <v>12</v>
      </c>
      <c r="I105" t="s">
        <v>276</v>
      </c>
      <c r="J105" t="n">
        <v>0</v>
      </c>
      <c r="K105" t="n">
        <v>0</v>
      </c>
      <c r="L105" t="n">
        <v>0</v>
      </c>
      <c r="M105" t="n">
        <v>12</v>
      </c>
      <c r="N105" t="n">
        <v>0</v>
      </c>
      <c r="O105" t="n">
        <v>0</v>
      </c>
      <c r="P105" t="n">
        <v>27</v>
      </c>
      <c r="Q105" t="n">
        <v>12</v>
      </c>
      <c r="R105" t="s">
        <v>277</v>
      </c>
      <c r="S105" t="s">
        <v>285</v>
      </c>
      <c r="T105" t="n">
        <v>0</v>
      </c>
    </row>
    <row r="106">
      <c r="A106" t="s">
        <v>31</v>
      </c>
      <c r="B106" t="n">
        <v>0.99</v>
      </c>
      <c r="C106" t="n">
        <v>0.94</v>
      </c>
      <c r="D106" t="n">
        <v>1.02</v>
      </c>
      <c r="E106" t="n">
        <v>-8.75</v>
      </c>
      <c r="F106" t="n">
        <v>-1</v>
      </c>
      <c r="G106" t="n">
        <v>101</v>
      </c>
      <c r="H106" t="n">
        <v>12</v>
      </c>
      <c r="I106" t="s">
        <v>276</v>
      </c>
      <c r="J106" t="n">
        <v>0</v>
      </c>
      <c r="K106" t="n">
        <v>0</v>
      </c>
      <c r="L106" t="n">
        <v>0</v>
      </c>
      <c r="M106" t="n">
        <v>12</v>
      </c>
      <c r="N106" t="n">
        <v>0</v>
      </c>
      <c r="O106" t="n">
        <v>0</v>
      </c>
      <c r="P106" t="n">
        <v>32</v>
      </c>
      <c r="Q106" t="n">
        <v>12</v>
      </c>
      <c r="R106" t="s">
        <v>276</v>
      </c>
      <c r="S106" t="s">
        <v>277</v>
      </c>
      <c r="T106" t="n">
        <v>0</v>
      </c>
    </row>
    <row r="107">
      <c r="A107" t="s">
        <v>31</v>
      </c>
      <c r="B107" t="n">
        <v>0.99</v>
      </c>
      <c r="C107" t="n">
        <v>0.88</v>
      </c>
      <c r="D107" t="n">
        <v>0.96</v>
      </c>
      <c r="E107" t="n">
        <v>-4.5</v>
      </c>
      <c r="F107" t="n">
        <v>0</v>
      </c>
      <c r="G107" t="n">
        <v>155</v>
      </c>
      <c r="H107" t="n">
        <v>12</v>
      </c>
      <c r="I107" t="s">
        <v>276</v>
      </c>
      <c r="J107" t="n">
        <v>0</v>
      </c>
      <c r="K107" t="n">
        <v>0</v>
      </c>
      <c r="L107" t="n">
        <v>0</v>
      </c>
      <c r="M107" t="n">
        <v>12</v>
      </c>
      <c r="N107" t="n">
        <v>0</v>
      </c>
      <c r="O107" t="n">
        <v>-0.25</v>
      </c>
      <c r="P107" t="n">
        <v>161</v>
      </c>
      <c r="Q107" t="n">
        <v>12</v>
      </c>
      <c r="R107" t="s">
        <v>277</v>
      </c>
      <c r="S107" t="s">
        <v>287</v>
      </c>
      <c r="T107" t="n">
        <v>-0.25</v>
      </c>
    </row>
    <row r="108">
      <c r="A108" t="s">
        <v>31</v>
      </c>
      <c r="B108" t="n">
        <v>1.04</v>
      </c>
      <c r="C108" t="n">
        <v>1.02</v>
      </c>
      <c r="D108" t="n">
        <v>1.06</v>
      </c>
      <c r="E108" t="n">
        <v>-3</v>
      </c>
      <c r="F108" t="n">
        <v>-2</v>
      </c>
      <c r="G108" t="n">
        <v>170</v>
      </c>
      <c r="H108" t="n">
        <v>12</v>
      </c>
      <c r="I108" t="s">
        <v>275</v>
      </c>
      <c r="J108" t="n">
        <v>0</v>
      </c>
      <c r="K108" t="n">
        <v>0</v>
      </c>
      <c r="L108" t="n">
        <v>0</v>
      </c>
      <c r="M108" t="n">
        <v>12</v>
      </c>
      <c r="N108" t="n">
        <v>-0.25</v>
      </c>
      <c r="O108" t="n">
        <v>0</v>
      </c>
      <c r="P108" t="n">
        <v>164</v>
      </c>
      <c r="Q108" t="n">
        <v>12</v>
      </c>
      <c r="R108" t="s">
        <v>275</v>
      </c>
      <c r="S108" t="s">
        <v>276</v>
      </c>
      <c r="T108" t="n">
        <v>-0.25</v>
      </c>
    </row>
    <row r="109">
      <c r="A109" t="s">
        <v>31</v>
      </c>
      <c r="B109" t="n">
        <v>1.08</v>
      </c>
      <c r="C109" t="n">
        <v>0.87</v>
      </c>
      <c r="D109" t="n">
        <v>1.07</v>
      </c>
      <c r="E109" t="n">
        <v>-8</v>
      </c>
      <c r="F109" t="n">
        <v>-0.5</v>
      </c>
      <c r="G109" t="n">
        <v>103</v>
      </c>
      <c r="H109" t="n">
        <v>12</v>
      </c>
      <c r="I109" t="s">
        <v>280</v>
      </c>
      <c r="J109" t="n">
        <v>0</v>
      </c>
      <c r="K109" t="n">
        <v>0</v>
      </c>
      <c r="L109" t="n">
        <v>0</v>
      </c>
      <c r="M109" t="n">
        <v>12</v>
      </c>
      <c r="N109" t="n">
        <v>0.5</v>
      </c>
      <c r="O109" t="n">
        <v>-0.25</v>
      </c>
      <c r="P109" t="n">
        <v>103</v>
      </c>
      <c r="Q109" t="n">
        <v>12</v>
      </c>
      <c r="R109" t="s">
        <v>275</v>
      </c>
      <c r="S109" t="s">
        <v>287</v>
      </c>
      <c r="T109" t="n">
        <v>0.5</v>
      </c>
    </row>
    <row r="110">
      <c r="A110" t="s">
        <v>31</v>
      </c>
      <c r="B110" t="n">
        <v>1.09</v>
      </c>
      <c r="C110" t="n">
        <v>0.99</v>
      </c>
      <c r="D110" t="n">
        <v>1.12</v>
      </c>
      <c r="E110" t="n">
        <v>-0.5</v>
      </c>
      <c r="F110" t="n">
        <v>-0.75</v>
      </c>
      <c r="G110" t="n">
        <v>97</v>
      </c>
      <c r="H110" t="n">
        <v>12</v>
      </c>
      <c r="I110" t="s">
        <v>280</v>
      </c>
      <c r="J110" t="n">
        <v>0</v>
      </c>
      <c r="K110" t="n">
        <v>0</v>
      </c>
      <c r="L110" t="n">
        <v>0</v>
      </c>
      <c r="M110" t="n">
        <v>12</v>
      </c>
      <c r="N110" t="n">
        <v>-0.25</v>
      </c>
      <c r="O110" t="n">
        <v>0</v>
      </c>
      <c r="P110" t="n">
        <v>71</v>
      </c>
      <c r="Q110" t="n">
        <v>12</v>
      </c>
      <c r="R110" t="s">
        <v>280</v>
      </c>
      <c r="S110" t="s">
        <v>276</v>
      </c>
      <c r="T110" t="n">
        <v>-0.25</v>
      </c>
    </row>
    <row r="111">
      <c r="A111" t="s">
        <v>31</v>
      </c>
      <c r="B111" t="n">
        <v>1.03</v>
      </c>
      <c r="C111" t="n">
        <v>0.84</v>
      </c>
      <c r="D111" t="n">
        <v>0.99</v>
      </c>
      <c r="E111" t="n">
        <v>-0.25</v>
      </c>
      <c r="F111" t="n">
        <v>-1.75</v>
      </c>
      <c r="G111" t="n">
        <v>178</v>
      </c>
      <c r="H111" t="n">
        <v>12</v>
      </c>
      <c r="I111" t="s">
        <v>275</v>
      </c>
      <c r="J111" t="n">
        <v>0</v>
      </c>
      <c r="K111" t="n">
        <v>0</v>
      </c>
      <c r="L111" t="n">
        <v>0</v>
      </c>
      <c r="M111" t="n">
        <v>12</v>
      </c>
      <c r="N111" t="n">
        <v>0</v>
      </c>
      <c r="O111" t="n">
        <v>-0.25</v>
      </c>
      <c r="P111" t="n">
        <v>147</v>
      </c>
      <c r="Q111" t="n">
        <v>12</v>
      </c>
      <c r="R111" t="s">
        <v>276</v>
      </c>
      <c r="S111" t="s">
        <v>285</v>
      </c>
      <c r="T111" t="n">
        <v>-0.25</v>
      </c>
    </row>
    <row r="112">
      <c r="A112" t="s">
        <v>31</v>
      </c>
      <c r="B112" t="n">
        <v>1.05</v>
      </c>
      <c r="C112" t="n">
        <v>1.07</v>
      </c>
      <c r="D112" t="n">
        <v>1.08</v>
      </c>
      <c r="E112" t="n">
        <v>-3.5</v>
      </c>
      <c r="F112" t="n">
        <v>-1</v>
      </c>
      <c r="G112" t="n">
        <v>162</v>
      </c>
      <c r="H112" t="n">
        <v>12</v>
      </c>
      <c r="I112" t="s">
        <v>275</v>
      </c>
      <c r="J112" t="n">
        <v>0</v>
      </c>
      <c r="K112" t="n">
        <v>0</v>
      </c>
      <c r="L112" t="n">
        <v>0</v>
      </c>
      <c r="M112" t="n">
        <v>12</v>
      </c>
      <c r="N112" t="n">
        <v>0</v>
      </c>
      <c r="O112" t="n">
        <v>-0.5</v>
      </c>
      <c r="P112" t="n">
        <v>12</v>
      </c>
      <c r="Q112" t="n">
        <v>12</v>
      </c>
      <c r="R112" t="s">
        <v>280</v>
      </c>
      <c r="S112" t="s">
        <v>275</v>
      </c>
      <c r="T112" t="n">
        <v>-0.25</v>
      </c>
    </row>
    <row r="113">
      <c r="A113" t="s">
        <v>31</v>
      </c>
      <c r="B113" t="n">
        <v>0.98</v>
      </c>
      <c r="C113" t="n">
        <v>0.89</v>
      </c>
      <c r="D113" t="n">
        <v>1.03</v>
      </c>
      <c r="E113" t="n">
        <v>-2.5</v>
      </c>
      <c r="F113" t="n">
        <v>-0.75</v>
      </c>
      <c r="G113" t="n">
        <v>172</v>
      </c>
      <c r="H113" t="n">
        <v>12</v>
      </c>
      <c r="I113" t="s">
        <v>276</v>
      </c>
      <c r="J113" t="n">
        <v>0</v>
      </c>
      <c r="K113" t="n">
        <v>0</v>
      </c>
      <c r="L113" t="n">
        <v>0</v>
      </c>
      <c r="M113" t="n">
        <v>12</v>
      </c>
      <c r="N113" t="n">
        <v>0</v>
      </c>
      <c r="O113" t="n">
        <v>-0.25</v>
      </c>
      <c r="P113" t="n">
        <v>168</v>
      </c>
      <c r="Q113" t="n">
        <v>12</v>
      </c>
      <c r="R113" t="s">
        <v>275</v>
      </c>
      <c r="S113" t="s">
        <v>287</v>
      </c>
      <c r="T113" t="n">
        <v>0</v>
      </c>
    </row>
    <row r="114">
      <c r="A114" t="s">
        <v>31</v>
      </c>
      <c r="B114" t="n">
        <v>1.03</v>
      </c>
      <c r="C114" t="n">
        <v>0.72</v>
      </c>
      <c r="D114" t="n">
        <v>1.02</v>
      </c>
      <c r="E114" t="n">
        <v>-2.25</v>
      </c>
      <c r="F114" t="n">
        <v>0</v>
      </c>
      <c r="G114" t="n">
        <v>10</v>
      </c>
      <c r="H114" t="n">
        <v>12</v>
      </c>
      <c r="I114" t="s">
        <v>275</v>
      </c>
      <c r="J114" t="n">
        <v>0</v>
      </c>
      <c r="K114" t="n">
        <v>0</v>
      </c>
      <c r="L114" t="n">
        <v>0</v>
      </c>
      <c r="M114" t="n">
        <v>12</v>
      </c>
      <c r="N114" t="n">
        <v>-1</v>
      </c>
      <c r="O114" t="n">
        <v>0</v>
      </c>
      <c r="P114" t="n">
        <v>141</v>
      </c>
      <c r="Q114" t="n">
        <v>12</v>
      </c>
      <c r="R114" t="s">
        <v>276</v>
      </c>
      <c r="S114" t="s">
        <v>289</v>
      </c>
      <c r="T114" t="n">
        <v>-1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293</v>
      </c>
      <c r="B1" t="s">
        <v>294</v>
      </c>
      <c r="C1" t="s">
        <v>295</v>
      </c>
      <c r="D1" t="s">
        <v>296</v>
      </c>
      <c r="E1" t="s">
        <v>297</v>
      </c>
    </row>
    <row r="2">
      <c r="A2" t="s">
        <v>298</v>
      </c>
      <c r="B2" t="n">
        <v>-1.5</v>
      </c>
      <c r="C2" t="n">
        <v>161</v>
      </c>
      <c r="D2" t="n">
        <v>-0.25</v>
      </c>
      <c r="E2" t="n">
        <v>167</v>
      </c>
    </row>
    <row r="3">
      <c r="A3" t="s">
        <v>298</v>
      </c>
      <c r="B3" t="n">
        <v>-2.25</v>
      </c>
      <c r="C3" t="n">
        <v>35</v>
      </c>
      <c r="D3" t="n">
        <v>0</v>
      </c>
      <c r="E3" t="n">
        <v>40</v>
      </c>
    </row>
    <row r="4">
      <c r="A4" t="s">
        <v>299</v>
      </c>
      <c r="B4" t="n">
        <v>-0.75</v>
      </c>
      <c r="C4" t="n">
        <v>78</v>
      </c>
      <c r="D4" t="n">
        <v>-0.25</v>
      </c>
      <c r="E4" t="n">
        <v>110</v>
      </c>
    </row>
    <row r="5">
      <c r="A5" t="s">
        <v>298</v>
      </c>
      <c r="B5" t="n">
        <v>0</v>
      </c>
      <c r="C5" t="n">
        <v>80</v>
      </c>
      <c r="D5" t="n">
        <v>0</v>
      </c>
      <c r="E5" t="n">
        <v>89</v>
      </c>
    </row>
    <row r="6">
      <c r="A6" t="s">
        <v>299</v>
      </c>
      <c r="B6" t="n">
        <v>-1</v>
      </c>
      <c r="C6" t="n">
        <v>103</v>
      </c>
      <c r="D6" t="n">
        <v>-0.5</v>
      </c>
      <c r="E6" t="n">
        <v>78</v>
      </c>
    </row>
    <row r="7">
      <c r="A7" t="s">
        <v>298</v>
      </c>
      <c r="B7" t="n">
        <v>-0.25</v>
      </c>
      <c r="C7" t="n">
        <v>3</v>
      </c>
      <c r="D7" t="n">
        <v>-0.25</v>
      </c>
      <c r="E7" t="n">
        <v>177</v>
      </c>
    </row>
    <row r="8">
      <c r="A8" t="s">
        <v>299</v>
      </c>
      <c r="B8" t="n">
        <v>-1.25</v>
      </c>
      <c r="C8" t="n">
        <v>103</v>
      </c>
      <c r="D8" t="n">
        <v>-0.5</v>
      </c>
      <c r="E8" t="n">
        <v>75</v>
      </c>
    </row>
    <row r="9">
      <c r="A9" t="s">
        <v>298</v>
      </c>
      <c r="B9" t="n">
        <v>-1</v>
      </c>
      <c r="C9" t="n">
        <v>24</v>
      </c>
      <c r="D9" t="n">
        <v>-0.5</v>
      </c>
      <c r="E9" t="n">
        <v>36</v>
      </c>
    </row>
    <row r="10">
      <c r="A10" t="s">
        <v>299</v>
      </c>
      <c r="B10" t="n">
        <v>-0.5</v>
      </c>
      <c r="C10" t="n">
        <v>101</v>
      </c>
      <c r="D10" t="n">
        <v>-0.25</v>
      </c>
      <c r="E10" t="n">
        <v>98</v>
      </c>
    </row>
    <row r="11">
      <c r="A11" t="s">
        <v>298</v>
      </c>
      <c r="B11" t="n">
        <v>-1.25</v>
      </c>
      <c r="C11" t="n">
        <v>79</v>
      </c>
      <c r="D11" t="n">
        <v>-0.75</v>
      </c>
      <c r="E11" t="n">
        <v>64</v>
      </c>
    </row>
    <row r="12">
      <c r="A12" t="s">
        <v>298</v>
      </c>
      <c r="B12" t="n">
        <v>-0.5</v>
      </c>
      <c r="C12" t="n">
        <v>162</v>
      </c>
      <c r="D12" t="n">
        <v>-0.25</v>
      </c>
      <c r="E12" t="n">
        <v>138</v>
      </c>
    </row>
    <row r="13">
      <c r="A13" t="s">
        <v>299</v>
      </c>
      <c r="B13" t="n">
        <v>-1.5</v>
      </c>
      <c r="C13" t="n">
        <v>20</v>
      </c>
      <c r="D13" t="n">
        <v>0</v>
      </c>
      <c r="E13" t="n">
        <v>24</v>
      </c>
    </row>
    <row r="14">
      <c r="A14" t="s">
        <v>298</v>
      </c>
      <c r="B14" t="n">
        <v>-1</v>
      </c>
      <c r="C14" t="n">
        <v>102</v>
      </c>
      <c r="D14" t="n">
        <v>0</v>
      </c>
      <c r="E14" t="n">
        <v>88</v>
      </c>
    </row>
    <row r="15">
      <c r="A15" t="s">
        <v>299</v>
      </c>
      <c r="B15" t="n">
        <v>-0.25</v>
      </c>
      <c r="C15" t="n">
        <v>3</v>
      </c>
      <c r="D15" t="n">
        <v>-0.25</v>
      </c>
      <c r="E15" t="n">
        <v>152</v>
      </c>
    </row>
    <row r="16">
      <c r="A16" t="s">
        <v>298</v>
      </c>
      <c r="B16" t="n">
        <v>0</v>
      </c>
      <c r="C16" t="n">
        <v>8</v>
      </c>
      <c r="D16" t="n">
        <v>-0.25</v>
      </c>
      <c r="E16" t="n">
        <v>75</v>
      </c>
    </row>
    <row r="17">
      <c r="A17" t="s">
        <v>299</v>
      </c>
      <c r="B17" t="n">
        <v>-1.5</v>
      </c>
      <c r="C17" t="n">
        <v>92</v>
      </c>
      <c r="D17" t="n">
        <v>-0.25</v>
      </c>
      <c r="E17" t="n">
        <v>97</v>
      </c>
    </row>
    <row r="18">
      <c r="A18" t="s">
        <v>298</v>
      </c>
      <c r="B18" t="n">
        <v>-0.75</v>
      </c>
      <c r="C18" t="n">
        <v>17</v>
      </c>
      <c r="D18" t="n">
        <v>-0.25</v>
      </c>
      <c r="E18" t="n">
        <v>20</v>
      </c>
    </row>
    <row r="19">
      <c r="A19" t="s">
        <v>299</v>
      </c>
      <c r="B19" t="n">
        <v>-0.25</v>
      </c>
      <c r="C19" t="n">
        <v>7</v>
      </c>
      <c r="D19" t="n">
        <v>0</v>
      </c>
      <c r="E19" t="n">
        <v>178</v>
      </c>
    </row>
    <row r="20">
      <c r="A20" t="s">
        <v>298</v>
      </c>
      <c r="B20" t="n">
        <v>0</v>
      </c>
      <c r="C20" t="n">
        <v>97</v>
      </c>
      <c r="D20" t="n">
        <v>-0.25</v>
      </c>
      <c r="E20" t="n">
        <v>122</v>
      </c>
    </row>
    <row r="21">
      <c r="A21" t="s">
        <v>299</v>
      </c>
      <c r="B21" t="n">
        <v>-1.5</v>
      </c>
      <c r="C21" t="n">
        <v>161</v>
      </c>
      <c r="D21" t="n">
        <v>-0.25</v>
      </c>
      <c r="E21" t="n">
        <v>12</v>
      </c>
    </row>
    <row r="22">
      <c r="A22" t="s">
        <v>298</v>
      </c>
      <c r="B22" t="n">
        <v>-2.5</v>
      </c>
      <c r="C22" t="n">
        <v>3</v>
      </c>
      <c r="D22" t="n">
        <v>0</v>
      </c>
      <c r="E22" t="n">
        <v>9</v>
      </c>
    </row>
    <row r="23">
      <c r="A23" t="s">
        <v>298</v>
      </c>
      <c r="B23" t="n">
        <v>-0.5</v>
      </c>
      <c r="C23" t="n">
        <v>13</v>
      </c>
      <c r="D23" t="n">
        <v>-0.25</v>
      </c>
      <c r="E23" t="n">
        <v>173</v>
      </c>
    </row>
    <row r="24">
      <c r="A24" t="s">
        <v>299</v>
      </c>
      <c r="B24" t="n">
        <v>-0.25</v>
      </c>
      <c r="C24" t="n">
        <v>178</v>
      </c>
      <c r="D24" t="n">
        <v>-0.25</v>
      </c>
      <c r="E24" t="n">
        <v>162</v>
      </c>
    </row>
    <row r="25">
      <c r="A25" t="s">
        <v>298</v>
      </c>
      <c r="B25" t="n">
        <v>0</v>
      </c>
      <c r="C25" t="n">
        <v>159</v>
      </c>
      <c r="D25" t="n">
        <v>0</v>
      </c>
      <c r="E25" t="n">
        <v>159</v>
      </c>
    </row>
    <row r="26">
      <c r="A26" t="s">
        <v>299</v>
      </c>
      <c r="B26" t="n">
        <v>0</v>
      </c>
      <c r="C26" t="n">
        <v>161</v>
      </c>
      <c r="D26" t="n">
        <v>-0.25</v>
      </c>
      <c r="E26" t="n">
        <v>7</v>
      </c>
    </row>
    <row r="27">
      <c r="A27" t="s">
        <v>298</v>
      </c>
      <c r="B27" t="n">
        <v>-1.75</v>
      </c>
      <c r="C27" t="n">
        <v>15</v>
      </c>
      <c r="D27" t="n">
        <v>-0.5</v>
      </c>
      <c r="E27" t="n">
        <v>24</v>
      </c>
    </row>
    <row r="28">
      <c r="A28" t="s">
        <v>299</v>
      </c>
      <c r="B28" t="n">
        <v>0</v>
      </c>
      <c r="C28" t="n">
        <v>3</v>
      </c>
      <c r="D28" t="n">
        <v>-0.5</v>
      </c>
      <c r="E28" t="n">
        <v>91</v>
      </c>
    </row>
    <row r="29">
      <c r="A29" t="s">
        <v>298</v>
      </c>
      <c r="B29" t="n">
        <v>-1.25</v>
      </c>
      <c r="C29" t="n">
        <v>100</v>
      </c>
      <c r="D29" t="n">
        <v>-0.25</v>
      </c>
      <c r="E29" t="n">
        <v>103</v>
      </c>
    </row>
    <row r="30">
      <c r="A30" t="s">
        <v>298</v>
      </c>
      <c r="B30" t="n">
        <v>0</v>
      </c>
      <c r="C30" t="n">
        <v>3</v>
      </c>
      <c r="D30" t="n">
        <v>-0.25</v>
      </c>
      <c r="E30" t="n">
        <v>140</v>
      </c>
    </row>
    <row r="31">
      <c r="A31" t="s">
        <v>299</v>
      </c>
      <c r="B31" t="n">
        <v>0</v>
      </c>
      <c r="C31" t="n">
        <v>1</v>
      </c>
      <c r="D31" t="n">
        <v>-0.5</v>
      </c>
      <c r="E31" t="n">
        <v>23</v>
      </c>
    </row>
    <row r="32">
      <c r="A32" t="s">
        <v>298</v>
      </c>
      <c r="B32" t="n">
        <v>0</v>
      </c>
      <c r="C32" t="n">
        <v>163</v>
      </c>
      <c r="D32" t="n">
        <v>-0.25</v>
      </c>
      <c r="E32" t="n">
        <v>149</v>
      </c>
    </row>
    <row r="33">
      <c r="A33" t="s">
        <v>299</v>
      </c>
      <c r="B33" t="n">
        <v>-1</v>
      </c>
      <c r="C33" t="n">
        <v>159</v>
      </c>
      <c r="D33" t="n">
        <v>-0.5</v>
      </c>
      <c r="E33" t="n">
        <v>169</v>
      </c>
    </row>
    <row r="34">
      <c r="A34" t="s">
        <v>298</v>
      </c>
      <c r="B34" t="n">
        <v>-0.5</v>
      </c>
      <c r="C34" t="n">
        <v>168</v>
      </c>
      <c r="D34" t="n">
        <v>-0.25</v>
      </c>
      <c r="E34" t="n">
        <v>4</v>
      </c>
    </row>
    <row r="35">
      <c r="A35" t="s">
        <v>299</v>
      </c>
      <c r="B35" t="n">
        <v>-0.5</v>
      </c>
      <c r="C35" t="n">
        <v>164</v>
      </c>
      <c r="D35" t="n">
        <v>-0.25</v>
      </c>
      <c r="E35" t="n">
        <v>170</v>
      </c>
    </row>
    <row r="36">
      <c r="A36" t="s">
        <v>298</v>
      </c>
      <c r="B36" t="n">
        <v>-0.25</v>
      </c>
      <c r="C36" t="n">
        <v>10</v>
      </c>
      <c r="D36" t="n">
        <v>-0.5</v>
      </c>
      <c r="E36" t="n">
        <v>28</v>
      </c>
    </row>
    <row r="37">
      <c r="A37" t="s">
        <v>299</v>
      </c>
      <c r="B37" t="n">
        <v>-0.25</v>
      </c>
      <c r="C37" t="n">
        <v>47</v>
      </c>
      <c r="D37" t="n">
        <v>-0.5</v>
      </c>
      <c r="E37" t="n">
        <v>48</v>
      </c>
    </row>
    <row r="38">
      <c r="A38" t="s">
        <v>298</v>
      </c>
      <c r="B38" t="n">
        <v>-0.5</v>
      </c>
      <c r="C38" t="n">
        <v>7</v>
      </c>
      <c r="D38" t="n">
        <v>-0.25</v>
      </c>
      <c r="E38" t="n">
        <v>21</v>
      </c>
    </row>
    <row r="39">
      <c r="A39" t="s">
        <v>299</v>
      </c>
      <c r="B39" t="n">
        <v>-0.5</v>
      </c>
      <c r="C39" t="n">
        <v>180</v>
      </c>
      <c r="D39" t="n">
        <v>-0.5</v>
      </c>
      <c r="E39" t="n">
        <v>16</v>
      </c>
    </row>
    <row r="40">
      <c r="A40" t="s">
        <v>298</v>
      </c>
      <c r="B40" t="n">
        <v>-0.75</v>
      </c>
      <c r="C40" t="n">
        <v>85</v>
      </c>
      <c r="D40" t="n">
        <v>0</v>
      </c>
      <c r="E40" t="n">
        <v>137</v>
      </c>
    </row>
    <row r="41">
      <c r="A41" t="s">
        <v>299</v>
      </c>
      <c r="B41" t="n">
        <v>-0.75</v>
      </c>
      <c r="C41" t="n">
        <v>14</v>
      </c>
      <c r="D41" t="n">
        <v>-0.5</v>
      </c>
      <c r="E41" t="n">
        <v>167</v>
      </c>
    </row>
    <row r="42">
      <c r="A42" t="s">
        <v>298</v>
      </c>
      <c r="B42" t="n">
        <v>-1.25</v>
      </c>
      <c r="C42" t="n">
        <v>75</v>
      </c>
      <c r="D42" t="n">
        <v>-0.5</v>
      </c>
      <c r="E42" t="n">
        <v>50</v>
      </c>
    </row>
    <row r="43">
      <c r="A43" t="s">
        <v>299</v>
      </c>
      <c r="B43" t="n">
        <v>-1.25</v>
      </c>
      <c r="C43" t="n">
        <v>17</v>
      </c>
      <c r="D43" t="n">
        <v>0</v>
      </c>
      <c r="E43" t="n">
        <v>18</v>
      </c>
    </row>
    <row r="44">
      <c r="A44" t="s">
        <v>298</v>
      </c>
      <c r="B44" t="n">
        <v>-2.75</v>
      </c>
      <c r="C44" t="n">
        <v>170</v>
      </c>
      <c r="D44" t="n">
        <v>-0.5</v>
      </c>
      <c r="E44" t="n">
        <v>13</v>
      </c>
    </row>
    <row r="45">
      <c r="A45" t="s">
        <v>298</v>
      </c>
      <c r="B45" t="n">
        <v>-0.5</v>
      </c>
      <c r="C45" t="n">
        <v>23</v>
      </c>
      <c r="D45" t="n">
        <v>-0.25</v>
      </c>
      <c r="E45" t="n">
        <v>49</v>
      </c>
    </row>
    <row r="46">
      <c r="A46" t="s">
        <v>299</v>
      </c>
      <c r="B46" t="n">
        <v>-0.25</v>
      </c>
      <c r="C46" t="n">
        <v>172</v>
      </c>
      <c r="D46" t="n">
        <v>-0.25</v>
      </c>
      <c r="E46" t="n">
        <v>15</v>
      </c>
    </row>
    <row r="47">
      <c r="A47" t="s">
        <v>298</v>
      </c>
      <c r="B47" t="n">
        <v>-0.25</v>
      </c>
      <c r="C47" t="n">
        <v>97</v>
      </c>
      <c r="D47" t="n">
        <v>-0.25</v>
      </c>
      <c r="E47" t="n">
        <v>122</v>
      </c>
    </row>
    <row r="48">
      <c r="A48" t="s">
        <v>299</v>
      </c>
      <c r="B48" t="n">
        <v>-2.25</v>
      </c>
      <c r="C48" t="n">
        <v>7</v>
      </c>
      <c r="D48" t="n">
        <v>-0.25</v>
      </c>
      <c r="E48" t="n">
        <v>153</v>
      </c>
    </row>
    <row r="49">
      <c r="A49" t="s">
        <v>298</v>
      </c>
      <c r="B49" t="n">
        <v>-0.75</v>
      </c>
      <c r="C49" t="n">
        <v>165</v>
      </c>
      <c r="D49" t="n">
        <v>-0.5</v>
      </c>
      <c r="E49" t="n">
        <v>12</v>
      </c>
    </row>
    <row r="50">
      <c r="A50" t="s">
        <v>298</v>
      </c>
      <c r="B50" t="n">
        <v>-0.5</v>
      </c>
      <c r="C50" t="n">
        <v>76</v>
      </c>
      <c r="D50" t="n">
        <v>-0.25</v>
      </c>
      <c r="E50" t="n">
        <v>62</v>
      </c>
    </row>
    <row r="51">
      <c r="A51" t="s">
        <v>298</v>
      </c>
      <c r="B51" t="n">
        <v>0</v>
      </c>
      <c r="C51" t="n">
        <v>170</v>
      </c>
      <c r="D51" t="n">
        <v>-0.25</v>
      </c>
      <c r="E51" t="n">
        <v>165</v>
      </c>
    </row>
    <row r="52">
      <c r="A52" t="s">
        <v>299</v>
      </c>
      <c r="B52" t="n">
        <v>-1.25</v>
      </c>
      <c r="C52" t="n">
        <v>84</v>
      </c>
      <c r="D52" t="n">
        <v>-0.25</v>
      </c>
      <c r="E52" t="n">
        <v>62</v>
      </c>
    </row>
    <row r="53">
      <c r="A53" t="s">
        <v>298</v>
      </c>
      <c r="B53" t="n">
        <v>-0.75</v>
      </c>
      <c r="C53" t="n">
        <v>81</v>
      </c>
      <c r="D53" t="n">
        <v>-0.25</v>
      </c>
      <c r="E53" t="n">
        <v>34</v>
      </c>
    </row>
    <row r="54">
      <c r="A54" t="s">
        <v>299</v>
      </c>
      <c r="B54" t="n">
        <v>-0.5</v>
      </c>
      <c r="C54" t="n">
        <v>149</v>
      </c>
      <c r="D54" t="n">
        <v>-0.25</v>
      </c>
      <c r="E54" t="n">
        <v>161</v>
      </c>
    </row>
    <row r="55">
      <c r="A55" t="s">
        <v>299</v>
      </c>
      <c r="B55" t="n">
        <v>-0.75</v>
      </c>
      <c r="C55" t="n">
        <v>172</v>
      </c>
      <c r="D55" t="n">
        <v>-0.25</v>
      </c>
      <c r="E55" t="n">
        <v>171</v>
      </c>
    </row>
    <row r="56">
      <c r="A56" t="s">
        <v>298</v>
      </c>
      <c r="B56" t="n">
        <v>-0.25</v>
      </c>
      <c r="C56" t="n">
        <v>161</v>
      </c>
      <c r="D56" t="n">
        <v>0</v>
      </c>
      <c r="E56" t="n">
        <v>80</v>
      </c>
    </row>
    <row r="57">
      <c r="A57" t="s">
        <v>299</v>
      </c>
      <c r="B57" t="n">
        <v>-0.25</v>
      </c>
      <c r="C57" t="n">
        <v>166</v>
      </c>
      <c r="D57" t="n">
        <v>0</v>
      </c>
      <c r="E57" t="n">
        <v>141</v>
      </c>
    </row>
    <row r="58">
      <c r="A58" t="s">
        <v>298</v>
      </c>
      <c r="B58" t="n">
        <v>0</v>
      </c>
      <c r="C58" t="n">
        <v>168</v>
      </c>
      <c r="D58" t="n">
        <v>0</v>
      </c>
      <c r="E58" t="n">
        <v>12</v>
      </c>
    </row>
    <row r="59">
      <c r="A59" t="s">
        <v>299</v>
      </c>
      <c r="B59" t="n">
        <v>-1</v>
      </c>
      <c r="C59" t="n">
        <v>83</v>
      </c>
      <c r="D59" t="n">
        <v>-0.25</v>
      </c>
      <c r="E59" t="n">
        <v>78</v>
      </c>
    </row>
    <row r="60">
      <c r="A60" t="s">
        <v>299</v>
      </c>
      <c r="B60" t="n">
        <v>0</v>
      </c>
      <c r="C60" t="n">
        <v>100</v>
      </c>
      <c r="D60" t="n">
        <v>0</v>
      </c>
      <c r="E60" t="n">
        <v>124</v>
      </c>
    </row>
    <row r="61">
      <c r="A61" t="s">
        <v>298</v>
      </c>
      <c r="B61" t="n">
        <v>-0.5</v>
      </c>
      <c r="C61" t="n">
        <v>82</v>
      </c>
      <c r="D61" t="n">
        <v>-0.5</v>
      </c>
      <c r="E61" t="n">
        <v>86</v>
      </c>
    </row>
    <row r="62">
      <c r="A62" t="s">
        <v>299</v>
      </c>
      <c r="B62" t="n">
        <v>-0.5</v>
      </c>
      <c r="C62" t="n">
        <v>80</v>
      </c>
      <c r="D62" t="n">
        <v>0</v>
      </c>
      <c r="E62" t="n">
        <v>11</v>
      </c>
    </row>
    <row r="63">
      <c r="A63" t="s">
        <v>299</v>
      </c>
      <c r="B63" t="n">
        <v>-1</v>
      </c>
      <c r="C63" t="n">
        <v>180</v>
      </c>
      <c r="D63" t="n">
        <v>0</v>
      </c>
      <c r="E63" t="n">
        <v>178</v>
      </c>
    </row>
    <row r="64">
      <c r="A64" t="s">
        <v>299</v>
      </c>
      <c r="B64" t="n">
        <v>-0.75</v>
      </c>
      <c r="C64" t="n">
        <v>7</v>
      </c>
      <c r="D64" t="n">
        <v>-0.25</v>
      </c>
      <c r="E64" t="n">
        <v>24</v>
      </c>
    </row>
    <row r="65">
      <c r="A65" t="s">
        <v>298</v>
      </c>
      <c r="B65" t="n">
        <v>0</v>
      </c>
      <c r="C65" t="n">
        <v>170</v>
      </c>
      <c r="D65" t="n">
        <v>-0.5</v>
      </c>
      <c r="E65" t="n">
        <v>23</v>
      </c>
    </row>
    <row r="66">
      <c r="A66" t="s">
        <v>299</v>
      </c>
      <c r="B66" t="n">
        <v>-0.25</v>
      </c>
      <c r="C66" t="n">
        <v>175</v>
      </c>
      <c r="D66" t="n">
        <v>-0.25</v>
      </c>
      <c r="E66" t="n">
        <v>23</v>
      </c>
    </row>
    <row r="67">
      <c r="A67" t="s">
        <v>298</v>
      </c>
      <c r="B67" t="n">
        <v>-0.25</v>
      </c>
      <c r="C67" t="n">
        <v>165</v>
      </c>
      <c r="D67" t="n">
        <v>-0.25</v>
      </c>
      <c r="E67" t="n">
        <v>164</v>
      </c>
    </row>
    <row r="68">
      <c r="A68" t="s">
        <v>299</v>
      </c>
      <c r="B68" t="n">
        <v>-0.5</v>
      </c>
      <c r="C68" t="n">
        <v>86</v>
      </c>
      <c r="D68" t="n">
        <v>-0.25</v>
      </c>
      <c r="E68" t="n">
        <v>106</v>
      </c>
    </row>
    <row r="69">
      <c r="A69" t="s">
        <v>298</v>
      </c>
      <c r="B69" t="n">
        <v>-0.75</v>
      </c>
      <c r="C69" t="n">
        <v>171</v>
      </c>
      <c r="D69" t="n">
        <v>-0.5</v>
      </c>
      <c r="E69" t="n">
        <v>129</v>
      </c>
    </row>
    <row r="70">
      <c r="A70" t="s">
        <v>299</v>
      </c>
      <c r="B70" t="n">
        <v>-0.25</v>
      </c>
      <c r="C70" t="n">
        <v>91</v>
      </c>
      <c r="D70" t="n">
        <v>0</v>
      </c>
      <c r="E70" t="n">
        <v>164</v>
      </c>
    </row>
    <row r="71">
      <c r="A71" t="s">
        <v>298</v>
      </c>
      <c r="B71" t="n">
        <v>-0.75</v>
      </c>
      <c r="C71" t="n">
        <v>88</v>
      </c>
      <c r="D71" t="n">
        <v>-0.5</v>
      </c>
      <c r="E71" t="n">
        <v>148</v>
      </c>
    </row>
    <row r="72">
      <c r="A72" t="s">
        <v>298</v>
      </c>
      <c r="B72" t="n">
        <v>-0.75</v>
      </c>
      <c r="C72" t="n">
        <v>99</v>
      </c>
      <c r="D72" t="n">
        <v>-0.25</v>
      </c>
      <c r="E72" t="n">
        <v>75</v>
      </c>
    </row>
    <row r="73">
      <c r="A73" t="s">
        <v>299</v>
      </c>
      <c r="B73" t="n">
        <v>-1.25</v>
      </c>
      <c r="C73" t="n">
        <v>23</v>
      </c>
      <c r="D73" t="n">
        <v>-0.75</v>
      </c>
      <c r="E73" t="n">
        <v>166</v>
      </c>
    </row>
    <row r="74">
      <c r="A74" t="s">
        <v>298</v>
      </c>
      <c r="B74" t="n">
        <v>0</v>
      </c>
      <c r="C74" t="n">
        <v>5</v>
      </c>
      <c r="D74" t="n">
        <v>0</v>
      </c>
      <c r="E74" t="n">
        <v>177</v>
      </c>
    </row>
    <row r="75">
      <c r="A75" t="s">
        <v>298</v>
      </c>
      <c r="B75" t="n">
        <v>-0.5</v>
      </c>
      <c r="C75" t="n">
        <v>16</v>
      </c>
      <c r="D75" t="n">
        <v>0</v>
      </c>
      <c r="E75" t="n">
        <v>128</v>
      </c>
    </row>
    <row r="76">
      <c r="A76" t="s">
        <v>299</v>
      </c>
      <c r="B76" t="n">
        <v>-0.25</v>
      </c>
      <c r="C76" t="n">
        <v>67</v>
      </c>
      <c r="D76" t="n">
        <v>-0.25</v>
      </c>
      <c r="E76" t="n">
        <v>8</v>
      </c>
    </row>
    <row r="77">
      <c r="A77" t="s">
        <v>299</v>
      </c>
      <c r="B77" t="n">
        <v>-0.75</v>
      </c>
      <c r="C77" t="n">
        <v>100</v>
      </c>
      <c r="D77" t="n">
        <v>0</v>
      </c>
      <c r="E77" t="n">
        <v>86</v>
      </c>
    </row>
    <row r="78">
      <c r="A78" t="s">
        <v>298</v>
      </c>
      <c r="B78" t="n">
        <v>-0.25</v>
      </c>
      <c r="C78" t="n">
        <v>89</v>
      </c>
      <c r="D78" t="n">
        <v>-0.25</v>
      </c>
      <c r="E78" t="n">
        <v>106</v>
      </c>
    </row>
    <row r="79">
      <c r="A79" t="s">
        <v>299</v>
      </c>
      <c r="B79" t="n">
        <v>-1.5</v>
      </c>
      <c r="C79" t="n">
        <v>96</v>
      </c>
      <c r="D79" t="n">
        <v>0</v>
      </c>
      <c r="E79" t="n">
        <v>21</v>
      </c>
    </row>
    <row r="80">
      <c r="A80" t="s">
        <v>299</v>
      </c>
      <c r="B80" t="n">
        <v>-0.25</v>
      </c>
      <c r="C80" t="n">
        <v>11</v>
      </c>
      <c r="D80" t="n">
        <v>-0.25</v>
      </c>
      <c r="E80" t="n">
        <v>18</v>
      </c>
    </row>
    <row r="81">
      <c r="A81" t="s">
        <v>298</v>
      </c>
      <c r="B81" t="n">
        <v>-0.75</v>
      </c>
      <c r="C81" t="n">
        <v>180</v>
      </c>
      <c r="D81" t="n">
        <v>-0.5</v>
      </c>
      <c r="E81" t="n">
        <v>10</v>
      </c>
    </row>
    <row r="82">
      <c r="A82" t="s">
        <v>298</v>
      </c>
      <c r="B82" t="n">
        <v>-0.25</v>
      </c>
      <c r="C82" t="n">
        <v>155</v>
      </c>
      <c r="D82" t="n">
        <v>-0.25</v>
      </c>
      <c r="E82" t="n">
        <v>160</v>
      </c>
    </row>
    <row r="83">
      <c r="A83" t="s">
        <v>299</v>
      </c>
      <c r="B83" t="n">
        <v>-0.5</v>
      </c>
      <c r="C83" t="n">
        <v>84</v>
      </c>
      <c r="D83" t="n">
        <v>-0.25</v>
      </c>
      <c r="E83" t="n">
        <v>101</v>
      </c>
    </row>
    <row r="84">
      <c r="A84" t="s">
        <v>298</v>
      </c>
      <c r="B84" t="n">
        <v>-0.75</v>
      </c>
      <c r="C84" t="n">
        <v>168</v>
      </c>
      <c r="D84" t="n">
        <v>-0.75</v>
      </c>
      <c r="E84" t="n">
        <v>163</v>
      </c>
    </row>
    <row r="85">
      <c r="A85" t="s">
        <v>299</v>
      </c>
      <c r="B85" t="n">
        <v>-1.75</v>
      </c>
      <c r="C85" t="n">
        <v>178</v>
      </c>
      <c r="D85" t="n">
        <v>0</v>
      </c>
      <c r="E85" t="n">
        <v>16</v>
      </c>
    </row>
    <row r="86">
      <c r="A86" t="s">
        <v>298</v>
      </c>
      <c r="B86" t="n">
        <v>-1.25</v>
      </c>
      <c r="C86" t="n">
        <v>99</v>
      </c>
      <c r="D86" t="n">
        <v>0</v>
      </c>
      <c r="E86" t="n">
        <v>79</v>
      </c>
    </row>
    <row r="87">
      <c r="A87" t="s">
        <v>299</v>
      </c>
      <c r="B87" t="n">
        <v>-0.75</v>
      </c>
      <c r="C87" t="n">
        <v>96</v>
      </c>
      <c r="D87" t="n">
        <v>0</v>
      </c>
      <c r="E87" t="n">
        <v>6</v>
      </c>
    </row>
    <row r="88">
      <c r="A88" t="s">
        <v>298</v>
      </c>
      <c r="B88" t="n">
        <v>0</v>
      </c>
      <c r="C88" t="n">
        <v>93</v>
      </c>
      <c r="D88" t="n">
        <v>-0.5</v>
      </c>
      <c r="E88" t="n">
        <v>70</v>
      </c>
    </row>
    <row r="89">
      <c r="A89" t="s">
        <v>299</v>
      </c>
      <c r="B89" t="n">
        <v>-0.25</v>
      </c>
      <c r="C89" t="n">
        <v>40</v>
      </c>
      <c r="D89" t="n">
        <v>0</v>
      </c>
      <c r="E89" t="n">
        <v>139</v>
      </c>
    </row>
    <row r="90">
      <c r="A90" t="s">
        <v>299</v>
      </c>
      <c r="B90" t="n">
        <v>-0.25</v>
      </c>
      <c r="C90" t="n">
        <v>138</v>
      </c>
      <c r="D90" t="n">
        <v>0</v>
      </c>
      <c r="E90" t="n">
        <v>131</v>
      </c>
    </row>
    <row r="91">
      <c r="A91" t="s">
        <v>298</v>
      </c>
      <c r="B91" t="n">
        <v>-0.25</v>
      </c>
      <c r="C91" t="n">
        <v>80</v>
      </c>
      <c r="D91" t="n">
        <v>-0.25</v>
      </c>
      <c r="E91" t="n">
        <v>56</v>
      </c>
    </row>
    <row r="92">
      <c r="A92" t="s">
        <v>299</v>
      </c>
      <c r="B92" t="n">
        <v>-0.25</v>
      </c>
      <c r="C92" t="n">
        <v>20</v>
      </c>
      <c r="D92" t="n">
        <v>-0.25</v>
      </c>
      <c r="E92" t="n">
        <v>25</v>
      </c>
    </row>
    <row r="93">
      <c r="A93" t="s">
        <v>298</v>
      </c>
      <c r="B93" t="n">
        <v>-0.5</v>
      </c>
      <c r="C93" t="n">
        <v>85</v>
      </c>
      <c r="D93" t="n">
        <v>-0.25</v>
      </c>
      <c r="E93" t="n">
        <v>78</v>
      </c>
    </row>
    <row r="94">
      <c r="A94" t="s">
        <v>299</v>
      </c>
      <c r="B94" t="n">
        <v>-0.25</v>
      </c>
      <c r="C94" t="n">
        <v>87</v>
      </c>
      <c r="D94" t="n">
        <v>0</v>
      </c>
      <c r="E94" t="n">
        <v>149</v>
      </c>
    </row>
    <row r="95">
      <c r="A95" t="s">
        <v>298</v>
      </c>
      <c r="B95" t="n">
        <v>-0.25</v>
      </c>
      <c r="C95" t="n">
        <v>100</v>
      </c>
      <c r="D95" t="n">
        <v>-0.25</v>
      </c>
      <c r="E95" t="n">
        <v>122</v>
      </c>
    </row>
    <row r="96">
      <c r="A96" t="s">
        <v>299</v>
      </c>
      <c r="B96" t="n">
        <v>-0.25</v>
      </c>
      <c r="C96" t="n">
        <v>94</v>
      </c>
      <c r="D96" t="n">
        <v>0</v>
      </c>
      <c r="E96" t="n">
        <v>78</v>
      </c>
    </row>
    <row r="97">
      <c r="A97" t="s">
        <v>299</v>
      </c>
      <c r="B97" t="n">
        <v>-0.75</v>
      </c>
      <c r="C97" t="n">
        <v>102</v>
      </c>
      <c r="D97" t="n">
        <v>0</v>
      </c>
      <c r="E97" t="n">
        <v>0</v>
      </c>
    </row>
    <row r="98">
      <c r="A98" t="s">
        <v>299</v>
      </c>
      <c r="B98" t="n">
        <v>-0.5</v>
      </c>
      <c r="C98" t="n">
        <v>95</v>
      </c>
      <c r="D98" t="n">
        <v>-0.25</v>
      </c>
      <c r="E98" t="n">
        <v>89</v>
      </c>
    </row>
    <row r="99">
      <c r="A99" t="s">
        <v>299</v>
      </c>
      <c r="B99" t="n">
        <v>-0.25</v>
      </c>
      <c r="C99" t="n">
        <v>156</v>
      </c>
      <c r="D99" t="n">
        <v>0</v>
      </c>
      <c r="E99" t="n">
        <v>91</v>
      </c>
    </row>
    <row r="100">
      <c r="A100" t="s">
        <v>298</v>
      </c>
      <c r="B100" t="n">
        <v>-0.25</v>
      </c>
      <c r="C100" t="n">
        <v>79</v>
      </c>
      <c r="D100" t="n">
        <v>0</v>
      </c>
      <c r="E100" t="n">
        <v>65</v>
      </c>
    </row>
    <row r="101">
      <c r="A101" t="s">
        <v>298</v>
      </c>
      <c r="B101" t="n">
        <v>-0.25</v>
      </c>
      <c r="C101" t="n">
        <v>92</v>
      </c>
      <c r="D101" t="n">
        <v>-0.25</v>
      </c>
      <c r="E101" t="n">
        <v>69</v>
      </c>
    </row>
    <row r="102">
      <c r="A102" t="s">
        <v>299</v>
      </c>
      <c r="B102" t="n">
        <v>0</v>
      </c>
      <c r="C102" t="n">
        <v>3</v>
      </c>
      <c r="D102" t="n">
        <v>0</v>
      </c>
      <c r="E102" t="n">
        <v>28</v>
      </c>
    </row>
    <row r="103">
      <c r="A103" t="s">
        <v>299</v>
      </c>
      <c r="B103" t="n">
        <v>-0.75</v>
      </c>
      <c r="C103" t="n">
        <v>104</v>
      </c>
      <c r="D103" t="n">
        <v>-0.25</v>
      </c>
      <c r="E103" t="n">
        <v>103</v>
      </c>
    </row>
    <row r="104">
      <c r="A104" t="s">
        <v>298</v>
      </c>
      <c r="B104" t="n">
        <v>-0.75</v>
      </c>
      <c r="C104" t="n">
        <v>174</v>
      </c>
      <c r="D104" t="n">
        <v>-0.25</v>
      </c>
      <c r="E104" t="n">
        <v>32</v>
      </c>
    </row>
    <row r="105">
      <c r="A105" t="s">
        <v>299</v>
      </c>
      <c r="B105" t="n">
        <v>-1</v>
      </c>
      <c r="C105" t="n">
        <v>162</v>
      </c>
      <c r="D105" t="n">
        <v>0</v>
      </c>
      <c r="E105" t="n">
        <v>78</v>
      </c>
    </row>
    <row r="106">
      <c r="A106" t="s">
        <v>298</v>
      </c>
      <c r="B106" t="n">
        <v>-1</v>
      </c>
      <c r="C106" t="n">
        <v>177</v>
      </c>
      <c r="D106" t="n">
        <v>-0.25</v>
      </c>
      <c r="E106" t="n">
        <v>177</v>
      </c>
    </row>
    <row r="107">
      <c r="A107" t="s">
        <v>299</v>
      </c>
      <c r="B107" t="n">
        <v>-0.75</v>
      </c>
      <c r="C107" t="n">
        <v>83</v>
      </c>
      <c r="D107" t="n">
        <v>-0.25</v>
      </c>
      <c r="E107" t="n">
        <v>100</v>
      </c>
    </row>
    <row r="108">
      <c r="A108" t="s">
        <v>298</v>
      </c>
      <c r="B108" t="n">
        <v>0</v>
      </c>
      <c r="C108" t="n">
        <v>9</v>
      </c>
      <c r="D108" t="n">
        <v>-0.25</v>
      </c>
      <c r="E108" t="n">
        <v>159</v>
      </c>
    </row>
    <row r="109">
      <c r="A109" t="s">
        <v>299</v>
      </c>
      <c r="B109" t="n">
        <v>-0.25</v>
      </c>
      <c r="C109" t="n">
        <v>96</v>
      </c>
      <c r="D109" t="n">
        <v>0</v>
      </c>
      <c r="E109" t="n">
        <v>86</v>
      </c>
    </row>
    <row r="110">
      <c r="A110" t="s">
        <v>298</v>
      </c>
      <c r="B110" t="n">
        <v>-1.25</v>
      </c>
      <c r="C110" t="n">
        <v>98</v>
      </c>
      <c r="D110" t="n">
        <v>-0.25</v>
      </c>
      <c r="E110" t="n">
        <v>98</v>
      </c>
    </row>
    <row r="111">
      <c r="A111" t="s">
        <v>299</v>
      </c>
      <c r="B111" t="n">
        <v>-0.5</v>
      </c>
      <c r="C111" t="n">
        <v>86</v>
      </c>
      <c r="D111" t="n">
        <v>0</v>
      </c>
      <c r="E111" t="n">
        <v>85</v>
      </c>
    </row>
    <row r="112">
      <c r="A112" t="s">
        <v>298</v>
      </c>
      <c r="B112" t="n">
        <v>0</v>
      </c>
      <c r="C112" t="n">
        <v>99</v>
      </c>
      <c r="D112" t="n">
        <v>-0.25</v>
      </c>
      <c r="E112" t="n">
        <v>111</v>
      </c>
    </row>
    <row r="113">
      <c r="A113" t="s">
        <v>299</v>
      </c>
      <c r="B113" t="n">
        <v>-1</v>
      </c>
      <c r="C113" t="n">
        <v>58</v>
      </c>
      <c r="D113" t="n">
        <v>0</v>
      </c>
      <c r="E113" t="n">
        <v>65</v>
      </c>
    </row>
    <row r="114">
      <c r="A114" t="s">
        <v>298</v>
      </c>
      <c r="B114" t="n">
        <v>-0.25</v>
      </c>
      <c r="C114" t="n">
        <v>99</v>
      </c>
      <c r="D114" t="n">
        <v>0</v>
      </c>
      <c r="E114" t="n">
        <v>64</v>
      </c>
    </row>
    <row r="115">
      <c r="A115" t="s">
        <v>299</v>
      </c>
      <c r="B115" t="n">
        <v>-0.25</v>
      </c>
      <c r="C115" t="n">
        <v>96</v>
      </c>
      <c r="D115" t="n">
        <v>0</v>
      </c>
      <c r="E115" t="n">
        <v>43</v>
      </c>
    </row>
    <row r="116">
      <c r="A116" t="s">
        <v>298</v>
      </c>
      <c r="B116" t="n">
        <v>-0.5</v>
      </c>
      <c r="C116" t="n">
        <v>95</v>
      </c>
      <c r="D116" t="n">
        <v>-0.25</v>
      </c>
      <c r="E116" t="n">
        <v>90</v>
      </c>
    </row>
    <row r="117">
      <c r="A117" t="s">
        <v>298</v>
      </c>
      <c r="B117" t="n">
        <v>-0.75</v>
      </c>
      <c r="C117" t="n">
        <v>23</v>
      </c>
      <c r="D117" t="n">
        <v>-0.25</v>
      </c>
      <c r="E117" t="n">
        <v>5</v>
      </c>
    </row>
    <row r="118">
      <c r="A118" t="s">
        <v>299</v>
      </c>
      <c r="B118" t="n">
        <v>-0.75</v>
      </c>
      <c r="C118" t="n">
        <v>6</v>
      </c>
      <c r="D118" t="n">
        <v>0</v>
      </c>
      <c r="E118" t="n">
        <v>26</v>
      </c>
    </row>
    <row r="119">
      <c r="A119" t="s">
        <v>298</v>
      </c>
      <c r="B119" t="n">
        <v>-0.75</v>
      </c>
      <c r="C119" t="n">
        <v>178</v>
      </c>
      <c r="D119" t="n">
        <v>-0.25</v>
      </c>
      <c r="E119" t="n">
        <v>4</v>
      </c>
    </row>
    <row r="120">
      <c r="A120" t="s">
        <v>299</v>
      </c>
      <c r="B120" t="n">
        <v>-0.5</v>
      </c>
      <c r="C120" t="n">
        <v>84</v>
      </c>
      <c r="D120" t="n">
        <v>0</v>
      </c>
      <c r="E120" t="n">
        <v>138</v>
      </c>
    </row>
    <row r="121">
      <c r="A121" t="s">
        <v>298</v>
      </c>
      <c r="B121" t="n">
        <v>-0.5</v>
      </c>
      <c r="C121" t="n">
        <v>94</v>
      </c>
      <c r="D121" t="n">
        <v>-0.25</v>
      </c>
      <c r="E121" t="n">
        <v>96</v>
      </c>
    </row>
    <row r="122">
      <c r="A122" t="s">
        <v>299</v>
      </c>
      <c r="B122" t="n">
        <v>0</v>
      </c>
      <c r="C122" t="n">
        <v>7</v>
      </c>
      <c r="D122" t="n">
        <v>-0.5</v>
      </c>
      <c r="E122" t="n">
        <v>3</v>
      </c>
    </row>
    <row r="123">
      <c r="A123" t="s">
        <v>299</v>
      </c>
      <c r="B123" t="n">
        <v>-0.25</v>
      </c>
      <c r="C123" t="n">
        <v>85</v>
      </c>
      <c r="D123" t="n">
        <v>-0.5</v>
      </c>
      <c r="E123" t="n">
        <v>133</v>
      </c>
    </row>
    <row r="124">
      <c r="A124" t="s">
        <v>298</v>
      </c>
      <c r="B124" t="n">
        <v>-1.75</v>
      </c>
      <c r="C124" t="n">
        <v>16</v>
      </c>
      <c r="D124" t="n">
        <v>-0.5</v>
      </c>
      <c r="E124" t="n">
        <v>16</v>
      </c>
    </row>
    <row r="125">
      <c r="A125" t="s">
        <v>299</v>
      </c>
      <c r="B125" t="n">
        <v>-0.75</v>
      </c>
      <c r="C125" t="n">
        <v>170</v>
      </c>
      <c r="D125" t="n">
        <v>-0.25</v>
      </c>
      <c r="E125" t="n">
        <v>170</v>
      </c>
    </row>
    <row r="126">
      <c r="A126" t="s">
        <v>298</v>
      </c>
      <c r="B126" t="n">
        <v>0</v>
      </c>
      <c r="C126" t="n">
        <v>80</v>
      </c>
      <c r="D126" t="n">
        <v>0</v>
      </c>
      <c r="E126" t="n">
        <v>68</v>
      </c>
    </row>
    <row r="127">
      <c r="A127" t="s">
        <v>299</v>
      </c>
      <c r="B127" t="n">
        <v>-0.5</v>
      </c>
      <c r="C127" t="n">
        <v>167</v>
      </c>
      <c r="D127" t="n">
        <v>0</v>
      </c>
      <c r="E127" t="n">
        <v>24</v>
      </c>
    </row>
    <row r="128">
      <c r="A128" t="s">
        <v>298</v>
      </c>
      <c r="B128" t="n">
        <v>-1.5</v>
      </c>
      <c r="C128" t="n">
        <v>175</v>
      </c>
      <c r="D128" t="n">
        <v>0</v>
      </c>
      <c r="E128" t="n">
        <v>99</v>
      </c>
    </row>
    <row r="129">
      <c r="A129" t="s">
        <v>299</v>
      </c>
      <c r="B129" t="n">
        <v>-0.75</v>
      </c>
      <c r="C129" t="n">
        <v>173</v>
      </c>
      <c r="D129" t="n">
        <v>-0.25</v>
      </c>
      <c r="E129" t="n">
        <v>162</v>
      </c>
    </row>
    <row r="130">
      <c r="A130" t="s">
        <v>299</v>
      </c>
      <c r="B130" t="n">
        <v>-0.5</v>
      </c>
      <c r="C130" t="n">
        <v>11</v>
      </c>
      <c r="D130" t="n">
        <v>-0.25</v>
      </c>
      <c r="E130" t="n">
        <v>2</v>
      </c>
    </row>
    <row r="131">
      <c r="A131" t="s">
        <v>298</v>
      </c>
      <c r="B131" t="n">
        <v>-0.25</v>
      </c>
      <c r="C131" t="n">
        <v>166</v>
      </c>
      <c r="D131" t="n">
        <v>-0.5</v>
      </c>
      <c r="E131" t="n">
        <v>1</v>
      </c>
    </row>
    <row r="132">
      <c r="A132" t="s">
        <v>299</v>
      </c>
      <c r="B132" t="n">
        <v>-0.5</v>
      </c>
      <c r="C132" t="n">
        <v>98</v>
      </c>
      <c r="D132" t="n">
        <v>-0.5</v>
      </c>
      <c r="E132" t="n">
        <v>125</v>
      </c>
    </row>
    <row r="133">
      <c r="A133" t="s">
        <v>298</v>
      </c>
      <c r="B133" t="n">
        <v>-1.5</v>
      </c>
      <c r="C133" t="n">
        <v>6</v>
      </c>
      <c r="D133" t="n">
        <v>-0.25</v>
      </c>
      <c r="E133" t="n">
        <v>18</v>
      </c>
    </row>
    <row r="134">
      <c r="A134" t="s">
        <v>298</v>
      </c>
      <c r="B134" t="n">
        <v>-0.5</v>
      </c>
      <c r="C134" t="n">
        <v>76</v>
      </c>
      <c r="D134" t="n">
        <v>0</v>
      </c>
      <c r="E134" t="n">
        <v>34</v>
      </c>
    </row>
    <row r="135">
      <c r="A135" t="s">
        <v>299</v>
      </c>
      <c r="B135" t="n">
        <v>-1</v>
      </c>
      <c r="C135" t="n">
        <v>13</v>
      </c>
      <c r="D135" t="n">
        <v>-0.25</v>
      </c>
      <c r="E135" t="n">
        <v>16</v>
      </c>
    </row>
    <row r="136">
      <c r="A136" t="s">
        <v>298</v>
      </c>
      <c r="B136" t="n">
        <v>0</v>
      </c>
      <c r="C136" t="n">
        <v>95</v>
      </c>
      <c r="D136" t="n">
        <v>0</v>
      </c>
      <c r="E136" t="n">
        <v>114</v>
      </c>
    </row>
    <row r="137">
      <c r="A137" t="s">
        <v>299</v>
      </c>
      <c r="B137" t="n">
        <v>-1.25</v>
      </c>
      <c r="C137" t="n">
        <v>169</v>
      </c>
      <c r="D137" t="n">
        <v>-0.25</v>
      </c>
      <c r="E137" t="n">
        <v>176</v>
      </c>
    </row>
    <row r="138">
      <c r="A138" t="s">
        <v>298</v>
      </c>
      <c r="B138" t="n">
        <v>-1.25</v>
      </c>
      <c r="C138" t="n">
        <v>22</v>
      </c>
      <c r="D138" t="n">
        <v>-0.25</v>
      </c>
      <c r="E138" t="n">
        <v>33</v>
      </c>
    </row>
    <row r="139">
      <c r="A139" t="s">
        <v>299</v>
      </c>
      <c r="B139" t="n">
        <v>-2.75</v>
      </c>
      <c r="C139" t="n">
        <v>0</v>
      </c>
      <c r="D139" t="n">
        <v>-0.5</v>
      </c>
      <c r="E139" t="n">
        <v>155</v>
      </c>
    </row>
    <row r="140">
      <c r="A140" t="s">
        <v>299</v>
      </c>
      <c r="B140" t="n">
        <v>-0.5</v>
      </c>
      <c r="C140" t="n">
        <v>86</v>
      </c>
      <c r="D140" t="n">
        <v>-0.25</v>
      </c>
      <c r="E140" t="n">
        <v>118</v>
      </c>
    </row>
    <row r="141">
      <c r="A141" t="s">
        <v>298</v>
      </c>
      <c r="B141" t="n">
        <v>-0.25</v>
      </c>
      <c r="C141" t="n">
        <v>157</v>
      </c>
      <c r="D141" t="n">
        <v>0</v>
      </c>
      <c r="E141" t="n">
        <v>156</v>
      </c>
    </row>
    <row r="142">
      <c r="A142" t="s">
        <v>298</v>
      </c>
      <c r="B142" t="n">
        <v>-1.5</v>
      </c>
      <c r="C142" t="n">
        <v>171</v>
      </c>
      <c r="D142" t="n">
        <v>0</v>
      </c>
      <c r="E142" t="n">
        <v>9</v>
      </c>
    </row>
    <row r="143">
      <c r="A143" t="s">
        <v>299</v>
      </c>
      <c r="B143" t="n">
        <v>-2.25</v>
      </c>
      <c r="C143" t="n">
        <v>170</v>
      </c>
      <c r="D143" t="n">
        <v>-0.25</v>
      </c>
      <c r="E143" t="n">
        <v>175</v>
      </c>
    </row>
    <row r="144">
      <c r="A144" t="s">
        <v>298</v>
      </c>
      <c r="B144" t="n">
        <v>-0.5</v>
      </c>
      <c r="C144" t="n">
        <v>109</v>
      </c>
      <c r="D144" t="n">
        <v>-0.25</v>
      </c>
      <c r="E144" t="n">
        <v>120</v>
      </c>
    </row>
    <row r="145">
      <c r="A145" t="s">
        <v>299</v>
      </c>
      <c r="B145" t="n">
        <v>-0.25</v>
      </c>
      <c r="C145" t="n">
        <v>172</v>
      </c>
      <c r="D145" t="n">
        <v>-0.25</v>
      </c>
      <c r="E145" t="n">
        <v>165</v>
      </c>
    </row>
    <row r="146">
      <c r="A146" t="s">
        <v>299</v>
      </c>
      <c r="B146" t="n">
        <v>-0.25</v>
      </c>
      <c r="C146" t="n">
        <v>85</v>
      </c>
      <c r="D146" t="n">
        <v>0</v>
      </c>
      <c r="E146" t="n">
        <v>63</v>
      </c>
    </row>
    <row r="147">
      <c r="A147" t="s">
        <v>299</v>
      </c>
      <c r="B147" t="n">
        <v>-0.25</v>
      </c>
      <c r="C147" t="n">
        <v>170</v>
      </c>
      <c r="D147" t="n">
        <v>0</v>
      </c>
      <c r="E147" t="n">
        <v>157</v>
      </c>
    </row>
    <row r="148">
      <c r="A148" t="s">
        <v>298</v>
      </c>
      <c r="B148" t="n">
        <v>-0.5</v>
      </c>
      <c r="C148" t="n">
        <v>18</v>
      </c>
      <c r="D148" t="n">
        <v>-0.5</v>
      </c>
      <c r="E148" t="n">
        <v>43</v>
      </c>
    </row>
    <row r="149">
      <c r="A149" t="s">
        <v>299</v>
      </c>
      <c r="B149" t="n">
        <v>-2.25</v>
      </c>
      <c r="C149" t="n">
        <v>82</v>
      </c>
      <c r="D149" t="n">
        <v>-0.5</v>
      </c>
      <c r="E149" t="n">
        <v>54</v>
      </c>
    </row>
    <row r="150">
      <c r="A150" t="s">
        <v>298</v>
      </c>
      <c r="B150" t="n">
        <v>-0.25</v>
      </c>
      <c r="C150" t="n">
        <v>94</v>
      </c>
      <c r="D150" t="n">
        <v>0</v>
      </c>
      <c r="E150" t="n">
        <v>59</v>
      </c>
    </row>
    <row r="151">
      <c r="A151" t="s">
        <v>299</v>
      </c>
      <c r="B151" t="n">
        <v>-0.75</v>
      </c>
      <c r="C151" t="n">
        <v>54</v>
      </c>
      <c r="D151" t="n">
        <v>0</v>
      </c>
      <c r="E151" t="n">
        <v>167</v>
      </c>
    </row>
    <row r="152">
      <c r="A152" t="s">
        <v>298</v>
      </c>
      <c r="B152" t="n">
        <v>-0.5</v>
      </c>
      <c r="C152" t="n">
        <v>177</v>
      </c>
      <c r="D152" t="n">
        <v>-0.25</v>
      </c>
      <c r="E152" t="n">
        <v>3</v>
      </c>
    </row>
    <row r="153">
      <c r="A153" t="s">
        <v>299</v>
      </c>
      <c r="B153" t="n">
        <v>-1</v>
      </c>
      <c r="C153" t="n">
        <v>1</v>
      </c>
      <c r="D153" t="n">
        <v>0</v>
      </c>
      <c r="E153" t="n">
        <v>110</v>
      </c>
    </row>
    <row r="154">
      <c r="A154" t="s">
        <v>298</v>
      </c>
      <c r="B154" t="n">
        <v>-0.25</v>
      </c>
      <c r="C154" t="n">
        <v>40</v>
      </c>
      <c r="D154" t="n">
        <v>0</v>
      </c>
      <c r="E154" t="n">
        <v>17</v>
      </c>
    </row>
    <row r="155">
      <c r="A155" t="s">
        <v>299</v>
      </c>
      <c r="B155" t="n">
        <v>-0.25</v>
      </c>
      <c r="C155" t="n">
        <v>8</v>
      </c>
      <c r="D155" t="n">
        <v>-0.25</v>
      </c>
      <c r="E155" t="n">
        <v>33</v>
      </c>
    </row>
    <row r="156">
      <c r="A156" t="s">
        <v>299</v>
      </c>
      <c r="B156" t="n">
        <v>-0.75</v>
      </c>
      <c r="C156" t="n">
        <v>91</v>
      </c>
      <c r="D156" t="n">
        <v>-0.25</v>
      </c>
      <c r="E156" t="n">
        <v>94</v>
      </c>
    </row>
    <row r="157">
      <c r="A157" t="s">
        <v>299</v>
      </c>
      <c r="B157" t="n">
        <v>0</v>
      </c>
      <c r="C157" t="n">
        <v>169</v>
      </c>
      <c r="D157" t="n">
        <v>0</v>
      </c>
      <c r="E157" t="n">
        <v>145</v>
      </c>
    </row>
    <row r="158">
      <c r="A158" t="s">
        <v>298</v>
      </c>
      <c r="B158" t="n">
        <v>-0.5</v>
      </c>
      <c r="C158" t="n">
        <v>177</v>
      </c>
      <c r="D158" t="n">
        <v>-0.25</v>
      </c>
      <c r="E158" t="n">
        <v>9</v>
      </c>
    </row>
    <row r="159">
      <c r="A159" t="s">
        <v>299</v>
      </c>
      <c r="B159" t="n">
        <v>-0.25</v>
      </c>
      <c r="C159" t="n">
        <v>17</v>
      </c>
      <c r="D159" t="n">
        <v>-0.5</v>
      </c>
      <c r="E159" t="n">
        <v>178</v>
      </c>
    </row>
    <row r="160">
      <c r="A160" t="s">
        <v>298</v>
      </c>
      <c r="B160" t="n">
        <v>-1.5</v>
      </c>
      <c r="C160" t="n">
        <v>16</v>
      </c>
      <c r="D160" t="n">
        <v>0</v>
      </c>
      <c r="E160" t="n">
        <v>7</v>
      </c>
    </row>
    <row r="161">
      <c r="A161" t="s">
        <v>299</v>
      </c>
      <c r="B161" t="n">
        <v>-0.25</v>
      </c>
      <c r="C161" t="n">
        <v>5</v>
      </c>
      <c r="D161" t="n">
        <v>0</v>
      </c>
      <c r="E161" t="n">
        <v>149</v>
      </c>
    </row>
    <row r="162">
      <c r="A162" t="s">
        <v>298</v>
      </c>
      <c r="B162" t="n">
        <v>-0.5</v>
      </c>
      <c r="C162" t="n">
        <v>9</v>
      </c>
      <c r="D162" t="n">
        <v>-0.25</v>
      </c>
      <c r="E162" t="n">
        <v>15</v>
      </c>
    </row>
    <row r="163">
      <c r="A163" t="s">
        <v>299</v>
      </c>
      <c r="B163" t="n">
        <v>0</v>
      </c>
      <c r="C163" t="n">
        <v>68</v>
      </c>
      <c r="D163" t="n">
        <v>-0.25</v>
      </c>
      <c r="E163" t="n">
        <v>174</v>
      </c>
    </row>
    <row r="164">
      <c r="A164" t="s">
        <v>298</v>
      </c>
      <c r="B164" t="n">
        <v>-0.5</v>
      </c>
      <c r="C164" t="n">
        <v>98</v>
      </c>
      <c r="D164" t="n">
        <v>-0.25</v>
      </c>
      <c r="E164" t="n">
        <v>77</v>
      </c>
    </row>
    <row r="165">
      <c r="A165" t="s">
        <v>299</v>
      </c>
      <c r="B165" t="n">
        <v>-1.25</v>
      </c>
      <c r="C165" t="n">
        <v>162</v>
      </c>
      <c r="D165" t="n">
        <v>-0.25</v>
      </c>
      <c r="E165" t="n">
        <v>148</v>
      </c>
    </row>
    <row r="166">
      <c r="A166" t="s">
        <v>299</v>
      </c>
      <c r="B166" t="n">
        <v>-0.5</v>
      </c>
      <c r="C166" t="n">
        <v>95</v>
      </c>
      <c r="D166" t="n">
        <v>-0.25</v>
      </c>
      <c r="E166" t="n">
        <v>95</v>
      </c>
    </row>
    <row r="167">
      <c r="A167" t="s">
        <v>298</v>
      </c>
      <c r="B167" t="n">
        <v>-0.25</v>
      </c>
      <c r="C167" t="n">
        <v>27</v>
      </c>
      <c r="D167" t="n">
        <v>-0.25</v>
      </c>
      <c r="E167" t="n">
        <v>38</v>
      </c>
    </row>
    <row r="168">
      <c r="A168" t="s">
        <v>298</v>
      </c>
      <c r="B168" t="n">
        <v>-1.25</v>
      </c>
      <c r="C168" t="n">
        <v>4</v>
      </c>
      <c r="D168" t="n">
        <v>-0.25</v>
      </c>
      <c r="E168" t="n">
        <v>46</v>
      </c>
    </row>
    <row r="169">
      <c r="A169" t="s">
        <v>299</v>
      </c>
      <c r="B169" t="n">
        <v>-0.5</v>
      </c>
      <c r="C169" t="n">
        <v>82</v>
      </c>
      <c r="D169" t="n">
        <v>-0.25</v>
      </c>
      <c r="E169" t="n">
        <v>61</v>
      </c>
    </row>
    <row r="170">
      <c r="A170" t="s">
        <v>299</v>
      </c>
      <c r="B170" t="n">
        <v>-0.25</v>
      </c>
      <c r="C170" t="n">
        <v>94</v>
      </c>
      <c r="D170" t="n">
        <v>0</v>
      </c>
      <c r="E170" t="n">
        <v>18</v>
      </c>
    </row>
    <row r="171">
      <c r="A171" t="s">
        <v>298</v>
      </c>
      <c r="B171" t="n">
        <v>-0.25</v>
      </c>
      <c r="C171" t="n">
        <v>24</v>
      </c>
      <c r="D171" t="n">
        <v>-0.25</v>
      </c>
      <c r="E171" t="n">
        <v>152</v>
      </c>
    </row>
    <row r="172">
      <c r="A172" t="s">
        <v>299</v>
      </c>
      <c r="B172" t="n">
        <v>-1.25</v>
      </c>
      <c r="C172" t="n">
        <v>102</v>
      </c>
      <c r="D172" t="n">
        <v>-0.25</v>
      </c>
      <c r="E172" t="n">
        <v>93</v>
      </c>
    </row>
    <row r="173">
      <c r="A173" t="s">
        <v>298</v>
      </c>
      <c r="B173" t="n">
        <v>-0.25</v>
      </c>
      <c r="C173" t="n">
        <v>97</v>
      </c>
      <c r="D173" t="n">
        <v>0</v>
      </c>
      <c r="E173" t="n">
        <v>119</v>
      </c>
    </row>
    <row r="174">
      <c r="A174" t="s">
        <v>299</v>
      </c>
      <c r="B174" t="n">
        <v>-0.5</v>
      </c>
      <c r="C174" t="n">
        <v>71</v>
      </c>
      <c r="D174" t="n">
        <v>-0.5</v>
      </c>
      <c r="E174" t="n">
        <v>96</v>
      </c>
    </row>
    <row r="175">
      <c r="A175" t="s">
        <v>298</v>
      </c>
      <c r="B175" t="n">
        <v>0</v>
      </c>
      <c r="C175" t="n">
        <v>80</v>
      </c>
      <c r="D175" t="n">
        <v>-0.25</v>
      </c>
      <c r="E175" t="n">
        <v>130</v>
      </c>
    </row>
    <row r="176">
      <c r="A176" t="s">
        <v>299</v>
      </c>
      <c r="B176" t="n">
        <v>-1</v>
      </c>
      <c r="C176" t="n">
        <v>161</v>
      </c>
      <c r="D176" t="n">
        <v>-0.25</v>
      </c>
      <c r="E176" t="n">
        <v>147</v>
      </c>
    </row>
    <row r="177">
      <c r="A177" t="s">
        <v>298</v>
      </c>
      <c r="B177" t="n">
        <v>-0.5</v>
      </c>
      <c r="C177" t="n">
        <v>62</v>
      </c>
      <c r="D177" t="n">
        <v>-0.25</v>
      </c>
      <c r="E177" t="n">
        <v>92</v>
      </c>
    </row>
    <row r="178">
      <c r="A178" t="s">
        <v>299</v>
      </c>
      <c r="B178" t="n">
        <v>-0.75</v>
      </c>
      <c r="C178" t="n">
        <v>103</v>
      </c>
      <c r="D178" t="n">
        <v>0</v>
      </c>
      <c r="E178" t="n">
        <v>8</v>
      </c>
    </row>
    <row r="179">
      <c r="A179" t="s">
        <v>298</v>
      </c>
      <c r="B179" t="n">
        <v>-1.25</v>
      </c>
      <c r="C179" t="n">
        <v>10</v>
      </c>
      <c r="D179" t="n">
        <v>-0.25</v>
      </c>
      <c r="E179" t="n">
        <v>21</v>
      </c>
    </row>
    <row r="180">
      <c r="A180" t="s">
        <v>298</v>
      </c>
      <c r="B180" t="n">
        <v>-0.5</v>
      </c>
      <c r="C180" t="n">
        <v>82</v>
      </c>
      <c r="D180" t="n">
        <v>-0.5</v>
      </c>
      <c r="E180" t="n">
        <v>106</v>
      </c>
    </row>
    <row r="181">
      <c r="A181" t="s">
        <v>299</v>
      </c>
      <c r="B181" t="n">
        <v>-1.25</v>
      </c>
      <c r="C181" t="n">
        <v>165</v>
      </c>
      <c r="D181" t="n">
        <v>0</v>
      </c>
      <c r="E181" t="n">
        <v>14</v>
      </c>
    </row>
    <row r="182">
      <c r="A182" t="s">
        <v>298</v>
      </c>
      <c r="B182" t="n">
        <v>0</v>
      </c>
      <c r="C182" t="n">
        <v>149</v>
      </c>
      <c r="D182" t="n">
        <v>-0.5</v>
      </c>
      <c r="E182" t="n">
        <v>143</v>
      </c>
    </row>
    <row r="183">
      <c r="A183" t="s">
        <v>299</v>
      </c>
      <c r="B183" t="n">
        <v>-0.5</v>
      </c>
      <c r="C183" t="n">
        <v>2</v>
      </c>
      <c r="D183" t="n">
        <v>-0.25</v>
      </c>
      <c r="E183" t="n">
        <v>175</v>
      </c>
    </row>
    <row r="184">
      <c r="A184" t="s">
        <v>299</v>
      </c>
      <c r="B184" t="n">
        <v>-1</v>
      </c>
      <c r="C184" t="n">
        <v>152</v>
      </c>
      <c r="D184" t="n">
        <v>0</v>
      </c>
      <c r="E184" t="n">
        <v>156</v>
      </c>
    </row>
    <row r="185">
      <c r="A185" t="s">
        <v>298</v>
      </c>
      <c r="B185" t="n">
        <v>-1</v>
      </c>
      <c r="C185" t="n">
        <v>24</v>
      </c>
      <c r="D185" t="n">
        <v>-0.25</v>
      </c>
      <c r="E185" t="n">
        <v>15</v>
      </c>
    </row>
    <row r="186">
      <c r="A186" t="s">
        <v>298</v>
      </c>
      <c r="B186" t="n">
        <v>-1.5</v>
      </c>
      <c r="C186" t="n">
        <v>5</v>
      </c>
      <c r="D186" t="n">
        <v>-0.25</v>
      </c>
      <c r="E186" t="n">
        <v>172</v>
      </c>
    </row>
    <row r="187">
      <c r="A187" t="s">
        <v>299</v>
      </c>
      <c r="B187" t="n">
        <v>-0.75</v>
      </c>
      <c r="C187" t="n">
        <v>88</v>
      </c>
      <c r="D187" t="n">
        <v>-0.25</v>
      </c>
      <c r="E187" t="n">
        <v>81</v>
      </c>
    </row>
    <row r="188">
      <c r="A188" t="s">
        <v>298</v>
      </c>
      <c r="B188" t="n">
        <v>-0.5</v>
      </c>
      <c r="C188" t="n">
        <v>180</v>
      </c>
      <c r="D188" t="n">
        <v>-0.25</v>
      </c>
      <c r="E188" t="n">
        <v>152</v>
      </c>
    </row>
    <row r="189">
      <c r="A189" t="s">
        <v>298</v>
      </c>
      <c r="B189" t="n">
        <v>-0.25</v>
      </c>
      <c r="C189" t="n">
        <v>89</v>
      </c>
      <c r="D189" t="n">
        <v>-0.25</v>
      </c>
      <c r="E189" t="n">
        <v>103</v>
      </c>
    </row>
    <row r="190">
      <c r="A190" t="s">
        <v>298</v>
      </c>
      <c r="B190" t="n">
        <v>-1</v>
      </c>
      <c r="C190" t="n">
        <v>22</v>
      </c>
      <c r="D190" t="n">
        <v>-0.5</v>
      </c>
      <c r="E190" t="n">
        <v>14</v>
      </c>
    </row>
    <row r="191">
      <c r="A191" t="s">
        <v>299</v>
      </c>
      <c r="B191" t="n">
        <v>-0.5</v>
      </c>
      <c r="C191" t="n">
        <v>101</v>
      </c>
      <c r="D191" t="n">
        <v>-0.25</v>
      </c>
      <c r="E191" t="n">
        <v>98</v>
      </c>
    </row>
    <row r="192">
      <c r="A192" t="s">
        <v>298</v>
      </c>
      <c r="B192" t="n">
        <v>-0.5</v>
      </c>
      <c r="C192" t="n">
        <v>173</v>
      </c>
      <c r="D192" t="n">
        <v>-0.5</v>
      </c>
      <c r="E192" t="n">
        <v>24</v>
      </c>
    </row>
    <row r="193">
      <c r="A193" t="s">
        <v>299</v>
      </c>
      <c r="B193" t="n">
        <v>-1</v>
      </c>
      <c r="C193" t="n">
        <v>156</v>
      </c>
      <c r="D193" t="n">
        <v>-0.5</v>
      </c>
      <c r="E193" t="n">
        <v>40</v>
      </c>
    </row>
    <row r="194">
      <c r="A194" t="s">
        <v>298</v>
      </c>
      <c r="B194" t="n">
        <v>-0.5</v>
      </c>
      <c r="C194" t="n">
        <v>21</v>
      </c>
      <c r="D194" t="n">
        <v>-0.25</v>
      </c>
      <c r="E194" t="n">
        <v>8</v>
      </c>
    </row>
    <row r="195">
      <c r="A195" t="s">
        <v>299</v>
      </c>
      <c r="B195" t="n">
        <v>-0.25</v>
      </c>
      <c r="C195" t="n">
        <v>6</v>
      </c>
      <c r="D195" t="n">
        <v>-0.25</v>
      </c>
      <c r="E195" t="n">
        <v>179</v>
      </c>
    </row>
    <row r="196">
      <c r="A196" t="s">
        <v>298</v>
      </c>
      <c r="B196" t="n">
        <v>-0.75</v>
      </c>
      <c r="C196" t="n">
        <v>167</v>
      </c>
      <c r="D196" t="n">
        <v>-0.25</v>
      </c>
      <c r="E196" t="n">
        <v>168</v>
      </c>
    </row>
    <row r="197">
      <c r="A197" t="s">
        <v>299</v>
      </c>
      <c r="B197" t="n">
        <v>-0.5</v>
      </c>
      <c r="C197" t="n">
        <v>2</v>
      </c>
      <c r="D197" t="n">
        <v>-0.5</v>
      </c>
      <c r="E197" t="n">
        <v>19</v>
      </c>
    </row>
    <row r="198">
      <c r="A198" t="s">
        <v>299</v>
      </c>
      <c r="B198" t="n">
        <v>-0.25</v>
      </c>
      <c r="C198" t="n">
        <v>11</v>
      </c>
      <c r="D198" t="n">
        <v>0</v>
      </c>
      <c r="E198" t="n">
        <v>160</v>
      </c>
    </row>
    <row r="199">
      <c r="A199" t="s">
        <v>298</v>
      </c>
      <c r="B199" t="n">
        <v>-1</v>
      </c>
      <c r="C199" t="n">
        <v>159</v>
      </c>
      <c r="D199" t="n">
        <v>0</v>
      </c>
      <c r="E199" t="n">
        <v>13</v>
      </c>
    </row>
    <row r="200">
      <c r="A200" t="s">
        <v>299</v>
      </c>
      <c r="B200" t="n">
        <v>0</v>
      </c>
      <c r="C200" t="n">
        <v>1</v>
      </c>
      <c r="D200" t="n">
        <v>-0.25</v>
      </c>
      <c r="E200" t="n">
        <v>13</v>
      </c>
    </row>
    <row r="201">
      <c r="A201" t="s">
        <v>298</v>
      </c>
      <c r="B201" t="n">
        <v>-0.25</v>
      </c>
      <c r="C201" t="n">
        <v>89</v>
      </c>
      <c r="D201" t="n">
        <v>-0.25</v>
      </c>
      <c r="E201" t="n">
        <v>60</v>
      </c>
    </row>
    <row r="202">
      <c r="A202" t="s">
        <v>299</v>
      </c>
      <c r="B202" t="n">
        <v>-1</v>
      </c>
      <c r="C202" t="n">
        <v>110</v>
      </c>
      <c r="D202" t="n">
        <v>-0.25</v>
      </c>
      <c r="E202" t="n">
        <v>121</v>
      </c>
    </row>
    <row r="203">
      <c r="A203" t="s">
        <v>298</v>
      </c>
      <c r="B203" t="n">
        <v>-0.25</v>
      </c>
      <c r="C203" t="n">
        <v>105</v>
      </c>
      <c r="D203" t="n">
        <v>-0.5</v>
      </c>
      <c r="E203" t="n">
        <v>132</v>
      </c>
    </row>
    <row r="204">
      <c r="A204" t="s">
        <v>299</v>
      </c>
      <c r="B204" t="n">
        <v>-1.25</v>
      </c>
      <c r="C204" t="n">
        <v>14</v>
      </c>
      <c r="D204" t="n">
        <v>-0.25</v>
      </c>
      <c r="E204" t="n">
        <v>13</v>
      </c>
    </row>
    <row r="205">
      <c r="A205" t="s">
        <v>299</v>
      </c>
      <c r="B205" t="n">
        <v>-1.25</v>
      </c>
      <c r="C205" t="n">
        <v>163</v>
      </c>
      <c r="D205" t="n">
        <v>0</v>
      </c>
      <c r="E205" t="n">
        <v>5</v>
      </c>
    </row>
    <row r="206">
      <c r="A206" t="s">
        <v>298</v>
      </c>
      <c r="B206" t="n">
        <v>-1</v>
      </c>
      <c r="C206" t="n">
        <v>94</v>
      </c>
      <c r="D206" t="n">
        <v>0</v>
      </c>
      <c r="E206" t="n">
        <v>104</v>
      </c>
    </row>
    <row r="207">
      <c r="A207" t="s">
        <v>299</v>
      </c>
      <c r="B207" t="n">
        <v>-0.5</v>
      </c>
      <c r="C207" t="n">
        <v>85</v>
      </c>
      <c r="D207" t="n">
        <v>-0.25</v>
      </c>
      <c r="E207" t="n">
        <v>110</v>
      </c>
    </row>
    <row r="208">
      <c r="A208" t="s">
        <v>299</v>
      </c>
      <c r="B208" t="n">
        <v>-0.5</v>
      </c>
      <c r="C208" t="n">
        <v>127</v>
      </c>
      <c r="D208" t="n">
        <v>-0.5</v>
      </c>
      <c r="E208" t="n">
        <v>132</v>
      </c>
    </row>
    <row r="209">
      <c r="A209" t="s">
        <v>298</v>
      </c>
      <c r="B209" t="n">
        <v>-0.25</v>
      </c>
      <c r="C209" t="n">
        <v>173</v>
      </c>
      <c r="D209" t="n">
        <v>0</v>
      </c>
      <c r="E209" t="n">
        <v>11</v>
      </c>
    </row>
    <row r="210">
      <c r="A210" t="s">
        <v>299</v>
      </c>
      <c r="B210" t="n">
        <v>-1</v>
      </c>
      <c r="C210" t="n">
        <v>87</v>
      </c>
      <c r="D210" t="n">
        <v>-0.25</v>
      </c>
      <c r="E210" t="n">
        <v>102</v>
      </c>
    </row>
    <row r="211">
      <c r="A211" t="s">
        <v>299</v>
      </c>
      <c r="B211" t="n">
        <v>-0.75</v>
      </c>
      <c r="C211" t="n">
        <v>89</v>
      </c>
      <c r="D211" t="n">
        <v>-0.25</v>
      </c>
      <c r="E211" t="n">
        <v>74</v>
      </c>
    </row>
    <row r="212">
      <c r="A212" t="s">
        <v>298</v>
      </c>
      <c r="B212" t="n">
        <v>-2.5</v>
      </c>
      <c r="C212" t="n">
        <v>20</v>
      </c>
      <c r="D212" t="n">
        <v>0</v>
      </c>
      <c r="E212" t="n">
        <v>33</v>
      </c>
    </row>
    <row r="213">
      <c r="A213" t="s">
        <v>298</v>
      </c>
      <c r="B213" t="n">
        <v>-0.75</v>
      </c>
      <c r="C213" t="n">
        <v>15</v>
      </c>
      <c r="D213" t="n">
        <v>0</v>
      </c>
      <c r="E213" t="n">
        <v>108</v>
      </c>
    </row>
    <row r="214">
      <c r="A214" t="s">
        <v>299</v>
      </c>
      <c r="B214" t="n">
        <v>-1</v>
      </c>
      <c r="C214" t="n">
        <v>60</v>
      </c>
      <c r="D214" t="n">
        <v>0</v>
      </c>
      <c r="E214" t="n">
        <v>130</v>
      </c>
    </row>
    <row r="215">
      <c r="A215" t="s">
        <v>298</v>
      </c>
      <c r="B215" t="n">
        <v>-0.25</v>
      </c>
      <c r="C215" t="n">
        <v>99</v>
      </c>
      <c r="D215" t="n">
        <v>-0.25</v>
      </c>
      <c r="E215" t="n">
        <v>110</v>
      </c>
    </row>
    <row r="216">
      <c r="A216" t="s">
        <v>299</v>
      </c>
      <c r="B216" t="n">
        <v>-1</v>
      </c>
      <c r="C216" t="n">
        <v>87</v>
      </c>
      <c r="D216" t="n">
        <v>-0.25</v>
      </c>
      <c r="E216" t="n">
        <v>104</v>
      </c>
    </row>
    <row r="217">
      <c r="A217" t="s">
        <v>298</v>
      </c>
      <c r="B217" t="n">
        <v>-0.25</v>
      </c>
      <c r="C217" t="n">
        <v>12</v>
      </c>
      <c r="D217" t="n">
        <v>-0.25</v>
      </c>
      <c r="E217" t="n">
        <v>34</v>
      </c>
    </row>
    <row r="218">
      <c r="A218" t="s">
        <v>299</v>
      </c>
      <c r="B218" t="n">
        <v>-0.5</v>
      </c>
      <c r="C218" t="n">
        <v>158</v>
      </c>
      <c r="D218" t="n">
        <v>-0.5</v>
      </c>
      <c r="E218" t="n">
        <v>158</v>
      </c>
    </row>
    <row r="219">
      <c r="A219" t="s">
        <v>299</v>
      </c>
      <c r="B219" t="n">
        <v>-0.5</v>
      </c>
      <c r="C219" t="n">
        <v>177</v>
      </c>
      <c r="D219" t="n">
        <v>-0.25</v>
      </c>
      <c r="E219" t="n">
        <v>14</v>
      </c>
    </row>
    <row r="220">
      <c r="A220" t="s">
        <v>298</v>
      </c>
      <c r="B220" t="n">
        <v>-0.25</v>
      </c>
      <c r="C220" t="n">
        <v>81</v>
      </c>
      <c r="D220" t="n">
        <v>-0.25</v>
      </c>
      <c r="E220" t="n">
        <v>104</v>
      </c>
    </row>
    <row r="221">
      <c r="A221" t="s">
        <v>299</v>
      </c>
      <c r="B221" t="n">
        <v>-0.5</v>
      </c>
      <c r="C221" t="n">
        <v>17</v>
      </c>
      <c r="D221" t="n">
        <v>0</v>
      </c>
      <c r="E221" t="n">
        <v>10</v>
      </c>
    </row>
    <row r="222">
      <c r="A222" t="s">
        <v>298</v>
      </c>
      <c r="B222" t="n">
        <v>-0.5</v>
      </c>
      <c r="C222" t="n">
        <v>91</v>
      </c>
      <c r="D222" t="n">
        <v>0</v>
      </c>
      <c r="E222" t="n">
        <v>93</v>
      </c>
    </row>
    <row r="223">
      <c r="A223" t="s">
        <v>298</v>
      </c>
      <c r="B223" t="n">
        <v>0</v>
      </c>
      <c r="C223" t="n">
        <v>166</v>
      </c>
      <c r="D223" t="n">
        <v>0</v>
      </c>
      <c r="E223" t="n">
        <v>5</v>
      </c>
    </row>
    <row r="224">
      <c r="A224" t="s">
        <v>299</v>
      </c>
      <c r="B224" t="n">
        <v>-0.25</v>
      </c>
      <c r="C224" t="n">
        <v>100</v>
      </c>
      <c r="D224" t="n">
        <v>0</v>
      </c>
      <c r="E224" t="n">
        <v>114</v>
      </c>
    </row>
    <row r="225">
      <c r="A225" t="s">
        <v>299</v>
      </c>
      <c r="B225" t="n">
        <v>0</v>
      </c>
      <c r="C225" t="n">
        <v>87</v>
      </c>
      <c r="D225" t="n">
        <v>0</v>
      </c>
      <c r="E225" t="n">
        <v>97</v>
      </c>
    </row>
    <row r="226">
      <c r="A226" t="s">
        <v>298</v>
      </c>
      <c r="B226" t="n">
        <v>-0.75</v>
      </c>
      <c r="C226" t="n">
        <v>117</v>
      </c>
      <c r="D226" t="n">
        <v>-0.5</v>
      </c>
      <c r="E226" t="n">
        <v>103</v>
      </c>
    </row>
    <row r="227">
      <c r="A227" t="s">
        <v>299</v>
      </c>
      <c r="B227" t="n">
        <v>0</v>
      </c>
      <c r="C227" t="n">
        <v>146</v>
      </c>
      <c r="D227" t="n">
        <v>-0.25</v>
      </c>
      <c r="E227" t="n">
        <v>116</v>
      </c>
    </row>
    <row r="228">
      <c r="A228" t="s">
        <v>298</v>
      </c>
      <c r="B228" t="n">
        <v>-0.25</v>
      </c>
      <c r="C228" t="n">
        <v>1</v>
      </c>
      <c r="D228" t="n">
        <v>0</v>
      </c>
      <c r="E228" t="n">
        <v>97</v>
      </c>
    </row>
    <row r="229">
      <c r="A229" t="s">
        <v>298</v>
      </c>
      <c r="B229" t="n">
        <v>-1.25</v>
      </c>
      <c r="C229" t="n">
        <v>75</v>
      </c>
      <c r="D229" t="n">
        <v>-0.25</v>
      </c>
      <c r="E229" t="n">
        <v>50</v>
      </c>
    </row>
    <row r="230">
      <c r="A230" t="s">
        <v>299</v>
      </c>
      <c r="B230" t="n">
        <v>-0.5</v>
      </c>
      <c r="C230" t="n">
        <v>10</v>
      </c>
      <c r="D230" t="n">
        <v>-0.25</v>
      </c>
      <c r="E230" t="n">
        <v>176</v>
      </c>
    </row>
    <row r="231">
      <c r="A231" t="s">
        <v>298</v>
      </c>
      <c r="B231" t="n">
        <v>-0.25</v>
      </c>
      <c r="C231" t="n">
        <v>152</v>
      </c>
      <c r="D231" t="n">
        <v>0</v>
      </c>
      <c r="E231" t="n">
        <v>57</v>
      </c>
    </row>
    <row r="232">
      <c r="A232" t="s">
        <v>298</v>
      </c>
      <c r="B232" t="n">
        <v>-1.25</v>
      </c>
      <c r="C232" t="n">
        <v>105</v>
      </c>
      <c r="D232" t="n">
        <v>-0.5</v>
      </c>
      <c r="E232" t="n">
        <v>107</v>
      </c>
    </row>
    <row r="233">
      <c r="A233" t="s">
        <v>299</v>
      </c>
      <c r="B233" t="n">
        <v>-0.5</v>
      </c>
      <c r="C233" t="n">
        <v>78</v>
      </c>
      <c r="D233" t="n">
        <v>-0.25</v>
      </c>
      <c r="E233" t="n">
        <v>65</v>
      </c>
    </row>
    <row r="234">
      <c r="A234" t="s">
        <v>298</v>
      </c>
      <c r="B234" t="n">
        <v>-0.25</v>
      </c>
      <c r="C234" t="n">
        <v>179</v>
      </c>
      <c r="D234" t="n">
        <v>-0.25</v>
      </c>
      <c r="E234" t="n">
        <v>24</v>
      </c>
    </row>
    <row r="235">
      <c r="A235" t="s">
        <v>299</v>
      </c>
      <c r="B235" t="n">
        <v>-0.25</v>
      </c>
      <c r="C235" t="n">
        <v>102</v>
      </c>
      <c r="D235" t="n">
        <v>-0.25</v>
      </c>
      <c r="E235" t="n">
        <v>81</v>
      </c>
    </row>
    <row r="236">
      <c r="A236" t="s">
        <v>298</v>
      </c>
      <c r="B236" t="n">
        <v>-2.75</v>
      </c>
      <c r="C236" t="n">
        <v>43</v>
      </c>
      <c r="D236" t="n">
        <v>-0.25</v>
      </c>
      <c r="E236" t="n">
        <v>47</v>
      </c>
    </row>
    <row r="237">
      <c r="A237" t="s">
        <v>299</v>
      </c>
      <c r="B237" t="n">
        <v>-0.25</v>
      </c>
      <c r="C237" t="n">
        <v>85</v>
      </c>
      <c r="D237" t="n">
        <v>0</v>
      </c>
      <c r="E237" t="n">
        <v>83</v>
      </c>
    </row>
    <row r="238">
      <c r="A238" t="s">
        <v>298</v>
      </c>
      <c r="B238" t="n">
        <v>-0.25</v>
      </c>
      <c r="C238" t="n">
        <v>76</v>
      </c>
      <c r="D238" t="n">
        <v>-0.5</v>
      </c>
      <c r="E238" t="n">
        <v>66</v>
      </c>
    </row>
    <row r="239">
      <c r="A239" t="s">
        <v>299</v>
      </c>
      <c r="B239" t="n">
        <v>-0.5</v>
      </c>
      <c r="C239" t="n">
        <v>176</v>
      </c>
      <c r="D239" t="n">
        <v>-0.25</v>
      </c>
      <c r="E239" t="n">
        <v>137</v>
      </c>
    </row>
    <row r="240">
      <c r="A240" t="s">
        <v>298</v>
      </c>
      <c r="B240" t="n">
        <v>-1.5</v>
      </c>
      <c r="C240" t="n">
        <v>3</v>
      </c>
      <c r="D240" t="n">
        <v>-0.25</v>
      </c>
      <c r="E240" t="n">
        <v>2</v>
      </c>
    </row>
    <row r="241">
      <c r="A241" t="s">
        <v>299</v>
      </c>
      <c r="B241" t="n">
        <v>-0.75</v>
      </c>
      <c r="C241" t="n">
        <v>32</v>
      </c>
      <c r="D241" t="n">
        <v>-0.25</v>
      </c>
      <c r="E241" t="n">
        <v>23</v>
      </c>
    </row>
    <row r="242">
      <c r="A242" t="s">
        <v>298</v>
      </c>
      <c r="B242" t="n">
        <v>-0.5</v>
      </c>
      <c r="C242" t="n">
        <v>93</v>
      </c>
      <c r="D242" t="n">
        <v>0</v>
      </c>
      <c r="E242" t="n">
        <v>83</v>
      </c>
    </row>
    <row r="243">
      <c r="A243" t="s">
        <v>299</v>
      </c>
      <c r="B243" t="n">
        <v>-0.5</v>
      </c>
      <c r="C243" t="n">
        <v>40</v>
      </c>
      <c r="D243" t="n">
        <v>0</v>
      </c>
      <c r="E243" t="n">
        <v>109</v>
      </c>
    </row>
    <row r="244">
      <c r="A244" t="s">
        <v>299</v>
      </c>
      <c r="B244" t="n">
        <v>-0.5</v>
      </c>
      <c r="C244" t="n">
        <v>2</v>
      </c>
      <c r="D244" t="n">
        <v>-0.25</v>
      </c>
      <c r="E244" t="n">
        <v>171</v>
      </c>
    </row>
    <row r="245">
      <c r="A245" t="s">
        <v>298</v>
      </c>
      <c r="B245" t="n">
        <v>-1</v>
      </c>
      <c r="C245" t="n">
        <v>155</v>
      </c>
      <c r="D245" t="n">
        <v>0</v>
      </c>
      <c r="E245" t="n">
        <v>108</v>
      </c>
    </row>
    <row r="246">
      <c r="A246" t="s">
        <v>299</v>
      </c>
      <c r="B246" t="n">
        <v>-0.5</v>
      </c>
      <c r="C246" t="n">
        <v>180</v>
      </c>
      <c r="D246" t="n">
        <v>-0.5</v>
      </c>
      <c r="E246" t="n">
        <v>13</v>
      </c>
    </row>
    <row r="247">
      <c r="A247" t="s">
        <v>299</v>
      </c>
      <c r="B247" t="n">
        <v>-1</v>
      </c>
      <c r="C247" t="n">
        <v>11</v>
      </c>
      <c r="D247" t="n">
        <v>0</v>
      </c>
      <c r="E247" t="n">
        <v>167</v>
      </c>
    </row>
    <row r="248">
      <c r="A248" t="s">
        <v>298</v>
      </c>
      <c r="B248" t="n">
        <v>-0.25</v>
      </c>
      <c r="C248" t="n">
        <v>8</v>
      </c>
      <c r="D248" t="n">
        <v>-0.25</v>
      </c>
      <c r="E248" t="n">
        <v>179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293</v>
      </c>
      <c r="B1" t="s">
        <v>294</v>
      </c>
      <c r="C1" t="s">
        <v>295</v>
      </c>
      <c r="D1" t="s">
        <v>296</v>
      </c>
      <c r="E1" t="s">
        <v>297</v>
      </c>
    </row>
    <row r="2">
      <c r="A2" t="s">
        <v>299</v>
      </c>
      <c r="B2" t="n">
        <v>-0.25</v>
      </c>
      <c r="C2" t="n">
        <v>48</v>
      </c>
      <c r="D2" t="n">
        <v>0</v>
      </c>
      <c r="E2" t="n">
        <v>108</v>
      </c>
    </row>
    <row r="3">
      <c r="A3" t="s">
        <v>298</v>
      </c>
      <c r="B3" t="n">
        <v>-1.25</v>
      </c>
      <c r="C3" t="n">
        <v>12</v>
      </c>
      <c r="D3" t="n">
        <v>-0.25</v>
      </c>
      <c r="E3" t="n">
        <v>8</v>
      </c>
    </row>
    <row r="4">
      <c r="A4" t="s">
        <v>299</v>
      </c>
      <c r="B4" t="n">
        <v>-1.25</v>
      </c>
      <c r="C4" t="n">
        <v>174</v>
      </c>
      <c r="D4" t="n">
        <v>-0.25</v>
      </c>
      <c r="E4" t="n">
        <v>162</v>
      </c>
    </row>
    <row r="5">
      <c r="A5" t="s">
        <v>298</v>
      </c>
      <c r="B5" t="n">
        <v>-0.25</v>
      </c>
      <c r="C5" t="n">
        <v>99</v>
      </c>
      <c r="D5" t="n">
        <v>-0.25</v>
      </c>
      <c r="E5" t="n">
        <v>87</v>
      </c>
    </row>
    <row r="6">
      <c r="A6" t="s">
        <v>299</v>
      </c>
      <c r="B6" t="n">
        <v>-0.25</v>
      </c>
      <c r="C6" t="n">
        <v>94</v>
      </c>
      <c r="D6" t="n">
        <v>0</v>
      </c>
      <c r="E6" t="n">
        <v>154</v>
      </c>
    </row>
    <row r="7">
      <c r="A7" t="s">
        <v>298</v>
      </c>
      <c r="B7" t="n">
        <v>0</v>
      </c>
      <c r="C7" t="n">
        <v>96</v>
      </c>
      <c r="D7" t="n">
        <v>0</v>
      </c>
      <c r="E7" t="n">
        <v>82</v>
      </c>
    </row>
    <row r="8">
      <c r="A8" t="s">
        <v>299</v>
      </c>
      <c r="B8" t="n">
        <v>-0.5</v>
      </c>
      <c r="C8" t="n">
        <v>18</v>
      </c>
      <c r="D8" t="n">
        <v>-0.25</v>
      </c>
      <c r="E8" t="n">
        <v>154</v>
      </c>
    </row>
    <row r="9">
      <c r="A9" t="s">
        <v>298</v>
      </c>
      <c r="B9" t="n">
        <v>-0.5</v>
      </c>
      <c r="C9" t="n">
        <v>159</v>
      </c>
      <c r="D9" t="n">
        <v>-0.5</v>
      </c>
      <c r="E9" t="n">
        <v>128</v>
      </c>
    </row>
    <row r="10">
      <c r="A10" t="s">
        <v>299</v>
      </c>
      <c r="B10" t="n">
        <v>-0.25</v>
      </c>
      <c r="C10" t="n">
        <v>94</v>
      </c>
      <c r="D10" t="n">
        <v>0</v>
      </c>
      <c r="E10" t="n">
        <v>70</v>
      </c>
    </row>
    <row r="11">
      <c r="A11" t="s">
        <v>298</v>
      </c>
      <c r="B11" t="n">
        <v>-1.25</v>
      </c>
      <c r="C11" t="n">
        <v>96</v>
      </c>
      <c r="D11" t="n">
        <v>0</v>
      </c>
      <c r="E11" t="n">
        <v>99</v>
      </c>
    </row>
    <row r="12">
      <c r="A12" t="s">
        <v>299</v>
      </c>
      <c r="B12" t="n">
        <v>-1</v>
      </c>
      <c r="C12" t="n">
        <v>11</v>
      </c>
      <c r="D12" t="n">
        <v>-0.25</v>
      </c>
      <c r="E12" t="n">
        <v>44</v>
      </c>
    </row>
    <row r="13">
      <c r="A13" t="s">
        <v>298</v>
      </c>
      <c r="B13" t="n">
        <v>-1.25</v>
      </c>
      <c r="C13" t="n">
        <v>32</v>
      </c>
      <c r="D13" t="n">
        <v>0</v>
      </c>
      <c r="E13" t="n">
        <v>43</v>
      </c>
    </row>
    <row r="14">
      <c r="A14" t="s">
        <v>298</v>
      </c>
      <c r="B14" t="n">
        <v>-0.5</v>
      </c>
      <c r="C14" t="n">
        <v>24</v>
      </c>
      <c r="D14" t="n">
        <v>0</v>
      </c>
      <c r="E14" t="n">
        <v>17</v>
      </c>
    </row>
    <row r="15">
      <c r="A15" t="s">
        <v>299</v>
      </c>
      <c r="B15" t="n">
        <v>-0.25</v>
      </c>
      <c r="C15" t="n">
        <v>68</v>
      </c>
      <c r="D15" t="n">
        <v>0</v>
      </c>
      <c r="E15" t="n">
        <v>71</v>
      </c>
    </row>
    <row r="16">
      <c r="A16" t="s">
        <v>298</v>
      </c>
      <c r="B16" t="n">
        <v>-0.75</v>
      </c>
      <c r="C16" t="n">
        <v>85</v>
      </c>
      <c r="D16" t="n">
        <v>-0.25</v>
      </c>
      <c r="E16" t="n">
        <v>117</v>
      </c>
    </row>
    <row r="17">
      <c r="A17" t="s">
        <v>299</v>
      </c>
      <c r="B17" t="n">
        <v>-2</v>
      </c>
      <c r="C17" t="n">
        <v>173</v>
      </c>
      <c r="D17" t="n">
        <v>-0.25</v>
      </c>
      <c r="E17" t="n">
        <v>157</v>
      </c>
    </row>
    <row r="18">
      <c r="A18" t="s">
        <v>299</v>
      </c>
      <c r="B18" t="n">
        <v>-0.25</v>
      </c>
      <c r="C18" t="n">
        <v>18</v>
      </c>
      <c r="D18" t="n">
        <v>0</v>
      </c>
      <c r="E18" t="n">
        <v>170</v>
      </c>
    </row>
    <row r="19">
      <c r="A19" t="s">
        <v>299</v>
      </c>
      <c r="B19" t="n">
        <v>-0.25</v>
      </c>
      <c r="C19" t="n">
        <v>164</v>
      </c>
      <c r="D19" t="n">
        <v>-0.25</v>
      </c>
      <c r="E19" t="n">
        <v>159</v>
      </c>
    </row>
    <row r="20">
      <c r="A20" t="s">
        <v>298</v>
      </c>
      <c r="B20" t="n">
        <v>-0.5</v>
      </c>
      <c r="C20" t="n">
        <v>172</v>
      </c>
      <c r="D20" t="n">
        <v>-0.25</v>
      </c>
      <c r="E20" t="n">
        <v>142</v>
      </c>
    </row>
    <row r="21">
      <c r="A21" t="s">
        <v>299</v>
      </c>
      <c r="B21" t="n">
        <v>-1.25</v>
      </c>
      <c r="C21" t="n">
        <v>179</v>
      </c>
      <c r="D21" t="n">
        <v>0</v>
      </c>
      <c r="E21" t="n">
        <v>155</v>
      </c>
    </row>
    <row r="22">
      <c r="A22" t="s">
        <v>298</v>
      </c>
      <c r="B22" t="n">
        <v>-0.25</v>
      </c>
      <c r="C22" t="n">
        <v>11</v>
      </c>
      <c r="D22" t="n">
        <v>-0.25</v>
      </c>
      <c r="E22" t="n">
        <v>169</v>
      </c>
    </row>
    <row r="23">
      <c r="A23" t="s">
        <v>299</v>
      </c>
      <c r="B23" t="n">
        <v>-0.5</v>
      </c>
      <c r="C23" t="n">
        <v>167</v>
      </c>
      <c r="D23" t="n">
        <v>-0.75</v>
      </c>
      <c r="E23" t="n">
        <v>3</v>
      </c>
    </row>
    <row r="24">
      <c r="A24" t="s">
        <v>298</v>
      </c>
      <c r="B24" t="n">
        <v>-0.75</v>
      </c>
      <c r="C24" t="n">
        <v>94</v>
      </c>
      <c r="D24" t="n">
        <v>-0.25</v>
      </c>
      <c r="E24" t="n">
        <v>63</v>
      </c>
    </row>
    <row r="25">
      <c r="A25" t="s">
        <v>299</v>
      </c>
      <c r="B25" t="n">
        <v>-1.5</v>
      </c>
      <c r="C25" t="n">
        <v>174</v>
      </c>
      <c r="D25" t="n">
        <v>-0.25</v>
      </c>
      <c r="E25" t="n">
        <v>1</v>
      </c>
    </row>
    <row r="26">
      <c r="A26" t="s">
        <v>298</v>
      </c>
      <c r="B26" t="n">
        <v>-0.5</v>
      </c>
      <c r="C26" t="n">
        <v>9</v>
      </c>
      <c r="D26" t="n">
        <v>-0.25</v>
      </c>
      <c r="E26" t="n">
        <v>175</v>
      </c>
    </row>
    <row r="27">
      <c r="A27" t="s">
        <v>298</v>
      </c>
      <c r="B27" t="n">
        <v>-0.5</v>
      </c>
      <c r="C27" t="n">
        <v>89</v>
      </c>
      <c r="D27" t="n">
        <v>-0.5</v>
      </c>
      <c r="E27" t="n">
        <v>109</v>
      </c>
    </row>
    <row r="28">
      <c r="A28" t="s">
        <v>299</v>
      </c>
      <c r="B28" t="n">
        <v>-1.5</v>
      </c>
      <c r="C28" t="n">
        <v>100</v>
      </c>
      <c r="D28" t="n">
        <v>-0.5</v>
      </c>
      <c r="E28" t="n">
        <v>95</v>
      </c>
    </row>
    <row r="29">
      <c r="A29" t="s">
        <v>298</v>
      </c>
      <c r="B29" t="n">
        <v>-0.25</v>
      </c>
      <c r="C29" t="n">
        <v>100</v>
      </c>
      <c r="D29" t="n">
        <v>-0.5</v>
      </c>
      <c r="E29" t="n">
        <v>74</v>
      </c>
    </row>
    <row r="30">
      <c r="A30" t="s">
        <v>299</v>
      </c>
      <c r="B30" t="n">
        <v>-0.5</v>
      </c>
      <c r="C30" t="n">
        <v>4</v>
      </c>
      <c r="D30" t="n">
        <v>-0.25</v>
      </c>
      <c r="E30" t="n">
        <v>179</v>
      </c>
    </row>
    <row r="31">
      <c r="A31" t="s">
        <v>298</v>
      </c>
      <c r="B31" t="n">
        <v>-0.75</v>
      </c>
      <c r="C31" t="n">
        <v>159</v>
      </c>
      <c r="D31" t="n">
        <v>-0.25</v>
      </c>
      <c r="E31" t="n">
        <v>175</v>
      </c>
    </row>
    <row r="32">
      <c r="A32" t="s">
        <v>299</v>
      </c>
      <c r="B32" t="n">
        <v>-1</v>
      </c>
      <c r="C32" t="n">
        <v>180</v>
      </c>
      <c r="D32" t="n">
        <v>-0.25</v>
      </c>
      <c r="E32" t="n">
        <v>13</v>
      </c>
    </row>
    <row r="33">
      <c r="A33" t="s">
        <v>298</v>
      </c>
      <c r="B33" t="n">
        <v>-1.25</v>
      </c>
      <c r="C33" t="n">
        <v>179</v>
      </c>
      <c r="D33" t="n">
        <v>0</v>
      </c>
      <c r="E33" t="n">
        <v>12</v>
      </c>
    </row>
    <row r="34">
      <c r="A34" t="s">
        <v>299</v>
      </c>
      <c r="B34" t="n">
        <v>-0.75</v>
      </c>
      <c r="C34" t="n">
        <v>6</v>
      </c>
      <c r="D34" t="n">
        <v>0</v>
      </c>
      <c r="E34" t="n">
        <v>23</v>
      </c>
    </row>
    <row r="35">
      <c r="A35" t="s">
        <v>299</v>
      </c>
      <c r="B35" t="n">
        <v>0</v>
      </c>
      <c r="C35" t="n">
        <v>19</v>
      </c>
      <c r="D35" t="n">
        <v>0</v>
      </c>
      <c r="E35" t="n">
        <v>52</v>
      </c>
    </row>
    <row r="36">
      <c r="A36" t="s">
        <v>298</v>
      </c>
      <c r="B36" t="n">
        <v>-0.5</v>
      </c>
      <c r="C36" t="n">
        <v>17</v>
      </c>
      <c r="D36" t="n">
        <v>0</v>
      </c>
      <c r="E36" t="n">
        <v>171</v>
      </c>
    </row>
    <row r="37">
      <c r="A37" t="s">
        <v>299</v>
      </c>
      <c r="B37" t="n">
        <v>-0.25</v>
      </c>
      <c r="C37" t="n">
        <v>157</v>
      </c>
      <c r="D37" t="n">
        <v>-0.25</v>
      </c>
      <c r="E37" t="n">
        <v>128</v>
      </c>
    </row>
    <row r="38">
      <c r="A38" t="s">
        <v>298</v>
      </c>
      <c r="B38" t="n">
        <v>-1.5</v>
      </c>
      <c r="C38" t="n">
        <v>0</v>
      </c>
      <c r="D38" t="n">
        <v>0</v>
      </c>
      <c r="E38" t="n">
        <v>5</v>
      </c>
    </row>
    <row r="39">
      <c r="A39" t="s">
        <v>298</v>
      </c>
      <c r="B39" t="n">
        <v>0</v>
      </c>
      <c r="C39" t="n">
        <v>100</v>
      </c>
      <c r="D39" t="n">
        <v>-0.5</v>
      </c>
      <c r="E39" t="n">
        <v>87</v>
      </c>
    </row>
    <row r="40">
      <c r="A40" t="s">
        <v>299</v>
      </c>
      <c r="B40" t="n">
        <v>-0.75</v>
      </c>
      <c r="C40" t="n">
        <v>13</v>
      </c>
      <c r="D40" t="n">
        <v>0</v>
      </c>
      <c r="E40" t="n">
        <v>9</v>
      </c>
    </row>
    <row r="41">
      <c r="A41" t="s">
        <v>298</v>
      </c>
      <c r="B41" t="n">
        <v>0</v>
      </c>
      <c r="C41" t="n">
        <v>158</v>
      </c>
      <c r="D41" t="n">
        <v>-0.25</v>
      </c>
      <c r="E41" t="n">
        <v>5</v>
      </c>
    </row>
    <row r="42">
      <c r="A42" t="s">
        <v>299</v>
      </c>
      <c r="B42" t="n">
        <v>-1.75</v>
      </c>
      <c r="C42" t="n">
        <v>104</v>
      </c>
      <c r="D42" t="n">
        <v>-0.25</v>
      </c>
      <c r="E42" t="n">
        <v>99</v>
      </c>
    </row>
    <row r="43">
      <c r="A43" t="s">
        <v>298</v>
      </c>
      <c r="B43" t="n">
        <v>-0.5</v>
      </c>
      <c r="C43" t="n">
        <v>38</v>
      </c>
      <c r="D43" t="n">
        <v>-0.5</v>
      </c>
      <c r="E43" t="n">
        <v>3</v>
      </c>
    </row>
    <row r="44">
      <c r="A44" t="s">
        <v>299</v>
      </c>
      <c r="B44" t="n">
        <v>-0.5</v>
      </c>
      <c r="C44" t="n">
        <v>179</v>
      </c>
      <c r="D44" t="n">
        <v>-0.75</v>
      </c>
      <c r="E44" t="n">
        <v>0</v>
      </c>
    </row>
    <row r="45">
      <c r="A45" t="s">
        <v>298</v>
      </c>
      <c r="B45" t="n">
        <v>-0.75</v>
      </c>
      <c r="C45" t="n">
        <v>21</v>
      </c>
      <c r="D45" t="n">
        <v>-0.5</v>
      </c>
      <c r="E45" t="n">
        <v>28</v>
      </c>
    </row>
    <row r="46">
      <c r="A46" t="s">
        <v>299</v>
      </c>
      <c r="B46" t="n">
        <v>-1</v>
      </c>
      <c r="C46" t="n">
        <v>77</v>
      </c>
      <c r="D46" t="n">
        <v>0</v>
      </c>
      <c r="E46" t="n">
        <v>72</v>
      </c>
    </row>
    <row r="47">
      <c r="A47" t="s">
        <v>298</v>
      </c>
      <c r="B47" t="n">
        <v>-0.25</v>
      </c>
      <c r="C47" t="n">
        <v>85</v>
      </c>
      <c r="D47" t="n">
        <v>-0.25</v>
      </c>
      <c r="E47" t="n">
        <v>78</v>
      </c>
    </row>
    <row r="48">
      <c r="A48" t="s">
        <v>299</v>
      </c>
      <c r="B48" t="n">
        <v>-2.5</v>
      </c>
      <c r="C48" t="n">
        <v>104</v>
      </c>
      <c r="D48" t="n">
        <v>-0.25</v>
      </c>
      <c r="E48" t="n">
        <v>105</v>
      </c>
    </row>
    <row r="49">
      <c r="A49" t="s">
        <v>298</v>
      </c>
      <c r="B49" t="n">
        <v>-0.25</v>
      </c>
      <c r="C49" t="n">
        <v>2</v>
      </c>
      <c r="D49" t="n">
        <v>0</v>
      </c>
      <c r="E49" t="n">
        <v>82</v>
      </c>
    </row>
    <row r="50">
      <c r="A50" t="s">
        <v>299</v>
      </c>
      <c r="B50" t="n">
        <v>-0.25</v>
      </c>
      <c r="C50" t="n">
        <v>10</v>
      </c>
      <c r="D50" t="n">
        <v>-0.25</v>
      </c>
      <c r="E50" t="n">
        <v>172</v>
      </c>
    </row>
    <row r="51">
      <c r="A51" t="s">
        <v>298</v>
      </c>
      <c r="B51" t="n">
        <v>0</v>
      </c>
      <c r="C51" t="n">
        <v>78</v>
      </c>
      <c r="D51" t="n">
        <v>-0.25</v>
      </c>
      <c r="E51" t="n">
        <v>64</v>
      </c>
    </row>
    <row r="52">
      <c r="A52" t="s">
        <v>299</v>
      </c>
      <c r="B52" t="n">
        <v>-0.5</v>
      </c>
      <c r="C52" t="n">
        <v>87</v>
      </c>
      <c r="D52" t="n">
        <v>-0.25</v>
      </c>
      <c r="E52" t="n">
        <v>90</v>
      </c>
    </row>
    <row r="53">
      <c r="A53" t="s">
        <v>298</v>
      </c>
      <c r="B53" t="n">
        <v>-1.25</v>
      </c>
      <c r="C53" t="n">
        <v>165</v>
      </c>
      <c r="D53" t="n">
        <v>-0.25</v>
      </c>
      <c r="E53" t="n">
        <v>156</v>
      </c>
    </row>
    <row r="54">
      <c r="A54" t="s">
        <v>298</v>
      </c>
      <c r="B54" t="n">
        <v>-1.25</v>
      </c>
      <c r="C54" t="n">
        <v>13</v>
      </c>
      <c r="D54" t="n">
        <v>-0.5</v>
      </c>
      <c r="E54" t="n">
        <v>164</v>
      </c>
    </row>
    <row r="55">
      <c r="A55" t="s">
        <v>299</v>
      </c>
      <c r="B55" t="n">
        <v>0</v>
      </c>
      <c r="C55" t="n">
        <v>84</v>
      </c>
      <c r="D55" t="n">
        <v>-0.25</v>
      </c>
      <c r="E55" t="n">
        <v>161</v>
      </c>
    </row>
    <row r="56">
      <c r="A56" t="s">
        <v>298</v>
      </c>
      <c r="B56" t="n">
        <v>-1</v>
      </c>
      <c r="C56" t="n">
        <v>176</v>
      </c>
      <c r="D56" t="n">
        <v>-0.25</v>
      </c>
      <c r="E56" t="n">
        <v>31</v>
      </c>
    </row>
    <row r="57">
      <c r="A57" t="s">
        <v>299</v>
      </c>
      <c r="B57" t="n">
        <v>-2.75</v>
      </c>
      <c r="C57" t="n">
        <v>8</v>
      </c>
      <c r="D57" t="n">
        <v>-0.25</v>
      </c>
      <c r="E57" t="n">
        <v>177</v>
      </c>
    </row>
    <row r="58">
      <c r="A58" t="s">
        <v>298</v>
      </c>
      <c r="B58" t="n">
        <v>0</v>
      </c>
      <c r="C58" t="n">
        <v>174</v>
      </c>
      <c r="D58" t="n">
        <v>-0.25</v>
      </c>
      <c r="E58" t="n">
        <v>116</v>
      </c>
    </row>
    <row r="59">
      <c r="A59" t="s">
        <v>298</v>
      </c>
      <c r="B59" t="n">
        <v>-0.75</v>
      </c>
      <c r="C59" t="n">
        <v>103</v>
      </c>
      <c r="D59" t="n">
        <v>0</v>
      </c>
      <c r="E59" t="n">
        <v>88</v>
      </c>
    </row>
    <row r="60">
      <c r="A60" t="s">
        <v>299</v>
      </c>
      <c r="B60" t="n">
        <v>0</v>
      </c>
      <c r="C60" t="n">
        <v>78</v>
      </c>
      <c r="D60" t="n">
        <v>0</v>
      </c>
      <c r="E60" t="n">
        <v>88</v>
      </c>
    </row>
    <row r="61">
      <c r="A61" t="s">
        <v>299</v>
      </c>
      <c r="B61" t="n">
        <v>-0.5</v>
      </c>
      <c r="C61" t="n">
        <v>2</v>
      </c>
      <c r="D61" t="n">
        <v>-0.25</v>
      </c>
      <c r="E61" t="n">
        <v>0</v>
      </c>
    </row>
    <row r="62">
      <c r="A62" t="s">
        <v>298</v>
      </c>
      <c r="B62" t="n">
        <v>-0.75</v>
      </c>
      <c r="C62" t="n">
        <v>81</v>
      </c>
      <c r="D62" t="n">
        <v>-0.5</v>
      </c>
      <c r="E62" t="n">
        <v>85</v>
      </c>
    </row>
    <row r="63">
      <c r="A63" t="s">
        <v>299</v>
      </c>
      <c r="B63" t="n">
        <v>-1.5</v>
      </c>
      <c r="C63" t="n">
        <v>165</v>
      </c>
      <c r="D63" t="n">
        <v>-0.5</v>
      </c>
      <c r="E63" t="n">
        <v>179</v>
      </c>
    </row>
    <row r="64">
      <c r="A64" t="s">
        <v>299</v>
      </c>
      <c r="B64" t="n">
        <v>-1.25</v>
      </c>
      <c r="C64" t="n">
        <v>102</v>
      </c>
      <c r="D64" t="n">
        <v>-0.5</v>
      </c>
      <c r="E64" t="n">
        <v>100</v>
      </c>
    </row>
    <row r="65">
      <c r="A65" t="s">
        <v>298</v>
      </c>
      <c r="B65" t="n">
        <v>-0.5</v>
      </c>
      <c r="C65" t="n">
        <v>18</v>
      </c>
      <c r="D65" t="n">
        <v>-0.25</v>
      </c>
      <c r="E65" t="n">
        <v>166</v>
      </c>
    </row>
    <row r="66">
      <c r="A66" t="s">
        <v>299</v>
      </c>
      <c r="B66" t="n">
        <v>-1</v>
      </c>
      <c r="C66" t="n">
        <v>176</v>
      </c>
      <c r="D66" t="n">
        <v>-0.25</v>
      </c>
      <c r="E66" t="n">
        <v>21</v>
      </c>
    </row>
    <row r="67">
      <c r="A67" t="s">
        <v>298</v>
      </c>
      <c r="B67" t="n">
        <v>-0.5</v>
      </c>
      <c r="C67" t="n">
        <v>167</v>
      </c>
      <c r="D67" t="n">
        <v>0</v>
      </c>
      <c r="E67" t="n">
        <v>64</v>
      </c>
    </row>
    <row r="68">
      <c r="A68" t="s">
        <v>298</v>
      </c>
      <c r="B68" t="n">
        <v>0</v>
      </c>
      <c r="C68" t="n">
        <v>178</v>
      </c>
      <c r="D68" t="n">
        <v>-0.25</v>
      </c>
      <c r="E68" t="n">
        <v>41</v>
      </c>
    </row>
    <row r="69">
      <c r="A69" t="s">
        <v>299</v>
      </c>
      <c r="B69" t="n">
        <v>-1</v>
      </c>
      <c r="C69" t="n">
        <v>18</v>
      </c>
      <c r="D69" t="n">
        <v>-0.25</v>
      </c>
      <c r="E69" t="n">
        <v>174</v>
      </c>
    </row>
    <row r="70">
      <c r="A70" t="s">
        <v>298</v>
      </c>
      <c r="B70" t="n">
        <v>-1</v>
      </c>
      <c r="C70" t="n">
        <v>161</v>
      </c>
      <c r="D70" t="n">
        <v>-0.25</v>
      </c>
      <c r="E70" t="n">
        <v>100</v>
      </c>
    </row>
    <row r="71">
      <c r="A71" t="s">
        <v>299</v>
      </c>
      <c r="B71" t="n">
        <v>-2.75</v>
      </c>
      <c r="C71" t="n">
        <v>20</v>
      </c>
      <c r="D71" t="n">
        <v>0</v>
      </c>
      <c r="E71" t="n">
        <v>26</v>
      </c>
    </row>
    <row r="72">
      <c r="A72" t="s">
        <v>298</v>
      </c>
      <c r="B72" t="n">
        <v>-0.5</v>
      </c>
      <c r="C72" t="n">
        <v>12</v>
      </c>
      <c r="D72" t="n">
        <v>-0.25</v>
      </c>
      <c r="E72" t="n">
        <v>54</v>
      </c>
    </row>
    <row r="73">
      <c r="A73" t="s">
        <v>299</v>
      </c>
      <c r="B73" t="n">
        <v>-0.25</v>
      </c>
      <c r="C73" t="n">
        <v>37</v>
      </c>
      <c r="D73" t="n">
        <v>-0.25</v>
      </c>
      <c r="E73" t="n">
        <v>48</v>
      </c>
    </row>
    <row r="74">
      <c r="A74" t="s">
        <v>298</v>
      </c>
      <c r="B74" t="n">
        <v>-1</v>
      </c>
      <c r="C74" t="n">
        <v>12</v>
      </c>
      <c r="D74" t="n">
        <v>-0.25</v>
      </c>
      <c r="E74" t="n">
        <v>32</v>
      </c>
    </row>
    <row r="75">
      <c r="A75" t="s">
        <v>298</v>
      </c>
      <c r="B75" t="n">
        <v>-0.75</v>
      </c>
      <c r="C75" t="n">
        <v>180</v>
      </c>
      <c r="D75" t="n">
        <v>-0.5</v>
      </c>
      <c r="E75" t="n">
        <v>167</v>
      </c>
    </row>
    <row r="76">
      <c r="A76" t="s">
        <v>299</v>
      </c>
      <c r="B76" t="n">
        <v>-0.5</v>
      </c>
      <c r="C76" t="n">
        <v>103</v>
      </c>
      <c r="D76" t="n">
        <v>-0.25</v>
      </c>
      <c r="E76" t="n">
        <v>89</v>
      </c>
    </row>
    <row r="77">
      <c r="A77" t="s">
        <v>298</v>
      </c>
      <c r="B77" t="n">
        <v>-0.25</v>
      </c>
      <c r="C77" t="n">
        <v>78</v>
      </c>
      <c r="D77" t="n">
        <v>-0.25</v>
      </c>
      <c r="E77" t="n">
        <v>78</v>
      </c>
    </row>
    <row r="78">
      <c r="A78" t="s">
        <v>299</v>
      </c>
      <c r="B78" t="n">
        <v>-0.5</v>
      </c>
      <c r="C78" t="n">
        <v>12</v>
      </c>
      <c r="D78" t="n">
        <v>-0.25</v>
      </c>
      <c r="E78" t="n">
        <v>5</v>
      </c>
    </row>
    <row r="79">
      <c r="A79" t="s">
        <v>298</v>
      </c>
      <c r="B79" t="n">
        <v>-0.25</v>
      </c>
      <c r="C79" t="n">
        <v>21</v>
      </c>
      <c r="D79" t="n">
        <v>-0.25</v>
      </c>
      <c r="E79" t="n">
        <v>35</v>
      </c>
    </row>
    <row r="80">
      <c r="A80" t="s">
        <v>299</v>
      </c>
      <c r="B80" t="n">
        <v>-0.25</v>
      </c>
      <c r="C80" t="n">
        <v>169</v>
      </c>
      <c r="D80" t="n">
        <v>0</v>
      </c>
      <c r="E80" t="n">
        <v>82</v>
      </c>
    </row>
    <row r="81">
      <c r="A81" t="s">
        <v>298</v>
      </c>
      <c r="B81" t="n">
        <v>-0.25</v>
      </c>
      <c r="C81" t="n">
        <v>12</v>
      </c>
      <c r="D81" t="n">
        <v>-0.25</v>
      </c>
      <c r="E81" t="n">
        <v>3</v>
      </c>
    </row>
    <row r="82">
      <c r="A82" t="s">
        <v>299</v>
      </c>
      <c r="B82" t="n">
        <v>-0.75</v>
      </c>
      <c r="C82" t="n">
        <v>77</v>
      </c>
      <c r="D82" t="n">
        <v>-0.25</v>
      </c>
      <c r="E82" t="n">
        <v>117</v>
      </c>
    </row>
    <row r="83">
      <c r="A83" t="s">
        <v>298</v>
      </c>
      <c r="B83" t="n">
        <v>-0.75</v>
      </c>
      <c r="C83" t="n">
        <v>7</v>
      </c>
      <c r="D83" t="n">
        <v>0</v>
      </c>
      <c r="E83" t="n">
        <v>13</v>
      </c>
    </row>
    <row r="84">
      <c r="A84" t="s">
        <v>299</v>
      </c>
      <c r="B84" t="n">
        <v>-0.5</v>
      </c>
      <c r="C84" t="n">
        <v>12</v>
      </c>
      <c r="D84" t="n">
        <v>-0.25</v>
      </c>
      <c r="E84" t="n">
        <v>17</v>
      </c>
    </row>
    <row r="85">
      <c r="A85" t="s">
        <v>298</v>
      </c>
      <c r="B85" t="n">
        <v>-0.5</v>
      </c>
      <c r="C85" t="n">
        <v>156</v>
      </c>
      <c r="D85" t="n">
        <v>-0.5</v>
      </c>
      <c r="E85" t="n">
        <v>1</v>
      </c>
    </row>
    <row r="86">
      <c r="A86" t="s">
        <v>299</v>
      </c>
      <c r="B86" t="n">
        <v>-0.5</v>
      </c>
      <c r="C86" t="n">
        <v>174</v>
      </c>
      <c r="D86" t="n">
        <v>-0.25</v>
      </c>
      <c r="E86" t="n">
        <v>9</v>
      </c>
    </row>
    <row r="87">
      <c r="A87" t="s">
        <v>298</v>
      </c>
      <c r="B87" t="n">
        <v>-1</v>
      </c>
      <c r="C87" t="n">
        <v>59</v>
      </c>
      <c r="D87" t="n">
        <v>-0.5</v>
      </c>
      <c r="E87" t="n">
        <v>84</v>
      </c>
    </row>
    <row r="88">
      <c r="A88" t="s">
        <v>299</v>
      </c>
      <c r="B88" t="n">
        <v>-0.5</v>
      </c>
      <c r="C88" t="n">
        <v>76</v>
      </c>
      <c r="D88" t="n">
        <v>-0.25</v>
      </c>
      <c r="E88" t="n">
        <v>50</v>
      </c>
    </row>
    <row r="89">
      <c r="A89" t="s">
        <v>298</v>
      </c>
      <c r="B89" t="n">
        <v>0</v>
      </c>
      <c r="C89" t="n">
        <v>179</v>
      </c>
      <c r="D89" t="n">
        <v>0</v>
      </c>
      <c r="E89" t="n">
        <v>20</v>
      </c>
    </row>
    <row r="90">
      <c r="A90" t="s">
        <v>299</v>
      </c>
      <c r="B90" t="n">
        <v>-0.25</v>
      </c>
      <c r="C90" t="n">
        <v>100</v>
      </c>
      <c r="D90" t="n">
        <v>-0.25</v>
      </c>
      <c r="E90" t="n">
        <v>102</v>
      </c>
    </row>
    <row r="91">
      <c r="A91" t="s">
        <v>298</v>
      </c>
      <c r="B91" t="n">
        <v>-0.75</v>
      </c>
      <c r="C91" t="n">
        <v>172</v>
      </c>
      <c r="D91" t="n">
        <v>-0.25</v>
      </c>
      <c r="E91" t="n">
        <v>159</v>
      </c>
    </row>
    <row r="92">
      <c r="A92" t="s">
        <v>299</v>
      </c>
      <c r="B92" t="n">
        <v>-0.5</v>
      </c>
      <c r="C92" t="n">
        <v>1</v>
      </c>
      <c r="D92" t="n">
        <v>-0.25</v>
      </c>
      <c r="E92" t="n">
        <v>148</v>
      </c>
    </row>
    <row r="93">
      <c r="A93" t="s">
        <v>299</v>
      </c>
      <c r="B93" t="n">
        <v>0</v>
      </c>
      <c r="C93" t="n">
        <v>22</v>
      </c>
      <c r="D93" t="n">
        <v>-0.25</v>
      </c>
      <c r="E93" t="n">
        <v>97</v>
      </c>
    </row>
    <row r="94">
      <c r="A94" t="s">
        <v>298</v>
      </c>
      <c r="B94" t="n">
        <v>0</v>
      </c>
      <c r="C94" t="n">
        <v>87</v>
      </c>
      <c r="D94" t="n">
        <v>-0.25</v>
      </c>
      <c r="E94" t="n">
        <v>160</v>
      </c>
    </row>
    <row r="95">
      <c r="A95" t="s">
        <v>298</v>
      </c>
      <c r="B95" t="n">
        <v>-0.25</v>
      </c>
      <c r="C95" t="n">
        <v>177</v>
      </c>
      <c r="D95" t="n">
        <v>-0.25</v>
      </c>
      <c r="E95" t="n">
        <v>161</v>
      </c>
    </row>
    <row r="96">
      <c r="A96" t="s">
        <v>299</v>
      </c>
      <c r="B96" t="n">
        <v>0</v>
      </c>
      <c r="C96" t="n">
        <v>92</v>
      </c>
      <c r="D96" t="n">
        <v>0</v>
      </c>
      <c r="E96" t="n">
        <v>108</v>
      </c>
    </row>
    <row r="97">
      <c r="A97" t="s">
        <v>298</v>
      </c>
      <c r="B97" t="n">
        <v>-0.25</v>
      </c>
      <c r="C97" t="n">
        <v>84</v>
      </c>
      <c r="D97" t="n">
        <v>0</v>
      </c>
      <c r="E97" t="n">
        <v>66</v>
      </c>
    </row>
    <row r="98">
      <c r="A98" t="s">
        <v>298</v>
      </c>
      <c r="B98" t="n">
        <v>-2</v>
      </c>
      <c r="C98" t="n">
        <v>39</v>
      </c>
      <c r="D98" t="n">
        <v>-0.25</v>
      </c>
      <c r="E98" t="n">
        <v>32</v>
      </c>
    </row>
    <row r="99">
      <c r="A99" t="s">
        <v>299</v>
      </c>
      <c r="B99" t="n">
        <v>-1.25</v>
      </c>
      <c r="C99" t="n">
        <v>33</v>
      </c>
      <c r="D99" t="n">
        <v>0</v>
      </c>
      <c r="E99" t="n">
        <v>20</v>
      </c>
    </row>
    <row r="100">
      <c r="A100" t="s">
        <v>298</v>
      </c>
      <c r="B100" t="n">
        <v>-0.75</v>
      </c>
      <c r="C100" t="n">
        <v>171</v>
      </c>
      <c r="D100" t="n">
        <v>0</v>
      </c>
      <c r="E100" t="n">
        <v>11</v>
      </c>
    </row>
    <row r="101">
      <c r="A101" t="s">
        <v>298</v>
      </c>
      <c r="B101" t="n">
        <v>-0.5</v>
      </c>
      <c r="C101" t="n">
        <v>77</v>
      </c>
      <c r="D101" t="n">
        <v>-0.25</v>
      </c>
      <c r="E101" t="n">
        <v>67</v>
      </c>
    </row>
    <row r="102">
      <c r="A102" t="s">
        <v>299</v>
      </c>
      <c r="B102" t="n">
        <v>-0.25</v>
      </c>
      <c r="C102" t="n">
        <v>140</v>
      </c>
      <c r="D102" t="n">
        <v>-0.25</v>
      </c>
      <c r="E102" t="n">
        <v>142</v>
      </c>
    </row>
    <row r="103">
      <c r="A103" t="s">
        <v>298</v>
      </c>
      <c r="B103" t="n">
        <v>-0.5</v>
      </c>
      <c r="C103" t="n">
        <v>170</v>
      </c>
      <c r="D103" t="n">
        <v>-0.25</v>
      </c>
      <c r="E103" t="n">
        <v>172</v>
      </c>
    </row>
    <row r="104">
      <c r="A104" t="s">
        <v>299</v>
      </c>
      <c r="B104" t="n">
        <v>-1</v>
      </c>
      <c r="C104" t="n">
        <v>56</v>
      </c>
      <c r="D104" t="n">
        <v>0</v>
      </c>
      <c r="E104" t="n">
        <v>53</v>
      </c>
    </row>
    <row r="105">
      <c r="A105" t="s">
        <v>298</v>
      </c>
      <c r="B105" t="n">
        <v>-0.5</v>
      </c>
      <c r="C105" t="n">
        <v>103</v>
      </c>
      <c r="D105" t="n">
        <v>0</v>
      </c>
      <c r="E105" t="n">
        <v>27</v>
      </c>
    </row>
    <row r="106">
      <c r="A106" t="s">
        <v>299</v>
      </c>
      <c r="B106" t="n">
        <v>-1</v>
      </c>
      <c r="C106" t="n">
        <v>101</v>
      </c>
      <c r="D106" t="n">
        <v>0</v>
      </c>
      <c r="E106" t="n">
        <v>32</v>
      </c>
    </row>
    <row r="107">
      <c r="A107" t="s">
        <v>299</v>
      </c>
      <c r="B107" t="n">
        <v>0</v>
      </c>
      <c r="C107" t="n">
        <v>155</v>
      </c>
      <c r="D107" t="n">
        <v>-0.25</v>
      </c>
      <c r="E107" t="n">
        <v>161</v>
      </c>
    </row>
    <row r="108">
      <c r="A108" t="s">
        <v>299</v>
      </c>
      <c r="B108" t="n">
        <v>-2</v>
      </c>
      <c r="C108" t="n">
        <v>170</v>
      </c>
      <c r="D108" t="n">
        <v>0</v>
      </c>
      <c r="E108" t="n">
        <v>164</v>
      </c>
    </row>
    <row r="109">
      <c r="A109" t="s">
        <v>298</v>
      </c>
      <c r="B109" t="n">
        <v>-0.5</v>
      </c>
      <c r="C109" t="n">
        <v>103</v>
      </c>
      <c r="D109" t="n">
        <v>-0.25</v>
      </c>
      <c r="E109" t="n">
        <v>103</v>
      </c>
    </row>
    <row r="110">
      <c r="A110" t="s">
        <v>299</v>
      </c>
      <c r="B110" t="n">
        <v>-0.75</v>
      </c>
      <c r="C110" t="n">
        <v>97</v>
      </c>
      <c r="D110" t="n">
        <v>0</v>
      </c>
      <c r="E110" t="n">
        <v>71</v>
      </c>
    </row>
    <row r="111">
      <c r="A111" t="s">
        <v>298</v>
      </c>
      <c r="B111" t="n">
        <v>-1.75</v>
      </c>
      <c r="C111" t="n">
        <v>178</v>
      </c>
      <c r="D111" t="n">
        <v>-0.25</v>
      </c>
      <c r="E111" t="n">
        <v>147</v>
      </c>
    </row>
    <row r="112">
      <c r="A112" t="s">
        <v>299</v>
      </c>
      <c r="B112" t="n">
        <v>-1</v>
      </c>
      <c r="C112" t="n">
        <v>162</v>
      </c>
      <c r="D112" t="n">
        <v>-0.5</v>
      </c>
      <c r="E112" t="n">
        <v>12</v>
      </c>
    </row>
    <row r="113">
      <c r="A113" t="s">
        <v>298</v>
      </c>
      <c r="B113" t="n">
        <v>-0.75</v>
      </c>
      <c r="C113" t="n">
        <v>172</v>
      </c>
      <c r="D113" t="n">
        <v>-0.25</v>
      </c>
      <c r="E113" t="n">
        <v>168</v>
      </c>
    </row>
    <row r="114">
      <c r="A114" t="s">
        <v>298</v>
      </c>
      <c r="B114" t="n">
        <v>0</v>
      </c>
      <c r="C114" t="n">
        <v>10</v>
      </c>
      <c r="D114" t="n">
        <v>0</v>
      </c>
      <c r="E114" t="n">
        <v>141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300</v>
      </c>
    </row>
    <row r="2">
      <c r="A2" t="s">
        <v>301</v>
      </c>
      <c r="B2" t="s">
        <v>302</v>
      </c>
      <c r="C2" t="s">
        <v>303</v>
      </c>
      <c r="D2" t="s">
        <v>304</v>
      </c>
      <c r="E2" t="s">
        <v>305</v>
      </c>
      <c r="F2" t="s">
        <v>306</v>
      </c>
      <c r="G2" t="s">
        <v>307</v>
      </c>
      <c r="H2" t="s">
        <v>308</v>
      </c>
      <c r="I2" t="s">
        <v>309</v>
      </c>
      <c r="J2" t="s">
        <v>310</v>
      </c>
      <c r="K2" t="s">
        <v>311</v>
      </c>
      <c r="L2" t="s">
        <v>312</v>
      </c>
      <c r="M2" t="s">
        <v>313</v>
      </c>
      <c r="N2" t="s">
        <v>1</v>
      </c>
    </row>
    <row r="3">
      <c r="A3" t="s">
        <v>314</v>
      </c>
      <c r="B3" t="s">
        <v>315</v>
      </c>
      <c r="C3" t="n">
        <v>30.933636799679</v>
      </c>
      <c r="D3" t="n">
        <v>0.49429854853312</v>
      </c>
      <c r="E3" t="n">
        <v>3916.36619967736</v>
      </c>
      <c r="F3" t="n">
        <v>0</v>
      </c>
      <c r="G3" t="s">
        <v>316</v>
      </c>
      <c r="H3" t="n">
        <v>30.933636799679</v>
      </c>
      <c r="I3" t="n">
        <v>29.9648116445541</v>
      </c>
      <c r="J3" t="n">
        <v>31.9024619548039</v>
      </c>
      <c r="K3" t="s">
        <v>317</v>
      </c>
      <c r="L3" t="s">
        <v>318</v>
      </c>
      <c r="M3" t="s">
        <v>319</v>
      </c>
      <c r="N3"/>
    </row>
    <row r="4">
      <c r="A4" t="s">
        <v>314</v>
      </c>
      <c r="B4" t="s">
        <v>320</v>
      </c>
      <c r="C4" t="n">
        <v>7.62697979855882</v>
      </c>
      <c r="D4" t="n">
        <v>0.935589395708321</v>
      </c>
      <c r="E4" t="n">
        <v>66.4560632378435</v>
      </c>
      <c r="F4" t="n">
        <v>0.000000000000000333066907387547</v>
      </c>
      <c r="G4" t="s">
        <v>316</v>
      </c>
      <c r="H4" t="n">
        <v>7.62697979855882</v>
      </c>
      <c r="I4" t="n">
        <v>5.79322458297051</v>
      </c>
      <c r="J4" t="n">
        <v>9.46073501414713</v>
      </c>
      <c r="K4" t="s">
        <v>321</v>
      </c>
      <c r="L4" t="s">
        <v>318</v>
      </c>
      <c r="M4" t="s">
        <v>319</v>
      </c>
      <c r="N4"/>
    </row>
    <row r="5">
      <c r="A5" t="s">
        <v>51</v>
      </c>
      <c r="B5" t="s">
        <v>315</v>
      </c>
      <c r="C5" t="n">
        <v>-4.15531055377428</v>
      </c>
      <c r="D5" t="n">
        <v>0.128347567553001</v>
      </c>
      <c r="E5" t="n">
        <v>1048.16991296198</v>
      </c>
      <c r="F5" t="n">
        <v>0</v>
      </c>
      <c r="G5" t="s">
        <v>316</v>
      </c>
      <c r="H5" t="n">
        <v>-4.15531055377428</v>
      </c>
      <c r="I5" t="n">
        <v>-4.40687178617816</v>
      </c>
      <c r="J5" t="n">
        <v>-3.90374932137039</v>
      </c>
      <c r="K5" t="s">
        <v>322</v>
      </c>
      <c r="L5" t="s">
        <v>318</v>
      </c>
      <c r="M5" t="s">
        <v>319</v>
      </c>
      <c r="N5"/>
    </row>
    <row r="6">
      <c r="A6" t="s">
        <v>51</v>
      </c>
      <c r="B6" t="s">
        <v>320</v>
      </c>
      <c r="C6" t="n">
        <v>-0.233523530356865</v>
      </c>
      <c r="D6" t="n">
        <v>0.219020421053332</v>
      </c>
      <c r="E6" t="n">
        <v>1.13682097017347</v>
      </c>
      <c r="F6" t="n">
        <v>0.286325076053066</v>
      </c>
      <c r="G6" t="s">
        <v>316</v>
      </c>
      <c r="H6" t="n">
        <v>-0.233523530356865</v>
      </c>
      <c r="I6" t="n">
        <v>-0.662803555621397</v>
      </c>
      <c r="J6" t="n">
        <v>0.195756494907666</v>
      </c>
      <c r="K6" t="s">
        <v>323</v>
      </c>
      <c r="L6" t="s">
        <v>318</v>
      </c>
      <c r="M6" t="s">
        <v>319</v>
      </c>
      <c r="N6"/>
    </row>
    <row r="7">
      <c r="A7" t="s">
        <v>58</v>
      </c>
      <c r="B7" t="s">
        <v>315</v>
      </c>
      <c r="C7" t="n">
        <v>-3.83124101315227</v>
      </c>
      <c r="D7" t="n">
        <v>0.129121154995798</v>
      </c>
      <c r="E7" t="n">
        <v>880.408327865123</v>
      </c>
      <c r="F7" t="n">
        <v>0</v>
      </c>
      <c r="G7" t="s">
        <v>316</v>
      </c>
      <c r="H7" t="n">
        <v>-3.83124101315227</v>
      </c>
      <c r="I7" t="n">
        <v>-4.08431847694404</v>
      </c>
      <c r="J7" t="n">
        <v>-3.57816354936051</v>
      </c>
      <c r="K7" t="s">
        <v>324</v>
      </c>
      <c r="L7" t="s">
        <v>318</v>
      </c>
      <c r="M7" t="s">
        <v>319</v>
      </c>
      <c r="N7"/>
    </row>
    <row r="8">
      <c r="A8" t="s">
        <v>58</v>
      </c>
      <c r="B8" t="s">
        <v>320</v>
      </c>
      <c r="C8" t="n">
        <v>-0.205138341649761</v>
      </c>
      <c r="D8" t="n">
        <v>0.223051109472622</v>
      </c>
      <c r="E8" t="n">
        <v>0.845833545373488</v>
      </c>
      <c r="F8" t="n">
        <v>0.357733685937851</v>
      </c>
      <c r="G8" t="s">
        <v>316</v>
      </c>
      <c r="H8" t="n">
        <v>-0.205138341649761</v>
      </c>
      <c r="I8" t="n">
        <v>-0.642318516216101</v>
      </c>
      <c r="J8" t="n">
        <v>0.232041832916579</v>
      </c>
      <c r="K8" t="s">
        <v>325</v>
      </c>
      <c r="L8" t="s">
        <v>318</v>
      </c>
      <c r="M8" t="s">
        <v>319</v>
      </c>
      <c r="N8"/>
    </row>
    <row r="9">
      <c r="A9" t="s">
        <v>64</v>
      </c>
      <c r="B9" t="s">
        <v>315</v>
      </c>
      <c r="C9" t="n">
        <v>-0.652805181870364</v>
      </c>
      <c r="D9" t="n">
        <v>0.0366529013307088</v>
      </c>
      <c r="E9" t="n">
        <v>317.212630056895</v>
      </c>
      <c r="F9" t="n">
        <v>0</v>
      </c>
      <c r="G9" t="s">
        <v>316</v>
      </c>
      <c r="H9" t="n">
        <v>-0.652805181870364</v>
      </c>
      <c r="I9" t="n">
        <v>-0.724644868478554</v>
      </c>
      <c r="J9" t="n">
        <v>-0.580965495262175</v>
      </c>
      <c r="K9" t="s">
        <v>326</v>
      </c>
      <c r="L9" t="s">
        <v>318</v>
      </c>
      <c r="M9" t="s">
        <v>319</v>
      </c>
      <c r="N9"/>
    </row>
    <row r="10">
      <c r="A10" t="s">
        <v>64</v>
      </c>
      <c r="B10" t="s">
        <v>320</v>
      </c>
      <c r="C10" t="n">
        <v>-0.0397044435450211</v>
      </c>
      <c r="D10" t="n">
        <v>0.0618999176069886</v>
      </c>
      <c r="E10" t="n">
        <v>0.411432017853694</v>
      </c>
      <c r="F10" t="n">
        <v>0.521243563137335</v>
      </c>
      <c r="G10" t="s">
        <v>316</v>
      </c>
      <c r="H10" t="n">
        <v>-0.0397044435450211</v>
      </c>
      <c r="I10" t="n">
        <v>-0.161028282054719</v>
      </c>
      <c r="J10" t="n">
        <v>0.0816193949646765</v>
      </c>
      <c r="K10" t="s">
        <v>327</v>
      </c>
      <c r="L10" t="s">
        <v>318</v>
      </c>
      <c r="M10" t="s">
        <v>319</v>
      </c>
      <c r="N10"/>
    </row>
    <row r="11">
      <c r="A11" t="s">
        <v>70</v>
      </c>
      <c r="B11" t="s">
        <v>315</v>
      </c>
      <c r="C11" t="n">
        <v>1.07534054811739</v>
      </c>
      <c r="D11" t="n">
        <v>0.0155198634106266</v>
      </c>
      <c r="E11" t="n">
        <v>4800.8291951827</v>
      </c>
      <c r="F11" t="n">
        <v>0</v>
      </c>
      <c r="G11" t="s">
        <v>316</v>
      </c>
      <c r="H11" t="n">
        <v>1.07534054811739</v>
      </c>
      <c r="I11" t="n">
        <v>1.04492161583256</v>
      </c>
      <c r="J11" t="n">
        <v>1.10575948040222</v>
      </c>
      <c r="K11" t="s">
        <v>328</v>
      </c>
      <c r="L11" t="s">
        <v>318</v>
      </c>
      <c r="M11" t="s">
        <v>319</v>
      </c>
      <c r="N11"/>
    </row>
    <row r="12">
      <c r="A12" t="s">
        <v>70</v>
      </c>
      <c r="B12" t="s">
        <v>320</v>
      </c>
      <c r="C12" t="n">
        <v>0.0273555562795883</v>
      </c>
      <c r="D12" t="n">
        <v>0.0261314024553751</v>
      </c>
      <c r="E12" t="n">
        <v>1.09588671956009</v>
      </c>
      <c r="F12" t="n">
        <v>0.295170572819151</v>
      </c>
      <c r="G12" t="s">
        <v>316</v>
      </c>
      <c r="H12" t="n">
        <v>0.0273555562795883</v>
      </c>
      <c r="I12" t="n">
        <v>-0.023861992532947</v>
      </c>
      <c r="J12" t="n">
        <v>0.0785731050921236</v>
      </c>
      <c r="K12" t="s">
        <v>329</v>
      </c>
      <c r="L12" t="s">
        <v>318</v>
      </c>
      <c r="M12" t="s">
        <v>319</v>
      </c>
      <c r="N12"/>
    </row>
    <row r="13">
      <c r="A13" t="s">
        <v>76</v>
      </c>
      <c r="B13" t="s">
        <v>315</v>
      </c>
      <c r="C13" t="n">
        <v>-0.0126591627589052</v>
      </c>
      <c r="D13" t="n">
        <v>0.00199184569802527</v>
      </c>
      <c r="E13" t="n">
        <v>40.3923000031199</v>
      </c>
      <c r="F13" t="n">
        <v>0.000000000207758255044155</v>
      </c>
      <c r="G13" t="s">
        <v>316</v>
      </c>
      <c r="H13" t="n">
        <v>-0.0126591627589052</v>
      </c>
      <c r="I13" t="n">
        <v>-0.0165631803270347</v>
      </c>
      <c r="J13" t="n">
        <v>-0.00875514519077569</v>
      </c>
      <c r="K13" t="s">
        <v>330</v>
      </c>
      <c r="L13" t="s">
        <v>318</v>
      </c>
      <c r="M13" t="s">
        <v>319</v>
      </c>
      <c r="N13"/>
    </row>
    <row r="14">
      <c r="A14" t="s">
        <v>76</v>
      </c>
      <c r="B14" t="s">
        <v>320</v>
      </c>
      <c r="C14" t="n">
        <v>0.0056338400999514</v>
      </c>
      <c r="D14" t="n">
        <v>0.00335476821402415</v>
      </c>
      <c r="E14" t="n">
        <v>2.82022653407589</v>
      </c>
      <c r="F14" t="n">
        <v>0.0930832653582174</v>
      </c>
      <c r="G14" t="s">
        <v>316</v>
      </c>
      <c r="H14" t="n">
        <v>0.0056338400999514</v>
      </c>
      <c r="I14" t="n">
        <v>-0.000941505599535925</v>
      </c>
      <c r="J14" t="n">
        <v>0.0122091857994387</v>
      </c>
      <c r="K14" t="s">
        <v>331</v>
      </c>
      <c r="L14" t="s">
        <v>318</v>
      </c>
      <c r="M14" t="s">
        <v>319</v>
      </c>
      <c r="N14"/>
    </row>
    <row r="15">
      <c r="A15" t="s">
        <v>81</v>
      </c>
      <c r="B15" t="s">
        <v>315</v>
      </c>
      <c r="C15" t="n">
        <v>546.263432489608</v>
      </c>
      <c r="D15" t="n">
        <v>1.70532055571593</v>
      </c>
      <c r="E15" t="n">
        <v>102610.594681633</v>
      </c>
      <c r="F15" t="n">
        <v>0</v>
      </c>
      <c r="G15" t="s">
        <v>316</v>
      </c>
      <c r="H15" t="n">
        <v>546.263432489608</v>
      </c>
      <c r="I15" t="n">
        <v>542.921004200404</v>
      </c>
      <c r="J15" t="n">
        <v>549.605860778811</v>
      </c>
      <c r="K15" t="s">
        <v>332</v>
      </c>
      <c r="L15" t="s">
        <v>318</v>
      </c>
      <c r="M15" t="s">
        <v>319</v>
      </c>
      <c r="N15"/>
    </row>
    <row r="16">
      <c r="A16" t="s">
        <v>81</v>
      </c>
      <c r="B16" t="s">
        <v>320</v>
      </c>
      <c r="C16" t="n">
        <v>-12.4339845793402</v>
      </c>
      <c r="D16" t="n">
        <v>3.09889908184946</v>
      </c>
      <c r="E16" t="n">
        <v>16.0992551063485</v>
      </c>
      <c r="F16" t="n">
        <v>0.0000601076739176198</v>
      </c>
      <c r="G16" t="s">
        <v>316</v>
      </c>
      <c r="H16" t="n">
        <v>-12.4339845793402</v>
      </c>
      <c r="I16" t="n">
        <v>-18.5078267797651</v>
      </c>
      <c r="J16" t="n">
        <v>-6.36014237891523</v>
      </c>
      <c r="K16" t="s">
        <v>333</v>
      </c>
      <c r="L16" t="s">
        <v>318</v>
      </c>
      <c r="M16" t="s">
        <v>319</v>
      </c>
      <c r="N16"/>
    </row>
    <row r="17">
      <c r="A17" t="s">
        <v>85</v>
      </c>
      <c r="B17" t="s">
        <v>315</v>
      </c>
      <c r="C17" t="n">
        <v>43.5826554122141</v>
      </c>
      <c r="D17" t="n">
        <v>0.0891652930059632</v>
      </c>
      <c r="E17" t="n">
        <v>238910.750683108</v>
      </c>
      <c r="F17" t="n">
        <v>0</v>
      </c>
      <c r="G17" t="s">
        <v>316</v>
      </c>
      <c r="H17" t="n">
        <v>43.5826554122141</v>
      </c>
      <c r="I17" t="n">
        <v>43.4078914379224</v>
      </c>
      <c r="J17" t="n">
        <v>43.7574193865058</v>
      </c>
      <c r="K17" t="s">
        <v>334</v>
      </c>
      <c r="L17" t="s">
        <v>318</v>
      </c>
      <c r="M17" t="s">
        <v>319</v>
      </c>
      <c r="N17"/>
    </row>
    <row r="18">
      <c r="A18" t="s">
        <v>85</v>
      </c>
      <c r="B18" t="s">
        <v>320</v>
      </c>
      <c r="C18" t="n">
        <v>-0.00543675736883908</v>
      </c>
      <c r="D18" t="n">
        <v>0.161227842289852</v>
      </c>
      <c r="E18" t="n">
        <v>0.00113710303794995</v>
      </c>
      <c r="F18" t="n">
        <v>0.973099666058998</v>
      </c>
      <c r="G18" t="s">
        <v>316</v>
      </c>
      <c r="H18" t="n">
        <v>-0.00543675736883908</v>
      </c>
      <c r="I18" t="n">
        <v>-0.321443328256949</v>
      </c>
      <c r="J18" t="n">
        <v>0.310569813519271</v>
      </c>
      <c r="K18" t="s">
        <v>335</v>
      </c>
      <c r="L18" t="s">
        <v>318</v>
      </c>
      <c r="M18" t="s">
        <v>319</v>
      </c>
      <c r="N18"/>
    </row>
    <row r="19">
      <c r="A19" t="s">
        <v>91</v>
      </c>
      <c r="B19"/>
      <c r="C19"/>
      <c r="D19"/>
      <c r="E19"/>
      <c r="F19"/>
      <c r="G19"/>
      <c r="H19"/>
      <c r="I19"/>
      <c r="J19"/>
      <c r="K19"/>
      <c r="L19" t="s">
        <v>336</v>
      </c>
      <c r="M19"/>
      <c r="N19"/>
    </row>
    <row r="20">
      <c r="A20" t="s">
        <v>23</v>
      </c>
      <c r="B20" t="s">
        <v>315</v>
      </c>
      <c r="C20" t="n">
        <v>0.359749686899951</v>
      </c>
      <c r="D20" t="n">
        <v>0.159193061540011</v>
      </c>
      <c r="E20" t="n">
        <v>5.10684385523368</v>
      </c>
      <c r="F20" t="n">
        <v>0.0238316357654501</v>
      </c>
      <c r="G20" t="s">
        <v>337</v>
      </c>
      <c r="H20" t="n">
        <v>1.43297067833125</v>
      </c>
      <c r="I20" t="n">
        <v>1.04888876665174</v>
      </c>
      <c r="J20" t="n">
        <v>1.95769563965491</v>
      </c>
      <c r="K20" t="s">
        <v>338</v>
      </c>
      <c r="L20" t="s">
        <v>339</v>
      </c>
      <c r="M20" t="s">
        <v>319</v>
      </c>
      <c r="N20"/>
    </row>
    <row r="21">
      <c r="A21" t="s">
        <v>23</v>
      </c>
      <c r="B21" t="s">
        <v>320</v>
      </c>
      <c r="C21" t="n">
        <v>-0.0215169469047316</v>
      </c>
      <c r="D21" t="n">
        <v>0.287203913354752</v>
      </c>
      <c r="E21" t="n">
        <v>0.00561281321722783</v>
      </c>
      <c r="F21" t="n">
        <v>0.940279389385017</v>
      </c>
      <c r="G21" t="s">
        <v>337</v>
      </c>
      <c r="H21" t="n">
        <v>0.978712891174478</v>
      </c>
      <c r="I21" t="n">
        <v>0.557419814168719</v>
      </c>
      <c r="J21" t="n">
        <v>1.71841563396808</v>
      </c>
      <c r="K21" t="s">
        <v>340</v>
      </c>
      <c r="L21" t="s">
        <v>339</v>
      </c>
      <c r="M21" t="s">
        <v>319</v>
      </c>
      <c r="N21"/>
    </row>
    <row r="22">
      <c r="A22" t="s">
        <v>341</v>
      </c>
      <c r="B22" t="s">
        <v>315</v>
      </c>
      <c r="C22" t="n">
        <v>-1.19569019157121</v>
      </c>
      <c r="D22" t="n">
        <v>0.185255694594353</v>
      </c>
      <c r="E22" t="n">
        <v>41.6575956321746</v>
      </c>
      <c r="F22" t="n">
        <v>0.000000000108742126414541</v>
      </c>
      <c r="G22" t="s">
        <v>337</v>
      </c>
      <c r="H22" t="n">
        <v>0.302495102546505</v>
      </c>
      <c r="I22" t="n">
        <v>0.210390205085972</v>
      </c>
      <c r="J22" t="n">
        <v>0.434921801740862</v>
      </c>
      <c r="K22" t="s">
        <v>342</v>
      </c>
      <c r="L22" t="s">
        <v>339</v>
      </c>
      <c r="M22" t="s">
        <v>319</v>
      </c>
      <c r="N22"/>
    </row>
    <row r="23">
      <c r="A23" t="s">
        <v>341</v>
      </c>
      <c r="B23" t="s">
        <v>320</v>
      </c>
      <c r="C23" t="n">
        <v>-0.311823629939847</v>
      </c>
      <c r="D23" t="n">
        <v>0.358054757388174</v>
      </c>
      <c r="E23" t="n">
        <v>0.75843636620829</v>
      </c>
      <c r="F23" t="n">
        <v>0.383818301215888</v>
      </c>
      <c r="G23" t="s">
        <v>337</v>
      </c>
      <c r="H23" t="n">
        <v>0.732110639239801</v>
      </c>
      <c r="I23" t="n">
        <v>0.362906173105776</v>
      </c>
      <c r="J23" t="n">
        <v>1.47692717239033</v>
      </c>
      <c r="K23" t="s">
        <v>343</v>
      </c>
      <c r="L23" t="s">
        <v>339</v>
      </c>
      <c r="M23" t="s">
        <v>319</v>
      </c>
      <c r="N23"/>
    </row>
    <row r="24">
      <c r="A24" t="s">
        <v>344</v>
      </c>
      <c r="B24"/>
      <c r="C24"/>
      <c r="D24"/>
      <c r="E24"/>
      <c r="F24"/>
      <c r="G24"/>
      <c r="H24"/>
      <c r="I24"/>
      <c r="J24"/>
      <c r="K24"/>
      <c r="L24" t="s">
        <v>345</v>
      </c>
      <c r="M24"/>
      <c r="N24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300</v>
      </c>
    </row>
    <row r="2">
      <c r="A2" t="s">
        <v>301</v>
      </c>
      <c r="B2" t="s">
        <v>302</v>
      </c>
      <c r="C2" t="s">
        <v>303</v>
      </c>
      <c r="D2" t="s">
        <v>304</v>
      </c>
      <c r="E2" t="s">
        <v>305</v>
      </c>
      <c r="F2" t="s">
        <v>306</v>
      </c>
      <c r="G2" t="s">
        <v>307</v>
      </c>
      <c r="H2" t="s">
        <v>308</v>
      </c>
      <c r="I2" t="s">
        <v>309</v>
      </c>
      <c r="J2" t="s">
        <v>310</v>
      </c>
      <c r="K2" t="s">
        <v>311</v>
      </c>
      <c r="L2" t="s">
        <v>312</v>
      </c>
      <c r="M2" t="s">
        <v>313</v>
      </c>
      <c r="N2" t="s">
        <v>1</v>
      </c>
    </row>
    <row r="3">
      <c r="A3" t="s">
        <v>121</v>
      </c>
      <c r="B3" t="s">
        <v>315</v>
      </c>
      <c r="C3" t="n">
        <v>6.51402198215413</v>
      </c>
      <c r="D3" t="n">
        <v>0.0183052846785731</v>
      </c>
      <c r="E3" t="n">
        <v>126632.582848146</v>
      </c>
      <c r="F3" t="n">
        <v>0</v>
      </c>
      <c r="G3" t="s">
        <v>316</v>
      </c>
      <c r="H3" t="n">
        <v>6.51402198215413</v>
      </c>
      <c r="I3" t="n">
        <v>6.47814362418413</v>
      </c>
      <c r="J3" t="n">
        <v>6.54990034012414</v>
      </c>
      <c r="K3" t="s">
        <v>346</v>
      </c>
      <c r="L3" t="s">
        <v>318</v>
      </c>
      <c r="M3" t="s">
        <v>319</v>
      </c>
      <c r="N3"/>
    </row>
    <row r="4">
      <c r="A4" t="s">
        <v>121</v>
      </c>
      <c r="B4" t="s">
        <v>320</v>
      </c>
      <c r="C4" t="n">
        <v>-0.0259016072360077</v>
      </c>
      <c r="D4" t="n">
        <v>0.0330690465599385</v>
      </c>
      <c r="E4" t="n">
        <v>0.613493661385627</v>
      </c>
      <c r="F4" t="n">
        <v>0.433475409139553</v>
      </c>
      <c r="G4" t="s">
        <v>316</v>
      </c>
      <c r="H4" t="n">
        <v>-0.0259016072360077</v>
      </c>
      <c r="I4" t="n">
        <v>-0.0907169384934872</v>
      </c>
      <c r="J4" t="n">
        <v>0.0389137240214718</v>
      </c>
      <c r="K4" t="s">
        <v>347</v>
      </c>
      <c r="L4" t="s">
        <v>318</v>
      </c>
      <c r="M4" t="s">
        <v>319</v>
      </c>
      <c r="N4"/>
    </row>
    <row r="5">
      <c r="A5" t="s">
        <v>127</v>
      </c>
      <c r="B5" t="s">
        <v>315</v>
      </c>
      <c r="C5" t="n">
        <v>64.028343010355</v>
      </c>
      <c r="D5" t="n">
        <v>1.78608853646075</v>
      </c>
      <c r="E5" t="n">
        <v>1285.10484096674</v>
      </c>
      <c r="F5" t="n">
        <v>0</v>
      </c>
      <c r="G5" t="s">
        <v>316</v>
      </c>
      <c r="H5" t="n">
        <v>64.028343010355</v>
      </c>
      <c r="I5" t="n">
        <v>60.5276094788919</v>
      </c>
      <c r="J5" t="n">
        <v>67.529076541818</v>
      </c>
      <c r="K5" t="s">
        <v>348</v>
      </c>
      <c r="L5" t="s">
        <v>318</v>
      </c>
      <c r="M5" t="s">
        <v>319</v>
      </c>
      <c r="N5"/>
    </row>
    <row r="6">
      <c r="A6" t="s">
        <v>127</v>
      </c>
      <c r="B6" t="s">
        <v>320</v>
      </c>
      <c r="C6" t="n">
        <v>2.94587730921615</v>
      </c>
      <c r="D6" t="n">
        <v>3.14557725938687</v>
      </c>
      <c r="E6" t="n">
        <v>0.877058572063788</v>
      </c>
      <c r="F6" t="n">
        <v>0.349008580363089</v>
      </c>
      <c r="G6" t="s">
        <v>316</v>
      </c>
      <c r="H6" t="n">
        <v>2.94587730921615</v>
      </c>
      <c r="I6" t="n">
        <v>-3.21945411918213</v>
      </c>
      <c r="J6" t="n">
        <v>9.11120873761442</v>
      </c>
      <c r="K6" t="s">
        <v>349</v>
      </c>
      <c r="L6" t="s">
        <v>318</v>
      </c>
      <c r="M6" t="s">
        <v>319</v>
      </c>
      <c r="N6"/>
    </row>
    <row r="7">
      <c r="A7" t="s">
        <v>350</v>
      </c>
      <c r="B7"/>
      <c r="C7"/>
      <c r="D7"/>
      <c r="E7"/>
      <c r="F7"/>
      <c r="G7"/>
      <c r="H7"/>
      <c r="I7"/>
      <c r="J7"/>
      <c r="K7"/>
      <c r="L7" t="s">
        <v>345</v>
      </c>
      <c r="M7"/>
      <c r="N7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300</v>
      </c>
    </row>
    <row r="2">
      <c r="A2" t="s">
        <v>301</v>
      </c>
      <c r="B2" t="s">
        <v>302</v>
      </c>
      <c r="C2" t="s">
        <v>303</v>
      </c>
      <c r="D2" t="s">
        <v>304</v>
      </c>
      <c r="E2" t="s">
        <v>305</v>
      </c>
      <c r="F2" t="s">
        <v>306</v>
      </c>
      <c r="G2" t="s">
        <v>307</v>
      </c>
      <c r="H2" t="s">
        <v>308</v>
      </c>
      <c r="I2" t="s">
        <v>309</v>
      </c>
      <c r="J2" t="s">
        <v>310</v>
      </c>
      <c r="K2" t="s">
        <v>311</v>
      </c>
      <c r="L2" t="s">
        <v>312</v>
      </c>
      <c r="M2" t="s">
        <v>313</v>
      </c>
      <c r="N2" t="s">
        <v>1</v>
      </c>
    </row>
    <row r="3">
      <c r="A3" t="s">
        <v>165</v>
      </c>
      <c r="B3" t="s">
        <v>315</v>
      </c>
      <c r="C3" t="n">
        <v>184.642513141924</v>
      </c>
      <c r="D3" t="n">
        <v>5.59641468211343</v>
      </c>
      <c r="E3" t="n">
        <v>1088.53809067982</v>
      </c>
      <c r="F3" t="n">
        <v>0</v>
      </c>
      <c r="G3" t="s">
        <v>316</v>
      </c>
      <c r="H3" t="n">
        <v>184.642513141924</v>
      </c>
      <c r="I3" t="n">
        <v>173.673540364981</v>
      </c>
      <c r="J3" t="n">
        <v>195.611485918866</v>
      </c>
      <c r="K3" t="s">
        <v>351</v>
      </c>
      <c r="L3" t="s">
        <v>318</v>
      </c>
      <c r="M3" t="s">
        <v>319</v>
      </c>
      <c r="N3"/>
    </row>
    <row r="4">
      <c r="A4" t="s">
        <v>165</v>
      </c>
      <c r="B4" t="s">
        <v>320</v>
      </c>
      <c r="C4" t="n">
        <v>-9.9803575568411</v>
      </c>
      <c r="D4" t="n">
        <v>9.72404941926805</v>
      </c>
      <c r="E4" t="n">
        <v>1.05341109099189</v>
      </c>
      <c r="F4" t="n">
        <v>0.30472278792427</v>
      </c>
      <c r="G4" t="s">
        <v>316</v>
      </c>
      <c r="H4" t="n">
        <v>-9.9803575568411</v>
      </c>
      <c r="I4" t="n">
        <v>-29.0394944186065</v>
      </c>
      <c r="J4" t="n">
        <v>9.07877930492427</v>
      </c>
      <c r="K4" t="s">
        <v>352</v>
      </c>
      <c r="L4" t="s">
        <v>318</v>
      </c>
      <c r="M4" t="s">
        <v>319</v>
      </c>
      <c r="N4"/>
    </row>
    <row r="5">
      <c r="A5" t="s">
        <v>173</v>
      </c>
      <c r="B5" t="s">
        <v>315</v>
      </c>
      <c r="C5" t="n">
        <v>0.0209878408258434</v>
      </c>
      <c r="D5" t="n">
        <v>0.0205334325642561</v>
      </c>
      <c r="E5" t="n">
        <v>1.04475007529049</v>
      </c>
      <c r="F5" t="n">
        <v>0.306719297623731</v>
      </c>
      <c r="G5" t="s">
        <v>316</v>
      </c>
      <c r="H5" t="n">
        <v>0.0209878408258434</v>
      </c>
      <c r="I5" t="n">
        <v>-0.0192576870000985</v>
      </c>
      <c r="J5" t="n">
        <v>0.0612333686517853</v>
      </c>
      <c r="K5" t="s">
        <v>353</v>
      </c>
      <c r="L5" t="s">
        <v>318</v>
      </c>
      <c r="M5" t="s">
        <v>319</v>
      </c>
      <c r="N5"/>
    </row>
    <row r="6">
      <c r="A6" t="s">
        <v>173</v>
      </c>
      <c r="B6" t="s">
        <v>320</v>
      </c>
      <c r="C6" t="n">
        <v>-0.204927062805939</v>
      </c>
      <c r="D6" t="n">
        <v>0.0459774970878104</v>
      </c>
      <c r="E6" t="n">
        <v>19.8658878643367</v>
      </c>
      <c r="F6" t="n">
        <v>0.00000830694476749994</v>
      </c>
      <c r="G6" t="s">
        <v>316</v>
      </c>
      <c r="H6" t="n">
        <v>-0.204927062805939</v>
      </c>
      <c r="I6" t="n">
        <v>-0.295042957098048</v>
      </c>
      <c r="J6" t="n">
        <v>-0.114811168513831</v>
      </c>
      <c r="K6" t="s">
        <v>354</v>
      </c>
      <c r="L6" t="s">
        <v>318</v>
      </c>
      <c r="M6" t="s">
        <v>319</v>
      </c>
      <c r="N6"/>
    </row>
    <row r="7">
      <c r="A7" t="s">
        <v>178</v>
      </c>
      <c r="B7" t="s">
        <v>315</v>
      </c>
      <c r="C7" t="n">
        <v>-0.2188213503277</v>
      </c>
      <c r="D7" t="n">
        <v>0.0115125825308386</v>
      </c>
      <c r="E7" t="n">
        <v>361.271643070779</v>
      </c>
      <c r="F7" t="n">
        <v>0</v>
      </c>
      <c r="G7" t="s">
        <v>316</v>
      </c>
      <c r="H7" t="n">
        <v>-0.2188213503277</v>
      </c>
      <c r="I7" t="n">
        <v>-0.241386012088143</v>
      </c>
      <c r="J7" t="n">
        <v>-0.196256688567256</v>
      </c>
      <c r="K7" t="s">
        <v>355</v>
      </c>
      <c r="L7" t="s">
        <v>318</v>
      </c>
      <c r="M7" t="s">
        <v>319</v>
      </c>
      <c r="N7"/>
    </row>
    <row r="8">
      <c r="A8" t="s">
        <v>178</v>
      </c>
      <c r="B8" t="s">
        <v>320</v>
      </c>
      <c r="C8" t="n">
        <v>0.00458504566238517</v>
      </c>
      <c r="D8" t="n">
        <v>0.0217722747032996</v>
      </c>
      <c r="E8" t="n">
        <v>0.04434858012076</v>
      </c>
      <c r="F8" t="n">
        <v>0.833206415700908</v>
      </c>
      <c r="G8" t="s">
        <v>316</v>
      </c>
      <c r="H8" t="n">
        <v>0.00458504566238517</v>
      </c>
      <c r="I8" t="n">
        <v>-0.0380886127560821</v>
      </c>
      <c r="J8" t="n">
        <v>0.0472587040808524</v>
      </c>
      <c r="K8" t="s">
        <v>356</v>
      </c>
      <c r="L8" t="s">
        <v>318</v>
      </c>
      <c r="M8" t="s">
        <v>319</v>
      </c>
      <c r="N8"/>
    </row>
    <row r="9">
      <c r="A9" t="s">
        <v>186</v>
      </c>
      <c r="B9" t="s">
        <v>315</v>
      </c>
      <c r="C9" t="n">
        <v>-0.00129712312603156</v>
      </c>
      <c r="D9" t="n">
        <v>0.00331516846535178</v>
      </c>
      <c r="E9" t="n">
        <v>0.153091542663523</v>
      </c>
      <c r="F9" t="n">
        <v>0.695598304416191</v>
      </c>
      <c r="G9" t="s">
        <v>316</v>
      </c>
      <c r="H9" t="n">
        <v>-0.00129712312603156</v>
      </c>
      <c r="I9" t="n">
        <v>-0.00779485331812106</v>
      </c>
      <c r="J9" t="n">
        <v>0.00520060706605794</v>
      </c>
      <c r="K9" t="s">
        <v>357</v>
      </c>
      <c r="L9" t="s">
        <v>318</v>
      </c>
      <c r="M9" t="s">
        <v>319</v>
      </c>
      <c r="N9"/>
    </row>
    <row r="10">
      <c r="A10" t="s">
        <v>186</v>
      </c>
      <c r="B10" t="s">
        <v>320</v>
      </c>
      <c r="C10" t="n">
        <v>0.0552873966693778</v>
      </c>
      <c r="D10" t="n">
        <v>0.00620784773335197</v>
      </c>
      <c r="E10" t="n">
        <v>79.3177104305034</v>
      </c>
      <c r="F10" t="n">
        <v>0</v>
      </c>
      <c r="G10" t="s">
        <v>316</v>
      </c>
      <c r="H10" t="n">
        <v>0.0552873966693778</v>
      </c>
      <c r="I10" t="n">
        <v>0.0431200151120079</v>
      </c>
      <c r="J10" t="n">
        <v>0.0674547782267477</v>
      </c>
      <c r="K10" t="s">
        <v>358</v>
      </c>
      <c r="L10" t="s">
        <v>318</v>
      </c>
      <c r="M10" t="s">
        <v>319</v>
      </c>
      <c r="N10"/>
    </row>
    <row r="11">
      <c r="A11" t="s">
        <v>191</v>
      </c>
      <c r="B11" t="s">
        <v>315</v>
      </c>
      <c r="C11" t="n">
        <v>-0.0143191276805577</v>
      </c>
      <c r="D11" t="n">
        <v>0.002330618951773</v>
      </c>
      <c r="E11" t="n">
        <v>37.7477070462472</v>
      </c>
      <c r="F11" t="n">
        <v>0.000000000805112976287603</v>
      </c>
      <c r="G11" t="s">
        <v>316</v>
      </c>
      <c r="H11" t="n">
        <v>-0.0143191276805577</v>
      </c>
      <c r="I11" t="n">
        <v>-0.0188871408260328</v>
      </c>
      <c r="J11" t="n">
        <v>-0.0097511145350826</v>
      </c>
      <c r="K11" t="s">
        <v>359</v>
      </c>
      <c r="L11" t="s">
        <v>318</v>
      </c>
      <c r="M11" t="s">
        <v>319</v>
      </c>
      <c r="N11"/>
    </row>
    <row r="12">
      <c r="A12" t="s">
        <v>191</v>
      </c>
      <c r="B12" t="s">
        <v>320</v>
      </c>
      <c r="C12" t="n">
        <v>0.00701326473753885</v>
      </c>
      <c r="D12" t="n">
        <v>0.00405400370956837</v>
      </c>
      <c r="E12" t="n">
        <v>2.99276201137395</v>
      </c>
      <c r="F12" t="n">
        <v>0.0836374009227524</v>
      </c>
      <c r="G12" t="s">
        <v>316</v>
      </c>
      <c r="H12" t="n">
        <v>0.00701326473753885</v>
      </c>
      <c r="I12" t="n">
        <v>-0.000932582533215163</v>
      </c>
      <c r="J12" t="n">
        <v>0.0149591120082929</v>
      </c>
      <c r="K12" t="s">
        <v>360</v>
      </c>
      <c r="L12" t="s">
        <v>318</v>
      </c>
      <c r="M12" t="s">
        <v>319</v>
      </c>
      <c r="N12"/>
    </row>
    <row r="13">
      <c r="A13" t="s">
        <v>197</v>
      </c>
      <c r="B13"/>
      <c r="C13"/>
      <c r="D13"/>
      <c r="E13"/>
      <c r="F13"/>
      <c r="G13"/>
      <c r="H13"/>
      <c r="I13"/>
      <c r="J13"/>
      <c r="K13"/>
      <c r="L13" t="s">
        <v>336</v>
      </c>
      <c r="M13"/>
      <c r="N13"/>
    </row>
    <row r="14">
      <c r="A14" t="s">
        <v>200</v>
      </c>
      <c r="B14"/>
      <c r="C14"/>
      <c r="D14"/>
      <c r="E14"/>
      <c r="F14"/>
      <c r="G14"/>
      <c r="H14"/>
      <c r="I14"/>
      <c r="J14"/>
      <c r="K14"/>
      <c r="L14" t="s">
        <v>336</v>
      </c>
      <c r="M14"/>
      <c r="N14"/>
    </row>
    <row r="15">
      <c r="A15" t="s">
        <v>361</v>
      </c>
      <c r="B15" t="s">
        <v>315</v>
      </c>
      <c r="C15" t="n">
        <v>-1.66041022354275</v>
      </c>
      <c r="D15" t="n">
        <v>0.163152656978447</v>
      </c>
      <c r="E15" t="n">
        <v>103.57203180134</v>
      </c>
      <c r="F15" t="n">
        <v>0</v>
      </c>
      <c r="G15" t="s">
        <v>337</v>
      </c>
      <c r="H15" t="n">
        <v>0.190060996611914</v>
      </c>
      <c r="I15" t="n">
        <v>0.138043085163849</v>
      </c>
      <c r="J15" t="n">
        <v>0.261680491929296</v>
      </c>
      <c r="K15" t="s">
        <v>362</v>
      </c>
      <c r="L15" t="s">
        <v>339</v>
      </c>
      <c r="M15" t="s">
        <v>319</v>
      </c>
      <c r="N15"/>
    </row>
    <row r="16">
      <c r="A16" t="s">
        <v>361</v>
      </c>
      <c r="B16" t="s">
        <v>320</v>
      </c>
      <c r="C16" t="n">
        <v>0.983385773402938</v>
      </c>
      <c r="D16" t="n">
        <v>0.245711596700634</v>
      </c>
      <c r="E16" t="n">
        <v>16.0175664352995</v>
      </c>
      <c r="F16" t="n">
        <v>0.0000627574874939585</v>
      </c>
      <c r="G16" t="s">
        <v>337</v>
      </c>
      <c r="H16" t="n">
        <v>2.67349277620284</v>
      </c>
      <c r="I16" t="n">
        <v>1.6516768488198</v>
      </c>
      <c r="J16" t="n">
        <v>4.32745886673655</v>
      </c>
      <c r="K16" t="s">
        <v>363</v>
      </c>
      <c r="L16" t="s">
        <v>339</v>
      </c>
      <c r="M16" t="s">
        <v>319</v>
      </c>
      <c r="N16"/>
    </row>
    <row r="17">
      <c r="A17" t="s">
        <v>364</v>
      </c>
      <c r="B17" t="s">
        <v>315</v>
      </c>
      <c r="C17" t="n">
        <v>-3.40521038590213</v>
      </c>
      <c r="D17" t="n">
        <v>0.353051146885084</v>
      </c>
      <c r="E17" t="n">
        <v>93.027777477369</v>
      </c>
      <c r="F17" t="n">
        <v>0</v>
      </c>
      <c r="G17" t="s">
        <v>337</v>
      </c>
      <c r="H17" t="n">
        <v>0.0331998345700432</v>
      </c>
      <c r="I17" t="n">
        <v>0.0166192995774564</v>
      </c>
      <c r="J17" t="n">
        <v>0.0663222303889013</v>
      </c>
      <c r="K17" t="s">
        <v>365</v>
      </c>
      <c r="L17" t="s">
        <v>339</v>
      </c>
      <c r="M17" t="s">
        <v>319</v>
      </c>
      <c r="N17"/>
    </row>
    <row r="18">
      <c r="A18" t="s">
        <v>364</v>
      </c>
      <c r="B18" t="s">
        <v>320</v>
      </c>
      <c r="C18" t="n">
        <v>0.95574376674956</v>
      </c>
      <c r="D18" t="n">
        <v>0.515279017743783</v>
      </c>
      <c r="E18" t="n">
        <v>3.44031359809571</v>
      </c>
      <c r="F18" t="n">
        <v>0.063623615300098</v>
      </c>
      <c r="G18" t="s">
        <v>337</v>
      </c>
      <c r="H18" t="n">
        <v>2.60060410664835</v>
      </c>
      <c r="I18" t="n">
        <v>0.947239694975565</v>
      </c>
      <c r="J18" t="n">
        <v>7.13984195910491</v>
      </c>
      <c r="K18" t="s">
        <v>366</v>
      </c>
      <c r="L18" t="s">
        <v>339</v>
      </c>
      <c r="M18" t="s">
        <v>319</v>
      </c>
      <c r="N18"/>
    </row>
    <row r="19">
      <c r="A19" t="s">
        <v>367</v>
      </c>
      <c r="B19"/>
      <c r="C19"/>
      <c r="D19"/>
      <c r="E19"/>
      <c r="F19"/>
      <c r="G19"/>
      <c r="H19"/>
      <c r="I19"/>
      <c r="J19"/>
      <c r="K19"/>
      <c r="L19" t="s">
        <v>345</v>
      </c>
      <c r="M19"/>
      <c r="N19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300</v>
      </c>
    </row>
    <row r="2">
      <c r="A2" t="s">
        <v>301</v>
      </c>
      <c r="B2" t="s">
        <v>302</v>
      </c>
      <c r="C2" t="s">
        <v>303</v>
      </c>
      <c r="D2" t="s">
        <v>304</v>
      </c>
      <c r="E2" t="s">
        <v>305</v>
      </c>
      <c r="F2" t="s">
        <v>306</v>
      </c>
      <c r="G2" t="s">
        <v>307</v>
      </c>
      <c r="H2" t="s">
        <v>308</v>
      </c>
      <c r="I2" t="s">
        <v>309</v>
      </c>
      <c r="J2" t="s">
        <v>310</v>
      </c>
      <c r="K2" t="s">
        <v>311</v>
      </c>
      <c r="L2" t="s">
        <v>312</v>
      </c>
      <c r="M2" t="s">
        <v>313</v>
      </c>
      <c r="N2" t="s">
        <v>1</v>
      </c>
    </row>
    <row r="3">
      <c r="A3" t="s">
        <v>314</v>
      </c>
      <c r="B3" t="s">
        <v>315</v>
      </c>
      <c r="C3" t="n">
        <v>30.8121233593716</v>
      </c>
      <c r="D3" t="n">
        <v>0.515203686927149</v>
      </c>
      <c r="E3" t="n">
        <v>3576.72319657216</v>
      </c>
      <c r="F3" t="n">
        <v>0</v>
      </c>
      <c r="G3" t="s">
        <v>316</v>
      </c>
      <c r="H3" t="n">
        <v>30.8121233593716</v>
      </c>
      <c r="I3" t="n">
        <v>29.8023241329944</v>
      </c>
      <c r="J3" t="n">
        <v>31.8219225857488</v>
      </c>
      <c r="K3" t="s">
        <v>368</v>
      </c>
      <c r="L3" t="s">
        <v>369</v>
      </c>
      <c r="M3" t="s">
        <v>51</v>
      </c>
      <c r="N3"/>
    </row>
    <row r="4">
      <c r="A4" t="s">
        <v>314</v>
      </c>
      <c r="B4" t="s">
        <v>320</v>
      </c>
      <c r="C4" t="n">
        <v>7.62185019394186</v>
      </c>
      <c r="D4" t="n">
        <v>0.935480177721747</v>
      </c>
      <c r="E4" t="n">
        <v>66.3821994902965</v>
      </c>
      <c r="F4" t="n">
        <v>0.000000000000000333066907387547</v>
      </c>
      <c r="G4" t="s">
        <v>316</v>
      </c>
      <c r="H4" t="n">
        <v>7.62185019394186</v>
      </c>
      <c r="I4" t="n">
        <v>5.78830904560724</v>
      </c>
      <c r="J4" t="n">
        <v>9.45539134227649</v>
      </c>
      <c r="K4" t="s">
        <v>370</v>
      </c>
      <c r="L4" t="s">
        <v>369</v>
      </c>
      <c r="M4" t="s">
        <v>51</v>
      </c>
      <c r="N4"/>
    </row>
    <row r="5">
      <c r="A5" t="s">
        <v>314</v>
      </c>
      <c r="B5" t="s">
        <v>51</v>
      </c>
      <c r="C5" t="n">
        <v>-0.0292864913705356</v>
      </c>
      <c r="D5" t="n">
        <v>0.0373825011229839</v>
      </c>
      <c r="E5" t="n">
        <v>0.613759149552695</v>
      </c>
      <c r="F5" t="n">
        <v>0.433375924521246</v>
      </c>
      <c r="G5" t="s">
        <v>316</v>
      </c>
      <c r="H5" t="n">
        <v>-0.0292864913705356</v>
      </c>
      <c r="I5" t="n">
        <v>-0.102556193571584</v>
      </c>
      <c r="J5" t="n">
        <v>0.0439832108305128</v>
      </c>
      <c r="K5" t="s">
        <v>371</v>
      </c>
      <c r="L5" t="s">
        <v>369</v>
      </c>
      <c r="M5" t="s">
        <v>51</v>
      </c>
      <c r="N5"/>
    </row>
    <row r="6">
      <c r="A6" t="s">
        <v>51</v>
      </c>
      <c r="B6" t="s">
        <v>315</v>
      </c>
      <c r="C6" t="n">
        <v>-3.81457986189663</v>
      </c>
      <c r="D6" t="n">
        <v>0.513794655615818</v>
      </c>
      <c r="E6" t="n">
        <v>55.1206408749666</v>
      </c>
      <c r="F6" t="n">
        <v>0.000000000000113353770814228</v>
      </c>
      <c r="G6" t="s">
        <v>316</v>
      </c>
      <c r="H6" t="n">
        <v>-3.81457986189663</v>
      </c>
      <c r="I6" t="n">
        <v>-4.82161738690363</v>
      </c>
      <c r="J6" t="n">
        <v>-2.80754233688962</v>
      </c>
      <c r="K6" t="s">
        <v>372</v>
      </c>
      <c r="L6" t="s">
        <v>369</v>
      </c>
      <c r="M6" t="s">
        <v>314</v>
      </c>
      <c r="N6"/>
    </row>
    <row r="7">
      <c r="A7" t="s">
        <v>51</v>
      </c>
      <c r="B7" t="s">
        <v>320</v>
      </c>
      <c r="C7" t="n">
        <v>-0.150335578809878</v>
      </c>
      <c r="D7" t="n">
        <v>0.247256503324983</v>
      </c>
      <c r="E7" t="n">
        <v>0.369681826814014</v>
      </c>
      <c r="F7" t="n">
        <v>0.543177750867421</v>
      </c>
      <c r="G7" t="s">
        <v>316</v>
      </c>
      <c r="H7" t="n">
        <v>-0.150335578809878</v>
      </c>
      <c r="I7" t="n">
        <v>-0.634958325326844</v>
      </c>
      <c r="J7" t="n">
        <v>0.334287167707088</v>
      </c>
      <c r="K7" t="s">
        <v>373</v>
      </c>
      <c r="L7" t="s">
        <v>369</v>
      </c>
      <c r="M7" t="s">
        <v>314</v>
      </c>
      <c r="N7"/>
    </row>
    <row r="8">
      <c r="A8" t="s">
        <v>51</v>
      </c>
      <c r="B8" t="s">
        <v>314</v>
      </c>
      <c r="C8" t="n">
        <v>-0.0110526165038313</v>
      </c>
      <c r="D8" t="n">
        <v>0.0163264758768811</v>
      </c>
      <c r="E8" t="n">
        <v>0.458295191847679</v>
      </c>
      <c r="F8" t="n">
        <v>0.498421797082455</v>
      </c>
      <c r="G8" t="s">
        <v>316</v>
      </c>
      <c r="H8" t="n">
        <v>-0.0110526165038313</v>
      </c>
      <c r="I8" t="n">
        <v>-0.0430525092225182</v>
      </c>
      <c r="J8" t="n">
        <v>0.0209472762148557</v>
      </c>
      <c r="K8" t="s">
        <v>374</v>
      </c>
      <c r="L8" t="s">
        <v>369</v>
      </c>
      <c r="M8" t="s">
        <v>314</v>
      </c>
      <c r="N8"/>
    </row>
    <row r="9">
      <c r="A9" t="s">
        <v>58</v>
      </c>
      <c r="B9" t="s">
        <v>315</v>
      </c>
      <c r="C9" t="n">
        <v>0.264271977545557</v>
      </c>
      <c r="D9" t="n">
        <v>0.0732057909296604</v>
      </c>
      <c r="E9" t="n">
        <v>13.0320085037114</v>
      </c>
      <c r="F9" t="n">
        <v>0.000306211965177994</v>
      </c>
      <c r="G9" t="s">
        <v>316</v>
      </c>
      <c r="H9" t="n">
        <v>0.264271977545557</v>
      </c>
      <c r="I9" t="n">
        <v>0.120788627323423</v>
      </c>
      <c r="J9" t="n">
        <v>0.407755327767692</v>
      </c>
      <c r="K9" t="s">
        <v>375</v>
      </c>
      <c r="L9" t="s">
        <v>318</v>
      </c>
      <c r="M9" t="s">
        <v>376</v>
      </c>
      <c r="N9"/>
    </row>
    <row r="10">
      <c r="A10" t="s">
        <v>58</v>
      </c>
      <c r="B10" t="s">
        <v>320</v>
      </c>
      <c r="C10" t="n">
        <v>0.0154647430734394</v>
      </c>
      <c r="D10" t="n">
        <v>0.0346892217885757</v>
      </c>
      <c r="E10" t="n">
        <v>0.198745042393601</v>
      </c>
      <c r="F10" t="n">
        <v>0.65573572414905</v>
      </c>
      <c r="G10" t="s">
        <v>316</v>
      </c>
      <c r="H10" t="n">
        <v>0.0154647430734394</v>
      </c>
      <c r="I10" t="n">
        <v>-0.052526131632169</v>
      </c>
      <c r="J10" t="n">
        <v>0.0834556177790478</v>
      </c>
      <c r="K10" t="s">
        <v>377</v>
      </c>
      <c r="L10" t="s">
        <v>318</v>
      </c>
      <c r="M10" t="s">
        <v>376</v>
      </c>
      <c r="N10"/>
    </row>
    <row r="11">
      <c r="A11" t="s">
        <v>58</v>
      </c>
      <c r="B11" t="s">
        <v>314</v>
      </c>
      <c r="C11" t="n">
        <v>0.00142094995011629</v>
      </c>
      <c r="D11" t="n">
        <v>0.00219545109005863</v>
      </c>
      <c r="E11" t="n">
        <v>0.41889968080131</v>
      </c>
      <c r="F11" t="n">
        <v>0.517486593349645</v>
      </c>
      <c r="G11" t="s">
        <v>316</v>
      </c>
      <c r="H11" t="n">
        <v>0.00142094995011629</v>
      </c>
      <c r="I11" t="n">
        <v>-0.00288213418639862</v>
      </c>
      <c r="J11" t="n">
        <v>0.0057240340866312</v>
      </c>
      <c r="K11" t="s">
        <v>378</v>
      </c>
      <c r="L11" t="s">
        <v>318</v>
      </c>
      <c r="M11" t="s">
        <v>376</v>
      </c>
      <c r="N11"/>
    </row>
    <row r="12">
      <c r="A12" t="s">
        <v>58</v>
      </c>
      <c r="B12" t="s">
        <v>51</v>
      </c>
      <c r="C12" t="n">
        <v>0.996281042799939</v>
      </c>
      <c r="D12" t="n">
        <v>0.00705264671174683</v>
      </c>
      <c r="E12" t="n">
        <v>19955.3557628494</v>
      </c>
      <c r="F12" t="n">
        <v>0</v>
      </c>
      <c r="G12" t="s">
        <v>316</v>
      </c>
      <c r="H12" t="n">
        <v>0.996281042799939</v>
      </c>
      <c r="I12" t="n">
        <v>0.982457855244915</v>
      </c>
      <c r="J12" t="n">
        <v>1.01010423035496</v>
      </c>
      <c r="K12" t="s">
        <v>379</v>
      </c>
      <c r="L12" t="s">
        <v>318</v>
      </c>
      <c r="M12" t="s">
        <v>376</v>
      </c>
      <c r="N12"/>
    </row>
    <row r="13">
      <c r="A13" t="s">
        <v>64</v>
      </c>
      <c r="B13" t="s">
        <v>315</v>
      </c>
      <c r="C13" t="n">
        <v>-0.577973760076292</v>
      </c>
      <c r="D13" t="n">
        <v>0.141617119545353</v>
      </c>
      <c r="E13" t="n">
        <v>16.6565376383053</v>
      </c>
      <c r="F13" t="n">
        <v>0.0000447956513920378</v>
      </c>
      <c r="G13" t="s">
        <v>316</v>
      </c>
      <c r="H13" t="n">
        <v>-0.577973760076292</v>
      </c>
      <c r="I13" t="n">
        <v>-0.855543314385184</v>
      </c>
      <c r="J13" t="n">
        <v>-0.300404205767401</v>
      </c>
      <c r="K13" t="s">
        <v>380</v>
      </c>
      <c r="L13" t="s">
        <v>318</v>
      </c>
      <c r="M13" t="s">
        <v>376</v>
      </c>
      <c r="N13"/>
    </row>
    <row r="14">
      <c r="A14" t="s">
        <v>64</v>
      </c>
      <c r="B14" t="s">
        <v>320</v>
      </c>
      <c r="C14" t="n">
        <v>-0.0280333816314405</v>
      </c>
      <c r="D14" t="n">
        <v>0.0656993446875565</v>
      </c>
      <c r="E14" t="n">
        <v>0.182066021922173</v>
      </c>
      <c r="F14" t="n">
        <v>0.669603713167248</v>
      </c>
      <c r="G14" t="s">
        <v>316</v>
      </c>
      <c r="H14" t="n">
        <v>-0.0280333816314405</v>
      </c>
      <c r="I14" t="n">
        <v>-0.156804097219051</v>
      </c>
      <c r="J14" t="n">
        <v>0.10073733395617</v>
      </c>
      <c r="K14" t="s">
        <v>381</v>
      </c>
      <c r="L14" t="s">
        <v>318</v>
      </c>
      <c r="M14" t="s">
        <v>376</v>
      </c>
      <c r="N14"/>
    </row>
    <row r="15">
      <c r="A15" t="s">
        <v>64</v>
      </c>
      <c r="B15" t="s">
        <v>314</v>
      </c>
      <c r="C15" t="n">
        <v>-0.00126727680596415</v>
      </c>
      <c r="D15" t="n">
        <v>0.00433445063349966</v>
      </c>
      <c r="E15" t="n">
        <v>0.0854820346559836</v>
      </c>
      <c r="F15" t="n">
        <v>0.770001366610745</v>
      </c>
      <c r="G15" t="s">
        <v>316</v>
      </c>
      <c r="H15" t="n">
        <v>-0.00126727680596415</v>
      </c>
      <c r="I15" t="n">
        <v>-0.00976280004762349</v>
      </c>
      <c r="J15" t="n">
        <v>0.00722824643569519</v>
      </c>
      <c r="K15" t="s">
        <v>382</v>
      </c>
      <c r="L15" t="s">
        <v>318</v>
      </c>
      <c r="M15" t="s">
        <v>376</v>
      </c>
      <c r="N15"/>
    </row>
    <row r="16">
      <c r="A16" t="s">
        <v>64</v>
      </c>
      <c r="B16" t="s">
        <v>51</v>
      </c>
      <c r="C16" t="n">
        <v>0.00861653133777881</v>
      </c>
      <c r="D16" t="n">
        <v>0.0143502777087967</v>
      </c>
      <c r="E16" t="n">
        <v>0.36053242718138</v>
      </c>
      <c r="F16" t="n">
        <v>0.54821068769333</v>
      </c>
      <c r="G16" t="s">
        <v>316</v>
      </c>
      <c r="H16" t="n">
        <v>0.00861653133777881</v>
      </c>
      <c r="I16" t="n">
        <v>-0.0195100129714628</v>
      </c>
      <c r="J16" t="n">
        <v>0.0367430756470204</v>
      </c>
      <c r="K16" t="s">
        <v>383</v>
      </c>
      <c r="L16" t="s">
        <v>318</v>
      </c>
      <c r="M16" t="s">
        <v>376</v>
      </c>
      <c r="N16"/>
    </row>
    <row r="17">
      <c r="A17" t="s">
        <v>70</v>
      </c>
      <c r="B17" t="s">
        <v>315</v>
      </c>
      <c r="C17" t="n">
        <v>0.612081494103932</v>
      </c>
      <c r="D17" t="n">
        <v>0.0262334891472753</v>
      </c>
      <c r="E17" t="n">
        <v>544.385292994434</v>
      </c>
      <c r="F17" t="n">
        <v>0</v>
      </c>
      <c r="G17" t="s">
        <v>316</v>
      </c>
      <c r="H17" t="n">
        <v>0.612081494103932</v>
      </c>
      <c r="I17" t="n">
        <v>0.560663855375273</v>
      </c>
      <c r="J17" t="n">
        <v>0.663499132832592</v>
      </c>
      <c r="K17" t="s">
        <v>384</v>
      </c>
      <c r="L17" t="s">
        <v>318</v>
      </c>
      <c r="M17" t="s">
        <v>376</v>
      </c>
      <c r="N17"/>
    </row>
    <row r="18">
      <c r="A18" t="s">
        <v>70</v>
      </c>
      <c r="B18" t="s">
        <v>320</v>
      </c>
      <c r="C18" t="n">
        <v>0.000407033675829283</v>
      </c>
      <c r="D18" t="n">
        <v>0.0123983358660878</v>
      </c>
      <c r="E18" t="n">
        <v>0.00107778935485534</v>
      </c>
      <c r="F18" t="n">
        <v>0.973810391942438</v>
      </c>
      <c r="G18" t="s">
        <v>316</v>
      </c>
      <c r="H18" t="n">
        <v>0.000407033675829283</v>
      </c>
      <c r="I18" t="n">
        <v>-0.0238937046217029</v>
      </c>
      <c r="J18" t="n">
        <v>0.0247077719733614</v>
      </c>
      <c r="K18" t="s">
        <v>385</v>
      </c>
      <c r="L18" t="s">
        <v>318</v>
      </c>
      <c r="M18" t="s">
        <v>376</v>
      </c>
      <c r="N18"/>
    </row>
    <row r="19">
      <c r="A19" t="s">
        <v>70</v>
      </c>
      <c r="B19" t="s">
        <v>314</v>
      </c>
      <c r="C19" t="n">
        <v>0.000122902904937653</v>
      </c>
      <c r="D19" t="n">
        <v>0.000765276813828358</v>
      </c>
      <c r="E19" t="n">
        <v>0.0257921285837944</v>
      </c>
      <c r="F19" t="n">
        <v>0.872409022388144</v>
      </c>
      <c r="G19" t="s">
        <v>316</v>
      </c>
      <c r="H19" t="n">
        <v>0.000122902904937653</v>
      </c>
      <c r="I19" t="n">
        <v>-0.00137703965016593</v>
      </c>
      <c r="J19" t="n">
        <v>0.00162284546004123</v>
      </c>
      <c r="K19" t="s">
        <v>386</v>
      </c>
      <c r="L19" t="s">
        <v>318</v>
      </c>
      <c r="M19" t="s">
        <v>376</v>
      </c>
      <c r="N19"/>
    </row>
    <row r="20">
      <c r="A20" t="s">
        <v>70</v>
      </c>
      <c r="B20" t="s">
        <v>51</v>
      </c>
      <c r="C20" t="n">
        <v>-0.110570096221207</v>
      </c>
      <c r="D20" t="n">
        <v>0.00288616375367491</v>
      </c>
      <c r="E20" t="n">
        <v>1467.68696989694</v>
      </c>
      <c r="F20" t="n">
        <v>0</v>
      </c>
      <c r="G20" t="s">
        <v>316</v>
      </c>
      <c r="H20" t="n">
        <v>-0.110570096221207</v>
      </c>
      <c r="I20" t="n">
        <v>-0.11622697717841</v>
      </c>
      <c r="J20" t="n">
        <v>-0.104913215264004</v>
      </c>
      <c r="K20" t="s">
        <v>387</v>
      </c>
      <c r="L20" t="s">
        <v>318</v>
      </c>
      <c r="M20" t="s">
        <v>376</v>
      </c>
      <c r="N20"/>
    </row>
    <row r="21">
      <c r="A21" t="s">
        <v>76</v>
      </c>
      <c r="B21" t="s">
        <v>315</v>
      </c>
      <c r="C21" t="n">
        <v>-0.020974533449296</v>
      </c>
      <c r="D21" t="n">
        <v>0.00893702432950015</v>
      </c>
      <c r="E21" t="n">
        <v>5.50806096026873</v>
      </c>
      <c r="F21" t="n">
        <v>0.0189290212530205</v>
      </c>
      <c r="G21" t="s">
        <v>316</v>
      </c>
      <c r="H21" t="n">
        <v>-0.020974533449296</v>
      </c>
      <c r="I21" t="n">
        <v>-0.0384911011351163</v>
      </c>
      <c r="J21" t="n">
        <v>-0.00345796576347574</v>
      </c>
      <c r="K21" t="s">
        <v>388</v>
      </c>
      <c r="L21" t="s">
        <v>318</v>
      </c>
      <c r="M21" t="s">
        <v>376</v>
      </c>
      <c r="N21"/>
    </row>
    <row r="22">
      <c r="A22" t="s">
        <v>76</v>
      </c>
      <c r="B22" t="s">
        <v>320</v>
      </c>
      <c r="C22" t="n">
        <v>0.00391555467971455</v>
      </c>
      <c r="D22" t="n">
        <v>0.00393591601688715</v>
      </c>
      <c r="E22" t="n">
        <v>0.989680333470145</v>
      </c>
      <c r="F22" t="n">
        <v>0.319820516333025</v>
      </c>
      <c r="G22" t="s">
        <v>316</v>
      </c>
      <c r="H22" t="n">
        <v>0.00391555467971455</v>
      </c>
      <c r="I22" t="n">
        <v>-0.00379884071338426</v>
      </c>
      <c r="J22" t="n">
        <v>0.0116299500728134</v>
      </c>
      <c r="K22" t="s">
        <v>389</v>
      </c>
      <c r="L22" t="s">
        <v>318</v>
      </c>
      <c r="M22" t="s">
        <v>376</v>
      </c>
      <c r="N22"/>
    </row>
    <row r="23">
      <c r="A23" t="s">
        <v>76</v>
      </c>
      <c r="B23" t="s">
        <v>314</v>
      </c>
      <c r="C23" t="n">
        <v>0.000215725023233645</v>
      </c>
      <c r="D23" t="n">
        <v>0.000261990383911977</v>
      </c>
      <c r="E23" t="n">
        <v>0.678001018565632</v>
      </c>
      <c r="F23" t="n">
        <v>0.41027591715313</v>
      </c>
      <c r="G23" t="s">
        <v>316</v>
      </c>
      <c r="H23" t="n">
        <v>0.000215725023233645</v>
      </c>
      <c r="I23" t="n">
        <v>-0.000297776129233829</v>
      </c>
      <c r="J23" t="n">
        <v>0.000729226175701119</v>
      </c>
      <c r="K23" t="s">
        <v>390</v>
      </c>
      <c r="L23" t="s">
        <v>318</v>
      </c>
      <c r="M23" t="s">
        <v>376</v>
      </c>
      <c r="N23"/>
    </row>
    <row r="24">
      <c r="A24" t="s">
        <v>76</v>
      </c>
      <c r="B24" t="s">
        <v>51</v>
      </c>
      <c r="C24" t="n">
        <v>-0.000401345582679516</v>
      </c>
      <c r="D24" t="n">
        <v>0.000924040306754842</v>
      </c>
      <c r="E24" t="n">
        <v>0.188649276312887</v>
      </c>
      <c r="F24" t="n">
        <v>0.664043198658781</v>
      </c>
      <c r="G24" t="s">
        <v>316</v>
      </c>
      <c r="H24" t="n">
        <v>-0.000401345582679516</v>
      </c>
      <c r="I24" t="n">
        <v>-0.00221246458391901</v>
      </c>
      <c r="J24" t="n">
        <v>0.00140977341855997</v>
      </c>
      <c r="K24" t="s">
        <v>391</v>
      </c>
      <c r="L24" t="s">
        <v>318</v>
      </c>
      <c r="M24" t="s">
        <v>376</v>
      </c>
      <c r="N24"/>
    </row>
    <row r="25">
      <c r="A25" t="s">
        <v>81</v>
      </c>
      <c r="B25" t="s">
        <v>315</v>
      </c>
      <c r="C25" t="n">
        <v>550.021822573343</v>
      </c>
      <c r="D25" t="n">
        <v>7.87384045103972</v>
      </c>
      <c r="E25" t="n">
        <v>4879.62694669341</v>
      </c>
      <c r="F25" t="n">
        <v>0</v>
      </c>
      <c r="G25" t="s">
        <v>316</v>
      </c>
      <c r="H25" t="n">
        <v>550.021822573343</v>
      </c>
      <c r="I25" t="n">
        <v>534.589095289305</v>
      </c>
      <c r="J25" t="n">
        <v>565.45454985738</v>
      </c>
      <c r="K25" t="s">
        <v>392</v>
      </c>
      <c r="L25" t="s">
        <v>318</v>
      </c>
      <c r="M25" t="s">
        <v>376</v>
      </c>
      <c r="N25"/>
    </row>
    <row r="26">
      <c r="A26" t="s">
        <v>81</v>
      </c>
      <c r="B26" t="s">
        <v>320</v>
      </c>
      <c r="C26" t="n">
        <v>-12.209238957424</v>
      </c>
      <c r="D26" t="n">
        <v>3.39862092734923</v>
      </c>
      <c r="E26" t="n">
        <v>12.9054078149829</v>
      </c>
      <c r="F26" t="n">
        <v>0.000327634140047883</v>
      </c>
      <c r="G26" t="s">
        <v>316</v>
      </c>
      <c r="H26" t="n">
        <v>-12.209238957424</v>
      </c>
      <c r="I26" t="n">
        <v>-18.8705359750285</v>
      </c>
      <c r="J26" t="n">
        <v>-5.54794193981956</v>
      </c>
      <c r="K26" t="s">
        <v>393</v>
      </c>
      <c r="L26" t="s">
        <v>318</v>
      </c>
      <c r="M26" t="s">
        <v>376</v>
      </c>
      <c r="N26"/>
    </row>
    <row r="27">
      <c r="A27" t="s">
        <v>81</v>
      </c>
      <c r="B27" t="s">
        <v>314</v>
      </c>
      <c r="C27" t="n">
        <v>0.015752054223246</v>
      </c>
      <c r="D27" t="n">
        <v>0.229453562230251</v>
      </c>
      <c r="E27" t="n">
        <v>0.0047128626968202</v>
      </c>
      <c r="F27" t="n">
        <v>0.945267985425254</v>
      </c>
      <c r="G27" t="s">
        <v>316</v>
      </c>
      <c r="H27" t="n">
        <v>0.015752054223246</v>
      </c>
      <c r="I27" t="n">
        <v>-0.433976927748047</v>
      </c>
      <c r="J27" t="n">
        <v>0.465481036194539</v>
      </c>
      <c r="K27" t="s">
        <v>394</v>
      </c>
      <c r="L27" t="s">
        <v>318</v>
      </c>
      <c r="M27" t="s">
        <v>376</v>
      </c>
      <c r="N27"/>
    </row>
    <row r="28">
      <c r="A28" t="s">
        <v>81</v>
      </c>
      <c r="B28" t="s">
        <v>51</v>
      </c>
      <c r="C28" t="n">
        <v>1.03210388651475</v>
      </c>
      <c r="D28" t="n">
        <v>0.77029781431371</v>
      </c>
      <c r="E28" t="n">
        <v>1.79526885127119</v>
      </c>
      <c r="F28" t="n">
        <v>0.180285521674378</v>
      </c>
      <c r="G28" t="s">
        <v>316</v>
      </c>
      <c r="H28" t="n">
        <v>1.03210388651475</v>
      </c>
      <c r="I28" t="n">
        <v>-0.477679829540119</v>
      </c>
      <c r="J28" t="n">
        <v>2.54188760256962</v>
      </c>
      <c r="K28" t="s">
        <v>395</v>
      </c>
      <c r="L28" t="s">
        <v>318</v>
      </c>
      <c r="M28" t="s">
        <v>376</v>
      </c>
      <c r="N28"/>
    </row>
    <row r="29">
      <c r="A29" t="s">
        <v>85</v>
      </c>
      <c r="B29" t="s">
        <v>315</v>
      </c>
      <c r="C29" t="n">
        <v>42.9138386252658</v>
      </c>
      <c r="D29" t="n">
        <v>0.4047199309038</v>
      </c>
      <c r="E29" t="n">
        <v>11243.0862666041</v>
      </c>
      <c r="F29" t="n">
        <v>0</v>
      </c>
      <c r="G29" t="s">
        <v>316</v>
      </c>
      <c r="H29" t="n">
        <v>42.9138386252658</v>
      </c>
      <c r="I29" t="n">
        <v>42.1205875606944</v>
      </c>
      <c r="J29" t="n">
        <v>43.7070896898373</v>
      </c>
      <c r="K29" t="s">
        <v>396</v>
      </c>
      <c r="L29" t="s">
        <v>318</v>
      </c>
      <c r="M29" t="s">
        <v>376</v>
      </c>
      <c r="N29"/>
    </row>
    <row r="30">
      <c r="A30" t="s">
        <v>85</v>
      </c>
      <c r="B30" t="s">
        <v>320</v>
      </c>
      <c r="C30" t="n">
        <v>-0.165465911863828</v>
      </c>
      <c r="D30" t="n">
        <v>0.184611419629228</v>
      </c>
      <c r="E30" t="n">
        <v>0.8033410324176</v>
      </c>
      <c r="F30" t="n">
        <v>0.370096329318124</v>
      </c>
      <c r="G30" t="s">
        <v>316</v>
      </c>
      <c r="H30" t="n">
        <v>-0.165465911863828</v>
      </c>
      <c r="I30" t="n">
        <v>-0.527304294337115</v>
      </c>
      <c r="J30" t="n">
        <v>0.19637247060946</v>
      </c>
      <c r="K30" t="s">
        <v>397</v>
      </c>
      <c r="L30" t="s">
        <v>318</v>
      </c>
      <c r="M30" t="s">
        <v>376</v>
      </c>
      <c r="N30"/>
    </row>
    <row r="31">
      <c r="A31" t="s">
        <v>85</v>
      </c>
      <c r="B31" t="s">
        <v>314</v>
      </c>
      <c r="C31" t="n">
        <v>0.0222705960303013</v>
      </c>
      <c r="D31" t="n">
        <v>0.0119210622813705</v>
      </c>
      <c r="E31" t="n">
        <v>3.49006701837495</v>
      </c>
      <c r="F31" t="n">
        <v>0.0617380854734606</v>
      </c>
      <c r="G31" t="s">
        <v>316</v>
      </c>
      <c r="H31" t="n">
        <v>0.0222705960303013</v>
      </c>
      <c r="I31" t="n">
        <v>-0.00109468604118494</v>
      </c>
      <c r="J31" t="n">
        <v>0.0456358781017875</v>
      </c>
      <c r="K31" t="s">
        <v>398</v>
      </c>
      <c r="L31" t="s">
        <v>318</v>
      </c>
      <c r="M31" t="s">
        <v>376</v>
      </c>
      <c r="N31"/>
    </row>
    <row r="32">
      <c r="A32" t="s">
        <v>85</v>
      </c>
      <c r="B32" t="s">
        <v>51</v>
      </c>
      <c r="C32" t="n">
        <v>0.00425909822786321</v>
      </c>
      <c r="D32" t="n">
        <v>0.0407463476892024</v>
      </c>
      <c r="E32" t="n">
        <v>0.0109259180633049</v>
      </c>
      <c r="F32" t="n">
        <v>0.916751050364381</v>
      </c>
      <c r="G32" t="s">
        <v>316</v>
      </c>
      <c r="H32" t="n">
        <v>0.00425909822786321</v>
      </c>
      <c r="I32" t="n">
        <v>-0.0756037432429734</v>
      </c>
      <c r="J32" t="n">
        <v>0.0841219396986998</v>
      </c>
      <c r="K32" t="s">
        <v>399</v>
      </c>
      <c r="L32" t="s">
        <v>318</v>
      </c>
      <c r="M32" t="s">
        <v>376</v>
      </c>
      <c r="N32"/>
    </row>
    <row r="33">
      <c r="A33" t="s">
        <v>91</v>
      </c>
      <c r="B33"/>
      <c r="C33"/>
      <c r="D33"/>
      <c r="E33"/>
      <c r="F33"/>
      <c r="G33"/>
      <c r="H33"/>
      <c r="I33"/>
      <c r="J33"/>
      <c r="K33"/>
      <c r="L33" t="s">
        <v>336</v>
      </c>
      <c r="M33"/>
      <c r="N33"/>
    </row>
    <row r="34">
      <c r="A34" t="s">
        <v>23</v>
      </c>
      <c r="B34" t="s">
        <v>315</v>
      </c>
      <c r="C34" t="n">
        <v>0.0588464086446737</v>
      </c>
      <c r="D34" t="n">
        <v>0.645269644063635</v>
      </c>
      <c r="E34" t="n">
        <v>0.00831682296730382</v>
      </c>
      <c r="F34" t="n">
        <v>0.927336362930995</v>
      </c>
      <c r="G34" t="s">
        <v>337</v>
      </c>
      <c r="H34" t="n">
        <v>1.0606123273446</v>
      </c>
      <c r="I34" t="n">
        <v>0.299427759641825</v>
      </c>
      <c r="J34" t="n">
        <v>3.75682772452672</v>
      </c>
      <c r="K34" t="s">
        <v>400</v>
      </c>
      <c r="L34" t="s">
        <v>339</v>
      </c>
      <c r="M34" t="s">
        <v>376</v>
      </c>
      <c r="N34"/>
    </row>
    <row r="35">
      <c r="A35" t="s">
        <v>23</v>
      </c>
      <c r="B35" t="s">
        <v>320</v>
      </c>
      <c r="C35" t="n">
        <v>-0.0947448183381521</v>
      </c>
      <c r="D35" t="n">
        <v>0.323696011735572</v>
      </c>
      <c r="E35" t="n">
        <v>0.0856714737519196</v>
      </c>
      <c r="F35" t="n">
        <v>0.769753841600301</v>
      </c>
      <c r="G35" t="s">
        <v>337</v>
      </c>
      <c r="H35" t="n">
        <v>0.909605019375535</v>
      </c>
      <c r="I35" t="n">
        <v>0.482299976158628</v>
      </c>
      <c r="J35" t="n">
        <v>1.71549104742448</v>
      </c>
      <c r="K35" t="s">
        <v>401</v>
      </c>
      <c r="L35" t="s">
        <v>339</v>
      </c>
      <c r="M35" t="s">
        <v>376</v>
      </c>
      <c r="N35"/>
    </row>
    <row r="36">
      <c r="A36" t="s">
        <v>23</v>
      </c>
      <c r="B36" t="s">
        <v>314</v>
      </c>
      <c r="C36" t="n">
        <v>0.00953887425466533</v>
      </c>
      <c r="D36" t="n">
        <v>0.02018312305543</v>
      </c>
      <c r="E36" t="n">
        <v>0.223366228552936</v>
      </c>
      <c r="F36" t="n">
        <v>0.636486904791856</v>
      </c>
      <c r="G36" t="s">
        <v>337</v>
      </c>
      <c r="H36" t="n">
        <v>1.00958451431854</v>
      </c>
      <c r="I36" t="n">
        <v>0.970426079285968</v>
      </c>
      <c r="J36" t="n">
        <v>1.05032306252709</v>
      </c>
      <c r="K36" t="s">
        <v>402</v>
      </c>
      <c r="L36" t="s">
        <v>339</v>
      </c>
      <c r="M36" t="s">
        <v>376</v>
      </c>
      <c r="N36"/>
    </row>
    <row r="37">
      <c r="A37" t="s">
        <v>23</v>
      </c>
      <c r="B37" t="s">
        <v>51</v>
      </c>
      <c r="C37" t="n">
        <v>-0.00144841381642002</v>
      </c>
      <c r="D37" t="n">
        <v>0.0019487872865454</v>
      </c>
      <c r="E37" t="n">
        <v>0.552403526424065</v>
      </c>
      <c r="F37" t="n">
        <v>0.457337274262393</v>
      </c>
      <c r="G37" t="s">
        <v>337</v>
      </c>
      <c r="H37" t="n">
        <v>0.998552634628617</v>
      </c>
      <c r="I37" t="n">
        <v>0.994745814873774</v>
      </c>
      <c r="J37" t="n">
        <v>1.00237402280529</v>
      </c>
      <c r="K37" t="s">
        <v>403</v>
      </c>
      <c r="L37" t="s">
        <v>339</v>
      </c>
      <c r="M37" t="s">
        <v>376</v>
      </c>
      <c r="N37"/>
    </row>
    <row r="38">
      <c r="A38" t="s">
        <v>341</v>
      </c>
      <c r="B38" t="s">
        <v>315</v>
      </c>
      <c r="C38" t="n">
        <v>-3.28346787983579</v>
      </c>
      <c r="D38" t="n">
        <v>0.848880980736252</v>
      </c>
      <c r="E38" t="n">
        <v>14.9613897923358</v>
      </c>
      <c r="F38" t="n">
        <v>0.000109733654337307</v>
      </c>
      <c r="G38" t="s">
        <v>337</v>
      </c>
      <c r="H38" t="n">
        <v>0.0374979925351084</v>
      </c>
      <c r="I38" t="n">
        <v>0.00710274036798798</v>
      </c>
      <c r="J38" t="n">
        <v>0.197965766917278</v>
      </c>
      <c r="K38" t="s">
        <v>404</v>
      </c>
      <c r="L38" t="s">
        <v>339</v>
      </c>
      <c r="M38" t="s">
        <v>376</v>
      </c>
      <c r="N38"/>
    </row>
    <row r="39">
      <c r="A39" t="s">
        <v>341</v>
      </c>
      <c r="B39" t="s">
        <v>320</v>
      </c>
      <c r="C39" t="n">
        <v>-0.834677802698429</v>
      </c>
      <c r="D39" t="n">
        <v>0.409517345215919</v>
      </c>
      <c r="E39" t="n">
        <v>4.15425475743863</v>
      </c>
      <c r="F39" t="n">
        <v>0.04153004543978</v>
      </c>
      <c r="G39" t="s">
        <v>337</v>
      </c>
      <c r="H39" t="n">
        <v>0.434014297143042</v>
      </c>
      <c r="I39" t="n">
        <v>0.194498311086423</v>
      </c>
      <c r="J39" t="n">
        <v>0.968483526013085</v>
      </c>
      <c r="K39" t="s">
        <v>405</v>
      </c>
      <c r="L39" t="s">
        <v>339</v>
      </c>
      <c r="M39" t="s">
        <v>376</v>
      </c>
      <c r="N39"/>
    </row>
    <row r="40">
      <c r="A40" t="s">
        <v>341</v>
      </c>
      <c r="B40" t="s">
        <v>314</v>
      </c>
      <c r="C40" t="n">
        <v>0.0660866424444317</v>
      </c>
      <c r="D40" t="n">
        <v>0.0255476826512287</v>
      </c>
      <c r="E40" t="n">
        <v>6.69151337408503</v>
      </c>
      <c r="F40" t="n">
        <v>0.00968729354517872</v>
      </c>
      <c r="G40" t="s">
        <v>337</v>
      </c>
      <c r="H40" t="n">
        <v>1.06831927494963</v>
      </c>
      <c r="I40" t="n">
        <v>1.01614208259025</v>
      </c>
      <c r="J40" t="n">
        <v>1.12317567866061</v>
      </c>
      <c r="K40" t="s">
        <v>406</v>
      </c>
      <c r="L40" t="s">
        <v>339</v>
      </c>
      <c r="M40" t="s">
        <v>376</v>
      </c>
      <c r="N40"/>
    </row>
    <row r="41">
      <c r="A41" t="s">
        <v>341</v>
      </c>
      <c r="B41" t="s">
        <v>51</v>
      </c>
      <c r="C41" t="n">
        <v>0.000752643050126019</v>
      </c>
      <c r="D41" t="n">
        <v>0.00735021632434798</v>
      </c>
      <c r="E41" t="n">
        <v>0.0104852277796178</v>
      </c>
      <c r="F41" t="n">
        <v>0.918441246345509</v>
      </c>
      <c r="G41" t="s">
        <v>337</v>
      </c>
      <c r="H41" t="n">
        <v>1.00075292635698</v>
      </c>
      <c r="I41" t="n">
        <v>0.986439009129597</v>
      </c>
      <c r="J41" t="n">
        <v>1.01527454849515</v>
      </c>
      <c r="K41" t="s">
        <v>407</v>
      </c>
      <c r="L41" t="s">
        <v>339</v>
      </c>
      <c r="M41" t="s">
        <v>376</v>
      </c>
      <c r="N41"/>
    </row>
    <row r="42">
      <c r="A42" t="s">
        <v>344</v>
      </c>
      <c r="B42"/>
      <c r="C42"/>
      <c r="D42"/>
      <c r="E42"/>
      <c r="F42"/>
      <c r="G42"/>
      <c r="H42"/>
      <c r="I42"/>
      <c r="J42"/>
      <c r="K42"/>
      <c r="L42" t="s">
        <v>345</v>
      </c>
      <c r="M42"/>
      <c r="N42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300</v>
      </c>
    </row>
    <row r="2">
      <c r="A2" t="s">
        <v>301</v>
      </c>
      <c r="B2" t="s">
        <v>302</v>
      </c>
      <c r="C2" t="s">
        <v>303</v>
      </c>
      <c r="D2" t="s">
        <v>304</v>
      </c>
      <c r="E2" t="s">
        <v>305</v>
      </c>
      <c r="F2" t="s">
        <v>306</v>
      </c>
      <c r="G2" t="s">
        <v>307</v>
      </c>
      <c r="H2" t="s">
        <v>308</v>
      </c>
      <c r="I2" t="s">
        <v>309</v>
      </c>
      <c r="J2" t="s">
        <v>310</v>
      </c>
      <c r="K2" t="s">
        <v>311</v>
      </c>
      <c r="L2" t="s">
        <v>312</v>
      </c>
      <c r="M2" t="s">
        <v>313</v>
      </c>
      <c r="N2" t="s">
        <v>1</v>
      </c>
    </row>
    <row r="3">
      <c r="A3" t="s">
        <v>121</v>
      </c>
      <c r="B3" t="s">
        <v>315</v>
      </c>
      <c r="C3" t="n">
        <v>6.51541474758905</v>
      </c>
      <c r="D3" t="n">
        <v>0.0868099934732048</v>
      </c>
      <c r="E3" t="n">
        <v>5633.06400565529</v>
      </c>
      <c r="F3" t="n">
        <v>0</v>
      </c>
      <c r="G3" t="s">
        <v>316</v>
      </c>
      <c r="H3" t="n">
        <v>6.51541474758905</v>
      </c>
      <c r="I3" t="n">
        <v>6.34526716038157</v>
      </c>
      <c r="J3" t="n">
        <v>6.68556233479654</v>
      </c>
      <c r="K3" t="s">
        <v>408</v>
      </c>
      <c r="L3" t="s">
        <v>318</v>
      </c>
      <c r="M3" t="s">
        <v>376</v>
      </c>
      <c r="N3"/>
    </row>
    <row r="4">
      <c r="A4" t="s">
        <v>121</v>
      </c>
      <c r="B4" t="s">
        <v>320</v>
      </c>
      <c r="C4" t="n">
        <v>-0.0252313656772369</v>
      </c>
      <c r="D4" t="n">
        <v>0.0373214965287103</v>
      </c>
      <c r="E4" t="n">
        <v>0.457049687052415</v>
      </c>
      <c r="F4" t="n">
        <v>0.499006043314554</v>
      </c>
      <c r="G4" t="s">
        <v>316</v>
      </c>
      <c r="H4" t="n">
        <v>-0.0252313656772369</v>
      </c>
      <c r="I4" t="n">
        <v>-0.0983814988735091</v>
      </c>
      <c r="J4" t="n">
        <v>0.0479187675190353</v>
      </c>
      <c r="K4" t="s">
        <v>409</v>
      </c>
      <c r="L4" t="s">
        <v>318</v>
      </c>
      <c r="M4" t="s">
        <v>376</v>
      </c>
      <c r="N4"/>
    </row>
    <row r="5">
      <c r="A5" t="s">
        <v>121</v>
      </c>
      <c r="B5" t="s">
        <v>314</v>
      </c>
      <c r="C5" t="n">
        <v>-0.000104570013478446</v>
      </c>
      <c r="D5" t="n">
        <v>0.0024792378654055</v>
      </c>
      <c r="E5" t="n">
        <v>0.00177900814094068</v>
      </c>
      <c r="F5" t="n">
        <v>0.966356569286798</v>
      </c>
      <c r="G5" t="s">
        <v>316</v>
      </c>
      <c r="H5" t="n">
        <v>-0.000104570013478446</v>
      </c>
      <c r="I5" t="n">
        <v>-0.00496387622967322</v>
      </c>
      <c r="J5" t="n">
        <v>0.00475473620271633</v>
      </c>
      <c r="K5" t="s">
        <v>410</v>
      </c>
      <c r="L5" t="s">
        <v>318</v>
      </c>
      <c r="M5" t="s">
        <v>376</v>
      </c>
      <c r="N5"/>
    </row>
    <row r="6">
      <c r="A6" t="s">
        <v>121</v>
      </c>
      <c r="B6" t="s">
        <v>51</v>
      </c>
      <c r="C6" t="n">
        <v>-0.000438857214298905</v>
      </c>
      <c r="D6" t="n">
        <v>0.00841055957084788</v>
      </c>
      <c r="E6" t="n">
        <v>0.0027226806300397</v>
      </c>
      <c r="F6" t="n">
        <v>0.958385816882956</v>
      </c>
      <c r="G6" t="s">
        <v>316</v>
      </c>
      <c r="H6" t="n">
        <v>-0.000438857214298905</v>
      </c>
      <c r="I6" t="n">
        <v>-0.0169235539731607</v>
      </c>
      <c r="J6" t="n">
        <v>0.0160458395445629</v>
      </c>
      <c r="K6" t="s">
        <v>411</v>
      </c>
      <c r="L6" t="s">
        <v>318</v>
      </c>
      <c r="M6" t="s">
        <v>376</v>
      </c>
      <c r="N6"/>
    </row>
    <row r="7">
      <c r="A7" t="s">
        <v>127</v>
      </c>
      <c r="B7" t="s">
        <v>315</v>
      </c>
      <c r="C7" t="n">
        <v>5.05895123298712</v>
      </c>
      <c r="D7" t="n">
        <v>2.09306512279533</v>
      </c>
      <c r="E7" t="n">
        <v>5.84191863407799</v>
      </c>
      <c r="F7" t="n">
        <v>0.0156487535701894</v>
      </c>
      <c r="G7" t="s">
        <v>316</v>
      </c>
      <c r="H7" t="n">
        <v>5.05895123298712</v>
      </c>
      <c r="I7" t="n">
        <v>0.956543592308285</v>
      </c>
      <c r="J7" t="n">
        <v>9.16135887366596</v>
      </c>
      <c r="K7" t="s">
        <v>412</v>
      </c>
      <c r="L7" t="s">
        <v>318</v>
      </c>
      <c r="M7" t="s">
        <v>376</v>
      </c>
      <c r="N7"/>
    </row>
    <row r="8">
      <c r="A8" t="s">
        <v>127</v>
      </c>
      <c r="B8" t="s">
        <v>320</v>
      </c>
      <c r="C8" t="n">
        <v>-0.827305360364509</v>
      </c>
      <c r="D8" t="n">
        <v>0.907057325457771</v>
      </c>
      <c r="E8" t="n">
        <v>0.831882917741119</v>
      </c>
      <c r="F8" t="n">
        <v>0.361728628228672</v>
      </c>
      <c r="G8" t="s">
        <v>316</v>
      </c>
      <c r="H8" t="n">
        <v>-0.827305360364509</v>
      </c>
      <c r="I8" t="n">
        <v>-2.60513771826174</v>
      </c>
      <c r="J8" t="n">
        <v>0.950526997532723</v>
      </c>
      <c r="K8" t="s">
        <v>413</v>
      </c>
      <c r="L8" t="s">
        <v>318</v>
      </c>
      <c r="M8" t="s">
        <v>376</v>
      </c>
      <c r="N8"/>
    </row>
    <row r="9">
      <c r="A9" t="s">
        <v>127</v>
      </c>
      <c r="B9" t="s">
        <v>314</v>
      </c>
      <c r="C9" t="n">
        <v>0.0639754898130058</v>
      </c>
      <c r="D9" t="n">
        <v>0.0616575408283537</v>
      </c>
      <c r="E9" t="n">
        <v>1.07660115383862</v>
      </c>
      <c r="F9" t="n">
        <v>0.299459147241653</v>
      </c>
      <c r="G9" t="s">
        <v>316</v>
      </c>
      <c r="H9" t="n">
        <v>0.0639754898130058</v>
      </c>
      <c r="I9" t="n">
        <v>-0.0568732902105674</v>
      </c>
      <c r="J9" t="n">
        <v>0.184824269836579</v>
      </c>
      <c r="K9" t="s">
        <v>414</v>
      </c>
      <c r="L9" t="s">
        <v>318</v>
      </c>
      <c r="M9" t="s">
        <v>376</v>
      </c>
      <c r="N9"/>
    </row>
    <row r="10">
      <c r="A10" t="s">
        <v>127</v>
      </c>
      <c r="B10" t="s">
        <v>51</v>
      </c>
      <c r="C10" t="n">
        <v>-13.7211928606749</v>
      </c>
      <c r="D10" t="n">
        <v>0.200466859294158</v>
      </c>
      <c r="E10" t="n">
        <v>4684.88100795442</v>
      </c>
      <c r="F10" t="n">
        <v>0</v>
      </c>
      <c r="G10" t="s">
        <v>316</v>
      </c>
      <c r="H10" t="n">
        <v>-13.7211928606749</v>
      </c>
      <c r="I10" t="n">
        <v>-14.1141079048914</v>
      </c>
      <c r="J10" t="n">
        <v>-13.3282778164583</v>
      </c>
      <c r="K10" t="s">
        <v>415</v>
      </c>
      <c r="L10" t="s">
        <v>318</v>
      </c>
      <c r="M10" t="s">
        <v>376</v>
      </c>
      <c r="N10"/>
    </row>
    <row r="11">
      <c r="A11" t="s">
        <v>350</v>
      </c>
      <c r="B11"/>
      <c r="C11"/>
      <c r="D11"/>
      <c r="E11"/>
      <c r="F11"/>
      <c r="G11"/>
      <c r="H11"/>
      <c r="I11"/>
      <c r="J11"/>
      <c r="K11"/>
      <c r="L11" t="s">
        <v>345</v>
      </c>
      <c r="M11"/>
      <c r="N11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300</v>
      </c>
    </row>
    <row r="2">
      <c r="A2" t="s">
        <v>301</v>
      </c>
      <c r="B2" t="s">
        <v>302</v>
      </c>
      <c r="C2" t="s">
        <v>303</v>
      </c>
      <c r="D2" t="s">
        <v>304</v>
      </c>
      <c r="E2" t="s">
        <v>305</v>
      </c>
      <c r="F2" t="s">
        <v>306</v>
      </c>
      <c r="G2" t="s">
        <v>307</v>
      </c>
      <c r="H2" t="s">
        <v>308</v>
      </c>
      <c r="I2" t="s">
        <v>309</v>
      </c>
      <c r="J2" t="s">
        <v>310</v>
      </c>
      <c r="K2" t="s">
        <v>311</v>
      </c>
      <c r="L2" t="s">
        <v>312</v>
      </c>
      <c r="M2" t="s">
        <v>313</v>
      </c>
      <c r="N2" t="s">
        <v>1</v>
      </c>
    </row>
    <row r="3">
      <c r="A3" t="s">
        <v>165</v>
      </c>
      <c r="B3" t="s">
        <v>315</v>
      </c>
      <c r="C3" t="n">
        <v>145.527438268712</v>
      </c>
      <c r="D3" t="n">
        <v>25.7048950884308</v>
      </c>
      <c r="E3" t="n">
        <v>32.0522187178421</v>
      </c>
      <c r="F3" t="n">
        <v>0.0000000150083588890126</v>
      </c>
      <c r="G3" t="s">
        <v>316</v>
      </c>
      <c r="H3" t="n">
        <v>145.527438268712</v>
      </c>
      <c r="I3" t="n">
        <v>95.1458438953874</v>
      </c>
      <c r="J3" t="n">
        <v>195.909032642036</v>
      </c>
      <c r="K3" t="s">
        <v>416</v>
      </c>
      <c r="L3" t="s">
        <v>318</v>
      </c>
      <c r="M3" t="s">
        <v>376</v>
      </c>
      <c r="N3"/>
    </row>
    <row r="4">
      <c r="A4" t="s">
        <v>165</v>
      </c>
      <c r="B4" t="s">
        <v>320</v>
      </c>
      <c r="C4" t="n">
        <v>-17.8731819354122</v>
      </c>
      <c r="D4" t="n">
        <v>10.5496212734465</v>
      </c>
      <c r="E4" t="n">
        <v>2.87031799977288</v>
      </c>
      <c r="F4" t="n">
        <v>0.0902270404370994</v>
      </c>
      <c r="G4" t="s">
        <v>316</v>
      </c>
      <c r="H4" t="n">
        <v>-17.8731819354122</v>
      </c>
      <c r="I4" t="n">
        <v>-38.5504396313675</v>
      </c>
      <c r="J4" t="n">
        <v>2.804075760543</v>
      </c>
      <c r="K4" t="s">
        <v>417</v>
      </c>
      <c r="L4" t="s">
        <v>318</v>
      </c>
      <c r="M4" t="s">
        <v>376</v>
      </c>
      <c r="N4"/>
    </row>
    <row r="5">
      <c r="A5" t="s">
        <v>165</v>
      </c>
      <c r="B5" t="s">
        <v>314</v>
      </c>
      <c r="C5" t="n">
        <v>0.972846218197838</v>
      </c>
      <c r="D5" t="n">
        <v>0.764319732514975</v>
      </c>
      <c r="E5" t="n">
        <v>1.62008666022374</v>
      </c>
      <c r="F5" t="n">
        <v>0.203079704470279</v>
      </c>
      <c r="G5" t="s">
        <v>316</v>
      </c>
      <c r="H5" t="n">
        <v>0.972846218197838</v>
      </c>
      <c r="I5" t="n">
        <v>-0.525220457531513</v>
      </c>
      <c r="J5" t="n">
        <v>2.47091289392719</v>
      </c>
      <c r="K5" t="s">
        <v>418</v>
      </c>
      <c r="L5" t="s">
        <v>318</v>
      </c>
      <c r="M5" t="s">
        <v>376</v>
      </c>
      <c r="N5"/>
    </row>
    <row r="6">
      <c r="A6" t="s">
        <v>165</v>
      </c>
      <c r="B6" t="s">
        <v>51</v>
      </c>
      <c r="C6" t="n">
        <v>-2.2072868680054</v>
      </c>
      <c r="D6" t="n">
        <v>2.47250040205487</v>
      </c>
      <c r="E6" t="n">
        <v>0.796975218101421</v>
      </c>
      <c r="F6" t="n">
        <v>0.371999271065347</v>
      </c>
      <c r="G6" t="s">
        <v>316</v>
      </c>
      <c r="H6" t="n">
        <v>-2.2072868680054</v>
      </c>
      <c r="I6" t="n">
        <v>-7.05338765603295</v>
      </c>
      <c r="J6" t="n">
        <v>2.63881392002216</v>
      </c>
      <c r="K6" t="s">
        <v>419</v>
      </c>
      <c r="L6" t="s">
        <v>318</v>
      </c>
      <c r="M6" t="s">
        <v>376</v>
      </c>
      <c r="N6"/>
    </row>
    <row r="7">
      <c r="A7" t="s">
        <v>173</v>
      </c>
      <c r="B7" t="s">
        <v>315</v>
      </c>
      <c r="C7" t="n">
        <v>0.195519491125419</v>
      </c>
      <c r="D7" t="n">
        <v>0.11213379829258</v>
      </c>
      <c r="E7" t="n">
        <v>3.04023426954364</v>
      </c>
      <c r="F7" t="n">
        <v>0.0812241943848964</v>
      </c>
      <c r="G7" t="s">
        <v>316</v>
      </c>
      <c r="H7" t="n">
        <v>0.195519491125419</v>
      </c>
      <c r="I7" t="n">
        <v>-0.0242627535280372</v>
      </c>
      <c r="J7" t="n">
        <v>0.415301735778875</v>
      </c>
      <c r="K7" t="s">
        <v>420</v>
      </c>
      <c r="L7" t="s">
        <v>318</v>
      </c>
      <c r="M7" t="s">
        <v>376</v>
      </c>
      <c r="N7"/>
    </row>
    <row r="8">
      <c r="A8" t="s">
        <v>173</v>
      </c>
      <c r="B8" t="s">
        <v>320</v>
      </c>
      <c r="C8" t="n">
        <v>-0.174354360033604</v>
      </c>
      <c r="D8" t="n">
        <v>0.0521471946757887</v>
      </c>
      <c r="E8" t="n">
        <v>11.1790197733564</v>
      </c>
      <c r="F8" t="n">
        <v>0.000827274668233624</v>
      </c>
      <c r="G8" t="s">
        <v>316</v>
      </c>
      <c r="H8" t="n">
        <v>-0.174354360033604</v>
      </c>
      <c r="I8" t="n">
        <v>-0.276562861598149</v>
      </c>
      <c r="J8" t="n">
        <v>-0.0721458584690577</v>
      </c>
      <c r="K8" t="s">
        <v>421</v>
      </c>
      <c r="L8" t="s">
        <v>318</v>
      </c>
      <c r="M8" t="s">
        <v>376</v>
      </c>
      <c r="N8"/>
    </row>
    <row r="9">
      <c r="A9" t="s">
        <v>173</v>
      </c>
      <c r="B9" t="s">
        <v>314</v>
      </c>
      <c r="C9" t="n">
        <v>-0.00356235014103674</v>
      </c>
      <c r="D9" t="n">
        <v>0.00324125095145</v>
      </c>
      <c r="E9" t="n">
        <v>1.20794703728272</v>
      </c>
      <c r="F9" t="n">
        <v>0.271739087360881</v>
      </c>
      <c r="G9" t="s">
        <v>316</v>
      </c>
      <c r="H9" t="n">
        <v>-0.00356235014103674</v>
      </c>
      <c r="I9" t="n">
        <v>-0.00991520200587874</v>
      </c>
      <c r="J9" t="n">
        <v>0.00279050172380526</v>
      </c>
      <c r="K9" t="s">
        <v>422</v>
      </c>
      <c r="L9" t="s">
        <v>318</v>
      </c>
      <c r="M9" t="s">
        <v>376</v>
      </c>
      <c r="N9"/>
    </row>
    <row r="10">
      <c r="A10" t="s">
        <v>173</v>
      </c>
      <c r="B10" t="s">
        <v>51</v>
      </c>
      <c r="C10" t="n">
        <v>0.0155554370619225</v>
      </c>
      <c r="D10" t="n">
        <v>0.0101843076992649</v>
      </c>
      <c r="E10" t="n">
        <v>2.33292840827533</v>
      </c>
      <c r="F10" t="n">
        <v>0.126663394811063</v>
      </c>
      <c r="G10" t="s">
        <v>316</v>
      </c>
      <c r="H10" t="n">
        <v>0.0155554370619225</v>
      </c>
      <c r="I10" t="n">
        <v>-0.00440580602863668</v>
      </c>
      <c r="J10" t="n">
        <v>0.0355166801524817</v>
      </c>
      <c r="K10" t="s">
        <v>423</v>
      </c>
      <c r="L10" t="s">
        <v>318</v>
      </c>
      <c r="M10" t="s">
        <v>376</v>
      </c>
      <c r="N10"/>
    </row>
    <row r="11">
      <c r="A11" t="s">
        <v>178</v>
      </c>
      <c r="B11" t="s">
        <v>315</v>
      </c>
      <c r="C11" t="n">
        <v>-0.266223067949649</v>
      </c>
      <c r="D11" t="n">
        <v>0.050885140365239</v>
      </c>
      <c r="E11" t="n">
        <v>27.3721816960288</v>
      </c>
      <c r="F11" t="n">
        <v>0.000000167828223096578</v>
      </c>
      <c r="G11" t="s">
        <v>316</v>
      </c>
      <c r="H11" t="n">
        <v>-0.266223067949649</v>
      </c>
      <c r="I11" t="n">
        <v>-0.365957943065518</v>
      </c>
      <c r="J11" t="n">
        <v>-0.166488192833781</v>
      </c>
      <c r="K11" t="s">
        <v>424</v>
      </c>
      <c r="L11" t="s">
        <v>318</v>
      </c>
      <c r="M11" t="s">
        <v>376</v>
      </c>
      <c r="N11"/>
    </row>
    <row r="12">
      <c r="A12" t="s">
        <v>178</v>
      </c>
      <c r="B12" t="s">
        <v>320</v>
      </c>
      <c r="C12" t="n">
        <v>-0.0112007760524122</v>
      </c>
      <c r="D12" t="n">
        <v>0.0243734972914671</v>
      </c>
      <c r="E12" t="n">
        <v>0.211183765454801</v>
      </c>
      <c r="F12" t="n">
        <v>0.645841158820601</v>
      </c>
      <c r="G12" t="s">
        <v>316</v>
      </c>
      <c r="H12" t="n">
        <v>-0.0112007760524122</v>
      </c>
      <c r="I12" t="n">
        <v>-0.0589728307436877</v>
      </c>
      <c r="J12" t="n">
        <v>0.0365712786388634</v>
      </c>
      <c r="K12" t="s">
        <v>425</v>
      </c>
      <c r="L12" t="s">
        <v>318</v>
      </c>
      <c r="M12" t="s">
        <v>376</v>
      </c>
      <c r="N12"/>
    </row>
    <row r="13">
      <c r="A13" t="s">
        <v>178</v>
      </c>
      <c r="B13" t="s">
        <v>314</v>
      </c>
      <c r="C13" t="n">
        <v>0.00227388470960683</v>
      </c>
      <c r="D13" t="n">
        <v>0.00146956347710184</v>
      </c>
      <c r="E13" t="n">
        <v>2.39419865640264</v>
      </c>
      <c r="F13" t="n">
        <v>0.121786142319565</v>
      </c>
      <c r="G13" t="s">
        <v>316</v>
      </c>
      <c r="H13" t="n">
        <v>0.00227388470960683</v>
      </c>
      <c r="I13" t="n">
        <v>-0.000606459705512766</v>
      </c>
      <c r="J13" t="n">
        <v>0.00515422912472644</v>
      </c>
      <c r="K13" t="s">
        <v>426</v>
      </c>
      <c r="L13" t="s">
        <v>318</v>
      </c>
      <c r="M13" t="s">
        <v>376</v>
      </c>
      <c r="N13"/>
    </row>
    <row r="14">
      <c r="A14" t="s">
        <v>178</v>
      </c>
      <c r="B14" t="s">
        <v>51</v>
      </c>
      <c r="C14" t="n">
        <v>0.00545957728130596</v>
      </c>
      <c r="D14" t="n">
        <v>0.00488654949359615</v>
      </c>
      <c r="E14" t="n">
        <v>1.24828408060946</v>
      </c>
      <c r="F14" t="n">
        <v>0.263880461803965</v>
      </c>
      <c r="G14" t="s">
        <v>316</v>
      </c>
      <c r="H14" t="n">
        <v>0.00545957728130596</v>
      </c>
      <c r="I14" t="n">
        <v>-0.00411805972614248</v>
      </c>
      <c r="J14" t="n">
        <v>0.0150372142887544</v>
      </c>
      <c r="K14" t="s">
        <v>427</v>
      </c>
      <c r="L14" t="s">
        <v>318</v>
      </c>
      <c r="M14" t="s">
        <v>376</v>
      </c>
      <c r="N14"/>
    </row>
    <row r="15">
      <c r="A15" t="s">
        <v>186</v>
      </c>
      <c r="B15" t="s">
        <v>315</v>
      </c>
      <c r="C15" t="n">
        <v>-0.0215774020510447</v>
      </c>
      <c r="D15" t="n">
        <v>0.0160513265860109</v>
      </c>
      <c r="E15" t="n">
        <v>1.80707611388672</v>
      </c>
      <c r="F15" t="n">
        <v>0.178859375911015</v>
      </c>
      <c r="G15" t="s">
        <v>316</v>
      </c>
      <c r="H15" t="n">
        <v>-0.0215774020510447</v>
      </c>
      <c r="I15" t="n">
        <v>-0.0530380021596261</v>
      </c>
      <c r="J15" t="n">
        <v>0.00988319805753671</v>
      </c>
      <c r="K15" t="s">
        <v>428</v>
      </c>
      <c r="L15" t="s">
        <v>318</v>
      </c>
      <c r="M15" t="s">
        <v>376</v>
      </c>
      <c r="N15"/>
    </row>
    <row r="16">
      <c r="A16" t="s">
        <v>186</v>
      </c>
      <c r="B16" t="s">
        <v>320</v>
      </c>
      <c r="C16" t="n">
        <v>0.0513539087413671</v>
      </c>
      <c r="D16" t="n">
        <v>0.00688088526511458</v>
      </c>
      <c r="E16" t="n">
        <v>55.7004081361686</v>
      </c>
      <c r="F16" t="n">
        <v>0.0000000000000843769498715119</v>
      </c>
      <c r="G16" t="s">
        <v>316</v>
      </c>
      <c r="H16" t="n">
        <v>0.0513539087413671</v>
      </c>
      <c r="I16" t="n">
        <v>0.0378673736217425</v>
      </c>
      <c r="J16" t="n">
        <v>0.0648404438609916</v>
      </c>
      <c r="K16" t="s">
        <v>429</v>
      </c>
      <c r="L16" t="s">
        <v>318</v>
      </c>
      <c r="M16" t="s">
        <v>376</v>
      </c>
      <c r="N16"/>
    </row>
    <row r="17">
      <c r="A17" t="s">
        <v>186</v>
      </c>
      <c r="B17" t="s">
        <v>314</v>
      </c>
      <c r="C17" t="n">
        <v>0.000481167575000376</v>
      </c>
      <c r="D17" t="n">
        <v>0.000466118551339053</v>
      </c>
      <c r="E17" t="n">
        <v>1.06561403195279</v>
      </c>
      <c r="F17" t="n">
        <v>0.301938237818313</v>
      </c>
      <c r="G17" t="s">
        <v>316</v>
      </c>
      <c r="H17" t="n">
        <v>0.000481167575000376</v>
      </c>
      <c r="I17" t="n">
        <v>-0.000432424785624168</v>
      </c>
      <c r="J17" t="n">
        <v>0.00139475993562492</v>
      </c>
      <c r="K17" t="s">
        <v>390</v>
      </c>
      <c r="L17" t="s">
        <v>318</v>
      </c>
      <c r="M17" t="s">
        <v>376</v>
      </c>
      <c r="N17"/>
    </row>
    <row r="18">
      <c r="A18" t="s">
        <v>186</v>
      </c>
      <c r="B18" t="s">
        <v>51</v>
      </c>
      <c r="C18" t="n">
        <v>-0.0013124710832986</v>
      </c>
      <c r="D18" t="n">
        <v>0.0015477798842608</v>
      </c>
      <c r="E18" t="n">
        <v>0.719053312478607</v>
      </c>
      <c r="F18" t="n">
        <v>0.396454615470556</v>
      </c>
      <c r="G18" t="s">
        <v>316</v>
      </c>
      <c r="H18" t="n">
        <v>-0.0013124710832986</v>
      </c>
      <c r="I18" t="n">
        <v>-0.00434611965644978</v>
      </c>
      <c r="J18" t="n">
        <v>0.00172117748985257</v>
      </c>
      <c r="K18" t="s">
        <v>430</v>
      </c>
      <c r="L18" t="s">
        <v>318</v>
      </c>
      <c r="M18" t="s">
        <v>376</v>
      </c>
      <c r="N18"/>
    </row>
    <row r="19">
      <c r="A19" t="s">
        <v>191</v>
      </c>
      <c r="B19" t="s">
        <v>315</v>
      </c>
      <c r="C19" t="n">
        <v>-0.0186376617050314</v>
      </c>
      <c r="D19" t="n">
        <v>0.0107671266392067</v>
      </c>
      <c r="E19" t="n">
        <v>2.99628559830175</v>
      </c>
      <c r="F19" t="n">
        <v>0.0834556491308406</v>
      </c>
      <c r="G19" t="s">
        <v>316</v>
      </c>
      <c r="H19" t="n">
        <v>-0.0186376617050314</v>
      </c>
      <c r="I19" t="n">
        <v>-0.0397412299178766</v>
      </c>
      <c r="J19" t="n">
        <v>0.00246590650781376</v>
      </c>
      <c r="K19" t="s">
        <v>431</v>
      </c>
      <c r="L19" t="s">
        <v>318</v>
      </c>
      <c r="M19" t="s">
        <v>376</v>
      </c>
      <c r="N19"/>
    </row>
    <row r="20">
      <c r="A20" t="s">
        <v>191</v>
      </c>
      <c r="B20" t="s">
        <v>320</v>
      </c>
      <c r="C20" t="n">
        <v>0.00630662756103005</v>
      </c>
      <c r="D20" t="n">
        <v>0.00462705762431078</v>
      </c>
      <c r="E20" t="n">
        <v>1.85773837592395</v>
      </c>
      <c r="F20" t="n">
        <v>0.172886051179593</v>
      </c>
      <c r="G20" t="s">
        <v>316</v>
      </c>
      <c r="H20" t="n">
        <v>0.00630662756103005</v>
      </c>
      <c r="I20" t="n">
        <v>-0.00276240538261909</v>
      </c>
      <c r="J20" t="n">
        <v>0.0153756605046792</v>
      </c>
      <c r="K20" t="s">
        <v>432</v>
      </c>
      <c r="L20" t="s">
        <v>318</v>
      </c>
      <c r="M20" t="s">
        <v>376</v>
      </c>
      <c r="N20"/>
    </row>
    <row r="21">
      <c r="A21" t="s">
        <v>191</v>
      </c>
      <c r="B21" t="s">
        <v>314</v>
      </c>
      <c r="C21" t="n">
        <v>0.0000801709349202918</v>
      </c>
      <c r="D21" t="n">
        <v>0.000297128057111113</v>
      </c>
      <c r="E21" t="n">
        <v>0.0728025464427361</v>
      </c>
      <c r="F21" t="n">
        <v>0.78729914321494</v>
      </c>
      <c r="G21" t="s">
        <v>316</v>
      </c>
      <c r="H21" t="n">
        <v>0.0000801709349202918</v>
      </c>
      <c r="I21" t="n">
        <v>-0.000502200057017489</v>
      </c>
      <c r="J21" t="n">
        <v>0.000662541926858072</v>
      </c>
      <c r="K21" t="s">
        <v>433</v>
      </c>
      <c r="L21" t="s">
        <v>318</v>
      </c>
      <c r="M21" t="s">
        <v>376</v>
      </c>
      <c r="N21"/>
    </row>
    <row r="22">
      <c r="A22" t="s">
        <v>191</v>
      </c>
      <c r="B22" t="s">
        <v>51</v>
      </c>
      <c r="C22" t="n">
        <v>-0.000444455013838537</v>
      </c>
      <c r="D22" t="n">
        <v>0.00110146677842417</v>
      </c>
      <c r="E22" t="n">
        <v>0.162821898347429</v>
      </c>
      <c r="F22" t="n">
        <v>0.686571641318155</v>
      </c>
      <c r="G22" t="s">
        <v>316</v>
      </c>
      <c r="H22" t="n">
        <v>-0.000444455013838537</v>
      </c>
      <c r="I22" t="n">
        <v>-0.00260332989954991</v>
      </c>
      <c r="J22" t="n">
        <v>0.00171441987187283</v>
      </c>
      <c r="K22" t="s">
        <v>434</v>
      </c>
      <c r="L22" t="s">
        <v>318</v>
      </c>
      <c r="M22" t="s">
        <v>376</v>
      </c>
      <c r="N22"/>
    </row>
    <row r="23">
      <c r="A23" t="s">
        <v>197</v>
      </c>
      <c r="B23"/>
      <c r="C23"/>
      <c r="D23"/>
      <c r="E23"/>
      <c r="F23"/>
      <c r="G23"/>
      <c r="H23"/>
      <c r="I23"/>
      <c r="J23"/>
      <c r="K23"/>
      <c r="L23" t="s">
        <v>336</v>
      </c>
      <c r="M23"/>
      <c r="N23"/>
    </row>
    <row r="24">
      <c r="A24" t="s">
        <v>200</v>
      </c>
      <c r="B24"/>
      <c r="C24"/>
      <c r="D24"/>
      <c r="E24"/>
      <c r="F24"/>
      <c r="G24"/>
      <c r="H24"/>
      <c r="I24"/>
      <c r="J24"/>
      <c r="K24"/>
      <c r="L24" t="s">
        <v>336</v>
      </c>
      <c r="M24"/>
      <c r="N24"/>
    </row>
    <row r="25">
      <c r="A25" t="s">
        <v>361</v>
      </c>
      <c r="B25" t="s">
        <v>315</v>
      </c>
      <c r="C25" t="n">
        <v>-1.89479424929538</v>
      </c>
      <c r="D25" t="n">
        <v>0.655086573302027</v>
      </c>
      <c r="E25" t="n">
        <v>8.36617066246327</v>
      </c>
      <c r="F25" t="n">
        <v>0.00382270284203889</v>
      </c>
      <c r="G25" t="s">
        <v>337</v>
      </c>
      <c r="H25" t="n">
        <v>0.150349266331711</v>
      </c>
      <c r="I25" t="n">
        <v>0.0416370895601578</v>
      </c>
      <c r="J25" t="n">
        <v>0.542903025290079</v>
      </c>
      <c r="K25" t="s">
        <v>435</v>
      </c>
      <c r="L25" t="s">
        <v>339</v>
      </c>
      <c r="M25" t="s">
        <v>376</v>
      </c>
      <c r="N25"/>
    </row>
    <row r="26">
      <c r="A26" t="s">
        <v>361</v>
      </c>
      <c r="B26" t="s">
        <v>320</v>
      </c>
      <c r="C26" t="n">
        <v>0.943702472384153</v>
      </c>
      <c r="D26" t="n">
        <v>0.291805822083879</v>
      </c>
      <c r="E26" t="n">
        <v>10.458810167157</v>
      </c>
      <c r="F26" t="n">
        <v>0.00122065876207866</v>
      </c>
      <c r="G26" t="s">
        <v>337</v>
      </c>
      <c r="H26" t="n">
        <v>2.56947724700867</v>
      </c>
      <c r="I26" t="n">
        <v>1.45028931062599</v>
      </c>
      <c r="J26" t="n">
        <v>4.55234226338297</v>
      </c>
      <c r="K26" t="s">
        <v>436</v>
      </c>
      <c r="L26" t="s">
        <v>339</v>
      </c>
      <c r="M26" t="s">
        <v>376</v>
      </c>
      <c r="N26"/>
    </row>
    <row r="27">
      <c r="A27" t="s">
        <v>361</v>
      </c>
      <c r="B27" t="s">
        <v>314</v>
      </c>
      <c r="C27" t="n">
        <v>0.00450716437055025</v>
      </c>
      <c r="D27" t="n">
        <v>0.0197096594716166</v>
      </c>
      <c r="E27" t="n">
        <v>0.0522936012747743</v>
      </c>
      <c r="F27" t="n">
        <v>0.819119240071321</v>
      </c>
      <c r="G27" t="s">
        <v>337</v>
      </c>
      <c r="H27" t="n">
        <v>1.00451733691325</v>
      </c>
      <c r="I27" t="n">
        <v>0.966451881231121</v>
      </c>
      <c r="J27" t="n">
        <v>1.04408206942894</v>
      </c>
      <c r="K27" t="s">
        <v>437</v>
      </c>
      <c r="L27" t="s">
        <v>339</v>
      </c>
      <c r="M27" t="s">
        <v>376</v>
      </c>
      <c r="N27"/>
    </row>
    <row r="28">
      <c r="A28" t="s">
        <v>361</v>
      </c>
      <c r="B28" t="s">
        <v>51</v>
      </c>
      <c r="C28" t="n">
        <v>-0.0228385146506643</v>
      </c>
      <c r="D28" t="n">
        <v>0.0676111288955532</v>
      </c>
      <c r="E28" t="n">
        <v>0.114103597125502</v>
      </c>
      <c r="F28" t="n">
        <v>0.735519758420903</v>
      </c>
      <c r="G28" t="s">
        <v>337</v>
      </c>
      <c r="H28" t="n">
        <v>0.977420310089838</v>
      </c>
      <c r="I28" t="n">
        <v>0.856110067750465</v>
      </c>
      <c r="J28" t="n">
        <v>1.11592013523029</v>
      </c>
      <c r="K28" t="s">
        <v>438</v>
      </c>
      <c r="L28" t="s">
        <v>339</v>
      </c>
      <c r="M28" t="s">
        <v>376</v>
      </c>
      <c r="N28"/>
    </row>
    <row r="29">
      <c r="A29" t="s">
        <v>364</v>
      </c>
      <c r="B29" t="s">
        <v>315</v>
      </c>
      <c r="C29" t="n">
        <v>-8.42826605842104</v>
      </c>
      <c r="D29" t="n">
        <v>1.82450402770312</v>
      </c>
      <c r="E29" t="n">
        <v>21.3396268282538</v>
      </c>
      <c r="F29" t="n">
        <v>0.00000384696665667317</v>
      </c>
      <c r="G29" t="s">
        <v>337</v>
      </c>
      <c r="H29" t="n">
        <v>0.000218600201942947</v>
      </c>
      <c r="I29" t="n">
        <v>0.00000611788595858424</v>
      </c>
      <c r="J29" t="n">
        <v>0.00781087594848786</v>
      </c>
      <c r="K29" t="s">
        <v>439</v>
      </c>
      <c r="L29" t="s">
        <v>339</v>
      </c>
      <c r="M29" t="s">
        <v>376</v>
      </c>
      <c r="N29"/>
    </row>
    <row r="30">
      <c r="A30" t="s">
        <v>364</v>
      </c>
      <c r="B30" t="s">
        <v>320</v>
      </c>
      <c r="C30" t="n">
        <v>-0.0701437814934282</v>
      </c>
      <c r="D30" t="n">
        <v>0.542363867759959</v>
      </c>
      <c r="E30" t="n">
        <v>0.0167261833131927</v>
      </c>
      <c r="F30" t="n">
        <v>0.897096734830885</v>
      </c>
      <c r="G30" t="s">
        <v>337</v>
      </c>
      <c r="H30" t="n">
        <v>0.932259768567341</v>
      </c>
      <c r="I30" t="n">
        <v>0.322008620420788</v>
      </c>
      <c r="J30" t="n">
        <v>2.69902176827911</v>
      </c>
      <c r="K30" t="s">
        <v>440</v>
      </c>
      <c r="L30" t="s">
        <v>339</v>
      </c>
      <c r="M30" t="s">
        <v>376</v>
      </c>
      <c r="N30"/>
    </row>
    <row r="31">
      <c r="A31" t="s">
        <v>364</v>
      </c>
      <c r="B31" t="s">
        <v>314</v>
      </c>
      <c r="C31" t="n">
        <v>0.131783816070665</v>
      </c>
      <c r="D31" t="n">
        <v>0.0441313586463362</v>
      </c>
      <c r="E31" t="n">
        <v>8.91722166526376</v>
      </c>
      <c r="F31" t="n">
        <v>0.00282493943966478</v>
      </c>
      <c r="G31" t="s">
        <v>337</v>
      </c>
      <c r="H31" t="n">
        <v>1.14086165665019</v>
      </c>
      <c r="I31" t="n">
        <v>1.04632743614428</v>
      </c>
      <c r="J31" t="n">
        <v>1.2439369117672</v>
      </c>
      <c r="K31" t="s">
        <v>441</v>
      </c>
      <c r="L31" t="s">
        <v>339</v>
      </c>
      <c r="M31" t="s">
        <v>376</v>
      </c>
      <c r="N31"/>
    </row>
    <row r="32">
      <c r="A32" t="s">
        <v>364</v>
      </c>
      <c r="B32" t="s">
        <v>51</v>
      </c>
      <c r="C32" t="n">
        <v>-0.148573408898778</v>
      </c>
      <c r="D32" t="n">
        <v>0.138570055616706</v>
      </c>
      <c r="E32" t="n">
        <v>1.14959110156476</v>
      </c>
      <c r="F32" t="n">
        <v>0.283634762729044</v>
      </c>
      <c r="G32" t="s">
        <v>337</v>
      </c>
      <c r="H32" t="n">
        <v>0.86193673102177</v>
      </c>
      <c r="I32" t="n">
        <v>0.656934659730973</v>
      </c>
      <c r="J32" t="n">
        <v>1.1309114495325</v>
      </c>
      <c r="K32" t="s">
        <v>442</v>
      </c>
      <c r="L32" t="s">
        <v>339</v>
      </c>
      <c r="M32" t="s">
        <v>376</v>
      </c>
      <c r="N32"/>
    </row>
    <row r="33">
      <c r="A33" t="s">
        <v>367</v>
      </c>
      <c r="B33"/>
      <c r="C33"/>
      <c r="D33"/>
      <c r="E33"/>
      <c r="F33"/>
      <c r="G33"/>
      <c r="H33"/>
      <c r="I33"/>
      <c r="J33"/>
      <c r="K33"/>
      <c r="L33" t="s">
        <v>345</v>
      </c>
      <c r="M33"/>
      <c r="N3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9" t="s">
        <v>443</v>
      </c>
    </row>
    <row r="3">
      <c r="A3" s="1" t="s">
        <v>444</v>
      </c>
    </row>
    <row r="4">
      <c r="A4" t="s">
        <v>301</v>
      </c>
      <c r="B4" t="s">
        <v>445</v>
      </c>
      <c r="C4" t="s">
        <v>163</v>
      </c>
      <c r="D4" t="s">
        <v>446</v>
      </c>
      <c r="E4" t="s">
        <v>144</v>
      </c>
      <c r="F4" t="s">
        <v>1</v>
      </c>
    </row>
    <row r="5">
      <c r="A5" t="s">
        <v>165</v>
      </c>
      <c r="B5" t="s">
        <v>447</v>
      </c>
      <c r="C5" t="s">
        <v>171</v>
      </c>
      <c r="D5" t="s">
        <v>172</v>
      </c>
      <c r="E5" t="s">
        <v>448</v>
      </c>
      <c r="F5" t="s">
        <v>96</v>
      </c>
    </row>
    <row r="6">
      <c r="A6" t="s">
        <v>173</v>
      </c>
      <c r="B6" t="s">
        <v>447</v>
      </c>
      <c r="C6" t="s">
        <v>177</v>
      </c>
      <c r="D6" t="s">
        <v>47</v>
      </c>
      <c r="E6" t="s">
        <v>448</v>
      </c>
      <c r="F6" t="s">
        <v>96</v>
      </c>
    </row>
    <row r="7">
      <c r="A7" t="s">
        <v>178</v>
      </c>
      <c r="B7" t="s">
        <v>447</v>
      </c>
      <c r="C7" t="s">
        <v>184</v>
      </c>
      <c r="D7" t="s">
        <v>185</v>
      </c>
      <c r="E7" t="s">
        <v>448</v>
      </c>
      <c r="F7" t="s">
        <v>96</v>
      </c>
    </row>
    <row r="8">
      <c r="A8" t="s">
        <v>186</v>
      </c>
      <c r="B8" t="s">
        <v>447</v>
      </c>
      <c r="C8" t="s">
        <v>190</v>
      </c>
      <c r="D8" t="s">
        <v>47</v>
      </c>
      <c r="E8" t="s">
        <v>448</v>
      </c>
      <c r="F8" t="s">
        <v>96</v>
      </c>
    </row>
    <row r="9">
      <c r="A9" t="s">
        <v>191</v>
      </c>
      <c r="B9" t="s">
        <v>447</v>
      </c>
      <c r="C9" t="s">
        <v>196</v>
      </c>
      <c r="D9" t="s">
        <v>193</v>
      </c>
      <c r="E9" t="s">
        <v>448</v>
      </c>
      <c r="F9" t="s">
        <v>96</v>
      </c>
    </row>
    <row r="10">
      <c r="A10" t="s">
        <v>197</v>
      </c>
      <c r="B10" t="s">
        <v>96</v>
      </c>
      <c r="C10" t="s">
        <v>96</v>
      </c>
      <c r="D10" t="s">
        <v>96</v>
      </c>
      <c r="E10"/>
      <c r="F10" t="s">
        <v>449</v>
      </c>
    </row>
    <row r="11">
      <c r="A11" t="s">
        <v>200</v>
      </c>
      <c r="B11" t="s">
        <v>96</v>
      </c>
      <c r="C11" t="s">
        <v>96</v>
      </c>
      <c r="D11" t="s">
        <v>96</v>
      </c>
      <c r="E11"/>
      <c r="F11" t="s">
        <v>449</v>
      </c>
    </row>
    <row r="12">
      <c r="A12" t="s">
        <v>361</v>
      </c>
      <c r="B12" t="s">
        <v>447</v>
      </c>
      <c r="C12" t="s">
        <v>208</v>
      </c>
      <c r="D12" t="s">
        <v>209</v>
      </c>
      <c r="E12" t="s">
        <v>450</v>
      </c>
      <c r="F12" t="s">
        <v>96</v>
      </c>
    </row>
    <row r="13">
      <c r="A13" t="s">
        <v>364</v>
      </c>
      <c r="B13" t="s">
        <v>447</v>
      </c>
      <c r="C13" t="s">
        <v>216</v>
      </c>
      <c r="D13" t="s">
        <v>217</v>
      </c>
      <c r="E13" t="s">
        <v>451</v>
      </c>
      <c r="F13" t="s">
        <v>452</v>
      </c>
    </row>
    <row r="14">
      <c r="A14" t="s">
        <v>367</v>
      </c>
      <c r="B14" t="s">
        <v>96</v>
      </c>
      <c r="C14" t="s">
        <v>96</v>
      </c>
      <c r="D14" t="s">
        <v>96</v>
      </c>
      <c r="E14"/>
      <c r="F14" t="s">
        <v>453</v>
      </c>
    </row>
    <row r="16">
      <c r="A16" s="1" t="s">
        <v>454</v>
      </c>
    </row>
    <row r="17">
      <c r="A17" t="s">
        <v>301</v>
      </c>
      <c r="B17" t="s">
        <v>302</v>
      </c>
      <c r="C17" t="s">
        <v>303</v>
      </c>
      <c r="D17" t="s">
        <v>304</v>
      </c>
      <c r="E17" t="s">
        <v>305</v>
      </c>
      <c r="F17" t="s">
        <v>306</v>
      </c>
      <c r="G17" t="s">
        <v>307</v>
      </c>
      <c r="H17" t="s">
        <v>308</v>
      </c>
      <c r="I17" t="s">
        <v>309</v>
      </c>
      <c r="J17" t="s">
        <v>310</v>
      </c>
      <c r="K17" t="s">
        <v>311</v>
      </c>
      <c r="L17" t="s">
        <v>312</v>
      </c>
    </row>
    <row r="18">
      <c r="A18" t="s">
        <v>165</v>
      </c>
      <c r="B18" t="s">
        <v>315</v>
      </c>
      <c r="C18" t="n">
        <v>136.161625609461</v>
      </c>
      <c r="D18" t="n">
        <v>106.10443987198</v>
      </c>
      <c r="E18" t="n">
        <v>1.64680562353592</v>
      </c>
      <c r="F18" t="n">
        <v>0.199394261015821</v>
      </c>
      <c r="G18" t="s">
        <v>316</v>
      </c>
      <c r="H18" t="n">
        <v>136.161625609461</v>
      </c>
      <c r="I18" t="n">
        <v>-71.803076539619</v>
      </c>
      <c r="J18" t="n">
        <v>344.126327758542</v>
      </c>
      <c r="K18" t="s">
        <v>455</v>
      </c>
      <c r="L18" t="s">
        <v>456</v>
      </c>
    </row>
    <row r="19">
      <c r="A19" t="s">
        <v>165</v>
      </c>
      <c r="B19" t="s">
        <v>320</v>
      </c>
      <c r="C19" t="n">
        <v>-16.4753575699176</v>
      </c>
      <c r="D19" t="n">
        <v>10.7331179347144</v>
      </c>
      <c r="E19" t="n">
        <v>2.35623116114028</v>
      </c>
      <c r="F19" t="n">
        <v>0.124783335075532</v>
      </c>
      <c r="G19" t="s">
        <v>316</v>
      </c>
      <c r="H19" t="n">
        <v>-16.4753575699176</v>
      </c>
      <c r="I19" t="n">
        <v>-37.5122687219578</v>
      </c>
      <c r="J19" t="n">
        <v>4.56155358212269</v>
      </c>
      <c r="K19" t="s">
        <v>457</v>
      </c>
      <c r="L19" t="s">
        <v>456</v>
      </c>
    </row>
    <row r="20">
      <c r="A20" t="s">
        <v>165</v>
      </c>
      <c r="B20" t="s">
        <v>314</v>
      </c>
      <c r="C20" t="n">
        <v>1.01660590848435</v>
      </c>
      <c r="D20" t="n">
        <v>0.786917112686303</v>
      </c>
      <c r="E20" t="n">
        <v>1.66896519300821</v>
      </c>
      <c r="F20" t="n">
        <v>0.196397195660486</v>
      </c>
      <c r="G20" t="s">
        <v>316</v>
      </c>
      <c r="H20" t="n">
        <v>1.01660590848435</v>
      </c>
      <c r="I20" t="n">
        <v>-0.525751632380809</v>
      </c>
      <c r="J20" t="n">
        <v>2.5589634493495</v>
      </c>
      <c r="K20" t="s">
        <v>458</v>
      </c>
      <c r="L20" t="s">
        <v>456</v>
      </c>
    </row>
    <row r="21">
      <c r="A21" t="s">
        <v>165</v>
      </c>
      <c r="B21" t="s">
        <v>51</v>
      </c>
      <c r="C21" t="n">
        <v>-1.76192693781753</v>
      </c>
      <c r="D21" t="n">
        <v>2.35667333121908</v>
      </c>
      <c r="E21" t="n">
        <v>0.558955220181186</v>
      </c>
      <c r="F21" t="n">
        <v>0.454681506749891</v>
      </c>
      <c r="G21" t="s">
        <v>316</v>
      </c>
      <c r="H21" t="n">
        <v>-1.76192693781753</v>
      </c>
      <c r="I21" t="n">
        <v>-6.38100666700692</v>
      </c>
      <c r="J21" t="n">
        <v>2.85715279137187</v>
      </c>
      <c r="K21" t="s">
        <v>459</v>
      </c>
      <c r="L21" t="s">
        <v>456</v>
      </c>
    </row>
    <row r="22">
      <c r="A22" t="s">
        <v>165</v>
      </c>
      <c r="B22" t="s">
        <v>81</v>
      </c>
      <c r="C22" t="n">
        <v>0.0191023763299574</v>
      </c>
      <c r="D22" t="n">
        <v>0.186882271753462</v>
      </c>
      <c r="E22" t="n">
        <v>0.0104481303905522</v>
      </c>
      <c r="F22" t="n">
        <v>0.918585151489215</v>
      </c>
      <c r="G22" t="s">
        <v>316</v>
      </c>
      <c r="H22" t="n">
        <v>0.0191023763299574</v>
      </c>
      <c r="I22" t="n">
        <v>-0.347186876306827</v>
      </c>
      <c r="J22" t="n">
        <v>0.385391628966742</v>
      </c>
      <c r="K22" t="s">
        <v>460</v>
      </c>
      <c r="L22" t="s">
        <v>456</v>
      </c>
    </row>
    <row r="23">
      <c r="A23" t="s">
        <v>173</v>
      </c>
      <c r="B23" t="s">
        <v>315</v>
      </c>
      <c r="C23" t="n">
        <v>0.792018955894599</v>
      </c>
      <c r="D23" t="n">
        <v>0.434339901424483</v>
      </c>
      <c r="E23" t="n">
        <v>3.3251534729474</v>
      </c>
      <c r="F23" t="n">
        <v>0.0682276463327391</v>
      </c>
      <c r="G23" t="s">
        <v>316</v>
      </c>
      <c r="H23" t="n">
        <v>0.792018955894599</v>
      </c>
      <c r="I23" t="n">
        <v>-0.059287250897388</v>
      </c>
      <c r="J23" t="n">
        <v>1.64332516268659</v>
      </c>
      <c r="K23" t="s">
        <v>461</v>
      </c>
      <c r="L23" t="s">
        <v>456</v>
      </c>
    </row>
    <row r="24">
      <c r="A24" t="s">
        <v>173</v>
      </c>
      <c r="B24" t="s">
        <v>320</v>
      </c>
      <c r="C24" t="n">
        <v>-0.19021810132078</v>
      </c>
      <c r="D24" t="n">
        <v>0.0530863237754558</v>
      </c>
      <c r="E24" t="n">
        <v>12.8392123498821</v>
      </c>
      <c r="F24" t="n">
        <v>0.000339430464248114</v>
      </c>
      <c r="G24" t="s">
        <v>316</v>
      </c>
      <c r="H24" t="n">
        <v>-0.19021810132078</v>
      </c>
      <c r="I24" t="n">
        <v>-0.294267295920673</v>
      </c>
      <c r="J24" t="n">
        <v>-0.0861689067208868</v>
      </c>
      <c r="K24" t="s">
        <v>462</v>
      </c>
      <c r="L24" t="s">
        <v>456</v>
      </c>
    </row>
    <row r="25">
      <c r="A25" t="s">
        <v>173</v>
      </c>
      <c r="B25" t="s">
        <v>314</v>
      </c>
      <c r="C25" t="n">
        <v>-0.00389985600994183</v>
      </c>
      <c r="D25" t="n">
        <v>0.00345568949195175</v>
      </c>
      <c r="E25" t="n">
        <v>1.27358436804584</v>
      </c>
      <c r="F25" t="n">
        <v>0.25909533038281</v>
      </c>
      <c r="G25" t="s">
        <v>316</v>
      </c>
      <c r="H25" t="n">
        <v>-0.00389985600994183</v>
      </c>
      <c r="I25" t="n">
        <v>-0.0106730074141673</v>
      </c>
      <c r="J25" t="n">
        <v>0.00287329539428361</v>
      </c>
      <c r="K25" t="s">
        <v>463</v>
      </c>
      <c r="L25" t="s">
        <v>456</v>
      </c>
    </row>
    <row r="26">
      <c r="A26" t="s">
        <v>173</v>
      </c>
      <c r="B26" t="s">
        <v>51</v>
      </c>
      <c r="C26" t="n">
        <v>0.0145278830619712</v>
      </c>
      <c r="D26" t="n">
        <v>0.0104575070543169</v>
      </c>
      <c r="E26" t="n">
        <v>1.92996013554989</v>
      </c>
      <c r="F26" t="n">
        <v>0.164762806330916</v>
      </c>
      <c r="G26" t="s">
        <v>316</v>
      </c>
      <c r="H26" t="n">
        <v>0.0145278830619712</v>
      </c>
      <c r="I26" t="n">
        <v>-0.00596883076448991</v>
      </c>
      <c r="J26" t="n">
        <v>0.0350245968884323</v>
      </c>
      <c r="K26" t="s">
        <v>464</v>
      </c>
      <c r="L26" t="s">
        <v>456</v>
      </c>
    </row>
    <row r="27">
      <c r="A27" t="s">
        <v>173</v>
      </c>
      <c r="B27" t="s">
        <v>81</v>
      </c>
      <c r="C27" t="n">
        <v>-0.00107524716376286</v>
      </c>
      <c r="D27" t="n">
        <v>0.000769031507302445</v>
      </c>
      <c r="E27" t="n">
        <v>1.95491709702671</v>
      </c>
      <c r="F27" t="n">
        <v>0.162057970593394</v>
      </c>
      <c r="G27" t="s">
        <v>316</v>
      </c>
      <c r="H27" t="n">
        <v>-0.00107524716376286</v>
      </c>
      <c r="I27" t="n">
        <v>-0.00258254891807565</v>
      </c>
      <c r="J27" t="n">
        <v>0.000432054590549937</v>
      </c>
      <c r="K27" t="s">
        <v>465</v>
      </c>
      <c r="L27" t="s">
        <v>456</v>
      </c>
    </row>
    <row r="28">
      <c r="A28" t="s">
        <v>178</v>
      </c>
      <c r="B28" t="s">
        <v>315</v>
      </c>
      <c r="C28" t="n">
        <v>-0.151844305644496</v>
      </c>
      <c r="D28" t="n">
        <v>0.199378352911374</v>
      </c>
      <c r="E28" t="n">
        <v>0.580017386491163</v>
      </c>
      <c r="F28" t="n">
        <v>0.446305506063584</v>
      </c>
      <c r="G28" t="s">
        <v>316</v>
      </c>
      <c r="H28" t="n">
        <v>-0.151844305644496</v>
      </c>
      <c r="I28" t="n">
        <v>-0.54262587735079</v>
      </c>
      <c r="J28" t="n">
        <v>0.238937266061797</v>
      </c>
      <c r="K28" t="s">
        <v>466</v>
      </c>
      <c r="L28" t="s">
        <v>456</v>
      </c>
    </row>
    <row r="29">
      <c r="A29" t="s">
        <v>178</v>
      </c>
      <c r="B29" t="s">
        <v>320</v>
      </c>
      <c r="C29" t="n">
        <v>-0.0167892110226018</v>
      </c>
      <c r="D29" t="n">
        <v>0.0246695334717086</v>
      </c>
      <c r="E29" t="n">
        <v>0.463168166124106</v>
      </c>
      <c r="F29" t="n">
        <v>0.496147036854381</v>
      </c>
      <c r="G29" t="s">
        <v>316</v>
      </c>
      <c r="H29" t="n">
        <v>-0.0167892110226018</v>
      </c>
      <c r="I29" t="n">
        <v>-0.0651414966271506</v>
      </c>
      <c r="J29" t="n">
        <v>0.031563074581947</v>
      </c>
      <c r="K29" t="s">
        <v>467</v>
      </c>
      <c r="L29" t="s">
        <v>456</v>
      </c>
    </row>
    <row r="30">
      <c r="A30" t="s">
        <v>178</v>
      </c>
      <c r="B30" t="s">
        <v>314</v>
      </c>
      <c r="C30" t="n">
        <v>0.00228317284782775</v>
      </c>
      <c r="D30" t="n">
        <v>0.00153154514259457</v>
      </c>
      <c r="E30" t="n">
        <v>2.22237824762004</v>
      </c>
      <c r="F30" t="n">
        <v>0.136023383339172</v>
      </c>
      <c r="G30" t="s">
        <v>316</v>
      </c>
      <c r="H30" t="n">
        <v>0.00228317284782775</v>
      </c>
      <c r="I30" t="n">
        <v>-0.000718655631657607</v>
      </c>
      <c r="J30" t="n">
        <v>0.0052850013273131</v>
      </c>
      <c r="K30" t="s">
        <v>426</v>
      </c>
      <c r="L30" t="s">
        <v>456</v>
      </c>
    </row>
    <row r="31">
      <c r="A31" t="s">
        <v>178</v>
      </c>
      <c r="B31" t="s">
        <v>51</v>
      </c>
      <c r="C31" t="n">
        <v>0.00391041783716861</v>
      </c>
      <c r="D31" t="n">
        <v>0.00510475293272529</v>
      </c>
      <c r="E31" t="n">
        <v>0.586809148330798</v>
      </c>
      <c r="F31" t="n">
        <v>0.443655660608017</v>
      </c>
      <c r="G31" t="s">
        <v>316</v>
      </c>
      <c r="H31" t="n">
        <v>0.00391041783716861</v>
      </c>
      <c r="I31" t="n">
        <v>-0.00609489791097295</v>
      </c>
      <c r="J31" t="n">
        <v>0.0139157335853102</v>
      </c>
      <c r="K31" t="s">
        <v>468</v>
      </c>
      <c r="L31" t="s">
        <v>456</v>
      </c>
    </row>
    <row r="32">
      <c r="A32" t="s">
        <v>178</v>
      </c>
      <c r="B32" t="s">
        <v>81</v>
      </c>
      <c r="C32" t="n">
        <v>-0.00021906685424392</v>
      </c>
      <c r="D32" t="n">
        <v>0.000362984772002997</v>
      </c>
      <c r="E32" t="n">
        <v>0.364230686319417</v>
      </c>
      <c r="F32" t="n">
        <v>0.546165957437262</v>
      </c>
      <c r="G32" t="s">
        <v>316</v>
      </c>
      <c r="H32" t="n">
        <v>-0.00021906685424392</v>
      </c>
      <c r="I32" t="n">
        <v>-0.000930517007369793</v>
      </c>
      <c r="J32" t="n">
        <v>0.000492383298881954</v>
      </c>
      <c r="K32" t="s">
        <v>469</v>
      </c>
      <c r="L32" t="s">
        <v>456</v>
      </c>
    </row>
    <row r="33">
      <c r="A33" t="s">
        <v>186</v>
      </c>
      <c r="B33" t="s">
        <v>315</v>
      </c>
      <c r="C33" t="n">
        <v>-0.0808234937691894</v>
      </c>
      <c r="D33" t="n">
        <v>0.0585948364131146</v>
      </c>
      <c r="E33" t="n">
        <v>1.90263966945204</v>
      </c>
      <c r="F33" t="n">
        <v>0.167783153424011</v>
      </c>
      <c r="G33" t="s">
        <v>316</v>
      </c>
      <c r="H33" t="n">
        <v>-0.0808234937691894</v>
      </c>
      <c r="I33" t="n">
        <v>-0.195669373138894</v>
      </c>
      <c r="J33" t="n">
        <v>0.0340223856005152</v>
      </c>
      <c r="K33" t="s">
        <v>470</v>
      </c>
      <c r="L33" t="s">
        <v>456</v>
      </c>
    </row>
    <row r="34">
      <c r="A34" t="s">
        <v>186</v>
      </c>
      <c r="B34" t="s">
        <v>320</v>
      </c>
      <c r="C34" t="n">
        <v>0.0543432979114197</v>
      </c>
      <c r="D34" t="n">
        <v>0.00708471174760887</v>
      </c>
      <c r="E34" t="n">
        <v>58.8366058732912</v>
      </c>
      <c r="F34" t="n">
        <v>0.0000000000000170974345792274</v>
      </c>
      <c r="G34" t="s">
        <v>316</v>
      </c>
      <c r="H34" t="n">
        <v>0.0543432979114197</v>
      </c>
      <c r="I34" t="n">
        <v>0.0404572628861063</v>
      </c>
      <c r="J34" t="n">
        <v>0.0682293329367331</v>
      </c>
      <c r="K34" t="s">
        <v>471</v>
      </c>
      <c r="L34" t="s">
        <v>456</v>
      </c>
    </row>
    <row r="35">
      <c r="A35" t="s">
        <v>186</v>
      </c>
      <c r="B35" t="s">
        <v>314</v>
      </c>
      <c r="C35" t="n">
        <v>0.000290779508907471</v>
      </c>
      <c r="D35" t="n">
        <v>0.000478572362549551</v>
      </c>
      <c r="E35" t="n">
        <v>0.369175072044526</v>
      </c>
      <c r="F35" t="n">
        <v>0.543454268230438</v>
      </c>
      <c r="G35" t="s">
        <v>316</v>
      </c>
      <c r="H35" t="n">
        <v>0.000290779508907471</v>
      </c>
      <c r="I35" t="n">
        <v>-0.000647222321689648</v>
      </c>
      <c r="J35" t="n">
        <v>0.00122878133950459</v>
      </c>
      <c r="K35" t="s">
        <v>433</v>
      </c>
      <c r="L35" t="s">
        <v>456</v>
      </c>
    </row>
    <row r="36">
      <c r="A36" t="s">
        <v>186</v>
      </c>
      <c r="B36" t="s">
        <v>51</v>
      </c>
      <c r="C36" t="n">
        <v>-0.00141270669635172</v>
      </c>
      <c r="D36" t="n">
        <v>0.00156408888034396</v>
      </c>
      <c r="E36" t="n">
        <v>0.815795209162573</v>
      </c>
      <c r="F36" t="n">
        <v>0.366412423192449</v>
      </c>
      <c r="G36" t="s">
        <v>316</v>
      </c>
      <c r="H36" t="n">
        <v>-0.00141270669635172</v>
      </c>
      <c r="I36" t="n">
        <v>-0.00447832090182588</v>
      </c>
      <c r="J36" t="n">
        <v>0.00165290750912244</v>
      </c>
      <c r="K36" t="s">
        <v>430</v>
      </c>
      <c r="L36" t="s">
        <v>456</v>
      </c>
    </row>
    <row r="37">
      <c r="A37" t="s">
        <v>186</v>
      </c>
      <c r="B37" t="s">
        <v>81</v>
      </c>
      <c r="C37" t="n">
        <v>0.000119713714008</v>
      </c>
      <c r="D37" t="n">
        <v>0.000104280893979064</v>
      </c>
      <c r="E37" t="n">
        <v>1.31788743676096</v>
      </c>
      <c r="F37" t="n">
        <v>0.250971541919675</v>
      </c>
      <c r="G37" t="s">
        <v>316</v>
      </c>
      <c r="H37" t="n">
        <v>0.000119713714008</v>
      </c>
      <c r="I37" t="n">
        <v>-0.0000846768381909662</v>
      </c>
      <c r="J37" t="n">
        <v>0.000324104266206967</v>
      </c>
      <c r="K37" t="s">
        <v>472</v>
      </c>
      <c r="L37" t="s">
        <v>456</v>
      </c>
    </row>
    <row r="38">
      <c r="A38" t="s">
        <v>191</v>
      </c>
      <c r="B38" t="s">
        <v>315</v>
      </c>
      <c r="C38" t="n">
        <v>-0.0561592976823556</v>
      </c>
      <c r="D38" t="n">
        <v>0.038577148497753</v>
      </c>
      <c r="E38" t="n">
        <v>2.11925438428938</v>
      </c>
      <c r="F38" t="n">
        <v>0.145457342656708</v>
      </c>
      <c r="G38" t="s">
        <v>316</v>
      </c>
      <c r="H38" t="n">
        <v>-0.0561592976823556</v>
      </c>
      <c r="I38" t="n">
        <v>-0.131770508737951</v>
      </c>
      <c r="J38" t="n">
        <v>0.0194519133732402</v>
      </c>
      <c r="K38" t="s">
        <v>473</v>
      </c>
      <c r="L38" t="s">
        <v>456</v>
      </c>
    </row>
    <row r="39">
      <c r="A39" t="s">
        <v>191</v>
      </c>
      <c r="B39" t="s">
        <v>320</v>
      </c>
      <c r="C39" t="n">
        <v>0.0081353972667034</v>
      </c>
      <c r="D39" t="n">
        <v>0.00468523276974209</v>
      </c>
      <c r="E39" t="n">
        <v>3.0150546331968</v>
      </c>
      <c r="F39" t="n">
        <v>0.0824946752994958</v>
      </c>
      <c r="G39" t="s">
        <v>316</v>
      </c>
      <c r="H39" t="n">
        <v>0.0081353972667034</v>
      </c>
      <c r="I39" t="n">
        <v>-0.00104765896199109</v>
      </c>
      <c r="J39" t="n">
        <v>0.0173184534953979</v>
      </c>
      <c r="K39" t="s">
        <v>474</v>
      </c>
      <c r="L39" t="s">
        <v>456</v>
      </c>
    </row>
    <row r="40">
      <c r="A40" t="s">
        <v>191</v>
      </c>
      <c r="B40" t="s">
        <v>314</v>
      </c>
      <c r="C40" t="n">
        <v>0.00000472575260307627</v>
      </c>
      <c r="D40" t="n">
        <v>0.000297825253487024</v>
      </c>
      <c r="E40" t="n">
        <v>0.000251778663724886</v>
      </c>
      <c r="F40" t="n">
        <v>0.987340070139513</v>
      </c>
      <c r="G40" t="s">
        <v>316</v>
      </c>
      <c r="H40" t="n">
        <v>0.00000472575260307627</v>
      </c>
      <c r="I40" t="n">
        <v>-0.000579011744231491</v>
      </c>
      <c r="J40" t="n">
        <v>0.000588463249437644</v>
      </c>
      <c r="K40" t="s">
        <v>433</v>
      </c>
      <c r="L40" t="s">
        <v>456</v>
      </c>
    </row>
    <row r="41">
      <c r="A41" t="s">
        <v>191</v>
      </c>
      <c r="B41" t="s">
        <v>51</v>
      </c>
      <c r="C41" t="n">
        <v>-0.000315732613088965</v>
      </c>
      <c r="D41" t="n">
        <v>0.00111579379748327</v>
      </c>
      <c r="E41" t="n">
        <v>0.0800702163717503</v>
      </c>
      <c r="F41" t="n">
        <v>0.777202278315666</v>
      </c>
      <c r="G41" t="s">
        <v>316</v>
      </c>
      <c r="H41" t="n">
        <v>-0.000315732613088965</v>
      </c>
      <c r="I41" t="n">
        <v>-0.00250268845615617</v>
      </c>
      <c r="J41" t="n">
        <v>0.00187122322997824</v>
      </c>
      <c r="K41" t="s">
        <v>434</v>
      </c>
      <c r="L41" t="s">
        <v>456</v>
      </c>
    </row>
    <row r="42">
      <c r="A42" t="s">
        <v>191</v>
      </c>
      <c r="B42" t="s">
        <v>81</v>
      </c>
      <c r="C42" t="n">
        <v>0.0000740358446896745</v>
      </c>
      <c r="D42" t="n">
        <v>0.0000689636350106695</v>
      </c>
      <c r="E42" t="n">
        <v>1.15250755775655</v>
      </c>
      <c r="F42" t="n">
        <v>0.283024844573489</v>
      </c>
      <c r="G42" t="s">
        <v>316</v>
      </c>
      <c r="H42" t="n">
        <v>0.0000740358446896745</v>
      </c>
      <c r="I42" t="n">
        <v>-0.0000611328799312376</v>
      </c>
      <c r="J42" t="n">
        <v>0.000209204569310587</v>
      </c>
      <c r="K42" t="s">
        <v>472</v>
      </c>
      <c r="L42" t="s">
        <v>456</v>
      </c>
    </row>
    <row r="43">
      <c r="A43" t="s">
        <v>361</v>
      </c>
      <c r="B43" t="s">
        <v>315</v>
      </c>
      <c r="C43" t="n">
        <v>-0.362854051334245</v>
      </c>
      <c r="D43" t="n">
        <v>2.73522182857374</v>
      </c>
      <c r="E43" t="n">
        <v>0.017598629384322</v>
      </c>
      <c r="F43" t="n">
        <v>0.894462416326542</v>
      </c>
      <c r="G43" t="s">
        <v>337</v>
      </c>
      <c r="H43" t="n">
        <v>0.69568796081969</v>
      </c>
      <c r="I43" t="n">
        <v>0.00326698141416968</v>
      </c>
      <c r="J43" t="n">
        <v>148.14340134606</v>
      </c>
      <c r="K43" t="s">
        <v>475</v>
      </c>
      <c r="L43" t="s">
        <v>476</v>
      </c>
    </row>
    <row r="44">
      <c r="A44" t="s">
        <v>361</v>
      </c>
      <c r="B44" t="s">
        <v>320</v>
      </c>
      <c r="C44" t="n">
        <v>0.901773379863464</v>
      </c>
      <c r="D44" t="n">
        <v>0.30616194196836</v>
      </c>
      <c r="E44" t="n">
        <v>8.67545804620292</v>
      </c>
      <c r="F44" t="n">
        <v>0.00322523782125994</v>
      </c>
      <c r="G44" t="s">
        <v>337</v>
      </c>
      <c r="H44" t="n">
        <v>2.4639687916472</v>
      </c>
      <c r="I44" t="n">
        <v>1.35215007490002</v>
      </c>
      <c r="J44" t="n">
        <v>4.48999139881736</v>
      </c>
      <c r="K44" t="s">
        <v>477</v>
      </c>
      <c r="L44" t="s">
        <v>476</v>
      </c>
    </row>
    <row r="45">
      <c r="A45" t="s">
        <v>361</v>
      </c>
      <c r="B45" t="s">
        <v>314</v>
      </c>
      <c r="C45" t="n">
        <v>0.00865531287003957</v>
      </c>
      <c r="D45" t="n">
        <v>0.0203569973398195</v>
      </c>
      <c r="E45" t="n">
        <v>0.180774888670939</v>
      </c>
      <c r="F45" t="n">
        <v>0.670708157502947</v>
      </c>
      <c r="G45" t="s">
        <v>337</v>
      </c>
      <c r="H45" t="n">
        <v>1.00869287839271</v>
      </c>
      <c r="I45" t="n">
        <v>0.969238660340587</v>
      </c>
      <c r="J45" t="n">
        <v>1.04975313568553</v>
      </c>
      <c r="K45" t="s">
        <v>478</v>
      </c>
      <c r="L45" t="s">
        <v>476</v>
      </c>
    </row>
    <row r="46">
      <c r="A46" t="s">
        <v>361</v>
      </c>
      <c r="B46" t="s">
        <v>51</v>
      </c>
      <c r="C46" t="n">
        <v>-0.0227167492040121</v>
      </c>
      <c r="D46" t="n">
        <v>0.0692145587124841</v>
      </c>
      <c r="E46" t="n">
        <v>0.107720276153891</v>
      </c>
      <c r="F46" t="n">
        <v>0.74275464721889</v>
      </c>
      <c r="G46" t="s">
        <v>337</v>
      </c>
      <c r="H46" t="n">
        <v>0.977539333356776</v>
      </c>
      <c r="I46" t="n">
        <v>0.853527698630164</v>
      </c>
      <c r="J46" t="n">
        <v>1.11956899558531</v>
      </c>
      <c r="K46" t="s">
        <v>479</v>
      </c>
      <c r="L46" t="s">
        <v>476</v>
      </c>
    </row>
    <row r="47">
      <c r="A47" t="s">
        <v>361</v>
      </c>
      <c r="B47" t="s">
        <v>81</v>
      </c>
      <c r="C47" t="n">
        <v>-0.00302852521043845</v>
      </c>
      <c r="D47" t="n">
        <v>0.00479985285855374</v>
      </c>
      <c r="E47" t="n">
        <v>0.398113164042121</v>
      </c>
      <c r="F47" t="n">
        <v>0.528065309718411</v>
      </c>
      <c r="G47" t="s">
        <v>337</v>
      </c>
      <c r="H47" t="n">
        <v>0.996976056145952</v>
      </c>
      <c r="I47" t="n">
        <v>0.987640773609312</v>
      </c>
      <c r="J47" t="n">
        <v>1.00639957673672</v>
      </c>
      <c r="K47" t="s">
        <v>480</v>
      </c>
      <c r="L47" t="s">
        <v>476</v>
      </c>
    </row>
    <row r="48">
      <c r="A48" t="s">
        <v>364</v>
      </c>
      <c r="B48" t="s">
        <v>315</v>
      </c>
      <c r="C48" t="n">
        <v>-6.42344580799127</v>
      </c>
      <c r="D48" t="n">
        <v>4.80479007771829</v>
      </c>
      <c r="E48" t="n">
        <v>1.78725817822511</v>
      </c>
      <c r="F48" t="n">
        <v>0.181260583801364</v>
      </c>
      <c r="G48" t="s">
        <v>337</v>
      </c>
      <c r="H48" t="n">
        <v>0.00162305385602354</v>
      </c>
      <c r="I48" t="n">
        <v>0.000000131951110189477</v>
      </c>
      <c r="J48" t="n">
        <v>19.9642414207058</v>
      </c>
      <c r="K48" t="s">
        <v>481</v>
      </c>
      <c r="L48" t="s">
        <v>476</v>
      </c>
    </row>
    <row r="49">
      <c r="A49" t="s">
        <v>364</v>
      </c>
      <c r="B49" t="s">
        <v>320</v>
      </c>
      <c r="C49" t="n">
        <v>-0.159263944453541</v>
      </c>
      <c r="D49" t="n">
        <v>0.554164862292197</v>
      </c>
      <c r="E49" t="n">
        <v>0.0825956099748133</v>
      </c>
      <c r="F49" t="n">
        <v>0.773810256909938</v>
      </c>
      <c r="G49" t="s">
        <v>337</v>
      </c>
      <c r="H49" t="n">
        <v>0.852771245021387</v>
      </c>
      <c r="I49" t="n">
        <v>0.287817962153502</v>
      </c>
      <c r="J49" t="n">
        <v>2.52666230729366</v>
      </c>
      <c r="K49" t="s">
        <v>482</v>
      </c>
      <c r="L49" t="s">
        <v>476</v>
      </c>
    </row>
    <row r="50">
      <c r="A50" t="s">
        <v>364</v>
      </c>
      <c r="B50" t="s">
        <v>314</v>
      </c>
      <c r="C50" t="n">
        <v>0.137641344794109</v>
      </c>
      <c r="D50" t="n">
        <v>0.0460927612735408</v>
      </c>
      <c r="E50" t="n">
        <v>8.91727914696257</v>
      </c>
      <c r="F50" t="n">
        <v>0.0028248505261339</v>
      </c>
      <c r="G50" t="s">
        <v>337</v>
      </c>
      <c r="H50" t="n">
        <v>1.1475638966921</v>
      </c>
      <c r="I50" t="n">
        <v>1.0484360029162</v>
      </c>
      <c r="J50" t="n">
        <v>1.25606416922752</v>
      </c>
      <c r="K50" t="s">
        <v>483</v>
      </c>
      <c r="L50" t="s">
        <v>476</v>
      </c>
    </row>
    <row r="51">
      <c r="A51" t="s">
        <v>364</v>
      </c>
      <c r="B51" t="s">
        <v>51</v>
      </c>
      <c r="C51" t="n">
        <v>-0.153565509371487</v>
      </c>
      <c r="D51" t="n">
        <v>0.142169550590155</v>
      </c>
      <c r="E51" t="n">
        <v>1.16674027084665</v>
      </c>
      <c r="F51" t="n">
        <v>0.280072040801718</v>
      </c>
      <c r="G51" t="s">
        <v>337</v>
      </c>
      <c r="H51" t="n">
        <v>0.857644578601203</v>
      </c>
      <c r="I51" t="n">
        <v>0.649067975763273</v>
      </c>
      <c r="J51" t="n">
        <v>1.13324682571045</v>
      </c>
      <c r="K51" t="s">
        <v>484</v>
      </c>
      <c r="L51" t="s">
        <v>476</v>
      </c>
    </row>
    <row r="52">
      <c r="A52" t="s">
        <v>364</v>
      </c>
      <c r="B52" t="s">
        <v>81</v>
      </c>
      <c r="C52" t="n">
        <v>-0.00400204728436619</v>
      </c>
      <c r="D52" t="n">
        <v>0.00813649869056597</v>
      </c>
      <c r="E52" t="n">
        <v>0.241929770420021</v>
      </c>
      <c r="F52" t="n">
        <v>0.622815794035723</v>
      </c>
      <c r="G52" t="s">
        <v>337</v>
      </c>
      <c r="H52" t="n">
        <v>0.996005950234494</v>
      </c>
      <c r="I52" t="n">
        <v>0.980248091545115</v>
      </c>
      <c r="J52" t="n">
        <v>1.01201712246013</v>
      </c>
      <c r="K52" t="s">
        <v>485</v>
      </c>
      <c r="L52" t="s">
        <v>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486</v>
      </c>
    </row>
    <row r="2">
      <c r="A2" t="s">
        <v>487</v>
      </c>
      <c r="B2" t="s">
        <v>5</v>
      </c>
    </row>
    <row r="3">
      <c r="A3" t="s">
        <v>488</v>
      </c>
      <c r="B3" t="s">
        <v>489</v>
      </c>
    </row>
    <row r="4">
      <c r="A4" t="s">
        <v>490</v>
      </c>
      <c r="B4" t="s">
        <v>491</v>
      </c>
    </row>
    <row r="5">
      <c r="A5" t="s">
        <v>492</v>
      </c>
      <c r="B5" t="s">
        <v>493</v>
      </c>
    </row>
    <row r="6">
      <c r="A6" t="s">
        <v>494</v>
      </c>
      <c r="B6" t="s">
        <v>495</v>
      </c>
    </row>
    <row r="7">
      <c r="A7" t="s">
        <v>496</v>
      </c>
      <c r="B7" t="s">
        <v>497</v>
      </c>
    </row>
    <row r="8">
      <c r="A8" t="s">
        <v>498</v>
      </c>
      <c r="B8" t="s">
        <v>499</v>
      </c>
    </row>
    <row r="9">
      <c r="A9" t="s">
        <v>500</v>
      </c>
      <c r="B9" t="s">
        <v>501</v>
      </c>
    </row>
    <row r="10">
      <c r="A10" t="s">
        <v>502</v>
      </c>
      <c r="B10" t="s">
        <v>503</v>
      </c>
    </row>
    <row r="11">
      <c r="A11" t="s">
        <v>504</v>
      </c>
      <c r="B11" t="s">
        <v>30</v>
      </c>
    </row>
    <row r="12">
      <c r="A12" t="s">
        <v>505</v>
      </c>
      <c r="B12" t="s">
        <v>506</v>
      </c>
    </row>
    <row r="14">
      <c r="A14" s="1" t="s">
        <v>507</v>
      </c>
    </row>
    <row r="15">
      <c r="A15" t="s">
        <v>508</v>
      </c>
    </row>
    <row r="16">
      <c r="A16" t="s">
        <v>314</v>
      </c>
    </row>
    <row r="17">
      <c r="A17" t="s">
        <v>51</v>
      </c>
    </row>
    <row r="18">
      <c r="A18" t="s">
        <v>81</v>
      </c>
    </row>
    <row r="19">
      <c r="A19" t="s">
        <v>70</v>
      </c>
    </row>
    <row r="21">
      <c r="A21" s="1" t="s">
        <v>509</v>
      </c>
    </row>
    <row r="22">
      <c r="A22" t="s">
        <v>510</v>
      </c>
      <c r="B22" t="s">
        <v>511</v>
      </c>
      <c r="C22" t="s">
        <v>512</v>
      </c>
      <c r="D22" t="s">
        <v>513</v>
      </c>
      <c r="E22" t="s">
        <v>514</v>
      </c>
    </row>
    <row r="23">
      <c r="A23" t="s">
        <v>515</v>
      </c>
      <c r="B23" t="s">
        <v>490</v>
      </c>
      <c r="C23" t="n">
        <v>1.09600009126413</v>
      </c>
      <c r="D23" t="n">
        <v>0.058299487318906</v>
      </c>
      <c r="E23" t="s">
        <v>516</v>
      </c>
    </row>
    <row r="24">
      <c r="A24" t="s">
        <v>314</v>
      </c>
      <c r="B24" t="s">
        <v>517</v>
      </c>
      <c r="C24" t="n">
        <v>1.15541607672935</v>
      </c>
      <c r="D24" t="n">
        <v>0.0287498961353735</v>
      </c>
      <c r="E24" t="s">
        <v>516</v>
      </c>
    </row>
    <row r="25">
      <c r="A25" t="s">
        <v>51</v>
      </c>
      <c r="B25" t="s">
        <v>517</v>
      </c>
      <c r="C25" t="n">
        <v>-0.167547509804362</v>
      </c>
      <c r="D25" t="n">
        <v>-0.0106329885546305</v>
      </c>
      <c r="E25" t="s">
        <v>516</v>
      </c>
    </row>
    <row r="26">
      <c r="A26" t="s">
        <v>81</v>
      </c>
      <c r="B26" t="s">
        <v>517</v>
      </c>
      <c r="C26" t="n">
        <v>-0.507811040132507</v>
      </c>
      <c r="D26" t="n">
        <v>-0.0598968935902042</v>
      </c>
      <c r="E26" t="s">
        <v>516</v>
      </c>
    </row>
    <row r="27">
      <c r="A27" t="s">
        <v>70</v>
      </c>
      <c r="B27" t="s">
        <v>517</v>
      </c>
      <c r="C27" t="n">
        <v>0.14446364942738</v>
      </c>
      <c r="D27" t="n">
        <v>0.00674053736257519</v>
      </c>
      <c r="E27" t="s">
        <v>516</v>
      </c>
    </row>
    <row r="29">
      <c r="A29" s="1" t="s">
        <v>518</v>
      </c>
    </row>
    <row r="30">
      <c r="A30" t="s">
        <v>506</v>
      </c>
      <c r="B30" t="s">
        <v>29</v>
      </c>
      <c r="C30" t="s">
        <v>519</v>
      </c>
      <c r="D30" t="s">
        <v>520</v>
      </c>
    </row>
    <row r="31">
      <c r="A31" t="s">
        <v>521</v>
      </c>
      <c r="B31" t="s">
        <v>31</v>
      </c>
      <c r="C31" t="n">
        <v>0.480645702059998</v>
      </c>
      <c r="D31" t="n">
        <v>1</v>
      </c>
    </row>
    <row r="32">
      <c r="A32" t="s">
        <v>521</v>
      </c>
      <c r="B32" t="s">
        <v>31</v>
      </c>
      <c r="C32" t="n">
        <v>0.5535894377763</v>
      </c>
      <c r="D32" t="n">
        <v>1</v>
      </c>
    </row>
    <row r="33">
      <c r="A33" t="s">
        <v>522</v>
      </c>
      <c r="B33" t="s">
        <v>31</v>
      </c>
      <c r="C33" t="n">
        <v>0.246192730076299</v>
      </c>
      <c r="D33" t="n">
        <v>1</v>
      </c>
    </row>
    <row r="34">
      <c r="A34" t="s">
        <v>523</v>
      </c>
      <c r="B34" t="s">
        <v>30</v>
      </c>
      <c r="C34" t="n">
        <v>0.666854511513924</v>
      </c>
      <c r="D34" t="n">
        <v>1.5</v>
      </c>
    </row>
    <row r="35">
      <c r="A35" t="s">
        <v>524</v>
      </c>
      <c r="B35" t="s">
        <v>30</v>
      </c>
      <c r="C35" t="n">
        <v>0.239307275630998</v>
      </c>
      <c r="D35" t="n">
        <v>0.75</v>
      </c>
    </row>
    <row r="36">
      <c r="A36" t="s">
        <v>525</v>
      </c>
      <c r="B36" t="s">
        <v>30</v>
      </c>
      <c r="C36" t="n">
        <v>0.275373725825533</v>
      </c>
      <c r="D36" t="n">
        <v>0.75</v>
      </c>
    </row>
    <row r="37">
      <c r="A37" t="s">
        <v>526</v>
      </c>
      <c r="B37" t="s">
        <v>31</v>
      </c>
      <c r="C37" t="n">
        <v>0.665970709986628</v>
      </c>
      <c r="D37" t="n">
        <v>1</v>
      </c>
    </row>
    <row r="38">
      <c r="A38" t="s">
        <v>527</v>
      </c>
      <c r="B38" t="s">
        <v>30</v>
      </c>
      <c r="C38" t="n">
        <v>0.128171075824261</v>
      </c>
      <c r="D38" t="n">
        <v>0.75</v>
      </c>
    </row>
    <row r="39">
      <c r="A39" t="s">
        <v>528</v>
      </c>
      <c r="B39" t="s">
        <v>31</v>
      </c>
      <c r="C39" t="n">
        <v>0.335801391386068</v>
      </c>
      <c r="D39" t="n">
        <v>1</v>
      </c>
    </row>
    <row r="40">
      <c r="A40" t="s">
        <v>528</v>
      </c>
      <c r="B40" t="s">
        <v>31</v>
      </c>
      <c r="C40" t="n">
        <v>0.399714928944698</v>
      </c>
      <c r="D40" t="n">
        <v>1</v>
      </c>
    </row>
    <row r="41">
      <c r="A41" t="s">
        <v>529</v>
      </c>
      <c r="B41" t="s">
        <v>31</v>
      </c>
      <c r="C41" t="n">
        <v>0.378716170695532</v>
      </c>
      <c r="D41" t="n">
        <v>1</v>
      </c>
    </row>
    <row r="42">
      <c r="A42" t="s">
        <v>530</v>
      </c>
      <c r="B42" t="s">
        <v>30</v>
      </c>
      <c r="C42" t="n">
        <v>0.63627200035564</v>
      </c>
      <c r="D42" t="n">
        <v>1.5</v>
      </c>
    </row>
    <row r="43">
      <c r="A43" t="s">
        <v>531</v>
      </c>
      <c r="B43" t="s">
        <v>30</v>
      </c>
      <c r="C43" t="n">
        <v>0.236477704580438</v>
      </c>
      <c r="D43" t="n">
        <v>0.75</v>
      </c>
    </row>
    <row r="44">
      <c r="A44" t="s">
        <v>532</v>
      </c>
      <c r="B44" t="s">
        <v>30</v>
      </c>
      <c r="C44" t="n">
        <v>0.390106123174951</v>
      </c>
      <c r="D44" t="n">
        <v>1.5</v>
      </c>
    </row>
    <row r="45">
      <c r="A45" t="s">
        <v>532</v>
      </c>
      <c r="B45" t="s">
        <v>30</v>
      </c>
      <c r="C45" t="n">
        <v>0.707360864093819</v>
      </c>
      <c r="D45" t="n">
        <v>1.5</v>
      </c>
    </row>
    <row r="46">
      <c r="A46" t="s">
        <v>533</v>
      </c>
      <c r="B46" t="s">
        <v>31</v>
      </c>
      <c r="C46" t="n">
        <v>0.393602804867719</v>
      </c>
      <c r="D46" t="n">
        <v>1</v>
      </c>
    </row>
    <row r="47">
      <c r="A47" t="s">
        <v>533</v>
      </c>
      <c r="B47" t="s">
        <v>31</v>
      </c>
      <c r="C47" t="n">
        <v>0.180612874728033</v>
      </c>
      <c r="D47" t="n">
        <v>1</v>
      </c>
    </row>
    <row r="48">
      <c r="A48" t="s">
        <v>534</v>
      </c>
      <c r="B48" t="s">
        <v>30</v>
      </c>
      <c r="C48" t="n">
        <v>0.137560172132687</v>
      </c>
      <c r="D48" t="n">
        <v>0.75</v>
      </c>
    </row>
    <row r="49">
      <c r="A49" t="s">
        <v>534</v>
      </c>
      <c r="B49" t="s">
        <v>30</v>
      </c>
      <c r="C49" t="n">
        <v>0.257319207486079</v>
      </c>
      <c r="D49" t="n">
        <v>0.75</v>
      </c>
    </row>
    <row r="50">
      <c r="A50" t="s">
        <v>535</v>
      </c>
      <c r="B50" t="s">
        <v>30</v>
      </c>
      <c r="C50" t="n">
        <v>0.181644863467722</v>
      </c>
      <c r="D50" t="n">
        <v>0.75</v>
      </c>
    </row>
    <row r="51">
      <c r="A51" t="s">
        <v>536</v>
      </c>
      <c r="B51" t="s">
        <v>30</v>
      </c>
      <c r="C51" t="n">
        <v>0.106980894083865</v>
      </c>
      <c r="D51" t="n">
        <v>0.75</v>
      </c>
    </row>
    <row r="52">
      <c r="A52" t="s">
        <v>537</v>
      </c>
      <c r="B52" t="s">
        <v>30</v>
      </c>
      <c r="C52" t="n">
        <v>0.54601553723372</v>
      </c>
      <c r="D52" t="n">
        <v>1.5</v>
      </c>
    </row>
    <row r="53">
      <c r="A53" t="s">
        <v>537</v>
      </c>
      <c r="B53" t="s">
        <v>30</v>
      </c>
      <c r="C53" t="n">
        <v>0.487292592568075</v>
      </c>
      <c r="D53" t="n">
        <v>1.5</v>
      </c>
    </row>
    <row r="54">
      <c r="A54" t="s">
        <v>538</v>
      </c>
      <c r="B54" t="s">
        <v>30</v>
      </c>
      <c r="C54" t="n">
        <v>0.204529230700547</v>
      </c>
      <c r="D54" t="n">
        <v>0.75</v>
      </c>
    </row>
    <row r="55">
      <c r="A55" t="s">
        <v>538</v>
      </c>
      <c r="B55" t="s">
        <v>30</v>
      </c>
      <c r="C55" t="n">
        <v>0.110736572975895</v>
      </c>
      <c r="D55" t="n">
        <v>0.75</v>
      </c>
    </row>
    <row r="56">
      <c r="A56" t="s">
        <v>539</v>
      </c>
      <c r="B56" t="s">
        <v>31</v>
      </c>
      <c r="C56" t="n">
        <v>0.497266284013134</v>
      </c>
      <c r="D56" t="n">
        <v>1</v>
      </c>
    </row>
    <row r="57">
      <c r="A57" t="s">
        <v>540</v>
      </c>
      <c r="B57" t="s">
        <v>31</v>
      </c>
      <c r="C57" t="n">
        <v>0.282537220070197</v>
      </c>
      <c r="D57" t="n">
        <v>1</v>
      </c>
    </row>
    <row r="58">
      <c r="A58" t="s">
        <v>541</v>
      </c>
      <c r="B58" t="s">
        <v>30</v>
      </c>
      <c r="C58" t="n">
        <v>0.473099692681421</v>
      </c>
      <c r="D58" t="n">
        <v>1.5</v>
      </c>
    </row>
    <row r="59">
      <c r="A59" t="s">
        <v>542</v>
      </c>
      <c r="B59" t="s">
        <v>30</v>
      </c>
      <c r="C59" t="n">
        <v>0.275050004696586</v>
      </c>
      <c r="D59" t="n">
        <v>0.75</v>
      </c>
    </row>
    <row r="60">
      <c r="A60" t="s">
        <v>543</v>
      </c>
      <c r="B60" t="s">
        <v>30</v>
      </c>
      <c r="C60" t="n">
        <v>0.238176387731157</v>
      </c>
      <c r="D60" t="n">
        <v>0.75</v>
      </c>
    </row>
    <row r="61">
      <c r="A61" t="s">
        <v>544</v>
      </c>
      <c r="B61" t="s">
        <v>30</v>
      </c>
      <c r="C61" t="n">
        <v>0.140600234150324</v>
      </c>
      <c r="D61" t="n">
        <v>0.75</v>
      </c>
    </row>
    <row r="62">
      <c r="A62" t="s">
        <v>545</v>
      </c>
      <c r="B62" t="s">
        <v>30</v>
      </c>
      <c r="C62" t="n">
        <v>0.482540277802634</v>
      </c>
      <c r="D62" t="n">
        <v>0.75</v>
      </c>
    </row>
    <row r="63">
      <c r="A63" t="s">
        <v>545</v>
      </c>
      <c r="B63" t="s">
        <v>30</v>
      </c>
      <c r="C63" t="n">
        <v>0.260309993122045</v>
      </c>
      <c r="D63" t="n">
        <v>0.75</v>
      </c>
    </row>
    <row r="64">
      <c r="A64" t="s">
        <v>546</v>
      </c>
      <c r="B64" t="s">
        <v>30</v>
      </c>
      <c r="C64" t="n">
        <v>0.427309291150254</v>
      </c>
      <c r="D64" t="n">
        <v>1.5</v>
      </c>
    </row>
    <row r="65">
      <c r="A65" t="s">
        <v>546</v>
      </c>
      <c r="B65" t="s">
        <v>30</v>
      </c>
      <c r="C65" t="n">
        <v>0.526624585129129</v>
      </c>
      <c r="D65" t="n">
        <v>1.5</v>
      </c>
    </row>
    <row r="66">
      <c r="A66" t="s">
        <v>547</v>
      </c>
      <c r="B66" t="s">
        <v>30</v>
      </c>
      <c r="C66" t="n">
        <v>0.25398651816314</v>
      </c>
      <c r="D66" t="n">
        <v>0.75</v>
      </c>
    </row>
    <row r="67">
      <c r="A67" t="s">
        <v>548</v>
      </c>
      <c r="B67" t="s">
        <v>30</v>
      </c>
      <c r="C67" t="n">
        <v>0.363932909876511</v>
      </c>
      <c r="D67" t="n">
        <v>1.5</v>
      </c>
    </row>
    <row r="68">
      <c r="A68" t="s">
        <v>549</v>
      </c>
      <c r="B68" t="s">
        <v>30</v>
      </c>
      <c r="C68" t="n">
        <v>0.359758499389431</v>
      </c>
      <c r="D68" t="n">
        <v>0.75</v>
      </c>
    </row>
    <row r="69">
      <c r="A69" t="s">
        <v>550</v>
      </c>
      <c r="B69" t="s">
        <v>30</v>
      </c>
      <c r="C69" t="n">
        <v>0.267561927306799</v>
      </c>
      <c r="D69" t="n">
        <v>0.75</v>
      </c>
    </row>
    <row r="70">
      <c r="A70" t="s">
        <v>550</v>
      </c>
      <c r="B70" t="s">
        <v>30</v>
      </c>
      <c r="C70" t="n">
        <v>0.194076104790966</v>
      </c>
      <c r="D70" t="n">
        <v>0.75</v>
      </c>
    </row>
    <row r="71">
      <c r="A71" t="s">
        <v>551</v>
      </c>
      <c r="B71" t="s">
        <v>30</v>
      </c>
      <c r="C71" t="n">
        <v>0.136994317720558</v>
      </c>
      <c r="D71" t="n">
        <v>0.75</v>
      </c>
    </row>
    <row r="72">
      <c r="A72" t="s">
        <v>551</v>
      </c>
      <c r="B72" t="s">
        <v>30</v>
      </c>
      <c r="C72" t="n">
        <v>0.294847714662832</v>
      </c>
      <c r="D72" t="n">
        <v>0.75</v>
      </c>
    </row>
    <row r="73">
      <c r="A73" t="s">
        <v>552</v>
      </c>
      <c r="B73" t="s">
        <v>30</v>
      </c>
      <c r="C73" t="n">
        <v>0.456148487652854</v>
      </c>
      <c r="D73" t="n">
        <v>1.5</v>
      </c>
    </row>
    <row r="74">
      <c r="A74" t="s">
        <v>553</v>
      </c>
      <c r="B74" t="s">
        <v>30</v>
      </c>
      <c r="C74" t="n">
        <v>0.130361812740816</v>
      </c>
      <c r="D74" t="n">
        <v>0.75</v>
      </c>
    </row>
    <row r="75">
      <c r="A75" t="s">
        <v>553</v>
      </c>
      <c r="B75" t="s">
        <v>30</v>
      </c>
      <c r="C75" t="n">
        <v>0.13652265668043</v>
      </c>
      <c r="D75" t="n">
        <v>0.75</v>
      </c>
    </row>
    <row r="76">
      <c r="A76" t="s">
        <v>554</v>
      </c>
      <c r="B76" t="s">
        <v>30</v>
      </c>
      <c r="C76" t="n">
        <v>0.141303779896536</v>
      </c>
      <c r="D76" t="n">
        <v>0.75</v>
      </c>
    </row>
    <row r="77">
      <c r="A77" t="s">
        <v>554</v>
      </c>
      <c r="B77" t="s">
        <v>30</v>
      </c>
      <c r="C77" t="n">
        <v>0.0431567117978223</v>
      </c>
      <c r="D77" t="n">
        <v>0.75</v>
      </c>
    </row>
    <row r="78">
      <c r="A78" t="s">
        <v>555</v>
      </c>
      <c r="B78" t="s">
        <v>30</v>
      </c>
      <c r="C78" t="n">
        <v>0.501331270079941</v>
      </c>
      <c r="D78" t="n">
        <v>1.5</v>
      </c>
    </row>
    <row r="79">
      <c r="A79" t="s">
        <v>556</v>
      </c>
      <c r="B79" t="s">
        <v>31</v>
      </c>
      <c r="C79" t="n">
        <v>0.23869594242479</v>
      </c>
      <c r="D79" t="n">
        <v>1</v>
      </c>
    </row>
    <row r="80">
      <c r="A80" t="s">
        <v>556</v>
      </c>
      <c r="B80" t="s">
        <v>31</v>
      </c>
      <c r="C80" t="n">
        <v>0.243937412982716</v>
      </c>
      <c r="D80" t="n">
        <v>1</v>
      </c>
    </row>
    <row r="81">
      <c r="A81" t="s">
        <v>557</v>
      </c>
      <c r="B81" t="s">
        <v>30</v>
      </c>
      <c r="C81" t="n">
        <v>0.654876734210748</v>
      </c>
      <c r="D81" t="n">
        <v>1.5</v>
      </c>
    </row>
    <row r="82">
      <c r="A82" t="s">
        <v>557</v>
      </c>
      <c r="B82" t="s">
        <v>30</v>
      </c>
      <c r="C82" t="n">
        <v>0.724904154412916</v>
      </c>
      <c r="D82" t="n">
        <v>1.5</v>
      </c>
    </row>
    <row r="83">
      <c r="A83" t="s">
        <v>558</v>
      </c>
      <c r="B83" t="s">
        <v>31</v>
      </c>
      <c r="C83" t="n">
        <v>0.443776643339087</v>
      </c>
      <c r="D83" t="n">
        <v>1</v>
      </c>
    </row>
    <row r="84">
      <c r="A84" t="s">
        <v>558</v>
      </c>
      <c r="B84" t="s">
        <v>31</v>
      </c>
      <c r="C84" t="n">
        <v>0.369876216094365</v>
      </c>
      <c r="D84" t="n">
        <v>1</v>
      </c>
    </row>
    <row r="85">
      <c r="A85" t="s">
        <v>559</v>
      </c>
      <c r="B85" t="s">
        <v>30</v>
      </c>
      <c r="C85" t="n">
        <v>0.316523646211468</v>
      </c>
      <c r="D85" t="n">
        <v>0.75</v>
      </c>
    </row>
    <row r="86">
      <c r="A86" t="s">
        <v>559</v>
      </c>
      <c r="B86" t="s">
        <v>30</v>
      </c>
      <c r="C86" t="n">
        <v>0.283971173838927</v>
      </c>
      <c r="D86" t="n">
        <v>0.75</v>
      </c>
    </row>
    <row r="87">
      <c r="A87" t="s">
        <v>560</v>
      </c>
      <c r="B87" t="s">
        <v>30</v>
      </c>
      <c r="C87" t="n">
        <v>0.19773664353415</v>
      </c>
      <c r="D87" t="n">
        <v>0.75</v>
      </c>
    </row>
    <row r="88">
      <c r="A88" t="s">
        <v>561</v>
      </c>
      <c r="B88" t="s">
        <v>31</v>
      </c>
      <c r="C88" t="n">
        <v>0.180618774101872</v>
      </c>
      <c r="D88" t="n">
        <v>1</v>
      </c>
    </row>
    <row r="89">
      <c r="A89" t="s">
        <v>561</v>
      </c>
      <c r="B89" t="s">
        <v>31</v>
      </c>
      <c r="C89" t="n">
        <v>0.135456289632579</v>
      </c>
      <c r="D89" t="n">
        <v>1</v>
      </c>
    </row>
    <row r="90">
      <c r="A90" t="s">
        <v>562</v>
      </c>
      <c r="B90" t="s">
        <v>30</v>
      </c>
      <c r="C90" t="n">
        <v>0.279216315836253</v>
      </c>
      <c r="D90" t="n">
        <v>0.75</v>
      </c>
    </row>
    <row r="91">
      <c r="A91" t="s">
        <v>563</v>
      </c>
      <c r="B91" t="s">
        <v>30</v>
      </c>
      <c r="C91" t="n">
        <v>0.477259699119558</v>
      </c>
      <c r="D91" t="n">
        <v>0.75</v>
      </c>
    </row>
    <row r="92">
      <c r="A92" t="s">
        <v>563</v>
      </c>
      <c r="B92" t="s">
        <v>30</v>
      </c>
      <c r="C92" t="n">
        <v>0.42534164772438</v>
      </c>
      <c r="D92" t="n">
        <v>1.5</v>
      </c>
    </row>
    <row r="93">
      <c r="A93" t="s">
        <v>564</v>
      </c>
      <c r="B93" t="s">
        <v>30</v>
      </c>
      <c r="C93" t="n">
        <v>0.152290194414713</v>
      </c>
      <c r="D93" t="n">
        <v>0.75</v>
      </c>
    </row>
    <row r="94">
      <c r="A94" t="s">
        <v>565</v>
      </c>
      <c r="B94" t="s">
        <v>31</v>
      </c>
      <c r="C94" t="n">
        <v>0.524371312799966</v>
      </c>
      <c r="D94" t="n">
        <v>1</v>
      </c>
    </row>
    <row r="95">
      <c r="A95" t="s">
        <v>565</v>
      </c>
      <c r="B95" t="s">
        <v>31</v>
      </c>
      <c r="C95" t="n">
        <v>0.537434010535475</v>
      </c>
      <c r="D95" t="n">
        <v>1</v>
      </c>
    </row>
    <row r="96">
      <c r="A96" t="s">
        <v>566</v>
      </c>
      <c r="B96" t="s">
        <v>31</v>
      </c>
      <c r="C96" t="n">
        <v>0.404881734134564</v>
      </c>
      <c r="D96" t="n">
        <v>1</v>
      </c>
    </row>
    <row r="97">
      <c r="A97" t="s">
        <v>567</v>
      </c>
      <c r="B97" t="s">
        <v>31</v>
      </c>
      <c r="C97" t="n">
        <v>0.254156948095578</v>
      </c>
      <c r="D97" t="n">
        <v>1</v>
      </c>
    </row>
    <row r="98">
      <c r="A98" t="s">
        <v>567</v>
      </c>
      <c r="B98" t="s">
        <v>31</v>
      </c>
      <c r="C98" t="n">
        <v>0.484547533973281</v>
      </c>
      <c r="D98" t="n">
        <v>1</v>
      </c>
    </row>
    <row r="99">
      <c r="A99" t="s">
        <v>568</v>
      </c>
      <c r="B99" t="s">
        <v>31</v>
      </c>
      <c r="C99" t="n">
        <v>0.156519734308055</v>
      </c>
      <c r="D99" t="n">
        <v>1</v>
      </c>
    </row>
    <row r="100">
      <c r="A100" t="s">
        <v>568</v>
      </c>
      <c r="B100" t="s">
        <v>31</v>
      </c>
      <c r="C100" t="n">
        <v>0.283313976648712</v>
      </c>
      <c r="D100" t="n">
        <v>1</v>
      </c>
    </row>
    <row r="101">
      <c r="A101" t="s">
        <v>569</v>
      </c>
      <c r="B101" t="s">
        <v>30</v>
      </c>
      <c r="C101" t="n">
        <v>0.399790442397068</v>
      </c>
      <c r="D101" t="n">
        <v>1.5</v>
      </c>
    </row>
    <row r="102">
      <c r="A102" t="s">
        <v>570</v>
      </c>
      <c r="B102" t="s">
        <v>30</v>
      </c>
      <c r="C102" t="n">
        <v>0.187085235053027</v>
      </c>
      <c r="D102" t="n">
        <v>0.75</v>
      </c>
    </row>
    <row r="103">
      <c r="A103" t="s">
        <v>571</v>
      </c>
      <c r="B103" t="s">
        <v>30</v>
      </c>
      <c r="C103" t="n">
        <v>0.225328387222504</v>
      </c>
      <c r="D103" t="n">
        <v>0.75</v>
      </c>
    </row>
    <row r="104">
      <c r="A104" t="s">
        <v>572</v>
      </c>
      <c r="B104" t="s">
        <v>31</v>
      </c>
      <c r="C104" t="n">
        <v>0.438463585906297</v>
      </c>
      <c r="D104" t="n">
        <v>1</v>
      </c>
    </row>
    <row r="105">
      <c r="A105" t="s">
        <v>573</v>
      </c>
      <c r="B105" t="s">
        <v>30</v>
      </c>
      <c r="C105" t="n">
        <v>0.324267812317585</v>
      </c>
      <c r="D105" t="n">
        <v>0.75</v>
      </c>
    </row>
    <row r="106">
      <c r="A106" t="s">
        <v>573</v>
      </c>
      <c r="B106" t="s">
        <v>30</v>
      </c>
      <c r="C106" t="n">
        <v>0.543020391241848</v>
      </c>
      <c r="D106" t="n">
        <v>1.5</v>
      </c>
    </row>
    <row r="107">
      <c r="A107" t="s">
        <v>574</v>
      </c>
      <c r="B107" t="s">
        <v>31</v>
      </c>
      <c r="C107" t="n">
        <v>0.765595973047985</v>
      </c>
      <c r="D107" t="n">
        <v>1</v>
      </c>
    </row>
    <row r="108">
      <c r="A108" t="s">
        <v>575</v>
      </c>
      <c r="B108" t="s">
        <v>31</v>
      </c>
      <c r="C108" t="n">
        <v>0.351346421517155</v>
      </c>
      <c r="D108" t="n">
        <v>1</v>
      </c>
    </row>
    <row r="109">
      <c r="A109" t="s">
        <v>576</v>
      </c>
      <c r="B109" t="s">
        <v>31</v>
      </c>
      <c r="C109" t="n">
        <v>0.19846731847993</v>
      </c>
      <c r="D109" t="n">
        <v>1</v>
      </c>
    </row>
    <row r="110">
      <c r="A110" t="s">
        <v>576</v>
      </c>
      <c r="B110" t="s">
        <v>31</v>
      </c>
      <c r="C110" t="n">
        <v>0.25775225219705</v>
      </c>
      <c r="D110" t="n">
        <v>1</v>
      </c>
    </row>
    <row r="111">
      <c r="A111" t="s">
        <v>577</v>
      </c>
      <c r="B111" t="s">
        <v>31</v>
      </c>
      <c r="C111" t="n">
        <v>0.298865306074101</v>
      </c>
      <c r="D111" t="n">
        <v>1</v>
      </c>
    </row>
    <row r="112">
      <c r="A112" t="s">
        <v>578</v>
      </c>
      <c r="B112" t="s">
        <v>30</v>
      </c>
      <c r="C112" t="n">
        <v>0.559486224476871</v>
      </c>
      <c r="D112" t="n">
        <v>1.5</v>
      </c>
    </row>
    <row r="113">
      <c r="A113" t="s">
        <v>578</v>
      </c>
      <c r="B113" t="s">
        <v>30</v>
      </c>
      <c r="C113" t="n">
        <v>0.468402274863773</v>
      </c>
      <c r="D113" t="n">
        <v>1.5</v>
      </c>
    </row>
    <row r="114">
      <c r="A114" t="s">
        <v>579</v>
      </c>
      <c r="B114" t="s">
        <v>31</v>
      </c>
      <c r="C114" t="n">
        <v>0.647615098290222</v>
      </c>
      <c r="D114" t="n">
        <v>1</v>
      </c>
    </row>
    <row r="115">
      <c r="A115" t="s">
        <v>580</v>
      </c>
      <c r="B115" t="s">
        <v>31</v>
      </c>
      <c r="C115" t="n">
        <v>0.622767390991931</v>
      </c>
      <c r="D115" t="n">
        <v>1</v>
      </c>
    </row>
    <row r="116">
      <c r="A116" t="s">
        <v>581</v>
      </c>
      <c r="B116" t="s">
        <v>30</v>
      </c>
      <c r="C116" t="n">
        <v>0.085022365303875</v>
      </c>
      <c r="D116" t="n">
        <v>0.75</v>
      </c>
    </row>
    <row r="117">
      <c r="A117" t="s">
        <v>582</v>
      </c>
      <c r="B117" t="s">
        <v>30</v>
      </c>
      <c r="C117" t="n">
        <v>0.361912002687103</v>
      </c>
      <c r="D117" t="n">
        <v>0.75</v>
      </c>
    </row>
    <row r="118">
      <c r="A118" t="s">
        <v>582</v>
      </c>
      <c r="B118" t="s">
        <v>30</v>
      </c>
      <c r="C118" t="n">
        <v>0.271157946641179</v>
      </c>
      <c r="D118" t="n">
        <v>0.75</v>
      </c>
    </row>
    <row r="119">
      <c r="A119" t="s">
        <v>583</v>
      </c>
      <c r="B119" t="s">
        <v>30</v>
      </c>
      <c r="C119" t="n">
        <v>0.452400282453904</v>
      </c>
      <c r="D119" t="n">
        <v>0.75</v>
      </c>
    </row>
    <row r="120">
      <c r="A120" t="s">
        <v>584</v>
      </c>
      <c r="B120" t="s">
        <v>30</v>
      </c>
      <c r="C120" t="n">
        <v>0.527256400408461</v>
      </c>
      <c r="D120" t="n">
        <v>1.5</v>
      </c>
    </row>
    <row r="121">
      <c r="A121" t="s">
        <v>585</v>
      </c>
      <c r="B121" t="s">
        <v>30</v>
      </c>
      <c r="C121" t="n">
        <v>0.577247470494484</v>
      </c>
      <c r="D121" t="n">
        <v>1.5</v>
      </c>
    </row>
    <row r="122">
      <c r="A122" t="s">
        <v>586</v>
      </c>
      <c r="B122" t="s">
        <v>31</v>
      </c>
      <c r="C122" t="n">
        <v>0.696193875171192</v>
      </c>
      <c r="D122" t="n">
        <v>1</v>
      </c>
    </row>
    <row r="123">
      <c r="A123" t="s">
        <v>586</v>
      </c>
      <c r="B123" t="s">
        <v>31</v>
      </c>
      <c r="C123" t="n">
        <v>0.70671048741181</v>
      </c>
      <c r="D123" t="n">
        <v>1</v>
      </c>
    </row>
    <row r="124">
      <c r="A124" t="s">
        <v>587</v>
      </c>
      <c r="B124" t="s">
        <v>31</v>
      </c>
      <c r="C124" t="n">
        <v>0.252681246474483</v>
      </c>
      <c r="D124" t="n">
        <v>1</v>
      </c>
    </row>
    <row r="125">
      <c r="A125" t="s">
        <v>588</v>
      </c>
      <c r="B125" t="s">
        <v>31</v>
      </c>
      <c r="C125" t="n">
        <v>0.713321779881791</v>
      </c>
      <c r="D125" t="n">
        <v>1</v>
      </c>
    </row>
    <row r="126">
      <c r="A126" t="s">
        <v>589</v>
      </c>
      <c r="B126" t="s">
        <v>30</v>
      </c>
      <c r="C126" t="n">
        <v>0.110006869354576</v>
      </c>
      <c r="D126" t="n">
        <v>0.75</v>
      </c>
    </row>
    <row r="127">
      <c r="A127" t="s">
        <v>590</v>
      </c>
      <c r="B127" t="s">
        <v>31</v>
      </c>
      <c r="C127" t="n">
        <v>0.14100667934778</v>
      </c>
      <c r="D127" t="n">
        <v>1</v>
      </c>
    </row>
    <row r="128">
      <c r="A128" t="s">
        <v>591</v>
      </c>
      <c r="B128" t="s">
        <v>30</v>
      </c>
      <c r="C128" t="n">
        <v>0.680016032488235</v>
      </c>
      <c r="D128" t="n">
        <v>1.5</v>
      </c>
    </row>
    <row r="129">
      <c r="A129" t="s">
        <v>592</v>
      </c>
      <c r="B129" t="s">
        <v>30</v>
      </c>
      <c r="C129" t="n">
        <v>0.397105679381524</v>
      </c>
      <c r="D129" t="n">
        <v>1.5</v>
      </c>
    </row>
    <row r="130">
      <c r="A130" t="s">
        <v>592</v>
      </c>
      <c r="B130" t="s">
        <v>30</v>
      </c>
      <c r="C130" t="n">
        <v>0.306905249618005</v>
      </c>
      <c r="D130" t="n">
        <v>0.75</v>
      </c>
    </row>
    <row r="131">
      <c r="A131" t="s">
        <v>593</v>
      </c>
      <c r="B131" t="s">
        <v>30</v>
      </c>
      <c r="C131" t="n">
        <v>0.583904227895814</v>
      </c>
      <c r="D131" t="n">
        <v>1.5</v>
      </c>
    </row>
    <row r="132">
      <c r="A132" t="s">
        <v>593</v>
      </c>
      <c r="B132" t="s">
        <v>30</v>
      </c>
      <c r="C132" t="n">
        <v>0.744196495135077</v>
      </c>
      <c r="D132" t="n">
        <v>1.5</v>
      </c>
    </row>
    <row r="133">
      <c r="A133" t="s">
        <v>594</v>
      </c>
      <c r="B133" t="s">
        <v>31</v>
      </c>
      <c r="C133" t="n">
        <v>0.290684720821267</v>
      </c>
      <c r="D133" t="n">
        <v>1</v>
      </c>
    </row>
    <row r="134">
      <c r="A134" t="s">
        <v>594</v>
      </c>
      <c r="B134" t="s">
        <v>31</v>
      </c>
      <c r="C134" t="n">
        <v>0.414524910299672</v>
      </c>
      <c r="D134" t="n">
        <v>1</v>
      </c>
    </row>
    <row r="135">
      <c r="A135" t="s">
        <v>595</v>
      </c>
      <c r="B135" t="s">
        <v>30</v>
      </c>
      <c r="C135" t="n">
        <v>0.155009711983546</v>
      </c>
      <c r="D135" t="n">
        <v>0.75</v>
      </c>
    </row>
    <row r="136">
      <c r="A136" t="s">
        <v>596</v>
      </c>
      <c r="B136" t="s">
        <v>31</v>
      </c>
      <c r="C136" t="n">
        <v>0.0430784515706258</v>
      </c>
      <c r="D136" t="n">
        <v>1</v>
      </c>
    </row>
    <row r="137">
      <c r="A137" t="s">
        <v>597</v>
      </c>
      <c r="B137" t="s">
        <v>30</v>
      </c>
      <c r="C137" t="n">
        <v>0.184461447455998</v>
      </c>
      <c r="D137" t="n">
        <v>0.75</v>
      </c>
    </row>
    <row r="138">
      <c r="A138" t="s">
        <v>597</v>
      </c>
      <c r="B138" t="s">
        <v>30</v>
      </c>
      <c r="C138" t="n">
        <v>0.372050428408672</v>
      </c>
      <c r="D138" t="n">
        <v>0.75</v>
      </c>
    </row>
    <row r="139">
      <c r="A139" t="s">
        <v>598</v>
      </c>
      <c r="B139" t="s">
        <v>31</v>
      </c>
      <c r="C139" t="n">
        <v>0.237621583949285</v>
      </c>
      <c r="D139" t="n">
        <v>1</v>
      </c>
    </row>
    <row r="140">
      <c r="A140" t="s">
        <v>598</v>
      </c>
      <c r="B140" t="s">
        <v>31</v>
      </c>
      <c r="C140" t="n">
        <v>0.133228743381192</v>
      </c>
      <c r="D140" t="n">
        <v>1</v>
      </c>
    </row>
    <row r="141">
      <c r="A141" t="s">
        <v>599</v>
      </c>
      <c r="B141" t="s">
        <v>30</v>
      </c>
      <c r="C141" t="n">
        <v>0.52425449599702</v>
      </c>
      <c r="D141" t="n">
        <v>1.5</v>
      </c>
    </row>
    <row r="142">
      <c r="A142" t="s">
        <v>600</v>
      </c>
      <c r="B142" t="s">
        <v>31</v>
      </c>
      <c r="C142" t="n">
        <v>0.455885199151387</v>
      </c>
      <c r="D142" t="n">
        <v>1</v>
      </c>
    </row>
    <row r="143">
      <c r="A143" t="s">
        <v>600</v>
      </c>
      <c r="B143" t="s">
        <v>31</v>
      </c>
      <c r="C143" t="n">
        <v>0.318286533835267</v>
      </c>
      <c r="D143" t="n">
        <v>1</v>
      </c>
    </row>
    <row r="144">
      <c r="A144" t="s">
        <v>601</v>
      </c>
      <c r="B144" t="s">
        <v>31</v>
      </c>
      <c r="C144" t="n">
        <v>0.155290393185324</v>
      </c>
      <c r="D144" t="n">
        <v>1</v>
      </c>
    </row>
    <row r="145">
      <c r="A145" t="s">
        <v>602</v>
      </c>
      <c r="B145" t="s">
        <v>30</v>
      </c>
      <c r="C145" t="n">
        <v>0.271962818080975</v>
      </c>
      <c r="D145" t="n">
        <v>0.75</v>
      </c>
    </row>
    <row r="146">
      <c r="A146" t="s">
        <v>602</v>
      </c>
      <c r="B146" t="s">
        <v>30</v>
      </c>
      <c r="C146" t="n">
        <v>0.248032275609144</v>
      </c>
      <c r="D146" t="n">
        <v>0.75</v>
      </c>
    </row>
    <row r="147">
      <c r="A147" t="s">
        <v>603</v>
      </c>
      <c r="B147" t="s">
        <v>30</v>
      </c>
      <c r="C147" t="n">
        <v>0.183192945869314</v>
      </c>
      <c r="D147" t="n">
        <v>0.75</v>
      </c>
    </row>
    <row r="148">
      <c r="A148" t="s">
        <v>604</v>
      </c>
      <c r="B148" t="s">
        <v>31</v>
      </c>
      <c r="C148" t="n">
        <v>0.135067903192619</v>
      </c>
      <c r="D148" t="n">
        <v>1</v>
      </c>
    </row>
    <row r="149">
      <c r="A149" t="s">
        <v>604</v>
      </c>
      <c r="B149" t="s">
        <v>31</v>
      </c>
      <c r="C149" t="n">
        <v>0.109478942200408</v>
      </c>
      <c r="D149" t="n">
        <v>1</v>
      </c>
    </row>
    <row r="150">
      <c r="A150" t="s">
        <v>605</v>
      </c>
      <c r="B150" t="s">
        <v>30</v>
      </c>
      <c r="C150" t="n">
        <v>0.128888872198611</v>
      </c>
      <c r="D150" t="n">
        <v>0.75</v>
      </c>
    </row>
    <row r="151">
      <c r="A151" t="s">
        <v>606</v>
      </c>
      <c r="B151" t="s">
        <v>31</v>
      </c>
      <c r="C151" t="n">
        <v>0.181362103865484</v>
      </c>
      <c r="D151" t="n">
        <v>1</v>
      </c>
    </row>
    <row r="152">
      <c r="A152" t="s">
        <v>607</v>
      </c>
      <c r="B152" t="s">
        <v>31</v>
      </c>
      <c r="C152" t="n">
        <v>0.637665605849084</v>
      </c>
      <c r="D152" t="n">
        <v>1</v>
      </c>
    </row>
    <row r="153">
      <c r="A153" t="s">
        <v>607</v>
      </c>
      <c r="B153" t="s">
        <v>31</v>
      </c>
      <c r="C153" t="n">
        <v>0.605266890963173</v>
      </c>
      <c r="D153" t="n">
        <v>1</v>
      </c>
    </row>
    <row r="154">
      <c r="A154" t="s">
        <v>608</v>
      </c>
      <c r="B154" t="s">
        <v>30</v>
      </c>
      <c r="C154" t="n">
        <v>0.260055028238664</v>
      </c>
      <c r="D154" t="n">
        <v>0.75</v>
      </c>
    </row>
    <row r="155">
      <c r="A155" t="s">
        <v>608</v>
      </c>
      <c r="B155" t="s">
        <v>30</v>
      </c>
      <c r="C155" t="n">
        <v>0.399375581762462</v>
      </c>
      <c r="D155" t="n">
        <v>1.5</v>
      </c>
    </row>
    <row r="156">
      <c r="A156" t="s">
        <v>609</v>
      </c>
      <c r="B156" t="s">
        <v>30</v>
      </c>
      <c r="C156" t="n">
        <v>0.259606613209025</v>
      </c>
      <c r="D156" t="n">
        <v>0.75</v>
      </c>
    </row>
    <row r="157">
      <c r="A157" t="s">
        <v>609</v>
      </c>
      <c r="B157" t="s">
        <v>30</v>
      </c>
      <c r="C157" t="n">
        <v>0.232695392162752</v>
      </c>
      <c r="D157" t="n">
        <v>0.75</v>
      </c>
    </row>
    <row r="158">
      <c r="A158" t="s">
        <v>610</v>
      </c>
      <c r="B158" t="s">
        <v>30</v>
      </c>
      <c r="C158" t="n">
        <v>0.107466316609963</v>
      </c>
      <c r="D158" t="n">
        <v>0.75</v>
      </c>
    </row>
    <row r="159">
      <c r="A159" t="s">
        <v>610</v>
      </c>
      <c r="B159" t="s">
        <v>30</v>
      </c>
      <c r="C159" t="n">
        <v>0.256885794665753</v>
      </c>
      <c r="D159" t="n">
        <v>0.75</v>
      </c>
    </row>
    <row r="160">
      <c r="A160" t="s">
        <v>611</v>
      </c>
      <c r="B160" t="s">
        <v>31</v>
      </c>
      <c r="C160" t="n">
        <v>0.485327445309099</v>
      </c>
      <c r="D160" t="n">
        <v>1</v>
      </c>
    </row>
    <row r="161">
      <c r="A161" t="s">
        <v>612</v>
      </c>
      <c r="B161" t="s">
        <v>30</v>
      </c>
      <c r="C161" t="n">
        <v>0.589485356084415</v>
      </c>
      <c r="D161" t="n">
        <v>1.5</v>
      </c>
    </row>
    <row r="162">
      <c r="A162" t="s">
        <v>613</v>
      </c>
      <c r="B162" t="s">
        <v>31</v>
      </c>
      <c r="C162" t="n">
        <v>0.653551952021502</v>
      </c>
      <c r="D162" t="n">
        <v>1</v>
      </c>
    </row>
    <row r="163">
      <c r="A163" t="s">
        <v>614</v>
      </c>
      <c r="B163" t="s">
        <v>30</v>
      </c>
      <c r="C163" t="n">
        <v>0.294469425969066</v>
      </c>
      <c r="D163" t="n">
        <v>0.75</v>
      </c>
    </row>
    <row r="164">
      <c r="A164" t="s">
        <v>615</v>
      </c>
      <c r="B164" t="s">
        <v>30</v>
      </c>
      <c r="C164" t="n">
        <v>0.311407651665246</v>
      </c>
      <c r="D164" t="n">
        <v>0.75</v>
      </c>
    </row>
    <row r="165">
      <c r="A165" t="s">
        <v>616</v>
      </c>
      <c r="B165" t="s">
        <v>31</v>
      </c>
      <c r="C165" t="n">
        <v>0.439214630028386</v>
      </c>
      <c r="D165" t="n">
        <v>1</v>
      </c>
    </row>
    <row r="166">
      <c r="A166" t="s">
        <v>617</v>
      </c>
      <c r="B166" t="s">
        <v>30</v>
      </c>
      <c r="C166" t="n">
        <v>0.316745202298914</v>
      </c>
      <c r="D166" t="n">
        <v>0.75</v>
      </c>
    </row>
    <row r="167">
      <c r="A167" t="s">
        <v>618</v>
      </c>
      <c r="B167" t="s">
        <v>30</v>
      </c>
      <c r="C167" t="n">
        <v>0.0852377091601781</v>
      </c>
      <c r="D167" t="n">
        <v>0.75</v>
      </c>
    </row>
    <row r="168">
      <c r="A168" t="s">
        <v>619</v>
      </c>
      <c r="B168" t="s">
        <v>30</v>
      </c>
      <c r="C168" t="n">
        <v>0.300042910529705</v>
      </c>
      <c r="D168" t="n">
        <v>0.75</v>
      </c>
    </row>
    <row r="169">
      <c r="A169" t="s">
        <v>620</v>
      </c>
      <c r="B169" t="s">
        <v>30</v>
      </c>
      <c r="C169" t="n">
        <v>0.184673603106924</v>
      </c>
      <c r="D169" t="n">
        <v>0.75</v>
      </c>
    </row>
    <row r="170">
      <c r="A170" t="s">
        <v>621</v>
      </c>
      <c r="B170" t="s">
        <v>30</v>
      </c>
      <c r="C170" t="n">
        <v>0.353028183651674</v>
      </c>
      <c r="D170" t="n">
        <v>0.75</v>
      </c>
    </row>
    <row r="171">
      <c r="A171" t="s">
        <v>621</v>
      </c>
      <c r="B171" t="s">
        <v>30</v>
      </c>
      <c r="C171" t="n">
        <v>0.245804838517549</v>
      </c>
      <c r="D171" t="n">
        <v>0.75</v>
      </c>
    </row>
    <row r="172">
      <c r="A172" t="s">
        <v>622</v>
      </c>
      <c r="B172" t="s">
        <v>31</v>
      </c>
      <c r="C172" t="n">
        <v>0.578051061301193</v>
      </c>
      <c r="D172" t="n">
        <v>1</v>
      </c>
    </row>
    <row r="173">
      <c r="A173" t="s">
        <v>622</v>
      </c>
      <c r="B173" t="s">
        <v>31</v>
      </c>
      <c r="C173" t="n">
        <v>0.670937175520326</v>
      </c>
      <c r="D173" t="n">
        <v>1</v>
      </c>
    </row>
    <row r="174">
      <c r="A174" t="s">
        <v>623</v>
      </c>
      <c r="B174" t="s">
        <v>30</v>
      </c>
      <c r="C174" t="n">
        <v>0.79404864169105</v>
      </c>
      <c r="D174" t="n">
        <v>1.5</v>
      </c>
    </row>
    <row r="175">
      <c r="A175" t="s">
        <v>624</v>
      </c>
      <c r="B175" t="s">
        <v>31</v>
      </c>
      <c r="C175" t="n">
        <v>0.568740830846366</v>
      </c>
      <c r="D175" t="n">
        <v>1</v>
      </c>
    </row>
    <row r="176">
      <c r="A176" t="s">
        <v>624</v>
      </c>
      <c r="B176" t="s">
        <v>31</v>
      </c>
      <c r="C176" t="n">
        <v>0.622293589906748</v>
      </c>
      <c r="D176" t="n">
        <v>1</v>
      </c>
    </row>
    <row r="177">
      <c r="A177" t="s">
        <v>625</v>
      </c>
      <c r="B177" t="s">
        <v>30</v>
      </c>
      <c r="C177" t="n">
        <v>0.306857582940026</v>
      </c>
      <c r="D177" t="n">
        <v>0.75</v>
      </c>
    </row>
    <row r="178">
      <c r="A178" t="s">
        <v>625</v>
      </c>
      <c r="B178" t="s">
        <v>30</v>
      </c>
      <c r="C178" t="n">
        <v>0.243216184661427</v>
      </c>
      <c r="D178" t="n">
        <v>0.75</v>
      </c>
    </row>
    <row r="179">
      <c r="A179" t="s">
        <v>626</v>
      </c>
      <c r="B179" t="s">
        <v>31</v>
      </c>
      <c r="C179" t="n">
        <v>0.197864715966029</v>
      </c>
      <c r="D179" t="n">
        <v>1</v>
      </c>
    </row>
    <row r="180">
      <c r="A180" t="s">
        <v>627</v>
      </c>
      <c r="B180" t="s">
        <v>30</v>
      </c>
      <c r="C180" t="n">
        <v>0.338714087960348</v>
      </c>
      <c r="D180" t="n">
        <v>0.75</v>
      </c>
    </row>
    <row r="181">
      <c r="A181" t="s">
        <v>628</v>
      </c>
      <c r="B181" t="s">
        <v>30</v>
      </c>
      <c r="C181" t="n">
        <v>0.177565727928558</v>
      </c>
      <c r="D181" t="n">
        <v>0.75</v>
      </c>
    </row>
    <row r="182">
      <c r="A182" t="s">
        <v>629</v>
      </c>
      <c r="B182" t="s">
        <v>30</v>
      </c>
      <c r="C182" t="n">
        <v>0.587201882401988</v>
      </c>
      <c r="D182" t="n">
        <v>1.5</v>
      </c>
    </row>
    <row r="183">
      <c r="A183" t="s">
        <v>630</v>
      </c>
      <c r="B183" t="s">
        <v>31</v>
      </c>
      <c r="C183" t="n">
        <v>0.521233136900016</v>
      </c>
      <c r="D183" t="n">
        <v>1</v>
      </c>
    </row>
    <row r="184">
      <c r="A184" t="s">
        <v>631</v>
      </c>
      <c r="B184" t="s">
        <v>30</v>
      </c>
      <c r="C184" t="n">
        <v>0.723823032141887</v>
      </c>
      <c r="D184" t="n">
        <v>1.5</v>
      </c>
    </row>
    <row r="185">
      <c r="A185" t="s">
        <v>632</v>
      </c>
      <c r="B185" t="s">
        <v>31</v>
      </c>
      <c r="C185" t="n">
        <v>0.108495318767796</v>
      </c>
      <c r="D185" t="n">
        <v>1</v>
      </c>
    </row>
    <row r="186">
      <c r="A186" t="s">
        <v>632</v>
      </c>
      <c r="B186" t="s">
        <v>31</v>
      </c>
      <c r="C186" t="n">
        <v>0.0877139836884621</v>
      </c>
      <c r="D186" t="n">
        <v>1</v>
      </c>
    </row>
    <row r="187">
      <c r="A187" t="s">
        <v>633</v>
      </c>
      <c r="B187" t="s">
        <v>31</v>
      </c>
      <c r="C187" t="n">
        <v>0.689385978008024</v>
      </c>
      <c r="D187" t="n">
        <v>1</v>
      </c>
    </row>
    <row r="188">
      <c r="A188" t="s">
        <v>633</v>
      </c>
      <c r="B188" t="s">
        <v>31</v>
      </c>
      <c r="C188" t="n">
        <v>0.62205486775636</v>
      </c>
      <c r="D188" t="n">
        <v>1</v>
      </c>
    </row>
    <row r="189">
      <c r="A189" t="s">
        <v>634</v>
      </c>
      <c r="B189" t="s">
        <v>31</v>
      </c>
      <c r="C189" t="n">
        <v>0.577538466537263</v>
      </c>
      <c r="D189" t="n">
        <v>1</v>
      </c>
    </row>
    <row r="190">
      <c r="A190" t="s">
        <v>635</v>
      </c>
      <c r="B190" t="s">
        <v>31</v>
      </c>
      <c r="C190" t="n">
        <v>0.842981634264308</v>
      </c>
      <c r="D190" t="n">
        <v>1</v>
      </c>
    </row>
    <row r="191">
      <c r="A191" t="s">
        <v>635</v>
      </c>
      <c r="B191" t="s">
        <v>31</v>
      </c>
      <c r="C191" t="n">
        <v>0.772769044441558</v>
      </c>
      <c r="D191" t="n">
        <v>1</v>
      </c>
    </row>
    <row r="192">
      <c r="A192" t="s">
        <v>636</v>
      </c>
      <c r="B192" t="s">
        <v>31</v>
      </c>
      <c r="C192" t="n">
        <v>0.533550902001849</v>
      </c>
      <c r="D192" t="n">
        <v>1</v>
      </c>
    </row>
    <row r="193">
      <c r="A193" t="s">
        <v>636</v>
      </c>
      <c r="B193" t="s">
        <v>31</v>
      </c>
      <c r="C193" t="n">
        <v>0.335696354540939</v>
      </c>
      <c r="D193" t="n">
        <v>1</v>
      </c>
    </row>
    <row r="194">
      <c r="A194" t="s">
        <v>637</v>
      </c>
      <c r="B194" t="s">
        <v>31</v>
      </c>
      <c r="C194" t="n">
        <v>0.136333207534476</v>
      </c>
      <c r="D194" t="n">
        <v>1</v>
      </c>
    </row>
    <row r="195">
      <c r="A195" t="s">
        <v>638</v>
      </c>
      <c r="B195" t="s">
        <v>31</v>
      </c>
      <c r="C195" t="n">
        <v>0.186283770473622</v>
      </c>
      <c r="D195" t="n">
        <v>1</v>
      </c>
    </row>
    <row r="196">
      <c r="A196" t="s">
        <v>639</v>
      </c>
      <c r="B196" t="s">
        <v>31</v>
      </c>
      <c r="C196" t="n">
        <v>0.815876743525281</v>
      </c>
      <c r="D196" t="n">
        <v>1</v>
      </c>
    </row>
    <row r="197">
      <c r="A197" t="s">
        <v>640</v>
      </c>
      <c r="B197" t="s">
        <v>30</v>
      </c>
      <c r="C197" t="n">
        <v>0.609309787204209</v>
      </c>
      <c r="D197" t="n">
        <v>1.5</v>
      </c>
    </row>
    <row r="198">
      <c r="A198" t="s">
        <v>641</v>
      </c>
      <c r="B198" t="s">
        <v>30</v>
      </c>
      <c r="C198" t="n">
        <v>0.153794181184678</v>
      </c>
      <c r="D198" t="n">
        <v>0.75</v>
      </c>
    </row>
    <row r="199">
      <c r="A199" t="s">
        <v>642</v>
      </c>
      <c r="B199" t="s">
        <v>31</v>
      </c>
      <c r="C199" t="n">
        <v>0.351695218469995</v>
      </c>
      <c r="D199" t="n">
        <v>1</v>
      </c>
    </row>
    <row r="200">
      <c r="A200" t="s">
        <v>642</v>
      </c>
      <c r="B200" t="s">
        <v>31</v>
      </c>
      <c r="C200" t="n">
        <v>0.379131674442355</v>
      </c>
      <c r="D200" t="n">
        <v>1</v>
      </c>
    </row>
    <row r="201">
      <c r="A201" t="s">
        <v>643</v>
      </c>
      <c r="B201" t="s">
        <v>31</v>
      </c>
      <c r="C201" t="n">
        <v>0.302574202046977</v>
      </c>
      <c r="D201" t="n">
        <v>1</v>
      </c>
    </row>
    <row r="202">
      <c r="A202" t="s">
        <v>644</v>
      </c>
      <c r="B202" t="s">
        <v>30</v>
      </c>
      <c r="C202" t="n">
        <v>0.336522113889281</v>
      </c>
      <c r="D202" t="n">
        <v>0.75</v>
      </c>
    </row>
    <row r="203">
      <c r="A203" t="s">
        <v>645</v>
      </c>
      <c r="B203" t="s">
        <v>31</v>
      </c>
      <c r="C203" t="n">
        <v>0.332753206663737</v>
      </c>
      <c r="D203" t="n">
        <v>1</v>
      </c>
    </row>
    <row r="204">
      <c r="A204" t="s">
        <v>646</v>
      </c>
      <c r="B204" t="s">
        <v>30</v>
      </c>
      <c r="C204" t="n">
        <v>0.492033453259117</v>
      </c>
      <c r="D204" t="n">
        <v>1.5</v>
      </c>
    </row>
    <row r="205">
      <c r="A205" t="s">
        <v>647</v>
      </c>
      <c r="B205" t="s">
        <v>30</v>
      </c>
      <c r="C205" t="n">
        <v>0.381214548973358</v>
      </c>
      <c r="D205" t="n">
        <v>1.5</v>
      </c>
    </row>
    <row r="206">
      <c r="A206" t="s">
        <v>647</v>
      </c>
      <c r="B206" t="s">
        <v>30</v>
      </c>
      <c r="C206" t="n">
        <v>0.293636453950638</v>
      </c>
      <c r="D206" t="n">
        <v>0.75</v>
      </c>
    </row>
    <row r="207">
      <c r="A207" t="s">
        <v>648</v>
      </c>
      <c r="B207" t="s">
        <v>31</v>
      </c>
      <c r="C207" t="n">
        <v>0.742006756374255</v>
      </c>
      <c r="D207" t="n">
        <v>1</v>
      </c>
    </row>
    <row r="208">
      <c r="A208" t="s">
        <v>649</v>
      </c>
      <c r="B208" t="s">
        <v>30</v>
      </c>
      <c r="C208" t="n">
        <v>0.361745744243218</v>
      </c>
      <c r="D208" t="n">
        <v>0.75</v>
      </c>
    </row>
    <row r="209">
      <c r="A209" t="s">
        <v>649</v>
      </c>
      <c r="B209" t="s">
        <v>30</v>
      </c>
      <c r="C209" t="n">
        <v>0.43635811931037</v>
      </c>
      <c r="D209" t="n">
        <v>1.5</v>
      </c>
    </row>
    <row r="210">
      <c r="A210" t="s">
        <v>650</v>
      </c>
      <c r="B210" t="s">
        <v>31</v>
      </c>
      <c r="C210" t="n">
        <v>0.555482080424419</v>
      </c>
      <c r="D210" t="n">
        <v>1</v>
      </c>
    </row>
    <row r="211">
      <c r="A211" t="s">
        <v>650</v>
      </c>
      <c r="B211" t="s">
        <v>31</v>
      </c>
      <c r="C211" t="n">
        <v>0.292744371933578</v>
      </c>
      <c r="D211" t="n">
        <v>1</v>
      </c>
    </row>
    <row r="212">
      <c r="A212" t="s">
        <v>651</v>
      </c>
      <c r="B212" t="s">
        <v>30</v>
      </c>
      <c r="C212" t="n">
        <v>0.475450469009419</v>
      </c>
      <c r="D212" t="n">
        <v>1.5</v>
      </c>
    </row>
    <row r="213">
      <c r="A213" t="s">
        <v>652</v>
      </c>
      <c r="B213" t="s">
        <v>30</v>
      </c>
      <c r="C213" t="n">
        <v>0.46012433935824</v>
      </c>
      <c r="D213" t="n">
        <v>0.75</v>
      </c>
    </row>
    <row r="214">
      <c r="A214" t="s">
        <v>652</v>
      </c>
      <c r="B214" t="s">
        <v>30</v>
      </c>
      <c r="C214" t="n">
        <v>0.423882313367815</v>
      </c>
      <c r="D214" t="n">
        <v>1.5</v>
      </c>
    </row>
    <row r="215">
      <c r="A215" t="s">
        <v>653</v>
      </c>
      <c r="B215" t="s">
        <v>30</v>
      </c>
      <c r="C215" t="n">
        <v>0.614775705814806</v>
      </c>
      <c r="D215" t="n">
        <v>1.5</v>
      </c>
    </row>
    <row r="216">
      <c r="A216" t="s">
        <v>654</v>
      </c>
      <c r="B216" t="s">
        <v>30</v>
      </c>
      <c r="C216" t="n">
        <v>0.137405149941688</v>
      </c>
      <c r="D216" t="n">
        <v>0.75</v>
      </c>
    </row>
    <row r="217">
      <c r="A217" t="s">
        <v>655</v>
      </c>
      <c r="B217" t="s">
        <v>31</v>
      </c>
      <c r="C217" t="n">
        <v>0.694402675275702</v>
      </c>
      <c r="D217" t="n">
        <v>1</v>
      </c>
    </row>
    <row r="218">
      <c r="A218" t="s">
        <v>656</v>
      </c>
      <c r="B218" t="s">
        <v>31</v>
      </c>
      <c r="C218" t="n">
        <v>0.429808574652681</v>
      </c>
      <c r="D218" t="n">
        <v>1</v>
      </c>
    </row>
    <row r="219">
      <c r="A219" t="s">
        <v>657</v>
      </c>
      <c r="B219" t="s">
        <v>30</v>
      </c>
      <c r="C219" t="n">
        <v>0.644879552225621</v>
      </c>
      <c r="D219" t="n">
        <v>1.5</v>
      </c>
    </row>
    <row r="220">
      <c r="A220" t="s">
        <v>657</v>
      </c>
      <c r="B220" t="s">
        <v>30</v>
      </c>
      <c r="C220" t="n">
        <v>0.297571383612233</v>
      </c>
      <c r="D220" t="n">
        <v>0.75</v>
      </c>
    </row>
    <row r="221">
      <c r="A221" t="s">
        <v>658</v>
      </c>
      <c r="B221" t="s">
        <v>30</v>
      </c>
      <c r="C221" t="n">
        <v>0.282854700339858</v>
      </c>
      <c r="D221" t="n">
        <v>0.75</v>
      </c>
    </row>
    <row r="222">
      <c r="A222" t="s">
        <v>659</v>
      </c>
      <c r="B222" t="s">
        <v>30</v>
      </c>
      <c r="C222" t="n">
        <v>0.293384253220585</v>
      </c>
      <c r="D222" t="n">
        <v>0.75</v>
      </c>
    </row>
    <row r="223">
      <c r="A223" t="s">
        <v>660</v>
      </c>
      <c r="B223" t="s">
        <v>30</v>
      </c>
      <c r="C223" t="n">
        <v>0.732848746023731</v>
      </c>
      <c r="D223" t="n">
        <v>1.5</v>
      </c>
    </row>
    <row r="224">
      <c r="A224" t="s">
        <v>661</v>
      </c>
      <c r="B224" t="s">
        <v>31</v>
      </c>
      <c r="C224" t="n">
        <v>0.465648454849572</v>
      </c>
      <c r="D224" t="n">
        <v>1</v>
      </c>
    </row>
    <row r="225">
      <c r="A225" t="s">
        <v>662</v>
      </c>
      <c r="B225" t="s">
        <v>30</v>
      </c>
      <c r="C225" t="n">
        <v>0.132090788563893</v>
      </c>
      <c r="D225" t="n">
        <v>0.75</v>
      </c>
    </row>
    <row r="226">
      <c r="A226" t="s">
        <v>663</v>
      </c>
      <c r="B226" t="s">
        <v>31</v>
      </c>
      <c r="C226" t="n">
        <v>0.371015706153368</v>
      </c>
      <c r="D226" t="n">
        <v>1</v>
      </c>
    </row>
    <row r="227">
      <c r="A227" t="s">
        <v>663</v>
      </c>
      <c r="B227" t="s">
        <v>31</v>
      </c>
      <c r="C227" t="n">
        <v>0.30963662168138</v>
      </c>
      <c r="D227" t="n">
        <v>1</v>
      </c>
    </row>
    <row r="228">
      <c r="A228" t="s">
        <v>664</v>
      </c>
      <c r="B228" t="s">
        <v>30</v>
      </c>
      <c r="C228" t="n">
        <v>0.0424114504183638</v>
      </c>
      <c r="D228" t="n">
        <v>0.75</v>
      </c>
    </row>
    <row r="229">
      <c r="A229" t="s">
        <v>665</v>
      </c>
      <c r="B229" t="s">
        <v>30</v>
      </c>
      <c r="C229" t="n">
        <v>0.541526626983417</v>
      </c>
      <c r="D229" t="n">
        <v>1.5</v>
      </c>
    </row>
    <row r="230">
      <c r="A230" t="s">
        <v>666</v>
      </c>
      <c r="B230" t="s">
        <v>30</v>
      </c>
      <c r="C230" t="n">
        <v>0.156550490377983</v>
      </c>
      <c r="D230" t="n">
        <v>0.75</v>
      </c>
    </row>
    <row r="231">
      <c r="A231" t="s">
        <v>666</v>
      </c>
      <c r="B231" t="s">
        <v>30</v>
      </c>
      <c r="C231" t="n">
        <v>0.302098914351062</v>
      </c>
      <c r="D231" t="n">
        <v>0.75</v>
      </c>
    </row>
    <row r="232">
      <c r="A232" t="s">
        <v>667</v>
      </c>
      <c r="B232" t="s">
        <v>30</v>
      </c>
      <c r="C232" t="n">
        <v>0.177775521196848</v>
      </c>
      <c r="D232" t="n">
        <v>0.75</v>
      </c>
    </row>
    <row r="233">
      <c r="A233" t="s">
        <v>667</v>
      </c>
      <c r="B233" t="s">
        <v>30</v>
      </c>
      <c r="C233" t="n">
        <v>0.324488841483406</v>
      </c>
      <c r="D233" t="n">
        <v>0.75</v>
      </c>
    </row>
    <row r="234">
      <c r="A234" t="s">
        <v>668</v>
      </c>
      <c r="B234" t="s">
        <v>30</v>
      </c>
      <c r="C234" t="n">
        <v>0.333424375341538</v>
      </c>
      <c r="D234" t="n">
        <v>0.75</v>
      </c>
    </row>
    <row r="235">
      <c r="A235" t="s">
        <v>669</v>
      </c>
      <c r="B235" t="s">
        <v>30</v>
      </c>
      <c r="C235" t="n">
        <v>0.194085939326519</v>
      </c>
      <c r="D235" t="n">
        <v>0.75</v>
      </c>
    </row>
    <row r="236">
      <c r="A236" t="s">
        <v>670</v>
      </c>
      <c r="B236" t="s">
        <v>30</v>
      </c>
      <c r="C236" t="n">
        <v>0.327029079204048</v>
      </c>
      <c r="D236" t="n">
        <v>0.75</v>
      </c>
    </row>
    <row r="237">
      <c r="A237" t="s">
        <v>671</v>
      </c>
      <c r="B237" t="s">
        <v>30</v>
      </c>
      <c r="C237" t="n">
        <v>0.771067474779399</v>
      </c>
      <c r="D237" t="n">
        <v>1.5</v>
      </c>
    </row>
    <row r="238">
      <c r="A238" t="s">
        <v>672</v>
      </c>
      <c r="B238" t="s">
        <v>30</v>
      </c>
      <c r="C238" t="n">
        <v>0.325579658287471</v>
      </c>
      <c r="D238" t="n">
        <v>0.75</v>
      </c>
    </row>
    <row r="239">
      <c r="A239" t="s">
        <v>673</v>
      </c>
      <c r="B239" t="s">
        <v>31</v>
      </c>
      <c r="C239" t="n">
        <v>0.412119045627593</v>
      </c>
      <c r="D239" t="n">
        <v>1</v>
      </c>
    </row>
    <row r="240">
      <c r="A240" t="s">
        <v>674</v>
      </c>
      <c r="B240" t="s">
        <v>30</v>
      </c>
      <c r="C240" t="n">
        <v>0.186771069705162</v>
      </c>
      <c r="D240" t="n">
        <v>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9" t="s">
        <v>675</v>
      </c>
    </row>
    <row r="3">
      <c r="A3" s="1" t="s">
        <v>676</v>
      </c>
    </row>
    <row r="4">
      <c r="A4" t="s">
        <v>301</v>
      </c>
      <c r="B4" t="s">
        <v>302</v>
      </c>
      <c r="C4" t="s">
        <v>303</v>
      </c>
      <c r="D4" t="s">
        <v>304</v>
      </c>
      <c r="E4" t="s">
        <v>305</v>
      </c>
      <c r="F4" t="s">
        <v>306</v>
      </c>
      <c r="G4" t="s">
        <v>307</v>
      </c>
      <c r="H4" t="s">
        <v>308</v>
      </c>
      <c r="I4" t="s">
        <v>309</v>
      </c>
      <c r="J4" t="s">
        <v>310</v>
      </c>
      <c r="K4" t="s">
        <v>311</v>
      </c>
      <c r="L4" t="s">
        <v>312</v>
      </c>
      <c r="M4" t="s">
        <v>313</v>
      </c>
      <c r="N4" t="s">
        <v>1</v>
      </c>
    </row>
    <row r="5">
      <c r="A5" t="s">
        <v>314</v>
      </c>
      <c r="B5" t="s">
        <v>315</v>
      </c>
      <c r="C5" t="n">
        <v>35.8511904761905</v>
      </c>
      <c r="D5" t="n">
        <v>0.518513949493283</v>
      </c>
      <c r="E5" t="n">
        <v>4780.64256138871</v>
      </c>
      <c r="F5" t="n">
        <v>0</v>
      </c>
      <c r="G5" t="s">
        <v>316</v>
      </c>
      <c r="H5" t="n">
        <v>35.8511904761905</v>
      </c>
      <c r="I5" t="n">
        <v>34.8349031351836</v>
      </c>
      <c r="J5" t="n">
        <v>36.8674778171973</v>
      </c>
      <c r="K5" t="s">
        <v>677</v>
      </c>
      <c r="L5" t="s">
        <v>678</v>
      </c>
      <c r="M5" t="s">
        <v>319</v>
      </c>
      <c r="N5"/>
    </row>
    <row r="6">
      <c r="A6" t="s">
        <v>314</v>
      </c>
      <c r="B6" t="s">
        <v>320</v>
      </c>
      <c r="C6" t="n">
        <v>0.184523809523809</v>
      </c>
      <c r="D6" t="n">
        <v>0.822906923357083</v>
      </c>
      <c r="E6" t="n">
        <v>0.0502809404211745</v>
      </c>
      <c r="F6" t="n">
        <v>0.822575135699371</v>
      </c>
      <c r="G6" t="s">
        <v>316</v>
      </c>
      <c r="H6" t="n">
        <v>0.184523809523809</v>
      </c>
      <c r="I6" t="n">
        <v>-1.42837376025607</v>
      </c>
      <c r="J6" t="n">
        <v>1.79742137930369</v>
      </c>
      <c r="K6" t="s">
        <v>679</v>
      </c>
      <c r="L6" t="s">
        <v>678</v>
      </c>
      <c r="M6" t="s">
        <v>319</v>
      </c>
      <c r="N6"/>
    </row>
    <row r="7">
      <c r="A7" t="s">
        <v>51</v>
      </c>
      <c r="B7" t="s">
        <v>315</v>
      </c>
      <c r="C7" t="n">
        <v>-4.25947792739365</v>
      </c>
      <c r="D7" t="n">
        <v>0.192808766288672</v>
      </c>
      <c r="E7" t="n">
        <v>488.044241280915</v>
      </c>
      <c r="F7" t="n">
        <v>0</v>
      </c>
      <c r="G7" t="s">
        <v>316</v>
      </c>
      <c r="H7" t="n">
        <v>-4.25947792739365</v>
      </c>
      <c r="I7" t="n">
        <v>-4.63738310931944</v>
      </c>
      <c r="J7" t="n">
        <v>-3.88157274546785</v>
      </c>
      <c r="K7" t="s">
        <v>680</v>
      </c>
      <c r="L7" t="s">
        <v>678</v>
      </c>
      <c r="M7" t="s">
        <v>319</v>
      </c>
      <c r="N7"/>
    </row>
    <row r="8">
      <c r="A8" t="s">
        <v>51</v>
      </c>
      <c r="B8" t="s">
        <v>320</v>
      </c>
      <c r="C8" t="n">
        <v>-0.0204338439980028</v>
      </c>
      <c r="D8" t="n">
        <v>0.270275559434121</v>
      </c>
      <c r="E8" t="n">
        <v>0.00571592599105965</v>
      </c>
      <c r="F8" t="n">
        <v>0.939734358320164</v>
      </c>
      <c r="G8" t="s">
        <v>316</v>
      </c>
      <c r="H8" t="n">
        <v>-0.0204338439980028</v>
      </c>
      <c r="I8" t="n">
        <v>-0.55017394048888</v>
      </c>
      <c r="J8" t="n">
        <v>0.509306252492874</v>
      </c>
      <c r="K8" t="s">
        <v>681</v>
      </c>
      <c r="L8" t="s">
        <v>678</v>
      </c>
      <c r="M8" t="s">
        <v>319</v>
      </c>
      <c r="N8"/>
    </row>
    <row r="9">
      <c r="A9" t="s">
        <v>58</v>
      </c>
      <c r="B9" t="s">
        <v>315</v>
      </c>
      <c r="C9" t="n">
        <v>-3.92559523809524</v>
      </c>
      <c r="D9" t="n">
        <v>0.198891359516623</v>
      </c>
      <c r="E9" t="n">
        <v>389.564347215999</v>
      </c>
      <c r="F9" t="n">
        <v>0</v>
      </c>
      <c r="G9" t="s">
        <v>316</v>
      </c>
      <c r="H9" t="n">
        <v>-3.92559523809524</v>
      </c>
      <c r="I9" t="n">
        <v>-4.31542230274782</v>
      </c>
      <c r="J9" t="n">
        <v>-3.53576817344266</v>
      </c>
      <c r="K9" t="s">
        <v>682</v>
      </c>
      <c r="L9" t="s">
        <v>678</v>
      </c>
      <c r="M9" t="s">
        <v>319</v>
      </c>
      <c r="N9"/>
    </row>
    <row r="10">
      <c r="A10" t="s">
        <v>58</v>
      </c>
      <c r="B10" t="s">
        <v>320</v>
      </c>
      <c r="C10" t="n">
        <v>0.00595238095238084</v>
      </c>
      <c r="D10" t="n">
        <v>0.276236130120265</v>
      </c>
      <c r="E10" t="n">
        <v>0.000464323296545352</v>
      </c>
      <c r="F10" t="n">
        <v>0.982808384445038</v>
      </c>
      <c r="G10" t="s">
        <v>316</v>
      </c>
      <c r="H10" t="n">
        <v>0.00595238095238084</v>
      </c>
      <c r="I10" t="n">
        <v>-0.535470434083339</v>
      </c>
      <c r="J10" t="n">
        <v>0.547375195988101</v>
      </c>
      <c r="K10" t="s">
        <v>683</v>
      </c>
      <c r="L10" t="s">
        <v>678</v>
      </c>
      <c r="M10" t="s">
        <v>319</v>
      </c>
      <c r="N10"/>
    </row>
    <row r="11">
      <c r="A11" t="s">
        <v>64</v>
      </c>
      <c r="B11" t="s">
        <v>315</v>
      </c>
      <c r="C11" t="n">
        <v>-0.662202380952381</v>
      </c>
      <c r="D11" t="n">
        <v>0.0503763971489105</v>
      </c>
      <c r="E11" t="n">
        <v>172.793446716078</v>
      </c>
      <c r="F11" t="n">
        <v>0</v>
      </c>
      <c r="G11" t="s">
        <v>316</v>
      </c>
      <c r="H11" t="n">
        <v>-0.662202380952381</v>
      </c>
      <c r="I11" t="n">
        <v>-0.760940119364245</v>
      </c>
      <c r="J11" t="n">
        <v>-0.563464642540516</v>
      </c>
      <c r="K11" t="s">
        <v>684</v>
      </c>
      <c r="L11" t="s">
        <v>678</v>
      </c>
      <c r="M11" t="s">
        <v>319</v>
      </c>
      <c r="N11"/>
    </row>
    <row r="12">
      <c r="A12" t="s">
        <v>64</v>
      </c>
      <c r="B12" t="s">
        <v>320</v>
      </c>
      <c r="C12" t="n">
        <v>-0.0491071428571429</v>
      </c>
      <c r="D12" t="n">
        <v>0.0771284678531205</v>
      </c>
      <c r="E12" t="n">
        <v>0.405377766149141</v>
      </c>
      <c r="F12" t="n">
        <v>0.524324941549702</v>
      </c>
      <c r="G12" t="s">
        <v>316</v>
      </c>
      <c r="H12" t="n">
        <v>-0.0491071428571429</v>
      </c>
      <c r="I12" t="n">
        <v>-0.200278939849259</v>
      </c>
      <c r="J12" t="n">
        <v>0.102064654134973</v>
      </c>
      <c r="K12" t="s">
        <v>685</v>
      </c>
      <c r="L12" t="s">
        <v>678</v>
      </c>
      <c r="M12" t="s">
        <v>319</v>
      </c>
      <c r="N12"/>
    </row>
    <row r="13">
      <c r="A13" t="s">
        <v>70</v>
      </c>
      <c r="B13" t="s">
        <v>315</v>
      </c>
      <c r="C13" t="n">
        <v>1.0907950095155</v>
      </c>
      <c r="D13" t="n">
        <v>0.0222214184085347</v>
      </c>
      <c r="E13" t="n">
        <v>2409.58766359384</v>
      </c>
      <c r="F13" t="n">
        <v>0</v>
      </c>
      <c r="G13" t="s">
        <v>316</v>
      </c>
      <c r="H13" t="n">
        <v>1.0907950095155</v>
      </c>
      <c r="I13" t="n">
        <v>1.04724102943477</v>
      </c>
      <c r="J13" t="n">
        <v>1.13434898959623</v>
      </c>
      <c r="K13" t="s">
        <v>686</v>
      </c>
      <c r="L13" t="s">
        <v>678</v>
      </c>
      <c r="M13" t="s">
        <v>319</v>
      </c>
      <c r="N13"/>
    </row>
    <row r="14">
      <c r="A14" t="s">
        <v>70</v>
      </c>
      <c r="B14" t="s">
        <v>320</v>
      </c>
      <c r="C14" t="n">
        <v>0.00160410592854784</v>
      </c>
      <c r="D14" t="n">
        <v>0.0318025458236212</v>
      </c>
      <c r="E14" t="n">
        <v>0.00254414765972105</v>
      </c>
      <c r="F14" t="n">
        <v>0.959772124439678</v>
      </c>
      <c r="G14" t="s">
        <v>316</v>
      </c>
      <c r="H14" t="n">
        <v>0.00160410592854784</v>
      </c>
      <c r="I14" t="n">
        <v>-0.0607288838857498</v>
      </c>
      <c r="J14" t="n">
        <v>0.0639370957428455</v>
      </c>
      <c r="K14" t="s">
        <v>687</v>
      </c>
      <c r="L14" t="s">
        <v>678</v>
      </c>
      <c r="M14" t="s">
        <v>319</v>
      </c>
      <c r="N14"/>
    </row>
    <row r="15">
      <c r="A15" t="s">
        <v>76</v>
      </c>
      <c r="B15" t="s">
        <v>315</v>
      </c>
      <c r="C15" t="n">
        <v>-0.0100143293619229</v>
      </c>
      <c r="D15" t="n">
        <v>0.00302659645185201</v>
      </c>
      <c r="E15" t="n">
        <v>10.9479978755422</v>
      </c>
      <c r="F15" t="n">
        <v>0.000937048122170547</v>
      </c>
      <c r="G15" t="s">
        <v>316</v>
      </c>
      <c r="H15" t="n">
        <v>-0.0100143293619229</v>
      </c>
      <c r="I15" t="n">
        <v>-0.0159464584075528</v>
      </c>
      <c r="J15" t="n">
        <v>-0.00408220031629295</v>
      </c>
      <c r="K15" t="s">
        <v>688</v>
      </c>
      <c r="L15" t="s">
        <v>678</v>
      </c>
      <c r="M15" t="s">
        <v>319</v>
      </c>
      <c r="N15"/>
    </row>
    <row r="16">
      <c r="A16" t="s">
        <v>76</v>
      </c>
      <c r="B16" t="s">
        <v>320</v>
      </c>
      <c r="C16" t="n">
        <v>0.00508550976060583</v>
      </c>
      <c r="D16" t="n">
        <v>0.00445912473848012</v>
      </c>
      <c r="E16" t="n">
        <v>1.30067784157682</v>
      </c>
      <c r="F16" t="n">
        <v>0.254089445168599</v>
      </c>
      <c r="G16" t="s">
        <v>316</v>
      </c>
      <c r="H16" t="n">
        <v>0.00508550976060583</v>
      </c>
      <c r="I16" t="n">
        <v>-0.00365437472681521</v>
      </c>
      <c r="J16" t="n">
        <v>0.0138253942480269</v>
      </c>
      <c r="K16" t="s">
        <v>689</v>
      </c>
      <c r="L16" t="s">
        <v>678</v>
      </c>
      <c r="M16" t="s">
        <v>319</v>
      </c>
      <c r="N16"/>
    </row>
    <row r="17">
      <c r="A17" t="s">
        <v>81</v>
      </c>
      <c r="B17" t="s">
        <v>315</v>
      </c>
      <c r="C17" t="n">
        <v>538.666666666667</v>
      </c>
      <c r="D17" t="n">
        <v>2.74342993082316</v>
      </c>
      <c r="E17" t="n">
        <v>38552.4922451182</v>
      </c>
      <c r="F17" t="n">
        <v>0</v>
      </c>
      <c r="G17" t="s">
        <v>316</v>
      </c>
      <c r="H17" t="n">
        <v>538.666666666667</v>
      </c>
      <c r="I17" t="n">
        <v>533.289544002253</v>
      </c>
      <c r="J17" t="n">
        <v>544.04378933108</v>
      </c>
      <c r="K17" t="s">
        <v>690</v>
      </c>
      <c r="L17" t="s">
        <v>678</v>
      </c>
      <c r="M17" t="s">
        <v>319</v>
      </c>
      <c r="N17"/>
    </row>
    <row r="18">
      <c r="A18" t="s">
        <v>81</v>
      </c>
      <c r="B18" t="s">
        <v>320</v>
      </c>
      <c r="C18" t="n">
        <v>-1.49999999999995</v>
      </c>
      <c r="D18" t="n">
        <v>3.92195309920591</v>
      </c>
      <c r="E18" t="n">
        <v>0.146277566401727</v>
      </c>
      <c r="F18" t="n">
        <v>0.702118336699898</v>
      </c>
      <c r="G18" t="s">
        <v>316</v>
      </c>
      <c r="H18" t="n">
        <v>-1.49999999999995</v>
      </c>
      <c r="I18" t="n">
        <v>-9.18702807444354</v>
      </c>
      <c r="J18" t="n">
        <v>6.18702807444365</v>
      </c>
      <c r="K18" t="s">
        <v>691</v>
      </c>
      <c r="L18" t="s">
        <v>678</v>
      </c>
      <c r="M18" t="s">
        <v>319</v>
      </c>
      <c r="N18"/>
    </row>
    <row r="19">
      <c r="A19" t="s">
        <v>85</v>
      </c>
      <c r="B19" t="s">
        <v>315</v>
      </c>
      <c r="C19" t="n">
        <v>43.721130952381</v>
      </c>
      <c r="D19" t="n">
        <v>0.125492678218327</v>
      </c>
      <c r="E19" t="n">
        <v>121379.68304303</v>
      </c>
      <c r="F19" t="n">
        <v>0</v>
      </c>
      <c r="G19" t="s">
        <v>316</v>
      </c>
      <c r="H19" t="n">
        <v>43.721130952381</v>
      </c>
      <c r="I19" t="n">
        <v>43.475165303073</v>
      </c>
      <c r="J19" t="n">
        <v>43.9670966016889</v>
      </c>
      <c r="K19" t="s">
        <v>692</v>
      </c>
      <c r="L19" t="s">
        <v>678</v>
      </c>
      <c r="M19" t="s">
        <v>319</v>
      </c>
      <c r="N19"/>
    </row>
    <row r="20">
      <c r="A20" t="s">
        <v>85</v>
      </c>
      <c r="B20" t="s">
        <v>320</v>
      </c>
      <c r="C20" t="n">
        <v>-0.240654761904758</v>
      </c>
      <c r="D20" t="n">
        <v>0.191924675588666</v>
      </c>
      <c r="E20" t="n">
        <v>1.57227058277679</v>
      </c>
      <c r="F20" t="n">
        <v>0.209877576234833</v>
      </c>
      <c r="G20" t="s">
        <v>316</v>
      </c>
      <c r="H20" t="n">
        <v>-0.240654761904758</v>
      </c>
      <c r="I20" t="n">
        <v>-0.616827126058543</v>
      </c>
      <c r="J20" t="n">
        <v>0.135517602249026</v>
      </c>
      <c r="K20" t="s">
        <v>693</v>
      </c>
      <c r="L20" t="s">
        <v>678</v>
      </c>
      <c r="M20" t="s">
        <v>319</v>
      </c>
      <c r="N20"/>
    </row>
    <row r="21">
      <c r="A21" t="s">
        <v>91</v>
      </c>
      <c r="B21"/>
      <c r="C21"/>
      <c r="D21"/>
      <c r="E21"/>
      <c r="F21"/>
      <c r="G21"/>
      <c r="H21"/>
      <c r="I21"/>
      <c r="J21"/>
      <c r="K21"/>
      <c r="L21" t="s">
        <v>336</v>
      </c>
      <c r="M21"/>
      <c r="N21"/>
    </row>
    <row r="22">
      <c r="A22" t="s">
        <v>23</v>
      </c>
      <c r="B22" t="s">
        <v>315</v>
      </c>
      <c r="C22" t="n">
        <v>0.312031101462067</v>
      </c>
      <c r="D22" t="n">
        <v>0.227375748560056</v>
      </c>
      <c r="E22" t="n">
        <v>1.88324786867887</v>
      </c>
      <c r="F22" t="n">
        <v>0.169965464998284</v>
      </c>
      <c r="G22" t="s">
        <v>337</v>
      </c>
      <c r="H22" t="n">
        <v>1.36619718309859</v>
      </c>
      <c r="I22" t="n">
        <v>0.874917777408686</v>
      </c>
      <c r="J22" t="n">
        <v>2.1333373161472</v>
      </c>
      <c r="K22" t="s">
        <v>694</v>
      </c>
      <c r="L22" t="s">
        <v>695</v>
      </c>
      <c r="M22" t="s">
        <v>319</v>
      </c>
      <c r="N22"/>
    </row>
    <row r="23">
      <c r="A23" t="s">
        <v>23</v>
      </c>
      <c r="B23" t="s">
        <v>320</v>
      </c>
      <c r="C23" t="n">
        <v>-0.0728014123962328</v>
      </c>
      <c r="D23" t="n">
        <v>0.359589251857688</v>
      </c>
      <c r="E23" t="n">
        <v>0.0409888945395954</v>
      </c>
      <c r="F23" t="n">
        <v>0.839559359938673</v>
      </c>
      <c r="G23" t="s">
        <v>337</v>
      </c>
      <c r="H23" t="n">
        <v>0.929785455558652</v>
      </c>
      <c r="I23" t="n">
        <v>0.459509186024828</v>
      </c>
      <c r="J23" t="n">
        <v>1.88135736925551</v>
      </c>
      <c r="K23" t="s">
        <v>696</v>
      </c>
      <c r="L23" t="s">
        <v>695</v>
      </c>
      <c r="M23" t="s">
        <v>319</v>
      </c>
      <c r="N23"/>
    </row>
    <row r="24">
      <c r="A24" t="s">
        <v>341</v>
      </c>
      <c r="B24" t="s">
        <v>315</v>
      </c>
      <c r="C24" t="n">
        <v>-0.72005463347987</v>
      </c>
      <c r="D24" t="n">
        <v>0.250437192843812</v>
      </c>
      <c r="E24" t="n">
        <v>8.26672031413322</v>
      </c>
      <c r="F24" t="n">
        <v>0.0040378381795747</v>
      </c>
      <c r="G24" t="s">
        <v>337</v>
      </c>
      <c r="H24" t="n">
        <v>0.486725663716814</v>
      </c>
      <c r="I24" t="n">
        <v>0.297925587077142</v>
      </c>
      <c r="J24" t="n">
        <v>0.795171284362468</v>
      </c>
      <c r="K24" t="s">
        <v>697</v>
      </c>
      <c r="L24" t="s">
        <v>695</v>
      </c>
      <c r="M24" t="s">
        <v>319</v>
      </c>
      <c r="N24"/>
    </row>
    <row r="25">
      <c r="A25" t="s">
        <v>341</v>
      </c>
      <c r="B25" t="s">
        <v>320</v>
      </c>
      <c r="C25" t="n">
        <v>-0.977675886099909</v>
      </c>
      <c r="D25" t="n">
        <v>0.457597344674885</v>
      </c>
      <c r="E25" t="n">
        <v>4.56481115853902</v>
      </c>
      <c r="F25" t="n">
        <v>0.0326352720511847</v>
      </c>
      <c r="G25" t="s">
        <v>337</v>
      </c>
      <c r="H25" t="n">
        <v>0.37618437900128</v>
      </c>
      <c r="I25" t="n">
        <v>0.153421432763591</v>
      </c>
      <c r="J25" t="n">
        <v>0.922391900893275</v>
      </c>
      <c r="K25" t="s">
        <v>698</v>
      </c>
      <c r="L25" t="s">
        <v>695</v>
      </c>
      <c r="M25" t="s">
        <v>319</v>
      </c>
      <c r="N25"/>
    </row>
    <row r="26">
      <c r="A26" t="s">
        <v>344</v>
      </c>
      <c r="B26"/>
      <c r="C26"/>
      <c r="D26"/>
      <c r="E26"/>
      <c r="F26"/>
      <c r="G26"/>
      <c r="H26"/>
      <c r="I26"/>
      <c r="J26"/>
      <c r="K26"/>
      <c r="L26" t="s">
        <v>345</v>
      </c>
      <c r="M26"/>
      <c r="N26"/>
    </row>
    <row r="28">
      <c r="A28" s="1" t="s">
        <v>699</v>
      </c>
    </row>
    <row r="29">
      <c r="A29" t="s">
        <v>301</v>
      </c>
      <c r="B29" t="s">
        <v>302</v>
      </c>
      <c r="C29" t="s">
        <v>303</v>
      </c>
      <c r="D29" t="s">
        <v>304</v>
      </c>
      <c r="E29" t="s">
        <v>305</v>
      </c>
      <c r="F29" t="s">
        <v>306</v>
      </c>
      <c r="G29" t="s">
        <v>307</v>
      </c>
      <c r="H29" t="s">
        <v>308</v>
      </c>
      <c r="I29" t="s">
        <v>309</v>
      </c>
      <c r="J29" t="s">
        <v>310</v>
      </c>
      <c r="K29" t="s">
        <v>311</v>
      </c>
      <c r="L29" t="s">
        <v>312</v>
      </c>
      <c r="M29" t="s">
        <v>313</v>
      </c>
      <c r="N29" t="s">
        <v>1</v>
      </c>
    </row>
    <row r="30">
      <c r="A30" t="s">
        <v>121</v>
      </c>
      <c r="B30" t="s">
        <v>315</v>
      </c>
      <c r="C30" t="n">
        <v>6.52720238095238</v>
      </c>
      <c r="D30" t="n">
        <v>0.0262649483870317</v>
      </c>
      <c r="E30" t="n">
        <v>61759.113530563</v>
      </c>
      <c r="F30" t="n">
        <v>0</v>
      </c>
      <c r="G30" t="s">
        <v>316</v>
      </c>
      <c r="H30" t="n">
        <v>6.52720238095238</v>
      </c>
      <c r="I30" t="n">
        <v>6.4757230821138</v>
      </c>
      <c r="J30" t="n">
        <v>6.57868167979096</v>
      </c>
      <c r="K30" t="s">
        <v>700</v>
      </c>
      <c r="L30" t="s">
        <v>678</v>
      </c>
      <c r="M30" t="s">
        <v>319</v>
      </c>
      <c r="N30"/>
    </row>
    <row r="31">
      <c r="A31" t="s">
        <v>121</v>
      </c>
      <c r="B31" t="s">
        <v>320</v>
      </c>
      <c r="C31" t="n">
        <v>-0.0669642857142855</v>
      </c>
      <c r="D31" t="n">
        <v>0.0417449947863079</v>
      </c>
      <c r="E31" t="n">
        <v>2.57322438993345</v>
      </c>
      <c r="F31" t="n">
        <v>0.108685995729208</v>
      </c>
      <c r="G31" t="s">
        <v>316</v>
      </c>
      <c r="H31" t="n">
        <v>-0.0669642857142855</v>
      </c>
      <c r="I31" t="n">
        <v>-0.148784475495449</v>
      </c>
      <c r="J31" t="n">
        <v>0.0148559040668781</v>
      </c>
      <c r="K31" t="s">
        <v>701</v>
      </c>
      <c r="L31" t="s">
        <v>678</v>
      </c>
      <c r="M31" t="s">
        <v>319</v>
      </c>
      <c r="N31"/>
    </row>
    <row r="32">
      <c r="A32" t="s">
        <v>127</v>
      </c>
      <c r="B32" t="s">
        <v>315</v>
      </c>
      <c r="C32" t="n">
        <v>65.8869047619048</v>
      </c>
      <c r="D32" t="n">
        <v>2.64512049414081</v>
      </c>
      <c r="E32" t="n">
        <v>620.450716817029</v>
      </c>
      <c r="F32" t="n">
        <v>0</v>
      </c>
      <c r="G32" t="s">
        <v>316</v>
      </c>
      <c r="H32" t="n">
        <v>65.8869047619048</v>
      </c>
      <c r="I32" t="n">
        <v>60.7024685933888</v>
      </c>
      <c r="J32" t="n">
        <v>71.0713409304207</v>
      </c>
      <c r="K32" t="s">
        <v>702</v>
      </c>
      <c r="L32" t="s">
        <v>678</v>
      </c>
      <c r="M32" t="s">
        <v>319</v>
      </c>
      <c r="N32"/>
    </row>
    <row r="33">
      <c r="A33" t="s">
        <v>127</v>
      </c>
      <c r="B33" t="s">
        <v>320</v>
      </c>
      <c r="C33" t="n">
        <v>-0.541666666666665</v>
      </c>
      <c r="D33" t="n">
        <v>3.84563327758993</v>
      </c>
      <c r="E33" t="n">
        <v>0.0198393978531007</v>
      </c>
      <c r="F33" t="n">
        <v>0.887986548500479</v>
      </c>
      <c r="G33" t="s">
        <v>316</v>
      </c>
      <c r="H33" t="n">
        <v>-0.541666666666665</v>
      </c>
      <c r="I33" t="n">
        <v>-8.07910789074293</v>
      </c>
      <c r="J33" t="n">
        <v>6.9957745574096</v>
      </c>
      <c r="K33" t="s">
        <v>703</v>
      </c>
      <c r="L33" t="s">
        <v>678</v>
      </c>
      <c r="M33" t="s">
        <v>319</v>
      </c>
      <c r="N33"/>
    </row>
    <row r="34">
      <c r="A34" t="s">
        <v>350</v>
      </c>
      <c r="B34"/>
      <c r="C34"/>
      <c r="D34"/>
      <c r="E34"/>
      <c r="F34"/>
      <c r="G34"/>
      <c r="H34"/>
      <c r="I34"/>
      <c r="J34"/>
      <c r="K34"/>
      <c r="L34" t="s">
        <v>345</v>
      </c>
      <c r="M34"/>
      <c r="N34"/>
    </row>
    <row r="36">
      <c r="A36" s="1" t="s">
        <v>704</v>
      </c>
    </row>
    <row r="37">
      <c r="A37" t="s">
        <v>301</v>
      </c>
      <c r="B37" t="s">
        <v>302</v>
      </c>
      <c r="C37" t="s">
        <v>303</v>
      </c>
      <c r="D37" t="s">
        <v>304</v>
      </c>
      <c r="E37" t="s">
        <v>305</v>
      </c>
      <c r="F37" t="s">
        <v>306</v>
      </c>
      <c r="G37" t="s">
        <v>307</v>
      </c>
      <c r="H37" t="s">
        <v>308</v>
      </c>
      <c r="I37" t="s">
        <v>309</v>
      </c>
      <c r="J37" t="s">
        <v>310</v>
      </c>
      <c r="K37" t="s">
        <v>311</v>
      </c>
      <c r="L37" t="s">
        <v>312</v>
      </c>
      <c r="M37" t="s">
        <v>313</v>
      </c>
      <c r="N37" t="s">
        <v>1</v>
      </c>
    </row>
    <row r="38">
      <c r="A38" t="s">
        <v>165</v>
      </c>
      <c r="B38" t="s">
        <v>315</v>
      </c>
      <c r="C38" t="n">
        <v>186.458333333333</v>
      </c>
      <c r="D38" t="n">
        <v>8.12470721334931</v>
      </c>
      <c r="E38" t="n">
        <v>526.681613044775</v>
      </c>
      <c r="F38" t="n">
        <v>0</v>
      </c>
      <c r="G38" t="s">
        <v>316</v>
      </c>
      <c r="H38" t="n">
        <v>186.458333333333</v>
      </c>
      <c r="I38" t="n">
        <v>170.533907195169</v>
      </c>
      <c r="J38" t="n">
        <v>202.382759471498</v>
      </c>
      <c r="K38" t="s">
        <v>705</v>
      </c>
      <c r="L38" t="s">
        <v>678</v>
      </c>
      <c r="M38" t="s">
        <v>319</v>
      </c>
      <c r="N38"/>
    </row>
    <row r="39">
      <c r="A39" t="s">
        <v>165</v>
      </c>
      <c r="B39" t="s">
        <v>320</v>
      </c>
      <c r="C39" t="n">
        <v>-14.1011904761905</v>
      </c>
      <c r="D39" t="n">
        <v>12.1479617794174</v>
      </c>
      <c r="E39" t="n">
        <v>1.34742538269401</v>
      </c>
      <c r="F39" t="n">
        <v>0.245728719633703</v>
      </c>
      <c r="G39" t="s">
        <v>316</v>
      </c>
      <c r="H39" t="n">
        <v>-14.1011904761905</v>
      </c>
      <c r="I39" t="n">
        <v>-37.9111955638486</v>
      </c>
      <c r="J39" t="n">
        <v>9.70881461146762</v>
      </c>
      <c r="K39" t="s">
        <v>706</v>
      </c>
      <c r="L39" t="s">
        <v>678</v>
      </c>
      <c r="M39" t="s">
        <v>319</v>
      </c>
      <c r="N39"/>
    </row>
    <row r="40">
      <c r="A40" t="s">
        <v>173</v>
      </c>
      <c r="B40" t="s">
        <v>315</v>
      </c>
      <c r="C40" t="n">
        <v>0.03125</v>
      </c>
      <c r="D40" t="n">
        <v>0.0308297547306216</v>
      </c>
      <c r="E40" t="n">
        <v>1.02744812522752</v>
      </c>
      <c r="F40" t="n">
        <v>0.310758784150801</v>
      </c>
      <c r="G40" t="s">
        <v>316</v>
      </c>
      <c r="H40" t="n">
        <v>0.03125</v>
      </c>
      <c r="I40" t="n">
        <v>-0.0291763192720183</v>
      </c>
      <c r="J40" t="n">
        <v>0.0916763192720182</v>
      </c>
      <c r="K40" t="s">
        <v>707</v>
      </c>
      <c r="L40" t="s">
        <v>678</v>
      </c>
      <c r="M40" t="s">
        <v>319</v>
      </c>
      <c r="N40"/>
    </row>
    <row r="41">
      <c r="A41" t="s">
        <v>173</v>
      </c>
      <c r="B41" t="s">
        <v>320</v>
      </c>
      <c r="C41" t="n">
        <v>-0.174107142857143</v>
      </c>
      <c r="D41" t="n">
        <v>0.0597722126250282</v>
      </c>
      <c r="E41" t="n">
        <v>8.4846613326123</v>
      </c>
      <c r="F41" t="n">
        <v>0.003581532454073</v>
      </c>
      <c r="G41" t="s">
        <v>316</v>
      </c>
      <c r="H41" t="n">
        <v>-0.174107142857143</v>
      </c>
      <c r="I41" t="n">
        <v>-0.291260679602198</v>
      </c>
      <c r="J41" t="n">
        <v>-0.0569536061120875</v>
      </c>
      <c r="K41" t="s">
        <v>708</v>
      </c>
      <c r="L41" t="s">
        <v>678</v>
      </c>
      <c r="M41" t="s">
        <v>319</v>
      </c>
      <c r="N41"/>
    </row>
    <row r="42">
      <c r="A42" t="s">
        <v>178</v>
      </c>
      <c r="B42" t="s">
        <v>315</v>
      </c>
      <c r="C42" t="n">
        <v>-0.217261904761905</v>
      </c>
      <c r="D42" t="n">
        <v>0.0155727908771278</v>
      </c>
      <c r="E42" t="n">
        <v>194.640970890372</v>
      </c>
      <c r="F42" t="n">
        <v>0</v>
      </c>
      <c r="G42" t="s">
        <v>316</v>
      </c>
      <c r="H42" t="n">
        <v>-0.217261904761905</v>
      </c>
      <c r="I42" t="n">
        <v>-0.247784574881075</v>
      </c>
      <c r="J42" t="n">
        <v>-0.186739234642734</v>
      </c>
      <c r="K42" t="s">
        <v>709</v>
      </c>
      <c r="L42" t="s">
        <v>678</v>
      </c>
      <c r="M42" t="s">
        <v>319</v>
      </c>
      <c r="N42"/>
    </row>
    <row r="43">
      <c r="A43" t="s">
        <v>178</v>
      </c>
      <c r="B43" t="s">
        <v>320</v>
      </c>
      <c r="C43" t="n">
        <v>-0.0148809523809524</v>
      </c>
      <c r="D43" t="n">
        <v>0.0271012222239646</v>
      </c>
      <c r="E43" t="n">
        <v>0.301497488802804</v>
      </c>
      <c r="F43" t="n">
        <v>0.5829451493121</v>
      </c>
      <c r="G43" t="s">
        <v>316</v>
      </c>
      <c r="H43" t="n">
        <v>-0.0148809523809524</v>
      </c>
      <c r="I43" t="n">
        <v>-0.0679993479399229</v>
      </c>
      <c r="J43" t="n">
        <v>0.0382374431780181</v>
      </c>
      <c r="K43" t="s">
        <v>710</v>
      </c>
      <c r="L43" t="s">
        <v>678</v>
      </c>
      <c r="M43" t="s">
        <v>319</v>
      </c>
      <c r="N43"/>
    </row>
    <row r="44">
      <c r="A44" t="s">
        <v>186</v>
      </c>
      <c r="B44" t="s">
        <v>315</v>
      </c>
      <c r="C44" t="n">
        <v>0.00573883895830705</v>
      </c>
      <c r="D44" t="n">
        <v>0.00506205702147126</v>
      </c>
      <c r="E44" t="n">
        <v>1.2852689322588</v>
      </c>
      <c r="F44" t="n">
        <v>0.256921660254636</v>
      </c>
      <c r="G44" t="s">
        <v>316</v>
      </c>
      <c r="H44" t="n">
        <v>0.00573883895830705</v>
      </c>
      <c r="I44" t="n">
        <v>-0.00418279280377662</v>
      </c>
      <c r="J44" t="n">
        <v>0.0156604707203907</v>
      </c>
      <c r="K44" t="s">
        <v>711</v>
      </c>
      <c r="L44" t="s">
        <v>678</v>
      </c>
      <c r="M44" t="s">
        <v>319</v>
      </c>
      <c r="N44"/>
    </row>
    <row r="45">
      <c r="A45" t="s">
        <v>186</v>
      </c>
      <c r="B45" t="s">
        <v>320</v>
      </c>
      <c r="C45" t="n">
        <v>0.0520551399774407</v>
      </c>
      <c r="D45" t="n">
        <v>0.00768656084876836</v>
      </c>
      <c r="E45" t="n">
        <v>45.863067456206</v>
      </c>
      <c r="F45" t="n">
        <v>0.0000000000126814114764784</v>
      </c>
      <c r="G45" t="s">
        <v>316</v>
      </c>
      <c r="H45" t="n">
        <v>0.0520551399774407</v>
      </c>
      <c r="I45" t="n">
        <v>0.0369894807138547</v>
      </c>
      <c r="J45" t="n">
        <v>0.0671207992410267</v>
      </c>
      <c r="K45" t="s">
        <v>712</v>
      </c>
      <c r="L45" t="s">
        <v>678</v>
      </c>
      <c r="M45" t="s">
        <v>319</v>
      </c>
      <c r="N45"/>
    </row>
    <row r="46">
      <c r="A46" t="s">
        <v>191</v>
      </c>
      <c r="B46" t="s">
        <v>315</v>
      </c>
      <c r="C46" t="n">
        <v>-0.0104246864137773</v>
      </c>
      <c r="D46" t="n">
        <v>0.00317890791807524</v>
      </c>
      <c r="E46" t="n">
        <v>10.7540017637672</v>
      </c>
      <c r="F46" t="n">
        <v>0.00104054076958082</v>
      </c>
      <c r="G46" t="s">
        <v>316</v>
      </c>
      <c r="H46" t="n">
        <v>-0.0104246864137773</v>
      </c>
      <c r="I46" t="n">
        <v>-0.0166553459332048</v>
      </c>
      <c r="J46" t="n">
        <v>-0.00419402689434984</v>
      </c>
      <c r="K46" t="s">
        <v>713</v>
      </c>
      <c r="L46" t="s">
        <v>678</v>
      </c>
      <c r="M46" t="s">
        <v>319</v>
      </c>
      <c r="N46"/>
    </row>
    <row r="47">
      <c r="A47" t="s">
        <v>191</v>
      </c>
      <c r="B47" t="s">
        <v>320</v>
      </c>
      <c r="C47" t="n">
        <v>0.0064627879142307</v>
      </c>
      <c r="D47" t="n">
        <v>0.00500197380253784</v>
      </c>
      <c r="E47" t="n">
        <v>1.66938682883897</v>
      </c>
      <c r="F47" t="n">
        <v>0.196340683807723</v>
      </c>
      <c r="G47" t="s">
        <v>316</v>
      </c>
      <c r="H47" t="n">
        <v>0.0064627879142307</v>
      </c>
      <c r="I47" t="n">
        <v>-0.00334108073874346</v>
      </c>
      <c r="J47" t="n">
        <v>0.0162666565672049</v>
      </c>
      <c r="K47" t="s">
        <v>714</v>
      </c>
      <c r="L47" t="s">
        <v>678</v>
      </c>
      <c r="M47" t="s">
        <v>319</v>
      </c>
      <c r="N47"/>
    </row>
    <row r="48">
      <c r="A48" t="s">
        <v>197</v>
      </c>
      <c r="B48"/>
      <c r="C48"/>
      <c r="D48"/>
      <c r="E48"/>
      <c r="F48"/>
      <c r="G48"/>
      <c r="H48"/>
      <c r="I48"/>
      <c r="J48"/>
      <c r="K48"/>
      <c r="L48" t="s">
        <v>336</v>
      </c>
      <c r="M48"/>
      <c r="N48"/>
    </row>
    <row r="49">
      <c r="A49" t="s">
        <v>200</v>
      </c>
      <c r="B49"/>
      <c r="C49"/>
      <c r="D49"/>
      <c r="E49"/>
      <c r="F49"/>
      <c r="G49"/>
      <c r="H49"/>
      <c r="I49"/>
      <c r="J49"/>
      <c r="K49"/>
      <c r="L49" t="s">
        <v>336</v>
      </c>
      <c r="M49"/>
      <c r="N49"/>
    </row>
    <row r="50">
      <c r="A50" t="s">
        <v>361</v>
      </c>
      <c r="B50" t="s">
        <v>315</v>
      </c>
      <c r="C50" t="n">
        <v>-1.69773051957978</v>
      </c>
      <c r="D50" t="n">
        <v>0.255116932156351</v>
      </c>
      <c r="E50" t="n">
        <v>44.2852340478265</v>
      </c>
      <c r="F50" t="n">
        <v>0.0000000000283849610482889</v>
      </c>
      <c r="G50" t="s">
        <v>337</v>
      </c>
      <c r="H50" t="n">
        <v>0.183098591549296</v>
      </c>
      <c r="I50" t="n">
        <v>0.111051668209569</v>
      </c>
      <c r="J50" t="n">
        <v>0.301887353588147</v>
      </c>
      <c r="K50" t="s">
        <v>715</v>
      </c>
      <c r="L50" t="s">
        <v>695</v>
      </c>
      <c r="M50" t="s">
        <v>319</v>
      </c>
      <c r="N50"/>
    </row>
    <row r="51">
      <c r="A51" t="s">
        <v>361</v>
      </c>
      <c r="B51" t="s">
        <v>320</v>
      </c>
      <c r="C51" t="n">
        <v>0.950516117749557</v>
      </c>
      <c r="D51" t="n">
        <v>0.34417611298775</v>
      </c>
      <c r="E51" t="n">
        <v>7.62706627270703</v>
      </c>
      <c r="F51" t="n">
        <v>0.00574987558714091</v>
      </c>
      <c r="G51" t="s">
        <v>337</v>
      </c>
      <c r="H51" t="n">
        <v>2.58704453441295</v>
      </c>
      <c r="I51" t="n">
        <v>1.31775685171216</v>
      </c>
      <c r="J51" t="n">
        <v>5.07893350305103</v>
      </c>
      <c r="K51" t="s">
        <v>716</v>
      </c>
      <c r="L51" t="s">
        <v>695</v>
      </c>
      <c r="M51" t="s">
        <v>319</v>
      </c>
      <c r="N51"/>
    </row>
    <row r="52">
      <c r="A52" t="s">
        <v>364</v>
      </c>
      <c r="B52" t="s">
        <v>315</v>
      </c>
      <c r="C52" t="n">
        <v>-2.65835053254994</v>
      </c>
      <c r="D52" t="n">
        <v>0.411049848851225</v>
      </c>
      <c r="E52" t="n">
        <v>41.8249574696907</v>
      </c>
      <c r="F52" t="n">
        <v>0.00000000009982115134477</v>
      </c>
      <c r="G52" t="s">
        <v>337</v>
      </c>
      <c r="H52" t="n">
        <v>0.0700636942675159</v>
      </c>
      <c r="I52" t="n">
        <v>0.0313040362430311</v>
      </c>
      <c r="J52" t="n">
        <v>0.156814323121184</v>
      </c>
      <c r="K52" t="s">
        <v>717</v>
      </c>
      <c r="L52" t="s">
        <v>695</v>
      </c>
      <c r="M52" t="s">
        <v>319</v>
      </c>
      <c r="N52"/>
    </row>
    <row r="53">
      <c r="A53" t="s">
        <v>364</v>
      </c>
      <c r="B53" t="s">
        <v>320</v>
      </c>
      <c r="C53" t="n">
        <v>0.0934011750884011</v>
      </c>
      <c r="D53" t="n">
        <v>0.634578433994965</v>
      </c>
      <c r="E53" t="n">
        <v>0.0216637713409828</v>
      </c>
      <c r="F53" t="n">
        <v>0.882985069204129</v>
      </c>
      <c r="G53" t="s">
        <v>337</v>
      </c>
      <c r="H53" t="n">
        <v>1.0979020979021</v>
      </c>
      <c r="I53" t="n">
        <v>0.316518826567394</v>
      </c>
      <c r="J53" t="n">
        <v>3.80826957325136</v>
      </c>
      <c r="K53" t="s">
        <v>718</v>
      </c>
      <c r="L53" t="s">
        <v>695</v>
      </c>
      <c r="M53" t="s">
        <v>319</v>
      </c>
      <c r="N53"/>
    </row>
    <row r="54">
      <c r="A54" t="s">
        <v>367</v>
      </c>
      <c r="B54"/>
      <c r="C54"/>
      <c r="D54"/>
      <c r="E54"/>
      <c r="F54"/>
      <c r="G54"/>
      <c r="H54"/>
      <c r="I54"/>
      <c r="J54"/>
      <c r="K54"/>
      <c r="L54" t="s">
        <v>345</v>
      </c>
      <c r="M54"/>
      <c r="N54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9" t="s">
        <v>675</v>
      </c>
    </row>
    <row r="3">
      <c r="A3" s="1" t="s">
        <v>719</v>
      </c>
    </row>
    <row r="4">
      <c r="A4" t="s">
        <v>301</v>
      </c>
      <c r="B4" t="s">
        <v>302</v>
      </c>
      <c r="C4" t="s">
        <v>303</v>
      </c>
      <c r="D4" t="s">
        <v>304</v>
      </c>
      <c r="E4" t="s">
        <v>305</v>
      </c>
      <c r="F4" t="s">
        <v>306</v>
      </c>
      <c r="G4" t="s">
        <v>307</v>
      </c>
      <c r="H4" t="s">
        <v>308</v>
      </c>
      <c r="I4" t="s">
        <v>309</v>
      </c>
      <c r="J4" t="s">
        <v>310</v>
      </c>
      <c r="K4" t="s">
        <v>311</v>
      </c>
      <c r="L4" t="s">
        <v>312</v>
      </c>
      <c r="M4" t="s">
        <v>313</v>
      </c>
      <c r="N4" t="s">
        <v>1</v>
      </c>
    </row>
    <row r="5">
      <c r="A5" t="s">
        <v>314</v>
      </c>
      <c r="B5" t="s">
        <v>315</v>
      </c>
      <c r="C5" t="n">
        <v>35.646818591769</v>
      </c>
      <c r="D5" t="n">
        <v>0.888828794981814</v>
      </c>
      <c r="E5" t="n">
        <v>1608.44168670156</v>
      </c>
      <c r="F5" t="n">
        <v>0</v>
      </c>
      <c r="G5" t="s">
        <v>316</v>
      </c>
      <c r="H5" t="n">
        <v>35.646818591769</v>
      </c>
      <c r="I5" t="n">
        <v>33.9047141536047</v>
      </c>
      <c r="J5" t="n">
        <v>37.3889230299334</v>
      </c>
      <c r="K5" t="s">
        <v>720</v>
      </c>
      <c r="L5" t="s">
        <v>721</v>
      </c>
      <c r="M5" t="s">
        <v>51</v>
      </c>
      <c r="N5"/>
    </row>
    <row r="6">
      <c r="A6" t="s">
        <v>314</v>
      </c>
      <c r="B6" t="s">
        <v>320</v>
      </c>
      <c r="C6" t="n">
        <v>0.183543383453992</v>
      </c>
      <c r="D6" t="n">
        <v>0.823794191425045</v>
      </c>
      <c r="E6" t="n">
        <v>0.0496409421704341</v>
      </c>
      <c r="F6" t="n">
        <v>0.823689242869516</v>
      </c>
      <c r="G6" t="s">
        <v>316</v>
      </c>
      <c r="H6" t="n">
        <v>0.183543383453992</v>
      </c>
      <c r="I6" t="n">
        <v>-1.4310932317391</v>
      </c>
      <c r="J6" t="n">
        <v>1.79817999864708</v>
      </c>
      <c r="K6" t="s">
        <v>722</v>
      </c>
      <c r="L6" t="s">
        <v>721</v>
      </c>
      <c r="M6" t="s">
        <v>51</v>
      </c>
      <c r="N6"/>
    </row>
    <row r="7">
      <c r="A7" t="s">
        <v>314</v>
      </c>
      <c r="B7" t="s">
        <v>51</v>
      </c>
      <c r="C7" t="n">
        <v>-0.0479805008747835</v>
      </c>
      <c r="D7" t="n">
        <v>0.179891725416405</v>
      </c>
      <c r="E7" t="n">
        <v>0.071138905646461</v>
      </c>
      <c r="F7" t="n">
        <v>0.789685696050361</v>
      </c>
      <c r="G7" t="s">
        <v>316</v>
      </c>
      <c r="H7" t="n">
        <v>-0.0479805008747835</v>
      </c>
      <c r="I7" t="n">
        <v>-0.400568282690938</v>
      </c>
      <c r="J7" t="n">
        <v>0.304607280941371</v>
      </c>
      <c r="K7" t="s">
        <v>723</v>
      </c>
      <c r="L7" t="s">
        <v>721</v>
      </c>
      <c r="M7" t="s">
        <v>51</v>
      </c>
      <c r="N7"/>
    </row>
    <row r="8">
      <c r="A8" t="s">
        <v>51</v>
      </c>
      <c r="B8" t="s">
        <v>315</v>
      </c>
      <c r="C8" t="n">
        <v>-3.99389752574199</v>
      </c>
      <c r="D8" t="n">
        <v>0.992036462940193</v>
      </c>
      <c r="E8" t="n">
        <v>16.2083409952014</v>
      </c>
      <c r="F8" t="n">
        <v>0.0000567437221994371</v>
      </c>
      <c r="G8" t="s">
        <v>316</v>
      </c>
      <c r="H8" t="n">
        <v>-3.99389752574199</v>
      </c>
      <c r="I8" t="n">
        <v>-5.93828899310476</v>
      </c>
      <c r="J8" t="n">
        <v>-2.04950605837921</v>
      </c>
      <c r="K8" t="s">
        <v>724</v>
      </c>
      <c r="L8" t="s">
        <v>721</v>
      </c>
      <c r="M8" t="s">
        <v>314</v>
      </c>
      <c r="N8"/>
    </row>
    <row r="9">
      <c r="A9" t="s">
        <v>51</v>
      </c>
      <c r="B9" t="s">
        <v>320</v>
      </c>
      <c r="C9" t="n">
        <v>-0.0190669184706581</v>
      </c>
      <c r="D9" t="n">
        <v>0.271038003975587</v>
      </c>
      <c r="E9" t="n">
        <v>0.00494880838357517</v>
      </c>
      <c r="F9" t="n">
        <v>0.943916863733437</v>
      </c>
      <c r="G9" t="s">
        <v>316</v>
      </c>
      <c r="H9" t="n">
        <v>-0.0190669184706581</v>
      </c>
      <c r="I9" t="n">
        <v>-0.550301406262809</v>
      </c>
      <c r="J9" t="n">
        <v>0.512167569321493</v>
      </c>
      <c r="K9" t="s">
        <v>725</v>
      </c>
      <c r="L9" t="s">
        <v>721</v>
      </c>
      <c r="M9" t="s">
        <v>314</v>
      </c>
      <c r="N9"/>
    </row>
    <row r="10">
      <c r="A10" t="s">
        <v>51</v>
      </c>
      <c r="B10" t="s">
        <v>314</v>
      </c>
      <c r="C10" t="n">
        <v>-0.00740785447077521</v>
      </c>
      <c r="D10" t="n">
        <v>0.0277888031948818</v>
      </c>
      <c r="E10" t="n">
        <v>0.0710632716322246</v>
      </c>
      <c r="F10" t="n">
        <v>0.789794902855642</v>
      </c>
      <c r="G10" t="s">
        <v>316</v>
      </c>
      <c r="H10" t="n">
        <v>-0.00740785447077521</v>
      </c>
      <c r="I10" t="n">
        <v>-0.0618739087327436</v>
      </c>
      <c r="J10" t="n">
        <v>0.0470581997911932</v>
      </c>
      <c r="K10" t="s">
        <v>726</v>
      </c>
      <c r="L10" t="s">
        <v>721</v>
      </c>
      <c r="M10" t="s">
        <v>314</v>
      </c>
      <c r="N10"/>
    </row>
    <row r="11">
      <c r="A11" t="s">
        <v>58</v>
      </c>
      <c r="B11" t="s">
        <v>315</v>
      </c>
      <c r="C11" t="n">
        <v>0.282390617989994</v>
      </c>
      <c r="D11" t="n">
        <v>0.147887591690329</v>
      </c>
      <c r="E11" t="n">
        <v>3.64617118330878</v>
      </c>
      <c r="F11" t="n">
        <v>0.0561982651715591</v>
      </c>
      <c r="G11" t="s">
        <v>316</v>
      </c>
      <c r="H11" t="n">
        <v>0.282390617989994</v>
      </c>
      <c r="I11" t="n">
        <v>-0.00746906172305123</v>
      </c>
      <c r="J11" t="n">
        <v>0.57225029770304</v>
      </c>
      <c r="K11" t="s">
        <v>727</v>
      </c>
      <c r="L11" t="s">
        <v>678</v>
      </c>
      <c r="M11" t="s">
        <v>376</v>
      </c>
      <c r="N11"/>
    </row>
    <row r="12">
      <c r="A12" t="s">
        <v>58</v>
      </c>
      <c r="B12" t="s">
        <v>320</v>
      </c>
      <c r="C12" t="n">
        <v>0.0261165761295322</v>
      </c>
      <c r="D12" t="n">
        <v>0.0396121706976922</v>
      </c>
      <c r="E12" t="n">
        <v>0.434685543933551</v>
      </c>
      <c r="F12" t="n">
        <v>0.509698734103366</v>
      </c>
      <c r="G12" t="s">
        <v>316</v>
      </c>
      <c r="H12" t="n">
        <v>0.0261165761295322</v>
      </c>
      <c r="I12" t="n">
        <v>-0.0515232784379445</v>
      </c>
      <c r="J12" t="n">
        <v>0.103756430697009</v>
      </c>
      <c r="K12" t="s">
        <v>728</v>
      </c>
      <c r="L12" t="s">
        <v>678</v>
      </c>
      <c r="M12" t="s">
        <v>376</v>
      </c>
      <c r="N12"/>
    </row>
    <row r="13">
      <c r="A13" t="s">
        <v>58</v>
      </c>
      <c r="B13" t="s">
        <v>314</v>
      </c>
      <c r="C13" t="n">
        <v>0.00180499685889695</v>
      </c>
      <c r="D13" t="n">
        <v>0.00395469679375339</v>
      </c>
      <c r="E13" t="n">
        <v>0.208317865685969</v>
      </c>
      <c r="F13" t="n">
        <v>0.648089050337849</v>
      </c>
      <c r="G13" t="s">
        <v>316</v>
      </c>
      <c r="H13" t="n">
        <v>0.00180499685889695</v>
      </c>
      <c r="I13" t="n">
        <v>-0.0059462088568597</v>
      </c>
      <c r="J13" t="n">
        <v>0.0095562025746536</v>
      </c>
      <c r="K13" t="s">
        <v>729</v>
      </c>
      <c r="L13" t="s">
        <v>678</v>
      </c>
      <c r="M13" t="s">
        <v>376</v>
      </c>
      <c r="N13"/>
    </row>
    <row r="14">
      <c r="A14" t="s">
        <v>58</v>
      </c>
      <c r="B14" t="s">
        <v>51</v>
      </c>
      <c r="C14" t="n">
        <v>1.00310348242535</v>
      </c>
      <c r="D14" t="n">
        <v>0.00975329544320725</v>
      </c>
      <c r="E14" t="n">
        <v>10577.6384005499</v>
      </c>
      <c r="F14" t="n">
        <v>0</v>
      </c>
      <c r="G14" t="s">
        <v>316</v>
      </c>
      <c r="H14" t="n">
        <v>1.00310348242535</v>
      </c>
      <c r="I14" t="n">
        <v>0.983987023356662</v>
      </c>
      <c r="J14" t="n">
        <v>1.02221994149403</v>
      </c>
      <c r="K14" t="s">
        <v>730</v>
      </c>
      <c r="L14" t="s">
        <v>678</v>
      </c>
      <c r="M14" t="s">
        <v>376</v>
      </c>
      <c r="N14"/>
    </row>
    <row r="15">
      <c r="A15" t="s">
        <v>64</v>
      </c>
      <c r="B15" t="s">
        <v>315</v>
      </c>
      <c r="C15" t="n">
        <v>-0.63724665299072</v>
      </c>
      <c r="D15" t="n">
        <v>0.280313886129823</v>
      </c>
      <c r="E15" t="n">
        <v>5.16804041956461</v>
      </c>
      <c r="F15" t="n">
        <v>0.0230061535663201</v>
      </c>
      <c r="G15" t="s">
        <v>316</v>
      </c>
      <c r="H15" t="n">
        <v>-0.63724665299072</v>
      </c>
      <c r="I15" t="n">
        <v>-1.18666186980517</v>
      </c>
      <c r="J15" t="n">
        <v>-0.0878314361762661</v>
      </c>
      <c r="K15" t="s">
        <v>731</v>
      </c>
      <c r="L15" t="s">
        <v>678</v>
      </c>
      <c r="M15" t="s">
        <v>376</v>
      </c>
      <c r="N15"/>
    </row>
    <row r="16">
      <c r="A16" t="s">
        <v>64</v>
      </c>
      <c r="B16" t="s">
        <v>320</v>
      </c>
      <c r="C16" t="n">
        <v>-0.0489654111733399</v>
      </c>
      <c r="D16" t="n">
        <v>0.0766474772178041</v>
      </c>
      <c r="E16" t="n">
        <v>0.408115492542968</v>
      </c>
      <c r="F16" t="n">
        <v>0.522927559904121</v>
      </c>
      <c r="G16" t="s">
        <v>316</v>
      </c>
      <c r="H16" t="n">
        <v>-0.0489654111733399</v>
      </c>
      <c r="I16" t="n">
        <v>-0.199194466520236</v>
      </c>
      <c r="J16" t="n">
        <v>0.101263644173556</v>
      </c>
      <c r="K16" t="s">
        <v>732</v>
      </c>
      <c r="L16" t="s">
        <v>678</v>
      </c>
      <c r="M16" t="s">
        <v>376</v>
      </c>
      <c r="N16"/>
    </row>
    <row r="17">
      <c r="A17" t="s">
        <v>64</v>
      </c>
      <c r="B17" t="s">
        <v>314</v>
      </c>
      <c r="C17" t="n">
        <v>-0.00175591734180277</v>
      </c>
      <c r="D17" t="n">
        <v>0.00740346867695264</v>
      </c>
      <c r="E17" t="n">
        <v>0.0562519587348137</v>
      </c>
      <c r="F17" t="n">
        <v>0.812521065954109</v>
      </c>
      <c r="G17" t="s">
        <v>316</v>
      </c>
      <c r="H17" t="n">
        <v>-0.00175591734180277</v>
      </c>
      <c r="I17" t="n">
        <v>-0.0162667159486299</v>
      </c>
      <c r="J17" t="n">
        <v>0.0127548812650244</v>
      </c>
      <c r="K17" t="s">
        <v>733</v>
      </c>
      <c r="L17" t="s">
        <v>678</v>
      </c>
      <c r="M17" t="s">
        <v>376</v>
      </c>
      <c r="N17"/>
    </row>
    <row r="18">
      <c r="A18" t="s">
        <v>64</v>
      </c>
      <c r="B18" t="s">
        <v>51</v>
      </c>
      <c r="C18" t="n">
        <v>-0.00892034182766755</v>
      </c>
      <c r="D18" t="n">
        <v>0.0194409671143429</v>
      </c>
      <c r="E18" t="n">
        <v>0.210536433882409</v>
      </c>
      <c r="F18" t="n">
        <v>0.646347277201973</v>
      </c>
      <c r="G18" t="s">
        <v>316</v>
      </c>
      <c r="H18" t="n">
        <v>-0.00892034182766755</v>
      </c>
      <c r="I18" t="n">
        <v>-0.0470246373717797</v>
      </c>
      <c r="J18" t="n">
        <v>0.0291839537164446</v>
      </c>
      <c r="K18" t="s">
        <v>734</v>
      </c>
      <c r="L18" t="s">
        <v>678</v>
      </c>
      <c r="M18" t="s">
        <v>376</v>
      </c>
      <c r="N18"/>
    </row>
    <row r="19">
      <c r="A19" t="s">
        <v>70</v>
      </c>
      <c r="B19" t="s">
        <v>315</v>
      </c>
      <c r="C19" t="n">
        <v>0.637718484880401</v>
      </c>
      <c r="D19" t="n">
        <v>0.0496577276349187</v>
      </c>
      <c r="E19" t="n">
        <v>164.924177544051</v>
      </c>
      <c r="F19" t="n">
        <v>0</v>
      </c>
      <c r="G19" t="s">
        <v>316</v>
      </c>
      <c r="H19" t="n">
        <v>0.637718484880401</v>
      </c>
      <c r="I19" t="n">
        <v>0.54038933871596</v>
      </c>
      <c r="J19" t="n">
        <v>0.735047631044841</v>
      </c>
      <c r="K19" t="s">
        <v>735</v>
      </c>
      <c r="L19" t="s">
        <v>678</v>
      </c>
      <c r="M19" t="s">
        <v>376</v>
      </c>
      <c r="N19"/>
    </row>
    <row r="20">
      <c r="A20" t="s">
        <v>70</v>
      </c>
      <c r="B20" t="s">
        <v>320</v>
      </c>
      <c r="C20" t="n">
        <v>-0.000562794966085056</v>
      </c>
      <c r="D20" t="n">
        <v>0.0138357511912433</v>
      </c>
      <c r="E20" t="n">
        <v>0.00165460724453578</v>
      </c>
      <c r="F20" t="n">
        <v>0.967553506379205</v>
      </c>
      <c r="G20" t="s">
        <v>316</v>
      </c>
      <c r="H20" t="n">
        <v>-0.000562794966085056</v>
      </c>
      <c r="I20" t="n">
        <v>-0.027680867300922</v>
      </c>
      <c r="J20" t="n">
        <v>0.0265552773687519</v>
      </c>
      <c r="K20" t="s">
        <v>736</v>
      </c>
      <c r="L20" t="s">
        <v>678</v>
      </c>
      <c r="M20" t="s">
        <v>376</v>
      </c>
      <c r="N20"/>
    </row>
    <row r="21">
      <c r="A21" t="s">
        <v>70</v>
      </c>
      <c r="B21" t="s">
        <v>314</v>
      </c>
      <c r="C21" t="n">
        <v>-0.000528648587302566</v>
      </c>
      <c r="D21" t="n">
        <v>0.00130934606339703</v>
      </c>
      <c r="E21" t="n">
        <v>0.163014132933151</v>
      </c>
      <c r="F21" t="n">
        <v>0.686396503530423</v>
      </c>
      <c r="G21" t="s">
        <v>316</v>
      </c>
      <c r="H21" t="n">
        <v>-0.000528648587302566</v>
      </c>
      <c r="I21" t="n">
        <v>-0.00309496687156074</v>
      </c>
      <c r="J21" t="n">
        <v>0.00203766969695561</v>
      </c>
      <c r="K21" t="s">
        <v>434</v>
      </c>
      <c r="L21" t="s">
        <v>678</v>
      </c>
      <c r="M21" t="s">
        <v>376</v>
      </c>
      <c r="N21"/>
    </row>
    <row r="22">
      <c r="A22" t="s">
        <v>70</v>
      </c>
      <c r="B22" t="s">
        <v>51</v>
      </c>
      <c r="C22" t="n">
        <v>-0.110818558959474</v>
      </c>
      <c r="D22" t="n">
        <v>0.00345910081506153</v>
      </c>
      <c r="E22" t="n">
        <v>1026.35725751975</v>
      </c>
      <c r="F22" t="n">
        <v>0</v>
      </c>
      <c r="G22" t="s">
        <v>316</v>
      </c>
      <c r="H22" t="n">
        <v>-0.110818558959474</v>
      </c>
      <c r="I22" t="n">
        <v>-0.117598396556995</v>
      </c>
      <c r="J22" t="n">
        <v>-0.104038721361954</v>
      </c>
      <c r="K22" t="s">
        <v>737</v>
      </c>
      <c r="L22" t="s">
        <v>678</v>
      </c>
      <c r="M22" t="s">
        <v>376</v>
      </c>
      <c r="N22"/>
    </row>
    <row r="23">
      <c r="A23" t="s">
        <v>76</v>
      </c>
      <c r="B23" t="s">
        <v>315</v>
      </c>
      <c r="C23" t="n">
        <v>-0.00152193509321798</v>
      </c>
      <c r="D23" t="n">
        <v>0.014444811103617</v>
      </c>
      <c r="E23" t="n">
        <v>0.0111011642568222</v>
      </c>
      <c r="F23" t="n">
        <v>0.916088518041001</v>
      </c>
      <c r="G23" t="s">
        <v>316</v>
      </c>
      <c r="H23" t="n">
        <v>-0.00152193509321798</v>
      </c>
      <c r="I23" t="n">
        <v>-0.0298337648563072</v>
      </c>
      <c r="J23" t="n">
        <v>0.0267898946698713</v>
      </c>
      <c r="K23" t="s">
        <v>738</v>
      </c>
      <c r="L23" t="s">
        <v>678</v>
      </c>
      <c r="M23" t="s">
        <v>376</v>
      </c>
      <c r="N23"/>
    </row>
    <row r="24">
      <c r="A24" t="s">
        <v>76</v>
      </c>
      <c r="B24" t="s">
        <v>320</v>
      </c>
      <c r="C24" t="n">
        <v>0.00513255795311365</v>
      </c>
      <c r="D24" t="n">
        <v>0.00439752226723193</v>
      </c>
      <c r="E24" t="n">
        <v>1.36223372878091</v>
      </c>
      <c r="F24" t="n">
        <v>0.243150731770934</v>
      </c>
      <c r="G24" t="s">
        <v>316</v>
      </c>
      <c r="H24" t="n">
        <v>0.00513255795311365</v>
      </c>
      <c r="I24" t="n">
        <v>-0.00348658569066093</v>
      </c>
      <c r="J24" t="n">
        <v>0.0137517015968882</v>
      </c>
      <c r="K24" t="s">
        <v>739</v>
      </c>
      <c r="L24" t="s">
        <v>678</v>
      </c>
      <c r="M24" t="s">
        <v>376</v>
      </c>
      <c r="N24"/>
    </row>
    <row r="25">
      <c r="A25" t="s">
        <v>76</v>
      </c>
      <c r="B25" t="s">
        <v>314</v>
      </c>
      <c r="C25" t="n">
        <v>-0.000503178946099683</v>
      </c>
      <c r="D25" t="n">
        <v>0.000399284097090522</v>
      </c>
      <c r="E25" t="n">
        <v>1.58811115362767</v>
      </c>
      <c r="F25" t="n">
        <v>0.20759620496085</v>
      </c>
      <c r="G25" t="s">
        <v>316</v>
      </c>
      <c r="H25" t="n">
        <v>-0.000503178946099683</v>
      </c>
      <c r="I25" t="n">
        <v>-0.00128577577639711</v>
      </c>
      <c r="J25" t="n">
        <v>0.000279417884197741</v>
      </c>
      <c r="K25" t="s">
        <v>469</v>
      </c>
      <c r="L25" t="s">
        <v>678</v>
      </c>
      <c r="M25" t="s">
        <v>376</v>
      </c>
      <c r="N25"/>
    </row>
    <row r="26">
      <c r="A26" t="s">
        <v>76</v>
      </c>
      <c r="B26" t="s">
        <v>51</v>
      </c>
      <c r="C26" t="n">
        <v>-0.0022413943995633</v>
      </c>
      <c r="D26" t="n">
        <v>0.00128881393166849</v>
      </c>
      <c r="E26" t="n">
        <v>3.02451763346769</v>
      </c>
      <c r="F26" t="n">
        <v>0.0820147060603819</v>
      </c>
      <c r="G26" t="s">
        <v>316</v>
      </c>
      <c r="H26" t="n">
        <v>-0.0022413943995633</v>
      </c>
      <c r="I26" t="n">
        <v>-0.00476746970563355</v>
      </c>
      <c r="J26" t="n">
        <v>0.000284680906506949</v>
      </c>
      <c r="K26" t="s">
        <v>740</v>
      </c>
      <c r="L26" t="s">
        <v>678</v>
      </c>
      <c r="M26" t="s">
        <v>376</v>
      </c>
      <c r="N26"/>
    </row>
    <row r="27">
      <c r="A27" t="s">
        <v>81</v>
      </c>
      <c r="B27" t="s">
        <v>315</v>
      </c>
      <c r="C27" t="n">
        <v>487.771041206091</v>
      </c>
      <c r="D27" t="n">
        <v>13.6003491070196</v>
      </c>
      <c r="E27" t="n">
        <v>1286.26932548016</v>
      </c>
      <c r="F27" t="n">
        <v>0</v>
      </c>
      <c r="G27" t="s">
        <v>316</v>
      </c>
      <c r="H27" t="n">
        <v>487.771041206091</v>
      </c>
      <c r="I27" t="n">
        <v>461.114356956332</v>
      </c>
      <c r="J27" t="n">
        <v>514.427725455849</v>
      </c>
      <c r="K27" t="s">
        <v>741</v>
      </c>
      <c r="L27" t="s">
        <v>678</v>
      </c>
      <c r="M27" t="s">
        <v>376</v>
      </c>
      <c r="N27"/>
    </row>
    <row r="28">
      <c r="A28" t="s">
        <v>81</v>
      </c>
      <c r="B28" t="s">
        <v>320</v>
      </c>
      <c r="C28" t="n">
        <v>-1.7630358965349</v>
      </c>
      <c r="D28" t="n">
        <v>3.75081988195506</v>
      </c>
      <c r="E28" t="n">
        <v>0.220937731733977</v>
      </c>
      <c r="F28" t="n">
        <v>0.638326340909193</v>
      </c>
      <c r="G28" t="s">
        <v>316</v>
      </c>
      <c r="H28" t="n">
        <v>-1.7630358965349</v>
      </c>
      <c r="I28" t="n">
        <v>-9.11464286516681</v>
      </c>
      <c r="J28" t="n">
        <v>5.58857107209701</v>
      </c>
      <c r="K28" t="s">
        <v>742</v>
      </c>
      <c r="L28" t="s">
        <v>678</v>
      </c>
      <c r="M28" t="s">
        <v>376</v>
      </c>
      <c r="N28"/>
    </row>
    <row r="29">
      <c r="A29" t="s">
        <v>81</v>
      </c>
      <c r="B29" t="s">
        <v>314</v>
      </c>
      <c r="C29" t="n">
        <v>1.50573311801647</v>
      </c>
      <c r="D29" t="n">
        <v>0.366913781924668</v>
      </c>
      <c r="E29" t="n">
        <v>16.8410030861887</v>
      </c>
      <c r="F29" t="n">
        <v>0.0000406455537873551</v>
      </c>
      <c r="G29" t="s">
        <v>316</v>
      </c>
      <c r="H29" t="n">
        <v>1.50573311801647</v>
      </c>
      <c r="I29" t="n">
        <v>0.786582105444125</v>
      </c>
      <c r="J29" t="n">
        <v>2.22488413058882</v>
      </c>
      <c r="K29" t="s">
        <v>743</v>
      </c>
      <c r="L29" t="s">
        <v>678</v>
      </c>
      <c r="M29" t="s">
        <v>376</v>
      </c>
      <c r="N29"/>
    </row>
    <row r="30">
      <c r="A30" t="s">
        <v>81</v>
      </c>
      <c r="B30" t="s">
        <v>51</v>
      </c>
      <c r="C30" t="n">
        <v>0.724666123960774</v>
      </c>
      <c r="D30" t="n">
        <v>0.992248806928857</v>
      </c>
      <c r="E30" t="n">
        <v>0.533377570417963</v>
      </c>
      <c r="F30" t="n">
        <v>0.465190309939089</v>
      </c>
      <c r="G30" t="s">
        <v>316</v>
      </c>
      <c r="H30" t="n">
        <v>0.724666123960774</v>
      </c>
      <c r="I30" t="n">
        <v>-1.22014153761979</v>
      </c>
      <c r="J30" t="n">
        <v>2.66947378554133</v>
      </c>
      <c r="K30" t="s">
        <v>744</v>
      </c>
      <c r="L30" t="s">
        <v>678</v>
      </c>
      <c r="M30" t="s">
        <v>376</v>
      </c>
      <c r="N30"/>
    </row>
    <row r="31">
      <c r="A31" t="s">
        <v>85</v>
      </c>
      <c r="B31" t="s">
        <v>315</v>
      </c>
      <c r="C31" t="n">
        <v>42.1539932357052</v>
      </c>
      <c r="D31" t="n">
        <v>0.716812998543469</v>
      </c>
      <c r="E31" t="n">
        <v>3458.32416039506</v>
      </c>
      <c r="F31" t="n">
        <v>0</v>
      </c>
      <c r="G31" t="s">
        <v>316</v>
      </c>
      <c r="H31" t="n">
        <v>42.1539932357052</v>
      </c>
      <c r="I31" t="n">
        <v>40.74903975856</v>
      </c>
      <c r="J31" t="n">
        <v>43.5589467128504</v>
      </c>
      <c r="K31" t="s">
        <v>745</v>
      </c>
      <c r="L31" t="s">
        <v>678</v>
      </c>
      <c r="M31" t="s">
        <v>376</v>
      </c>
      <c r="N31"/>
    </row>
    <row r="32">
      <c r="A32" t="s">
        <v>85</v>
      </c>
      <c r="B32" t="s">
        <v>320</v>
      </c>
      <c r="C32" t="n">
        <v>-0.24877154709785</v>
      </c>
      <c r="D32" t="n">
        <v>0.190020819366469</v>
      </c>
      <c r="E32" t="n">
        <v>1.71395352355885</v>
      </c>
      <c r="F32" t="n">
        <v>0.190473223468516</v>
      </c>
      <c r="G32" t="s">
        <v>316</v>
      </c>
      <c r="H32" t="n">
        <v>-0.24877154709785</v>
      </c>
      <c r="I32" t="n">
        <v>-0.621212353056131</v>
      </c>
      <c r="J32" t="n">
        <v>0.12366925886043</v>
      </c>
      <c r="K32" t="s">
        <v>746</v>
      </c>
      <c r="L32" t="s">
        <v>678</v>
      </c>
      <c r="M32" t="s">
        <v>376</v>
      </c>
      <c r="N32"/>
    </row>
    <row r="33">
      <c r="A33" t="s">
        <v>85</v>
      </c>
      <c r="B33" t="s">
        <v>314</v>
      </c>
      <c r="C33" t="n">
        <v>0.0477666863878445</v>
      </c>
      <c r="D33" t="n">
        <v>0.0196401615902966</v>
      </c>
      <c r="E33" t="n">
        <v>5.91507310761941</v>
      </c>
      <c r="F33" t="n">
        <v>0.0150118799869107</v>
      </c>
      <c r="G33" t="s">
        <v>316</v>
      </c>
      <c r="H33" t="n">
        <v>0.0477666863878445</v>
      </c>
      <c r="I33" t="n">
        <v>0.00927196967086322</v>
      </c>
      <c r="J33" t="n">
        <v>0.0862614031048257</v>
      </c>
      <c r="K33" t="s">
        <v>747</v>
      </c>
      <c r="L33" t="s">
        <v>678</v>
      </c>
      <c r="M33" t="s">
        <v>376</v>
      </c>
      <c r="N33"/>
    </row>
    <row r="34">
      <c r="A34" t="s">
        <v>85</v>
      </c>
      <c r="B34" t="s">
        <v>51</v>
      </c>
      <c r="C34" t="n">
        <v>0.0341250401830833</v>
      </c>
      <c r="D34" t="n">
        <v>0.052816694866502</v>
      </c>
      <c r="E34" t="n">
        <v>0.417449457994804</v>
      </c>
      <c r="F34" t="n">
        <v>0.518212466532021</v>
      </c>
      <c r="G34" t="s">
        <v>316</v>
      </c>
      <c r="H34" t="n">
        <v>0.0341250401830833</v>
      </c>
      <c r="I34" t="n">
        <v>-0.0693956817552605</v>
      </c>
      <c r="J34" t="n">
        <v>0.137645762121427</v>
      </c>
      <c r="K34" t="s">
        <v>748</v>
      </c>
      <c r="L34" t="s">
        <v>678</v>
      </c>
      <c r="M34" t="s">
        <v>376</v>
      </c>
      <c r="N34"/>
    </row>
    <row r="35">
      <c r="A35" t="s">
        <v>91</v>
      </c>
      <c r="B35"/>
      <c r="C35"/>
      <c r="D35"/>
      <c r="E35"/>
      <c r="F35"/>
      <c r="G35"/>
      <c r="H35"/>
      <c r="I35"/>
      <c r="J35"/>
      <c r="K35"/>
      <c r="L35" t="s">
        <v>336</v>
      </c>
      <c r="M35"/>
      <c r="N35"/>
    </row>
    <row r="36">
      <c r="A36" t="s">
        <v>23</v>
      </c>
      <c r="B36" t="s">
        <v>315</v>
      </c>
      <c r="C36" t="n">
        <v>-0.0972351191819619</v>
      </c>
      <c r="D36" t="n">
        <v>1.34389435919098</v>
      </c>
      <c r="E36" t="n">
        <v>0.00523499220817987</v>
      </c>
      <c r="F36" t="n">
        <v>0.942320791504012</v>
      </c>
      <c r="G36" t="s">
        <v>337</v>
      </c>
      <c r="H36" t="n">
        <v>0.907342647390875</v>
      </c>
      <c r="I36" t="n">
        <v>0.0651366399008506</v>
      </c>
      <c r="J36" t="n">
        <v>12.6391333821862</v>
      </c>
      <c r="K36" t="s">
        <v>749</v>
      </c>
      <c r="L36" t="s">
        <v>695</v>
      </c>
      <c r="M36" t="s">
        <v>376</v>
      </c>
      <c r="N36"/>
    </row>
    <row r="37">
      <c r="A37" t="s">
        <v>23</v>
      </c>
      <c r="B37" t="s">
        <v>320</v>
      </c>
      <c r="C37" t="n">
        <v>-0.0756117867736291</v>
      </c>
      <c r="D37" t="n">
        <v>0.36398380594365</v>
      </c>
      <c r="E37" t="n">
        <v>0.0431533860254922</v>
      </c>
      <c r="F37" t="n">
        <v>0.835436722571971</v>
      </c>
      <c r="G37" t="s">
        <v>337</v>
      </c>
      <c r="H37" t="n">
        <v>0.92717607871823</v>
      </c>
      <c r="I37" t="n">
        <v>0.454289760099636</v>
      </c>
      <c r="J37" t="n">
        <v>1.89230653307874</v>
      </c>
      <c r="K37" t="s">
        <v>750</v>
      </c>
      <c r="L37" t="s">
        <v>695</v>
      </c>
      <c r="M37" t="s">
        <v>376</v>
      </c>
      <c r="N37"/>
    </row>
    <row r="38">
      <c r="A38" t="s">
        <v>23</v>
      </c>
      <c r="B38" t="s">
        <v>314</v>
      </c>
      <c r="C38" t="n">
        <v>0.0229259024024194</v>
      </c>
      <c r="D38" t="n">
        <v>0.0365433164362268</v>
      </c>
      <c r="E38" t="n">
        <v>0.393583570599829</v>
      </c>
      <c r="F38" t="n">
        <v>0.530421714081025</v>
      </c>
      <c r="G38" t="s">
        <v>337</v>
      </c>
      <c r="H38" t="n">
        <v>1.02319072076398</v>
      </c>
      <c r="I38" t="n">
        <v>0.952467781440596</v>
      </c>
      <c r="J38" t="n">
        <v>1.09916500217368</v>
      </c>
      <c r="K38" t="s">
        <v>751</v>
      </c>
      <c r="L38" t="s">
        <v>695</v>
      </c>
      <c r="M38" t="s">
        <v>376</v>
      </c>
      <c r="N38"/>
    </row>
    <row r="39">
      <c r="A39" t="s">
        <v>23</v>
      </c>
      <c r="B39" t="s">
        <v>51</v>
      </c>
      <c r="C39" t="n">
        <v>0.0961307446148801</v>
      </c>
      <c r="D39" t="n">
        <v>0.0808828215409576</v>
      </c>
      <c r="E39" t="n">
        <v>1.41257666218225</v>
      </c>
      <c r="F39" t="n">
        <v>0.234629123216012</v>
      </c>
      <c r="G39" t="s">
        <v>337</v>
      </c>
      <c r="H39" t="n">
        <v>1.10090299172256</v>
      </c>
      <c r="I39" t="n">
        <v>0.939507398143694</v>
      </c>
      <c r="J39" t="n">
        <v>1.29002432506477</v>
      </c>
      <c r="K39" t="s">
        <v>752</v>
      </c>
      <c r="L39" t="s">
        <v>695</v>
      </c>
      <c r="M39" t="s">
        <v>376</v>
      </c>
      <c r="N39"/>
    </row>
    <row r="40">
      <c r="A40" t="s">
        <v>341</v>
      </c>
      <c r="B40" t="s">
        <v>315</v>
      </c>
      <c r="C40" t="n">
        <v>-3.41461765769701</v>
      </c>
      <c r="D40" t="n">
        <v>1.6580772892692</v>
      </c>
      <c r="E40" t="n">
        <v>4.24106200589756</v>
      </c>
      <c r="F40" t="n">
        <v>0.0394574778117696</v>
      </c>
      <c r="G40" t="s">
        <v>337</v>
      </c>
      <c r="H40" t="n">
        <v>0.0328889791459013</v>
      </c>
      <c r="I40" t="n">
        <v>0.00127545902613614</v>
      </c>
      <c r="J40" t="n">
        <v>0.848075027965716</v>
      </c>
      <c r="K40" t="s">
        <v>753</v>
      </c>
      <c r="L40" t="s">
        <v>695</v>
      </c>
      <c r="M40" t="s">
        <v>376</v>
      </c>
      <c r="N40"/>
    </row>
    <row r="41">
      <c r="A41" t="s">
        <v>341</v>
      </c>
      <c r="B41" t="s">
        <v>320</v>
      </c>
      <c r="C41" t="n">
        <v>-1.01082037333175</v>
      </c>
      <c r="D41" t="n">
        <v>0.454066788777079</v>
      </c>
      <c r="E41" t="n">
        <v>4.95573981695818</v>
      </c>
      <c r="F41" t="n">
        <v>0.0260041960158939</v>
      </c>
      <c r="G41" t="s">
        <v>337</v>
      </c>
      <c r="H41" t="n">
        <v>0.363920306562201</v>
      </c>
      <c r="I41" t="n">
        <v>0.149450315476933</v>
      </c>
      <c r="J41" t="n">
        <v>0.886167346691001</v>
      </c>
      <c r="K41" t="s">
        <v>754</v>
      </c>
      <c r="L41" t="s">
        <v>695</v>
      </c>
      <c r="M41" t="s">
        <v>376</v>
      </c>
      <c r="N41"/>
    </row>
    <row r="42">
      <c r="A42" t="s">
        <v>341</v>
      </c>
      <c r="B42" t="s">
        <v>314</v>
      </c>
      <c r="C42" t="n">
        <v>0.0714722094807329</v>
      </c>
      <c r="D42" t="n">
        <v>0.0444463568382807</v>
      </c>
      <c r="E42" t="n">
        <v>2.58584255707006</v>
      </c>
      <c r="F42" t="n">
        <v>0.107823019597127</v>
      </c>
      <c r="G42" t="s">
        <v>337</v>
      </c>
      <c r="H42" t="n">
        <v>1.07408830081493</v>
      </c>
      <c r="I42" t="n">
        <v>0.984479060873138</v>
      </c>
      <c r="J42" t="n">
        <v>1.17185395179894</v>
      </c>
      <c r="K42" t="s">
        <v>755</v>
      </c>
      <c r="L42" t="s">
        <v>695</v>
      </c>
      <c r="M42" t="s">
        <v>376</v>
      </c>
      <c r="N42"/>
    </row>
    <row r="43">
      <c r="A43" t="s">
        <v>341</v>
      </c>
      <c r="B43" t="s">
        <v>51</v>
      </c>
      <c r="C43" t="n">
        <v>-0.0263143488125476</v>
      </c>
      <c r="D43" t="n">
        <v>0.0931700272287581</v>
      </c>
      <c r="E43" t="n">
        <v>0.0797687542341587</v>
      </c>
      <c r="F43" t="n">
        <v>0.777611032685952</v>
      </c>
      <c r="G43" t="s">
        <v>337</v>
      </c>
      <c r="H43" t="n">
        <v>0.97402885666481</v>
      </c>
      <c r="I43" t="n">
        <v>0.811453981015382</v>
      </c>
      <c r="J43" t="n">
        <v>1.1691756227859</v>
      </c>
      <c r="K43" t="s">
        <v>756</v>
      </c>
      <c r="L43" t="s">
        <v>695</v>
      </c>
      <c r="M43" t="s">
        <v>376</v>
      </c>
      <c r="N43"/>
    </row>
    <row r="44">
      <c r="A44" t="s">
        <v>344</v>
      </c>
      <c r="B44"/>
      <c r="C44"/>
      <c r="D44"/>
      <c r="E44"/>
      <c r="F44"/>
      <c r="G44"/>
      <c r="H44"/>
      <c r="I44"/>
      <c r="J44"/>
      <c r="K44"/>
      <c r="L44" t="s">
        <v>345</v>
      </c>
      <c r="M44"/>
      <c r="N44"/>
    </row>
    <row r="46">
      <c r="A46" s="1" t="s">
        <v>757</v>
      </c>
    </row>
    <row r="47">
      <c r="A47" t="s">
        <v>301</v>
      </c>
      <c r="B47" t="s">
        <v>302</v>
      </c>
      <c r="C47" t="s">
        <v>303</v>
      </c>
      <c r="D47" t="s">
        <v>304</v>
      </c>
      <c r="E47" t="s">
        <v>305</v>
      </c>
      <c r="F47" t="s">
        <v>306</v>
      </c>
      <c r="G47" t="s">
        <v>307</v>
      </c>
      <c r="H47" t="s">
        <v>308</v>
      </c>
      <c r="I47" t="s">
        <v>309</v>
      </c>
      <c r="J47" t="s">
        <v>310</v>
      </c>
      <c r="K47" t="s">
        <v>311</v>
      </c>
      <c r="L47" t="s">
        <v>312</v>
      </c>
      <c r="M47" t="s">
        <v>313</v>
      </c>
      <c r="N47" t="s">
        <v>1</v>
      </c>
    </row>
    <row r="48">
      <c r="A48" t="s">
        <v>121</v>
      </c>
      <c r="B48" t="s">
        <v>315</v>
      </c>
      <c r="C48" t="n">
        <v>6.61449944328409</v>
      </c>
      <c r="D48" t="n">
        <v>0.16374678940297</v>
      </c>
      <c r="E48" t="n">
        <v>1631.73031258198</v>
      </c>
      <c r="F48" t="n">
        <v>0</v>
      </c>
      <c r="G48" t="s">
        <v>316</v>
      </c>
      <c r="H48" t="n">
        <v>6.61449944328409</v>
      </c>
      <c r="I48" t="n">
        <v>6.29355573605427</v>
      </c>
      <c r="J48" t="n">
        <v>6.93544315051391</v>
      </c>
      <c r="K48" t="s">
        <v>758</v>
      </c>
      <c r="L48" t="s">
        <v>678</v>
      </c>
      <c r="M48" t="s">
        <v>376</v>
      </c>
      <c r="N48"/>
    </row>
    <row r="49">
      <c r="A49" t="s">
        <v>121</v>
      </c>
      <c r="B49" t="s">
        <v>320</v>
      </c>
      <c r="C49" t="n">
        <v>-0.0665076342482042</v>
      </c>
      <c r="D49" t="n">
        <v>0.0417116214892682</v>
      </c>
      <c r="E49" t="n">
        <v>2.54231203769574</v>
      </c>
      <c r="F49" t="n">
        <v>0.110832387038267</v>
      </c>
      <c r="G49" t="s">
        <v>316</v>
      </c>
      <c r="H49" t="n">
        <v>-0.0665076342482042</v>
      </c>
      <c r="I49" t="n">
        <v>-0.14826241236717</v>
      </c>
      <c r="J49" t="n">
        <v>0.0152471438707614</v>
      </c>
      <c r="K49" t="s">
        <v>759</v>
      </c>
      <c r="L49" t="s">
        <v>678</v>
      </c>
      <c r="M49" t="s">
        <v>376</v>
      </c>
      <c r="N49"/>
    </row>
    <row r="50">
      <c r="A50" t="s">
        <v>121</v>
      </c>
      <c r="B50" t="s">
        <v>314</v>
      </c>
      <c r="C50" t="n">
        <v>-0.00302041119321036</v>
      </c>
      <c r="D50" t="n">
        <v>0.00441659012890572</v>
      </c>
      <c r="E50" t="n">
        <v>0.467689852541059</v>
      </c>
      <c r="F50" t="n">
        <v>0.494051868491796</v>
      </c>
      <c r="G50" t="s">
        <v>316</v>
      </c>
      <c r="H50" t="n">
        <v>-0.00302041119321036</v>
      </c>
      <c r="I50" t="n">
        <v>-0.0116769278458656</v>
      </c>
      <c r="J50" t="n">
        <v>0.00563610545944485</v>
      </c>
      <c r="K50" t="s">
        <v>760</v>
      </c>
      <c r="L50" t="s">
        <v>678</v>
      </c>
      <c r="M50" t="s">
        <v>376</v>
      </c>
      <c r="N50"/>
    </row>
    <row r="51">
      <c r="A51" t="s">
        <v>121</v>
      </c>
      <c r="B51" t="s">
        <v>51</v>
      </c>
      <c r="C51" t="n">
        <v>-0.00492742890801561</v>
      </c>
      <c r="D51" t="n">
        <v>0.0121765501139514</v>
      </c>
      <c r="E51" t="n">
        <v>0.163754111582158</v>
      </c>
      <c r="F51" t="n">
        <v>0.685723455233002</v>
      </c>
      <c r="G51" t="s">
        <v>316</v>
      </c>
      <c r="H51" t="n">
        <v>-0.00492742890801561</v>
      </c>
      <c r="I51" t="n">
        <v>-0.0287934671313604</v>
      </c>
      <c r="J51" t="n">
        <v>0.0189386093153292</v>
      </c>
      <c r="K51" t="s">
        <v>761</v>
      </c>
      <c r="L51" t="s">
        <v>678</v>
      </c>
      <c r="M51" t="s">
        <v>376</v>
      </c>
      <c r="N51"/>
    </row>
    <row r="52">
      <c r="A52" t="s">
        <v>127</v>
      </c>
      <c r="B52" t="s">
        <v>315</v>
      </c>
      <c r="C52" t="n">
        <v>3.8258241032334</v>
      </c>
      <c r="D52" t="n">
        <v>3.57344181059873</v>
      </c>
      <c r="E52" t="n">
        <v>1.14624266321217</v>
      </c>
      <c r="F52" t="n">
        <v>0.284337075268546</v>
      </c>
      <c r="G52" t="s">
        <v>316</v>
      </c>
      <c r="H52" t="n">
        <v>3.8258241032334</v>
      </c>
      <c r="I52" t="n">
        <v>-3.17812184554011</v>
      </c>
      <c r="J52" t="n">
        <v>10.8297700520069</v>
      </c>
      <c r="K52" t="s">
        <v>762</v>
      </c>
      <c r="L52" t="s">
        <v>678</v>
      </c>
      <c r="M52" t="s">
        <v>376</v>
      </c>
      <c r="N52"/>
    </row>
    <row r="53">
      <c r="A53" t="s">
        <v>127</v>
      </c>
      <c r="B53" t="s">
        <v>320</v>
      </c>
      <c r="C53" t="n">
        <v>-0.840586502926824</v>
      </c>
      <c r="D53" t="n">
        <v>1.06135308190237</v>
      </c>
      <c r="E53" t="n">
        <v>0.627256331984523</v>
      </c>
      <c r="F53" t="n">
        <v>0.428363498911332</v>
      </c>
      <c r="G53" t="s">
        <v>316</v>
      </c>
      <c r="H53" t="n">
        <v>-0.840586502926824</v>
      </c>
      <c r="I53" t="n">
        <v>-2.92083854345548</v>
      </c>
      <c r="J53" t="n">
        <v>1.23966553760183</v>
      </c>
      <c r="K53" t="s">
        <v>763</v>
      </c>
      <c r="L53" t="s">
        <v>678</v>
      </c>
      <c r="M53" t="s">
        <v>376</v>
      </c>
      <c r="N53"/>
    </row>
    <row r="54">
      <c r="A54" t="s">
        <v>127</v>
      </c>
      <c r="B54" t="s">
        <v>314</v>
      </c>
      <c r="C54" t="n">
        <v>0.0954353267768733</v>
      </c>
      <c r="D54" t="n">
        <v>0.0980247367285491</v>
      </c>
      <c r="E54" t="n">
        <v>0.947866033368318</v>
      </c>
      <c r="F54" t="n">
        <v>0.330263075593679</v>
      </c>
      <c r="G54" t="s">
        <v>316</v>
      </c>
      <c r="H54" t="n">
        <v>0.0954353267768733</v>
      </c>
      <c r="I54" t="n">
        <v>-0.0966931572110829</v>
      </c>
      <c r="J54" t="n">
        <v>0.28756381076483</v>
      </c>
      <c r="K54" t="s">
        <v>764</v>
      </c>
      <c r="L54" t="s">
        <v>678</v>
      </c>
      <c r="M54" t="s">
        <v>376</v>
      </c>
      <c r="N54"/>
    </row>
    <row r="55">
      <c r="A55" t="s">
        <v>127</v>
      </c>
      <c r="B55" t="s">
        <v>51</v>
      </c>
      <c r="C55" t="n">
        <v>-13.7668539618698</v>
      </c>
      <c r="D55" t="n">
        <v>0.289886678482</v>
      </c>
      <c r="E55" t="n">
        <v>2255.34452916676</v>
      </c>
      <c r="F55" t="n">
        <v>0</v>
      </c>
      <c r="G55" t="s">
        <v>316</v>
      </c>
      <c r="H55" t="n">
        <v>-13.7668539618698</v>
      </c>
      <c r="I55" t="n">
        <v>-14.3350318516945</v>
      </c>
      <c r="J55" t="n">
        <v>-13.1986760720451</v>
      </c>
      <c r="K55" t="s">
        <v>765</v>
      </c>
      <c r="L55" t="s">
        <v>678</v>
      </c>
      <c r="M55" t="s">
        <v>376</v>
      </c>
      <c r="N55"/>
    </row>
    <row r="56">
      <c r="A56" t="s">
        <v>350</v>
      </c>
      <c r="B56"/>
      <c r="C56"/>
      <c r="D56"/>
      <c r="E56"/>
      <c r="F56"/>
      <c r="G56"/>
      <c r="H56"/>
      <c r="I56"/>
      <c r="J56"/>
      <c r="K56"/>
      <c r="L56" t="s">
        <v>345</v>
      </c>
      <c r="M56"/>
      <c r="N56"/>
    </row>
    <row r="58">
      <c r="A58" s="1" t="s">
        <v>766</v>
      </c>
    </row>
    <row r="59">
      <c r="A59" t="s">
        <v>301</v>
      </c>
      <c r="B59" t="s">
        <v>302</v>
      </c>
      <c r="C59" t="s">
        <v>303</v>
      </c>
      <c r="D59" t="s">
        <v>304</v>
      </c>
      <c r="E59" t="s">
        <v>305</v>
      </c>
      <c r="F59" t="s">
        <v>306</v>
      </c>
      <c r="G59" t="s">
        <v>307</v>
      </c>
      <c r="H59" t="s">
        <v>308</v>
      </c>
      <c r="I59" t="s">
        <v>309</v>
      </c>
      <c r="J59" t="s">
        <v>310</v>
      </c>
      <c r="K59" t="s">
        <v>311</v>
      </c>
      <c r="L59" t="s">
        <v>312</v>
      </c>
      <c r="M59" t="s">
        <v>313</v>
      </c>
      <c r="N59" t="s">
        <v>1</v>
      </c>
    </row>
    <row r="60">
      <c r="A60" t="s">
        <v>165</v>
      </c>
      <c r="B60" t="s">
        <v>315</v>
      </c>
      <c r="C60" t="n">
        <v>121.21100343177</v>
      </c>
      <c r="D60" t="n">
        <v>48.2402310398944</v>
      </c>
      <c r="E60" t="n">
        <v>6.31342949331114</v>
      </c>
      <c r="F60" t="n">
        <v>0.0119826835755772</v>
      </c>
      <c r="G60" t="s">
        <v>316</v>
      </c>
      <c r="H60" t="n">
        <v>121.21100343177</v>
      </c>
      <c r="I60" t="n">
        <v>26.660150593577</v>
      </c>
      <c r="J60" t="n">
        <v>215.761856269963</v>
      </c>
      <c r="K60" t="s">
        <v>767</v>
      </c>
      <c r="L60" t="s">
        <v>678</v>
      </c>
      <c r="M60" t="s">
        <v>376</v>
      </c>
      <c r="N60"/>
    </row>
    <row r="61">
      <c r="A61" t="s">
        <v>165</v>
      </c>
      <c r="B61" t="s">
        <v>320</v>
      </c>
      <c r="C61" t="n">
        <v>-14.4339237566763</v>
      </c>
      <c r="D61" t="n">
        <v>12.070014881323</v>
      </c>
      <c r="E61" t="n">
        <v>1.43005652120898</v>
      </c>
      <c r="F61" t="n">
        <v>0.2317552144151</v>
      </c>
      <c r="G61" t="s">
        <v>316</v>
      </c>
      <c r="H61" t="n">
        <v>-14.4339237566763</v>
      </c>
      <c r="I61" t="n">
        <v>-38.0911529240694</v>
      </c>
      <c r="J61" t="n">
        <v>9.22330541071676</v>
      </c>
      <c r="K61" t="s">
        <v>768</v>
      </c>
      <c r="L61" t="s">
        <v>678</v>
      </c>
      <c r="M61" t="s">
        <v>376</v>
      </c>
      <c r="N61"/>
    </row>
    <row r="62">
      <c r="A62" t="s">
        <v>165</v>
      </c>
      <c r="B62" t="s">
        <v>314</v>
      </c>
      <c r="C62" t="n">
        <v>1.57341384394599</v>
      </c>
      <c r="D62" t="n">
        <v>1.31066796766389</v>
      </c>
      <c r="E62" t="n">
        <v>1.44112138593792</v>
      </c>
      <c r="F62" t="n">
        <v>0.229957962015538</v>
      </c>
      <c r="G62" t="s">
        <v>316</v>
      </c>
      <c r="H62" t="n">
        <v>1.57341384394599</v>
      </c>
      <c r="I62" t="n">
        <v>-0.995495372675242</v>
      </c>
      <c r="J62" t="n">
        <v>4.14232306056723</v>
      </c>
      <c r="K62" t="s">
        <v>769</v>
      </c>
      <c r="L62" t="s">
        <v>678</v>
      </c>
      <c r="M62" t="s">
        <v>376</v>
      </c>
      <c r="N62"/>
    </row>
    <row r="63">
      <c r="A63" t="s">
        <v>165</v>
      </c>
      <c r="B63" t="s">
        <v>51</v>
      </c>
      <c r="C63" t="n">
        <v>-2.075036104199</v>
      </c>
      <c r="D63" t="n">
        <v>3.36072899669462</v>
      </c>
      <c r="E63" t="n">
        <v>0.381227594543719</v>
      </c>
      <c r="F63" t="n">
        <v>0.536946979725791</v>
      </c>
      <c r="G63" t="s">
        <v>316</v>
      </c>
      <c r="H63" t="n">
        <v>-2.075036104199</v>
      </c>
      <c r="I63" t="n">
        <v>-8.66206493772045</v>
      </c>
      <c r="J63" t="n">
        <v>4.51199272932245</v>
      </c>
      <c r="K63" t="s">
        <v>770</v>
      </c>
      <c r="L63" t="s">
        <v>678</v>
      </c>
      <c r="M63" t="s">
        <v>376</v>
      </c>
      <c r="N63"/>
    </row>
    <row r="64">
      <c r="A64" t="s">
        <v>173</v>
      </c>
      <c r="B64" t="s">
        <v>315</v>
      </c>
      <c r="C64" t="n">
        <v>-0.13248061647456</v>
      </c>
      <c r="D64" t="n">
        <v>0.213952623770829</v>
      </c>
      <c r="E64" t="n">
        <v>0.383415307081062</v>
      </c>
      <c r="F64" t="n">
        <v>0.535781065718863</v>
      </c>
      <c r="G64" t="s">
        <v>316</v>
      </c>
      <c r="H64" t="n">
        <v>-0.13248061647456</v>
      </c>
      <c r="I64" t="n">
        <v>-0.551827759065384</v>
      </c>
      <c r="J64" t="n">
        <v>0.286866526116264</v>
      </c>
      <c r="K64" t="s">
        <v>771</v>
      </c>
      <c r="L64" t="s">
        <v>678</v>
      </c>
      <c r="M64" t="s">
        <v>376</v>
      </c>
      <c r="N64"/>
    </row>
    <row r="65">
      <c r="A65" t="s">
        <v>173</v>
      </c>
      <c r="B65" t="s">
        <v>320</v>
      </c>
      <c r="C65" t="n">
        <v>-0.174956161791306</v>
      </c>
      <c r="D65" t="n">
        <v>0.0594685243776608</v>
      </c>
      <c r="E65" t="n">
        <v>8.6553405576482</v>
      </c>
      <c r="F65" t="n">
        <v>0.00326104122494897</v>
      </c>
      <c r="G65" t="s">
        <v>316</v>
      </c>
      <c r="H65" t="n">
        <v>-0.174956161791306</v>
      </c>
      <c r="I65" t="n">
        <v>-0.291514469571521</v>
      </c>
      <c r="J65" t="n">
        <v>-0.0583978540110904</v>
      </c>
      <c r="K65" t="s">
        <v>772</v>
      </c>
      <c r="L65" t="s">
        <v>678</v>
      </c>
      <c r="M65" t="s">
        <v>376</v>
      </c>
      <c r="N65"/>
    </row>
    <row r="66">
      <c r="A66" t="s">
        <v>173</v>
      </c>
      <c r="B66" t="s">
        <v>314</v>
      </c>
      <c r="C66" t="n">
        <v>0.00507012006148621</v>
      </c>
      <c r="D66" t="n">
        <v>0.00593414678936833</v>
      </c>
      <c r="E66" t="n">
        <v>0.729995053455949</v>
      </c>
      <c r="F66" t="n">
        <v>0.392884791863362</v>
      </c>
      <c r="G66" t="s">
        <v>316</v>
      </c>
      <c r="H66" t="n">
        <v>0.00507012006148621</v>
      </c>
      <c r="I66" t="n">
        <v>-0.00656080764567572</v>
      </c>
      <c r="J66" t="n">
        <v>0.0167010477686481</v>
      </c>
      <c r="K66" t="s">
        <v>773</v>
      </c>
      <c r="L66" t="s">
        <v>678</v>
      </c>
      <c r="M66" t="s">
        <v>376</v>
      </c>
      <c r="N66"/>
    </row>
    <row r="67">
      <c r="A67" t="s">
        <v>173</v>
      </c>
      <c r="B67" t="s">
        <v>51</v>
      </c>
      <c r="C67" t="n">
        <v>0.00423507854587583</v>
      </c>
      <c r="D67" t="n">
        <v>0.0138593442705793</v>
      </c>
      <c r="E67" t="n">
        <v>0.0933764960328157</v>
      </c>
      <c r="F67" t="n">
        <v>0.7599277400351</v>
      </c>
      <c r="G67" t="s">
        <v>316</v>
      </c>
      <c r="H67" t="n">
        <v>0.00423507854587583</v>
      </c>
      <c r="I67" t="n">
        <v>-0.0229292362244596</v>
      </c>
      <c r="J67" t="n">
        <v>0.0313993933162112</v>
      </c>
      <c r="K67" t="s">
        <v>774</v>
      </c>
      <c r="L67" t="s">
        <v>678</v>
      </c>
      <c r="M67" t="s">
        <v>376</v>
      </c>
      <c r="N67"/>
    </row>
    <row r="68">
      <c r="A68" t="s">
        <v>178</v>
      </c>
      <c r="B68" t="s">
        <v>315</v>
      </c>
      <c r="C68" t="n">
        <v>-0.37962131696185</v>
      </c>
      <c r="D68" t="n">
        <v>0.106925558167709</v>
      </c>
      <c r="E68" t="n">
        <v>12.6048630333048</v>
      </c>
      <c r="F68" t="n">
        <v>0.00038474443422043</v>
      </c>
      <c r="G68" t="s">
        <v>316</v>
      </c>
      <c r="H68" t="n">
        <v>-0.37962131696185</v>
      </c>
      <c r="I68" t="n">
        <v>-0.58919541097056</v>
      </c>
      <c r="J68" t="n">
        <v>-0.17004722295314</v>
      </c>
      <c r="K68" t="s">
        <v>775</v>
      </c>
      <c r="L68" t="s">
        <v>678</v>
      </c>
      <c r="M68" t="s">
        <v>376</v>
      </c>
      <c r="N68"/>
    </row>
    <row r="69">
      <c r="A69" t="s">
        <v>178</v>
      </c>
      <c r="B69" t="s">
        <v>320</v>
      </c>
      <c r="C69" t="n">
        <v>-0.0157272755161345</v>
      </c>
      <c r="D69" t="n">
        <v>0.0270128411223313</v>
      </c>
      <c r="E69" t="n">
        <v>0.338974057159638</v>
      </c>
      <c r="F69" t="n">
        <v>0.560422014994741</v>
      </c>
      <c r="G69" t="s">
        <v>316</v>
      </c>
      <c r="H69" t="n">
        <v>-0.0157272755161345</v>
      </c>
      <c r="I69" t="n">
        <v>-0.0686724441159039</v>
      </c>
      <c r="J69" t="n">
        <v>0.0372178930836349</v>
      </c>
      <c r="K69" t="s">
        <v>776</v>
      </c>
      <c r="L69" t="s">
        <v>678</v>
      </c>
      <c r="M69" t="s">
        <v>376</v>
      </c>
      <c r="N69"/>
    </row>
    <row r="70">
      <c r="A70" t="s">
        <v>178</v>
      </c>
      <c r="B70" t="s">
        <v>314</v>
      </c>
      <c r="C70" t="n">
        <v>0.00537980291633358</v>
      </c>
      <c r="D70" t="n">
        <v>0.00276988920292432</v>
      </c>
      <c r="E70" t="n">
        <v>3.77231488469267</v>
      </c>
      <c r="F70" t="n">
        <v>0.0521074713081945</v>
      </c>
      <c r="G70" t="s">
        <v>316</v>
      </c>
      <c r="H70" t="n">
        <v>0.00537980291633358</v>
      </c>
      <c r="I70" t="n">
        <v>-0.0000491799213980897</v>
      </c>
      <c r="J70" t="n">
        <v>0.0108087857540653</v>
      </c>
      <c r="K70" t="s">
        <v>777</v>
      </c>
      <c r="L70" t="s">
        <v>678</v>
      </c>
      <c r="M70" t="s">
        <v>376</v>
      </c>
      <c r="N70"/>
    </row>
    <row r="71">
      <c r="A71" t="s">
        <v>178</v>
      </c>
      <c r="B71" t="s">
        <v>51</v>
      </c>
      <c r="C71" t="n">
        <v>0.00716353679911317</v>
      </c>
      <c r="D71" t="n">
        <v>0.00694256349387749</v>
      </c>
      <c r="E71" t="n">
        <v>1.06467062503958</v>
      </c>
      <c r="F71" t="n">
        <v>0.302152335814548</v>
      </c>
      <c r="G71" t="s">
        <v>316</v>
      </c>
      <c r="H71" t="n">
        <v>0.00716353679911317</v>
      </c>
      <c r="I71" t="n">
        <v>-0.00644388764888671</v>
      </c>
      <c r="J71" t="n">
        <v>0.020770961247113</v>
      </c>
      <c r="K71" t="s">
        <v>778</v>
      </c>
      <c r="L71" t="s">
        <v>678</v>
      </c>
      <c r="M71" t="s">
        <v>376</v>
      </c>
      <c r="N71"/>
    </row>
    <row r="72">
      <c r="A72" t="s">
        <v>186</v>
      </c>
      <c r="B72" t="s">
        <v>315</v>
      </c>
      <c r="C72" t="n">
        <v>0.00718193248820392</v>
      </c>
      <c r="D72" t="n">
        <v>0.0264455069885407</v>
      </c>
      <c r="E72" t="n">
        <v>0.0737528559112276</v>
      </c>
      <c r="F72" t="n">
        <v>0.785949000891246</v>
      </c>
      <c r="G72" t="s">
        <v>316</v>
      </c>
      <c r="H72" t="n">
        <v>0.00718193248820392</v>
      </c>
      <c r="I72" t="n">
        <v>-0.0446512612093359</v>
      </c>
      <c r="J72" t="n">
        <v>0.0590151261857438</v>
      </c>
      <c r="K72" t="s">
        <v>779</v>
      </c>
      <c r="L72" t="s">
        <v>678</v>
      </c>
      <c r="M72" t="s">
        <v>376</v>
      </c>
      <c r="N72"/>
    </row>
    <row r="73">
      <c r="A73" t="s">
        <v>186</v>
      </c>
      <c r="B73" t="s">
        <v>320</v>
      </c>
      <c r="C73" t="n">
        <v>0.0520668667109593</v>
      </c>
      <c r="D73" t="n">
        <v>0.00760881361479293</v>
      </c>
      <c r="E73" t="n">
        <v>46.8262085793563</v>
      </c>
      <c r="F73" t="n">
        <v>0.00000000000775690622845104</v>
      </c>
      <c r="G73" t="s">
        <v>316</v>
      </c>
      <c r="H73" t="n">
        <v>0.0520668667109593</v>
      </c>
      <c r="I73" t="n">
        <v>0.0371535920259652</v>
      </c>
      <c r="J73" t="n">
        <v>0.0669801413959535</v>
      </c>
      <c r="K73" t="s">
        <v>712</v>
      </c>
      <c r="L73" t="s">
        <v>678</v>
      </c>
      <c r="M73" t="s">
        <v>376</v>
      </c>
      <c r="N73"/>
    </row>
    <row r="74">
      <c r="A74" t="s">
        <v>186</v>
      </c>
      <c r="B74" t="s">
        <v>314</v>
      </c>
      <c r="C74" t="n">
        <v>-0.000383198271239038</v>
      </c>
      <c r="D74" t="n">
        <v>0.000740515043718598</v>
      </c>
      <c r="E74" t="n">
        <v>0.267780723616671</v>
      </c>
      <c r="F74" t="n">
        <v>0.604824381621867</v>
      </c>
      <c r="G74" t="s">
        <v>316</v>
      </c>
      <c r="H74" t="n">
        <v>-0.000383198271239038</v>
      </c>
      <c r="I74" t="n">
        <v>-0.00183460775692749</v>
      </c>
      <c r="J74" t="n">
        <v>0.00106821121444941</v>
      </c>
      <c r="K74" t="s">
        <v>391</v>
      </c>
      <c r="L74" t="s">
        <v>678</v>
      </c>
      <c r="M74" t="s">
        <v>376</v>
      </c>
      <c r="N74"/>
    </row>
    <row r="75">
      <c r="A75" t="s">
        <v>186</v>
      </c>
      <c r="B75" t="s">
        <v>51</v>
      </c>
      <c r="C75" t="n">
        <v>-0.00288650883794204</v>
      </c>
      <c r="D75" t="n">
        <v>0.0023127367287124</v>
      </c>
      <c r="E75" t="n">
        <v>1.55773431906513</v>
      </c>
      <c r="F75" t="n">
        <v>0.211997268095137</v>
      </c>
      <c r="G75" t="s">
        <v>316</v>
      </c>
      <c r="H75" t="n">
        <v>-0.00288650883794204</v>
      </c>
      <c r="I75" t="n">
        <v>-0.00741947282621833</v>
      </c>
      <c r="J75" t="n">
        <v>0.00164645515033426</v>
      </c>
      <c r="K75" t="s">
        <v>780</v>
      </c>
      <c r="L75" t="s">
        <v>678</v>
      </c>
      <c r="M75" t="s">
        <v>376</v>
      </c>
      <c r="N75"/>
    </row>
    <row r="76">
      <c r="A76" t="s">
        <v>191</v>
      </c>
      <c r="B76" t="s">
        <v>315</v>
      </c>
      <c r="C76" t="n">
        <v>-0.00247733619094331</v>
      </c>
      <c r="D76" t="n">
        <v>0.0168234416620559</v>
      </c>
      <c r="E76" t="n">
        <v>0.0216840400841665</v>
      </c>
      <c r="F76" t="n">
        <v>0.88293073643009</v>
      </c>
      <c r="G76" t="s">
        <v>316</v>
      </c>
      <c r="H76" t="n">
        <v>-0.00247733619094331</v>
      </c>
      <c r="I76" t="n">
        <v>-0.0354512818485728</v>
      </c>
      <c r="J76" t="n">
        <v>0.0304966094666862</v>
      </c>
      <c r="K76" t="s">
        <v>781</v>
      </c>
      <c r="L76" t="s">
        <v>678</v>
      </c>
      <c r="M76" t="s">
        <v>376</v>
      </c>
      <c r="N76"/>
    </row>
    <row r="77">
      <c r="A77" t="s">
        <v>191</v>
      </c>
      <c r="B77" t="s">
        <v>320</v>
      </c>
      <c r="C77" t="n">
        <v>0.00650759850555392</v>
      </c>
      <c r="D77" t="n">
        <v>0.00493105975352783</v>
      </c>
      <c r="E77" t="n">
        <v>1.74165034841878</v>
      </c>
      <c r="F77" t="n">
        <v>0.186929852487545</v>
      </c>
      <c r="G77" t="s">
        <v>316</v>
      </c>
      <c r="H77" t="n">
        <v>0.00650759850555392</v>
      </c>
      <c r="I77" t="n">
        <v>-0.00315727861136062</v>
      </c>
      <c r="J77" t="n">
        <v>0.0161724756224685</v>
      </c>
      <c r="K77" t="s">
        <v>714</v>
      </c>
      <c r="L77" t="s">
        <v>678</v>
      </c>
      <c r="M77" t="s">
        <v>376</v>
      </c>
      <c r="N77"/>
    </row>
    <row r="78">
      <c r="A78" t="s">
        <v>191</v>
      </c>
      <c r="B78" t="s">
        <v>314</v>
      </c>
      <c r="C78" t="n">
        <v>-0.000533261503152114</v>
      </c>
      <c r="D78" t="n">
        <v>0.000449952355608548</v>
      </c>
      <c r="E78" t="n">
        <v>1.40458299262913</v>
      </c>
      <c r="F78" t="n">
        <v>0.23595773297519</v>
      </c>
      <c r="G78" t="s">
        <v>316</v>
      </c>
      <c r="H78" t="n">
        <v>-0.000533261503152114</v>
      </c>
      <c r="I78" t="n">
        <v>-0.00141516812014487</v>
      </c>
      <c r="J78" t="n">
        <v>0.000348645113840641</v>
      </c>
      <c r="K78" t="s">
        <v>469</v>
      </c>
      <c r="L78" t="s">
        <v>678</v>
      </c>
      <c r="M78" t="s">
        <v>376</v>
      </c>
      <c r="N78"/>
    </row>
    <row r="79">
      <c r="A79" t="s">
        <v>191</v>
      </c>
      <c r="B79" t="s">
        <v>51</v>
      </c>
      <c r="C79" t="n">
        <v>-0.00262255367693087</v>
      </c>
      <c r="D79" t="n">
        <v>0.00138245418572444</v>
      </c>
      <c r="E79" t="n">
        <v>3.59871352545568</v>
      </c>
      <c r="F79" t="n">
        <v>0.0578243021062064</v>
      </c>
      <c r="G79" t="s">
        <v>316</v>
      </c>
      <c r="H79" t="n">
        <v>-0.00262255367693087</v>
      </c>
      <c r="I79" t="n">
        <v>-0.00533216388095077</v>
      </c>
      <c r="J79" t="n">
        <v>0.0000870565270890333</v>
      </c>
      <c r="K79" t="s">
        <v>740</v>
      </c>
      <c r="L79" t="s">
        <v>678</v>
      </c>
      <c r="M79" t="s">
        <v>376</v>
      </c>
      <c r="N79"/>
    </row>
    <row r="80">
      <c r="A80" t="s">
        <v>197</v>
      </c>
      <c r="B80"/>
      <c r="C80"/>
      <c r="D80"/>
      <c r="E80"/>
      <c r="F80"/>
      <c r="G80"/>
      <c r="H80"/>
      <c r="I80"/>
      <c r="J80"/>
      <c r="K80"/>
      <c r="L80" t="s">
        <v>336</v>
      </c>
      <c r="M80"/>
      <c r="N80"/>
    </row>
    <row r="81">
      <c r="A81" t="s">
        <v>200</v>
      </c>
      <c r="B81"/>
      <c r="C81"/>
      <c r="D81"/>
      <c r="E81"/>
      <c r="F81"/>
      <c r="G81"/>
      <c r="H81"/>
      <c r="I81"/>
      <c r="J81"/>
      <c r="K81"/>
      <c r="L81" t="s">
        <v>336</v>
      </c>
      <c r="M81"/>
      <c r="N81"/>
    </row>
    <row r="82">
      <c r="A82" t="s">
        <v>361</v>
      </c>
      <c r="B82" t="s">
        <v>315</v>
      </c>
      <c r="C82" t="n">
        <v>-2.6123004440369</v>
      </c>
      <c r="D82" t="n">
        <v>1.3836404323013</v>
      </c>
      <c r="E82" t="n">
        <v>3.56450936279721</v>
      </c>
      <c r="F82" t="n">
        <v>0.0590271819203398</v>
      </c>
      <c r="G82" t="s">
        <v>337</v>
      </c>
      <c r="H82" t="n">
        <v>0.0733655760852102</v>
      </c>
      <c r="I82" t="n">
        <v>0.00487207335936271</v>
      </c>
      <c r="J82" t="n">
        <v>1.10476738696291</v>
      </c>
      <c r="K82" t="s">
        <v>782</v>
      </c>
      <c r="L82" t="s">
        <v>695</v>
      </c>
      <c r="M82" t="s">
        <v>376</v>
      </c>
      <c r="N82"/>
    </row>
    <row r="83">
      <c r="A83" t="s">
        <v>361</v>
      </c>
      <c r="B83" t="s">
        <v>320</v>
      </c>
      <c r="C83" t="n">
        <v>0.94823423767759</v>
      </c>
      <c r="D83" t="n">
        <v>0.343609318737683</v>
      </c>
      <c r="E83" t="n">
        <v>7.61555216975576</v>
      </c>
      <c r="F83" t="n">
        <v>0.00578670373694601</v>
      </c>
      <c r="G83" t="s">
        <v>337</v>
      </c>
      <c r="H83" t="n">
        <v>2.58114793926469</v>
      </c>
      <c r="I83" t="n">
        <v>1.31621470981737</v>
      </c>
      <c r="J83" t="n">
        <v>5.06173091265234</v>
      </c>
      <c r="K83" t="s">
        <v>783</v>
      </c>
      <c r="L83" t="s">
        <v>695</v>
      </c>
      <c r="M83" t="s">
        <v>376</v>
      </c>
      <c r="N83"/>
    </row>
    <row r="84">
      <c r="A84" t="s">
        <v>361</v>
      </c>
      <c r="B84" t="s">
        <v>314</v>
      </c>
      <c r="C84" t="n">
        <v>0.0261519851410766</v>
      </c>
      <c r="D84" t="n">
        <v>0.0382596881745828</v>
      </c>
      <c r="E84" t="n">
        <v>0.467225426808414</v>
      </c>
      <c r="F84" t="n">
        <v>0.494266378762826</v>
      </c>
      <c r="G84" t="s">
        <v>337</v>
      </c>
      <c r="H84" t="n">
        <v>1.02649694890186</v>
      </c>
      <c r="I84" t="n">
        <v>0.952336344366932</v>
      </c>
      <c r="J84" t="n">
        <v>1.10643260895947</v>
      </c>
      <c r="K84" t="s">
        <v>784</v>
      </c>
      <c r="L84" t="s">
        <v>695</v>
      </c>
      <c r="M84" t="s">
        <v>376</v>
      </c>
      <c r="N84"/>
    </row>
    <row r="85">
      <c r="A85" t="s">
        <v>361</v>
      </c>
      <c r="B85" t="s">
        <v>51</v>
      </c>
      <c r="C85" t="n">
        <v>0.00662979962520039</v>
      </c>
      <c r="D85" t="n">
        <v>0.0939079970849538</v>
      </c>
      <c r="E85" t="n">
        <v>0.00498420216993704</v>
      </c>
      <c r="F85" t="n">
        <v>0.943717000058329</v>
      </c>
      <c r="G85" t="s">
        <v>337</v>
      </c>
      <c r="H85" t="n">
        <v>1.00665182539531</v>
      </c>
      <c r="I85" t="n">
        <v>0.837419721618375</v>
      </c>
      <c r="J85" t="n">
        <v>1.21008363119673</v>
      </c>
      <c r="K85" t="s">
        <v>785</v>
      </c>
      <c r="L85" t="s">
        <v>695</v>
      </c>
      <c r="M85" t="s">
        <v>376</v>
      </c>
      <c r="N85"/>
    </row>
    <row r="86">
      <c r="A86" t="s">
        <v>364</v>
      </c>
      <c r="B86" t="s">
        <v>315</v>
      </c>
      <c r="C86" t="n">
        <v>-12.0271760221328</v>
      </c>
      <c r="D86" t="n">
        <v>2.76423194402458</v>
      </c>
      <c r="E86" t="n">
        <v>18.9312099206343</v>
      </c>
      <c r="F86" t="n">
        <v>0.000013551741863238</v>
      </c>
      <c r="G86" t="s">
        <v>337</v>
      </c>
      <c r="H86" t="n">
        <v>0.00000597948554998641</v>
      </c>
      <c r="I86" t="n">
        <v>0.0000000265278521220021</v>
      </c>
      <c r="J86" t="n">
        <v>0.00134780031485632</v>
      </c>
      <c r="K86" t="s">
        <v>786</v>
      </c>
      <c r="L86" t="s">
        <v>695</v>
      </c>
      <c r="M86" t="s">
        <v>376</v>
      </c>
      <c r="N86"/>
    </row>
    <row r="87">
      <c r="A87" t="s">
        <v>364</v>
      </c>
      <c r="B87" t="s">
        <v>320</v>
      </c>
      <c r="C87" t="n">
        <v>0.0989837906690567</v>
      </c>
      <c r="D87" t="n">
        <v>0.636607816009592</v>
      </c>
      <c r="E87" t="n">
        <v>0.0241759879277876</v>
      </c>
      <c r="F87" t="n">
        <v>0.876437957563452</v>
      </c>
      <c r="G87" t="s">
        <v>337</v>
      </c>
      <c r="H87" t="n">
        <v>1.10404840352789</v>
      </c>
      <c r="I87" t="n">
        <v>0.317027255688907</v>
      </c>
      <c r="J87" t="n">
        <v>3.84485199761055</v>
      </c>
      <c r="K87" t="s">
        <v>787</v>
      </c>
      <c r="L87" t="s">
        <v>695</v>
      </c>
      <c r="M87" t="s">
        <v>376</v>
      </c>
      <c r="N87"/>
    </row>
    <row r="88">
      <c r="A88" t="s">
        <v>364</v>
      </c>
      <c r="B88" t="s">
        <v>314</v>
      </c>
      <c r="C88" t="n">
        <v>0.226026427616458</v>
      </c>
      <c r="D88" t="n">
        <v>0.069174056487905</v>
      </c>
      <c r="E88" t="n">
        <v>10.6765749594207</v>
      </c>
      <c r="F88" t="n">
        <v>0.0010850076902964</v>
      </c>
      <c r="G88" t="s">
        <v>337</v>
      </c>
      <c r="H88" t="n">
        <v>1.25360879473283</v>
      </c>
      <c r="I88" t="n">
        <v>1.0946616027264</v>
      </c>
      <c r="J88" t="n">
        <v>1.43563545694614</v>
      </c>
      <c r="K88" t="s">
        <v>788</v>
      </c>
      <c r="L88" t="s">
        <v>695</v>
      </c>
      <c r="M88" t="s">
        <v>376</v>
      </c>
      <c r="N88"/>
    </row>
    <row r="89">
      <c r="A89" t="s">
        <v>364</v>
      </c>
      <c r="B89" t="s">
        <v>51</v>
      </c>
      <c r="C89" t="n">
        <v>-0.175396073285572</v>
      </c>
      <c r="D89" t="n">
        <v>0.211350261597527</v>
      </c>
      <c r="E89" t="n">
        <v>0.688706454455297</v>
      </c>
      <c r="F89" t="n">
        <v>0.406604712269133</v>
      </c>
      <c r="G89" t="s">
        <v>337</v>
      </c>
      <c r="H89" t="n">
        <v>0.839124600104713</v>
      </c>
      <c r="I89" t="n">
        <v>0.554525444467803</v>
      </c>
      <c r="J89" t="n">
        <v>1.26978861209276</v>
      </c>
      <c r="K89" t="s">
        <v>789</v>
      </c>
      <c r="L89" t="s">
        <v>695</v>
      </c>
      <c r="M89" t="s">
        <v>376</v>
      </c>
      <c r="N89"/>
    </row>
    <row r="90">
      <c r="A90" t="s">
        <v>367</v>
      </c>
      <c r="B90"/>
      <c r="C90"/>
      <c r="D90"/>
      <c r="E90"/>
      <c r="F90"/>
      <c r="G90"/>
      <c r="H90"/>
      <c r="I90"/>
      <c r="J90"/>
      <c r="K90"/>
      <c r="L90" t="s">
        <v>345</v>
      </c>
      <c r="M90"/>
      <c r="N90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9" t="s">
        <v>443</v>
      </c>
    </row>
    <row r="3">
      <c r="A3" s="1" t="s">
        <v>790</v>
      </c>
    </row>
    <row r="4">
      <c r="A4" t="s">
        <v>301</v>
      </c>
      <c r="B4" t="s">
        <v>445</v>
      </c>
      <c r="C4" t="s">
        <v>163</v>
      </c>
      <c r="D4" t="s">
        <v>446</v>
      </c>
      <c r="E4" t="s">
        <v>144</v>
      </c>
      <c r="F4" t="s">
        <v>1</v>
      </c>
    </row>
    <row r="5">
      <c r="A5" t="s">
        <v>165</v>
      </c>
      <c r="B5" t="s">
        <v>447</v>
      </c>
      <c r="C5" t="s">
        <v>791</v>
      </c>
      <c r="D5" t="s">
        <v>792</v>
      </c>
      <c r="E5" t="s">
        <v>793</v>
      </c>
      <c r="F5" t="s">
        <v>96</v>
      </c>
    </row>
    <row r="6">
      <c r="A6" t="s">
        <v>173</v>
      </c>
      <c r="B6" t="s">
        <v>447</v>
      </c>
      <c r="C6" t="s">
        <v>794</v>
      </c>
      <c r="D6" t="s">
        <v>209</v>
      </c>
      <c r="E6" t="s">
        <v>793</v>
      </c>
      <c r="F6" t="s">
        <v>96</v>
      </c>
    </row>
    <row r="7">
      <c r="A7" t="s">
        <v>178</v>
      </c>
      <c r="B7" t="s">
        <v>447</v>
      </c>
      <c r="C7" t="s">
        <v>795</v>
      </c>
      <c r="D7" t="s">
        <v>796</v>
      </c>
      <c r="E7" t="s">
        <v>793</v>
      </c>
      <c r="F7" t="s">
        <v>96</v>
      </c>
    </row>
    <row r="8">
      <c r="A8" t="s">
        <v>186</v>
      </c>
      <c r="B8" t="s">
        <v>447</v>
      </c>
      <c r="C8" t="s">
        <v>190</v>
      </c>
      <c r="D8" t="s">
        <v>47</v>
      </c>
      <c r="E8" t="s">
        <v>793</v>
      </c>
      <c r="F8" t="s">
        <v>96</v>
      </c>
    </row>
    <row r="9">
      <c r="A9" t="s">
        <v>191</v>
      </c>
      <c r="B9" t="s">
        <v>447</v>
      </c>
      <c r="C9" t="s">
        <v>196</v>
      </c>
      <c r="D9" t="s">
        <v>797</v>
      </c>
      <c r="E9" t="s">
        <v>793</v>
      </c>
      <c r="F9" t="s">
        <v>96</v>
      </c>
    </row>
    <row r="10">
      <c r="A10" t="s">
        <v>197</v>
      </c>
      <c r="B10" t="s">
        <v>96</v>
      </c>
      <c r="C10" t="s">
        <v>96</v>
      </c>
      <c r="D10" t="s">
        <v>96</v>
      </c>
      <c r="E10"/>
      <c r="F10" t="s">
        <v>449</v>
      </c>
    </row>
    <row r="11">
      <c r="A11" t="s">
        <v>200</v>
      </c>
      <c r="B11" t="s">
        <v>96</v>
      </c>
      <c r="C11" t="s">
        <v>96</v>
      </c>
      <c r="D11" t="s">
        <v>96</v>
      </c>
      <c r="E11"/>
      <c r="F11" t="s">
        <v>449</v>
      </c>
    </row>
    <row r="12">
      <c r="A12" t="s">
        <v>361</v>
      </c>
      <c r="B12" t="s">
        <v>447</v>
      </c>
      <c r="C12" t="s">
        <v>798</v>
      </c>
      <c r="D12" t="s">
        <v>799</v>
      </c>
      <c r="E12" t="s">
        <v>800</v>
      </c>
      <c r="F12" t="s">
        <v>96</v>
      </c>
    </row>
    <row r="13">
      <c r="A13" t="s">
        <v>364</v>
      </c>
      <c r="B13" t="s">
        <v>447</v>
      </c>
      <c r="C13" t="s">
        <v>801</v>
      </c>
      <c r="D13" t="s">
        <v>802</v>
      </c>
      <c r="E13" t="s">
        <v>803</v>
      </c>
      <c r="F13" t="s">
        <v>804</v>
      </c>
    </row>
    <row r="14">
      <c r="A14" t="s">
        <v>367</v>
      </c>
      <c r="B14" t="s">
        <v>96</v>
      </c>
      <c r="C14" t="s">
        <v>96</v>
      </c>
      <c r="D14" t="s">
        <v>96</v>
      </c>
      <c r="E14"/>
      <c r="F14" t="s">
        <v>453</v>
      </c>
    </row>
    <row r="16">
      <c r="A16" s="1" t="s">
        <v>454</v>
      </c>
    </row>
    <row r="17">
      <c r="A17" t="s">
        <v>301</v>
      </c>
      <c r="B17" t="s">
        <v>302</v>
      </c>
      <c r="C17" t="s">
        <v>303</v>
      </c>
      <c r="D17" t="s">
        <v>304</v>
      </c>
      <c r="E17" t="s">
        <v>305</v>
      </c>
      <c r="F17" t="s">
        <v>306</v>
      </c>
      <c r="G17" t="s">
        <v>307</v>
      </c>
      <c r="H17" t="s">
        <v>308</v>
      </c>
      <c r="I17" t="s">
        <v>309</v>
      </c>
      <c r="J17" t="s">
        <v>310</v>
      </c>
      <c r="K17" t="s">
        <v>311</v>
      </c>
      <c r="L17" t="s">
        <v>312</v>
      </c>
    </row>
    <row r="18">
      <c r="A18" t="s">
        <v>165</v>
      </c>
      <c r="B18" t="s">
        <v>315</v>
      </c>
      <c r="C18" t="n">
        <v>135.651152865747</v>
      </c>
      <c r="D18" t="n">
        <v>141.418690413049</v>
      </c>
      <c r="E18" t="n">
        <v>0.920096451412011</v>
      </c>
      <c r="F18" t="n">
        <v>0.337449648550741</v>
      </c>
      <c r="G18" t="s">
        <v>316</v>
      </c>
      <c r="H18" t="n">
        <v>135.651152865747</v>
      </c>
      <c r="I18" t="n">
        <v>-141.52948034383</v>
      </c>
      <c r="J18" t="n">
        <v>412.831786075323</v>
      </c>
      <c r="K18" t="s">
        <v>805</v>
      </c>
      <c r="L18" t="s">
        <v>806</v>
      </c>
    </row>
    <row r="19">
      <c r="A19" t="s">
        <v>165</v>
      </c>
      <c r="B19" t="s">
        <v>320</v>
      </c>
      <c r="C19" t="n">
        <v>-14.4861173058064</v>
      </c>
      <c r="D19" t="n">
        <v>12.0491782457073</v>
      </c>
      <c r="E19" t="n">
        <v>1.4454036176874</v>
      </c>
      <c r="F19" t="n">
        <v>0.229266915285898</v>
      </c>
      <c r="G19" t="s">
        <v>316</v>
      </c>
      <c r="H19" t="n">
        <v>-14.4861173058064</v>
      </c>
      <c r="I19" t="n">
        <v>-38.1025066673927</v>
      </c>
      <c r="J19" t="n">
        <v>9.13027205577992</v>
      </c>
      <c r="K19" t="s">
        <v>807</v>
      </c>
      <c r="L19" t="s">
        <v>806</v>
      </c>
    </row>
    <row r="20">
      <c r="A20" t="s">
        <v>165</v>
      </c>
      <c r="B20" t="s">
        <v>314</v>
      </c>
      <c r="C20" t="n">
        <v>1.61799010902741</v>
      </c>
      <c r="D20" t="n">
        <v>1.30100081171338</v>
      </c>
      <c r="E20" t="n">
        <v>1.54666618194693</v>
      </c>
      <c r="F20" t="n">
        <v>0.213628278300797</v>
      </c>
      <c r="G20" t="s">
        <v>316</v>
      </c>
      <c r="H20" t="n">
        <v>1.61799010902741</v>
      </c>
      <c r="I20" t="n">
        <v>-0.931971481930822</v>
      </c>
      <c r="J20" t="n">
        <v>4.16795169998564</v>
      </c>
      <c r="K20" t="s">
        <v>808</v>
      </c>
      <c r="L20" t="s">
        <v>806</v>
      </c>
    </row>
    <row r="21">
      <c r="A21" t="s">
        <v>165</v>
      </c>
      <c r="B21" t="s">
        <v>51</v>
      </c>
      <c r="C21" t="n">
        <v>-2.05358282748569</v>
      </c>
      <c r="D21" t="n">
        <v>3.34416522473531</v>
      </c>
      <c r="E21" t="n">
        <v>0.37709345543696</v>
      </c>
      <c r="F21" t="n">
        <v>0.53916288928211</v>
      </c>
      <c r="G21" t="s">
        <v>316</v>
      </c>
      <c r="H21" t="n">
        <v>-2.05358282748569</v>
      </c>
      <c r="I21" t="n">
        <v>-8.6081466679669</v>
      </c>
      <c r="J21" t="n">
        <v>4.50098101299553</v>
      </c>
      <c r="K21" t="s">
        <v>809</v>
      </c>
      <c r="L21" t="s">
        <v>806</v>
      </c>
    </row>
    <row r="22">
      <c r="A22" t="s">
        <v>165</v>
      </c>
      <c r="B22" t="s">
        <v>81</v>
      </c>
      <c r="C22" t="n">
        <v>-0.0296043598616904</v>
      </c>
      <c r="D22" t="n">
        <v>0.257271435227483</v>
      </c>
      <c r="E22" t="n">
        <v>0.0132412263880299</v>
      </c>
      <c r="F22" t="n">
        <v>0.908389220037932</v>
      </c>
      <c r="G22" t="s">
        <v>316</v>
      </c>
      <c r="H22" t="n">
        <v>-0.0296043598616904</v>
      </c>
      <c r="I22" t="n">
        <v>-0.533856372907557</v>
      </c>
      <c r="J22" t="n">
        <v>0.474647653184176</v>
      </c>
      <c r="K22" t="s">
        <v>810</v>
      </c>
      <c r="L22" t="s">
        <v>806</v>
      </c>
    </row>
    <row r="23">
      <c r="A23" t="s">
        <v>173</v>
      </c>
      <c r="B23" t="s">
        <v>315</v>
      </c>
      <c r="C23" t="n">
        <v>0.375940394151208</v>
      </c>
      <c r="D23" t="n">
        <v>0.612439906330858</v>
      </c>
      <c r="E23" t="n">
        <v>0.376800110987941</v>
      </c>
      <c r="F23" t="n">
        <v>0.539320757598078</v>
      </c>
      <c r="G23" t="s">
        <v>316</v>
      </c>
      <c r="H23" t="n">
        <v>0.375940394151208</v>
      </c>
      <c r="I23" t="n">
        <v>-0.824441822257273</v>
      </c>
      <c r="J23" t="n">
        <v>1.57632261055969</v>
      </c>
      <c r="K23" t="s">
        <v>811</v>
      </c>
      <c r="L23" t="s">
        <v>806</v>
      </c>
    </row>
    <row r="24">
      <c r="A24" t="s">
        <v>173</v>
      </c>
      <c r="B24" t="s">
        <v>320</v>
      </c>
      <c r="C24" t="n">
        <v>-0.176793836471765</v>
      </c>
      <c r="D24" t="n">
        <v>0.0587988768785883</v>
      </c>
      <c r="E24" t="n">
        <v>9.04057761643231</v>
      </c>
      <c r="F24" t="n">
        <v>0.0026405219692448</v>
      </c>
      <c r="G24" t="s">
        <v>316</v>
      </c>
      <c r="H24" t="n">
        <v>-0.176793836471765</v>
      </c>
      <c r="I24" t="n">
        <v>-0.292039635153798</v>
      </c>
      <c r="J24" t="n">
        <v>-0.061548037789732</v>
      </c>
      <c r="K24" t="s">
        <v>812</v>
      </c>
      <c r="L24" t="s">
        <v>806</v>
      </c>
    </row>
    <row r="25">
      <c r="A25" t="s">
        <v>173</v>
      </c>
      <c r="B25" t="s">
        <v>314</v>
      </c>
      <c r="C25" t="n">
        <v>0.00663959895408654</v>
      </c>
      <c r="D25" t="n">
        <v>0.00595524346112689</v>
      </c>
      <c r="E25" t="n">
        <v>1.24303871126952</v>
      </c>
      <c r="F25" t="n">
        <v>0.264886222746054</v>
      </c>
      <c r="G25" t="s">
        <v>316</v>
      </c>
      <c r="H25" t="n">
        <v>0.00663959895408654</v>
      </c>
      <c r="I25" t="n">
        <v>-0.00503267822972217</v>
      </c>
      <c r="J25" t="n">
        <v>0.0183118761378952</v>
      </c>
      <c r="K25" t="s">
        <v>813</v>
      </c>
      <c r="L25" t="s">
        <v>806</v>
      </c>
    </row>
    <row r="26">
      <c r="A26" t="s">
        <v>173</v>
      </c>
      <c r="B26" t="s">
        <v>51</v>
      </c>
      <c r="C26" t="n">
        <v>0.00499042368116587</v>
      </c>
      <c r="D26" t="n">
        <v>0.0140151997013778</v>
      </c>
      <c r="E26" t="n">
        <v>0.126787446676216</v>
      </c>
      <c r="F26" t="n">
        <v>0.721786458939697</v>
      </c>
      <c r="G26" t="s">
        <v>316</v>
      </c>
      <c r="H26" t="n">
        <v>0.00499042368116587</v>
      </c>
      <c r="I26" t="n">
        <v>-0.0224793677335346</v>
      </c>
      <c r="J26" t="n">
        <v>0.0324602150958663</v>
      </c>
      <c r="K26" t="s">
        <v>814</v>
      </c>
      <c r="L26" t="s">
        <v>806</v>
      </c>
    </row>
    <row r="27">
      <c r="A27" t="s">
        <v>173</v>
      </c>
      <c r="B27" t="s">
        <v>81</v>
      </c>
      <c r="C27" t="n">
        <v>-0.00104233537392589</v>
      </c>
      <c r="D27" t="n">
        <v>0.00113918580854043</v>
      </c>
      <c r="E27" t="n">
        <v>0.837193448968332</v>
      </c>
      <c r="F27" t="n">
        <v>0.360200681385172</v>
      </c>
      <c r="G27" t="s">
        <v>316</v>
      </c>
      <c r="H27" t="n">
        <v>-0.00104233537392589</v>
      </c>
      <c r="I27" t="n">
        <v>-0.00327513955866513</v>
      </c>
      <c r="J27" t="n">
        <v>0.00119046881081336</v>
      </c>
      <c r="K27" t="s">
        <v>815</v>
      </c>
      <c r="L27" t="s">
        <v>806</v>
      </c>
    </row>
    <row r="28">
      <c r="A28" t="s">
        <v>178</v>
      </c>
      <c r="B28" t="s">
        <v>315</v>
      </c>
      <c r="C28" t="n">
        <v>-0.197362009997002</v>
      </c>
      <c r="D28" t="n">
        <v>0.267112508719394</v>
      </c>
      <c r="E28" t="n">
        <v>0.545932144706659</v>
      </c>
      <c r="F28" t="n">
        <v>0.45998459779824</v>
      </c>
      <c r="G28" t="s">
        <v>316</v>
      </c>
      <c r="H28" t="n">
        <v>-0.197362009997002</v>
      </c>
      <c r="I28" t="n">
        <v>-0.720902527087014</v>
      </c>
      <c r="J28" t="n">
        <v>0.326178507093011</v>
      </c>
      <c r="K28" t="s">
        <v>816</v>
      </c>
      <c r="L28" t="s">
        <v>806</v>
      </c>
    </row>
    <row r="29">
      <c r="A29" t="s">
        <v>178</v>
      </c>
      <c r="B29" t="s">
        <v>320</v>
      </c>
      <c r="C29" t="n">
        <v>-0.0163860470985189</v>
      </c>
      <c r="D29" t="n">
        <v>0.0268634768161449</v>
      </c>
      <c r="E29" t="n">
        <v>0.372069401969478</v>
      </c>
      <c r="F29" t="n">
        <v>0.541878421996784</v>
      </c>
      <c r="G29" t="s">
        <v>316</v>
      </c>
      <c r="H29" t="n">
        <v>-0.0163860470985189</v>
      </c>
      <c r="I29" t="n">
        <v>-0.0690384616581629</v>
      </c>
      <c r="J29" t="n">
        <v>0.0362663674611251</v>
      </c>
      <c r="K29" t="s">
        <v>817</v>
      </c>
      <c r="L29" t="s">
        <v>806</v>
      </c>
    </row>
    <row r="30">
      <c r="A30" t="s">
        <v>178</v>
      </c>
      <c r="B30" t="s">
        <v>314</v>
      </c>
      <c r="C30" t="n">
        <v>0.00594243138620979</v>
      </c>
      <c r="D30" t="n">
        <v>0.00294376422417756</v>
      </c>
      <c r="E30" t="n">
        <v>4.0749502021112</v>
      </c>
      <c r="F30" t="n">
        <v>0.0435235489522412</v>
      </c>
      <c r="G30" t="s">
        <v>316</v>
      </c>
      <c r="H30" t="n">
        <v>0.00594243138620979</v>
      </c>
      <c r="I30" t="n">
        <v>0.000172653506821776</v>
      </c>
      <c r="J30" t="n">
        <v>0.0117122092655978</v>
      </c>
      <c r="K30" t="s">
        <v>818</v>
      </c>
      <c r="L30" t="s">
        <v>806</v>
      </c>
    </row>
    <row r="31">
      <c r="A31" t="s">
        <v>178</v>
      </c>
      <c r="B31" t="s">
        <v>51</v>
      </c>
      <c r="C31" t="n">
        <v>0.0074343137300425</v>
      </c>
      <c r="D31" t="n">
        <v>0.00696850911121575</v>
      </c>
      <c r="E31" t="n">
        <v>1.13815660895307</v>
      </c>
      <c r="F31" t="n">
        <v>0.28604218252495</v>
      </c>
      <c r="G31" t="s">
        <v>316</v>
      </c>
      <c r="H31" t="n">
        <v>0.0074343137300425</v>
      </c>
      <c r="I31" t="n">
        <v>-0.00622396412794037</v>
      </c>
      <c r="J31" t="n">
        <v>0.0210925915880254</v>
      </c>
      <c r="K31" t="s">
        <v>778</v>
      </c>
      <c r="L31" t="s">
        <v>806</v>
      </c>
    </row>
    <row r="32">
      <c r="A32" t="s">
        <v>178</v>
      </c>
      <c r="B32" t="s">
        <v>81</v>
      </c>
      <c r="C32" t="n">
        <v>-0.000373657498227415</v>
      </c>
      <c r="D32" t="n">
        <v>0.000530042628912277</v>
      </c>
      <c r="E32" t="n">
        <v>0.496965001411095</v>
      </c>
      <c r="F32" t="n">
        <v>0.480836718359356</v>
      </c>
      <c r="G32" t="s">
        <v>316</v>
      </c>
      <c r="H32" t="n">
        <v>-0.000373657498227415</v>
      </c>
      <c r="I32" t="n">
        <v>-0.00141254105089548</v>
      </c>
      <c r="J32" t="n">
        <v>0.000665226054440649</v>
      </c>
      <c r="K32" t="s">
        <v>433</v>
      </c>
      <c r="L32" t="s">
        <v>806</v>
      </c>
    </row>
    <row r="33">
      <c r="A33" t="s">
        <v>186</v>
      </c>
      <c r="B33" t="s">
        <v>315</v>
      </c>
      <c r="C33" t="n">
        <v>-0.211594051243806</v>
      </c>
      <c r="D33" t="n">
        <v>0.0759817632995572</v>
      </c>
      <c r="E33" t="n">
        <v>7.75511373803416</v>
      </c>
      <c r="F33" t="n">
        <v>0.00535606684570045</v>
      </c>
      <c r="G33" t="s">
        <v>316</v>
      </c>
      <c r="H33" t="n">
        <v>-0.211594051243806</v>
      </c>
      <c r="I33" t="n">
        <v>-0.360518307310938</v>
      </c>
      <c r="J33" t="n">
        <v>-0.0626697951766738</v>
      </c>
      <c r="K33" t="s">
        <v>819</v>
      </c>
      <c r="L33" t="s">
        <v>806</v>
      </c>
    </row>
    <row r="34">
      <c r="A34" t="s">
        <v>186</v>
      </c>
      <c r="B34" t="s">
        <v>320</v>
      </c>
      <c r="C34" t="n">
        <v>0.0528576268833253</v>
      </c>
      <c r="D34" t="n">
        <v>0.0073995909617517</v>
      </c>
      <c r="E34" t="n">
        <v>51.0269835029405</v>
      </c>
      <c r="F34" t="n">
        <v>0.000000000000911049014007403</v>
      </c>
      <c r="G34" t="s">
        <v>316</v>
      </c>
      <c r="H34" t="n">
        <v>0.0528576268833253</v>
      </c>
      <c r="I34" t="n">
        <v>0.038354428598292</v>
      </c>
      <c r="J34" t="n">
        <v>0.0673608251683587</v>
      </c>
      <c r="K34" t="s">
        <v>820</v>
      </c>
      <c r="L34" t="s">
        <v>806</v>
      </c>
    </row>
    <row r="35">
      <c r="A35" t="s">
        <v>186</v>
      </c>
      <c r="B35" t="s">
        <v>314</v>
      </c>
      <c r="C35" t="n">
        <v>-0.00105855251801307</v>
      </c>
      <c r="D35" t="n">
        <v>0.000758198744766871</v>
      </c>
      <c r="E35" t="n">
        <v>1.94921029694584</v>
      </c>
      <c r="F35" t="n">
        <v>0.162671974169289</v>
      </c>
      <c r="G35" t="s">
        <v>316</v>
      </c>
      <c r="H35" t="n">
        <v>-0.00105855251801307</v>
      </c>
      <c r="I35" t="n">
        <v>-0.00254462205775613</v>
      </c>
      <c r="J35" t="n">
        <v>0.000427517021730002</v>
      </c>
      <c r="K35" t="s">
        <v>465</v>
      </c>
      <c r="L35" t="s">
        <v>806</v>
      </c>
    </row>
    <row r="36">
      <c r="A36" t="s">
        <v>186</v>
      </c>
      <c r="B36" t="s">
        <v>51</v>
      </c>
      <c r="C36" t="n">
        <v>-0.00321153744922402</v>
      </c>
      <c r="D36" t="n">
        <v>0.00233687712201803</v>
      </c>
      <c r="E36" t="n">
        <v>1.88866193536112</v>
      </c>
      <c r="F36" t="n">
        <v>0.169352919297471</v>
      </c>
      <c r="G36" t="s">
        <v>316</v>
      </c>
      <c r="H36" t="n">
        <v>-0.00321153744922402</v>
      </c>
      <c r="I36" t="n">
        <v>-0.00779181660837935</v>
      </c>
      <c r="J36" t="n">
        <v>0.00136874170993131</v>
      </c>
      <c r="K36" t="s">
        <v>821</v>
      </c>
      <c r="L36" t="s">
        <v>806</v>
      </c>
    </row>
    <row r="37">
      <c r="A37" t="s">
        <v>186</v>
      </c>
      <c r="B37" t="s">
        <v>81</v>
      </c>
      <c r="C37" t="n">
        <v>0.000448521878607332</v>
      </c>
      <c r="D37" t="n">
        <v>0.000147000767893893</v>
      </c>
      <c r="E37" t="n">
        <v>9.30953648273931</v>
      </c>
      <c r="F37" t="n">
        <v>0.00227964147593118</v>
      </c>
      <c r="G37" t="s">
        <v>316</v>
      </c>
      <c r="H37" t="n">
        <v>0.000448521878607332</v>
      </c>
      <c r="I37" t="n">
        <v>0.000160400373535301</v>
      </c>
      <c r="J37" t="n">
        <v>0.000736643383679362</v>
      </c>
      <c r="K37" t="s">
        <v>786</v>
      </c>
      <c r="L37" t="s">
        <v>806</v>
      </c>
    </row>
    <row r="38">
      <c r="A38" t="s">
        <v>191</v>
      </c>
      <c r="B38" t="s">
        <v>315</v>
      </c>
      <c r="C38" t="n">
        <v>-0.111711331832815</v>
      </c>
      <c r="D38" t="n">
        <v>0.0450600736463785</v>
      </c>
      <c r="E38" t="n">
        <v>6.14625627488727</v>
      </c>
      <c r="F38" t="n">
        <v>0.0131690580913736</v>
      </c>
      <c r="G38" t="s">
        <v>316</v>
      </c>
      <c r="H38" t="n">
        <v>-0.111711331832815</v>
      </c>
      <c r="I38" t="n">
        <v>-0.200029076179717</v>
      </c>
      <c r="J38" t="n">
        <v>-0.0233935874859136</v>
      </c>
      <c r="K38" t="s">
        <v>822</v>
      </c>
      <c r="L38" t="s">
        <v>806</v>
      </c>
    </row>
    <row r="39">
      <c r="A39" t="s">
        <v>191</v>
      </c>
      <c r="B39" t="s">
        <v>320</v>
      </c>
      <c r="C39" t="n">
        <v>0.0069024219763413</v>
      </c>
      <c r="D39" t="n">
        <v>0.00485795773148914</v>
      </c>
      <c r="E39" t="n">
        <v>2.01881047193893</v>
      </c>
      <c r="F39" t="n">
        <v>0.155360806282639</v>
      </c>
      <c r="G39" t="s">
        <v>316</v>
      </c>
      <c r="H39" t="n">
        <v>0.0069024219763413</v>
      </c>
      <c r="I39" t="n">
        <v>-0.00261917517737742</v>
      </c>
      <c r="J39" t="n">
        <v>0.01642401913006</v>
      </c>
      <c r="K39" t="s">
        <v>714</v>
      </c>
      <c r="L39" t="s">
        <v>806</v>
      </c>
    </row>
    <row r="40">
      <c r="A40" t="s">
        <v>191</v>
      </c>
      <c r="B40" t="s">
        <v>314</v>
      </c>
      <c r="C40" t="n">
        <v>-0.000870463245273862</v>
      </c>
      <c r="D40" t="n">
        <v>0.000477581565204639</v>
      </c>
      <c r="E40" t="n">
        <v>3.32204695786355</v>
      </c>
      <c r="F40" t="n">
        <v>0.0683566697702092</v>
      </c>
      <c r="G40" t="s">
        <v>316</v>
      </c>
      <c r="H40" t="n">
        <v>-0.000870463245273862</v>
      </c>
      <c r="I40" t="n">
        <v>-0.00180652311307495</v>
      </c>
      <c r="J40" t="n">
        <v>0.0000655966225272299</v>
      </c>
      <c r="K40" t="s">
        <v>823</v>
      </c>
      <c r="L40" t="s">
        <v>806</v>
      </c>
    </row>
    <row r="41">
      <c r="A41" t="s">
        <v>191</v>
      </c>
      <c r="B41" t="s">
        <v>51</v>
      </c>
      <c r="C41" t="n">
        <v>-0.00278483919521587</v>
      </c>
      <c r="D41" t="n">
        <v>0.00137444102162405</v>
      </c>
      <c r="E41" t="n">
        <v>4.10532957844027</v>
      </c>
      <c r="F41" t="n">
        <v>0.0427482588995969</v>
      </c>
      <c r="G41" t="s">
        <v>316</v>
      </c>
      <c r="H41" t="n">
        <v>-0.00278483919521587</v>
      </c>
      <c r="I41" t="n">
        <v>-0.00547874359759901</v>
      </c>
      <c r="J41" t="n">
        <v>-0.0000909347928327209</v>
      </c>
      <c r="K41" t="s">
        <v>824</v>
      </c>
      <c r="L41" t="s">
        <v>806</v>
      </c>
    </row>
    <row r="42">
      <c r="A42" t="s">
        <v>191</v>
      </c>
      <c r="B42" t="s">
        <v>81</v>
      </c>
      <c r="C42" t="n">
        <v>0.000223945225144514</v>
      </c>
      <c r="D42" t="n">
        <v>0.0000880601844820704</v>
      </c>
      <c r="E42" t="n">
        <v>6.46732122168526</v>
      </c>
      <c r="F42" t="n">
        <v>0.0109876028494301</v>
      </c>
      <c r="G42" t="s">
        <v>316</v>
      </c>
      <c r="H42" t="n">
        <v>0.000223945225144514</v>
      </c>
      <c r="I42" t="n">
        <v>0.0000513472635596561</v>
      </c>
      <c r="J42" t="n">
        <v>0.000396543186729372</v>
      </c>
      <c r="K42" t="s">
        <v>825</v>
      </c>
      <c r="L42" t="s">
        <v>806</v>
      </c>
    </row>
    <row r="43">
      <c r="A43" t="s">
        <v>361</v>
      </c>
      <c r="B43" t="s">
        <v>315</v>
      </c>
      <c r="C43" t="n">
        <v>0.0930221522640439</v>
      </c>
      <c r="D43" t="n">
        <v>4.08392306633579</v>
      </c>
      <c r="E43" t="n">
        <v>0.000518821139094615</v>
      </c>
      <c r="F43" t="n">
        <v>0.981827639625088</v>
      </c>
      <c r="G43" t="s">
        <v>337</v>
      </c>
      <c r="H43" t="n">
        <v>1.0974860467995</v>
      </c>
      <c r="I43" t="n">
        <v>0.000366516485131528</v>
      </c>
      <c r="J43" t="n">
        <v>3286.27953115765</v>
      </c>
      <c r="K43" t="s">
        <v>826</v>
      </c>
      <c r="L43" t="s">
        <v>827</v>
      </c>
    </row>
    <row r="44">
      <c r="A44" t="s">
        <v>361</v>
      </c>
      <c r="B44" t="s">
        <v>320</v>
      </c>
      <c r="C44" t="n">
        <v>0.941292649737783</v>
      </c>
      <c r="D44" t="n">
        <v>0.343884037127252</v>
      </c>
      <c r="E44" t="n">
        <v>7.49247498441141</v>
      </c>
      <c r="F44" t="n">
        <v>0.00619573434341791</v>
      </c>
      <c r="G44" t="s">
        <v>337</v>
      </c>
      <c r="H44" t="n">
        <v>2.56329271735223</v>
      </c>
      <c r="I44" t="n">
        <v>1.30640610651228</v>
      </c>
      <c r="J44" t="n">
        <v>5.02942348637071</v>
      </c>
      <c r="K44" t="s">
        <v>828</v>
      </c>
      <c r="L44" t="s">
        <v>827</v>
      </c>
    </row>
    <row r="45">
      <c r="A45" t="s">
        <v>361</v>
      </c>
      <c r="B45" t="s">
        <v>314</v>
      </c>
      <c r="C45" t="n">
        <v>0.0342584967508121</v>
      </c>
      <c r="D45" t="n">
        <v>0.0409205912485567</v>
      </c>
      <c r="E45" t="n">
        <v>0.70089474625063</v>
      </c>
      <c r="F45" t="n">
        <v>0.402483209784799</v>
      </c>
      <c r="G45" t="s">
        <v>337</v>
      </c>
      <c r="H45" t="n">
        <v>1.03485207805614</v>
      </c>
      <c r="I45" t="n">
        <v>0.955093667560034</v>
      </c>
      <c r="J45" t="n">
        <v>1.12127099134997</v>
      </c>
      <c r="K45" t="s">
        <v>829</v>
      </c>
      <c r="L45" t="s">
        <v>827</v>
      </c>
    </row>
    <row r="46">
      <c r="A46" t="s">
        <v>361</v>
      </c>
      <c r="B46" t="s">
        <v>51</v>
      </c>
      <c r="C46" t="n">
        <v>0.0123641668419506</v>
      </c>
      <c r="D46" t="n">
        <v>0.095978065009663</v>
      </c>
      <c r="E46" t="n">
        <v>0.016595323916954</v>
      </c>
      <c r="F46" t="n">
        <v>0.897497832988405</v>
      </c>
      <c r="G46" t="s">
        <v>337</v>
      </c>
      <c r="H46" t="n">
        <v>1.01244091915273</v>
      </c>
      <c r="I46" t="n">
        <v>0.838825281290728</v>
      </c>
      <c r="J46" t="n">
        <v>1.22199060714714</v>
      </c>
      <c r="K46" t="s">
        <v>830</v>
      </c>
      <c r="L46" t="s">
        <v>827</v>
      </c>
    </row>
    <row r="47">
      <c r="A47" t="s">
        <v>361</v>
      </c>
      <c r="B47" t="s">
        <v>81</v>
      </c>
      <c r="C47" t="n">
        <v>-0.00552799356156513</v>
      </c>
      <c r="D47" t="n">
        <v>0.00788522101860568</v>
      </c>
      <c r="E47" t="n">
        <v>0.491481658726213</v>
      </c>
      <c r="F47" t="n">
        <v>0.483267113886775</v>
      </c>
      <c r="G47" t="s">
        <v>337</v>
      </c>
      <c r="H47" t="n">
        <v>0.994487257678982</v>
      </c>
      <c r="I47" t="n">
        <v>0.979235585230937</v>
      </c>
      <c r="J47" t="n">
        <v>1.0099764761435</v>
      </c>
      <c r="K47" t="s">
        <v>831</v>
      </c>
      <c r="L47" t="s">
        <v>827</v>
      </c>
    </row>
    <row r="48">
      <c r="A48" t="s">
        <v>364</v>
      </c>
      <c r="B48" t="s">
        <v>315</v>
      </c>
      <c r="C48" t="n">
        <v>-5.68859865066595</v>
      </c>
      <c r="D48" t="n">
        <v>5.49254392845881</v>
      </c>
      <c r="E48" t="n">
        <v>1.07266351705531</v>
      </c>
      <c r="F48" t="n">
        <v>0.300344594511602</v>
      </c>
      <c r="G48" t="s">
        <v>337</v>
      </c>
      <c r="H48" t="n">
        <v>0.00338433227967278</v>
      </c>
      <c r="I48" t="n">
        <v>0.0000000714702362279873</v>
      </c>
      <c r="J48" t="n">
        <v>160.25838983795</v>
      </c>
      <c r="K48" t="s">
        <v>832</v>
      </c>
      <c r="L48" t="s">
        <v>827</v>
      </c>
    </row>
    <row r="49">
      <c r="A49" t="s">
        <v>364</v>
      </c>
      <c r="B49" t="s">
        <v>320</v>
      </c>
      <c r="C49" t="n">
        <v>0.0142017475501228</v>
      </c>
      <c r="D49" t="n">
        <v>0.610429442225912</v>
      </c>
      <c r="E49" t="n">
        <v>0.000541268348845007</v>
      </c>
      <c r="F49" t="n">
        <v>0.981438750839041</v>
      </c>
      <c r="G49" t="s">
        <v>337</v>
      </c>
      <c r="H49" t="n">
        <v>1.01430307145751</v>
      </c>
      <c r="I49" t="n">
        <v>0.306591217057319</v>
      </c>
      <c r="J49" t="n">
        <v>3.35564316108833</v>
      </c>
      <c r="K49" t="s">
        <v>833</v>
      </c>
      <c r="L49" t="s">
        <v>827</v>
      </c>
    </row>
    <row r="50">
      <c r="A50" t="s">
        <v>364</v>
      </c>
      <c r="B50" t="s">
        <v>314</v>
      </c>
      <c r="C50" t="n">
        <v>0.256998225943761</v>
      </c>
      <c r="D50" t="n">
        <v>0.0761447868104148</v>
      </c>
      <c r="E50" t="n">
        <v>11.3914734073726</v>
      </c>
      <c r="F50" t="n">
        <v>0.000737819855909816</v>
      </c>
      <c r="G50" t="s">
        <v>337</v>
      </c>
      <c r="H50" t="n">
        <v>1.29304283282661</v>
      </c>
      <c r="I50" t="n">
        <v>1.1137742176349</v>
      </c>
      <c r="J50" t="n">
        <v>1.50116580277345</v>
      </c>
      <c r="K50" t="s">
        <v>834</v>
      </c>
      <c r="L50" t="s">
        <v>827</v>
      </c>
    </row>
    <row r="51">
      <c r="A51" t="s">
        <v>364</v>
      </c>
      <c r="B51" t="s">
        <v>51</v>
      </c>
      <c r="C51" t="n">
        <v>-0.179354279379494</v>
      </c>
      <c r="D51" t="n">
        <v>0.214502923841575</v>
      </c>
      <c r="E51" t="n">
        <v>0.6991285765495</v>
      </c>
      <c r="F51" t="n">
        <v>0.403076660145838</v>
      </c>
      <c r="G51" t="s">
        <v>337</v>
      </c>
      <c r="H51" t="n">
        <v>0.835809736783057</v>
      </c>
      <c r="I51" t="n">
        <v>0.548932382387036</v>
      </c>
      <c r="J51" t="n">
        <v>1.27261196190247</v>
      </c>
      <c r="K51" t="s">
        <v>835</v>
      </c>
      <c r="L51" t="s">
        <v>827</v>
      </c>
    </row>
    <row r="52">
      <c r="A52" t="s">
        <v>364</v>
      </c>
      <c r="B52" t="s">
        <v>81</v>
      </c>
      <c r="C52" t="n">
        <v>-0.0139564497238905</v>
      </c>
      <c r="D52" t="n">
        <v>0.0121468798438463</v>
      </c>
      <c r="E52" t="n">
        <v>1.3201413665978</v>
      </c>
      <c r="F52" t="n">
        <v>0.250566681380521</v>
      </c>
      <c r="G52" t="s">
        <v>337</v>
      </c>
      <c r="H52" t="n">
        <v>0.986140490018328</v>
      </c>
      <c r="I52" t="n">
        <v>0.96293984612527</v>
      </c>
      <c r="J52" t="n">
        <v>1.00990011989501</v>
      </c>
      <c r="K52" t="s">
        <v>836</v>
      </c>
      <c r="L52" t="s">
        <v>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9" t="s">
        <v>837</v>
      </c>
    </row>
    <row r="3">
      <c r="A3" s="1" t="s">
        <v>838</v>
      </c>
    </row>
    <row r="4">
      <c r="A4" t="s">
        <v>36</v>
      </c>
      <c r="B4" t="s">
        <v>839</v>
      </c>
      <c r="C4" t="s">
        <v>840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</row>
    <row r="5">
      <c r="A5" t="s">
        <v>44</v>
      </c>
      <c r="B5" t="s">
        <v>841</v>
      </c>
      <c r="C5" t="s">
        <v>842</v>
      </c>
      <c r="D5" t="s">
        <v>843</v>
      </c>
      <c r="E5" t="s">
        <v>844</v>
      </c>
      <c r="F5" t="s">
        <v>55</v>
      </c>
      <c r="G5" t="s">
        <v>845</v>
      </c>
      <c r="H5" t="s">
        <v>846</v>
      </c>
    </row>
    <row r="6">
      <c r="A6" t="s">
        <v>51</v>
      </c>
      <c r="B6" t="s">
        <v>847</v>
      </c>
      <c r="C6" t="s">
        <v>848</v>
      </c>
      <c r="D6" t="s">
        <v>103</v>
      </c>
      <c r="E6" t="s">
        <v>844</v>
      </c>
      <c r="F6" t="s">
        <v>55</v>
      </c>
      <c r="G6" t="s">
        <v>849</v>
      </c>
      <c r="H6" t="s">
        <v>103</v>
      </c>
    </row>
    <row r="7">
      <c r="A7" t="s">
        <v>58</v>
      </c>
      <c r="B7" t="s">
        <v>850</v>
      </c>
      <c r="C7" t="s">
        <v>851</v>
      </c>
      <c r="D7" t="s">
        <v>852</v>
      </c>
      <c r="E7" t="s">
        <v>844</v>
      </c>
      <c r="F7" t="s">
        <v>55</v>
      </c>
      <c r="G7" t="s">
        <v>853</v>
      </c>
      <c r="H7" t="s">
        <v>852</v>
      </c>
    </row>
    <row r="8">
      <c r="A8" t="s">
        <v>64</v>
      </c>
      <c r="B8" t="s">
        <v>854</v>
      </c>
      <c r="C8" t="s">
        <v>855</v>
      </c>
      <c r="D8" t="s">
        <v>843</v>
      </c>
      <c r="E8" t="s">
        <v>844</v>
      </c>
      <c r="F8" t="s">
        <v>55</v>
      </c>
      <c r="G8" t="s">
        <v>856</v>
      </c>
      <c r="H8" t="s">
        <v>843</v>
      </c>
    </row>
    <row r="9">
      <c r="A9" t="s">
        <v>70</v>
      </c>
      <c r="B9" t="s">
        <v>857</v>
      </c>
      <c r="C9" t="s">
        <v>858</v>
      </c>
      <c r="D9" t="s">
        <v>859</v>
      </c>
      <c r="E9" t="s">
        <v>844</v>
      </c>
      <c r="F9" t="s">
        <v>55</v>
      </c>
      <c r="G9" t="s">
        <v>860</v>
      </c>
      <c r="H9" t="s">
        <v>859</v>
      </c>
    </row>
    <row r="10">
      <c r="A10" t="s">
        <v>76</v>
      </c>
      <c r="B10" t="s">
        <v>77</v>
      </c>
      <c r="C10" t="s">
        <v>861</v>
      </c>
      <c r="D10" t="s">
        <v>862</v>
      </c>
      <c r="E10" t="s">
        <v>844</v>
      </c>
      <c r="F10" t="s">
        <v>55</v>
      </c>
      <c r="G10" t="s">
        <v>863</v>
      </c>
      <c r="H10" t="s">
        <v>862</v>
      </c>
    </row>
    <row r="11">
      <c r="A11" t="s">
        <v>81</v>
      </c>
      <c r="B11" t="s">
        <v>864</v>
      </c>
      <c r="C11" t="s">
        <v>865</v>
      </c>
      <c r="D11" t="s">
        <v>866</v>
      </c>
      <c r="E11" t="s">
        <v>844</v>
      </c>
      <c r="F11" t="s">
        <v>55</v>
      </c>
      <c r="G11" t="s">
        <v>867</v>
      </c>
      <c r="H11" t="s">
        <v>866</v>
      </c>
    </row>
    <row r="12">
      <c r="A12" t="s">
        <v>85</v>
      </c>
      <c r="B12" t="s">
        <v>868</v>
      </c>
      <c r="C12" t="s">
        <v>869</v>
      </c>
      <c r="D12" t="s">
        <v>113</v>
      </c>
      <c r="E12" t="s">
        <v>844</v>
      </c>
      <c r="F12" t="s">
        <v>55</v>
      </c>
      <c r="G12" t="s">
        <v>870</v>
      </c>
      <c r="H12" t="s">
        <v>113</v>
      </c>
    </row>
    <row r="13">
      <c r="A13" t="s">
        <v>91</v>
      </c>
      <c r="B13" t="s">
        <v>92</v>
      </c>
      <c r="C13" t="s">
        <v>871</v>
      </c>
      <c r="D13" t="s">
        <v>872</v>
      </c>
      <c r="E13" t="s">
        <v>873</v>
      </c>
      <c r="F13" t="s">
        <v>55</v>
      </c>
      <c r="G13" t="s">
        <v>96</v>
      </c>
      <c r="H13" t="s">
        <v>96</v>
      </c>
    </row>
    <row r="14">
      <c r="A14" t="s">
        <v>97</v>
      </c>
      <c r="B14" t="s">
        <v>874</v>
      </c>
      <c r="C14" t="s">
        <v>875</v>
      </c>
      <c r="D14" t="s">
        <v>876</v>
      </c>
      <c r="E14" t="s">
        <v>844</v>
      </c>
      <c r="F14" t="s">
        <v>55</v>
      </c>
      <c r="G14" t="s">
        <v>877</v>
      </c>
      <c r="H14" t="s">
        <v>878</v>
      </c>
    </row>
    <row r="15">
      <c r="A15" t="s">
        <v>104</v>
      </c>
      <c r="B15" t="s">
        <v>879</v>
      </c>
      <c r="C15" t="s">
        <v>880</v>
      </c>
      <c r="D15" t="s">
        <v>881</v>
      </c>
      <c r="E15" t="s">
        <v>844</v>
      </c>
      <c r="F15" t="s">
        <v>49</v>
      </c>
      <c r="G15" t="s">
        <v>882</v>
      </c>
      <c r="H15" t="s">
        <v>883</v>
      </c>
    </row>
    <row r="16">
      <c r="A16" t="s">
        <v>110</v>
      </c>
      <c r="B16" t="s">
        <v>884</v>
      </c>
      <c r="C16" t="s">
        <v>885</v>
      </c>
      <c r="D16"/>
      <c r="E16" t="s">
        <v>886</v>
      </c>
      <c r="F16" t="s">
        <v>887</v>
      </c>
      <c r="G16" t="s">
        <v>96</v>
      </c>
      <c r="H16" t="s">
        <v>96</v>
      </c>
    </row>
    <row r="17">
      <c r="A17" t="s">
        <v>114</v>
      </c>
      <c r="B17" t="s">
        <v>888</v>
      </c>
      <c r="C17" t="s">
        <v>889</v>
      </c>
      <c r="D17" t="s">
        <v>96</v>
      </c>
      <c r="E17" t="s">
        <v>96</v>
      </c>
      <c r="F17" t="s">
        <v>96</v>
      </c>
      <c r="G17" t="s">
        <v>96</v>
      </c>
      <c r="H17" t="s">
        <v>96</v>
      </c>
    </row>
    <row r="18">
      <c r="A18" t="s">
        <v>117</v>
      </c>
      <c r="B18" t="s">
        <v>890</v>
      </c>
      <c r="C18" t="s">
        <v>891</v>
      </c>
      <c r="D18" t="s">
        <v>96</v>
      </c>
      <c r="E18" t="s">
        <v>96</v>
      </c>
      <c r="F18" t="s">
        <v>96</v>
      </c>
      <c r="G18" t="s">
        <v>96</v>
      </c>
      <c r="H18" t="s">
        <v>96</v>
      </c>
    </row>
    <row r="20">
      <c r="A20" s="1" t="s">
        <v>892</v>
      </c>
    </row>
    <row r="21">
      <c r="A21" t="s">
        <v>36</v>
      </c>
      <c r="B21" t="s">
        <v>839</v>
      </c>
      <c r="C21" t="s">
        <v>840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</row>
    <row r="22">
      <c r="A22" t="s">
        <v>121</v>
      </c>
      <c r="B22" t="s">
        <v>893</v>
      </c>
      <c r="C22" t="s">
        <v>894</v>
      </c>
      <c r="D22" t="s">
        <v>895</v>
      </c>
      <c r="E22" t="s">
        <v>844</v>
      </c>
      <c r="F22" t="s">
        <v>55</v>
      </c>
      <c r="G22" t="s">
        <v>896</v>
      </c>
      <c r="H22" t="s">
        <v>895</v>
      </c>
    </row>
    <row r="23">
      <c r="A23" t="s">
        <v>127</v>
      </c>
      <c r="B23" t="s">
        <v>897</v>
      </c>
      <c r="C23" t="s">
        <v>898</v>
      </c>
      <c r="D23" t="s">
        <v>899</v>
      </c>
      <c r="E23" t="s">
        <v>844</v>
      </c>
      <c r="F23" t="s">
        <v>55</v>
      </c>
      <c r="G23" t="s">
        <v>900</v>
      </c>
      <c r="H23" t="s">
        <v>899</v>
      </c>
    </row>
    <row r="24">
      <c r="A24" t="s">
        <v>133</v>
      </c>
      <c r="B24" t="s">
        <v>901</v>
      </c>
      <c r="C24" t="s">
        <v>902</v>
      </c>
      <c r="D24"/>
      <c r="E24" t="s">
        <v>886</v>
      </c>
      <c r="F24" t="s">
        <v>887</v>
      </c>
      <c r="G24" t="s">
        <v>96</v>
      </c>
      <c r="H24" t="s">
        <v>96</v>
      </c>
    </row>
    <row r="25">
      <c r="A25" t="s">
        <v>137</v>
      </c>
      <c r="B25" t="s">
        <v>903</v>
      </c>
      <c r="C25" t="s">
        <v>904</v>
      </c>
      <c r="D25" t="s">
        <v>96</v>
      </c>
      <c r="E25" t="s">
        <v>96</v>
      </c>
      <c r="F25" t="s">
        <v>96</v>
      </c>
      <c r="G25" t="s">
        <v>96</v>
      </c>
      <c r="H25" t="s">
        <v>96</v>
      </c>
    </row>
    <row r="26">
      <c r="A26" t="s">
        <v>140</v>
      </c>
      <c r="B26" t="s">
        <v>905</v>
      </c>
      <c r="C26" t="s">
        <v>906</v>
      </c>
      <c r="D26" t="s">
        <v>96</v>
      </c>
      <c r="E26" t="s">
        <v>96</v>
      </c>
      <c r="F26" t="s">
        <v>96</v>
      </c>
      <c r="G26" t="s">
        <v>96</v>
      </c>
      <c r="H26" t="s">
        <v>96</v>
      </c>
    </row>
    <row r="28">
      <c r="A28" s="1" t="s">
        <v>907</v>
      </c>
    </row>
    <row r="29">
      <c r="A29" t="s">
        <v>36</v>
      </c>
      <c r="B29" t="s">
        <v>144</v>
      </c>
      <c r="C29" t="s">
        <v>145</v>
      </c>
      <c r="D29" t="s">
        <v>146</v>
      </c>
    </row>
    <row r="30">
      <c r="A30" t="s">
        <v>81</v>
      </c>
      <c r="B30" t="n">
        <v>126</v>
      </c>
      <c r="C30" t="s">
        <v>908</v>
      </c>
      <c r="D30" t="s">
        <v>148</v>
      </c>
    </row>
    <row r="31">
      <c r="A31" t="s">
        <v>91</v>
      </c>
      <c r="B31" t="n">
        <v>126</v>
      </c>
      <c r="C31" t="s">
        <v>149</v>
      </c>
      <c r="D31" t="s">
        <v>148</v>
      </c>
    </row>
    <row r="32">
      <c r="A32" t="s">
        <v>150</v>
      </c>
      <c r="B32" t="n">
        <v>95</v>
      </c>
      <c r="C32" t="s">
        <v>909</v>
      </c>
      <c r="D32" t="s">
        <v>152</v>
      </c>
    </row>
    <row r="33">
      <c r="A33" t="s">
        <v>110</v>
      </c>
      <c r="B33" t="n">
        <v>95</v>
      </c>
      <c r="C33" t="s">
        <v>910</v>
      </c>
      <c r="D33" t="s">
        <v>152</v>
      </c>
    </row>
    <row r="34">
      <c r="A34" t="s">
        <v>114</v>
      </c>
      <c r="B34" t="n">
        <v>95</v>
      </c>
      <c r="C34" t="s">
        <v>911</v>
      </c>
      <c r="D34" t="s">
        <v>152</v>
      </c>
    </row>
    <row r="35">
      <c r="A35" t="s">
        <v>117</v>
      </c>
      <c r="B35" t="n">
        <v>95</v>
      </c>
      <c r="C35" t="s">
        <v>912</v>
      </c>
      <c r="D35" t="s">
        <v>152</v>
      </c>
    </row>
    <row r="37">
      <c r="A37" s="1" t="s">
        <v>913</v>
      </c>
    </row>
    <row r="38">
      <c r="A38" t="s">
        <v>36</v>
      </c>
      <c r="B38" t="s">
        <v>144</v>
      </c>
      <c r="C38" t="s">
        <v>145</v>
      </c>
      <c r="D38" t="s">
        <v>146</v>
      </c>
    </row>
    <row r="39">
      <c r="A39" t="s">
        <v>81</v>
      </c>
      <c r="B39" t="n">
        <v>84</v>
      </c>
      <c r="C39" t="s">
        <v>914</v>
      </c>
      <c r="D39" t="s">
        <v>148</v>
      </c>
    </row>
    <row r="40">
      <c r="A40" t="s">
        <v>91</v>
      </c>
      <c r="B40" t="n">
        <v>84</v>
      </c>
      <c r="C40" t="s">
        <v>915</v>
      </c>
      <c r="D40" t="s">
        <v>148</v>
      </c>
    </row>
    <row r="41">
      <c r="A41" t="s">
        <v>150</v>
      </c>
      <c r="B41" t="n">
        <v>59</v>
      </c>
      <c r="C41" t="s">
        <v>916</v>
      </c>
      <c r="D41" t="s">
        <v>152</v>
      </c>
    </row>
    <row r="42">
      <c r="A42" t="s">
        <v>110</v>
      </c>
      <c r="B42" t="n">
        <v>59</v>
      </c>
      <c r="C42" t="s">
        <v>917</v>
      </c>
      <c r="D42" t="s">
        <v>152</v>
      </c>
    </row>
    <row r="43">
      <c r="A43" t="s">
        <v>114</v>
      </c>
      <c r="B43" t="n">
        <v>59</v>
      </c>
      <c r="C43" t="s">
        <v>918</v>
      </c>
      <c r="D43" t="s">
        <v>152</v>
      </c>
    </row>
    <row r="44">
      <c r="A44" t="s">
        <v>117</v>
      </c>
      <c r="B44" t="n">
        <v>59</v>
      </c>
      <c r="C44" t="s">
        <v>919</v>
      </c>
      <c r="D44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9" t="s">
        <v>837</v>
      </c>
    </row>
    <row r="3">
      <c r="A3" t="s">
        <v>36</v>
      </c>
      <c r="B3" t="s">
        <v>839</v>
      </c>
      <c r="C3" t="s">
        <v>840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163</v>
      </c>
      <c r="J3" t="s">
        <v>164</v>
      </c>
    </row>
    <row r="4">
      <c r="A4" t="s">
        <v>165</v>
      </c>
      <c r="B4" t="s">
        <v>920</v>
      </c>
      <c r="C4" t="s">
        <v>921</v>
      </c>
      <c r="D4" t="s">
        <v>922</v>
      </c>
      <c r="E4" t="s">
        <v>844</v>
      </c>
      <c r="F4" t="s">
        <v>55</v>
      </c>
      <c r="G4" t="s">
        <v>923</v>
      </c>
      <c r="H4" t="s">
        <v>922</v>
      </c>
      <c r="I4" t="s">
        <v>791</v>
      </c>
      <c r="J4" t="s">
        <v>792</v>
      </c>
    </row>
    <row r="5">
      <c r="A5" t="s">
        <v>173</v>
      </c>
      <c r="B5" t="s">
        <v>924</v>
      </c>
      <c r="C5" t="s">
        <v>925</v>
      </c>
      <c r="D5" t="s">
        <v>926</v>
      </c>
      <c r="E5" t="s">
        <v>844</v>
      </c>
      <c r="F5" t="s">
        <v>49</v>
      </c>
      <c r="G5" t="s">
        <v>927</v>
      </c>
      <c r="H5" t="s">
        <v>926</v>
      </c>
      <c r="I5" t="s">
        <v>794</v>
      </c>
      <c r="J5" t="s">
        <v>209</v>
      </c>
    </row>
    <row r="6">
      <c r="A6" t="s">
        <v>178</v>
      </c>
      <c r="B6" t="s">
        <v>179</v>
      </c>
      <c r="C6" t="s">
        <v>928</v>
      </c>
      <c r="D6" t="s">
        <v>929</v>
      </c>
      <c r="E6" t="s">
        <v>844</v>
      </c>
      <c r="F6" t="s">
        <v>55</v>
      </c>
      <c r="G6" t="s">
        <v>930</v>
      </c>
      <c r="H6" t="s">
        <v>929</v>
      </c>
      <c r="I6" t="s">
        <v>795</v>
      </c>
      <c r="J6" t="s">
        <v>796</v>
      </c>
    </row>
    <row r="7">
      <c r="A7" t="s">
        <v>186</v>
      </c>
      <c r="B7" t="s">
        <v>931</v>
      </c>
      <c r="C7" t="s">
        <v>932</v>
      </c>
      <c r="D7" t="s">
        <v>47</v>
      </c>
      <c r="E7" t="s">
        <v>844</v>
      </c>
      <c r="F7" t="s">
        <v>49</v>
      </c>
      <c r="G7" t="s">
        <v>933</v>
      </c>
      <c r="H7" t="s">
        <v>47</v>
      </c>
      <c r="I7" t="s">
        <v>190</v>
      </c>
      <c r="J7" t="s">
        <v>47</v>
      </c>
    </row>
    <row r="8">
      <c r="A8" t="s">
        <v>191</v>
      </c>
      <c r="B8" t="s">
        <v>77</v>
      </c>
      <c r="C8" t="s">
        <v>861</v>
      </c>
      <c r="D8" t="s">
        <v>934</v>
      </c>
      <c r="E8" t="s">
        <v>844</v>
      </c>
      <c r="F8" t="s">
        <v>55</v>
      </c>
      <c r="G8" t="s">
        <v>935</v>
      </c>
      <c r="H8" t="s">
        <v>934</v>
      </c>
      <c r="I8" t="s">
        <v>196</v>
      </c>
      <c r="J8" t="s">
        <v>797</v>
      </c>
    </row>
    <row r="9">
      <c r="A9" t="s">
        <v>197</v>
      </c>
      <c r="B9" t="s">
        <v>92</v>
      </c>
      <c r="C9" t="s">
        <v>198</v>
      </c>
      <c r="D9" t="s">
        <v>199</v>
      </c>
      <c r="E9" t="s">
        <v>873</v>
      </c>
      <c r="F9" t="s">
        <v>49</v>
      </c>
      <c r="G9" t="s">
        <v>96</v>
      </c>
      <c r="H9" t="s">
        <v>96</v>
      </c>
      <c r="I9" t="s">
        <v>96</v>
      </c>
      <c r="J9" t="s">
        <v>96</v>
      </c>
    </row>
    <row r="10">
      <c r="A10" t="s">
        <v>200</v>
      </c>
      <c r="B10" t="s">
        <v>936</v>
      </c>
      <c r="C10" t="s">
        <v>937</v>
      </c>
      <c r="D10" t="s">
        <v>938</v>
      </c>
      <c r="E10" t="s">
        <v>873</v>
      </c>
      <c r="F10" t="s">
        <v>55</v>
      </c>
      <c r="G10" t="s">
        <v>96</v>
      </c>
      <c r="H10" t="s">
        <v>96</v>
      </c>
      <c r="I10" t="s">
        <v>96</v>
      </c>
      <c r="J10" t="s">
        <v>96</v>
      </c>
    </row>
    <row r="11">
      <c r="A11" t="s">
        <v>204</v>
      </c>
      <c r="B11" t="s">
        <v>939</v>
      </c>
      <c r="C11" t="s">
        <v>885</v>
      </c>
      <c r="D11" t="s">
        <v>799</v>
      </c>
      <c r="E11" t="s">
        <v>844</v>
      </c>
      <c r="F11" t="s">
        <v>49</v>
      </c>
      <c r="G11" t="s">
        <v>940</v>
      </c>
      <c r="H11" t="s">
        <v>799</v>
      </c>
      <c r="I11" t="s">
        <v>798</v>
      </c>
      <c r="J11" t="s">
        <v>799</v>
      </c>
    </row>
    <row r="12">
      <c r="A12" t="s">
        <v>210</v>
      </c>
      <c r="B12" t="s">
        <v>941</v>
      </c>
      <c r="C12" t="s">
        <v>942</v>
      </c>
      <c r="D12" t="s">
        <v>943</v>
      </c>
      <c r="E12" t="s">
        <v>844</v>
      </c>
      <c r="F12" t="s">
        <v>55</v>
      </c>
      <c r="G12" t="s">
        <v>944</v>
      </c>
      <c r="H12" t="s">
        <v>943</v>
      </c>
      <c r="I12" t="s">
        <v>801</v>
      </c>
      <c r="J12" t="s">
        <v>802</v>
      </c>
    </row>
    <row r="13">
      <c r="A13" t="s">
        <v>218</v>
      </c>
      <c r="B13" t="s">
        <v>945</v>
      </c>
      <c r="C13" t="s">
        <v>942</v>
      </c>
      <c r="D13"/>
      <c r="E13" t="s">
        <v>886</v>
      </c>
      <c r="F13" t="s">
        <v>887</v>
      </c>
      <c r="G13" t="s">
        <v>96</v>
      </c>
      <c r="H13" t="s">
        <v>96</v>
      </c>
      <c r="I13" t="s">
        <v>96</v>
      </c>
      <c r="J13" t="s">
        <v>96</v>
      </c>
    </row>
    <row r="14">
      <c r="A14" t="s">
        <v>223</v>
      </c>
      <c r="B14" t="s">
        <v>946</v>
      </c>
      <c r="C14" t="s">
        <v>947</v>
      </c>
      <c r="D14" t="s">
        <v>96</v>
      </c>
      <c r="E14" t="s">
        <v>96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</row>
    <row r="15">
      <c r="A15" t="s">
        <v>226</v>
      </c>
      <c r="B15" t="s">
        <v>948</v>
      </c>
      <c r="C15" t="s">
        <v>949</v>
      </c>
      <c r="D15" t="s">
        <v>96</v>
      </c>
      <c r="E15" t="s">
        <v>96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</row>
    <row r="16">
      <c r="A16" t="s">
        <v>229</v>
      </c>
      <c r="B16" t="s">
        <v>950</v>
      </c>
      <c r="C16" t="s">
        <v>951</v>
      </c>
      <c r="D16" t="s">
        <v>96</v>
      </c>
      <c r="E16" t="s">
        <v>96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</cols>
  <sheetData>
    <row r="1">
      <c r="A1" s="9" t="s">
        <v>837</v>
      </c>
    </row>
    <row r="3">
      <c r="A3" s="2" t="s">
        <v>36</v>
      </c>
      <c r="B3" s="2" t="s">
        <v>839</v>
      </c>
      <c r="C3" s="2" t="s">
        <v>840</v>
      </c>
      <c r="D3" s="2" t="s">
        <v>232</v>
      </c>
      <c r="E3" s="2" t="s">
        <v>42</v>
      </c>
      <c r="F3" s="2" t="s">
        <v>43</v>
      </c>
      <c r="G3" s="2" t="s">
        <v>163</v>
      </c>
      <c r="H3" s="2" t="s">
        <v>164</v>
      </c>
    </row>
    <row r="4">
      <c r="A4" s="3" t="s">
        <v>233</v>
      </c>
      <c r="B4" s="3" t="s">
        <v>96</v>
      </c>
      <c r="C4" s="3" t="s">
        <v>96</v>
      </c>
      <c r="D4" s="3" t="s">
        <v>96</v>
      </c>
      <c r="E4" s="3" t="s">
        <v>96</v>
      </c>
      <c r="F4" s="3" t="s">
        <v>96</v>
      </c>
      <c r="G4" s="3" t="s">
        <v>96</v>
      </c>
      <c r="H4" s="3" t="s">
        <v>96</v>
      </c>
    </row>
    <row r="5">
      <c r="A5" t="s">
        <v>234</v>
      </c>
      <c r="B5" t="s">
        <v>841</v>
      </c>
      <c r="C5" t="s">
        <v>842</v>
      </c>
      <c r="D5" t="s">
        <v>843</v>
      </c>
      <c r="E5" t="s">
        <v>845</v>
      </c>
      <c r="F5" t="s">
        <v>846</v>
      </c>
      <c r="G5" t="s">
        <v>96</v>
      </c>
      <c r="H5" t="s">
        <v>96</v>
      </c>
    </row>
    <row r="6">
      <c r="A6" t="s">
        <v>235</v>
      </c>
      <c r="B6" t="s">
        <v>847</v>
      </c>
      <c r="C6" t="s">
        <v>848</v>
      </c>
      <c r="D6" t="s">
        <v>103</v>
      </c>
      <c r="E6" t="s">
        <v>849</v>
      </c>
      <c r="F6" t="s">
        <v>103</v>
      </c>
      <c r="G6" t="s">
        <v>96</v>
      </c>
      <c r="H6" t="s">
        <v>96</v>
      </c>
    </row>
    <row r="7">
      <c r="A7" t="s">
        <v>236</v>
      </c>
      <c r="B7" t="s">
        <v>850</v>
      </c>
      <c r="C7" t="s">
        <v>851</v>
      </c>
      <c r="D7" t="s">
        <v>852</v>
      </c>
      <c r="E7" t="s">
        <v>853</v>
      </c>
      <c r="F7" t="s">
        <v>852</v>
      </c>
      <c r="G7" t="s">
        <v>96</v>
      </c>
      <c r="H7" t="s">
        <v>96</v>
      </c>
    </row>
    <row r="8">
      <c r="A8" t="s">
        <v>237</v>
      </c>
      <c r="B8" t="s">
        <v>854</v>
      </c>
      <c r="C8" t="s">
        <v>855</v>
      </c>
      <c r="D8" t="s">
        <v>843</v>
      </c>
      <c r="E8" t="s">
        <v>856</v>
      </c>
      <c r="F8" t="s">
        <v>843</v>
      </c>
      <c r="G8" t="s">
        <v>96</v>
      </c>
      <c r="H8" t="s">
        <v>96</v>
      </c>
    </row>
    <row r="9">
      <c r="A9" t="s">
        <v>238</v>
      </c>
      <c r="B9" t="s">
        <v>857</v>
      </c>
      <c r="C9" t="s">
        <v>858</v>
      </c>
      <c r="D9" t="s">
        <v>859</v>
      </c>
      <c r="E9" t="s">
        <v>860</v>
      </c>
      <c r="F9" t="s">
        <v>859</v>
      </c>
      <c r="G9" t="s">
        <v>96</v>
      </c>
      <c r="H9" t="s">
        <v>96</v>
      </c>
    </row>
    <row r="10">
      <c r="A10" t="s">
        <v>239</v>
      </c>
      <c r="B10" t="s">
        <v>77</v>
      </c>
      <c r="C10" t="s">
        <v>861</v>
      </c>
      <c r="D10" t="s">
        <v>862</v>
      </c>
      <c r="E10" t="s">
        <v>863</v>
      </c>
      <c r="F10" t="s">
        <v>862</v>
      </c>
      <c r="G10" t="s">
        <v>96</v>
      </c>
      <c r="H10" t="s">
        <v>96</v>
      </c>
    </row>
    <row r="11">
      <c r="A11" t="s">
        <v>240</v>
      </c>
      <c r="B11" t="s">
        <v>864</v>
      </c>
      <c r="C11" t="s">
        <v>865</v>
      </c>
      <c r="D11" t="s">
        <v>866</v>
      </c>
      <c r="E11" t="s">
        <v>867</v>
      </c>
      <c r="F11" t="s">
        <v>866</v>
      </c>
      <c r="G11" t="s">
        <v>96</v>
      </c>
      <c r="H11" t="s">
        <v>96</v>
      </c>
    </row>
    <row r="12">
      <c r="A12" t="s">
        <v>241</v>
      </c>
      <c r="B12" t="s">
        <v>868</v>
      </c>
      <c r="C12" t="s">
        <v>869</v>
      </c>
      <c r="D12" t="s">
        <v>113</v>
      </c>
      <c r="E12" t="s">
        <v>870</v>
      </c>
      <c r="F12" t="s">
        <v>113</v>
      </c>
      <c r="G12" t="s">
        <v>96</v>
      </c>
      <c r="H12" t="s">
        <v>96</v>
      </c>
    </row>
    <row r="13">
      <c r="A13" t="s">
        <v>242</v>
      </c>
      <c r="B13" t="s">
        <v>92</v>
      </c>
      <c r="C13" t="s">
        <v>871</v>
      </c>
      <c r="D13" t="s">
        <v>872</v>
      </c>
      <c r="E13" t="s">
        <v>96</v>
      </c>
      <c r="F13" t="s">
        <v>96</v>
      </c>
      <c r="G13" t="s">
        <v>96</v>
      </c>
      <c r="H13" t="s">
        <v>96</v>
      </c>
    </row>
    <row r="14">
      <c r="A14" t="s">
        <v>97</v>
      </c>
      <c r="B14" t="s">
        <v>874</v>
      </c>
      <c r="C14" t="s">
        <v>875</v>
      </c>
      <c r="D14" t="s">
        <v>876</v>
      </c>
      <c r="E14" t="s">
        <v>877</v>
      </c>
      <c r="F14" t="s">
        <v>878</v>
      </c>
      <c r="G14" t="s">
        <v>96</v>
      </c>
      <c r="H14" t="s">
        <v>96</v>
      </c>
    </row>
    <row r="15">
      <c r="A15" t="s">
        <v>104</v>
      </c>
      <c r="B15" t="s">
        <v>879</v>
      </c>
      <c r="C15" t="s">
        <v>880</v>
      </c>
      <c r="D15" t="s">
        <v>881</v>
      </c>
      <c r="E15" t="s">
        <v>882</v>
      </c>
      <c r="F15" t="s">
        <v>883</v>
      </c>
      <c r="G15" t="s">
        <v>96</v>
      </c>
      <c r="H15" t="s">
        <v>96</v>
      </c>
    </row>
    <row r="16">
      <c r="A16" t="s">
        <v>110</v>
      </c>
      <c r="B16" t="s">
        <v>884</v>
      </c>
      <c r="C16" t="s">
        <v>885</v>
      </c>
      <c r="D16" t="s">
        <v>952</v>
      </c>
      <c r="E16" t="s">
        <v>96</v>
      </c>
      <c r="F16" t="s">
        <v>96</v>
      </c>
      <c r="G16" t="s">
        <v>96</v>
      </c>
      <c r="H16" t="s">
        <v>96</v>
      </c>
    </row>
    <row r="17">
      <c r="A17" t="s">
        <v>114</v>
      </c>
      <c r="B17" t="s">
        <v>888</v>
      </c>
      <c r="C17" t="s">
        <v>889</v>
      </c>
      <c r="D17" t="s">
        <v>96</v>
      </c>
      <c r="E17" t="s">
        <v>96</v>
      </c>
      <c r="F17" t="s">
        <v>96</v>
      </c>
      <c r="G17" t="s">
        <v>96</v>
      </c>
      <c r="H17" t="s">
        <v>96</v>
      </c>
    </row>
    <row r="18">
      <c r="A18" t="s">
        <v>117</v>
      </c>
      <c r="B18" t="s">
        <v>890</v>
      </c>
      <c r="C18" t="s">
        <v>891</v>
      </c>
      <c r="D18" t="s">
        <v>96</v>
      </c>
      <c r="E18" t="s">
        <v>96</v>
      </c>
      <c r="F18" t="s">
        <v>96</v>
      </c>
      <c r="G18" t="s">
        <v>96</v>
      </c>
      <c r="H18" t="s">
        <v>96</v>
      </c>
    </row>
    <row r="19">
      <c r="A19" s="3" t="s">
        <v>120</v>
      </c>
      <c r="B19" s="3" t="s">
        <v>96</v>
      </c>
      <c r="C19" s="3" t="s">
        <v>96</v>
      </c>
      <c r="D19" s="3" t="s">
        <v>96</v>
      </c>
      <c r="E19" s="3" t="s">
        <v>96</v>
      </c>
      <c r="F19" s="3" t="s">
        <v>96</v>
      </c>
      <c r="G19" s="3" t="s">
        <v>96</v>
      </c>
      <c r="H19" s="3" t="s">
        <v>96</v>
      </c>
    </row>
    <row r="20">
      <c r="A20" t="s">
        <v>243</v>
      </c>
      <c r="B20" t="s">
        <v>893</v>
      </c>
      <c r="C20" t="s">
        <v>894</v>
      </c>
      <c r="D20" t="s">
        <v>895</v>
      </c>
      <c r="E20" t="s">
        <v>896</v>
      </c>
      <c r="F20" t="s">
        <v>895</v>
      </c>
      <c r="G20" t="s">
        <v>96</v>
      </c>
      <c r="H20" t="s">
        <v>96</v>
      </c>
    </row>
    <row r="21">
      <c r="A21" t="s">
        <v>244</v>
      </c>
      <c r="B21" t="s">
        <v>897</v>
      </c>
      <c r="C21" t="s">
        <v>898</v>
      </c>
      <c r="D21" t="s">
        <v>899</v>
      </c>
      <c r="E21" t="s">
        <v>900</v>
      </c>
      <c r="F21" t="s">
        <v>899</v>
      </c>
      <c r="G21" t="s">
        <v>96</v>
      </c>
      <c r="H21" t="s">
        <v>96</v>
      </c>
    </row>
    <row r="22">
      <c r="A22" t="s">
        <v>133</v>
      </c>
      <c r="B22" t="s">
        <v>901</v>
      </c>
      <c r="C22" t="s">
        <v>902</v>
      </c>
      <c r="D22" t="s">
        <v>952</v>
      </c>
      <c r="E22" t="s">
        <v>96</v>
      </c>
      <c r="F22" t="s">
        <v>96</v>
      </c>
      <c r="G22" t="s">
        <v>96</v>
      </c>
      <c r="H22" t="s">
        <v>96</v>
      </c>
    </row>
    <row r="23">
      <c r="A23" t="s">
        <v>137</v>
      </c>
      <c r="B23" t="s">
        <v>903</v>
      </c>
      <c r="C23" t="s">
        <v>904</v>
      </c>
      <c r="D23" t="s">
        <v>96</v>
      </c>
      <c r="E23" t="s">
        <v>96</v>
      </c>
      <c r="F23" t="s">
        <v>96</v>
      </c>
      <c r="G23" t="s">
        <v>96</v>
      </c>
      <c r="H23" t="s">
        <v>96</v>
      </c>
    </row>
    <row r="24">
      <c r="A24" t="s">
        <v>140</v>
      </c>
      <c r="B24" t="s">
        <v>905</v>
      </c>
      <c r="C24" t="s">
        <v>906</v>
      </c>
      <c r="D24" t="s">
        <v>96</v>
      </c>
      <c r="E24" t="s">
        <v>96</v>
      </c>
      <c r="F24" t="s">
        <v>96</v>
      </c>
      <c r="G24" t="s">
        <v>96</v>
      </c>
      <c r="H24" t="s">
        <v>96</v>
      </c>
    </row>
    <row r="25">
      <c r="A25" s="3" t="s">
        <v>245</v>
      </c>
      <c r="B25" s="3" t="s">
        <v>96</v>
      </c>
      <c r="C25" s="3" t="s">
        <v>96</v>
      </c>
      <c r="D25" s="3" t="s">
        <v>96</v>
      </c>
      <c r="E25" s="3" t="s">
        <v>96</v>
      </c>
      <c r="F25" s="3" t="s">
        <v>96</v>
      </c>
      <c r="G25" s="3" t="s">
        <v>96</v>
      </c>
      <c r="H25" s="3" t="s">
        <v>96</v>
      </c>
    </row>
    <row r="26">
      <c r="A26" t="s">
        <v>246</v>
      </c>
      <c r="B26" t="s">
        <v>920</v>
      </c>
      <c r="C26" t="s">
        <v>921</v>
      </c>
      <c r="D26" t="s">
        <v>922</v>
      </c>
      <c r="E26" t="s">
        <v>923</v>
      </c>
      <c r="F26" t="s">
        <v>922</v>
      </c>
      <c r="G26" t="s">
        <v>791</v>
      </c>
      <c r="H26" t="s">
        <v>792</v>
      </c>
    </row>
    <row r="27">
      <c r="A27" t="s">
        <v>247</v>
      </c>
      <c r="B27" t="s">
        <v>924</v>
      </c>
      <c r="C27" t="s">
        <v>925</v>
      </c>
      <c r="D27" t="s">
        <v>926</v>
      </c>
      <c r="E27" t="s">
        <v>927</v>
      </c>
      <c r="F27" t="s">
        <v>926</v>
      </c>
      <c r="G27" t="s">
        <v>794</v>
      </c>
      <c r="H27" t="s">
        <v>209</v>
      </c>
    </row>
    <row r="28">
      <c r="A28" t="s">
        <v>248</v>
      </c>
      <c r="B28" t="s">
        <v>179</v>
      </c>
      <c r="C28" t="s">
        <v>928</v>
      </c>
      <c r="D28" t="s">
        <v>929</v>
      </c>
      <c r="E28" t="s">
        <v>930</v>
      </c>
      <c r="F28" t="s">
        <v>929</v>
      </c>
      <c r="G28" t="s">
        <v>795</v>
      </c>
      <c r="H28" t="s">
        <v>796</v>
      </c>
    </row>
    <row r="29">
      <c r="A29" t="s">
        <v>249</v>
      </c>
      <c r="B29" t="s">
        <v>931</v>
      </c>
      <c r="C29" t="s">
        <v>932</v>
      </c>
      <c r="D29" t="s">
        <v>47</v>
      </c>
      <c r="E29" t="s">
        <v>933</v>
      </c>
      <c r="F29" t="s">
        <v>47</v>
      </c>
      <c r="G29" t="s">
        <v>190</v>
      </c>
      <c r="H29" t="s">
        <v>47</v>
      </c>
    </row>
    <row r="30">
      <c r="A30" t="s">
        <v>250</v>
      </c>
      <c r="B30" t="s">
        <v>77</v>
      </c>
      <c r="C30" t="s">
        <v>861</v>
      </c>
      <c r="D30" t="s">
        <v>934</v>
      </c>
      <c r="E30" t="s">
        <v>935</v>
      </c>
      <c r="F30" t="s">
        <v>934</v>
      </c>
      <c r="G30" t="s">
        <v>196</v>
      </c>
      <c r="H30" t="s">
        <v>797</v>
      </c>
    </row>
    <row r="31">
      <c r="A31" t="s">
        <v>251</v>
      </c>
      <c r="B31" t="s">
        <v>92</v>
      </c>
      <c r="C31" t="s">
        <v>198</v>
      </c>
      <c r="D31" t="s">
        <v>199</v>
      </c>
      <c r="E31" t="s">
        <v>96</v>
      </c>
      <c r="F31" t="s">
        <v>96</v>
      </c>
      <c r="G31" t="s">
        <v>96</v>
      </c>
      <c r="H31" t="s">
        <v>96</v>
      </c>
    </row>
    <row r="32">
      <c r="A32" t="s">
        <v>252</v>
      </c>
      <c r="B32" t="s">
        <v>936</v>
      </c>
      <c r="C32" t="s">
        <v>937</v>
      </c>
      <c r="D32" t="s">
        <v>938</v>
      </c>
      <c r="E32" t="s">
        <v>96</v>
      </c>
      <c r="F32" t="s">
        <v>96</v>
      </c>
      <c r="G32" t="s">
        <v>96</v>
      </c>
      <c r="H32" t="s">
        <v>96</v>
      </c>
    </row>
    <row r="33">
      <c r="A33" t="s">
        <v>253</v>
      </c>
      <c r="B33" t="s">
        <v>939</v>
      </c>
      <c r="C33" t="s">
        <v>885</v>
      </c>
      <c r="D33" t="s">
        <v>799</v>
      </c>
      <c r="E33" t="s">
        <v>940</v>
      </c>
      <c r="F33" t="s">
        <v>799</v>
      </c>
      <c r="G33" t="s">
        <v>798</v>
      </c>
      <c r="H33" t="s">
        <v>799</v>
      </c>
    </row>
    <row r="34">
      <c r="A34" t="s">
        <v>254</v>
      </c>
      <c r="B34" t="s">
        <v>941</v>
      </c>
      <c r="C34" t="s">
        <v>942</v>
      </c>
      <c r="D34" t="s">
        <v>943</v>
      </c>
      <c r="E34" t="s">
        <v>944</v>
      </c>
      <c r="F34" t="s">
        <v>943</v>
      </c>
      <c r="G34" t="s">
        <v>801</v>
      </c>
      <c r="H34" t="s">
        <v>802</v>
      </c>
    </row>
    <row r="35">
      <c r="A35" t="s">
        <v>255</v>
      </c>
      <c r="B35" t="s">
        <v>945</v>
      </c>
      <c r="C35" t="s">
        <v>942</v>
      </c>
      <c r="D35" t="s">
        <v>952</v>
      </c>
      <c r="E35" t="s">
        <v>96</v>
      </c>
      <c r="F35" t="s">
        <v>96</v>
      </c>
      <c r="G35" t="s">
        <v>96</v>
      </c>
      <c r="H35" t="s">
        <v>96</v>
      </c>
    </row>
    <row r="36">
      <c r="A36" t="s">
        <v>256</v>
      </c>
      <c r="B36" t="s">
        <v>946</v>
      </c>
      <c r="C36" t="s">
        <v>947</v>
      </c>
      <c r="D36" t="s">
        <v>96</v>
      </c>
      <c r="E36" t="s">
        <v>96</v>
      </c>
      <c r="F36" t="s">
        <v>96</v>
      </c>
      <c r="G36" t="s">
        <v>96</v>
      </c>
      <c r="H36" t="s">
        <v>96</v>
      </c>
    </row>
    <row r="37">
      <c r="A37" t="s">
        <v>257</v>
      </c>
      <c r="B37" t="s">
        <v>948</v>
      </c>
      <c r="C37" t="s">
        <v>949</v>
      </c>
      <c r="D37" t="s">
        <v>96</v>
      </c>
      <c r="E37" t="s">
        <v>96</v>
      </c>
      <c r="F37" t="s">
        <v>96</v>
      </c>
      <c r="G37" t="s">
        <v>96</v>
      </c>
      <c r="H37" t="s">
        <v>96</v>
      </c>
    </row>
    <row r="38">
      <c r="A38" t="s">
        <v>258</v>
      </c>
      <c r="B38" t="s">
        <v>950</v>
      </c>
      <c r="C38" t="s">
        <v>951</v>
      </c>
      <c r="D38" t="s">
        <v>96</v>
      </c>
      <c r="E38" t="s">
        <v>96</v>
      </c>
      <c r="F38" t="s">
        <v>96</v>
      </c>
      <c r="G38" t="s">
        <v>96</v>
      </c>
      <c r="H38" t="s">
        <v>96</v>
      </c>
    </row>
    <row r="40">
      <c r="A40" t="s">
        <v>953</v>
      </c>
    </row>
    <row r="41">
      <c r="A41" t="s">
        <v>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" t="s">
        <v>29</v>
      </c>
      <c r="B1" s="4" t="s">
        <v>259</v>
      </c>
      <c r="C1" s="4" t="s">
        <v>260</v>
      </c>
      <c r="D1" s="4" t="s">
        <v>261</v>
      </c>
      <c r="E1" s="5" t="s">
        <v>262</v>
      </c>
      <c r="F1" s="5" t="s">
        <v>263</v>
      </c>
      <c r="G1" s="5" t="s">
        <v>264</v>
      </c>
      <c r="H1" s="5" t="s">
        <v>265</v>
      </c>
      <c r="I1" s="5" t="s">
        <v>76</v>
      </c>
      <c r="J1" s="6" t="s">
        <v>266</v>
      </c>
      <c r="K1" s="6" t="s">
        <v>267</v>
      </c>
      <c r="L1" s="6" t="s">
        <v>268</v>
      </c>
      <c r="M1" s="6" t="s">
        <v>269</v>
      </c>
      <c r="N1" s="7" t="s">
        <v>270</v>
      </c>
      <c r="O1" s="7" t="s">
        <v>271</v>
      </c>
      <c r="P1" s="7" t="s">
        <v>272</v>
      </c>
      <c r="Q1" s="7" t="s">
        <v>273</v>
      </c>
      <c r="R1" s="7" t="s">
        <v>191</v>
      </c>
      <c r="S1" s="7" t="s">
        <v>186</v>
      </c>
      <c r="T1" s="8" t="s">
        <v>274</v>
      </c>
    </row>
    <row r="2">
      <c r="A2" t="s">
        <v>30</v>
      </c>
      <c r="B2" t="n">
        <v>1.04</v>
      </c>
      <c r="C2" t="n">
        <v>1.03</v>
      </c>
      <c r="D2" t="n">
        <v>1.01</v>
      </c>
      <c r="E2" t="n">
        <v>-2.75</v>
      </c>
      <c r="F2" t="n">
        <v>-1.5</v>
      </c>
      <c r="G2" t="n">
        <v>161</v>
      </c>
      <c r="H2" t="n">
        <v>12</v>
      </c>
      <c r="I2" t="s">
        <v>275</v>
      </c>
      <c r="J2" t="n">
        <v>0</v>
      </c>
      <c r="K2" t="n">
        <v>0</v>
      </c>
      <c r="L2" t="n">
        <v>0</v>
      </c>
      <c r="M2" t="n">
        <v>12</v>
      </c>
      <c r="N2" t="n">
        <v>0</v>
      </c>
      <c r="O2" t="n">
        <v>-0.25</v>
      </c>
      <c r="P2" t="n">
        <v>167</v>
      </c>
      <c r="Q2" t="n">
        <v>12</v>
      </c>
      <c r="R2" t="s">
        <v>276</v>
      </c>
      <c r="S2" t="s">
        <v>275</v>
      </c>
      <c r="T2" t="n">
        <v>0</v>
      </c>
    </row>
    <row r="3">
      <c r="A3" t="s">
        <v>30</v>
      </c>
      <c r="B3" t="n">
        <v>0.97</v>
      </c>
      <c r="C3" t="n">
        <v>0.78</v>
      </c>
      <c r="D3" t="n">
        <v>0.93</v>
      </c>
      <c r="E3" t="n">
        <v>-3.75</v>
      </c>
      <c r="F3" t="n">
        <v>-2.25</v>
      </c>
      <c r="G3" t="n">
        <v>35</v>
      </c>
      <c r="H3" t="n">
        <v>12</v>
      </c>
      <c r="I3" t="s">
        <v>277</v>
      </c>
      <c r="J3" t="n">
        <v>0</v>
      </c>
      <c r="K3" t="n">
        <v>0</v>
      </c>
      <c r="L3" t="n">
        <v>0</v>
      </c>
      <c r="M3" t="n">
        <v>12</v>
      </c>
      <c r="N3" t="n">
        <v>0</v>
      </c>
      <c r="O3" t="n">
        <v>0</v>
      </c>
      <c r="P3" t="n">
        <v>40</v>
      </c>
      <c r="Q3" t="n">
        <v>12</v>
      </c>
      <c r="R3" t="s">
        <v>278</v>
      </c>
      <c r="S3" t="s">
        <v>279</v>
      </c>
      <c r="T3" t="n">
        <v>0</v>
      </c>
    </row>
    <row r="4">
      <c r="A4" t="s">
        <v>30</v>
      </c>
      <c r="B4" t="n">
        <v>0.93</v>
      </c>
      <c r="C4" t="n">
        <v>0.93</v>
      </c>
      <c r="D4" t="n">
        <v>0.95</v>
      </c>
      <c r="E4" t="n">
        <v>-3.25</v>
      </c>
      <c r="F4" t="n">
        <v>-1</v>
      </c>
      <c r="G4" t="n">
        <v>24</v>
      </c>
      <c r="H4" t="n">
        <v>12</v>
      </c>
      <c r="I4" t="s">
        <v>278</v>
      </c>
      <c r="J4" t="n">
        <v>0</v>
      </c>
      <c r="K4" t="n">
        <v>0</v>
      </c>
      <c r="L4" t="n">
        <v>0</v>
      </c>
      <c r="M4" t="n">
        <v>12</v>
      </c>
      <c r="N4" t="n">
        <v>0.5</v>
      </c>
      <c r="O4" t="n">
        <v>-0.5</v>
      </c>
      <c r="P4" t="n">
        <v>36</v>
      </c>
      <c r="Q4" t="n">
        <v>12</v>
      </c>
      <c r="R4" t="s">
        <v>277</v>
      </c>
      <c r="S4" t="s">
        <v>278</v>
      </c>
      <c r="T4" t="n">
        <v>0.25</v>
      </c>
    </row>
    <row r="5">
      <c r="A5" t="s">
        <v>30</v>
      </c>
      <c r="B5" t="n">
        <v>1.06</v>
      </c>
      <c r="C5" t="n">
        <v>1.05</v>
      </c>
      <c r="D5" t="n">
        <v>1.13</v>
      </c>
      <c r="E5" t="n">
        <v>-2</v>
      </c>
      <c r="F5" t="n">
        <v>-0.5</v>
      </c>
      <c r="G5" t="n">
        <v>162</v>
      </c>
      <c r="H5" t="n">
        <v>12</v>
      </c>
      <c r="I5" t="s">
        <v>275</v>
      </c>
      <c r="J5" t="n">
        <v>0</v>
      </c>
      <c r="K5" t="n">
        <v>0</v>
      </c>
      <c r="L5" t="n">
        <v>0</v>
      </c>
      <c r="M5" t="n">
        <v>12</v>
      </c>
      <c r="N5" t="n">
        <v>0.5</v>
      </c>
      <c r="O5" t="n">
        <v>-0.25</v>
      </c>
      <c r="P5" t="n">
        <v>138</v>
      </c>
      <c r="Q5" t="n">
        <v>12</v>
      </c>
      <c r="R5" t="s">
        <v>284</v>
      </c>
      <c r="S5" t="s">
        <v>275</v>
      </c>
      <c r="T5" t="n">
        <v>0.25</v>
      </c>
    </row>
    <row r="6">
      <c r="A6" t="s">
        <v>30</v>
      </c>
      <c r="B6" t="n">
        <v>1.1</v>
      </c>
      <c r="C6" t="n">
        <v>1.09</v>
      </c>
      <c r="D6" t="n">
        <v>1.12</v>
      </c>
      <c r="E6" t="n">
        <v>-5.25</v>
      </c>
      <c r="F6" t="n">
        <v>-0.5</v>
      </c>
      <c r="G6" t="n">
        <v>13</v>
      </c>
      <c r="H6" t="n">
        <v>12</v>
      </c>
      <c r="I6" t="s">
        <v>280</v>
      </c>
      <c r="J6" t="n">
        <v>0</v>
      </c>
      <c r="K6" t="n">
        <v>0</v>
      </c>
      <c r="L6" t="n">
        <v>0</v>
      </c>
      <c r="M6" t="n">
        <v>12</v>
      </c>
      <c r="N6" t="n">
        <v>0</v>
      </c>
      <c r="O6" t="n">
        <v>-0.25</v>
      </c>
      <c r="P6" t="n">
        <v>173</v>
      </c>
      <c r="Q6" t="n">
        <v>12</v>
      </c>
      <c r="R6" t="s">
        <v>280</v>
      </c>
      <c r="S6" t="s">
        <v>280</v>
      </c>
      <c r="T6" t="n">
        <v>0</v>
      </c>
    </row>
    <row r="7">
      <c r="A7" t="s">
        <v>30</v>
      </c>
      <c r="B7" t="n">
        <v>0.95</v>
      </c>
      <c r="C7" t="n">
        <v>1.14</v>
      </c>
      <c r="D7" t="n">
        <v>0.95</v>
      </c>
      <c r="E7" t="n">
        <v>-1.75</v>
      </c>
      <c r="F7" t="n">
        <v>0</v>
      </c>
      <c r="G7" t="n">
        <v>161</v>
      </c>
      <c r="H7" t="n">
        <v>12</v>
      </c>
      <c r="I7" t="s">
        <v>277</v>
      </c>
      <c r="J7" t="n">
        <v>0</v>
      </c>
      <c r="K7" t="n">
        <v>0</v>
      </c>
      <c r="L7" t="n">
        <v>0</v>
      </c>
      <c r="M7" t="n">
        <v>12</v>
      </c>
      <c r="N7" t="n">
        <v>0</v>
      </c>
      <c r="O7" t="n">
        <v>-0.25</v>
      </c>
      <c r="P7" t="n">
        <v>7</v>
      </c>
      <c r="Q7" t="n">
        <v>12</v>
      </c>
      <c r="R7" t="s">
        <v>277</v>
      </c>
      <c r="S7" t="s">
        <v>284</v>
      </c>
      <c r="T7" t="n">
        <v>0</v>
      </c>
    </row>
    <row r="8">
      <c r="A8" t="s">
        <v>30</v>
      </c>
      <c r="B8" t="n">
        <v>1.04</v>
      </c>
      <c r="C8" t="n">
        <v>0.91</v>
      </c>
      <c r="D8" t="n">
        <v>1.04</v>
      </c>
      <c r="E8" t="n">
        <v>-5.25</v>
      </c>
      <c r="F8" t="n">
        <v>0</v>
      </c>
      <c r="G8" t="n">
        <v>3</v>
      </c>
      <c r="H8" t="n">
        <v>12</v>
      </c>
      <c r="I8" t="s">
        <v>275</v>
      </c>
      <c r="J8" t="n">
        <v>0</v>
      </c>
      <c r="K8" t="n">
        <v>0</v>
      </c>
      <c r="L8" t="n">
        <v>0</v>
      </c>
      <c r="M8" t="n">
        <v>12</v>
      </c>
      <c r="N8" t="n">
        <v>0.25</v>
      </c>
      <c r="O8" t="n">
        <v>-0.5</v>
      </c>
      <c r="P8" t="n">
        <v>91</v>
      </c>
      <c r="Q8" t="n">
        <v>12</v>
      </c>
      <c r="R8" t="s">
        <v>275</v>
      </c>
      <c r="S8" t="s">
        <v>278</v>
      </c>
      <c r="T8" t="n">
        <v>0</v>
      </c>
    </row>
    <row r="9">
      <c r="A9" t="s">
        <v>30</v>
      </c>
      <c r="B9" t="n">
        <v>1.13</v>
      </c>
      <c r="C9" t="n">
        <v>1.18</v>
      </c>
      <c r="D9" t="n">
        <v>1.16</v>
      </c>
      <c r="E9" t="n">
        <v>-5.75</v>
      </c>
      <c r="F9" t="n">
        <v>-1.25</v>
      </c>
      <c r="G9" t="n">
        <v>100</v>
      </c>
      <c r="H9" t="n">
        <v>12</v>
      </c>
      <c r="I9" t="s">
        <v>284</v>
      </c>
      <c r="J9" t="n">
        <v>0</v>
      </c>
      <c r="K9" t="n">
        <v>0</v>
      </c>
      <c r="L9" t="n">
        <v>0</v>
      </c>
      <c r="M9" t="n">
        <v>12</v>
      </c>
      <c r="N9" t="n">
        <v>0</v>
      </c>
      <c r="O9" t="n">
        <v>-0.25</v>
      </c>
      <c r="P9" t="n">
        <v>103</v>
      </c>
      <c r="Q9" t="n">
        <v>12</v>
      </c>
      <c r="R9" t="s">
        <v>284</v>
      </c>
      <c r="S9" t="s">
        <v>281</v>
      </c>
      <c r="T9" t="n">
        <v>0</v>
      </c>
    </row>
    <row r="10">
      <c r="A10" t="s">
        <v>30</v>
      </c>
      <c r="B10" t="n">
        <v>0.89</v>
      </c>
      <c r="C10" t="n">
        <v>0.81</v>
      </c>
      <c r="D10" t="n">
        <v>0.85</v>
      </c>
      <c r="E10" t="n">
        <v>-2.5</v>
      </c>
      <c r="F10" t="n">
        <v>0</v>
      </c>
      <c r="G10" t="n">
        <v>1</v>
      </c>
      <c r="H10" t="n">
        <v>12</v>
      </c>
      <c r="I10" t="s">
        <v>287</v>
      </c>
      <c r="J10" t="n">
        <v>0</v>
      </c>
      <c r="K10" t="n">
        <v>0</v>
      </c>
      <c r="L10" t="n">
        <v>0</v>
      </c>
      <c r="M10" t="n">
        <v>12</v>
      </c>
      <c r="N10" t="n">
        <v>0.5</v>
      </c>
      <c r="O10" t="n">
        <v>-0.5</v>
      </c>
      <c r="P10" t="n">
        <v>23</v>
      </c>
      <c r="Q10" t="n">
        <v>12</v>
      </c>
      <c r="R10" t="s">
        <v>285</v>
      </c>
      <c r="S10" t="s">
        <v>279</v>
      </c>
      <c r="T10" t="n">
        <v>0.25</v>
      </c>
    </row>
    <row r="11">
      <c r="A11" t="s">
        <v>30</v>
      </c>
      <c r="B11" t="n">
        <v>1.12</v>
      </c>
      <c r="C11" t="n">
        <v>1.15</v>
      </c>
      <c r="D11" t="n">
        <v>1.17</v>
      </c>
      <c r="E11" t="n">
        <v>-0.75</v>
      </c>
      <c r="F11" t="n">
        <v>0</v>
      </c>
      <c r="G11" t="n">
        <v>163</v>
      </c>
      <c r="H11" t="n">
        <v>12</v>
      </c>
      <c r="I11" t="s">
        <v>280</v>
      </c>
      <c r="J11" t="n">
        <v>0</v>
      </c>
      <c r="K11" t="n">
        <v>0</v>
      </c>
      <c r="L11" t="n">
        <v>0</v>
      </c>
      <c r="M11" t="n">
        <v>12</v>
      </c>
      <c r="N11" t="n">
        <v>0</v>
      </c>
      <c r="O11" t="n">
        <v>-0.25</v>
      </c>
      <c r="P11" t="n">
        <v>149</v>
      </c>
      <c r="Q11" t="n">
        <v>12</v>
      </c>
      <c r="R11" t="s">
        <v>284</v>
      </c>
      <c r="S11" t="s">
        <v>284</v>
      </c>
      <c r="T11" t="n">
        <v>0</v>
      </c>
    </row>
    <row r="12">
      <c r="A12" t="s">
        <v>30</v>
      </c>
      <c r="B12" t="n">
        <v>1.15</v>
      </c>
      <c r="C12" t="n">
        <v>1.16</v>
      </c>
      <c r="D12" t="n">
        <v>1.12</v>
      </c>
      <c r="E12" t="n">
        <v>-2.5</v>
      </c>
      <c r="F12" t="n">
        <v>-0.5</v>
      </c>
      <c r="G12" t="n">
        <v>164</v>
      </c>
      <c r="H12" t="n">
        <v>12</v>
      </c>
      <c r="I12" t="s">
        <v>284</v>
      </c>
      <c r="J12" t="n">
        <v>0</v>
      </c>
      <c r="K12" t="n">
        <v>0</v>
      </c>
      <c r="L12" t="n">
        <v>0</v>
      </c>
      <c r="M12" t="n">
        <v>12</v>
      </c>
      <c r="N12" t="n">
        <v>1</v>
      </c>
      <c r="O12" t="n">
        <v>-0.25</v>
      </c>
      <c r="P12" t="n">
        <v>170</v>
      </c>
      <c r="Q12" t="n">
        <v>12</v>
      </c>
      <c r="R12" t="s">
        <v>280</v>
      </c>
      <c r="S12" t="s">
        <v>284</v>
      </c>
      <c r="T12" t="n">
        <v>0.75</v>
      </c>
    </row>
    <row r="13">
      <c r="A13" t="s">
        <v>30</v>
      </c>
      <c r="B13" t="n">
        <v>1.01</v>
      </c>
      <c r="C13" t="n">
        <v>0.91</v>
      </c>
      <c r="D13" t="n">
        <v>1</v>
      </c>
      <c r="E13" t="n">
        <v>-3.25</v>
      </c>
      <c r="F13" t="n">
        <v>-0.25</v>
      </c>
      <c r="G13" t="n">
        <v>47</v>
      </c>
      <c r="H13" t="n">
        <v>12</v>
      </c>
      <c r="I13" t="s">
        <v>276</v>
      </c>
      <c r="J13" t="n">
        <v>0</v>
      </c>
      <c r="K13" t="n">
        <v>0</v>
      </c>
      <c r="L13" t="n">
        <v>0</v>
      </c>
      <c r="M13" t="n">
        <v>12</v>
      </c>
      <c r="N13" t="n">
        <v>0.5</v>
      </c>
      <c r="O13" t="n">
        <v>-0.5</v>
      </c>
      <c r="P13" t="n">
        <v>48</v>
      </c>
      <c r="Q13" t="n">
        <v>12</v>
      </c>
      <c r="R13" t="s">
        <v>276</v>
      </c>
      <c r="S13" t="s">
        <v>278</v>
      </c>
      <c r="T13" t="n">
        <v>0.25</v>
      </c>
    </row>
    <row r="14">
      <c r="A14" t="s">
        <v>30</v>
      </c>
      <c r="B14" t="n">
        <v>1.03</v>
      </c>
      <c r="C14" t="n">
        <v>0.93</v>
      </c>
      <c r="D14" t="n">
        <v>1.03</v>
      </c>
      <c r="E14" t="n">
        <v>-7.25</v>
      </c>
      <c r="F14" t="n">
        <v>-0.5</v>
      </c>
      <c r="G14" t="n">
        <v>180</v>
      </c>
      <c r="H14" t="n">
        <v>12</v>
      </c>
      <c r="I14" t="s">
        <v>275</v>
      </c>
      <c r="J14" t="n">
        <v>0</v>
      </c>
      <c r="K14" t="n">
        <v>0</v>
      </c>
      <c r="L14" t="n">
        <v>0</v>
      </c>
      <c r="M14" t="n">
        <v>12</v>
      </c>
      <c r="N14" t="n">
        <v>0.5</v>
      </c>
      <c r="O14" t="n">
        <v>-0.5</v>
      </c>
      <c r="P14" t="n">
        <v>16</v>
      </c>
      <c r="Q14" t="n">
        <v>12</v>
      </c>
      <c r="R14" t="s">
        <v>275</v>
      </c>
      <c r="S14" t="s">
        <v>278</v>
      </c>
      <c r="T14" t="n">
        <v>0.25</v>
      </c>
    </row>
    <row r="15">
      <c r="A15" t="s">
        <v>30</v>
      </c>
      <c r="B15" t="n">
        <v>1.13</v>
      </c>
      <c r="C15" t="n">
        <v>0.9</v>
      </c>
      <c r="D15" t="n">
        <v>1.12</v>
      </c>
      <c r="E15" t="n">
        <v>-2</v>
      </c>
      <c r="F15" t="n">
        <v>-0.75</v>
      </c>
      <c r="G15" t="n">
        <v>85</v>
      </c>
      <c r="H15" t="n">
        <v>12</v>
      </c>
      <c r="I15" t="s">
        <v>284</v>
      </c>
      <c r="J15" t="n">
        <v>0</v>
      </c>
      <c r="K15" t="n">
        <v>0</v>
      </c>
      <c r="L15" t="n">
        <v>0</v>
      </c>
      <c r="M15" t="n">
        <v>12</v>
      </c>
      <c r="N15" t="n">
        <v>0.5</v>
      </c>
      <c r="O15" t="n">
        <v>0</v>
      </c>
      <c r="P15" t="n">
        <v>137</v>
      </c>
      <c r="Q15" t="n">
        <v>12</v>
      </c>
      <c r="R15" t="s">
        <v>280</v>
      </c>
      <c r="S15" t="s">
        <v>278</v>
      </c>
      <c r="T15" t="n">
        <v>0.5</v>
      </c>
    </row>
    <row r="16">
      <c r="A16" t="s">
        <v>30</v>
      </c>
      <c r="B16" t="n">
        <v>0.98</v>
      </c>
      <c r="C16" t="n">
        <v>0.86</v>
      </c>
      <c r="D16" t="n">
        <v>0.95</v>
      </c>
      <c r="E16" t="n">
        <v>-7.25</v>
      </c>
      <c r="F16" t="n">
        <v>-0.75</v>
      </c>
      <c r="G16" t="n">
        <v>14</v>
      </c>
      <c r="H16" t="n">
        <v>12</v>
      </c>
      <c r="I16" t="s">
        <v>276</v>
      </c>
      <c r="J16" t="n">
        <v>0</v>
      </c>
      <c r="K16" t="n">
        <v>0</v>
      </c>
      <c r="L16" t="n">
        <v>0</v>
      </c>
      <c r="M16" t="n">
        <v>12</v>
      </c>
      <c r="N16" t="n">
        <v>0</v>
      </c>
      <c r="O16" t="n">
        <v>-0.5</v>
      </c>
      <c r="P16" t="n">
        <v>167</v>
      </c>
      <c r="Q16" t="n">
        <v>12</v>
      </c>
      <c r="R16" t="s">
        <v>277</v>
      </c>
      <c r="S16" t="s">
        <v>287</v>
      </c>
      <c r="T16" t="n">
        <v>-0.25</v>
      </c>
    </row>
    <row r="17">
      <c r="A17" t="s">
        <v>30</v>
      </c>
      <c r="B17" t="n">
        <v>0.88</v>
      </c>
      <c r="C17" t="n">
        <v>0.83</v>
      </c>
      <c r="D17" t="n">
        <v>0.82</v>
      </c>
      <c r="E17" t="n">
        <v>-4.5</v>
      </c>
      <c r="F17" t="n">
        <v>-1.25</v>
      </c>
      <c r="G17" t="n">
        <v>75</v>
      </c>
      <c r="H17" t="n">
        <v>12</v>
      </c>
      <c r="I17" t="s">
        <v>287</v>
      </c>
      <c r="J17" t="n">
        <v>0</v>
      </c>
      <c r="K17" t="n">
        <v>0</v>
      </c>
      <c r="L17" t="n">
        <v>0</v>
      </c>
      <c r="M17" t="n">
        <v>12</v>
      </c>
      <c r="N17" t="n">
        <v>0.25</v>
      </c>
      <c r="O17" t="n">
        <v>-0.5</v>
      </c>
      <c r="P17" t="n">
        <v>50</v>
      </c>
      <c r="Q17" t="n">
        <v>12</v>
      </c>
      <c r="R17" t="s">
        <v>285</v>
      </c>
      <c r="S17" t="s">
        <v>285</v>
      </c>
      <c r="T17" t="n">
        <v>0</v>
      </c>
    </row>
    <row r="18">
      <c r="A18" t="s">
        <v>30</v>
      </c>
      <c r="B18" t="n">
        <v>1.08</v>
      </c>
      <c r="C18" t="n">
        <v>1.15</v>
      </c>
      <c r="D18" t="n">
        <v>1.04</v>
      </c>
      <c r="E18" t="n">
        <v>-4.75</v>
      </c>
      <c r="F18" t="n">
        <v>-0.25</v>
      </c>
      <c r="G18" t="n">
        <v>172</v>
      </c>
      <c r="H18" t="n">
        <v>12</v>
      </c>
      <c r="I18" t="s">
        <v>280</v>
      </c>
      <c r="J18" t="n">
        <v>0</v>
      </c>
      <c r="K18" t="n">
        <v>0</v>
      </c>
      <c r="L18" t="n">
        <v>0</v>
      </c>
      <c r="M18" t="n">
        <v>12</v>
      </c>
      <c r="N18" t="n">
        <v>0.5</v>
      </c>
      <c r="O18" t="n">
        <v>-0.25</v>
      </c>
      <c r="P18" t="n">
        <v>15</v>
      </c>
      <c r="Q18" t="n">
        <v>12</v>
      </c>
      <c r="R18" t="s">
        <v>275</v>
      </c>
      <c r="S18" t="s">
        <v>284</v>
      </c>
      <c r="T18" t="n">
        <v>0.25</v>
      </c>
    </row>
    <row r="19">
      <c r="A19" t="s">
        <v>30</v>
      </c>
      <c r="B19" t="n">
        <v>1.06</v>
      </c>
      <c r="C19" t="n">
        <v>1.09</v>
      </c>
      <c r="D19" t="n">
        <v>1.13</v>
      </c>
      <c r="E19" t="n">
        <v>-3.25</v>
      </c>
      <c r="F19" t="n">
        <v>-0.25</v>
      </c>
      <c r="G19" t="n">
        <v>97</v>
      </c>
      <c r="H19" t="n">
        <v>12</v>
      </c>
      <c r="I19" t="s">
        <v>275</v>
      </c>
      <c r="J19" t="n">
        <v>0</v>
      </c>
      <c r="K19" t="n">
        <v>0</v>
      </c>
      <c r="L19" t="n">
        <v>0</v>
      </c>
      <c r="M19" t="n">
        <v>12</v>
      </c>
      <c r="N19" t="n">
        <v>0.5</v>
      </c>
      <c r="O19" t="n">
        <v>-0.25</v>
      </c>
      <c r="P19" t="n">
        <v>122</v>
      </c>
      <c r="Q19" t="n">
        <v>12</v>
      </c>
      <c r="R19" t="s">
        <v>284</v>
      </c>
      <c r="S19" t="s">
        <v>280</v>
      </c>
      <c r="T19" t="n">
        <v>0.25</v>
      </c>
    </row>
    <row r="20">
      <c r="A20" t="s">
        <v>30</v>
      </c>
      <c r="B20" t="n">
        <v>1.06</v>
      </c>
      <c r="C20" t="n">
        <v>1.11</v>
      </c>
      <c r="D20" t="n">
        <v>1.06</v>
      </c>
      <c r="E20" t="n">
        <v>-3</v>
      </c>
      <c r="F20" t="n">
        <v>-0.75</v>
      </c>
      <c r="G20" t="n">
        <v>165</v>
      </c>
      <c r="H20" t="n">
        <v>12</v>
      </c>
      <c r="I20" t="s">
        <v>275</v>
      </c>
      <c r="J20" t="n">
        <v>0</v>
      </c>
      <c r="K20" t="n">
        <v>0</v>
      </c>
      <c r="L20" t="n">
        <v>0</v>
      </c>
      <c r="M20" t="n">
        <v>12</v>
      </c>
      <c r="N20" t="n">
        <v>0</v>
      </c>
      <c r="O20" t="n">
        <v>-0.5</v>
      </c>
      <c r="P20" t="n">
        <v>12</v>
      </c>
      <c r="Q20" t="n">
        <v>12</v>
      </c>
      <c r="R20" t="s">
        <v>275</v>
      </c>
      <c r="S20" t="s">
        <v>280</v>
      </c>
      <c r="T20" t="n">
        <v>-0.25</v>
      </c>
    </row>
    <row r="21">
      <c r="A21" t="s">
        <v>30</v>
      </c>
      <c r="B21" t="n">
        <v>1.02</v>
      </c>
      <c r="C21" t="n">
        <v>0.96</v>
      </c>
      <c r="D21" t="n">
        <v>0.96</v>
      </c>
      <c r="E21" t="n">
        <v>-4.25</v>
      </c>
      <c r="F21" t="n">
        <v>-0.5</v>
      </c>
      <c r="G21" t="n">
        <v>76</v>
      </c>
      <c r="H21" t="n">
        <v>12</v>
      </c>
      <c r="I21" t="s">
        <v>276</v>
      </c>
      <c r="J21" t="n">
        <v>0</v>
      </c>
      <c r="K21" t="n">
        <v>0</v>
      </c>
      <c r="L21" t="n">
        <v>0</v>
      </c>
      <c r="M21" t="n">
        <v>12</v>
      </c>
      <c r="N21" t="n">
        <v>0</v>
      </c>
      <c r="O21" t="n">
        <v>-0.25</v>
      </c>
      <c r="P21" t="n">
        <v>62</v>
      </c>
      <c r="Q21" t="n">
        <v>12</v>
      </c>
      <c r="R21" t="s">
        <v>277</v>
      </c>
      <c r="S21" t="s">
        <v>277</v>
      </c>
      <c r="T21" t="n">
        <v>0</v>
      </c>
    </row>
    <row r="22">
      <c r="A22" t="s">
        <v>30</v>
      </c>
      <c r="B22" t="n">
        <v>1.06</v>
      </c>
      <c r="C22" t="n">
        <v>0.95</v>
      </c>
      <c r="D22" t="n">
        <v>1.06</v>
      </c>
      <c r="E22" t="n">
        <v>-3.25</v>
      </c>
      <c r="F22" t="n">
        <v>-1.25</v>
      </c>
      <c r="G22" t="n">
        <v>84</v>
      </c>
      <c r="H22" t="n">
        <v>12</v>
      </c>
      <c r="I22" t="s">
        <v>275</v>
      </c>
      <c r="J22" t="n">
        <v>0</v>
      </c>
      <c r="K22" t="n">
        <v>0</v>
      </c>
      <c r="L22" t="n">
        <v>0</v>
      </c>
      <c r="M22" t="n">
        <v>12</v>
      </c>
      <c r="N22" t="n">
        <v>0.5</v>
      </c>
      <c r="O22" t="n">
        <v>-0.25</v>
      </c>
      <c r="P22" t="n">
        <v>62</v>
      </c>
      <c r="Q22" t="n">
        <v>12</v>
      </c>
      <c r="R22" t="s">
        <v>275</v>
      </c>
      <c r="S22" t="s">
        <v>277</v>
      </c>
      <c r="T22" t="n">
        <v>0.5</v>
      </c>
    </row>
    <row r="23">
      <c r="A23" t="s">
        <v>30</v>
      </c>
      <c r="B23" t="n">
        <v>1.11</v>
      </c>
      <c r="C23" t="n">
        <v>1.06</v>
      </c>
      <c r="D23" t="n">
        <v>1.09</v>
      </c>
      <c r="E23" t="n">
        <v>-6.75</v>
      </c>
      <c r="F23" t="n">
        <v>-0.75</v>
      </c>
      <c r="G23" t="n">
        <v>81</v>
      </c>
      <c r="H23" t="n">
        <v>12</v>
      </c>
      <c r="I23" t="s">
        <v>280</v>
      </c>
      <c r="J23" t="n">
        <v>0</v>
      </c>
      <c r="K23" t="n">
        <v>0</v>
      </c>
      <c r="L23" t="n">
        <v>0</v>
      </c>
      <c r="M23" t="n">
        <v>12</v>
      </c>
      <c r="N23" t="n">
        <v>-0.5</v>
      </c>
      <c r="O23" t="n">
        <v>-0.25</v>
      </c>
      <c r="P23" t="n">
        <v>34</v>
      </c>
      <c r="Q23" t="n">
        <v>12</v>
      </c>
      <c r="R23" t="s">
        <v>280</v>
      </c>
      <c r="S23" t="s">
        <v>275</v>
      </c>
      <c r="T23" t="n">
        <v>-0.5</v>
      </c>
    </row>
    <row r="24">
      <c r="A24" t="s">
        <v>30</v>
      </c>
      <c r="B24" t="n">
        <v>0.92</v>
      </c>
      <c r="C24" t="n">
        <v>0.75</v>
      </c>
      <c r="D24" t="n">
        <v>0.93</v>
      </c>
      <c r="E24" t="n">
        <v>-8.25</v>
      </c>
      <c r="F24" t="n">
        <v>-0.75</v>
      </c>
      <c r="G24" t="n">
        <v>172</v>
      </c>
      <c r="H24" t="n">
        <v>12</v>
      </c>
      <c r="I24" t="s">
        <v>278</v>
      </c>
      <c r="J24" t="n">
        <v>0</v>
      </c>
      <c r="K24" t="n">
        <v>0</v>
      </c>
      <c r="L24" t="n">
        <v>0</v>
      </c>
      <c r="M24" t="n">
        <v>12</v>
      </c>
      <c r="N24" t="n">
        <v>-0.5</v>
      </c>
      <c r="O24" t="n">
        <v>-0.25</v>
      </c>
      <c r="P24" t="n">
        <v>171</v>
      </c>
      <c r="Q24" t="n">
        <v>12</v>
      </c>
      <c r="R24" t="s">
        <v>278</v>
      </c>
      <c r="S24" t="s">
        <v>288</v>
      </c>
      <c r="T24" t="n">
        <v>-0.5</v>
      </c>
    </row>
    <row r="25">
      <c r="A25" t="s">
        <v>30</v>
      </c>
      <c r="B25" t="n">
        <v>0.99</v>
      </c>
      <c r="C25" t="n">
        <v>0.96</v>
      </c>
      <c r="D25" t="n">
        <v>1.01</v>
      </c>
      <c r="E25" t="n">
        <v>-5</v>
      </c>
      <c r="F25" t="n">
        <v>-0.25</v>
      </c>
      <c r="G25" t="n">
        <v>161</v>
      </c>
      <c r="H25" t="n">
        <v>12</v>
      </c>
      <c r="I25" t="s">
        <v>276</v>
      </c>
      <c r="J25" t="n">
        <v>0</v>
      </c>
      <c r="K25" t="n">
        <v>0</v>
      </c>
      <c r="L25" t="n">
        <v>0</v>
      </c>
      <c r="M25" t="n">
        <v>12</v>
      </c>
      <c r="N25" t="n">
        <v>0</v>
      </c>
      <c r="O25" t="n">
        <v>0</v>
      </c>
      <c r="P25" t="n">
        <v>80</v>
      </c>
      <c r="Q25" t="n">
        <v>12</v>
      </c>
      <c r="R25" t="s">
        <v>276</v>
      </c>
      <c r="S25" t="s">
        <v>277</v>
      </c>
      <c r="T25" t="n">
        <v>0</v>
      </c>
    </row>
    <row r="26">
      <c r="A26" t="s">
        <v>30</v>
      </c>
      <c r="B26" t="n">
        <v>0.93</v>
      </c>
      <c r="C26" t="n">
        <v>0.96</v>
      </c>
      <c r="D26" t="n">
        <v>0.94</v>
      </c>
      <c r="E26" t="n">
        <v>-5.75</v>
      </c>
      <c r="F26" t="n">
        <v>-1</v>
      </c>
      <c r="G26" t="n">
        <v>83</v>
      </c>
      <c r="H26" t="n">
        <v>12</v>
      </c>
      <c r="I26" t="s">
        <v>278</v>
      </c>
      <c r="J26" t="n">
        <v>0</v>
      </c>
      <c r="K26" t="n">
        <v>0</v>
      </c>
      <c r="L26" t="n">
        <v>0</v>
      </c>
      <c r="M26" t="n">
        <v>12</v>
      </c>
      <c r="N26" t="n">
        <v>0</v>
      </c>
      <c r="O26" t="n">
        <v>-0.25</v>
      </c>
      <c r="P26" t="n">
        <v>78</v>
      </c>
      <c r="Q26" t="n">
        <v>12</v>
      </c>
      <c r="R26" t="s">
        <v>277</v>
      </c>
      <c r="S26" t="s">
        <v>277</v>
      </c>
      <c r="T26" t="n">
        <v>0</v>
      </c>
    </row>
    <row r="27">
      <c r="A27" t="s">
        <v>30</v>
      </c>
      <c r="B27" t="n">
        <v>1.03</v>
      </c>
      <c r="C27" t="n">
        <v>1.08</v>
      </c>
      <c r="D27" t="n">
        <v>1.06</v>
      </c>
      <c r="E27" t="n">
        <v>-1</v>
      </c>
      <c r="F27" t="n">
        <v>-0.5</v>
      </c>
      <c r="G27" t="n">
        <v>80</v>
      </c>
      <c r="H27" t="n">
        <v>12</v>
      </c>
      <c r="I27" t="s">
        <v>275</v>
      </c>
      <c r="J27" t="n">
        <v>0</v>
      </c>
      <c r="K27" t="n">
        <v>0</v>
      </c>
      <c r="L27" t="n">
        <v>0</v>
      </c>
      <c r="M27" t="n">
        <v>12</v>
      </c>
      <c r="N27" t="n">
        <v>0</v>
      </c>
      <c r="O27" t="n">
        <v>0</v>
      </c>
      <c r="P27" t="n">
        <v>11</v>
      </c>
      <c r="Q27" t="n">
        <v>12</v>
      </c>
      <c r="R27" t="s">
        <v>275</v>
      </c>
      <c r="S27" t="s">
        <v>280</v>
      </c>
      <c r="T27" t="n">
        <v>0</v>
      </c>
    </row>
    <row r="28">
      <c r="A28" t="s">
        <v>30</v>
      </c>
      <c r="B28" t="n">
        <v>1.04</v>
      </c>
      <c r="C28" t="n">
        <v>1.1</v>
      </c>
      <c r="D28" t="n">
        <v>1.06</v>
      </c>
      <c r="E28" t="n">
        <v>-1.25</v>
      </c>
      <c r="F28" t="n">
        <v>-1</v>
      </c>
      <c r="G28" t="n">
        <v>180</v>
      </c>
      <c r="H28" t="n">
        <v>12</v>
      </c>
      <c r="I28" t="s">
        <v>275</v>
      </c>
      <c r="J28" t="n">
        <v>0</v>
      </c>
      <c r="K28" t="n">
        <v>0</v>
      </c>
      <c r="L28" t="n">
        <v>0</v>
      </c>
      <c r="M28" t="n">
        <v>12</v>
      </c>
      <c r="N28" t="n">
        <v>-0.5</v>
      </c>
      <c r="O28" t="n">
        <v>0</v>
      </c>
      <c r="P28" t="n">
        <v>178</v>
      </c>
      <c r="Q28" t="n">
        <v>12</v>
      </c>
      <c r="R28" t="s">
        <v>275</v>
      </c>
      <c r="S28" t="s">
        <v>280</v>
      </c>
      <c r="T28" t="n">
        <v>-0.5</v>
      </c>
    </row>
    <row r="29">
      <c r="A29" t="s">
        <v>30</v>
      </c>
      <c r="B29" t="n">
        <v>0.98</v>
      </c>
      <c r="C29" t="n">
        <v>1.08</v>
      </c>
      <c r="D29" t="n">
        <v>1.02</v>
      </c>
      <c r="E29" t="n">
        <v>-0.5</v>
      </c>
      <c r="F29" t="n">
        <v>-0.75</v>
      </c>
      <c r="G29" t="n">
        <v>7</v>
      </c>
      <c r="H29" t="n">
        <v>12</v>
      </c>
      <c r="I29" t="s">
        <v>276</v>
      </c>
      <c r="J29" t="n">
        <v>0</v>
      </c>
      <c r="K29" t="n">
        <v>0</v>
      </c>
      <c r="L29" t="n">
        <v>0</v>
      </c>
      <c r="M29" t="n">
        <v>12</v>
      </c>
      <c r="N29" t="n">
        <v>0</v>
      </c>
      <c r="O29" t="n">
        <v>-0.25</v>
      </c>
      <c r="P29" t="n">
        <v>24</v>
      </c>
      <c r="Q29" t="n">
        <v>12</v>
      </c>
      <c r="R29" t="s">
        <v>276</v>
      </c>
      <c r="S29" t="s">
        <v>280</v>
      </c>
      <c r="T29" t="n">
        <v>0</v>
      </c>
    </row>
    <row r="30">
      <c r="A30" t="s">
        <v>30</v>
      </c>
      <c r="B30" t="n">
        <v>1.19</v>
      </c>
      <c r="C30" t="n">
        <v>1.16</v>
      </c>
      <c r="D30" t="n">
        <v>1.23</v>
      </c>
      <c r="E30" t="n">
        <v>-2</v>
      </c>
      <c r="F30" t="n">
        <v>0</v>
      </c>
      <c r="G30" t="n">
        <v>170</v>
      </c>
      <c r="H30" t="n">
        <v>12</v>
      </c>
      <c r="I30" t="s">
        <v>281</v>
      </c>
      <c r="J30" t="n">
        <v>0</v>
      </c>
      <c r="K30" t="n">
        <v>0</v>
      </c>
      <c r="L30" t="n">
        <v>0</v>
      </c>
      <c r="M30" t="n">
        <v>12</v>
      </c>
      <c r="N30" t="n">
        <v>0.25</v>
      </c>
      <c r="O30" t="n">
        <v>-0.5</v>
      </c>
      <c r="P30" t="n">
        <v>23</v>
      </c>
      <c r="Q30" t="n">
        <v>12</v>
      </c>
      <c r="R30" t="s">
        <v>281</v>
      </c>
      <c r="S30" t="s">
        <v>284</v>
      </c>
      <c r="T30" t="n">
        <v>0</v>
      </c>
    </row>
    <row r="31">
      <c r="A31" t="s">
        <v>30</v>
      </c>
      <c r="B31" t="n">
        <v>0.86</v>
      </c>
      <c r="C31" t="n">
        <v>0.83</v>
      </c>
      <c r="D31" t="n">
        <v>0.84</v>
      </c>
      <c r="E31" t="n">
        <v>-3.75</v>
      </c>
      <c r="F31" t="n">
        <v>-1.25</v>
      </c>
      <c r="G31" t="n">
        <v>23</v>
      </c>
      <c r="H31" t="n">
        <v>12</v>
      </c>
      <c r="I31" t="s">
        <v>287</v>
      </c>
      <c r="J31" t="n">
        <v>0</v>
      </c>
      <c r="K31" t="n">
        <v>0</v>
      </c>
      <c r="L31" t="n">
        <v>0</v>
      </c>
      <c r="M31" t="n">
        <v>12</v>
      </c>
      <c r="N31" t="n">
        <v>0.5</v>
      </c>
      <c r="O31" t="n">
        <v>-0.75</v>
      </c>
      <c r="P31" t="n">
        <v>166</v>
      </c>
      <c r="Q31" t="n">
        <v>12</v>
      </c>
      <c r="R31" t="s">
        <v>285</v>
      </c>
      <c r="S31" t="s">
        <v>285</v>
      </c>
      <c r="T31" t="n">
        <v>0</v>
      </c>
    </row>
    <row r="32">
      <c r="A32" t="s">
        <v>30</v>
      </c>
      <c r="B32" t="n">
        <v>0.99</v>
      </c>
      <c r="C32" t="n">
        <v>0.82</v>
      </c>
      <c r="D32" t="n">
        <v>0.97</v>
      </c>
      <c r="E32" t="n">
        <v>-4.75</v>
      </c>
      <c r="F32" t="n">
        <v>0</v>
      </c>
      <c r="G32" t="n">
        <v>5</v>
      </c>
      <c r="H32" t="n">
        <v>12</v>
      </c>
      <c r="I32" t="s">
        <v>276</v>
      </c>
      <c r="J32" t="n">
        <v>0</v>
      </c>
      <c r="K32" t="n">
        <v>0</v>
      </c>
      <c r="L32" t="n">
        <v>0</v>
      </c>
      <c r="M32" t="n">
        <v>12</v>
      </c>
      <c r="N32" t="n">
        <v>0.5</v>
      </c>
      <c r="O32" t="n">
        <v>0</v>
      </c>
      <c r="P32" t="n">
        <v>177</v>
      </c>
      <c r="Q32" t="n">
        <v>12</v>
      </c>
      <c r="R32" t="s">
        <v>277</v>
      </c>
      <c r="S32" t="s">
        <v>285</v>
      </c>
      <c r="T32" t="n">
        <v>0.5</v>
      </c>
    </row>
    <row r="33">
      <c r="A33" t="s">
        <v>30</v>
      </c>
      <c r="B33" t="n">
        <v>0.96</v>
      </c>
      <c r="C33" t="n">
        <v>0.98</v>
      </c>
      <c r="D33" t="n">
        <v>0.97</v>
      </c>
      <c r="E33" t="n">
        <v>-6.25</v>
      </c>
      <c r="F33" t="n">
        <v>-0.25</v>
      </c>
      <c r="G33" t="n">
        <v>67</v>
      </c>
      <c r="H33" t="n">
        <v>12</v>
      </c>
      <c r="I33" t="s">
        <v>277</v>
      </c>
      <c r="J33" t="n">
        <v>0</v>
      </c>
      <c r="K33" t="n">
        <v>0</v>
      </c>
      <c r="L33" t="n">
        <v>0</v>
      </c>
      <c r="M33" t="n">
        <v>12</v>
      </c>
      <c r="N33" t="n">
        <v>0.5</v>
      </c>
      <c r="O33" t="n">
        <v>-0.25</v>
      </c>
      <c r="P33" t="n">
        <v>8</v>
      </c>
      <c r="Q33" t="n">
        <v>12</v>
      </c>
      <c r="R33" t="s">
        <v>277</v>
      </c>
      <c r="S33" t="s">
        <v>276</v>
      </c>
      <c r="T33" t="n">
        <v>0.5</v>
      </c>
    </row>
    <row r="34">
      <c r="A34" t="s">
        <v>30</v>
      </c>
      <c r="B34" t="n">
        <v>1.07</v>
      </c>
      <c r="C34" t="n">
        <v>0.94</v>
      </c>
      <c r="D34" t="n">
        <v>1.05</v>
      </c>
      <c r="E34" t="n">
        <v>-5.5</v>
      </c>
      <c r="F34" t="n">
        <v>-0.25</v>
      </c>
      <c r="G34" t="n">
        <v>11</v>
      </c>
      <c r="H34" t="n">
        <v>12</v>
      </c>
      <c r="I34" t="s">
        <v>275</v>
      </c>
      <c r="J34" t="n">
        <v>0</v>
      </c>
      <c r="K34" t="n">
        <v>0</v>
      </c>
      <c r="L34" t="n">
        <v>0</v>
      </c>
      <c r="M34" t="n">
        <v>12</v>
      </c>
      <c r="N34" t="n">
        <v>0</v>
      </c>
      <c r="O34" t="n">
        <v>-0.25</v>
      </c>
      <c r="P34" t="n">
        <v>18</v>
      </c>
      <c r="Q34" t="n">
        <v>12</v>
      </c>
      <c r="R34" t="s">
        <v>275</v>
      </c>
      <c r="S34" t="s">
        <v>277</v>
      </c>
      <c r="T34" t="n">
        <v>-0.25</v>
      </c>
    </row>
    <row r="35">
      <c r="A35" t="s">
        <v>30</v>
      </c>
      <c r="B35" t="n">
        <v>0.92</v>
      </c>
      <c r="C35" t="n">
        <v>0.84</v>
      </c>
      <c r="D35" t="n">
        <v>0.87</v>
      </c>
      <c r="E35" t="n">
        <v>-2</v>
      </c>
      <c r="F35" t="n">
        <v>-0.75</v>
      </c>
      <c r="G35" t="n">
        <v>180</v>
      </c>
      <c r="H35" t="n">
        <v>12</v>
      </c>
      <c r="I35" t="s">
        <v>278</v>
      </c>
      <c r="J35" t="n">
        <v>0</v>
      </c>
      <c r="K35" t="n">
        <v>0</v>
      </c>
      <c r="L35" t="n">
        <v>0</v>
      </c>
      <c r="M35" t="n">
        <v>12</v>
      </c>
      <c r="N35" t="n">
        <v>0</v>
      </c>
      <c r="O35" t="n">
        <v>-0.5</v>
      </c>
      <c r="P35" t="n">
        <v>10</v>
      </c>
      <c r="Q35" t="n">
        <v>12</v>
      </c>
      <c r="R35" t="s">
        <v>287</v>
      </c>
      <c r="S35" t="s">
        <v>285</v>
      </c>
      <c r="T35" t="n">
        <v>-0.25</v>
      </c>
    </row>
    <row r="36">
      <c r="A36" t="s">
        <v>30</v>
      </c>
      <c r="B36" t="n">
        <v>1.04</v>
      </c>
      <c r="C36" t="n">
        <v>1.07</v>
      </c>
      <c r="D36" t="n">
        <v>1.02</v>
      </c>
      <c r="E36" t="n">
        <v>-3</v>
      </c>
      <c r="F36" t="n">
        <v>-0.5</v>
      </c>
      <c r="G36" t="n">
        <v>84</v>
      </c>
      <c r="H36" t="n">
        <v>12</v>
      </c>
      <c r="I36" t="s">
        <v>275</v>
      </c>
      <c r="J36" t="n">
        <v>0</v>
      </c>
      <c r="K36" t="n">
        <v>0</v>
      </c>
      <c r="L36" t="n">
        <v>0</v>
      </c>
      <c r="M36" t="n">
        <v>12</v>
      </c>
      <c r="N36" t="n">
        <v>0.5</v>
      </c>
      <c r="O36" t="n">
        <v>-0.25</v>
      </c>
      <c r="P36" t="n">
        <v>101</v>
      </c>
      <c r="Q36" t="n">
        <v>12</v>
      </c>
      <c r="R36" t="s">
        <v>276</v>
      </c>
      <c r="S36" t="s">
        <v>275</v>
      </c>
      <c r="T36" t="n">
        <v>0.25</v>
      </c>
    </row>
    <row r="37">
      <c r="A37" t="s">
        <v>30</v>
      </c>
      <c r="B37" t="n">
        <v>1.02</v>
      </c>
      <c r="C37" t="n">
        <v>0.91</v>
      </c>
      <c r="D37" t="n">
        <v>1.01</v>
      </c>
      <c r="E37" t="n">
        <v>-1.5</v>
      </c>
      <c r="F37" t="n">
        <v>-0.75</v>
      </c>
      <c r="G37" t="n">
        <v>168</v>
      </c>
      <c r="H37" t="n">
        <v>12</v>
      </c>
      <c r="I37" t="s">
        <v>276</v>
      </c>
      <c r="J37" t="n">
        <v>0</v>
      </c>
      <c r="K37" t="n">
        <v>0</v>
      </c>
      <c r="L37" t="n">
        <v>0</v>
      </c>
      <c r="M37" t="n">
        <v>12</v>
      </c>
      <c r="N37" t="n">
        <v>0.5</v>
      </c>
      <c r="O37" t="n">
        <v>-0.75</v>
      </c>
      <c r="P37" t="n">
        <v>163</v>
      </c>
      <c r="Q37" t="n">
        <v>12</v>
      </c>
      <c r="R37" t="s">
        <v>276</v>
      </c>
      <c r="S37" t="s">
        <v>278</v>
      </c>
      <c r="T37" t="n">
        <v>0.25</v>
      </c>
    </row>
    <row r="38">
      <c r="A38" t="s">
        <v>30</v>
      </c>
      <c r="B38" t="n">
        <v>1</v>
      </c>
      <c r="C38" t="n">
        <v>0.99</v>
      </c>
      <c r="D38" t="n">
        <v>1.05</v>
      </c>
      <c r="E38" t="n">
        <v>-1.5</v>
      </c>
      <c r="F38" t="n">
        <v>-1.25</v>
      </c>
      <c r="G38" t="n">
        <v>99</v>
      </c>
      <c r="H38" t="n">
        <v>12</v>
      </c>
      <c r="I38" t="s">
        <v>276</v>
      </c>
      <c r="J38" t="n">
        <v>0</v>
      </c>
      <c r="K38" t="n">
        <v>0</v>
      </c>
      <c r="L38" t="n">
        <v>0</v>
      </c>
      <c r="M38" t="n">
        <v>12</v>
      </c>
      <c r="N38" t="n">
        <v>-0.25</v>
      </c>
      <c r="O38" t="n">
        <v>0</v>
      </c>
      <c r="P38" t="n">
        <v>79</v>
      </c>
      <c r="Q38" t="n">
        <v>12</v>
      </c>
      <c r="R38" t="s">
        <v>275</v>
      </c>
      <c r="S38" t="s">
        <v>276</v>
      </c>
      <c r="T38" t="n">
        <v>-0.25</v>
      </c>
    </row>
    <row r="39">
      <c r="A39" t="s">
        <v>30</v>
      </c>
      <c r="B39" t="n">
        <v>0.96</v>
      </c>
      <c r="C39" t="n">
        <v>0.94</v>
      </c>
      <c r="D39" t="n">
        <v>1.01</v>
      </c>
      <c r="E39" t="n">
        <v>-6.5</v>
      </c>
      <c r="F39" t="n">
        <v>-0.25</v>
      </c>
      <c r="G39" t="n">
        <v>138</v>
      </c>
      <c r="H39" t="n">
        <v>12</v>
      </c>
      <c r="I39" t="s">
        <v>277</v>
      </c>
      <c r="J39" t="n">
        <v>0</v>
      </c>
      <c r="K39" t="n">
        <v>0</v>
      </c>
      <c r="L39" t="n">
        <v>0</v>
      </c>
      <c r="M39" t="n">
        <v>12</v>
      </c>
      <c r="N39" t="n">
        <v>0.25</v>
      </c>
      <c r="O39" t="n">
        <v>0</v>
      </c>
      <c r="P39" t="n">
        <v>131</v>
      </c>
      <c r="Q39" t="n">
        <v>12</v>
      </c>
      <c r="R39" t="s">
        <v>276</v>
      </c>
      <c r="S39" t="s">
        <v>277</v>
      </c>
      <c r="T39" t="n">
        <v>0.25</v>
      </c>
    </row>
    <row r="40">
      <c r="A40" t="s">
        <v>30</v>
      </c>
      <c r="B40" t="n">
        <v>0.92</v>
      </c>
      <c r="C40" t="n">
        <v>0.89</v>
      </c>
      <c r="D40" t="n">
        <v>0.9</v>
      </c>
      <c r="E40" t="n">
        <v>-7</v>
      </c>
      <c r="F40" t="n">
        <v>-0.25</v>
      </c>
      <c r="G40" t="n">
        <v>80</v>
      </c>
      <c r="H40" t="n">
        <v>12</v>
      </c>
      <c r="I40" t="s">
        <v>278</v>
      </c>
      <c r="J40" t="n">
        <v>0</v>
      </c>
      <c r="K40" t="n">
        <v>0</v>
      </c>
      <c r="L40" t="n">
        <v>0</v>
      </c>
      <c r="M40" t="n">
        <v>12</v>
      </c>
      <c r="N40" t="n">
        <v>0.5</v>
      </c>
      <c r="O40" t="n">
        <v>-0.25</v>
      </c>
      <c r="P40" t="n">
        <v>56</v>
      </c>
      <c r="Q40" t="n">
        <v>12</v>
      </c>
      <c r="R40" t="s">
        <v>278</v>
      </c>
      <c r="S40" t="s">
        <v>287</v>
      </c>
      <c r="T40" t="n">
        <v>0.5</v>
      </c>
    </row>
    <row r="41">
      <c r="A41" t="s">
        <v>30</v>
      </c>
      <c r="B41" t="n">
        <v>1</v>
      </c>
      <c r="C41" t="n">
        <v>0.89</v>
      </c>
      <c r="D41" t="n">
        <v>0.98</v>
      </c>
      <c r="E41" t="n">
        <v>-5.75</v>
      </c>
      <c r="F41" t="n">
        <v>-0.25</v>
      </c>
      <c r="G41" t="n">
        <v>20</v>
      </c>
      <c r="H41" t="n">
        <v>12</v>
      </c>
      <c r="I41" t="s">
        <v>276</v>
      </c>
      <c r="J41" t="n">
        <v>0</v>
      </c>
      <c r="K41" t="n">
        <v>0</v>
      </c>
      <c r="L41" t="n">
        <v>0</v>
      </c>
      <c r="M41" t="n">
        <v>12</v>
      </c>
      <c r="N41" t="n">
        <v>0.5</v>
      </c>
      <c r="O41" t="n">
        <v>-0.25</v>
      </c>
      <c r="P41" t="n">
        <v>25</v>
      </c>
      <c r="Q41" t="n">
        <v>12</v>
      </c>
      <c r="R41" t="s">
        <v>276</v>
      </c>
      <c r="S41" t="s">
        <v>287</v>
      </c>
      <c r="T41" t="n">
        <v>0.25</v>
      </c>
    </row>
    <row r="42">
      <c r="A42" t="s">
        <v>30</v>
      </c>
      <c r="B42" t="n">
        <v>0.97</v>
      </c>
      <c r="C42" t="n">
        <v>0.96</v>
      </c>
      <c r="D42" t="n">
        <v>1.02</v>
      </c>
      <c r="E42" t="n">
        <v>-3.75</v>
      </c>
      <c r="F42" t="n">
        <v>-0.5</v>
      </c>
      <c r="G42" t="n">
        <v>85</v>
      </c>
      <c r="H42" t="n">
        <v>12</v>
      </c>
      <c r="I42" t="s">
        <v>277</v>
      </c>
      <c r="J42" t="n">
        <v>0</v>
      </c>
      <c r="K42" t="n">
        <v>0</v>
      </c>
      <c r="L42" t="n">
        <v>0</v>
      </c>
      <c r="M42" t="n">
        <v>12</v>
      </c>
      <c r="N42" t="n">
        <v>0.5</v>
      </c>
      <c r="O42" t="n">
        <v>-0.25</v>
      </c>
      <c r="P42" t="n">
        <v>78</v>
      </c>
      <c r="Q42" t="n">
        <v>12</v>
      </c>
      <c r="R42" t="s">
        <v>276</v>
      </c>
      <c r="S42" t="s">
        <v>277</v>
      </c>
      <c r="T42" t="n">
        <v>0.25</v>
      </c>
    </row>
    <row r="43">
      <c r="A43" t="s">
        <v>30</v>
      </c>
      <c r="B43" t="n">
        <v>1.05</v>
      </c>
      <c r="C43" t="n">
        <v>1.08</v>
      </c>
      <c r="D43" t="n">
        <v>1.07</v>
      </c>
      <c r="E43" t="n">
        <v>-7</v>
      </c>
      <c r="F43" t="n">
        <v>-0.25</v>
      </c>
      <c r="G43" t="n">
        <v>100</v>
      </c>
      <c r="H43" t="n">
        <v>12</v>
      </c>
      <c r="I43" t="s">
        <v>275</v>
      </c>
      <c r="J43" t="n">
        <v>0</v>
      </c>
      <c r="K43" t="n">
        <v>0</v>
      </c>
      <c r="L43" t="n">
        <v>0</v>
      </c>
      <c r="M43" t="n">
        <v>12</v>
      </c>
      <c r="N43" t="n">
        <v>0.5</v>
      </c>
      <c r="O43" t="n">
        <v>-0.25</v>
      </c>
      <c r="P43" t="n">
        <v>122</v>
      </c>
      <c r="Q43" t="n">
        <v>12</v>
      </c>
      <c r="R43" t="s">
        <v>275</v>
      </c>
      <c r="S43" t="s">
        <v>280</v>
      </c>
      <c r="T43" t="n">
        <v>0.25</v>
      </c>
    </row>
    <row r="44">
      <c r="A44" t="s">
        <v>30</v>
      </c>
      <c r="B44" t="n">
        <v>0.97</v>
      </c>
      <c r="C44" t="n">
        <v>1.02</v>
      </c>
      <c r="D44" t="n">
        <v>0.99</v>
      </c>
      <c r="E44" t="n">
        <v>-5.75</v>
      </c>
      <c r="F44" t="n">
        <v>-0.5</v>
      </c>
      <c r="G44" t="n">
        <v>95</v>
      </c>
      <c r="H44" t="n">
        <v>12</v>
      </c>
      <c r="I44" t="s">
        <v>277</v>
      </c>
      <c r="J44" t="n">
        <v>0</v>
      </c>
      <c r="K44" t="n">
        <v>0</v>
      </c>
      <c r="L44" t="n">
        <v>0</v>
      </c>
      <c r="M44" t="n">
        <v>12</v>
      </c>
      <c r="N44" t="n">
        <v>0</v>
      </c>
      <c r="O44" t="n">
        <v>-0.25</v>
      </c>
      <c r="P44" t="n">
        <v>89</v>
      </c>
      <c r="Q44" t="n">
        <v>12</v>
      </c>
      <c r="R44" t="s">
        <v>276</v>
      </c>
      <c r="S44" t="s">
        <v>276</v>
      </c>
      <c r="T44" t="n">
        <v>-0.25</v>
      </c>
    </row>
    <row r="45">
      <c r="A45" t="s">
        <v>30</v>
      </c>
      <c r="B45" t="n">
        <v>0.93</v>
      </c>
      <c r="C45" t="n">
        <v>0.92</v>
      </c>
      <c r="D45" t="n">
        <v>0.99</v>
      </c>
      <c r="E45" t="n">
        <v>-6</v>
      </c>
      <c r="F45" t="n">
        <v>-0.25</v>
      </c>
      <c r="G45" t="n">
        <v>156</v>
      </c>
      <c r="H45" t="n">
        <v>12</v>
      </c>
      <c r="I45" t="s">
        <v>278</v>
      </c>
      <c r="J45" t="n">
        <v>0</v>
      </c>
      <c r="K45" t="n">
        <v>0</v>
      </c>
      <c r="L45" t="n">
        <v>0</v>
      </c>
      <c r="M45" t="n">
        <v>12</v>
      </c>
      <c r="N45" t="n">
        <v>0.25</v>
      </c>
      <c r="O45" t="n">
        <v>0</v>
      </c>
      <c r="P45" t="n">
        <v>91</v>
      </c>
      <c r="Q45" t="n">
        <v>12</v>
      </c>
      <c r="R45" t="s">
        <v>276</v>
      </c>
      <c r="S45" t="s">
        <v>278</v>
      </c>
      <c r="T45" t="n">
        <v>0.25</v>
      </c>
    </row>
    <row r="46">
      <c r="A46" t="s">
        <v>30</v>
      </c>
      <c r="B46" t="n">
        <v>0.88</v>
      </c>
      <c r="C46" t="n">
        <v>0.71</v>
      </c>
      <c r="D46" t="n">
        <v>0.86</v>
      </c>
      <c r="E46" t="n">
        <v>-7.5</v>
      </c>
      <c r="F46" t="n">
        <v>-0.25</v>
      </c>
      <c r="G46" t="n">
        <v>79</v>
      </c>
      <c r="H46" t="n">
        <v>12</v>
      </c>
      <c r="I46" t="s">
        <v>287</v>
      </c>
      <c r="J46" t="n">
        <v>0</v>
      </c>
      <c r="K46" t="n">
        <v>0</v>
      </c>
      <c r="L46" t="n">
        <v>0</v>
      </c>
      <c r="M46" t="n">
        <v>12</v>
      </c>
      <c r="N46" t="n">
        <v>0.5</v>
      </c>
      <c r="O46" t="n">
        <v>0</v>
      </c>
      <c r="P46" t="n">
        <v>65</v>
      </c>
      <c r="Q46" t="n">
        <v>12</v>
      </c>
      <c r="R46" t="s">
        <v>287</v>
      </c>
      <c r="S46" t="s">
        <v>289</v>
      </c>
      <c r="T46" t="n">
        <v>0.5</v>
      </c>
    </row>
    <row r="47">
      <c r="A47" t="s">
        <v>30</v>
      </c>
      <c r="B47" t="n">
        <v>0.98</v>
      </c>
      <c r="C47" t="n">
        <v>1</v>
      </c>
      <c r="D47" t="n">
        <v>0.95</v>
      </c>
      <c r="E47" t="n">
        <v>-2</v>
      </c>
      <c r="F47" t="n">
        <v>-0.25</v>
      </c>
      <c r="G47" t="n">
        <v>92</v>
      </c>
      <c r="H47" t="n">
        <v>12</v>
      </c>
      <c r="I47" t="s">
        <v>276</v>
      </c>
      <c r="J47" t="n">
        <v>0</v>
      </c>
      <c r="K47" t="n">
        <v>0</v>
      </c>
      <c r="L47" t="n">
        <v>0</v>
      </c>
      <c r="M47" t="n">
        <v>12</v>
      </c>
      <c r="N47" t="n">
        <v>0</v>
      </c>
      <c r="O47" t="n">
        <v>-0.25</v>
      </c>
      <c r="P47" t="n">
        <v>69</v>
      </c>
      <c r="Q47" t="n">
        <v>12</v>
      </c>
      <c r="R47" t="s">
        <v>277</v>
      </c>
      <c r="S47" t="s">
        <v>276</v>
      </c>
      <c r="T47" t="n">
        <v>-0.25</v>
      </c>
    </row>
    <row r="48">
      <c r="A48" t="s">
        <v>30</v>
      </c>
      <c r="B48" t="n">
        <v>1.07</v>
      </c>
      <c r="C48" t="n">
        <v>1.25</v>
      </c>
      <c r="D48" t="n">
        <v>1.12</v>
      </c>
      <c r="E48" t="n">
        <v>-4.25</v>
      </c>
      <c r="F48" t="n">
        <v>-0.75</v>
      </c>
      <c r="G48" t="n">
        <v>174</v>
      </c>
      <c r="H48" t="n">
        <v>12</v>
      </c>
      <c r="I48" t="s">
        <v>275</v>
      </c>
      <c r="J48" t="n">
        <v>0</v>
      </c>
      <c r="K48" t="n">
        <v>0</v>
      </c>
      <c r="L48" t="n">
        <v>0</v>
      </c>
      <c r="M48" t="n">
        <v>12</v>
      </c>
      <c r="N48" t="n">
        <v>0</v>
      </c>
      <c r="O48" t="n">
        <v>-0.25</v>
      </c>
      <c r="P48" t="n">
        <v>32</v>
      </c>
      <c r="Q48" t="n">
        <v>12</v>
      </c>
      <c r="R48" t="s">
        <v>280</v>
      </c>
      <c r="S48" t="s">
        <v>283</v>
      </c>
      <c r="T48" t="n">
        <v>0</v>
      </c>
    </row>
    <row r="49">
      <c r="A49" t="s">
        <v>30</v>
      </c>
      <c r="B49" t="n">
        <v>1.07</v>
      </c>
      <c r="C49" t="n">
        <v>1.07</v>
      </c>
      <c r="D49" t="n">
        <v>1.07</v>
      </c>
      <c r="E49" t="n">
        <v>-1.75</v>
      </c>
      <c r="F49" t="n">
        <v>-1</v>
      </c>
      <c r="G49" t="n">
        <v>162</v>
      </c>
      <c r="H49" t="n">
        <v>12</v>
      </c>
      <c r="I49" t="s">
        <v>275</v>
      </c>
      <c r="J49" t="n">
        <v>0</v>
      </c>
      <c r="K49" t="n">
        <v>0</v>
      </c>
      <c r="L49" t="n">
        <v>0</v>
      </c>
      <c r="M49" t="n">
        <v>12</v>
      </c>
      <c r="N49" t="n">
        <v>-0.25</v>
      </c>
      <c r="O49" t="n">
        <v>0</v>
      </c>
      <c r="P49" t="n">
        <v>78</v>
      </c>
      <c r="Q49" t="n">
        <v>12</v>
      </c>
      <c r="R49" t="s">
        <v>275</v>
      </c>
      <c r="S49" t="s">
        <v>275</v>
      </c>
      <c r="T49" t="n">
        <v>-0.25</v>
      </c>
    </row>
    <row r="50">
      <c r="A50" t="s">
        <v>30</v>
      </c>
      <c r="B50" t="n">
        <v>1</v>
      </c>
      <c r="C50" t="n">
        <v>0.91</v>
      </c>
      <c r="D50" t="n">
        <v>1</v>
      </c>
      <c r="E50" t="n">
        <v>-5</v>
      </c>
      <c r="F50" t="n">
        <v>-1</v>
      </c>
      <c r="G50" t="n">
        <v>177</v>
      </c>
      <c r="H50" t="n">
        <v>12</v>
      </c>
      <c r="I50" t="s">
        <v>276</v>
      </c>
      <c r="J50" t="n">
        <v>0</v>
      </c>
      <c r="K50" t="n">
        <v>0</v>
      </c>
      <c r="L50" t="n">
        <v>0</v>
      </c>
      <c r="M50" t="n">
        <v>12</v>
      </c>
      <c r="N50" t="n">
        <v>0</v>
      </c>
      <c r="O50" t="n">
        <v>-0.25</v>
      </c>
      <c r="P50" t="n">
        <v>177</v>
      </c>
      <c r="Q50" t="n">
        <v>12</v>
      </c>
      <c r="R50" t="s">
        <v>276</v>
      </c>
      <c r="S50" t="s">
        <v>278</v>
      </c>
      <c r="T50" t="n">
        <v>0</v>
      </c>
    </row>
    <row r="51">
      <c r="A51" t="s">
        <v>30</v>
      </c>
      <c r="B51" t="n">
        <v>1.01</v>
      </c>
      <c r="C51" t="n">
        <v>0.86</v>
      </c>
      <c r="D51" t="n">
        <v>1.03</v>
      </c>
      <c r="E51" t="n">
        <v>-5</v>
      </c>
      <c r="F51" t="n">
        <v>-0.5</v>
      </c>
      <c r="G51" t="n">
        <v>86</v>
      </c>
      <c r="H51" t="n">
        <v>12</v>
      </c>
      <c r="I51" t="s">
        <v>276</v>
      </c>
      <c r="J51" t="n">
        <v>0</v>
      </c>
      <c r="K51" t="n">
        <v>0</v>
      </c>
      <c r="L51" t="n">
        <v>0</v>
      </c>
      <c r="M51" t="n">
        <v>12</v>
      </c>
      <c r="N51" t="n">
        <v>-0.5</v>
      </c>
      <c r="O51" t="n">
        <v>0</v>
      </c>
      <c r="P51" t="n">
        <v>85</v>
      </c>
      <c r="Q51" t="n">
        <v>12</v>
      </c>
      <c r="R51" t="s">
        <v>275</v>
      </c>
      <c r="S51" t="s">
        <v>287</v>
      </c>
      <c r="T51" t="n">
        <v>-0.5</v>
      </c>
    </row>
    <row r="52">
      <c r="A52" t="s">
        <v>30</v>
      </c>
      <c r="B52" t="n">
        <v>1.1</v>
      </c>
      <c r="C52" t="n">
        <v>1.19</v>
      </c>
      <c r="D52" t="n">
        <v>1.16</v>
      </c>
      <c r="E52" t="n">
        <v>-4</v>
      </c>
      <c r="F52" t="n">
        <v>0</v>
      </c>
      <c r="G52" t="n">
        <v>99</v>
      </c>
      <c r="H52" t="n">
        <v>12</v>
      </c>
      <c r="I52" t="s">
        <v>280</v>
      </c>
      <c r="J52" t="n">
        <v>0</v>
      </c>
      <c r="K52" t="n">
        <v>0</v>
      </c>
      <c r="L52" t="n">
        <v>0</v>
      </c>
      <c r="M52" t="n">
        <v>12</v>
      </c>
      <c r="N52" t="n">
        <v>0</v>
      </c>
      <c r="O52" t="n">
        <v>-0.25</v>
      </c>
      <c r="P52" t="n">
        <v>111</v>
      </c>
      <c r="Q52" t="n">
        <v>12</v>
      </c>
      <c r="R52" t="s">
        <v>284</v>
      </c>
      <c r="S52" t="s">
        <v>281</v>
      </c>
      <c r="T52" t="n">
        <v>0</v>
      </c>
    </row>
    <row r="53">
      <c r="A53" t="s">
        <v>30</v>
      </c>
      <c r="B53" t="n">
        <v>1.06</v>
      </c>
      <c r="C53" t="n">
        <v>1.07</v>
      </c>
      <c r="D53" t="n">
        <v>1.05</v>
      </c>
      <c r="E53" t="n">
        <v>-5</v>
      </c>
      <c r="F53" t="n">
        <v>-0.75</v>
      </c>
      <c r="G53" t="n">
        <v>6</v>
      </c>
      <c r="H53" t="n">
        <v>12</v>
      </c>
      <c r="I53" t="s">
        <v>275</v>
      </c>
      <c r="J53" t="n">
        <v>0</v>
      </c>
      <c r="K53" t="n">
        <v>0</v>
      </c>
      <c r="L53" t="n">
        <v>0</v>
      </c>
      <c r="M53" t="n">
        <v>12</v>
      </c>
      <c r="N53" t="n">
        <v>0.5</v>
      </c>
      <c r="O53" t="n">
        <v>0</v>
      </c>
      <c r="P53" t="n">
        <v>26</v>
      </c>
      <c r="Q53" t="n">
        <v>12</v>
      </c>
      <c r="R53" t="s">
        <v>275</v>
      </c>
      <c r="S53" t="s">
        <v>275</v>
      </c>
      <c r="T53" t="n">
        <v>0.5</v>
      </c>
    </row>
    <row r="54">
      <c r="A54" t="s">
        <v>30</v>
      </c>
      <c r="B54" t="n">
        <v>1.1</v>
      </c>
      <c r="C54" t="n">
        <v>1.08</v>
      </c>
      <c r="D54" t="n">
        <v>1.09</v>
      </c>
      <c r="E54" t="n">
        <v>-2.5</v>
      </c>
      <c r="F54" t="n">
        <v>-0.75</v>
      </c>
      <c r="G54" t="n">
        <v>178</v>
      </c>
      <c r="H54" t="n">
        <v>12</v>
      </c>
      <c r="I54" t="s">
        <v>280</v>
      </c>
      <c r="J54" t="n">
        <v>0</v>
      </c>
      <c r="K54" t="n">
        <v>0</v>
      </c>
      <c r="L54" t="n">
        <v>0</v>
      </c>
      <c r="M54" t="n">
        <v>12</v>
      </c>
      <c r="N54" t="n">
        <v>0</v>
      </c>
      <c r="O54" t="n">
        <v>-0.25</v>
      </c>
      <c r="P54" t="n">
        <v>4</v>
      </c>
      <c r="Q54" t="n">
        <v>12</v>
      </c>
      <c r="R54" t="s">
        <v>280</v>
      </c>
      <c r="S54" t="s">
        <v>280</v>
      </c>
      <c r="T54" t="n">
        <v>-0.25</v>
      </c>
    </row>
    <row r="55">
      <c r="A55" t="s">
        <v>30</v>
      </c>
      <c r="B55" t="n">
        <v>1.06</v>
      </c>
      <c r="C55" t="n">
        <v>1.04</v>
      </c>
      <c r="D55" t="n">
        <v>1.02</v>
      </c>
      <c r="E55" t="n">
        <v>-5</v>
      </c>
      <c r="F55" t="n">
        <v>0</v>
      </c>
      <c r="G55" t="n">
        <v>7</v>
      </c>
      <c r="H55" t="n">
        <v>12</v>
      </c>
      <c r="I55" t="s">
        <v>275</v>
      </c>
      <c r="J55" t="n">
        <v>0</v>
      </c>
      <c r="K55" t="n">
        <v>0</v>
      </c>
      <c r="L55" t="n">
        <v>0</v>
      </c>
      <c r="M55" t="n">
        <v>12</v>
      </c>
      <c r="N55" t="n">
        <v>0.25</v>
      </c>
      <c r="O55" t="n">
        <v>-0.5</v>
      </c>
      <c r="P55" t="n">
        <v>3</v>
      </c>
      <c r="Q55" t="n">
        <v>12</v>
      </c>
      <c r="R55" t="s">
        <v>276</v>
      </c>
      <c r="S55" t="s">
        <v>275</v>
      </c>
      <c r="T55" t="n">
        <v>0</v>
      </c>
    </row>
    <row r="56">
      <c r="A56" t="s">
        <v>30</v>
      </c>
      <c r="B56" t="n">
        <v>0.94</v>
      </c>
      <c r="C56" t="n">
        <v>0.93</v>
      </c>
      <c r="D56" t="n">
        <v>1</v>
      </c>
      <c r="E56" t="n">
        <v>-5.5</v>
      </c>
      <c r="F56" t="n">
        <v>-0.75</v>
      </c>
      <c r="G56" t="n">
        <v>170</v>
      </c>
      <c r="H56" t="n">
        <v>12</v>
      </c>
      <c r="I56" t="s">
        <v>277</v>
      </c>
      <c r="J56" t="n">
        <v>0</v>
      </c>
      <c r="K56" t="n">
        <v>0</v>
      </c>
      <c r="L56" t="n">
        <v>0</v>
      </c>
      <c r="M56" t="n">
        <v>12</v>
      </c>
      <c r="N56" t="n">
        <v>0</v>
      </c>
      <c r="O56" t="n">
        <v>-0.25</v>
      </c>
      <c r="P56" t="n">
        <v>170</v>
      </c>
      <c r="Q56" t="n">
        <v>12</v>
      </c>
      <c r="R56" t="s">
        <v>276</v>
      </c>
      <c r="S56" t="s">
        <v>278</v>
      </c>
      <c r="T56" t="n">
        <v>0</v>
      </c>
    </row>
    <row r="57">
      <c r="A57" t="s">
        <v>30</v>
      </c>
      <c r="B57" t="n">
        <v>1.03</v>
      </c>
      <c r="C57" t="n">
        <v>0.94</v>
      </c>
      <c r="D57" t="n">
        <v>1.01</v>
      </c>
      <c r="E57" t="n">
        <v>-2.5</v>
      </c>
      <c r="F57" t="n">
        <v>0</v>
      </c>
      <c r="G57" t="n">
        <v>80</v>
      </c>
      <c r="H57" t="n">
        <v>12</v>
      </c>
      <c r="I57" t="s">
        <v>275</v>
      </c>
      <c r="J57" t="n">
        <v>0</v>
      </c>
      <c r="K57" t="n">
        <v>0</v>
      </c>
      <c r="L57" t="n">
        <v>0</v>
      </c>
      <c r="M57" t="n">
        <v>12</v>
      </c>
      <c r="N57" t="n">
        <v>0.25</v>
      </c>
      <c r="O57" t="n">
        <v>0</v>
      </c>
      <c r="P57" t="n">
        <v>68</v>
      </c>
      <c r="Q57" t="n">
        <v>12</v>
      </c>
      <c r="R57" t="s">
        <v>276</v>
      </c>
      <c r="S57" t="s">
        <v>277</v>
      </c>
      <c r="T57" t="n">
        <v>0.25</v>
      </c>
    </row>
    <row r="58">
      <c r="A58" t="s">
        <v>30</v>
      </c>
      <c r="B58" t="n">
        <v>1.01</v>
      </c>
      <c r="C58" t="n">
        <v>0.89</v>
      </c>
      <c r="D58" t="n">
        <v>1.02</v>
      </c>
      <c r="E58" t="n">
        <v>-2.75</v>
      </c>
      <c r="F58" t="n">
        <v>-0.5</v>
      </c>
      <c r="G58" t="n">
        <v>167</v>
      </c>
      <c r="H58" t="n">
        <v>12</v>
      </c>
      <c r="I58" t="s">
        <v>276</v>
      </c>
      <c r="J58" t="n">
        <v>0</v>
      </c>
      <c r="K58" t="n">
        <v>0</v>
      </c>
      <c r="L58" t="n">
        <v>0</v>
      </c>
      <c r="M58" t="n">
        <v>12</v>
      </c>
      <c r="N58" t="n">
        <v>0.25</v>
      </c>
      <c r="O58" t="n">
        <v>0</v>
      </c>
      <c r="P58" t="n">
        <v>24</v>
      </c>
      <c r="Q58" t="n">
        <v>12</v>
      </c>
      <c r="R58" t="s">
        <v>276</v>
      </c>
      <c r="S58" t="s">
        <v>287</v>
      </c>
      <c r="T58" t="n">
        <v>0.25</v>
      </c>
    </row>
    <row r="59">
      <c r="A59" t="s">
        <v>30</v>
      </c>
      <c r="B59" t="n">
        <v>1.04</v>
      </c>
      <c r="C59" t="n">
        <v>1.01</v>
      </c>
      <c r="D59" t="n">
        <v>1.01</v>
      </c>
      <c r="E59" t="n">
        <v>-4.25</v>
      </c>
      <c r="F59" t="n">
        <v>-1.5</v>
      </c>
      <c r="G59" t="n">
        <v>175</v>
      </c>
      <c r="H59" t="n">
        <v>12</v>
      </c>
      <c r="I59" t="s">
        <v>275</v>
      </c>
      <c r="J59" t="n">
        <v>0</v>
      </c>
      <c r="K59" t="n">
        <v>0</v>
      </c>
      <c r="L59" t="n">
        <v>0</v>
      </c>
      <c r="M59" t="n">
        <v>12</v>
      </c>
      <c r="N59" t="n">
        <v>0</v>
      </c>
      <c r="O59" t="n">
        <v>0</v>
      </c>
      <c r="P59" t="n">
        <v>99</v>
      </c>
      <c r="Q59" t="n">
        <v>12</v>
      </c>
      <c r="R59" t="s">
        <v>276</v>
      </c>
      <c r="S59" t="s">
        <v>276</v>
      </c>
      <c r="T59" t="n">
        <v>0</v>
      </c>
    </row>
    <row r="60">
      <c r="A60" t="s">
        <v>30</v>
      </c>
      <c r="B60" t="n">
        <v>1.12</v>
      </c>
      <c r="C60" t="n">
        <v>1.04</v>
      </c>
      <c r="D60" t="n">
        <v>1.09</v>
      </c>
      <c r="E60" t="n">
        <v>-5.25</v>
      </c>
      <c r="F60" t="n">
        <v>-0.75</v>
      </c>
      <c r="G60" t="n">
        <v>173</v>
      </c>
      <c r="H60" t="n">
        <v>12</v>
      </c>
      <c r="I60" t="s">
        <v>280</v>
      </c>
      <c r="J60" t="n">
        <v>0</v>
      </c>
      <c r="K60" t="n">
        <v>0</v>
      </c>
      <c r="L60" t="n">
        <v>0</v>
      </c>
      <c r="M60" t="n">
        <v>12</v>
      </c>
      <c r="N60" t="n">
        <v>1</v>
      </c>
      <c r="O60" t="n">
        <v>-0.25</v>
      </c>
      <c r="P60" t="n">
        <v>162</v>
      </c>
      <c r="Q60" t="n">
        <v>12</v>
      </c>
      <c r="R60" t="s">
        <v>280</v>
      </c>
      <c r="S60" t="s">
        <v>275</v>
      </c>
      <c r="T60" t="n">
        <v>0.75</v>
      </c>
    </row>
    <row r="61">
      <c r="A61" t="s">
        <v>30</v>
      </c>
      <c r="B61" t="n">
        <v>1.11</v>
      </c>
      <c r="C61" t="n">
        <v>1.14</v>
      </c>
      <c r="D61" t="n">
        <v>1.12</v>
      </c>
      <c r="E61" t="n">
        <v>-3.25</v>
      </c>
      <c r="F61" t="n">
        <v>-0.5</v>
      </c>
      <c r="G61" t="n">
        <v>11</v>
      </c>
      <c r="H61" t="n">
        <v>12</v>
      </c>
      <c r="I61" t="s">
        <v>280</v>
      </c>
      <c r="J61" t="n">
        <v>0</v>
      </c>
      <c r="K61" t="n">
        <v>0</v>
      </c>
      <c r="L61" t="n">
        <v>0</v>
      </c>
      <c r="M61" t="n">
        <v>12</v>
      </c>
      <c r="N61" t="n">
        <v>0</v>
      </c>
      <c r="O61" t="n">
        <v>-0.25</v>
      </c>
      <c r="P61" t="n">
        <v>2</v>
      </c>
      <c r="Q61" t="n">
        <v>12</v>
      </c>
      <c r="R61" t="s">
        <v>280</v>
      </c>
      <c r="S61" t="s">
        <v>284</v>
      </c>
      <c r="T61" t="n">
        <v>0</v>
      </c>
    </row>
    <row r="62">
      <c r="A62" t="s">
        <v>30</v>
      </c>
      <c r="B62" t="n">
        <v>1</v>
      </c>
      <c r="C62" t="n">
        <v>1</v>
      </c>
      <c r="D62" t="n">
        <v>1.05</v>
      </c>
      <c r="E62" t="n">
        <v>-1.75</v>
      </c>
      <c r="F62" t="n">
        <v>-0.5</v>
      </c>
      <c r="G62" t="n">
        <v>76</v>
      </c>
      <c r="H62" t="n">
        <v>12</v>
      </c>
      <c r="I62" t="s">
        <v>276</v>
      </c>
      <c r="J62" t="n">
        <v>0</v>
      </c>
      <c r="K62" t="n">
        <v>0</v>
      </c>
      <c r="L62" t="n">
        <v>0</v>
      </c>
      <c r="M62" t="n">
        <v>12</v>
      </c>
      <c r="N62" t="n">
        <v>0.25</v>
      </c>
      <c r="O62" t="n">
        <v>0</v>
      </c>
      <c r="P62" t="n">
        <v>34</v>
      </c>
      <c r="Q62" t="n">
        <v>12</v>
      </c>
      <c r="R62" t="s">
        <v>275</v>
      </c>
      <c r="S62" t="s">
        <v>276</v>
      </c>
      <c r="T62" t="n">
        <v>0.25</v>
      </c>
    </row>
    <row r="63">
      <c r="A63" t="s">
        <v>30</v>
      </c>
      <c r="B63" t="n">
        <v>1.1</v>
      </c>
      <c r="C63" t="n">
        <v>1.01</v>
      </c>
      <c r="D63" t="n">
        <v>1.05</v>
      </c>
      <c r="E63" t="n">
        <v>-3.75</v>
      </c>
      <c r="F63" t="n">
        <v>-1</v>
      </c>
      <c r="G63" t="n">
        <v>13</v>
      </c>
      <c r="H63" t="n">
        <v>12</v>
      </c>
      <c r="I63" t="s">
        <v>280</v>
      </c>
      <c r="J63" t="n">
        <v>0</v>
      </c>
      <c r="K63" t="n">
        <v>0</v>
      </c>
      <c r="L63" t="n">
        <v>0</v>
      </c>
      <c r="M63" t="n">
        <v>12</v>
      </c>
      <c r="N63" t="n">
        <v>0</v>
      </c>
      <c r="O63" t="n">
        <v>-0.25</v>
      </c>
      <c r="P63" t="n">
        <v>16</v>
      </c>
      <c r="Q63" t="n">
        <v>12</v>
      </c>
      <c r="R63" t="s">
        <v>275</v>
      </c>
      <c r="S63" t="s">
        <v>276</v>
      </c>
      <c r="T63" t="n">
        <v>0</v>
      </c>
    </row>
    <row r="64">
      <c r="A64" t="s">
        <v>30</v>
      </c>
      <c r="B64" t="n">
        <v>1</v>
      </c>
      <c r="C64" t="n">
        <v>0.99</v>
      </c>
      <c r="D64" t="n">
        <v>0.99</v>
      </c>
      <c r="E64" t="n">
        <v>-4.25</v>
      </c>
      <c r="F64" t="n">
        <v>0</v>
      </c>
      <c r="G64" t="n">
        <v>95</v>
      </c>
      <c r="H64" t="n">
        <v>12</v>
      </c>
      <c r="I64" t="s">
        <v>276</v>
      </c>
      <c r="J64" t="n">
        <v>0</v>
      </c>
      <c r="K64" t="n">
        <v>0</v>
      </c>
      <c r="L64" t="n">
        <v>0</v>
      </c>
      <c r="M64" t="n">
        <v>12</v>
      </c>
      <c r="N64" t="n">
        <v>0.25</v>
      </c>
      <c r="O64" t="n">
        <v>0</v>
      </c>
      <c r="P64" t="n">
        <v>114</v>
      </c>
      <c r="Q64" t="n">
        <v>12</v>
      </c>
      <c r="R64" t="s">
        <v>276</v>
      </c>
      <c r="S64" t="s">
        <v>276</v>
      </c>
      <c r="T64" t="n">
        <v>0.25</v>
      </c>
    </row>
    <row r="65">
      <c r="A65" t="s">
        <v>30</v>
      </c>
      <c r="B65" t="n">
        <v>1.07</v>
      </c>
      <c r="C65" t="n">
        <v>1.1</v>
      </c>
      <c r="D65" t="n">
        <v>1.05</v>
      </c>
      <c r="E65" t="n">
        <v>-4</v>
      </c>
      <c r="F65" t="n">
        <v>-1.25</v>
      </c>
      <c r="G65" t="n">
        <v>169</v>
      </c>
      <c r="H65" t="n">
        <v>12</v>
      </c>
      <c r="I65" t="s">
        <v>275</v>
      </c>
      <c r="J65" t="n">
        <v>0</v>
      </c>
      <c r="K65" t="n">
        <v>0</v>
      </c>
      <c r="L65" t="n">
        <v>0</v>
      </c>
      <c r="M65" t="n">
        <v>12</v>
      </c>
      <c r="N65" t="n">
        <v>0</v>
      </c>
      <c r="O65" t="n">
        <v>-0.25</v>
      </c>
      <c r="P65" t="n">
        <v>176</v>
      </c>
      <c r="Q65" t="n">
        <v>12</v>
      </c>
      <c r="R65" t="s">
        <v>275</v>
      </c>
      <c r="S65" t="s">
        <v>280</v>
      </c>
      <c r="T65" t="n">
        <v>0</v>
      </c>
    </row>
    <row r="66">
      <c r="A66" t="s">
        <v>30</v>
      </c>
      <c r="B66" t="n">
        <v>1.1</v>
      </c>
      <c r="C66" t="n">
        <v>0.97</v>
      </c>
      <c r="D66" t="n">
        <v>1.13</v>
      </c>
      <c r="E66" t="n">
        <v>-0.75</v>
      </c>
      <c r="F66" t="n">
        <v>-1.25</v>
      </c>
      <c r="G66" t="n">
        <v>22</v>
      </c>
      <c r="H66" t="n">
        <v>12</v>
      </c>
      <c r="I66" t="s">
        <v>280</v>
      </c>
      <c r="J66" t="n">
        <v>0</v>
      </c>
      <c r="K66" t="n">
        <v>0</v>
      </c>
      <c r="L66" t="n">
        <v>0</v>
      </c>
      <c r="M66" t="n">
        <v>12</v>
      </c>
      <c r="N66" t="n">
        <v>0.5</v>
      </c>
      <c r="O66" t="n">
        <v>-0.25</v>
      </c>
      <c r="P66" t="n">
        <v>33</v>
      </c>
      <c r="Q66" t="n">
        <v>12</v>
      </c>
      <c r="R66" t="s">
        <v>284</v>
      </c>
      <c r="S66" t="s">
        <v>277</v>
      </c>
      <c r="T66" t="n">
        <v>0.25</v>
      </c>
    </row>
    <row r="67">
      <c r="A67" t="s">
        <v>30</v>
      </c>
      <c r="B67" t="n">
        <v>0.94</v>
      </c>
      <c r="C67" t="n">
        <v>0.96</v>
      </c>
      <c r="D67" t="n">
        <v>0.95</v>
      </c>
      <c r="E67" t="n">
        <v>-3</v>
      </c>
      <c r="F67" t="n">
        <v>-2.75</v>
      </c>
      <c r="G67" t="n">
        <v>0</v>
      </c>
      <c r="H67" t="n">
        <v>12</v>
      </c>
      <c r="I67" t="s">
        <v>277</v>
      </c>
      <c r="J67" t="n">
        <v>0</v>
      </c>
      <c r="K67" t="n">
        <v>0</v>
      </c>
      <c r="L67" t="n">
        <v>0</v>
      </c>
      <c r="M67" t="n">
        <v>12</v>
      </c>
      <c r="N67" t="n">
        <v>0</v>
      </c>
      <c r="O67" t="n">
        <v>-0.5</v>
      </c>
      <c r="P67" t="n">
        <v>155</v>
      </c>
      <c r="Q67" t="n">
        <v>12</v>
      </c>
      <c r="R67" t="s">
        <v>277</v>
      </c>
      <c r="S67" t="s">
        <v>277</v>
      </c>
      <c r="T67" t="n">
        <v>-0.25</v>
      </c>
    </row>
    <row r="68">
      <c r="A68" t="s">
        <v>30</v>
      </c>
      <c r="B68" t="n">
        <v>1.02</v>
      </c>
      <c r="C68" t="n">
        <v>1.04</v>
      </c>
      <c r="D68" t="n">
        <v>1.03</v>
      </c>
      <c r="E68" t="n">
        <v>-2.25</v>
      </c>
      <c r="F68" t="n">
        <v>-0.5</v>
      </c>
      <c r="G68" t="n">
        <v>86</v>
      </c>
      <c r="H68" t="n">
        <v>12</v>
      </c>
      <c r="I68" t="s">
        <v>276</v>
      </c>
      <c r="J68" t="n">
        <v>0</v>
      </c>
      <c r="K68" t="n">
        <v>0</v>
      </c>
      <c r="L68" t="n">
        <v>0</v>
      </c>
      <c r="M68" t="n">
        <v>12</v>
      </c>
      <c r="N68" t="n">
        <v>0</v>
      </c>
      <c r="O68" t="n">
        <v>-0.25</v>
      </c>
      <c r="P68" t="n">
        <v>118</v>
      </c>
      <c r="Q68" t="n">
        <v>12</v>
      </c>
      <c r="R68" t="s">
        <v>275</v>
      </c>
      <c r="S68" t="s">
        <v>275</v>
      </c>
      <c r="T68" t="n">
        <v>0</v>
      </c>
    </row>
    <row r="69">
      <c r="A69" t="s">
        <v>30</v>
      </c>
      <c r="B69" t="n">
        <v>0.98</v>
      </c>
      <c r="C69" t="n">
        <v>0.9</v>
      </c>
      <c r="D69" t="n">
        <v>0.95</v>
      </c>
      <c r="E69" t="n">
        <v>-5.5</v>
      </c>
      <c r="F69" t="n">
        <v>-0.25</v>
      </c>
      <c r="G69" t="n">
        <v>157</v>
      </c>
      <c r="H69" t="n">
        <v>12</v>
      </c>
      <c r="I69" t="s">
        <v>276</v>
      </c>
      <c r="J69" t="n">
        <v>0</v>
      </c>
      <c r="K69" t="n">
        <v>0</v>
      </c>
      <c r="L69" t="n">
        <v>0</v>
      </c>
      <c r="M69" t="n">
        <v>12</v>
      </c>
      <c r="N69" t="n">
        <v>0.25</v>
      </c>
      <c r="O69" t="n">
        <v>0</v>
      </c>
      <c r="P69" t="n">
        <v>156</v>
      </c>
      <c r="Q69" t="n">
        <v>12</v>
      </c>
      <c r="R69" t="s">
        <v>277</v>
      </c>
      <c r="S69" t="s">
        <v>278</v>
      </c>
      <c r="T69" t="n">
        <v>0.25</v>
      </c>
    </row>
    <row r="70">
      <c r="A70" t="s">
        <v>30</v>
      </c>
      <c r="B70" t="n">
        <v>1</v>
      </c>
      <c r="C70" t="n">
        <v>1.02</v>
      </c>
      <c r="D70" t="n">
        <v>1.02</v>
      </c>
      <c r="E70" t="n">
        <v>-4</v>
      </c>
      <c r="F70" t="n">
        <v>-0.25</v>
      </c>
      <c r="G70" t="n">
        <v>85</v>
      </c>
      <c r="H70" t="n">
        <v>12</v>
      </c>
      <c r="I70" t="s">
        <v>276</v>
      </c>
      <c r="J70" t="n">
        <v>0</v>
      </c>
      <c r="K70" t="n">
        <v>0</v>
      </c>
      <c r="L70" t="n">
        <v>0</v>
      </c>
      <c r="M70" t="n">
        <v>12</v>
      </c>
      <c r="N70" t="n">
        <v>-0.5</v>
      </c>
      <c r="O70" t="n">
        <v>0</v>
      </c>
      <c r="P70" t="n">
        <v>63</v>
      </c>
      <c r="Q70" t="n">
        <v>12</v>
      </c>
      <c r="R70" t="s">
        <v>276</v>
      </c>
      <c r="S70" t="s">
        <v>276</v>
      </c>
      <c r="T70" t="n">
        <v>-0.5</v>
      </c>
    </row>
    <row r="71">
      <c r="A71" t="s">
        <v>30</v>
      </c>
      <c r="B71" t="n">
        <v>0.98</v>
      </c>
      <c r="C71" t="n">
        <v>1.01</v>
      </c>
      <c r="D71" t="n">
        <v>0.99</v>
      </c>
      <c r="E71" t="n">
        <v>-4</v>
      </c>
      <c r="F71" t="n">
        <v>-0.25</v>
      </c>
      <c r="G71" t="n">
        <v>170</v>
      </c>
      <c r="H71" t="n">
        <v>12</v>
      </c>
      <c r="I71" t="s">
        <v>276</v>
      </c>
      <c r="J71" t="n">
        <v>0</v>
      </c>
      <c r="K71" t="n">
        <v>0</v>
      </c>
      <c r="L71" t="n">
        <v>0</v>
      </c>
      <c r="M71" t="n">
        <v>12</v>
      </c>
      <c r="N71" t="n">
        <v>0</v>
      </c>
      <c r="O71" t="n">
        <v>0</v>
      </c>
      <c r="P71" t="n">
        <v>157</v>
      </c>
      <c r="Q71" t="n">
        <v>12</v>
      </c>
      <c r="R71" t="s">
        <v>276</v>
      </c>
      <c r="S71" t="s">
        <v>276</v>
      </c>
      <c r="T71" t="n">
        <v>0</v>
      </c>
    </row>
    <row r="72">
      <c r="A72" t="s">
        <v>30</v>
      </c>
      <c r="B72" t="n">
        <v>0.88</v>
      </c>
      <c r="C72" t="n">
        <v>0.84</v>
      </c>
      <c r="D72" t="n">
        <v>0.86</v>
      </c>
      <c r="E72" t="n">
        <v>-0.5</v>
      </c>
      <c r="F72" t="n">
        <v>-0.5</v>
      </c>
      <c r="G72" t="n">
        <v>18</v>
      </c>
      <c r="H72" t="n">
        <v>12</v>
      </c>
      <c r="I72" t="s">
        <v>287</v>
      </c>
      <c r="J72" t="n">
        <v>0</v>
      </c>
      <c r="K72" t="n">
        <v>0</v>
      </c>
      <c r="L72" t="n">
        <v>0</v>
      </c>
      <c r="M72" t="n">
        <v>12</v>
      </c>
      <c r="N72" t="n">
        <v>0</v>
      </c>
      <c r="O72" t="n">
        <v>-0.5</v>
      </c>
      <c r="P72" t="n">
        <v>43</v>
      </c>
      <c r="Q72" t="n">
        <v>12</v>
      </c>
      <c r="R72" t="s">
        <v>287</v>
      </c>
      <c r="S72" t="s">
        <v>285</v>
      </c>
      <c r="T72" t="n">
        <v>-0.25</v>
      </c>
    </row>
    <row r="73">
      <c r="A73" t="s">
        <v>30</v>
      </c>
      <c r="B73" t="n">
        <v>1.11</v>
      </c>
      <c r="C73" t="n">
        <v>1.03</v>
      </c>
      <c r="D73" t="n">
        <v>1.06</v>
      </c>
      <c r="E73" t="n">
        <v>-5.25</v>
      </c>
      <c r="F73" t="n">
        <v>-2.25</v>
      </c>
      <c r="G73" t="n">
        <v>82</v>
      </c>
      <c r="H73" t="n">
        <v>12</v>
      </c>
      <c r="I73" t="s">
        <v>280</v>
      </c>
      <c r="J73" t="n">
        <v>0</v>
      </c>
      <c r="K73" t="n">
        <v>0</v>
      </c>
      <c r="L73" t="n">
        <v>0</v>
      </c>
      <c r="M73" t="n">
        <v>12</v>
      </c>
      <c r="N73" t="n">
        <v>0</v>
      </c>
      <c r="O73" t="n">
        <v>-0.5</v>
      </c>
      <c r="P73" t="n">
        <v>54</v>
      </c>
      <c r="Q73" t="n">
        <v>12</v>
      </c>
      <c r="R73" t="s">
        <v>275</v>
      </c>
      <c r="S73" t="s">
        <v>275</v>
      </c>
      <c r="T73" t="n">
        <v>-0.25</v>
      </c>
    </row>
    <row r="74">
      <c r="A74" t="s">
        <v>30</v>
      </c>
      <c r="B74" t="n">
        <v>0.93</v>
      </c>
      <c r="C74" t="n">
        <v>0.95</v>
      </c>
      <c r="D74" t="n">
        <v>0.92</v>
      </c>
      <c r="E74" t="n">
        <v>-2</v>
      </c>
      <c r="F74" t="n">
        <v>-0.25</v>
      </c>
      <c r="G74" t="n">
        <v>40</v>
      </c>
      <c r="H74" t="n">
        <v>12</v>
      </c>
      <c r="I74" t="s">
        <v>278</v>
      </c>
      <c r="J74" t="n">
        <v>0</v>
      </c>
      <c r="K74" t="n">
        <v>0</v>
      </c>
      <c r="L74" t="n">
        <v>0</v>
      </c>
      <c r="M74" t="n">
        <v>12</v>
      </c>
      <c r="N74" t="n">
        <v>-0.25</v>
      </c>
      <c r="O74" t="n">
        <v>0</v>
      </c>
      <c r="P74" t="n">
        <v>17</v>
      </c>
      <c r="Q74" t="n">
        <v>12</v>
      </c>
      <c r="R74" t="s">
        <v>278</v>
      </c>
      <c r="S74" t="s">
        <v>277</v>
      </c>
      <c r="T74" t="n">
        <v>-0.25</v>
      </c>
    </row>
    <row r="75">
      <c r="A75" t="s">
        <v>30</v>
      </c>
      <c r="B75" t="n">
        <v>1.23</v>
      </c>
      <c r="C75" t="n">
        <v>1.18</v>
      </c>
      <c r="D75" t="n">
        <v>1.18</v>
      </c>
      <c r="E75" t="n">
        <v>-0.75</v>
      </c>
      <c r="F75" t="n">
        <v>0</v>
      </c>
      <c r="G75" t="n">
        <v>169</v>
      </c>
      <c r="H75" t="n">
        <v>12</v>
      </c>
      <c r="I75" t="s">
        <v>281</v>
      </c>
      <c r="J75" t="n">
        <v>0</v>
      </c>
      <c r="K75" t="n">
        <v>0</v>
      </c>
      <c r="L75" t="n">
        <v>0</v>
      </c>
      <c r="M75" t="n">
        <v>12</v>
      </c>
      <c r="N75" t="n">
        <v>-0.25</v>
      </c>
      <c r="O75" t="n">
        <v>0</v>
      </c>
      <c r="P75" t="n">
        <v>145</v>
      </c>
      <c r="Q75" t="n">
        <v>12</v>
      </c>
      <c r="R75" t="s">
        <v>281</v>
      </c>
      <c r="S75" t="s">
        <v>281</v>
      </c>
      <c r="T75" t="n">
        <v>-0.25</v>
      </c>
    </row>
    <row r="76">
      <c r="A76" t="s">
        <v>30</v>
      </c>
      <c r="B76" t="n">
        <v>1.05</v>
      </c>
      <c r="C76" t="n">
        <v>0.95</v>
      </c>
      <c r="D76" t="n">
        <v>0.97</v>
      </c>
      <c r="E76" t="n">
        <v>-2.25</v>
      </c>
      <c r="F76" t="n">
        <v>-0.5</v>
      </c>
      <c r="G76" t="n">
        <v>177</v>
      </c>
      <c r="H76" t="n">
        <v>12</v>
      </c>
      <c r="I76" t="s">
        <v>275</v>
      </c>
      <c r="J76" t="n">
        <v>0</v>
      </c>
      <c r="K76" t="n">
        <v>0</v>
      </c>
      <c r="L76" t="n">
        <v>0</v>
      </c>
      <c r="M76" t="n">
        <v>12</v>
      </c>
      <c r="N76" t="n">
        <v>0.5</v>
      </c>
      <c r="O76" t="n">
        <v>-0.25</v>
      </c>
      <c r="P76" t="n">
        <v>9</v>
      </c>
      <c r="Q76" t="n">
        <v>12</v>
      </c>
      <c r="R76" t="s">
        <v>277</v>
      </c>
      <c r="S76" t="s">
        <v>277</v>
      </c>
      <c r="T76" t="n">
        <v>0.25</v>
      </c>
    </row>
    <row r="77">
      <c r="A77" t="s">
        <v>30</v>
      </c>
      <c r="B77" t="n">
        <v>1.07</v>
      </c>
      <c r="C77" t="n">
        <v>1</v>
      </c>
      <c r="D77" t="n">
        <v>1.03</v>
      </c>
      <c r="E77" t="n">
        <v>-0.5</v>
      </c>
      <c r="F77" t="n">
        <v>-0.25</v>
      </c>
      <c r="G77" t="n">
        <v>17</v>
      </c>
      <c r="H77" t="n">
        <v>12</v>
      </c>
      <c r="I77" t="s">
        <v>275</v>
      </c>
      <c r="J77" t="n">
        <v>0</v>
      </c>
      <c r="K77" t="n">
        <v>0</v>
      </c>
      <c r="L77" t="n">
        <v>0</v>
      </c>
      <c r="M77" t="n">
        <v>12</v>
      </c>
      <c r="N77" t="n">
        <v>0.5</v>
      </c>
      <c r="O77" t="n">
        <v>-0.5</v>
      </c>
      <c r="P77" t="n">
        <v>178</v>
      </c>
      <c r="Q77" t="n">
        <v>12</v>
      </c>
      <c r="R77" t="s">
        <v>275</v>
      </c>
      <c r="S77" t="s">
        <v>276</v>
      </c>
      <c r="T77" t="n">
        <v>0.25</v>
      </c>
    </row>
    <row r="78">
      <c r="A78" t="s">
        <v>30</v>
      </c>
      <c r="B78" t="n">
        <v>1.03</v>
      </c>
      <c r="C78" t="n">
        <v>0.98</v>
      </c>
      <c r="D78" t="n">
        <v>1.05</v>
      </c>
      <c r="E78" t="n">
        <v>-2</v>
      </c>
      <c r="F78" t="n">
        <v>-1.5</v>
      </c>
      <c r="G78" t="n">
        <v>16</v>
      </c>
      <c r="H78" t="n">
        <v>12</v>
      </c>
      <c r="I78" t="s">
        <v>275</v>
      </c>
      <c r="J78" t="n">
        <v>0</v>
      </c>
      <c r="K78" t="n">
        <v>0</v>
      </c>
      <c r="L78" t="n">
        <v>0</v>
      </c>
      <c r="M78" t="n">
        <v>12</v>
      </c>
      <c r="N78" t="n">
        <v>0</v>
      </c>
      <c r="O78" t="n">
        <v>0</v>
      </c>
      <c r="P78" t="n">
        <v>7</v>
      </c>
      <c r="Q78" t="n">
        <v>12</v>
      </c>
      <c r="R78" t="s">
        <v>275</v>
      </c>
      <c r="S78" t="s">
        <v>276</v>
      </c>
      <c r="T78" t="n">
        <v>0</v>
      </c>
    </row>
    <row r="79">
      <c r="A79" t="s">
        <v>30</v>
      </c>
      <c r="B79" t="n">
        <v>1.02</v>
      </c>
      <c r="C79" t="n">
        <v>1.1</v>
      </c>
      <c r="D79" t="n">
        <v>1.06</v>
      </c>
      <c r="E79" t="n">
        <v>-7</v>
      </c>
      <c r="F79" t="n">
        <v>-0.25</v>
      </c>
      <c r="G79" t="n">
        <v>5</v>
      </c>
      <c r="H79" t="n">
        <v>12</v>
      </c>
      <c r="I79" t="s">
        <v>276</v>
      </c>
      <c r="J79" t="n">
        <v>0</v>
      </c>
      <c r="K79" t="n">
        <v>0</v>
      </c>
      <c r="L79" t="n">
        <v>0</v>
      </c>
      <c r="M79" t="n">
        <v>12</v>
      </c>
      <c r="N79" t="n">
        <v>0</v>
      </c>
      <c r="O79" t="n">
        <v>0</v>
      </c>
      <c r="P79" t="n">
        <v>149</v>
      </c>
      <c r="Q79" t="n">
        <v>12</v>
      </c>
      <c r="R79" t="s">
        <v>275</v>
      </c>
      <c r="S79" t="s">
        <v>280</v>
      </c>
      <c r="T79" t="n">
        <v>0</v>
      </c>
    </row>
    <row r="80">
      <c r="A80" t="s">
        <v>30</v>
      </c>
      <c r="B80" t="n">
        <v>1.05</v>
      </c>
      <c r="C80" t="n">
        <v>0.97</v>
      </c>
      <c r="D80" t="n">
        <v>1.01</v>
      </c>
      <c r="E80" t="n">
        <v>-4.25</v>
      </c>
      <c r="F80" t="n">
        <v>-0.5</v>
      </c>
      <c r="G80" t="n">
        <v>9</v>
      </c>
      <c r="H80" t="n">
        <v>12</v>
      </c>
      <c r="I80" t="s">
        <v>275</v>
      </c>
      <c r="J80" t="n">
        <v>0</v>
      </c>
      <c r="K80" t="n">
        <v>0</v>
      </c>
      <c r="L80" t="n">
        <v>0</v>
      </c>
      <c r="M80" t="n">
        <v>12</v>
      </c>
      <c r="N80" t="n">
        <v>0.5</v>
      </c>
      <c r="O80" t="n">
        <v>-0.25</v>
      </c>
      <c r="P80" t="n">
        <v>15</v>
      </c>
      <c r="Q80" t="n">
        <v>12</v>
      </c>
      <c r="R80" t="s">
        <v>276</v>
      </c>
      <c r="S80" t="s">
        <v>277</v>
      </c>
      <c r="T80" t="n">
        <v>0.25</v>
      </c>
    </row>
    <row r="81">
      <c r="A81" t="s">
        <v>30</v>
      </c>
      <c r="B81" t="n">
        <v>0.96</v>
      </c>
      <c r="C81" t="n">
        <v>0.95</v>
      </c>
      <c r="D81" t="n">
        <v>0.96</v>
      </c>
      <c r="E81" t="n">
        <v>-2</v>
      </c>
      <c r="F81" t="n">
        <v>-0.5</v>
      </c>
      <c r="G81" t="n">
        <v>98</v>
      </c>
      <c r="H81" t="n">
        <v>12</v>
      </c>
      <c r="I81" t="s">
        <v>277</v>
      </c>
      <c r="J81" t="n">
        <v>0</v>
      </c>
      <c r="K81" t="n">
        <v>0</v>
      </c>
      <c r="L81" t="n">
        <v>0</v>
      </c>
      <c r="M81" t="n">
        <v>12</v>
      </c>
      <c r="N81" t="n">
        <v>0</v>
      </c>
      <c r="O81" t="n">
        <v>-0.25</v>
      </c>
      <c r="P81" t="n">
        <v>77</v>
      </c>
      <c r="Q81" t="n">
        <v>12</v>
      </c>
      <c r="R81" t="s">
        <v>277</v>
      </c>
      <c r="S81" t="s">
        <v>277</v>
      </c>
      <c r="T81" t="n">
        <v>-0.25</v>
      </c>
    </row>
    <row r="82">
      <c r="A82" t="s">
        <v>30</v>
      </c>
      <c r="B82" t="n">
        <v>1.02</v>
      </c>
      <c r="C82" t="n">
        <v>1.07</v>
      </c>
      <c r="D82" t="n">
        <v>1.08</v>
      </c>
      <c r="E82" t="n">
        <v>-3.25</v>
      </c>
      <c r="F82" t="n">
        <v>-1.25</v>
      </c>
      <c r="G82" t="n">
        <v>162</v>
      </c>
      <c r="H82" t="n">
        <v>12</v>
      </c>
      <c r="I82" t="s">
        <v>276</v>
      </c>
      <c r="J82" t="n">
        <v>0</v>
      </c>
      <c r="K82" t="n">
        <v>0</v>
      </c>
      <c r="L82" t="n">
        <v>0</v>
      </c>
      <c r="M82" t="n">
        <v>12</v>
      </c>
      <c r="N82" t="n">
        <v>0.5</v>
      </c>
      <c r="O82" t="n">
        <v>-0.25</v>
      </c>
      <c r="P82" t="n">
        <v>148</v>
      </c>
      <c r="Q82" t="n">
        <v>12</v>
      </c>
      <c r="R82" t="s">
        <v>280</v>
      </c>
      <c r="S82" t="s">
        <v>275</v>
      </c>
      <c r="T82" t="n">
        <v>0.25</v>
      </c>
    </row>
    <row r="83">
      <c r="A83" t="s">
        <v>30</v>
      </c>
      <c r="B83" t="n">
        <v>1.14</v>
      </c>
      <c r="C83" t="n">
        <v>1.15</v>
      </c>
      <c r="D83" t="n">
        <v>1.13</v>
      </c>
      <c r="E83" t="n">
        <v>-4.75</v>
      </c>
      <c r="F83" t="n">
        <v>-0.5</v>
      </c>
      <c r="G83" t="n">
        <v>95</v>
      </c>
      <c r="H83" t="n">
        <v>12</v>
      </c>
      <c r="I83" t="s">
        <v>284</v>
      </c>
      <c r="J83" t="n">
        <v>0</v>
      </c>
      <c r="K83" t="n">
        <v>0</v>
      </c>
      <c r="L83" t="n">
        <v>0</v>
      </c>
      <c r="M83" t="n">
        <v>12</v>
      </c>
      <c r="N83" t="n">
        <v>0</v>
      </c>
      <c r="O83" t="n">
        <v>-0.25</v>
      </c>
      <c r="P83" t="n">
        <v>95</v>
      </c>
      <c r="Q83" t="n">
        <v>12</v>
      </c>
      <c r="R83" t="s">
        <v>284</v>
      </c>
      <c r="S83" t="s">
        <v>284</v>
      </c>
      <c r="T83" t="n">
        <v>0</v>
      </c>
    </row>
    <row r="84">
      <c r="A84" t="s">
        <v>30</v>
      </c>
      <c r="B84" t="n">
        <v>1.15</v>
      </c>
      <c r="C84" t="n">
        <v>1.25</v>
      </c>
      <c r="D84" t="n">
        <v>1.16</v>
      </c>
      <c r="E84" t="n">
        <v>-4.75</v>
      </c>
      <c r="F84" t="n">
        <v>-0.5</v>
      </c>
      <c r="G84" t="n">
        <v>82</v>
      </c>
      <c r="H84" t="n">
        <v>12</v>
      </c>
      <c r="I84" t="s">
        <v>284</v>
      </c>
      <c r="J84" t="n">
        <v>0</v>
      </c>
      <c r="K84" t="n">
        <v>0</v>
      </c>
      <c r="L84" t="n">
        <v>0</v>
      </c>
      <c r="M84" t="n">
        <v>12</v>
      </c>
      <c r="N84" t="n">
        <v>0</v>
      </c>
      <c r="O84" t="n">
        <v>-0.25</v>
      </c>
      <c r="P84" t="n">
        <v>61</v>
      </c>
      <c r="Q84" t="n">
        <v>12</v>
      </c>
      <c r="R84" t="s">
        <v>284</v>
      </c>
      <c r="S84" t="s">
        <v>283</v>
      </c>
      <c r="T84" t="n">
        <v>0</v>
      </c>
    </row>
    <row r="85">
      <c r="A85" t="s">
        <v>30</v>
      </c>
      <c r="B85" t="n">
        <v>1.05</v>
      </c>
      <c r="C85" t="n">
        <v>0.92</v>
      </c>
      <c r="D85" t="n">
        <v>1.04</v>
      </c>
      <c r="E85" t="n">
        <v>-3.5</v>
      </c>
      <c r="F85" t="n">
        <v>-1.25</v>
      </c>
      <c r="G85" t="n">
        <v>102</v>
      </c>
      <c r="H85" t="n">
        <v>12</v>
      </c>
      <c r="I85" t="s">
        <v>275</v>
      </c>
      <c r="J85" t="n">
        <v>0</v>
      </c>
      <c r="K85" t="n">
        <v>0</v>
      </c>
      <c r="L85" t="n">
        <v>0</v>
      </c>
      <c r="M85" t="n">
        <v>12</v>
      </c>
      <c r="N85" t="n">
        <v>0</v>
      </c>
      <c r="O85" t="n">
        <v>-0.25</v>
      </c>
      <c r="P85" t="n">
        <v>93</v>
      </c>
      <c r="Q85" t="n">
        <v>12</v>
      </c>
      <c r="R85" t="s">
        <v>275</v>
      </c>
      <c r="S85" t="s">
        <v>278</v>
      </c>
      <c r="T85" t="n">
        <v>0</v>
      </c>
    </row>
    <row r="86">
      <c r="A86" t="s">
        <v>30</v>
      </c>
      <c r="B86" t="n">
        <v>1.03</v>
      </c>
      <c r="C86" t="n">
        <v>1.08</v>
      </c>
      <c r="D86" t="n">
        <v>1.06</v>
      </c>
      <c r="E86" t="n">
        <v>-1.25</v>
      </c>
      <c r="F86" t="n">
        <v>-0.5</v>
      </c>
      <c r="G86" t="n">
        <v>71</v>
      </c>
      <c r="H86" t="n">
        <v>12</v>
      </c>
      <c r="I86" t="s">
        <v>275</v>
      </c>
      <c r="J86" t="n">
        <v>0</v>
      </c>
      <c r="K86" t="n">
        <v>0</v>
      </c>
      <c r="L86" t="n">
        <v>0</v>
      </c>
      <c r="M86" t="n">
        <v>12</v>
      </c>
      <c r="N86" t="n">
        <v>0.25</v>
      </c>
      <c r="O86" t="n">
        <v>-0.5</v>
      </c>
      <c r="P86" t="n">
        <v>96</v>
      </c>
      <c r="Q86" t="n">
        <v>12</v>
      </c>
      <c r="R86" t="s">
        <v>275</v>
      </c>
      <c r="S86" t="s">
        <v>280</v>
      </c>
      <c r="T86" t="n">
        <v>0</v>
      </c>
    </row>
    <row r="87">
      <c r="A87" t="s">
        <v>30</v>
      </c>
      <c r="B87" t="n">
        <v>1.11</v>
      </c>
      <c r="C87" t="n">
        <v>1.17</v>
      </c>
      <c r="D87" t="n">
        <v>1.14</v>
      </c>
      <c r="E87" t="n">
        <v>-4</v>
      </c>
      <c r="F87" t="n">
        <v>0</v>
      </c>
      <c r="G87" t="n">
        <v>80</v>
      </c>
      <c r="H87" t="n">
        <v>12</v>
      </c>
      <c r="I87" t="s">
        <v>280</v>
      </c>
      <c r="J87" t="n">
        <v>0</v>
      </c>
      <c r="K87" t="n">
        <v>0</v>
      </c>
      <c r="L87" t="n">
        <v>0</v>
      </c>
      <c r="M87" t="n">
        <v>12</v>
      </c>
      <c r="N87" t="n">
        <v>0</v>
      </c>
      <c r="O87" t="n">
        <v>-0.25</v>
      </c>
      <c r="P87" t="n">
        <v>130</v>
      </c>
      <c r="Q87" t="n">
        <v>12</v>
      </c>
      <c r="R87" t="s">
        <v>284</v>
      </c>
      <c r="S87" t="s">
        <v>284</v>
      </c>
      <c r="T87" t="n">
        <v>-0.25</v>
      </c>
    </row>
    <row r="88">
      <c r="A88" t="s">
        <v>30</v>
      </c>
      <c r="B88" t="n">
        <v>0.99</v>
      </c>
      <c r="C88" t="n">
        <v>1.03</v>
      </c>
      <c r="D88" t="n">
        <v>1.03</v>
      </c>
      <c r="E88" t="n">
        <v>-6</v>
      </c>
      <c r="F88" t="n">
        <v>-1.25</v>
      </c>
      <c r="G88" t="n">
        <v>165</v>
      </c>
      <c r="H88" t="n">
        <v>12</v>
      </c>
      <c r="I88" t="s">
        <v>276</v>
      </c>
      <c r="J88" t="n">
        <v>0</v>
      </c>
      <c r="K88" t="n">
        <v>0</v>
      </c>
      <c r="L88" t="n">
        <v>0</v>
      </c>
      <c r="M88" t="n">
        <v>12</v>
      </c>
      <c r="N88" t="n">
        <v>-0.75</v>
      </c>
      <c r="O88" t="n">
        <v>0</v>
      </c>
      <c r="P88" t="n">
        <v>14</v>
      </c>
      <c r="Q88" t="n">
        <v>12</v>
      </c>
      <c r="R88" t="s">
        <v>275</v>
      </c>
      <c r="S88" t="s">
        <v>275</v>
      </c>
      <c r="T88" t="n">
        <v>-0.75</v>
      </c>
    </row>
    <row r="89">
      <c r="A89" t="s">
        <v>30</v>
      </c>
      <c r="B89" t="n">
        <v>0.94</v>
      </c>
      <c r="C89" t="n">
        <v>0.96</v>
      </c>
      <c r="D89" t="n">
        <v>0.93</v>
      </c>
      <c r="E89" t="n">
        <v>-3.75</v>
      </c>
      <c r="F89" t="n">
        <v>0</v>
      </c>
      <c r="G89" t="n">
        <v>149</v>
      </c>
      <c r="H89" t="n">
        <v>12</v>
      </c>
      <c r="I89" t="s">
        <v>277</v>
      </c>
      <c r="J89" t="n">
        <v>0</v>
      </c>
      <c r="K89" t="n">
        <v>0</v>
      </c>
      <c r="L89" t="n">
        <v>0</v>
      </c>
      <c r="M89" t="n">
        <v>12</v>
      </c>
      <c r="N89" t="n">
        <v>0</v>
      </c>
      <c r="O89" t="n">
        <v>-0.5</v>
      </c>
      <c r="P89" t="n">
        <v>143</v>
      </c>
      <c r="Q89" t="n">
        <v>12</v>
      </c>
      <c r="R89" t="s">
        <v>278</v>
      </c>
      <c r="S89" t="s">
        <v>277</v>
      </c>
      <c r="T89" t="n">
        <v>-0.25</v>
      </c>
    </row>
    <row r="90">
      <c r="A90" t="s">
        <v>30</v>
      </c>
      <c r="B90" t="n">
        <v>0.96</v>
      </c>
      <c r="C90" t="n">
        <v>1.08</v>
      </c>
      <c r="D90" t="n">
        <v>0.97</v>
      </c>
      <c r="E90" t="n">
        <v>-3.5</v>
      </c>
      <c r="F90" t="n">
        <v>-0.5</v>
      </c>
      <c r="G90" t="n">
        <v>2</v>
      </c>
      <c r="H90" t="n">
        <v>12</v>
      </c>
      <c r="I90" t="s">
        <v>277</v>
      </c>
      <c r="J90" t="n">
        <v>0</v>
      </c>
      <c r="K90" t="n">
        <v>0</v>
      </c>
      <c r="L90" t="n">
        <v>0</v>
      </c>
      <c r="M90" t="n">
        <v>12</v>
      </c>
      <c r="N90" t="n">
        <v>0.5</v>
      </c>
      <c r="O90" t="n">
        <v>-0.25</v>
      </c>
      <c r="P90" t="n">
        <v>175</v>
      </c>
      <c r="Q90" t="n">
        <v>12</v>
      </c>
      <c r="R90" t="s">
        <v>277</v>
      </c>
      <c r="S90" t="s">
        <v>280</v>
      </c>
      <c r="T90" t="n">
        <v>0.25</v>
      </c>
    </row>
    <row r="91">
      <c r="A91" t="s">
        <v>30</v>
      </c>
      <c r="B91" t="n">
        <v>1.07</v>
      </c>
      <c r="C91" t="n">
        <v>1.09</v>
      </c>
      <c r="D91" t="n">
        <v>1.17</v>
      </c>
      <c r="E91" t="n">
        <v>-2.75</v>
      </c>
      <c r="F91" t="n">
        <v>-1</v>
      </c>
      <c r="G91" t="n">
        <v>152</v>
      </c>
      <c r="H91" t="n">
        <v>12</v>
      </c>
      <c r="I91" t="s">
        <v>275</v>
      </c>
      <c r="J91" t="n">
        <v>0</v>
      </c>
      <c r="K91" t="n">
        <v>0</v>
      </c>
      <c r="L91" t="n">
        <v>0</v>
      </c>
      <c r="M91" t="n">
        <v>12</v>
      </c>
      <c r="N91" t="n">
        <v>0.25</v>
      </c>
      <c r="O91" t="n">
        <v>0</v>
      </c>
      <c r="P91" t="n">
        <v>156</v>
      </c>
      <c r="Q91" t="n">
        <v>12</v>
      </c>
      <c r="R91" t="s">
        <v>284</v>
      </c>
      <c r="S91" t="s">
        <v>280</v>
      </c>
      <c r="T91" t="n">
        <v>0.25</v>
      </c>
    </row>
    <row r="92">
      <c r="A92" t="s">
        <v>30</v>
      </c>
      <c r="B92" t="n">
        <v>0.93</v>
      </c>
      <c r="C92" t="n">
        <v>0.9</v>
      </c>
      <c r="D92" t="n">
        <v>0.92</v>
      </c>
      <c r="E92" t="n">
        <v>-2.5</v>
      </c>
      <c r="F92" t="n">
        <v>-1</v>
      </c>
      <c r="G92" t="n">
        <v>24</v>
      </c>
      <c r="H92" t="n">
        <v>12</v>
      </c>
      <c r="I92" t="s">
        <v>278</v>
      </c>
      <c r="J92" t="n">
        <v>0</v>
      </c>
      <c r="K92" t="n">
        <v>0</v>
      </c>
      <c r="L92" t="n">
        <v>0</v>
      </c>
      <c r="M92" t="n">
        <v>12</v>
      </c>
      <c r="N92" t="n">
        <v>0</v>
      </c>
      <c r="O92" t="n">
        <v>-0.25</v>
      </c>
      <c r="P92" t="n">
        <v>15</v>
      </c>
      <c r="Q92" t="n">
        <v>12</v>
      </c>
      <c r="R92" t="s">
        <v>278</v>
      </c>
      <c r="S92" t="s">
        <v>278</v>
      </c>
      <c r="T92" t="n">
        <v>-0.25</v>
      </c>
    </row>
    <row r="93">
      <c r="A93" t="s">
        <v>30</v>
      </c>
      <c r="B93" t="n">
        <v>1.05</v>
      </c>
      <c r="C93" t="n">
        <v>0.89</v>
      </c>
      <c r="D93" t="n">
        <v>1.04</v>
      </c>
      <c r="E93" t="n">
        <v>-4.25</v>
      </c>
      <c r="F93" t="n">
        <v>-1.5</v>
      </c>
      <c r="G93" t="n">
        <v>5</v>
      </c>
      <c r="H93" t="n">
        <v>12</v>
      </c>
      <c r="I93" t="s">
        <v>275</v>
      </c>
      <c r="J93" t="n">
        <v>0</v>
      </c>
      <c r="K93" t="n">
        <v>0</v>
      </c>
      <c r="L93" t="n">
        <v>0</v>
      </c>
      <c r="M93" t="n">
        <v>12</v>
      </c>
      <c r="N93" t="n">
        <v>0.5</v>
      </c>
      <c r="O93" t="n">
        <v>-0.25</v>
      </c>
      <c r="P93" t="n">
        <v>172</v>
      </c>
      <c r="Q93" t="n">
        <v>12</v>
      </c>
      <c r="R93" t="s">
        <v>275</v>
      </c>
      <c r="S93" t="s">
        <v>287</v>
      </c>
      <c r="T93" t="n">
        <v>0.5</v>
      </c>
    </row>
    <row r="94">
      <c r="A94" t="s">
        <v>30</v>
      </c>
      <c r="B94" t="n">
        <v>1.11</v>
      </c>
      <c r="C94" t="n">
        <v>0.99</v>
      </c>
      <c r="D94" t="n">
        <v>1.08</v>
      </c>
      <c r="E94" t="n">
        <v>-4</v>
      </c>
      <c r="F94" t="n">
        <v>-0.75</v>
      </c>
      <c r="G94" t="n">
        <v>88</v>
      </c>
      <c r="H94" t="n">
        <v>12</v>
      </c>
      <c r="I94" t="s">
        <v>280</v>
      </c>
      <c r="J94" t="n">
        <v>0</v>
      </c>
      <c r="K94" t="n">
        <v>0</v>
      </c>
      <c r="L94" t="n">
        <v>0</v>
      </c>
      <c r="M94" t="n">
        <v>12</v>
      </c>
      <c r="N94" t="n">
        <v>0.5</v>
      </c>
      <c r="O94" t="n">
        <v>-0.25</v>
      </c>
      <c r="P94" t="n">
        <v>81</v>
      </c>
      <c r="Q94" t="n">
        <v>12</v>
      </c>
      <c r="R94" t="s">
        <v>280</v>
      </c>
      <c r="S94" t="s">
        <v>276</v>
      </c>
      <c r="T94" t="n">
        <v>0.25</v>
      </c>
    </row>
    <row r="95">
      <c r="A95" t="s">
        <v>30</v>
      </c>
      <c r="B95" t="n">
        <v>1.18</v>
      </c>
      <c r="C95" t="n">
        <v>1.19</v>
      </c>
      <c r="D95" t="n">
        <v>1.13</v>
      </c>
      <c r="E95" t="n">
        <v>-6.25</v>
      </c>
      <c r="F95" t="n">
        <v>-0.25</v>
      </c>
      <c r="G95" t="n">
        <v>89</v>
      </c>
      <c r="H95" t="n">
        <v>12</v>
      </c>
      <c r="I95" t="s">
        <v>281</v>
      </c>
      <c r="J95" t="n">
        <v>0</v>
      </c>
      <c r="K95" t="n">
        <v>0</v>
      </c>
      <c r="L95" t="n">
        <v>0</v>
      </c>
      <c r="M95" t="n">
        <v>12</v>
      </c>
      <c r="N95" t="n">
        <v>0</v>
      </c>
      <c r="O95" t="n">
        <v>-0.25</v>
      </c>
      <c r="P95" t="n">
        <v>103</v>
      </c>
      <c r="Q95" t="n">
        <v>12</v>
      </c>
      <c r="R95" t="s">
        <v>284</v>
      </c>
      <c r="S95" t="s">
        <v>281</v>
      </c>
      <c r="T95" t="n">
        <v>0</v>
      </c>
    </row>
    <row r="96">
      <c r="A96" t="s">
        <v>30</v>
      </c>
      <c r="B96" t="n">
        <v>1</v>
      </c>
      <c r="C96" t="n">
        <v>0.94</v>
      </c>
      <c r="D96" t="n">
        <v>1.02</v>
      </c>
      <c r="E96" t="n">
        <v>-5.5</v>
      </c>
      <c r="F96" t="n">
        <v>-0.5</v>
      </c>
      <c r="G96" t="n">
        <v>173</v>
      </c>
      <c r="H96" t="n">
        <v>12</v>
      </c>
      <c r="I96" t="s">
        <v>276</v>
      </c>
      <c r="J96" t="n">
        <v>0</v>
      </c>
      <c r="K96" t="n">
        <v>0</v>
      </c>
      <c r="L96" t="n">
        <v>0</v>
      </c>
      <c r="M96" t="n">
        <v>12</v>
      </c>
      <c r="N96" t="n">
        <v>0</v>
      </c>
      <c r="O96" t="n">
        <v>-0.5</v>
      </c>
      <c r="P96" t="n">
        <v>24</v>
      </c>
      <c r="Q96" t="n">
        <v>12</v>
      </c>
      <c r="R96" t="s">
        <v>276</v>
      </c>
      <c r="S96" t="s">
        <v>277</v>
      </c>
      <c r="T96" t="n">
        <v>-0.25</v>
      </c>
    </row>
    <row r="97">
      <c r="A97" t="s">
        <v>30</v>
      </c>
      <c r="B97" t="n">
        <v>1.04</v>
      </c>
      <c r="C97" t="n">
        <v>0.87</v>
      </c>
      <c r="D97" t="n">
        <v>1.04</v>
      </c>
      <c r="E97" t="n">
        <v>-4.75</v>
      </c>
      <c r="F97" t="n">
        <v>-0.5</v>
      </c>
      <c r="G97" t="n">
        <v>2</v>
      </c>
      <c r="H97" t="n">
        <v>12</v>
      </c>
      <c r="I97" t="s">
        <v>275</v>
      </c>
      <c r="J97" t="n">
        <v>0</v>
      </c>
      <c r="K97" t="n">
        <v>0</v>
      </c>
      <c r="L97" t="n">
        <v>0</v>
      </c>
      <c r="M97" t="n">
        <v>12</v>
      </c>
      <c r="N97" t="n">
        <v>-0.5</v>
      </c>
      <c r="O97" t="n">
        <v>-0.5</v>
      </c>
      <c r="P97" t="n">
        <v>19</v>
      </c>
      <c r="Q97" t="n">
        <v>12</v>
      </c>
      <c r="R97" t="s">
        <v>275</v>
      </c>
      <c r="S97" t="s">
        <v>287</v>
      </c>
      <c r="T97" t="n">
        <v>-0.75</v>
      </c>
    </row>
    <row r="98">
      <c r="A98" t="s">
        <v>30</v>
      </c>
      <c r="B98" t="n">
        <v>1.06</v>
      </c>
      <c r="C98" t="n">
        <v>1.07</v>
      </c>
      <c r="D98" t="n">
        <v>1.09</v>
      </c>
      <c r="E98" t="n">
        <v>-4.25</v>
      </c>
      <c r="F98" t="n">
        <v>0</v>
      </c>
      <c r="G98" t="n">
        <v>1</v>
      </c>
      <c r="H98" t="n">
        <v>12</v>
      </c>
      <c r="I98" t="s">
        <v>275</v>
      </c>
      <c r="J98" t="n">
        <v>0</v>
      </c>
      <c r="K98" t="n">
        <v>0</v>
      </c>
      <c r="L98" t="n">
        <v>0</v>
      </c>
      <c r="M98" t="n">
        <v>12</v>
      </c>
      <c r="N98" t="n">
        <v>0.5</v>
      </c>
      <c r="O98" t="n">
        <v>-0.25</v>
      </c>
      <c r="P98" t="n">
        <v>13</v>
      </c>
      <c r="Q98" t="n">
        <v>12</v>
      </c>
      <c r="R98" t="s">
        <v>280</v>
      </c>
      <c r="S98" t="s">
        <v>275</v>
      </c>
      <c r="T98" t="n">
        <v>0.25</v>
      </c>
    </row>
    <row r="99">
      <c r="A99" t="s">
        <v>30</v>
      </c>
      <c r="B99" t="n">
        <v>0.91</v>
      </c>
      <c r="C99" t="n">
        <v>0.94</v>
      </c>
      <c r="D99" t="n">
        <v>0.94</v>
      </c>
      <c r="E99" t="n">
        <v>-3.5</v>
      </c>
      <c r="F99" t="n">
        <v>-1</v>
      </c>
      <c r="G99" t="n">
        <v>110</v>
      </c>
      <c r="H99" t="n">
        <v>12</v>
      </c>
      <c r="I99" t="s">
        <v>278</v>
      </c>
      <c r="J99" t="n">
        <v>0</v>
      </c>
      <c r="K99" t="n">
        <v>0</v>
      </c>
      <c r="L99" t="n">
        <v>0</v>
      </c>
      <c r="M99" t="n">
        <v>12</v>
      </c>
      <c r="N99" t="n">
        <v>0</v>
      </c>
      <c r="O99" t="n">
        <v>-0.25</v>
      </c>
      <c r="P99" t="n">
        <v>121</v>
      </c>
      <c r="Q99" t="n">
        <v>12</v>
      </c>
      <c r="R99" t="s">
        <v>277</v>
      </c>
      <c r="S99" t="s">
        <v>277</v>
      </c>
      <c r="T99" t="n">
        <v>-0.25</v>
      </c>
    </row>
    <row r="100">
      <c r="A100" t="s">
        <v>30</v>
      </c>
      <c r="B100" t="n">
        <v>1.01</v>
      </c>
      <c r="C100" t="n">
        <v>1.09</v>
      </c>
      <c r="D100" t="n">
        <v>1.01</v>
      </c>
      <c r="E100" t="n">
        <v>-6.75</v>
      </c>
      <c r="F100" t="n">
        <v>-1.25</v>
      </c>
      <c r="G100" t="n">
        <v>14</v>
      </c>
      <c r="H100" t="n">
        <v>12</v>
      </c>
      <c r="I100" t="s">
        <v>276</v>
      </c>
      <c r="J100" t="n">
        <v>0</v>
      </c>
      <c r="K100" t="n">
        <v>0</v>
      </c>
      <c r="L100" t="n">
        <v>0</v>
      </c>
      <c r="M100" t="n">
        <v>12</v>
      </c>
      <c r="N100" t="n">
        <v>0</v>
      </c>
      <c r="O100" t="n">
        <v>-0.25</v>
      </c>
      <c r="P100" t="n">
        <v>13</v>
      </c>
      <c r="Q100" t="n">
        <v>12</v>
      </c>
      <c r="R100" t="s">
        <v>276</v>
      </c>
      <c r="S100" t="s">
        <v>280</v>
      </c>
      <c r="T100" t="n">
        <v>-0.25</v>
      </c>
    </row>
    <row r="101">
      <c r="A101" t="s">
        <v>30</v>
      </c>
      <c r="B101" t="n">
        <v>0.94</v>
      </c>
      <c r="C101" t="n">
        <v>0.92</v>
      </c>
      <c r="D101" t="n">
        <v>0.95</v>
      </c>
      <c r="E101" t="n">
        <v>-3</v>
      </c>
      <c r="F101" t="n">
        <v>-1.25</v>
      </c>
      <c r="G101" t="n">
        <v>163</v>
      </c>
      <c r="H101" t="n">
        <v>12</v>
      </c>
      <c r="I101" t="s">
        <v>277</v>
      </c>
      <c r="J101" t="n">
        <v>0</v>
      </c>
      <c r="K101" t="n">
        <v>0</v>
      </c>
      <c r="L101" t="n">
        <v>0</v>
      </c>
      <c r="M101" t="n">
        <v>12</v>
      </c>
      <c r="N101" t="n">
        <v>0</v>
      </c>
      <c r="O101" t="n">
        <v>0</v>
      </c>
      <c r="P101" t="n">
        <v>5</v>
      </c>
      <c r="Q101" t="n">
        <v>12</v>
      </c>
      <c r="R101" t="s">
        <v>277</v>
      </c>
      <c r="S101" t="s">
        <v>278</v>
      </c>
      <c r="T101" t="n">
        <v>0</v>
      </c>
    </row>
    <row r="102">
      <c r="A102" t="s">
        <v>30</v>
      </c>
      <c r="B102" t="n">
        <v>1.03</v>
      </c>
      <c r="C102" t="n">
        <v>0.87</v>
      </c>
      <c r="D102" t="n">
        <v>1</v>
      </c>
      <c r="E102" t="n">
        <v>-2</v>
      </c>
      <c r="F102" t="n">
        <v>-1</v>
      </c>
      <c r="G102" t="n">
        <v>94</v>
      </c>
      <c r="H102" t="n">
        <v>12</v>
      </c>
      <c r="I102" t="s">
        <v>275</v>
      </c>
      <c r="J102" t="n">
        <v>0</v>
      </c>
      <c r="K102" t="n">
        <v>0</v>
      </c>
      <c r="L102" t="n">
        <v>0</v>
      </c>
      <c r="M102" t="n">
        <v>12</v>
      </c>
      <c r="N102" t="n">
        <v>0.5</v>
      </c>
      <c r="O102" t="n">
        <v>0</v>
      </c>
      <c r="P102" t="n">
        <v>104</v>
      </c>
      <c r="Q102" t="n">
        <v>12</v>
      </c>
      <c r="R102" t="s">
        <v>276</v>
      </c>
      <c r="S102" t="s">
        <v>287</v>
      </c>
      <c r="T102" t="n">
        <v>0.5</v>
      </c>
    </row>
    <row r="103">
      <c r="A103" t="s">
        <v>30</v>
      </c>
      <c r="B103" t="n">
        <v>0.99</v>
      </c>
      <c r="C103" t="n">
        <v>0.89</v>
      </c>
      <c r="D103" t="n">
        <v>0.99</v>
      </c>
      <c r="E103" t="n">
        <v>-0.5</v>
      </c>
      <c r="F103" t="n">
        <v>-0.75</v>
      </c>
      <c r="G103" t="n">
        <v>89</v>
      </c>
      <c r="H103" t="n">
        <v>12</v>
      </c>
      <c r="I103" t="s">
        <v>276</v>
      </c>
      <c r="J103" t="n">
        <v>0</v>
      </c>
      <c r="K103" t="n">
        <v>0</v>
      </c>
      <c r="L103" t="n">
        <v>0</v>
      </c>
      <c r="M103" t="n">
        <v>12</v>
      </c>
      <c r="N103" t="n">
        <v>0.5</v>
      </c>
      <c r="O103" t="n">
        <v>-0.25</v>
      </c>
      <c r="P103" t="n">
        <v>74</v>
      </c>
      <c r="Q103" t="n">
        <v>12</v>
      </c>
      <c r="R103" t="s">
        <v>276</v>
      </c>
      <c r="S103" t="s">
        <v>287</v>
      </c>
      <c r="T103" t="n">
        <v>0.5</v>
      </c>
    </row>
    <row r="104">
      <c r="A104" t="s">
        <v>30</v>
      </c>
      <c r="B104" t="n">
        <v>1.06</v>
      </c>
      <c r="C104" t="n">
        <v>1.02</v>
      </c>
      <c r="D104" t="n">
        <v>1.07</v>
      </c>
      <c r="E104" t="n">
        <v>-1.75</v>
      </c>
      <c r="F104" t="n">
        <v>-2.5</v>
      </c>
      <c r="G104" t="n">
        <v>20</v>
      </c>
      <c r="H104" t="n">
        <v>12</v>
      </c>
      <c r="I104" t="s">
        <v>275</v>
      </c>
      <c r="J104" t="n">
        <v>0</v>
      </c>
      <c r="K104" t="n">
        <v>0</v>
      </c>
      <c r="L104" t="n">
        <v>0</v>
      </c>
      <c r="M104" t="n">
        <v>12</v>
      </c>
      <c r="N104" t="n">
        <v>0.25</v>
      </c>
      <c r="O104" t="n">
        <v>0</v>
      </c>
      <c r="P104" t="n">
        <v>33</v>
      </c>
      <c r="Q104" t="n">
        <v>12</v>
      </c>
      <c r="R104" t="s">
        <v>275</v>
      </c>
      <c r="S104" t="s">
        <v>276</v>
      </c>
      <c r="T104" t="n">
        <v>0.25</v>
      </c>
    </row>
    <row r="105">
      <c r="A105" t="s">
        <v>30</v>
      </c>
      <c r="B105" t="n">
        <v>1.05</v>
      </c>
      <c r="C105" t="n">
        <v>0.83</v>
      </c>
      <c r="D105" t="n">
        <v>1.05</v>
      </c>
      <c r="E105" t="n">
        <v>-3.5</v>
      </c>
      <c r="F105" t="n">
        <v>-0.75</v>
      </c>
      <c r="G105" t="n">
        <v>15</v>
      </c>
      <c r="H105" t="n">
        <v>12</v>
      </c>
      <c r="I105" t="s">
        <v>275</v>
      </c>
      <c r="J105" t="n">
        <v>0</v>
      </c>
      <c r="K105" t="n">
        <v>0</v>
      </c>
      <c r="L105" t="n">
        <v>0</v>
      </c>
      <c r="M105" t="n">
        <v>12</v>
      </c>
      <c r="N105" t="n">
        <v>-0.25</v>
      </c>
      <c r="O105" t="n">
        <v>0</v>
      </c>
      <c r="P105" t="n">
        <v>108</v>
      </c>
      <c r="Q105" t="n">
        <v>12</v>
      </c>
      <c r="R105" t="s">
        <v>275</v>
      </c>
      <c r="S105" t="s">
        <v>285</v>
      </c>
      <c r="T105" t="n">
        <v>-0.25</v>
      </c>
    </row>
    <row r="106">
      <c r="A106" t="s">
        <v>30</v>
      </c>
      <c r="B106" t="n">
        <v>1.06</v>
      </c>
      <c r="C106" t="n">
        <v>1.08</v>
      </c>
      <c r="D106" t="n">
        <v>1.07</v>
      </c>
      <c r="E106" t="n">
        <v>-4</v>
      </c>
      <c r="F106" t="n">
        <v>-1</v>
      </c>
      <c r="G106" t="n">
        <v>60</v>
      </c>
      <c r="H106" t="n">
        <v>12</v>
      </c>
      <c r="I106" t="s">
        <v>275</v>
      </c>
      <c r="J106" t="n">
        <v>0</v>
      </c>
      <c r="K106" t="n">
        <v>0</v>
      </c>
      <c r="L106" t="n">
        <v>0</v>
      </c>
      <c r="M106" t="n">
        <v>12</v>
      </c>
      <c r="N106" t="n">
        <v>-0.25</v>
      </c>
      <c r="O106" t="n">
        <v>0</v>
      </c>
      <c r="P106" t="n">
        <v>130</v>
      </c>
      <c r="Q106" t="n">
        <v>12</v>
      </c>
      <c r="R106" t="s">
        <v>275</v>
      </c>
      <c r="S106" t="s">
        <v>280</v>
      </c>
      <c r="T106" t="n">
        <v>-0.25</v>
      </c>
    </row>
    <row r="107">
      <c r="A107" t="s">
        <v>30</v>
      </c>
      <c r="B107" t="n">
        <v>1</v>
      </c>
      <c r="C107" t="n">
        <v>0.81</v>
      </c>
      <c r="D107" t="n">
        <v>0.85</v>
      </c>
      <c r="E107" t="n">
        <v>-5.5</v>
      </c>
      <c r="F107" t="n">
        <v>-0.25</v>
      </c>
      <c r="G107" t="n">
        <v>99</v>
      </c>
      <c r="H107" t="n">
        <v>12</v>
      </c>
      <c r="I107" t="s">
        <v>276</v>
      </c>
      <c r="J107" t="n">
        <v>0</v>
      </c>
      <c r="K107" t="n">
        <v>0</v>
      </c>
      <c r="L107" t="n">
        <v>0</v>
      </c>
      <c r="M107" t="n">
        <v>12</v>
      </c>
      <c r="N107" t="n">
        <v>0</v>
      </c>
      <c r="O107" t="n">
        <v>-0.25</v>
      </c>
      <c r="P107" t="n">
        <v>110</v>
      </c>
      <c r="Q107" t="n">
        <v>12</v>
      </c>
      <c r="R107" t="s">
        <v>285</v>
      </c>
      <c r="S107" t="s">
        <v>279</v>
      </c>
      <c r="T107" t="n">
        <v>0</v>
      </c>
    </row>
    <row r="108">
      <c r="A108" t="s">
        <v>30</v>
      </c>
      <c r="B108" t="n">
        <v>0.91</v>
      </c>
      <c r="C108" t="n">
        <v>0.81</v>
      </c>
      <c r="D108" t="n">
        <v>0.9</v>
      </c>
      <c r="E108" t="n">
        <v>-7.25</v>
      </c>
      <c r="F108" t="n">
        <v>-0.25</v>
      </c>
      <c r="G108" t="n">
        <v>12</v>
      </c>
      <c r="H108" t="n">
        <v>12</v>
      </c>
      <c r="I108" t="s">
        <v>278</v>
      </c>
      <c r="J108" t="n">
        <v>0</v>
      </c>
      <c r="K108" t="n">
        <v>0</v>
      </c>
      <c r="L108" t="n">
        <v>0</v>
      </c>
      <c r="M108" t="n">
        <v>12</v>
      </c>
      <c r="N108" t="n">
        <v>0</v>
      </c>
      <c r="O108" t="n">
        <v>-0.25</v>
      </c>
      <c r="P108" t="n">
        <v>34</v>
      </c>
      <c r="Q108" t="n">
        <v>12</v>
      </c>
      <c r="R108" t="s">
        <v>278</v>
      </c>
      <c r="S108" t="s">
        <v>279</v>
      </c>
      <c r="T108" t="n">
        <v>-0.25</v>
      </c>
    </row>
    <row r="109">
      <c r="A109" t="s">
        <v>30</v>
      </c>
      <c r="B109" t="n">
        <v>1</v>
      </c>
      <c r="C109" t="n">
        <v>0.8</v>
      </c>
      <c r="D109" t="n">
        <v>0.97</v>
      </c>
      <c r="E109" t="n">
        <v>-3.5</v>
      </c>
      <c r="F109" t="n">
        <v>-0.5</v>
      </c>
      <c r="G109" t="n">
        <v>158</v>
      </c>
      <c r="H109" t="n">
        <v>12</v>
      </c>
      <c r="I109" t="s">
        <v>276</v>
      </c>
      <c r="J109" t="n">
        <v>0</v>
      </c>
      <c r="K109" t="n">
        <v>0</v>
      </c>
      <c r="L109" t="n">
        <v>0</v>
      </c>
      <c r="M109" t="n">
        <v>12</v>
      </c>
      <c r="N109" t="n">
        <v>-0.25</v>
      </c>
      <c r="O109" t="n">
        <v>-0.5</v>
      </c>
      <c r="P109" t="n">
        <v>158</v>
      </c>
      <c r="Q109" t="n">
        <v>12</v>
      </c>
      <c r="R109" t="s">
        <v>277</v>
      </c>
      <c r="S109" t="s">
        <v>279</v>
      </c>
      <c r="T109" t="n">
        <v>-0.5</v>
      </c>
    </row>
    <row r="110">
      <c r="A110" t="s">
        <v>30</v>
      </c>
      <c r="B110" t="n">
        <v>1.12</v>
      </c>
      <c r="C110" t="n">
        <v>1.18</v>
      </c>
      <c r="D110" t="n">
        <v>1.14</v>
      </c>
      <c r="E110" t="n">
        <v>-0.5</v>
      </c>
      <c r="F110" t="n">
        <v>-0.5</v>
      </c>
      <c r="G110" t="n">
        <v>177</v>
      </c>
      <c r="H110" t="n">
        <v>12</v>
      </c>
      <c r="I110" t="s">
        <v>280</v>
      </c>
      <c r="J110" t="n">
        <v>0</v>
      </c>
      <c r="K110" t="n">
        <v>0</v>
      </c>
      <c r="L110" t="n">
        <v>0</v>
      </c>
      <c r="M110" t="n">
        <v>12</v>
      </c>
      <c r="N110" t="n">
        <v>0</v>
      </c>
      <c r="O110" t="n">
        <v>-0.25</v>
      </c>
      <c r="P110" t="n">
        <v>14</v>
      </c>
      <c r="Q110" t="n">
        <v>12</v>
      </c>
      <c r="R110" t="s">
        <v>284</v>
      </c>
      <c r="S110" t="s">
        <v>281</v>
      </c>
      <c r="T110" t="n">
        <v>-0.25</v>
      </c>
    </row>
    <row r="111">
      <c r="A111" t="s">
        <v>30</v>
      </c>
      <c r="B111" t="n">
        <v>1.02</v>
      </c>
      <c r="C111" t="n">
        <v>0.89</v>
      </c>
      <c r="D111" t="n">
        <v>1.08</v>
      </c>
      <c r="E111" t="n">
        <v>-5.25</v>
      </c>
      <c r="F111" t="n">
        <v>-0.25</v>
      </c>
      <c r="G111" t="n">
        <v>81</v>
      </c>
      <c r="H111" t="n">
        <v>12</v>
      </c>
      <c r="I111" t="s">
        <v>276</v>
      </c>
      <c r="J111" t="n">
        <v>0</v>
      </c>
      <c r="K111" t="n">
        <v>0</v>
      </c>
      <c r="L111" t="n">
        <v>0</v>
      </c>
      <c r="M111" t="n">
        <v>12</v>
      </c>
      <c r="N111" t="n">
        <v>-0.5</v>
      </c>
      <c r="O111" t="n">
        <v>-0.25</v>
      </c>
      <c r="P111" t="n">
        <v>104</v>
      </c>
      <c r="Q111" t="n">
        <v>12</v>
      </c>
      <c r="R111" t="s">
        <v>280</v>
      </c>
      <c r="S111" t="s">
        <v>287</v>
      </c>
      <c r="T111" t="n">
        <v>-0.5</v>
      </c>
    </row>
    <row r="112">
      <c r="A112" t="s">
        <v>30</v>
      </c>
      <c r="B112" t="n">
        <v>1</v>
      </c>
      <c r="C112" t="n">
        <v>1.1</v>
      </c>
      <c r="D112" t="n">
        <v>1.05</v>
      </c>
      <c r="E112" t="n">
        <v>-3.75</v>
      </c>
      <c r="F112" t="n">
        <v>-0.5</v>
      </c>
      <c r="G112" t="n">
        <v>91</v>
      </c>
      <c r="H112" t="n">
        <v>12</v>
      </c>
      <c r="I112" t="s">
        <v>276</v>
      </c>
      <c r="J112" t="n">
        <v>0</v>
      </c>
      <c r="K112" t="n">
        <v>0</v>
      </c>
      <c r="L112" t="n">
        <v>0</v>
      </c>
      <c r="M112" t="n">
        <v>12</v>
      </c>
      <c r="N112" t="n">
        <v>0.25</v>
      </c>
      <c r="O112" t="n">
        <v>0</v>
      </c>
      <c r="P112" t="n">
        <v>93</v>
      </c>
      <c r="Q112" t="n">
        <v>12</v>
      </c>
      <c r="R112" t="s">
        <v>275</v>
      </c>
      <c r="S112" t="s">
        <v>280</v>
      </c>
      <c r="T112" t="n">
        <v>0.25</v>
      </c>
    </row>
    <row r="113">
      <c r="A113" t="s">
        <v>30</v>
      </c>
      <c r="B113" t="n">
        <v>0.94</v>
      </c>
      <c r="C113" t="n">
        <v>0.99</v>
      </c>
      <c r="D113" t="n">
        <v>0.98</v>
      </c>
      <c r="E113" t="n">
        <v>-6</v>
      </c>
      <c r="F113" t="n">
        <v>0</v>
      </c>
      <c r="G113" t="n">
        <v>166</v>
      </c>
      <c r="H113" t="n">
        <v>12</v>
      </c>
      <c r="I113" t="s">
        <v>277</v>
      </c>
      <c r="J113" t="n">
        <v>0</v>
      </c>
      <c r="K113" t="n">
        <v>0</v>
      </c>
      <c r="L113" t="n">
        <v>0</v>
      </c>
      <c r="M113" t="n">
        <v>12</v>
      </c>
      <c r="N113" t="n">
        <v>0.25</v>
      </c>
      <c r="O113" t="n">
        <v>0</v>
      </c>
      <c r="P113" t="n">
        <v>5</v>
      </c>
      <c r="Q113" t="n">
        <v>12</v>
      </c>
      <c r="R113" t="s">
        <v>276</v>
      </c>
      <c r="S113" t="s">
        <v>276</v>
      </c>
      <c r="T113" t="n">
        <v>0.25</v>
      </c>
    </row>
    <row r="114">
      <c r="A114" t="s">
        <v>30</v>
      </c>
      <c r="B114" t="n">
        <v>0.98</v>
      </c>
      <c r="C114" t="n">
        <v>0.76</v>
      </c>
      <c r="D114" t="n">
        <v>1</v>
      </c>
      <c r="E114" t="n">
        <v>-4</v>
      </c>
      <c r="F114" t="n">
        <v>0</v>
      </c>
      <c r="G114" t="n">
        <v>87</v>
      </c>
      <c r="H114" t="n">
        <v>12</v>
      </c>
      <c r="I114" t="s">
        <v>276</v>
      </c>
      <c r="J114" t="n">
        <v>0</v>
      </c>
      <c r="K114" t="n">
        <v>0</v>
      </c>
      <c r="L114" t="n">
        <v>0</v>
      </c>
      <c r="M114" t="n">
        <v>12</v>
      </c>
      <c r="N114" t="n">
        <v>-0.5</v>
      </c>
      <c r="O114" t="n">
        <v>0</v>
      </c>
      <c r="P114" t="n">
        <v>97</v>
      </c>
      <c r="Q114" t="n">
        <v>12</v>
      </c>
      <c r="R114" t="s">
        <v>276</v>
      </c>
      <c r="S114" t="s">
        <v>288</v>
      </c>
      <c r="T114" t="n">
        <v>-0.5</v>
      </c>
    </row>
    <row r="115">
      <c r="A115" t="s">
        <v>30</v>
      </c>
      <c r="B115" t="n">
        <v>0.98</v>
      </c>
      <c r="C115" t="n">
        <v>0.96</v>
      </c>
      <c r="D115" t="n">
        <v>0.97</v>
      </c>
      <c r="E115" t="n">
        <v>-6.75</v>
      </c>
      <c r="F115" t="n">
        <v>0</v>
      </c>
      <c r="G115" t="n">
        <v>146</v>
      </c>
      <c r="H115" t="n">
        <v>12</v>
      </c>
      <c r="I115" t="s">
        <v>276</v>
      </c>
      <c r="J115" t="n">
        <v>0</v>
      </c>
      <c r="K115" t="n">
        <v>0</v>
      </c>
      <c r="L115" t="n">
        <v>0</v>
      </c>
      <c r="M115" t="n">
        <v>12</v>
      </c>
      <c r="N115" t="n">
        <v>0</v>
      </c>
      <c r="O115" t="n">
        <v>-0.25</v>
      </c>
      <c r="P115" t="n">
        <v>116</v>
      </c>
      <c r="Q115" t="n">
        <v>12</v>
      </c>
      <c r="R115" t="s">
        <v>277</v>
      </c>
      <c r="S115" t="s">
        <v>277</v>
      </c>
      <c r="T115" t="n">
        <v>-0.25</v>
      </c>
    </row>
    <row r="116">
      <c r="A116" t="s">
        <v>30</v>
      </c>
      <c r="B116" t="n">
        <v>1.03</v>
      </c>
      <c r="C116" t="n">
        <v>0.98</v>
      </c>
      <c r="D116" t="n">
        <v>1.03</v>
      </c>
      <c r="E116" t="n">
        <v>-6</v>
      </c>
      <c r="F116" t="n">
        <v>-0.25</v>
      </c>
      <c r="G116" t="n">
        <v>152</v>
      </c>
      <c r="H116" t="n">
        <v>12</v>
      </c>
      <c r="I116" t="s">
        <v>275</v>
      </c>
      <c r="J116" t="n">
        <v>0</v>
      </c>
      <c r="K116" t="n">
        <v>0</v>
      </c>
      <c r="L116" t="n">
        <v>0</v>
      </c>
      <c r="M116" t="n">
        <v>12</v>
      </c>
      <c r="N116" t="n">
        <v>0</v>
      </c>
      <c r="O116" t="n">
        <v>0</v>
      </c>
      <c r="P116" t="n">
        <v>57</v>
      </c>
      <c r="Q116" t="n">
        <v>12</v>
      </c>
      <c r="R116" t="s">
        <v>275</v>
      </c>
      <c r="S116" t="s">
        <v>276</v>
      </c>
      <c r="T116" t="n">
        <v>0</v>
      </c>
    </row>
    <row r="117">
      <c r="A117" t="s">
        <v>30</v>
      </c>
      <c r="B117" t="n">
        <v>1.09</v>
      </c>
      <c r="C117" t="n">
        <v>1.14</v>
      </c>
      <c r="D117" t="n">
        <v>1.05</v>
      </c>
      <c r="E117" t="n">
        <v>-5.5</v>
      </c>
      <c r="F117" t="n">
        <v>-1.25</v>
      </c>
      <c r="G117" t="n">
        <v>105</v>
      </c>
      <c r="H117" t="n">
        <v>12</v>
      </c>
      <c r="I117" t="s">
        <v>280</v>
      </c>
      <c r="J117" t="n">
        <v>0</v>
      </c>
      <c r="K117" t="n">
        <v>0</v>
      </c>
      <c r="L117" t="n">
        <v>0</v>
      </c>
      <c r="M117" t="n">
        <v>12</v>
      </c>
      <c r="N117" t="n">
        <v>0.75</v>
      </c>
      <c r="O117" t="n">
        <v>-0.5</v>
      </c>
      <c r="P117" t="n">
        <v>107</v>
      </c>
      <c r="Q117" t="n">
        <v>12</v>
      </c>
      <c r="R117" t="s">
        <v>275</v>
      </c>
      <c r="S117" t="s">
        <v>284</v>
      </c>
      <c r="T117" t="n">
        <v>0.5</v>
      </c>
    </row>
    <row r="118">
      <c r="A118" t="s">
        <v>30</v>
      </c>
      <c r="B118" t="n">
        <v>0.98</v>
      </c>
      <c r="C118" t="n">
        <v>1.05</v>
      </c>
      <c r="D118" t="n">
        <v>0.99</v>
      </c>
      <c r="E118" t="n">
        <v>-1</v>
      </c>
      <c r="F118" t="n">
        <v>-0.5</v>
      </c>
      <c r="G118" t="n">
        <v>78</v>
      </c>
      <c r="H118" t="n">
        <v>12</v>
      </c>
      <c r="I118" t="s">
        <v>276</v>
      </c>
      <c r="J118" t="n">
        <v>0</v>
      </c>
      <c r="K118" t="n">
        <v>0</v>
      </c>
      <c r="L118" t="n">
        <v>0</v>
      </c>
      <c r="M118" t="n">
        <v>12</v>
      </c>
      <c r="N118" t="n">
        <v>0</v>
      </c>
      <c r="O118" t="n">
        <v>-0.25</v>
      </c>
      <c r="P118" t="n">
        <v>65</v>
      </c>
      <c r="Q118" t="n">
        <v>12</v>
      </c>
      <c r="R118" t="s">
        <v>276</v>
      </c>
      <c r="S118" t="s">
        <v>275</v>
      </c>
      <c r="T118" t="n">
        <v>0</v>
      </c>
    </row>
    <row r="119">
      <c r="A119" t="s">
        <v>30</v>
      </c>
      <c r="B119" t="n">
        <v>1.18</v>
      </c>
      <c r="C119" t="n">
        <v>1.13</v>
      </c>
      <c r="D119" t="n">
        <v>1.23</v>
      </c>
      <c r="E119" t="n">
        <v>-2.75</v>
      </c>
      <c r="F119" t="n">
        <v>-0.25</v>
      </c>
      <c r="G119" t="n">
        <v>179</v>
      </c>
      <c r="H119" t="n">
        <v>12</v>
      </c>
      <c r="I119" t="s">
        <v>281</v>
      </c>
      <c r="J119" t="n">
        <v>0</v>
      </c>
      <c r="K119" t="n">
        <v>0</v>
      </c>
      <c r="L119" t="n">
        <v>0</v>
      </c>
      <c r="M119" t="n">
        <v>12</v>
      </c>
      <c r="N119" t="n">
        <v>0</v>
      </c>
      <c r="O119" t="n">
        <v>-0.25</v>
      </c>
      <c r="P119" t="n">
        <v>24</v>
      </c>
      <c r="Q119" t="n">
        <v>12</v>
      </c>
      <c r="R119" t="s">
        <v>281</v>
      </c>
      <c r="S119" t="s">
        <v>284</v>
      </c>
      <c r="T119" t="n">
        <v>-0.25</v>
      </c>
    </row>
    <row r="120">
      <c r="A120" t="s">
        <v>30</v>
      </c>
      <c r="B120" t="n">
        <v>0.99</v>
      </c>
      <c r="C120" t="n">
        <v>1.01</v>
      </c>
      <c r="D120" t="n">
        <v>1.03</v>
      </c>
      <c r="E120" t="n">
        <v>-2.75</v>
      </c>
      <c r="F120" t="n">
        <v>-0.25</v>
      </c>
      <c r="G120" t="n">
        <v>102</v>
      </c>
      <c r="H120" t="n">
        <v>12</v>
      </c>
      <c r="I120" t="s">
        <v>276</v>
      </c>
      <c r="J120" t="n">
        <v>0</v>
      </c>
      <c r="K120" t="n">
        <v>0</v>
      </c>
      <c r="L120" t="n">
        <v>0</v>
      </c>
      <c r="M120" t="n">
        <v>12</v>
      </c>
      <c r="N120" t="n">
        <v>1</v>
      </c>
      <c r="O120" t="n">
        <v>-0.25</v>
      </c>
      <c r="P120" t="n">
        <v>81</v>
      </c>
      <c r="Q120" t="n">
        <v>12</v>
      </c>
      <c r="R120" t="s">
        <v>275</v>
      </c>
      <c r="S120" t="s">
        <v>276</v>
      </c>
      <c r="T120" t="n">
        <v>0.75</v>
      </c>
    </row>
    <row r="121">
      <c r="A121" t="s">
        <v>30</v>
      </c>
      <c r="B121" t="n">
        <v>0.98</v>
      </c>
      <c r="C121" t="n">
        <v>1.03</v>
      </c>
      <c r="D121" t="n">
        <v>1.03</v>
      </c>
      <c r="E121" t="n">
        <v>-1.5</v>
      </c>
      <c r="F121" t="n">
        <v>-2.75</v>
      </c>
      <c r="G121" t="n">
        <v>43</v>
      </c>
      <c r="H121" t="n">
        <v>12</v>
      </c>
      <c r="I121" t="s">
        <v>276</v>
      </c>
      <c r="J121" t="n">
        <v>0</v>
      </c>
      <c r="K121" t="n">
        <v>0</v>
      </c>
      <c r="L121" t="n">
        <v>0</v>
      </c>
      <c r="M121" t="n">
        <v>12</v>
      </c>
      <c r="N121" t="n">
        <v>0</v>
      </c>
      <c r="O121" t="n">
        <v>-0.25</v>
      </c>
      <c r="P121" t="n">
        <v>47</v>
      </c>
      <c r="Q121" t="n">
        <v>12</v>
      </c>
      <c r="R121" t="s">
        <v>275</v>
      </c>
      <c r="S121" t="s">
        <v>275</v>
      </c>
      <c r="T121" t="n">
        <v>0</v>
      </c>
    </row>
    <row r="122">
      <c r="A122" t="s">
        <v>30</v>
      </c>
      <c r="B122" t="n">
        <v>1.06</v>
      </c>
      <c r="C122" t="n">
        <v>1.22</v>
      </c>
      <c r="D122" t="n">
        <v>1.14</v>
      </c>
      <c r="E122" t="n">
        <v>-5.5</v>
      </c>
      <c r="F122" t="n">
        <v>-0.25</v>
      </c>
      <c r="G122" t="n">
        <v>76</v>
      </c>
      <c r="H122" t="n">
        <v>12</v>
      </c>
      <c r="I122" t="s">
        <v>275</v>
      </c>
      <c r="J122" t="n">
        <v>0</v>
      </c>
      <c r="K122" t="n">
        <v>0</v>
      </c>
      <c r="L122" t="n">
        <v>0</v>
      </c>
      <c r="M122" t="n">
        <v>12</v>
      </c>
      <c r="N122" t="n">
        <v>0.25</v>
      </c>
      <c r="O122" t="n">
        <v>-0.5</v>
      </c>
      <c r="P122" t="n">
        <v>66</v>
      </c>
      <c r="Q122" t="n">
        <v>12</v>
      </c>
      <c r="R122" t="s">
        <v>284</v>
      </c>
      <c r="S122" t="s">
        <v>281</v>
      </c>
      <c r="T122" t="n">
        <v>0</v>
      </c>
    </row>
    <row r="123">
      <c r="A123" t="s">
        <v>30</v>
      </c>
      <c r="B123" t="n">
        <v>1.08</v>
      </c>
      <c r="C123" t="n">
        <v>0.97</v>
      </c>
      <c r="D123" t="n">
        <v>1.14</v>
      </c>
      <c r="E123" t="n">
        <v>-2.25</v>
      </c>
      <c r="F123" t="n">
        <v>-1.5</v>
      </c>
      <c r="G123" t="n">
        <v>3</v>
      </c>
      <c r="H123" t="n">
        <v>12</v>
      </c>
      <c r="I123" t="s">
        <v>280</v>
      </c>
      <c r="J123" t="n">
        <v>0</v>
      </c>
      <c r="K123" t="n">
        <v>0</v>
      </c>
      <c r="L123" t="n">
        <v>0</v>
      </c>
      <c r="M123" t="n">
        <v>12</v>
      </c>
      <c r="N123" t="n">
        <v>0.5</v>
      </c>
      <c r="O123" t="n">
        <v>-0.25</v>
      </c>
      <c r="P123" t="n">
        <v>2</v>
      </c>
      <c r="Q123" t="n">
        <v>12</v>
      </c>
      <c r="R123" t="s">
        <v>284</v>
      </c>
      <c r="S123" t="s">
        <v>277</v>
      </c>
      <c r="T123" t="n">
        <v>0.5</v>
      </c>
    </row>
    <row r="124">
      <c r="A124" t="s">
        <v>30</v>
      </c>
      <c r="B124" t="n">
        <v>0.92</v>
      </c>
      <c r="C124" t="n">
        <v>0.91</v>
      </c>
      <c r="D124" t="n">
        <v>0.93</v>
      </c>
      <c r="E124" t="n">
        <v>-0.5</v>
      </c>
      <c r="F124" t="n">
        <v>-0.75</v>
      </c>
      <c r="G124" t="n">
        <v>32</v>
      </c>
      <c r="H124" t="n">
        <v>12</v>
      </c>
      <c r="I124" t="s">
        <v>278</v>
      </c>
      <c r="J124" t="n">
        <v>0</v>
      </c>
      <c r="K124" t="n">
        <v>0</v>
      </c>
      <c r="L124" t="n">
        <v>0</v>
      </c>
      <c r="M124" t="n">
        <v>12</v>
      </c>
      <c r="N124" t="n">
        <v>0</v>
      </c>
      <c r="O124" t="n">
        <v>-0.25</v>
      </c>
      <c r="P124" t="n">
        <v>23</v>
      </c>
      <c r="Q124" t="n">
        <v>12</v>
      </c>
      <c r="R124" t="s">
        <v>278</v>
      </c>
      <c r="S124" t="s">
        <v>278</v>
      </c>
      <c r="T124" t="n">
        <v>-0.25</v>
      </c>
    </row>
    <row r="125">
      <c r="A125" t="s">
        <v>30</v>
      </c>
      <c r="B125" t="n">
        <v>1.08</v>
      </c>
      <c r="C125" t="n">
        <v>1.02</v>
      </c>
      <c r="D125" t="n">
        <v>1.05</v>
      </c>
      <c r="E125" t="n">
        <v>-2.5</v>
      </c>
      <c r="F125" t="n">
        <v>-0.5</v>
      </c>
      <c r="G125" t="n">
        <v>40</v>
      </c>
      <c r="H125" t="n">
        <v>12</v>
      </c>
      <c r="I125" t="s">
        <v>280</v>
      </c>
      <c r="J125" t="n">
        <v>0</v>
      </c>
      <c r="K125" t="n">
        <v>0</v>
      </c>
      <c r="L125" t="n">
        <v>0</v>
      </c>
      <c r="M125" t="n">
        <v>12</v>
      </c>
      <c r="N125" t="n">
        <v>0.25</v>
      </c>
      <c r="O125" t="n">
        <v>0</v>
      </c>
      <c r="P125" t="n">
        <v>109</v>
      </c>
      <c r="Q125" t="n">
        <v>12</v>
      </c>
      <c r="R125" t="s">
        <v>275</v>
      </c>
      <c r="S125" t="s">
        <v>276</v>
      </c>
      <c r="T125" t="n">
        <v>0.25</v>
      </c>
    </row>
    <row r="126">
      <c r="A126" t="s">
        <v>30</v>
      </c>
      <c r="B126" t="n">
        <v>1.06</v>
      </c>
      <c r="C126" t="n">
        <v>1.03</v>
      </c>
      <c r="D126" t="n">
        <v>1.07</v>
      </c>
      <c r="E126" t="n">
        <v>-4</v>
      </c>
      <c r="F126" t="n">
        <v>-0.5</v>
      </c>
      <c r="G126" t="n">
        <v>2</v>
      </c>
      <c r="H126" t="n">
        <v>12</v>
      </c>
      <c r="I126" t="s">
        <v>275</v>
      </c>
      <c r="J126" t="n">
        <v>0</v>
      </c>
      <c r="K126" t="n">
        <v>0</v>
      </c>
      <c r="L126" t="n">
        <v>0</v>
      </c>
      <c r="M126" t="n">
        <v>12</v>
      </c>
      <c r="N126" t="n">
        <v>0.5</v>
      </c>
      <c r="O126" t="n">
        <v>-0.25</v>
      </c>
      <c r="P126" t="n">
        <v>171</v>
      </c>
      <c r="Q126" t="n">
        <v>12</v>
      </c>
      <c r="R126" t="s">
        <v>275</v>
      </c>
      <c r="S126" t="s">
        <v>275</v>
      </c>
      <c r="T126" t="n">
        <v>0.25</v>
      </c>
    </row>
    <row r="127">
      <c r="A127" t="s">
        <v>30</v>
      </c>
      <c r="B127" t="n">
        <v>1.01</v>
      </c>
      <c r="C127" t="n">
        <v>0.87</v>
      </c>
      <c r="D127" t="n">
        <v>0.98</v>
      </c>
      <c r="E127" t="n">
        <v>-4.75</v>
      </c>
      <c r="F127" t="n">
        <v>-1</v>
      </c>
      <c r="G127" t="n">
        <v>11</v>
      </c>
      <c r="H127" t="n">
        <v>12</v>
      </c>
      <c r="I127" t="s">
        <v>276</v>
      </c>
      <c r="J127" t="n">
        <v>0</v>
      </c>
      <c r="K127" t="n">
        <v>0</v>
      </c>
      <c r="L127" t="n">
        <v>0</v>
      </c>
      <c r="M127" t="n">
        <v>12</v>
      </c>
      <c r="N127" t="n">
        <v>-0.5</v>
      </c>
      <c r="O127" t="n">
        <v>0</v>
      </c>
      <c r="P127" t="n">
        <v>167</v>
      </c>
      <c r="Q127" t="n">
        <v>12</v>
      </c>
      <c r="R127" t="s">
        <v>276</v>
      </c>
      <c r="S127" t="s">
        <v>287</v>
      </c>
      <c r="T127" t="n">
        <v>-0.5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" t="s">
        <v>29</v>
      </c>
      <c r="B1" s="4" t="s">
        <v>259</v>
      </c>
      <c r="C1" s="4" t="s">
        <v>260</v>
      </c>
      <c r="D1" s="4" t="s">
        <v>261</v>
      </c>
      <c r="E1" s="5" t="s">
        <v>262</v>
      </c>
      <c r="F1" s="5" t="s">
        <v>263</v>
      </c>
      <c r="G1" s="5" t="s">
        <v>264</v>
      </c>
      <c r="H1" s="5" t="s">
        <v>265</v>
      </c>
      <c r="I1" s="5" t="s">
        <v>76</v>
      </c>
      <c r="J1" s="6" t="s">
        <v>266</v>
      </c>
      <c r="K1" s="6" t="s">
        <v>267</v>
      </c>
      <c r="L1" s="6" t="s">
        <v>268</v>
      </c>
      <c r="M1" s="6" t="s">
        <v>269</v>
      </c>
      <c r="N1" s="7" t="s">
        <v>270</v>
      </c>
      <c r="O1" s="7" t="s">
        <v>271</v>
      </c>
      <c r="P1" s="7" t="s">
        <v>272</v>
      </c>
      <c r="Q1" s="7" t="s">
        <v>273</v>
      </c>
      <c r="R1" s="7" t="s">
        <v>191</v>
      </c>
      <c r="S1" s="7" t="s">
        <v>186</v>
      </c>
      <c r="T1" s="8" t="s">
        <v>274</v>
      </c>
    </row>
    <row r="2">
      <c r="A2" t="s">
        <v>31</v>
      </c>
      <c r="B2" t="n">
        <v>1.09</v>
      </c>
      <c r="C2" t="n">
        <v>0.9</v>
      </c>
      <c r="D2" t="n">
        <v>1.05</v>
      </c>
      <c r="E2" t="n">
        <v>-1.5</v>
      </c>
      <c r="F2" t="n">
        <v>-0.25</v>
      </c>
      <c r="G2" t="n">
        <v>48</v>
      </c>
      <c r="H2" t="n">
        <v>12</v>
      </c>
      <c r="I2" t="s">
        <v>280</v>
      </c>
      <c r="J2" t="n">
        <v>0</v>
      </c>
      <c r="K2" t="n">
        <v>0</v>
      </c>
      <c r="L2" t="n">
        <v>0</v>
      </c>
      <c r="M2" t="n">
        <v>12</v>
      </c>
      <c r="N2" t="n">
        <v>0.25</v>
      </c>
      <c r="O2" t="n">
        <v>0</v>
      </c>
      <c r="P2" t="n">
        <v>108</v>
      </c>
      <c r="Q2" t="n">
        <v>12</v>
      </c>
      <c r="R2" t="s">
        <v>275</v>
      </c>
      <c r="S2" t="s">
        <v>278</v>
      </c>
      <c r="T2" t="n">
        <v>0.25</v>
      </c>
    </row>
    <row r="3">
      <c r="A3" t="s">
        <v>31</v>
      </c>
      <c r="B3" t="n">
        <v>1.07</v>
      </c>
      <c r="C3" t="n">
        <v>1.12</v>
      </c>
      <c r="D3" t="n">
        <v>1.11</v>
      </c>
      <c r="E3" t="n">
        <v>-2.5</v>
      </c>
      <c r="F3" t="n">
        <v>-1.25</v>
      </c>
      <c r="G3" t="n">
        <v>12</v>
      </c>
      <c r="H3" t="n">
        <v>12</v>
      </c>
      <c r="I3" t="s">
        <v>275</v>
      </c>
      <c r="J3" t="n">
        <v>0</v>
      </c>
      <c r="K3" t="n">
        <v>0</v>
      </c>
      <c r="L3" t="n">
        <v>0</v>
      </c>
      <c r="M3" t="n">
        <v>12</v>
      </c>
      <c r="N3" t="n">
        <v>0</v>
      </c>
      <c r="O3" t="n">
        <v>-0.25</v>
      </c>
      <c r="P3" t="n">
        <v>8</v>
      </c>
      <c r="Q3" t="n">
        <v>12</v>
      </c>
      <c r="R3" t="s">
        <v>280</v>
      </c>
      <c r="S3" t="s">
        <v>280</v>
      </c>
      <c r="T3" t="n">
        <v>0</v>
      </c>
    </row>
    <row r="4">
      <c r="A4" t="s">
        <v>31</v>
      </c>
      <c r="B4" t="n">
        <v>1.13</v>
      </c>
      <c r="C4" t="n">
        <v>0.89</v>
      </c>
      <c r="D4" t="n">
        <v>1.18</v>
      </c>
      <c r="E4" t="n">
        <v>-1.25</v>
      </c>
      <c r="F4" t="n">
        <v>-1.25</v>
      </c>
      <c r="G4" t="n">
        <v>174</v>
      </c>
      <c r="H4" t="n">
        <v>12</v>
      </c>
      <c r="I4" t="s">
        <v>284</v>
      </c>
      <c r="J4" t="n">
        <v>0</v>
      </c>
      <c r="K4" t="n">
        <v>0</v>
      </c>
      <c r="L4" t="n">
        <v>0</v>
      </c>
      <c r="M4" t="n">
        <v>12</v>
      </c>
      <c r="N4" t="n">
        <v>-0.5</v>
      </c>
      <c r="O4" t="n">
        <v>-0.25</v>
      </c>
      <c r="P4" t="n">
        <v>162</v>
      </c>
      <c r="Q4" t="n">
        <v>12</v>
      </c>
      <c r="R4" t="s">
        <v>281</v>
      </c>
      <c r="S4" t="s">
        <v>287</v>
      </c>
      <c r="T4" t="n">
        <v>-0.5</v>
      </c>
    </row>
    <row r="5">
      <c r="A5" t="s">
        <v>31</v>
      </c>
      <c r="B5" t="n">
        <v>1.02</v>
      </c>
      <c r="C5" t="n">
        <v>1.04</v>
      </c>
      <c r="D5" t="n">
        <v>1.03</v>
      </c>
      <c r="E5" t="n">
        <v>-3</v>
      </c>
      <c r="F5" t="n">
        <v>-0.25</v>
      </c>
      <c r="G5" t="n">
        <v>99</v>
      </c>
      <c r="H5" t="n">
        <v>12</v>
      </c>
      <c r="I5" t="s">
        <v>276</v>
      </c>
      <c r="J5" t="n">
        <v>0</v>
      </c>
      <c r="K5" t="n">
        <v>0</v>
      </c>
      <c r="L5" t="n">
        <v>0</v>
      </c>
      <c r="M5" t="n">
        <v>12</v>
      </c>
      <c r="N5" t="n">
        <v>0.5</v>
      </c>
      <c r="O5" t="n">
        <v>-0.25</v>
      </c>
      <c r="P5" t="n">
        <v>87</v>
      </c>
      <c r="Q5" t="n">
        <v>12</v>
      </c>
      <c r="R5" t="s">
        <v>275</v>
      </c>
      <c r="S5" t="s">
        <v>275</v>
      </c>
      <c r="T5" t="n">
        <v>0.25</v>
      </c>
    </row>
    <row r="6">
      <c r="A6" t="s">
        <v>31</v>
      </c>
      <c r="B6" t="n">
        <v>0.97</v>
      </c>
      <c r="C6" t="n">
        <v>0.83</v>
      </c>
      <c r="D6" t="n">
        <v>0.99</v>
      </c>
      <c r="E6" t="n">
        <v>-1.75</v>
      </c>
      <c r="F6" t="n">
        <v>-0.25</v>
      </c>
      <c r="G6" t="n">
        <v>94</v>
      </c>
      <c r="H6" t="n">
        <v>12</v>
      </c>
      <c r="I6" t="s">
        <v>277</v>
      </c>
      <c r="J6" t="n">
        <v>0</v>
      </c>
      <c r="K6" t="n">
        <v>0</v>
      </c>
      <c r="L6" t="n">
        <v>0</v>
      </c>
      <c r="M6" t="n">
        <v>12</v>
      </c>
      <c r="N6" t="n">
        <v>0.25</v>
      </c>
      <c r="O6" t="n">
        <v>0</v>
      </c>
      <c r="P6" t="n">
        <v>154</v>
      </c>
      <c r="Q6" t="n">
        <v>12</v>
      </c>
      <c r="R6" t="s">
        <v>276</v>
      </c>
      <c r="S6" t="s">
        <v>285</v>
      </c>
      <c r="T6" t="n">
        <v>0.25</v>
      </c>
    </row>
    <row r="7">
      <c r="A7" t="s">
        <v>31</v>
      </c>
      <c r="B7" t="n">
        <v>0.87</v>
      </c>
      <c r="C7" t="n">
        <v>0.85</v>
      </c>
      <c r="D7" t="n">
        <v>0.9</v>
      </c>
      <c r="E7" t="n">
        <v>-6.5</v>
      </c>
      <c r="F7" t="n">
        <v>0</v>
      </c>
      <c r="G7" t="n">
        <v>96</v>
      </c>
      <c r="H7" t="n">
        <v>12</v>
      </c>
      <c r="I7" t="s">
        <v>287</v>
      </c>
      <c r="J7" t="n">
        <v>0</v>
      </c>
      <c r="K7" t="n">
        <v>0</v>
      </c>
      <c r="L7" t="n">
        <v>0</v>
      </c>
      <c r="M7" t="n">
        <v>12</v>
      </c>
      <c r="N7" t="n">
        <v>-0.25</v>
      </c>
      <c r="O7" t="n">
        <v>0</v>
      </c>
      <c r="P7" t="n">
        <v>82</v>
      </c>
      <c r="Q7" t="n">
        <v>12</v>
      </c>
      <c r="R7" t="s">
        <v>278</v>
      </c>
      <c r="S7" t="s">
        <v>285</v>
      </c>
      <c r="T7" t="n">
        <v>-0.25</v>
      </c>
    </row>
    <row r="8">
      <c r="A8" t="s">
        <v>31</v>
      </c>
      <c r="B8" t="n">
        <v>0.93</v>
      </c>
      <c r="C8" t="n">
        <v>0.8</v>
      </c>
      <c r="D8" t="n">
        <v>0.92</v>
      </c>
      <c r="E8" t="n">
        <v>-5.25</v>
      </c>
      <c r="F8" t="n">
        <v>-0.5</v>
      </c>
      <c r="G8" t="n">
        <v>159</v>
      </c>
      <c r="H8" t="n">
        <v>12</v>
      </c>
      <c r="I8" t="s">
        <v>278</v>
      </c>
      <c r="J8" t="n">
        <v>0</v>
      </c>
      <c r="K8" t="n">
        <v>0</v>
      </c>
      <c r="L8" t="n">
        <v>0</v>
      </c>
      <c r="M8" t="n">
        <v>12</v>
      </c>
      <c r="N8" t="n">
        <v>0.25</v>
      </c>
      <c r="O8" t="n">
        <v>-0.5</v>
      </c>
      <c r="P8" t="n">
        <v>128</v>
      </c>
      <c r="Q8" t="n">
        <v>12</v>
      </c>
      <c r="R8" t="s">
        <v>278</v>
      </c>
      <c r="S8" t="s">
        <v>279</v>
      </c>
      <c r="T8" t="n">
        <v>0</v>
      </c>
    </row>
    <row r="9">
      <c r="A9" t="s">
        <v>31</v>
      </c>
      <c r="B9" t="n">
        <v>0.9</v>
      </c>
      <c r="C9" t="n">
        <v>0.69</v>
      </c>
      <c r="D9" t="n">
        <v>0.93</v>
      </c>
      <c r="E9" t="n">
        <v>-5</v>
      </c>
      <c r="F9" t="n">
        <v>-0.25</v>
      </c>
      <c r="G9" t="n">
        <v>94</v>
      </c>
      <c r="H9" t="n">
        <v>12</v>
      </c>
      <c r="I9" t="s">
        <v>278</v>
      </c>
      <c r="J9" t="n">
        <v>0</v>
      </c>
      <c r="K9" t="n">
        <v>0</v>
      </c>
      <c r="L9" t="n">
        <v>0</v>
      </c>
      <c r="M9" t="n">
        <v>12</v>
      </c>
      <c r="N9" t="n">
        <v>-1</v>
      </c>
      <c r="O9" t="n">
        <v>0</v>
      </c>
      <c r="P9" t="n">
        <v>70</v>
      </c>
      <c r="Q9" t="n">
        <v>12</v>
      </c>
      <c r="R9" t="s">
        <v>278</v>
      </c>
      <c r="S9" t="s">
        <v>286</v>
      </c>
      <c r="T9" t="n">
        <v>-1</v>
      </c>
    </row>
    <row r="10">
      <c r="A10" t="s">
        <v>31</v>
      </c>
      <c r="B10" t="n">
        <v>1.06</v>
      </c>
      <c r="C10" t="n">
        <v>0.92</v>
      </c>
      <c r="D10" t="n">
        <v>1.07</v>
      </c>
      <c r="E10" t="n">
        <v>-2</v>
      </c>
      <c r="F10" t="n">
        <v>-1.25</v>
      </c>
      <c r="G10" t="n">
        <v>96</v>
      </c>
      <c r="H10" t="n">
        <v>12</v>
      </c>
      <c r="I10" t="s">
        <v>275</v>
      </c>
      <c r="J10" t="n">
        <v>0</v>
      </c>
      <c r="K10" t="n">
        <v>0</v>
      </c>
      <c r="L10" t="n">
        <v>0</v>
      </c>
      <c r="M10" t="n">
        <v>12</v>
      </c>
      <c r="N10" t="n">
        <v>0.25</v>
      </c>
      <c r="O10" t="n">
        <v>0</v>
      </c>
      <c r="P10" t="n">
        <v>99</v>
      </c>
      <c r="Q10" t="n">
        <v>12</v>
      </c>
      <c r="R10" t="s">
        <v>275</v>
      </c>
      <c r="S10" t="s">
        <v>278</v>
      </c>
      <c r="T10" t="n">
        <v>0.25</v>
      </c>
    </row>
    <row r="11">
      <c r="A11" t="s">
        <v>31</v>
      </c>
      <c r="B11" t="n">
        <v>0.93</v>
      </c>
      <c r="C11" t="n">
        <v>0.85</v>
      </c>
      <c r="D11" t="n">
        <v>0.98</v>
      </c>
      <c r="E11" t="n">
        <v>-4.5</v>
      </c>
      <c r="F11" t="n">
        <v>-1.25</v>
      </c>
      <c r="G11" t="n">
        <v>32</v>
      </c>
      <c r="H11" t="n">
        <v>12</v>
      </c>
      <c r="I11" t="s">
        <v>278</v>
      </c>
      <c r="J11" t="n">
        <v>0</v>
      </c>
      <c r="K11" t="n">
        <v>0</v>
      </c>
      <c r="L11" t="n">
        <v>0</v>
      </c>
      <c r="M11" t="n">
        <v>12</v>
      </c>
      <c r="N11" t="n">
        <v>0</v>
      </c>
      <c r="O11" t="n">
        <v>0</v>
      </c>
      <c r="P11" t="n">
        <v>43</v>
      </c>
      <c r="Q11" t="n">
        <v>12</v>
      </c>
      <c r="R11" t="s">
        <v>276</v>
      </c>
      <c r="S11" t="s">
        <v>285</v>
      </c>
      <c r="T11" t="n">
        <v>0</v>
      </c>
    </row>
    <row r="12">
      <c r="A12" t="s">
        <v>31</v>
      </c>
      <c r="B12" t="n">
        <v>0.97</v>
      </c>
      <c r="C12" t="n">
        <v>0.78</v>
      </c>
      <c r="D12" t="n">
        <v>0.92</v>
      </c>
      <c r="E12" t="n">
        <v>-0.5</v>
      </c>
      <c r="F12" t="n">
        <v>-0.5</v>
      </c>
      <c r="G12" t="n">
        <v>24</v>
      </c>
      <c r="H12" t="n">
        <v>12</v>
      </c>
      <c r="I12" t="s">
        <v>277</v>
      </c>
      <c r="J12" t="n">
        <v>0</v>
      </c>
      <c r="K12" t="n">
        <v>0</v>
      </c>
      <c r="L12" t="n">
        <v>0</v>
      </c>
      <c r="M12" t="n">
        <v>12</v>
      </c>
      <c r="N12" t="n">
        <v>0</v>
      </c>
      <c r="O12" t="n">
        <v>0</v>
      </c>
      <c r="P12" t="n">
        <v>17</v>
      </c>
      <c r="Q12" t="n">
        <v>12</v>
      </c>
      <c r="R12" t="s">
        <v>278</v>
      </c>
      <c r="S12" t="s">
        <v>279</v>
      </c>
      <c r="T12" t="n">
        <v>0</v>
      </c>
    </row>
    <row r="13">
      <c r="A13" t="s">
        <v>31</v>
      </c>
      <c r="B13" t="n">
        <v>0.94</v>
      </c>
      <c r="C13" t="n">
        <v>0.82</v>
      </c>
      <c r="D13" t="n">
        <v>0.87</v>
      </c>
      <c r="E13" t="n">
        <v>-1.5</v>
      </c>
      <c r="F13" t="n">
        <v>-0.25</v>
      </c>
      <c r="G13" t="n">
        <v>164</v>
      </c>
      <c r="H13" t="n">
        <v>12</v>
      </c>
      <c r="I13" t="s">
        <v>277</v>
      </c>
      <c r="J13" t="n">
        <v>0</v>
      </c>
      <c r="K13" t="n">
        <v>0</v>
      </c>
      <c r="L13" t="n">
        <v>0</v>
      </c>
      <c r="M13" t="n">
        <v>12</v>
      </c>
      <c r="N13" t="n">
        <v>0.5</v>
      </c>
      <c r="O13" t="n">
        <v>-0.25</v>
      </c>
      <c r="P13" t="n">
        <v>159</v>
      </c>
      <c r="Q13" t="n">
        <v>12</v>
      </c>
      <c r="R13" t="s">
        <v>287</v>
      </c>
      <c r="S13" t="s">
        <v>285</v>
      </c>
      <c r="T13" t="n">
        <v>0.25</v>
      </c>
    </row>
    <row r="14">
      <c r="A14" t="s">
        <v>31</v>
      </c>
      <c r="B14" t="n">
        <v>1.02</v>
      </c>
      <c r="C14" t="n">
        <v>0.85</v>
      </c>
      <c r="D14" t="n">
        <v>0.99</v>
      </c>
      <c r="E14" t="n">
        <v>-3</v>
      </c>
      <c r="F14" t="n">
        <v>-0.5</v>
      </c>
      <c r="G14" t="n">
        <v>172</v>
      </c>
      <c r="H14" t="n">
        <v>12</v>
      </c>
      <c r="I14" t="s">
        <v>276</v>
      </c>
      <c r="J14" t="n">
        <v>0</v>
      </c>
      <c r="K14" t="n">
        <v>0</v>
      </c>
      <c r="L14" t="n">
        <v>0</v>
      </c>
      <c r="M14" t="n">
        <v>12</v>
      </c>
      <c r="N14" t="n">
        <v>0.5</v>
      </c>
      <c r="O14" t="n">
        <v>-0.25</v>
      </c>
      <c r="P14" t="n">
        <v>142</v>
      </c>
      <c r="Q14" t="n">
        <v>12</v>
      </c>
      <c r="R14" t="s">
        <v>276</v>
      </c>
      <c r="S14" t="s">
        <v>285</v>
      </c>
      <c r="T14" t="n">
        <v>0.5</v>
      </c>
    </row>
    <row r="15">
      <c r="A15" t="s">
        <v>31</v>
      </c>
      <c r="B15" t="n">
        <v>1</v>
      </c>
      <c r="C15" t="n">
        <v>0.94</v>
      </c>
      <c r="D15" t="n">
        <v>1.04</v>
      </c>
      <c r="E15" t="n">
        <v>-1.75</v>
      </c>
      <c r="F15" t="n">
        <v>-1.25</v>
      </c>
      <c r="G15" t="n">
        <v>179</v>
      </c>
      <c r="H15" t="n">
        <v>12</v>
      </c>
      <c r="I15" t="s">
        <v>276</v>
      </c>
      <c r="J15" t="n">
        <v>0</v>
      </c>
      <c r="K15" t="n">
        <v>0</v>
      </c>
      <c r="L15" t="n">
        <v>0</v>
      </c>
      <c r="M15" t="n">
        <v>12</v>
      </c>
      <c r="N15" t="n">
        <v>0.25</v>
      </c>
      <c r="O15" t="n">
        <v>0</v>
      </c>
      <c r="P15" t="n">
        <v>155</v>
      </c>
      <c r="Q15" t="n">
        <v>12</v>
      </c>
      <c r="R15" t="s">
        <v>275</v>
      </c>
      <c r="S15" t="s">
        <v>277</v>
      </c>
      <c r="T15" t="n">
        <v>0.25</v>
      </c>
    </row>
    <row r="16">
      <c r="A16" t="s">
        <v>31</v>
      </c>
      <c r="B16" t="n">
        <v>0.93</v>
      </c>
      <c r="C16" t="n">
        <v>0.91</v>
      </c>
      <c r="D16" t="n">
        <v>0.92</v>
      </c>
      <c r="E16" t="n">
        <v>-3.25</v>
      </c>
      <c r="F16" t="n">
        <v>-0.25</v>
      </c>
      <c r="G16" t="n">
        <v>11</v>
      </c>
      <c r="H16" t="n">
        <v>12</v>
      </c>
      <c r="I16" t="s">
        <v>278</v>
      </c>
      <c r="J16" t="n">
        <v>0</v>
      </c>
      <c r="K16" t="n">
        <v>0</v>
      </c>
      <c r="L16" t="n">
        <v>0</v>
      </c>
      <c r="M16" t="n">
        <v>12</v>
      </c>
      <c r="N16" t="n">
        <v>0.5</v>
      </c>
      <c r="O16" t="n">
        <v>-0.25</v>
      </c>
      <c r="P16" t="n">
        <v>169</v>
      </c>
      <c r="Q16" t="n">
        <v>12</v>
      </c>
      <c r="R16" t="s">
        <v>278</v>
      </c>
      <c r="S16" t="s">
        <v>278</v>
      </c>
      <c r="T16" t="n">
        <v>0.25</v>
      </c>
    </row>
    <row r="17">
      <c r="A17" t="s">
        <v>31</v>
      </c>
      <c r="B17" t="n">
        <v>0.96</v>
      </c>
      <c r="C17" t="n">
        <v>0.98</v>
      </c>
      <c r="D17" t="n">
        <v>1</v>
      </c>
      <c r="E17" t="n">
        <v>-5.25</v>
      </c>
      <c r="F17" t="n">
        <v>-0.5</v>
      </c>
      <c r="G17" t="n">
        <v>167</v>
      </c>
      <c r="H17" t="n">
        <v>12</v>
      </c>
      <c r="I17" t="s">
        <v>277</v>
      </c>
      <c r="J17" t="n">
        <v>0</v>
      </c>
      <c r="K17" t="n">
        <v>0</v>
      </c>
      <c r="L17" t="n">
        <v>0</v>
      </c>
      <c r="M17" t="n">
        <v>12</v>
      </c>
      <c r="N17" t="n">
        <v>0</v>
      </c>
      <c r="O17" t="n">
        <v>-0.75</v>
      </c>
      <c r="P17" t="n">
        <v>3</v>
      </c>
      <c r="Q17" t="n">
        <v>12</v>
      </c>
      <c r="R17" t="s">
        <v>276</v>
      </c>
      <c r="S17" t="s">
        <v>276</v>
      </c>
      <c r="T17" t="n">
        <v>-0.25</v>
      </c>
    </row>
    <row r="18">
      <c r="A18" t="s">
        <v>31</v>
      </c>
      <c r="B18" t="n">
        <v>1.05</v>
      </c>
      <c r="C18" t="n">
        <v>0.89</v>
      </c>
      <c r="D18" t="n">
        <v>1.04</v>
      </c>
      <c r="E18" t="n">
        <v>-3.75</v>
      </c>
      <c r="F18" t="n">
        <v>-0.75</v>
      </c>
      <c r="G18" t="n">
        <v>94</v>
      </c>
      <c r="H18" t="n">
        <v>12</v>
      </c>
      <c r="I18" t="s">
        <v>275</v>
      </c>
      <c r="J18" t="n">
        <v>0</v>
      </c>
      <c r="K18" t="n">
        <v>0</v>
      </c>
      <c r="L18" t="n">
        <v>0</v>
      </c>
      <c r="M18" t="n">
        <v>12</v>
      </c>
      <c r="N18" t="n">
        <v>-0.5</v>
      </c>
      <c r="O18" t="n">
        <v>-0.25</v>
      </c>
      <c r="P18" t="n">
        <v>63</v>
      </c>
      <c r="Q18" t="n">
        <v>12</v>
      </c>
      <c r="R18" t="s">
        <v>275</v>
      </c>
      <c r="S18" t="s">
        <v>287</v>
      </c>
      <c r="T18" t="n">
        <v>-0.75</v>
      </c>
    </row>
    <row r="19">
      <c r="A19" t="s">
        <v>31</v>
      </c>
      <c r="B19" t="n">
        <v>1.09</v>
      </c>
      <c r="C19" t="n">
        <v>1</v>
      </c>
      <c r="D19" t="n">
        <v>1.11</v>
      </c>
      <c r="E19" t="n">
        <v>-4.75</v>
      </c>
      <c r="F19" t="n">
        <v>-1.5</v>
      </c>
      <c r="G19" t="n">
        <v>174</v>
      </c>
      <c r="H19" t="n">
        <v>12</v>
      </c>
      <c r="I19" t="s">
        <v>280</v>
      </c>
      <c r="J19" t="n">
        <v>0</v>
      </c>
      <c r="K19" t="n">
        <v>0</v>
      </c>
      <c r="L19" t="n">
        <v>0</v>
      </c>
      <c r="M19" t="n">
        <v>12</v>
      </c>
      <c r="N19" t="n">
        <v>0</v>
      </c>
      <c r="O19" t="n">
        <v>-0.25</v>
      </c>
      <c r="P19" t="n">
        <v>1</v>
      </c>
      <c r="Q19" t="n">
        <v>12</v>
      </c>
      <c r="R19" t="s">
        <v>280</v>
      </c>
      <c r="S19" t="s">
        <v>276</v>
      </c>
      <c r="T19" t="n">
        <v>0</v>
      </c>
    </row>
    <row r="20">
      <c r="A20" t="s">
        <v>31</v>
      </c>
      <c r="B20" t="n">
        <v>1.01</v>
      </c>
      <c r="C20" t="n">
        <v>0.92</v>
      </c>
      <c r="D20" t="n">
        <v>1</v>
      </c>
      <c r="E20" t="n">
        <v>-4.25</v>
      </c>
      <c r="F20" t="n">
        <v>-0.5</v>
      </c>
      <c r="G20" t="n">
        <v>9</v>
      </c>
      <c r="H20" t="n">
        <v>12</v>
      </c>
      <c r="I20" t="s">
        <v>276</v>
      </c>
      <c r="J20" t="n">
        <v>0</v>
      </c>
      <c r="K20" t="n">
        <v>0</v>
      </c>
      <c r="L20" t="n">
        <v>0</v>
      </c>
      <c r="M20" t="n">
        <v>12</v>
      </c>
      <c r="N20" t="n">
        <v>1</v>
      </c>
      <c r="O20" t="n">
        <v>-0.25</v>
      </c>
      <c r="P20" t="n">
        <v>175</v>
      </c>
      <c r="Q20" t="n">
        <v>12</v>
      </c>
      <c r="R20" t="s">
        <v>276</v>
      </c>
      <c r="S20" t="s">
        <v>278</v>
      </c>
      <c r="T20" t="n">
        <v>0.75</v>
      </c>
    </row>
    <row r="21">
      <c r="A21" t="s">
        <v>31</v>
      </c>
      <c r="B21" t="n">
        <v>1.07</v>
      </c>
      <c r="C21" t="n">
        <v>1.09</v>
      </c>
      <c r="D21" t="n">
        <v>1.14</v>
      </c>
      <c r="E21" t="n">
        <v>-8</v>
      </c>
      <c r="F21" t="n">
        <v>-0.5</v>
      </c>
      <c r="G21" t="n">
        <v>89</v>
      </c>
      <c r="H21" t="n">
        <v>12</v>
      </c>
      <c r="I21" t="s">
        <v>275</v>
      </c>
      <c r="J21" t="n">
        <v>0</v>
      </c>
      <c r="K21" t="n">
        <v>0</v>
      </c>
      <c r="L21" t="n">
        <v>0</v>
      </c>
      <c r="M21" t="n">
        <v>12</v>
      </c>
      <c r="N21" t="n">
        <v>0</v>
      </c>
      <c r="O21" t="n">
        <v>-0.5</v>
      </c>
      <c r="P21" t="n">
        <v>109</v>
      </c>
      <c r="Q21" t="n">
        <v>12</v>
      </c>
      <c r="R21" t="s">
        <v>284</v>
      </c>
      <c r="S21" t="s">
        <v>280</v>
      </c>
      <c r="T21" t="n">
        <v>-0.25</v>
      </c>
    </row>
    <row r="22">
      <c r="A22" t="s">
        <v>31</v>
      </c>
      <c r="B22" t="n">
        <v>0.96</v>
      </c>
      <c r="C22" t="n">
        <v>0.9</v>
      </c>
      <c r="D22" t="n">
        <v>0.97</v>
      </c>
      <c r="E22" t="n">
        <v>-6</v>
      </c>
      <c r="F22" t="n">
        <v>-1.5</v>
      </c>
      <c r="G22" t="n">
        <v>100</v>
      </c>
      <c r="H22" t="n">
        <v>12</v>
      </c>
      <c r="I22" t="s">
        <v>277</v>
      </c>
      <c r="J22" t="n">
        <v>0</v>
      </c>
      <c r="K22" t="n">
        <v>0</v>
      </c>
      <c r="L22" t="n">
        <v>0</v>
      </c>
      <c r="M22" t="n">
        <v>12</v>
      </c>
      <c r="N22" t="n">
        <v>0</v>
      </c>
      <c r="O22" t="n">
        <v>-0.5</v>
      </c>
      <c r="P22" t="n">
        <v>95</v>
      </c>
      <c r="Q22" t="n">
        <v>12</v>
      </c>
      <c r="R22" t="s">
        <v>277</v>
      </c>
      <c r="S22" t="s">
        <v>278</v>
      </c>
      <c r="T22" t="n">
        <v>-0.25</v>
      </c>
    </row>
    <row r="23">
      <c r="A23" t="s">
        <v>31</v>
      </c>
      <c r="B23" t="n">
        <v>0.91</v>
      </c>
      <c r="C23" t="n">
        <v>0.68</v>
      </c>
      <c r="D23" t="n">
        <v>0.91</v>
      </c>
      <c r="E23" t="n">
        <v>-1.25</v>
      </c>
      <c r="F23" t="n">
        <v>-0.25</v>
      </c>
      <c r="G23" t="n">
        <v>100</v>
      </c>
      <c r="H23" t="n">
        <v>12</v>
      </c>
      <c r="I23" t="s">
        <v>278</v>
      </c>
      <c r="J23" t="n">
        <v>0</v>
      </c>
      <c r="K23" t="n">
        <v>0</v>
      </c>
      <c r="L23" t="n">
        <v>0</v>
      </c>
      <c r="M23" t="n">
        <v>12</v>
      </c>
      <c r="N23" t="n">
        <v>-0.5</v>
      </c>
      <c r="O23" t="n">
        <v>-0.5</v>
      </c>
      <c r="P23" t="n">
        <v>74</v>
      </c>
      <c r="Q23" t="n">
        <v>12</v>
      </c>
      <c r="R23" t="s">
        <v>278</v>
      </c>
      <c r="S23" t="s">
        <v>286</v>
      </c>
      <c r="T23" t="n">
        <v>-0.75</v>
      </c>
    </row>
    <row r="24">
      <c r="A24" t="s">
        <v>31</v>
      </c>
      <c r="B24" t="n">
        <v>1.12</v>
      </c>
      <c r="C24" t="n">
        <v>0.91</v>
      </c>
      <c r="D24" t="n">
        <v>1.08</v>
      </c>
      <c r="E24" t="n">
        <v>-6</v>
      </c>
      <c r="F24" t="n">
        <v>-0.5</v>
      </c>
      <c r="G24" t="n">
        <v>4</v>
      </c>
      <c r="H24" t="n">
        <v>12</v>
      </c>
      <c r="I24" t="s">
        <v>280</v>
      </c>
      <c r="J24" t="n">
        <v>0</v>
      </c>
      <c r="K24" t="n">
        <v>0</v>
      </c>
      <c r="L24" t="n">
        <v>0</v>
      </c>
      <c r="M24" t="n">
        <v>12</v>
      </c>
      <c r="N24" t="n">
        <v>0</v>
      </c>
      <c r="O24" t="n">
        <v>-0.25</v>
      </c>
      <c r="P24" t="n">
        <v>179</v>
      </c>
      <c r="Q24" t="n">
        <v>12</v>
      </c>
      <c r="R24" t="s">
        <v>280</v>
      </c>
      <c r="S24" t="s">
        <v>278</v>
      </c>
      <c r="T24" t="n">
        <v>-0.25</v>
      </c>
    </row>
    <row r="25">
      <c r="A25" t="s">
        <v>31</v>
      </c>
      <c r="B25" t="n">
        <v>1.09</v>
      </c>
      <c r="C25" t="n">
        <v>0.91</v>
      </c>
      <c r="D25" t="n">
        <v>1.13</v>
      </c>
      <c r="E25" t="n">
        <v>-4.25</v>
      </c>
      <c r="F25" t="n">
        <v>-0.75</v>
      </c>
      <c r="G25" t="n">
        <v>159</v>
      </c>
      <c r="H25" t="n">
        <v>12</v>
      </c>
      <c r="I25" t="s">
        <v>280</v>
      </c>
      <c r="J25" t="n">
        <v>0</v>
      </c>
      <c r="K25" t="n">
        <v>0</v>
      </c>
      <c r="L25" t="n">
        <v>0</v>
      </c>
      <c r="M25" t="n">
        <v>12</v>
      </c>
      <c r="N25" t="n">
        <v>-0.5</v>
      </c>
      <c r="O25" t="n">
        <v>-0.25</v>
      </c>
      <c r="P25" t="n">
        <v>175</v>
      </c>
      <c r="Q25" t="n">
        <v>12</v>
      </c>
      <c r="R25" t="s">
        <v>284</v>
      </c>
      <c r="S25" t="s">
        <v>278</v>
      </c>
      <c r="T25" t="n">
        <v>-0.75</v>
      </c>
    </row>
    <row r="26">
      <c r="A26" t="s">
        <v>31</v>
      </c>
      <c r="B26" t="n">
        <v>0.94</v>
      </c>
      <c r="C26" t="n">
        <v>0.87</v>
      </c>
      <c r="D26" t="n">
        <v>0.93</v>
      </c>
      <c r="E26" t="n">
        <v>-4.75</v>
      </c>
      <c r="F26" t="n">
        <v>-1</v>
      </c>
      <c r="G26" t="n">
        <v>180</v>
      </c>
      <c r="H26" t="n">
        <v>12</v>
      </c>
      <c r="I26" t="s">
        <v>277</v>
      </c>
      <c r="J26" t="n">
        <v>0</v>
      </c>
      <c r="K26" t="n">
        <v>0</v>
      </c>
      <c r="L26" t="n">
        <v>0</v>
      </c>
      <c r="M26" t="n">
        <v>12</v>
      </c>
      <c r="N26" t="n">
        <v>0</v>
      </c>
      <c r="O26" t="n">
        <v>-0.25</v>
      </c>
      <c r="P26" t="n">
        <v>13</v>
      </c>
      <c r="Q26" t="n">
        <v>12</v>
      </c>
      <c r="R26" t="s">
        <v>278</v>
      </c>
      <c r="S26" t="s">
        <v>287</v>
      </c>
      <c r="T26" t="n">
        <v>0</v>
      </c>
    </row>
    <row r="27">
      <c r="A27" t="s">
        <v>31</v>
      </c>
      <c r="B27" t="n">
        <v>0.94</v>
      </c>
      <c r="C27" t="n">
        <v>0.8</v>
      </c>
      <c r="D27" t="n">
        <v>0.97</v>
      </c>
      <c r="E27" t="n">
        <v>-6</v>
      </c>
      <c r="F27" t="n">
        <v>-1.25</v>
      </c>
      <c r="G27" t="n">
        <v>179</v>
      </c>
      <c r="H27" t="n">
        <v>12</v>
      </c>
      <c r="I27" t="s">
        <v>277</v>
      </c>
      <c r="J27" t="n">
        <v>0</v>
      </c>
      <c r="K27" t="n">
        <v>0</v>
      </c>
      <c r="L27" t="n">
        <v>0</v>
      </c>
      <c r="M27" t="n">
        <v>12</v>
      </c>
      <c r="N27" t="n">
        <v>-0.5</v>
      </c>
      <c r="O27" t="n">
        <v>0</v>
      </c>
      <c r="P27" t="n">
        <v>12</v>
      </c>
      <c r="Q27" t="n">
        <v>12</v>
      </c>
      <c r="R27" t="s">
        <v>277</v>
      </c>
      <c r="S27" t="s">
        <v>279</v>
      </c>
      <c r="T27" t="n">
        <v>-0.5</v>
      </c>
    </row>
    <row r="28">
      <c r="A28" t="s">
        <v>31</v>
      </c>
      <c r="B28" t="n">
        <v>1.03</v>
      </c>
      <c r="C28" t="n">
        <v>0.88</v>
      </c>
      <c r="D28" t="n">
        <v>1.04</v>
      </c>
      <c r="E28" t="n">
        <v>-4.75</v>
      </c>
      <c r="F28" t="n">
        <v>-0.75</v>
      </c>
      <c r="G28" t="n">
        <v>6</v>
      </c>
      <c r="H28" t="n">
        <v>12</v>
      </c>
      <c r="I28" t="s">
        <v>275</v>
      </c>
      <c r="J28" t="n">
        <v>0</v>
      </c>
      <c r="K28" t="n">
        <v>0</v>
      </c>
      <c r="L28" t="n">
        <v>0</v>
      </c>
      <c r="M28" t="n">
        <v>12</v>
      </c>
      <c r="N28" t="n">
        <v>0.75</v>
      </c>
      <c r="O28" t="n">
        <v>0</v>
      </c>
      <c r="P28" t="n">
        <v>23</v>
      </c>
      <c r="Q28" t="n">
        <v>12</v>
      </c>
      <c r="R28" t="s">
        <v>275</v>
      </c>
      <c r="S28" t="s">
        <v>287</v>
      </c>
      <c r="T28" t="n">
        <v>0.75</v>
      </c>
    </row>
    <row r="29">
      <c r="A29" t="s">
        <v>31</v>
      </c>
      <c r="B29" t="n">
        <v>1.08</v>
      </c>
      <c r="C29" t="n">
        <v>0.88</v>
      </c>
      <c r="D29" t="n">
        <v>1.1</v>
      </c>
      <c r="E29" t="n">
        <v>-2.75</v>
      </c>
      <c r="F29" t="n">
        <v>-0.25</v>
      </c>
      <c r="G29" t="n">
        <v>157</v>
      </c>
      <c r="H29" t="n">
        <v>12</v>
      </c>
      <c r="I29" t="s">
        <v>280</v>
      </c>
      <c r="J29" t="n">
        <v>0</v>
      </c>
      <c r="K29" t="n">
        <v>0</v>
      </c>
      <c r="L29" t="n">
        <v>0</v>
      </c>
      <c r="M29" t="n">
        <v>12</v>
      </c>
      <c r="N29" t="n">
        <v>0.5</v>
      </c>
      <c r="O29" t="n">
        <v>-0.25</v>
      </c>
      <c r="P29" t="n">
        <v>128</v>
      </c>
      <c r="Q29" t="n">
        <v>12</v>
      </c>
      <c r="R29" t="s">
        <v>280</v>
      </c>
      <c r="S29" t="s">
        <v>287</v>
      </c>
      <c r="T29" t="n">
        <v>0.5</v>
      </c>
    </row>
    <row r="30">
      <c r="A30" t="s">
        <v>31</v>
      </c>
      <c r="B30" t="n">
        <v>1.05</v>
      </c>
      <c r="C30" t="n">
        <v>1.01</v>
      </c>
      <c r="D30" t="n">
        <v>1.07</v>
      </c>
      <c r="E30" t="n">
        <v>-5</v>
      </c>
      <c r="F30" t="n">
        <v>-1.5</v>
      </c>
      <c r="G30" t="n">
        <v>0</v>
      </c>
      <c r="H30" t="n">
        <v>12</v>
      </c>
      <c r="I30" t="s">
        <v>275</v>
      </c>
      <c r="J30" t="n">
        <v>0</v>
      </c>
      <c r="K30" t="n">
        <v>0</v>
      </c>
      <c r="L30" t="n">
        <v>0</v>
      </c>
      <c r="M30" t="n">
        <v>12</v>
      </c>
      <c r="N30" t="n">
        <v>0</v>
      </c>
      <c r="O30" t="n">
        <v>0</v>
      </c>
      <c r="P30" t="n">
        <v>5</v>
      </c>
      <c r="Q30" t="n">
        <v>12</v>
      </c>
      <c r="R30" t="s">
        <v>275</v>
      </c>
      <c r="S30" t="s">
        <v>276</v>
      </c>
      <c r="T30" t="n">
        <v>0</v>
      </c>
    </row>
    <row r="31">
      <c r="A31" t="s">
        <v>31</v>
      </c>
      <c r="B31" t="n">
        <v>1.07</v>
      </c>
      <c r="C31" t="n">
        <v>0.91</v>
      </c>
      <c r="D31" t="n">
        <v>1.02</v>
      </c>
      <c r="E31" t="n">
        <v>-2</v>
      </c>
      <c r="F31" t="n">
        <v>0</v>
      </c>
      <c r="G31" t="n">
        <v>100</v>
      </c>
      <c r="H31" t="n">
        <v>12</v>
      </c>
      <c r="I31" t="s">
        <v>275</v>
      </c>
      <c r="J31" t="n">
        <v>0</v>
      </c>
      <c r="K31" t="n">
        <v>0</v>
      </c>
      <c r="L31" t="n">
        <v>0</v>
      </c>
      <c r="M31" t="n">
        <v>12</v>
      </c>
      <c r="N31" t="n">
        <v>-0.5</v>
      </c>
      <c r="O31" t="n">
        <v>-0.5</v>
      </c>
      <c r="P31" t="n">
        <v>87</v>
      </c>
      <c r="Q31" t="n">
        <v>12</v>
      </c>
      <c r="R31" t="s">
        <v>276</v>
      </c>
      <c r="S31" t="s">
        <v>278</v>
      </c>
      <c r="T31" t="n">
        <v>-0.75</v>
      </c>
    </row>
    <row r="32">
      <c r="A32" t="s">
        <v>31</v>
      </c>
      <c r="B32" t="n">
        <v>0.94</v>
      </c>
      <c r="C32" t="n">
        <v>0.91</v>
      </c>
      <c r="D32" t="n">
        <v>0.94</v>
      </c>
      <c r="E32" t="n">
        <v>-6.25</v>
      </c>
      <c r="F32" t="n">
        <v>-0.75</v>
      </c>
      <c r="G32" t="n">
        <v>13</v>
      </c>
      <c r="H32" t="n">
        <v>12</v>
      </c>
      <c r="I32" t="s">
        <v>277</v>
      </c>
      <c r="J32" t="n">
        <v>0</v>
      </c>
      <c r="K32" t="n">
        <v>0</v>
      </c>
      <c r="L32" t="n">
        <v>0</v>
      </c>
      <c r="M32" t="n">
        <v>12</v>
      </c>
      <c r="N32" t="n">
        <v>0</v>
      </c>
      <c r="O32" t="n">
        <v>0</v>
      </c>
      <c r="P32" t="n">
        <v>9</v>
      </c>
      <c r="Q32" t="n">
        <v>12</v>
      </c>
      <c r="R32" t="s">
        <v>277</v>
      </c>
      <c r="S32" t="s">
        <v>278</v>
      </c>
      <c r="T32" t="n">
        <v>0</v>
      </c>
    </row>
    <row r="33">
      <c r="A33" t="s">
        <v>31</v>
      </c>
      <c r="B33" t="n">
        <v>1.01</v>
      </c>
      <c r="C33" t="n">
        <v>0.84</v>
      </c>
      <c r="D33" t="n">
        <v>0.98</v>
      </c>
      <c r="E33" t="n">
        <v>-5.25</v>
      </c>
      <c r="F33" t="n">
        <v>-0.5</v>
      </c>
      <c r="G33" t="n">
        <v>38</v>
      </c>
      <c r="H33" t="n">
        <v>12</v>
      </c>
      <c r="I33" t="s">
        <v>276</v>
      </c>
      <c r="J33" t="n">
        <v>0</v>
      </c>
      <c r="K33" t="n">
        <v>0</v>
      </c>
      <c r="L33" t="n">
        <v>0</v>
      </c>
      <c r="M33" t="n">
        <v>12</v>
      </c>
      <c r="N33" t="n">
        <v>0</v>
      </c>
      <c r="O33" t="n">
        <v>-0.5</v>
      </c>
      <c r="P33" t="n">
        <v>3</v>
      </c>
      <c r="Q33" t="n">
        <v>12</v>
      </c>
      <c r="R33" t="s">
        <v>276</v>
      </c>
      <c r="S33" t="s">
        <v>285</v>
      </c>
      <c r="T33" t="n">
        <v>-0.25</v>
      </c>
    </row>
    <row r="34">
      <c r="A34" t="s">
        <v>31</v>
      </c>
      <c r="B34" t="n">
        <v>0.97</v>
      </c>
      <c r="C34" t="n">
        <v>0.78</v>
      </c>
      <c r="D34" t="n">
        <v>0.93</v>
      </c>
      <c r="E34" t="n">
        <v>-5.5</v>
      </c>
      <c r="F34" t="n">
        <v>-0.5</v>
      </c>
      <c r="G34" t="n">
        <v>179</v>
      </c>
      <c r="H34" t="n">
        <v>12</v>
      </c>
      <c r="I34" t="s">
        <v>277</v>
      </c>
      <c r="J34" t="n">
        <v>0</v>
      </c>
      <c r="K34" t="n">
        <v>0</v>
      </c>
      <c r="L34" t="n">
        <v>0</v>
      </c>
      <c r="M34" t="n">
        <v>12</v>
      </c>
      <c r="N34" t="n">
        <v>-0.5</v>
      </c>
      <c r="O34" t="n">
        <v>-0.75</v>
      </c>
      <c r="P34" t="n">
        <v>0</v>
      </c>
      <c r="Q34" t="n">
        <v>12</v>
      </c>
      <c r="R34" t="s">
        <v>278</v>
      </c>
      <c r="S34" t="s">
        <v>279</v>
      </c>
      <c r="T34" t="n">
        <v>-1</v>
      </c>
    </row>
    <row r="35">
      <c r="A35" t="s">
        <v>31</v>
      </c>
      <c r="B35" t="n">
        <v>1.01</v>
      </c>
      <c r="C35" t="n">
        <v>1.12</v>
      </c>
      <c r="D35" t="n">
        <v>1.07</v>
      </c>
      <c r="E35" t="n">
        <v>-5.5</v>
      </c>
      <c r="F35" t="n">
        <v>-0.75</v>
      </c>
      <c r="G35" t="n">
        <v>21</v>
      </c>
      <c r="H35" t="n">
        <v>12</v>
      </c>
      <c r="I35" t="s">
        <v>276</v>
      </c>
      <c r="J35" t="n">
        <v>0</v>
      </c>
      <c r="K35" t="n">
        <v>0</v>
      </c>
      <c r="L35" t="n">
        <v>0</v>
      </c>
      <c r="M35" t="n">
        <v>12</v>
      </c>
      <c r="N35" t="n">
        <v>0.5</v>
      </c>
      <c r="O35" t="n">
        <v>-0.5</v>
      </c>
      <c r="P35" t="n">
        <v>28</v>
      </c>
      <c r="Q35" t="n">
        <v>12</v>
      </c>
      <c r="R35" t="s">
        <v>275</v>
      </c>
      <c r="S35" t="s">
        <v>280</v>
      </c>
      <c r="T35" t="n">
        <v>0.25</v>
      </c>
    </row>
    <row r="36">
      <c r="A36" t="s">
        <v>31</v>
      </c>
      <c r="B36" t="n">
        <v>1</v>
      </c>
      <c r="C36" t="n">
        <v>0.94</v>
      </c>
      <c r="D36" t="n">
        <v>0.96</v>
      </c>
      <c r="E36" t="n">
        <v>-2.75</v>
      </c>
      <c r="F36" t="n">
        <v>-1</v>
      </c>
      <c r="G36" t="n">
        <v>77</v>
      </c>
      <c r="H36" t="n">
        <v>12</v>
      </c>
      <c r="I36" t="s">
        <v>276</v>
      </c>
      <c r="J36" t="n">
        <v>0</v>
      </c>
      <c r="K36" t="n">
        <v>0</v>
      </c>
      <c r="L36" t="n">
        <v>0</v>
      </c>
      <c r="M36" t="n">
        <v>12</v>
      </c>
      <c r="N36" t="n">
        <v>0</v>
      </c>
      <c r="O36" t="n">
        <v>0</v>
      </c>
      <c r="P36" t="n">
        <v>72</v>
      </c>
      <c r="Q36" t="n">
        <v>12</v>
      </c>
      <c r="R36" t="s">
        <v>277</v>
      </c>
      <c r="S36" t="s">
        <v>277</v>
      </c>
      <c r="T36" t="n">
        <v>0</v>
      </c>
    </row>
    <row r="37">
      <c r="A37" t="s">
        <v>31</v>
      </c>
      <c r="B37" t="n">
        <v>1.15</v>
      </c>
      <c r="C37" t="n">
        <v>0.83</v>
      </c>
      <c r="D37" t="n">
        <v>1.08</v>
      </c>
      <c r="E37" t="n">
        <v>-4.5</v>
      </c>
      <c r="F37" t="n">
        <v>-2.5</v>
      </c>
      <c r="G37" t="n">
        <v>104</v>
      </c>
      <c r="H37" t="n">
        <v>12</v>
      </c>
      <c r="I37" t="s">
        <v>284</v>
      </c>
      <c r="J37" t="n">
        <v>0</v>
      </c>
      <c r="K37" t="n">
        <v>0</v>
      </c>
      <c r="L37" t="n">
        <v>0</v>
      </c>
      <c r="M37" t="n">
        <v>12</v>
      </c>
      <c r="N37" t="n">
        <v>1</v>
      </c>
      <c r="O37" t="n">
        <v>-0.25</v>
      </c>
      <c r="P37" t="n">
        <v>105</v>
      </c>
      <c r="Q37" t="n">
        <v>12</v>
      </c>
      <c r="R37" t="s">
        <v>280</v>
      </c>
      <c r="S37" t="s">
        <v>285</v>
      </c>
      <c r="T37" t="n">
        <v>0.75</v>
      </c>
    </row>
    <row r="38">
      <c r="A38" t="s">
        <v>31</v>
      </c>
      <c r="B38" t="n">
        <v>0.94</v>
      </c>
      <c r="C38" t="n">
        <v>0.77</v>
      </c>
      <c r="D38" t="n">
        <v>0.94</v>
      </c>
      <c r="E38" t="n">
        <v>-4.25</v>
      </c>
      <c r="F38" t="n">
        <v>-0.25</v>
      </c>
      <c r="G38" t="n">
        <v>10</v>
      </c>
      <c r="H38" t="n">
        <v>12</v>
      </c>
      <c r="I38" t="s">
        <v>277</v>
      </c>
      <c r="J38" t="n">
        <v>0</v>
      </c>
      <c r="K38" t="n">
        <v>0</v>
      </c>
      <c r="L38" t="n">
        <v>0</v>
      </c>
      <c r="M38" t="n">
        <v>12</v>
      </c>
      <c r="N38" t="n">
        <v>-0.5</v>
      </c>
      <c r="O38" t="n">
        <v>-0.25</v>
      </c>
      <c r="P38" t="n">
        <v>172</v>
      </c>
      <c r="Q38" t="n">
        <v>12</v>
      </c>
      <c r="R38" t="s">
        <v>277</v>
      </c>
      <c r="S38" t="s">
        <v>288</v>
      </c>
      <c r="T38" t="n">
        <v>-0.5</v>
      </c>
    </row>
    <row r="39">
      <c r="A39" t="s">
        <v>31</v>
      </c>
      <c r="B39" t="n">
        <v>1.04</v>
      </c>
      <c r="C39" t="n">
        <v>0.85</v>
      </c>
      <c r="D39" t="n">
        <v>1.11</v>
      </c>
      <c r="E39" t="n">
        <v>-5.75</v>
      </c>
      <c r="F39" t="n">
        <v>-0.5</v>
      </c>
      <c r="G39" t="n">
        <v>87</v>
      </c>
      <c r="H39" t="n">
        <v>12</v>
      </c>
      <c r="I39" t="s">
        <v>275</v>
      </c>
      <c r="J39" t="n">
        <v>0</v>
      </c>
      <c r="K39" t="n">
        <v>0</v>
      </c>
      <c r="L39" t="n">
        <v>0</v>
      </c>
      <c r="M39" t="n">
        <v>12</v>
      </c>
      <c r="N39" t="n">
        <v>-0.5</v>
      </c>
      <c r="O39" t="n">
        <v>-0.25</v>
      </c>
      <c r="P39" t="n">
        <v>90</v>
      </c>
      <c r="Q39" t="n">
        <v>12</v>
      </c>
      <c r="R39" t="s">
        <v>280</v>
      </c>
      <c r="S39" t="s">
        <v>285</v>
      </c>
      <c r="T39" t="n">
        <v>-0.75</v>
      </c>
    </row>
    <row r="40">
      <c r="A40" t="s">
        <v>31</v>
      </c>
      <c r="B40" t="n">
        <v>1.13</v>
      </c>
      <c r="C40" t="n">
        <v>1.04</v>
      </c>
      <c r="D40" t="n">
        <v>1.08</v>
      </c>
      <c r="E40" t="n">
        <v>-3.5</v>
      </c>
      <c r="F40" t="n">
        <v>-1.25</v>
      </c>
      <c r="G40" t="n">
        <v>165</v>
      </c>
      <c r="H40" t="n">
        <v>12</v>
      </c>
      <c r="I40" t="s">
        <v>284</v>
      </c>
      <c r="J40" t="n">
        <v>0</v>
      </c>
      <c r="K40" t="n">
        <v>0</v>
      </c>
      <c r="L40" t="n">
        <v>0</v>
      </c>
      <c r="M40" t="n">
        <v>12</v>
      </c>
      <c r="N40" t="n">
        <v>0.5</v>
      </c>
      <c r="O40" t="n">
        <v>-0.25</v>
      </c>
      <c r="P40" t="n">
        <v>156</v>
      </c>
      <c r="Q40" t="n">
        <v>12</v>
      </c>
      <c r="R40" t="s">
        <v>280</v>
      </c>
      <c r="S40" t="s">
        <v>275</v>
      </c>
      <c r="T40" t="n">
        <v>0.25</v>
      </c>
    </row>
    <row r="41">
      <c r="A41" t="s">
        <v>31</v>
      </c>
      <c r="B41" t="n">
        <v>1.05</v>
      </c>
      <c r="C41" t="n">
        <v>0.87</v>
      </c>
      <c r="D41" t="n">
        <v>1.08</v>
      </c>
      <c r="E41" t="n">
        <v>0</v>
      </c>
      <c r="F41" t="n">
        <v>-1.25</v>
      </c>
      <c r="G41" t="n">
        <v>13</v>
      </c>
      <c r="H41" t="n">
        <v>12</v>
      </c>
      <c r="I41" t="s">
        <v>275</v>
      </c>
      <c r="J41" t="n">
        <v>0</v>
      </c>
      <c r="K41" t="n">
        <v>0</v>
      </c>
      <c r="L41" t="n">
        <v>0</v>
      </c>
      <c r="M41" t="n">
        <v>12</v>
      </c>
      <c r="N41" t="n">
        <v>0</v>
      </c>
      <c r="O41" t="n">
        <v>-0.5</v>
      </c>
      <c r="P41" t="n">
        <v>164</v>
      </c>
      <c r="Q41" t="n">
        <v>12</v>
      </c>
      <c r="R41" t="s">
        <v>280</v>
      </c>
      <c r="S41" t="s">
        <v>287</v>
      </c>
      <c r="T41" t="n">
        <v>-0.25</v>
      </c>
    </row>
    <row r="42">
      <c r="A42" t="s">
        <v>31</v>
      </c>
      <c r="B42" t="n">
        <v>0.91</v>
      </c>
      <c r="C42" t="n">
        <v>0.79</v>
      </c>
      <c r="D42" t="n">
        <v>0.88</v>
      </c>
      <c r="E42" t="n">
        <v>-6.75</v>
      </c>
      <c r="F42" t="n">
        <v>0</v>
      </c>
      <c r="G42" t="n">
        <v>84</v>
      </c>
      <c r="H42" t="n">
        <v>12</v>
      </c>
      <c r="I42" t="s">
        <v>278</v>
      </c>
      <c r="J42" t="n">
        <v>0</v>
      </c>
      <c r="K42" t="n">
        <v>0</v>
      </c>
      <c r="L42" t="n">
        <v>0</v>
      </c>
      <c r="M42" t="n">
        <v>12</v>
      </c>
      <c r="N42" t="n">
        <v>0</v>
      </c>
      <c r="O42" t="n">
        <v>-0.25</v>
      </c>
      <c r="P42" t="n">
        <v>161</v>
      </c>
      <c r="Q42" t="n">
        <v>12</v>
      </c>
      <c r="R42" t="s">
        <v>287</v>
      </c>
      <c r="S42" t="s">
        <v>279</v>
      </c>
      <c r="T42" t="n">
        <v>0</v>
      </c>
    </row>
    <row r="43">
      <c r="A43" t="s">
        <v>31</v>
      </c>
      <c r="B43" t="n">
        <v>0.98</v>
      </c>
      <c r="C43" t="n">
        <v>0.8</v>
      </c>
      <c r="D43" t="n">
        <v>0.95</v>
      </c>
      <c r="E43" t="n">
        <v>-3.25</v>
      </c>
      <c r="F43" t="n">
        <v>-1</v>
      </c>
      <c r="G43" t="n">
        <v>176</v>
      </c>
      <c r="H43" t="n">
        <v>12</v>
      </c>
      <c r="I43" t="s">
        <v>276</v>
      </c>
      <c r="J43" t="n">
        <v>0</v>
      </c>
      <c r="K43" t="n">
        <v>0</v>
      </c>
      <c r="L43" t="n">
        <v>0</v>
      </c>
      <c r="M43" t="n">
        <v>12</v>
      </c>
      <c r="N43" t="n">
        <v>-0.5</v>
      </c>
      <c r="O43" t="n">
        <v>-0.25</v>
      </c>
      <c r="P43" t="n">
        <v>31</v>
      </c>
      <c r="Q43" t="n">
        <v>12</v>
      </c>
      <c r="R43" t="s">
        <v>277</v>
      </c>
      <c r="S43" t="s">
        <v>279</v>
      </c>
      <c r="T43" t="n">
        <v>-0.5</v>
      </c>
    </row>
    <row r="44">
      <c r="A44" t="s">
        <v>31</v>
      </c>
      <c r="B44" t="n">
        <v>0.95</v>
      </c>
      <c r="C44" t="n">
        <v>0.89</v>
      </c>
      <c r="D44" t="n">
        <v>0.94</v>
      </c>
      <c r="E44" t="n">
        <v>-3.5</v>
      </c>
      <c r="F44" t="n">
        <v>-2.75</v>
      </c>
      <c r="G44" t="n">
        <v>8</v>
      </c>
      <c r="H44" t="n">
        <v>12</v>
      </c>
      <c r="I44" t="s">
        <v>277</v>
      </c>
      <c r="J44" t="n">
        <v>0</v>
      </c>
      <c r="K44" t="n">
        <v>0</v>
      </c>
      <c r="L44" t="n">
        <v>0</v>
      </c>
      <c r="M44" t="n">
        <v>12</v>
      </c>
      <c r="N44" t="n">
        <v>0</v>
      </c>
      <c r="O44" t="n">
        <v>-0.25</v>
      </c>
      <c r="P44" t="n">
        <v>177</v>
      </c>
      <c r="Q44" t="n">
        <v>12</v>
      </c>
      <c r="R44" t="s">
        <v>277</v>
      </c>
      <c r="S44" t="s">
        <v>287</v>
      </c>
      <c r="T44" t="n">
        <v>-0.25</v>
      </c>
    </row>
    <row r="45">
      <c r="A45" t="s">
        <v>31</v>
      </c>
      <c r="B45" t="n">
        <v>0.97</v>
      </c>
      <c r="C45" t="n">
        <v>0.77</v>
      </c>
      <c r="D45" t="n">
        <v>0.93</v>
      </c>
      <c r="E45" t="n">
        <v>-3.5</v>
      </c>
      <c r="F45" t="n">
        <v>0</v>
      </c>
      <c r="G45" t="n">
        <v>174</v>
      </c>
      <c r="H45" t="n">
        <v>12</v>
      </c>
      <c r="I45" t="s">
        <v>277</v>
      </c>
      <c r="J45" t="n">
        <v>0</v>
      </c>
      <c r="K45" t="n">
        <v>0</v>
      </c>
      <c r="L45" t="n">
        <v>0</v>
      </c>
      <c r="M45" t="n">
        <v>12</v>
      </c>
      <c r="N45" t="n">
        <v>0.5</v>
      </c>
      <c r="O45" t="n">
        <v>-0.25</v>
      </c>
      <c r="P45" t="n">
        <v>116</v>
      </c>
      <c r="Q45" t="n">
        <v>12</v>
      </c>
      <c r="R45" t="s">
        <v>278</v>
      </c>
      <c r="S45" t="s">
        <v>288</v>
      </c>
      <c r="T45" t="n">
        <v>0.25</v>
      </c>
    </row>
    <row r="46">
      <c r="A46" t="s">
        <v>31</v>
      </c>
      <c r="B46" t="n">
        <v>1.04</v>
      </c>
      <c r="C46" t="n">
        <v>0.87</v>
      </c>
      <c r="D46" t="n">
        <v>1</v>
      </c>
      <c r="E46" t="n">
        <v>-0.75</v>
      </c>
      <c r="F46" t="n">
        <v>-0.75</v>
      </c>
      <c r="G46" t="n">
        <v>103</v>
      </c>
      <c r="H46" t="n">
        <v>12</v>
      </c>
      <c r="I46" t="s">
        <v>275</v>
      </c>
      <c r="J46" t="n">
        <v>0</v>
      </c>
      <c r="K46" t="n">
        <v>0</v>
      </c>
      <c r="L46" t="n">
        <v>0</v>
      </c>
      <c r="M46" t="n">
        <v>12</v>
      </c>
      <c r="N46" t="n">
        <v>0</v>
      </c>
      <c r="O46" t="n">
        <v>0</v>
      </c>
      <c r="P46" t="n">
        <v>88</v>
      </c>
      <c r="Q46" t="n">
        <v>12</v>
      </c>
      <c r="R46" t="s">
        <v>276</v>
      </c>
      <c r="S46" t="s">
        <v>287</v>
      </c>
      <c r="T46" t="n">
        <v>0</v>
      </c>
    </row>
    <row r="47">
      <c r="A47" t="s">
        <v>31</v>
      </c>
      <c r="B47" t="n">
        <v>1.01</v>
      </c>
      <c r="C47" t="n">
        <v>0.85</v>
      </c>
      <c r="D47" t="n">
        <v>0.99</v>
      </c>
      <c r="E47" t="n">
        <v>-6</v>
      </c>
      <c r="F47" t="n">
        <v>-0.5</v>
      </c>
      <c r="G47" t="n">
        <v>2</v>
      </c>
      <c r="H47" t="n">
        <v>12</v>
      </c>
      <c r="I47" t="s">
        <v>276</v>
      </c>
      <c r="J47" t="n">
        <v>0</v>
      </c>
      <c r="K47" t="n">
        <v>0</v>
      </c>
      <c r="L47" t="n">
        <v>0</v>
      </c>
      <c r="M47" t="n">
        <v>12</v>
      </c>
      <c r="N47" t="n">
        <v>-0.5</v>
      </c>
      <c r="O47" t="n">
        <v>-0.25</v>
      </c>
      <c r="P47" t="n">
        <v>0</v>
      </c>
      <c r="Q47" t="n">
        <v>12</v>
      </c>
      <c r="R47" t="s">
        <v>276</v>
      </c>
      <c r="S47" t="s">
        <v>285</v>
      </c>
      <c r="T47" t="n">
        <v>-0.5</v>
      </c>
    </row>
    <row r="48">
      <c r="A48" t="s">
        <v>31</v>
      </c>
      <c r="B48" t="n">
        <v>0.96</v>
      </c>
      <c r="C48" t="n">
        <v>0.81</v>
      </c>
      <c r="D48" t="n">
        <v>0.96</v>
      </c>
      <c r="E48" t="n">
        <v>-2.5</v>
      </c>
      <c r="F48" t="n">
        <v>-0.75</v>
      </c>
      <c r="G48" t="n">
        <v>81</v>
      </c>
      <c r="H48" t="n">
        <v>12</v>
      </c>
      <c r="I48" t="s">
        <v>277</v>
      </c>
      <c r="J48" t="n">
        <v>0</v>
      </c>
      <c r="K48" t="n">
        <v>0</v>
      </c>
      <c r="L48" t="n">
        <v>0</v>
      </c>
      <c r="M48" t="n">
        <v>12</v>
      </c>
      <c r="N48" t="n">
        <v>-0.25</v>
      </c>
      <c r="O48" t="n">
        <v>-0.5</v>
      </c>
      <c r="P48" t="n">
        <v>85</v>
      </c>
      <c r="Q48" t="n">
        <v>12</v>
      </c>
      <c r="R48" t="s">
        <v>277</v>
      </c>
      <c r="S48" t="s">
        <v>279</v>
      </c>
      <c r="T48" t="n">
        <v>-0.5</v>
      </c>
    </row>
    <row r="49">
      <c r="A49" t="s">
        <v>31</v>
      </c>
      <c r="B49" t="n">
        <v>1.06</v>
      </c>
      <c r="C49" t="n">
        <v>1</v>
      </c>
      <c r="D49" t="n">
        <v>1.14</v>
      </c>
      <c r="E49" t="n">
        <v>-1</v>
      </c>
      <c r="F49" t="n">
        <v>-1.5</v>
      </c>
      <c r="G49" t="n">
        <v>165</v>
      </c>
      <c r="H49" t="n">
        <v>12</v>
      </c>
      <c r="I49" t="s">
        <v>275</v>
      </c>
      <c r="J49" t="n">
        <v>0</v>
      </c>
      <c r="K49" t="n">
        <v>0</v>
      </c>
      <c r="L49" t="n">
        <v>0</v>
      </c>
      <c r="M49" t="n">
        <v>12</v>
      </c>
      <c r="N49" t="n">
        <v>0</v>
      </c>
      <c r="O49" t="n">
        <v>-0.5</v>
      </c>
      <c r="P49" t="n">
        <v>179</v>
      </c>
      <c r="Q49" t="n">
        <v>12</v>
      </c>
      <c r="R49" t="s">
        <v>284</v>
      </c>
      <c r="S49" t="s">
        <v>276</v>
      </c>
      <c r="T49" t="n">
        <v>-0.25</v>
      </c>
    </row>
    <row r="50">
      <c r="A50" t="s">
        <v>31</v>
      </c>
      <c r="B50" t="n">
        <v>1</v>
      </c>
      <c r="C50" t="n">
        <v>0.93</v>
      </c>
      <c r="D50" t="n">
        <v>1</v>
      </c>
      <c r="E50" t="n">
        <v>-2</v>
      </c>
      <c r="F50" t="n">
        <v>-1.25</v>
      </c>
      <c r="G50" t="n">
        <v>102</v>
      </c>
      <c r="H50" t="n">
        <v>12</v>
      </c>
      <c r="I50" t="s">
        <v>276</v>
      </c>
      <c r="J50" t="n">
        <v>0</v>
      </c>
      <c r="K50" t="n">
        <v>0</v>
      </c>
      <c r="L50" t="n">
        <v>0</v>
      </c>
      <c r="M50" t="n">
        <v>12</v>
      </c>
      <c r="N50" t="n">
        <v>0.25</v>
      </c>
      <c r="O50" t="n">
        <v>-0.5</v>
      </c>
      <c r="P50" t="n">
        <v>100</v>
      </c>
      <c r="Q50" t="n">
        <v>12</v>
      </c>
      <c r="R50" t="s">
        <v>276</v>
      </c>
      <c r="S50" t="s">
        <v>278</v>
      </c>
      <c r="T50" t="n">
        <v>0</v>
      </c>
    </row>
    <row r="51">
      <c r="A51" t="s">
        <v>31</v>
      </c>
      <c r="B51" t="n">
        <v>1.05</v>
      </c>
      <c r="C51" t="n">
        <v>0.94</v>
      </c>
      <c r="D51" t="n">
        <v>1</v>
      </c>
      <c r="E51" t="n">
        <v>-5.75</v>
      </c>
      <c r="F51" t="n">
        <v>-0.5</v>
      </c>
      <c r="G51" t="n">
        <v>18</v>
      </c>
      <c r="H51" t="n">
        <v>12</v>
      </c>
      <c r="I51" t="s">
        <v>275</v>
      </c>
      <c r="J51" t="n">
        <v>0</v>
      </c>
      <c r="K51" t="n">
        <v>0</v>
      </c>
      <c r="L51" t="n">
        <v>0</v>
      </c>
      <c r="M51" t="n">
        <v>12</v>
      </c>
      <c r="N51" t="n">
        <v>0</v>
      </c>
      <c r="O51" t="n">
        <v>-0.25</v>
      </c>
      <c r="P51" t="n">
        <v>166</v>
      </c>
      <c r="Q51" t="n">
        <v>12</v>
      </c>
      <c r="R51" t="s">
        <v>276</v>
      </c>
      <c r="S51" t="s">
        <v>277</v>
      </c>
      <c r="T51" t="n">
        <v>0</v>
      </c>
    </row>
    <row r="52">
      <c r="A52" t="s">
        <v>31</v>
      </c>
      <c r="B52" t="n">
        <v>1.01</v>
      </c>
      <c r="C52" t="n">
        <v>0.96</v>
      </c>
      <c r="D52" t="n">
        <v>1</v>
      </c>
      <c r="E52" t="n">
        <v>-3.75</v>
      </c>
      <c r="F52" t="n">
        <v>-0.5</v>
      </c>
      <c r="G52" t="n">
        <v>167</v>
      </c>
      <c r="H52" t="n">
        <v>12</v>
      </c>
      <c r="I52" t="s">
        <v>276</v>
      </c>
      <c r="J52" t="n">
        <v>0</v>
      </c>
      <c r="K52" t="n">
        <v>0</v>
      </c>
      <c r="L52" t="n">
        <v>0</v>
      </c>
      <c r="M52" t="n">
        <v>12</v>
      </c>
      <c r="N52" t="n">
        <v>-0.25</v>
      </c>
      <c r="O52" t="n">
        <v>0</v>
      </c>
      <c r="P52" t="n">
        <v>64</v>
      </c>
      <c r="Q52" t="n">
        <v>12</v>
      </c>
      <c r="R52" t="s">
        <v>276</v>
      </c>
      <c r="S52" t="s">
        <v>277</v>
      </c>
      <c r="T52" t="n">
        <v>-0.25</v>
      </c>
    </row>
    <row r="53">
      <c r="A53" t="s">
        <v>31</v>
      </c>
      <c r="B53" t="n">
        <v>1.01</v>
      </c>
      <c r="C53" t="n">
        <v>0.73</v>
      </c>
      <c r="D53" t="n">
        <v>0.96</v>
      </c>
      <c r="E53" t="n">
        <v>-1.25</v>
      </c>
      <c r="F53" t="n">
        <v>0</v>
      </c>
      <c r="G53" t="n">
        <v>178</v>
      </c>
      <c r="H53" t="n">
        <v>12</v>
      </c>
      <c r="I53" t="s">
        <v>276</v>
      </c>
      <c r="J53" t="n">
        <v>0</v>
      </c>
      <c r="K53" t="n">
        <v>0</v>
      </c>
      <c r="L53" t="n">
        <v>0</v>
      </c>
      <c r="M53" t="n">
        <v>12</v>
      </c>
      <c r="N53" t="n">
        <v>0.5</v>
      </c>
      <c r="O53" t="n">
        <v>-0.25</v>
      </c>
      <c r="P53" t="n">
        <v>41</v>
      </c>
      <c r="Q53" t="n">
        <v>12</v>
      </c>
      <c r="R53" t="s">
        <v>277</v>
      </c>
      <c r="S53" t="s">
        <v>289</v>
      </c>
      <c r="T53" t="n">
        <v>0.5</v>
      </c>
    </row>
    <row r="54">
      <c r="A54" t="s">
        <v>31</v>
      </c>
      <c r="B54" t="n">
        <v>0.94</v>
      </c>
      <c r="C54" t="n">
        <v>0.79</v>
      </c>
      <c r="D54" t="n">
        <v>0.89</v>
      </c>
      <c r="E54" t="n">
        <v>-5</v>
      </c>
      <c r="F54" t="n">
        <v>-1</v>
      </c>
      <c r="G54" t="n">
        <v>18</v>
      </c>
      <c r="H54" t="n">
        <v>12</v>
      </c>
      <c r="I54" t="s">
        <v>277</v>
      </c>
      <c r="J54" t="n">
        <v>0</v>
      </c>
      <c r="K54" t="n">
        <v>0</v>
      </c>
      <c r="L54" t="n">
        <v>0</v>
      </c>
      <c r="M54" t="n">
        <v>12</v>
      </c>
      <c r="N54" t="n">
        <v>-0.5</v>
      </c>
      <c r="O54" t="n">
        <v>-0.25</v>
      </c>
      <c r="P54" t="n">
        <v>174</v>
      </c>
      <c r="Q54" t="n">
        <v>12</v>
      </c>
      <c r="R54" t="s">
        <v>287</v>
      </c>
      <c r="S54" t="s">
        <v>279</v>
      </c>
      <c r="T54" t="n">
        <v>-0.5</v>
      </c>
    </row>
    <row r="55">
      <c r="A55" t="s">
        <v>31</v>
      </c>
      <c r="B55" t="n">
        <v>1.25</v>
      </c>
      <c r="C55" t="n">
        <v>1.24</v>
      </c>
      <c r="D55" t="n">
        <v>1.28</v>
      </c>
      <c r="E55" t="n">
        <v>-0.5</v>
      </c>
      <c r="F55" t="n">
        <v>-2.75</v>
      </c>
      <c r="G55" t="n">
        <v>20</v>
      </c>
      <c r="H55" t="n">
        <v>12</v>
      </c>
      <c r="I55" t="s">
        <v>283</v>
      </c>
      <c r="J55" t="n">
        <v>0</v>
      </c>
      <c r="K55" t="n">
        <v>0</v>
      </c>
      <c r="L55" t="n">
        <v>0</v>
      </c>
      <c r="M55" t="n">
        <v>12</v>
      </c>
      <c r="N55" t="n">
        <v>-0.25</v>
      </c>
      <c r="O55" t="n">
        <v>0</v>
      </c>
      <c r="P55" t="n">
        <v>26</v>
      </c>
      <c r="Q55" t="n">
        <v>12</v>
      </c>
      <c r="R55" t="s">
        <v>283</v>
      </c>
      <c r="S55" t="s">
        <v>283</v>
      </c>
      <c r="T55" t="n">
        <v>-0.25</v>
      </c>
    </row>
    <row r="56">
      <c r="A56" t="s">
        <v>31</v>
      </c>
      <c r="B56" t="n">
        <v>1</v>
      </c>
      <c r="C56" t="n">
        <v>0.95</v>
      </c>
      <c r="D56" t="n">
        <v>0.97</v>
      </c>
      <c r="E56" t="n">
        <v>-4.75</v>
      </c>
      <c r="F56" t="n">
        <v>-0.5</v>
      </c>
      <c r="G56" t="n">
        <v>12</v>
      </c>
      <c r="H56" t="n">
        <v>12</v>
      </c>
      <c r="I56" t="s">
        <v>276</v>
      </c>
      <c r="J56" t="n">
        <v>0</v>
      </c>
      <c r="K56" t="n">
        <v>0</v>
      </c>
      <c r="L56" t="n">
        <v>0</v>
      </c>
      <c r="M56" t="n">
        <v>12</v>
      </c>
      <c r="N56" t="n">
        <v>0</v>
      </c>
      <c r="O56" t="n">
        <v>-0.25</v>
      </c>
      <c r="P56" t="n">
        <v>54</v>
      </c>
      <c r="Q56" t="n">
        <v>12</v>
      </c>
      <c r="R56" t="s">
        <v>277</v>
      </c>
      <c r="S56" t="s">
        <v>277</v>
      </c>
      <c r="T56" t="n">
        <v>0</v>
      </c>
    </row>
    <row r="57">
      <c r="A57" t="s">
        <v>31</v>
      </c>
      <c r="B57" t="n">
        <v>0.91</v>
      </c>
      <c r="C57" t="n">
        <v>0.83</v>
      </c>
      <c r="D57" t="n">
        <v>0.95</v>
      </c>
      <c r="E57" t="n">
        <v>-2.5</v>
      </c>
      <c r="F57" t="n">
        <v>-0.25</v>
      </c>
      <c r="G57" t="n">
        <v>37</v>
      </c>
      <c r="H57" t="n">
        <v>12</v>
      </c>
      <c r="I57" t="s">
        <v>278</v>
      </c>
      <c r="J57" t="n">
        <v>0</v>
      </c>
      <c r="K57" t="n">
        <v>0</v>
      </c>
      <c r="L57" t="n">
        <v>0</v>
      </c>
      <c r="M57" t="n">
        <v>12</v>
      </c>
      <c r="N57" t="n">
        <v>0</v>
      </c>
      <c r="O57" t="n">
        <v>-0.25</v>
      </c>
      <c r="P57" t="n">
        <v>48</v>
      </c>
      <c r="Q57" t="n">
        <v>12</v>
      </c>
      <c r="R57" t="s">
        <v>277</v>
      </c>
      <c r="S57" t="s">
        <v>285</v>
      </c>
      <c r="T57" t="n">
        <v>-0.25</v>
      </c>
    </row>
    <row r="58">
      <c r="A58" t="s">
        <v>31</v>
      </c>
      <c r="B58" t="n">
        <v>1.14</v>
      </c>
      <c r="C58" t="n">
        <v>0.81</v>
      </c>
      <c r="D58" t="n">
        <v>1.1</v>
      </c>
      <c r="E58" t="n">
        <v>-4.75</v>
      </c>
      <c r="F58" t="n">
        <v>-1</v>
      </c>
      <c r="G58" t="n">
        <v>12</v>
      </c>
      <c r="H58" t="n">
        <v>12</v>
      </c>
      <c r="I58" t="s">
        <v>284</v>
      </c>
      <c r="J58" t="n">
        <v>0</v>
      </c>
      <c r="K58" t="n">
        <v>0</v>
      </c>
      <c r="L58" t="n">
        <v>0</v>
      </c>
      <c r="M58" t="n">
        <v>12</v>
      </c>
      <c r="N58" t="n">
        <v>-1</v>
      </c>
      <c r="O58" t="n">
        <v>-0.25</v>
      </c>
      <c r="P58" t="n">
        <v>32</v>
      </c>
      <c r="Q58" t="n">
        <v>12</v>
      </c>
      <c r="R58" t="s">
        <v>280</v>
      </c>
      <c r="S58" t="s">
        <v>279</v>
      </c>
      <c r="T58" t="n">
        <v>-1</v>
      </c>
    </row>
    <row r="59">
      <c r="A59" t="s">
        <v>31</v>
      </c>
      <c r="B59" t="n">
        <v>1</v>
      </c>
      <c r="C59" t="n">
        <v>0.92</v>
      </c>
      <c r="D59" t="n">
        <v>0.95</v>
      </c>
      <c r="E59" t="n">
        <v>-3.25</v>
      </c>
      <c r="F59" t="n">
        <v>-0.75</v>
      </c>
      <c r="G59" t="n">
        <v>180</v>
      </c>
      <c r="H59" t="n">
        <v>12</v>
      </c>
      <c r="I59" t="s">
        <v>276</v>
      </c>
      <c r="J59" t="n">
        <v>0</v>
      </c>
      <c r="K59" t="n">
        <v>0</v>
      </c>
      <c r="L59" t="n">
        <v>0</v>
      </c>
      <c r="M59" t="n">
        <v>12</v>
      </c>
      <c r="N59" t="n">
        <v>-0.25</v>
      </c>
      <c r="O59" t="n">
        <v>-0.5</v>
      </c>
      <c r="P59" t="n">
        <v>167</v>
      </c>
      <c r="Q59" t="n">
        <v>12</v>
      </c>
      <c r="R59" t="s">
        <v>277</v>
      </c>
      <c r="S59" t="s">
        <v>278</v>
      </c>
      <c r="T59" t="n">
        <v>-0.5</v>
      </c>
    </row>
    <row r="60">
      <c r="A60" t="s">
        <v>31</v>
      </c>
      <c r="B60" t="n">
        <v>0.98</v>
      </c>
      <c r="C60" t="n">
        <v>0.82</v>
      </c>
      <c r="D60" t="n">
        <v>1.01</v>
      </c>
      <c r="E60" t="n">
        <v>-4</v>
      </c>
      <c r="F60" t="n">
        <v>-0.25</v>
      </c>
      <c r="G60" t="n">
        <v>78</v>
      </c>
      <c r="H60" t="n">
        <v>12</v>
      </c>
      <c r="I60" t="s">
        <v>276</v>
      </c>
      <c r="J60" t="n">
        <v>0</v>
      </c>
      <c r="K60" t="n">
        <v>0</v>
      </c>
      <c r="L60" t="n">
        <v>0</v>
      </c>
      <c r="M60" t="n">
        <v>12</v>
      </c>
      <c r="N60" t="n">
        <v>-1</v>
      </c>
      <c r="O60" t="n">
        <v>-0.25</v>
      </c>
      <c r="P60" t="n">
        <v>78</v>
      </c>
      <c r="Q60" t="n">
        <v>12</v>
      </c>
      <c r="R60" t="s">
        <v>276</v>
      </c>
      <c r="S60" t="s">
        <v>285</v>
      </c>
      <c r="T60" t="n">
        <v>-1</v>
      </c>
    </row>
    <row r="61">
      <c r="A61" t="s">
        <v>31</v>
      </c>
      <c r="B61" t="n">
        <v>0.97</v>
      </c>
      <c r="C61" t="n">
        <v>0.59</v>
      </c>
      <c r="D61" t="n">
        <v>0.93</v>
      </c>
      <c r="E61" t="n">
        <v>-3.25</v>
      </c>
      <c r="F61" t="n">
        <v>-0.25</v>
      </c>
      <c r="G61" t="n">
        <v>169</v>
      </c>
      <c r="H61" t="n">
        <v>12</v>
      </c>
      <c r="I61" t="s">
        <v>277</v>
      </c>
      <c r="J61" t="n">
        <v>0</v>
      </c>
      <c r="K61" t="n">
        <v>0</v>
      </c>
      <c r="L61" t="n">
        <v>0</v>
      </c>
      <c r="M61" t="n">
        <v>12</v>
      </c>
      <c r="N61" t="n">
        <v>-1</v>
      </c>
      <c r="O61" t="n">
        <v>0</v>
      </c>
      <c r="P61" t="n">
        <v>82</v>
      </c>
      <c r="Q61" t="n">
        <v>12</v>
      </c>
      <c r="R61" t="s">
        <v>278</v>
      </c>
      <c r="S61" t="s">
        <v>290</v>
      </c>
      <c r="T61" t="n">
        <v>-1</v>
      </c>
    </row>
    <row r="62">
      <c r="A62" t="s">
        <v>31</v>
      </c>
      <c r="B62" t="n">
        <v>1.04</v>
      </c>
      <c r="C62" t="n">
        <v>0.89</v>
      </c>
      <c r="D62" t="n">
        <v>1.04</v>
      </c>
      <c r="E62" t="n">
        <v>-4</v>
      </c>
      <c r="F62" t="n">
        <v>-0.25</v>
      </c>
      <c r="G62" t="n">
        <v>12</v>
      </c>
      <c r="H62" t="n">
        <v>12</v>
      </c>
      <c r="I62" t="s">
        <v>275</v>
      </c>
      <c r="J62" t="n">
        <v>0</v>
      </c>
      <c r="K62" t="n">
        <v>0</v>
      </c>
      <c r="L62" t="n">
        <v>0</v>
      </c>
      <c r="M62" t="n">
        <v>12</v>
      </c>
      <c r="N62" t="n">
        <v>0.5</v>
      </c>
      <c r="O62" t="n">
        <v>-0.25</v>
      </c>
      <c r="P62" t="n">
        <v>3</v>
      </c>
      <c r="Q62" t="n">
        <v>12</v>
      </c>
      <c r="R62" t="s">
        <v>275</v>
      </c>
      <c r="S62" t="s">
        <v>287</v>
      </c>
      <c r="T62" t="n">
        <v>0.25</v>
      </c>
    </row>
    <row r="63">
      <c r="A63" t="s">
        <v>31</v>
      </c>
      <c r="B63" t="n">
        <v>1.08</v>
      </c>
      <c r="C63" t="n">
        <v>1.06</v>
      </c>
      <c r="D63" t="n">
        <v>1.17</v>
      </c>
      <c r="E63" t="n">
        <v>-4.5</v>
      </c>
      <c r="F63" t="n">
        <v>-0.75</v>
      </c>
      <c r="G63" t="n">
        <v>77</v>
      </c>
      <c r="H63" t="n">
        <v>12</v>
      </c>
      <c r="I63" t="s">
        <v>280</v>
      </c>
      <c r="J63" t="n">
        <v>0</v>
      </c>
      <c r="K63" t="n">
        <v>0</v>
      </c>
      <c r="L63" t="n">
        <v>0</v>
      </c>
      <c r="M63" t="n">
        <v>12</v>
      </c>
      <c r="N63" t="n">
        <v>-1</v>
      </c>
      <c r="O63" t="n">
        <v>-0.25</v>
      </c>
      <c r="P63" t="n">
        <v>117</v>
      </c>
      <c r="Q63" t="n">
        <v>12</v>
      </c>
      <c r="R63" t="s">
        <v>284</v>
      </c>
      <c r="S63" t="s">
        <v>275</v>
      </c>
      <c r="T63" t="n">
        <v>-1</v>
      </c>
    </row>
    <row r="64">
      <c r="A64" t="s">
        <v>31</v>
      </c>
      <c r="B64" t="n">
        <v>1.05</v>
      </c>
      <c r="C64" t="n">
        <v>0.85</v>
      </c>
      <c r="D64" t="n">
        <v>1.06</v>
      </c>
      <c r="E64" t="n">
        <v>-3</v>
      </c>
      <c r="F64" t="n">
        <v>-0.75</v>
      </c>
      <c r="G64" t="n">
        <v>7</v>
      </c>
      <c r="H64" t="n">
        <v>12</v>
      </c>
      <c r="I64" t="s">
        <v>275</v>
      </c>
      <c r="J64" t="n">
        <v>0</v>
      </c>
      <c r="K64" t="n">
        <v>0</v>
      </c>
      <c r="L64" t="n">
        <v>0</v>
      </c>
      <c r="M64" t="n">
        <v>12</v>
      </c>
      <c r="N64" t="n">
        <v>-0.75</v>
      </c>
      <c r="O64" t="n">
        <v>0</v>
      </c>
      <c r="P64" t="n">
        <v>13</v>
      </c>
      <c r="Q64" t="n">
        <v>12</v>
      </c>
      <c r="R64" t="s">
        <v>275</v>
      </c>
      <c r="S64" t="s">
        <v>285</v>
      </c>
      <c r="T64" t="n">
        <v>-0.75</v>
      </c>
    </row>
    <row r="65">
      <c r="A65" t="s">
        <v>31</v>
      </c>
      <c r="B65" t="n">
        <v>0.96</v>
      </c>
      <c r="C65" t="n">
        <v>0.92</v>
      </c>
      <c r="D65" t="n">
        <v>1</v>
      </c>
      <c r="E65" t="n">
        <v>-5.25</v>
      </c>
      <c r="F65" t="n">
        <v>-0.5</v>
      </c>
      <c r="G65" t="n">
        <v>156</v>
      </c>
      <c r="H65" t="n">
        <v>12</v>
      </c>
      <c r="I65" t="s">
        <v>277</v>
      </c>
      <c r="J65" t="n">
        <v>0</v>
      </c>
      <c r="K65" t="n">
        <v>0</v>
      </c>
      <c r="L65" t="n">
        <v>0</v>
      </c>
      <c r="M65" t="n">
        <v>12</v>
      </c>
      <c r="N65" t="n">
        <v>0.5</v>
      </c>
      <c r="O65" t="n">
        <v>-0.5</v>
      </c>
      <c r="P65" t="n">
        <v>1</v>
      </c>
      <c r="Q65" t="n">
        <v>12</v>
      </c>
      <c r="R65" t="s">
        <v>276</v>
      </c>
      <c r="S65" t="s">
        <v>278</v>
      </c>
      <c r="T65" t="n">
        <v>0.25</v>
      </c>
    </row>
    <row r="66">
      <c r="A66" t="s">
        <v>31</v>
      </c>
      <c r="B66" t="n">
        <v>0.97</v>
      </c>
      <c r="C66" t="n">
        <v>0.76</v>
      </c>
      <c r="D66" t="n">
        <v>0.96</v>
      </c>
      <c r="E66" t="n">
        <v>-3.75</v>
      </c>
      <c r="F66" t="n">
        <v>-0.5</v>
      </c>
      <c r="G66" t="n">
        <v>174</v>
      </c>
      <c r="H66" t="n">
        <v>12</v>
      </c>
      <c r="I66" t="s">
        <v>277</v>
      </c>
      <c r="J66" t="n">
        <v>0</v>
      </c>
      <c r="K66" t="n">
        <v>0</v>
      </c>
      <c r="L66" t="n">
        <v>0</v>
      </c>
      <c r="M66" t="n">
        <v>12</v>
      </c>
      <c r="N66" t="n">
        <v>1</v>
      </c>
      <c r="O66" t="n">
        <v>-0.25</v>
      </c>
      <c r="P66" t="n">
        <v>9</v>
      </c>
      <c r="Q66" t="n">
        <v>12</v>
      </c>
      <c r="R66" t="s">
        <v>277</v>
      </c>
      <c r="S66" t="s">
        <v>288</v>
      </c>
      <c r="T66" t="n">
        <v>0.75</v>
      </c>
    </row>
    <row r="67">
      <c r="A67" t="s">
        <v>31</v>
      </c>
      <c r="B67" t="n">
        <v>1.08</v>
      </c>
      <c r="C67" t="n">
        <v>1.01</v>
      </c>
      <c r="D67" t="n">
        <v>1.1</v>
      </c>
      <c r="E67" t="n">
        <v>-1.75</v>
      </c>
      <c r="F67" t="n">
        <v>-1</v>
      </c>
      <c r="G67" t="n">
        <v>59</v>
      </c>
      <c r="H67" t="n">
        <v>12</v>
      </c>
      <c r="I67" t="s">
        <v>280</v>
      </c>
      <c r="J67" t="n">
        <v>0</v>
      </c>
      <c r="K67" t="n">
        <v>0</v>
      </c>
      <c r="L67" t="n">
        <v>0</v>
      </c>
      <c r="M67" t="n">
        <v>12</v>
      </c>
      <c r="N67" t="n">
        <v>0.5</v>
      </c>
      <c r="O67" t="n">
        <v>-0.5</v>
      </c>
      <c r="P67" t="n">
        <v>84</v>
      </c>
      <c r="Q67" t="n">
        <v>12</v>
      </c>
      <c r="R67" t="s">
        <v>280</v>
      </c>
      <c r="S67" t="s">
        <v>276</v>
      </c>
      <c r="T67" t="n">
        <v>0.25</v>
      </c>
    </row>
    <row r="68">
      <c r="A68" t="s">
        <v>31</v>
      </c>
      <c r="B68" t="n">
        <v>1.09</v>
      </c>
      <c r="C68" t="n">
        <v>0.94</v>
      </c>
      <c r="D68" t="n">
        <v>1.11</v>
      </c>
      <c r="E68" t="n">
        <v>-7.5</v>
      </c>
      <c r="F68" t="n">
        <v>-0.5</v>
      </c>
      <c r="G68" t="n">
        <v>76</v>
      </c>
      <c r="H68" t="n">
        <v>12</v>
      </c>
      <c r="I68" t="s">
        <v>280</v>
      </c>
      <c r="J68" t="n">
        <v>0</v>
      </c>
      <c r="K68" t="n">
        <v>0</v>
      </c>
      <c r="L68" t="n">
        <v>0</v>
      </c>
      <c r="M68" t="n">
        <v>12</v>
      </c>
      <c r="N68" t="n">
        <v>0.5</v>
      </c>
      <c r="O68" t="n">
        <v>-0.25</v>
      </c>
      <c r="P68" t="n">
        <v>50</v>
      </c>
      <c r="Q68" t="n">
        <v>12</v>
      </c>
      <c r="R68" t="s">
        <v>280</v>
      </c>
      <c r="S68" t="s">
        <v>277</v>
      </c>
      <c r="T68" t="n">
        <v>0.25</v>
      </c>
    </row>
    <row r="69">
      <c r="A69" t="s">
        <v>31</v>
      </c>
      <c r="B69" t="n">
        <v>1.02</v>
      </c>
      <c r="C69" t="n">
        <v>0.8</v>
      </c>
      <c r="D69" t="n">
        <v>1.03</v>
      </c>
      <c r="E69" t="n">
        <v>-3.5</v>
      </c>
      <c r="F69" t="n">
        <v>0</v>
      </c>
      <c r="G69" t="n">
        <v>179</v>
      </c>
      <c r="H69" t="n">
        <v>12</v>
      </c>
      <c r="I69" t="s">
        <v>276</v>
      </c>
      <c r="J69" t="n">
        <v>0</v>
      </c>
      <c r="K69" t="n">
        <v>0</v>
      </c>
      <c r="L69" t="n">
        <v>0</v>
      </c>
      <c r="M69" t="n">
        <v>12</v>
      </c>
      <c r="N69" t="n">
        <v>-0.75</v>
      </c>
      <c r="O69" t="n">
        <v>0</v>
      </c>
      <c r="P69" t="n">
        <v>20</v>
      </c>
      <c r="Q69" t="n">
        <v>12</v>
      </c>
      <c r="R69" t="s">
        <v>275</v>
      </c>
      <c r="S69" t="s">
        <v>279</v>
      </c>
      <c r="T69" t="n">
        <v>-0.75</v>
      </c>
    </row>
    <row r="70">
      <c r="A70" t="s">
        <v>31</v>
      </c>
      <c r="B70" t="n">
        <v>1.01</v>
      </c>
      <c r="C70" t="n">
        <v>0.94</v>
      </c>
      <c r="D70" t="n">
        <v>1.02</v>
      </c>
      <c r="E70" t="n">
        <v>-4.25</v>
      </c>
      <c r="F70" t="n">
        <v>-0.25</v>
      </c>
      <c r="G70" t="n">
        <v>100</v>
      </c>
      <c r="H70" t="n">
        <v>12</v>
      </c>
      <c r="I70" t="s">
        <v>276</v>
      </c>
      <c r="J70" t="n">
        <v>0</v>
      </c>
      <c r="K70" t="n">
        <v>0</v>
      </c>
      <c r="L70" t="n">
        <v>0</v>
      </c>
      <c r="M70" t="n">
        <v>12</v>
      </c>
      <c r="N70" t="n">
        <v>0</v>
      </c>
      <c r="O70" t="n">
        <v>-0.25</v>
      </c>
      <c r="P70" t="n">
        <v>102</v>
      </c>
      <c r="Q70" t="n">
        <v>12</v>
      </c>
      <c r="R70" t="s">
        <v>276</v>
      </c>
      <c r="S70" t="s">
        <v>277</v>
      </c>
      <c r="T70" t="n">
        <v>0</v>
      </c>
    </row>
    <row r="71">
      <c r="A71" t="s">
        <v>31</v>
      </c>
      <c r="B71" t="n">
        <v>0.87</v>
      </c>
      <c r="C71" t="n">
        <v>0.64</v>
      </c>
      <c r="D71" t="n">
        <v>0.84</v>
      </c>
      <c r="E71" t="n">
        <v>-3.75</v>
      </c>
      <c r="F71" t="n">
        <v>-0.75</v>
      </c>
      <c r="G71" t="n">
        <v>172</v>
      </c>
      <c r="H71" t="n">
        <v>12</v>
      </c>
      <c r="I71" t="s">
        <v>287</v>
      </c>
      <c r="J71" t="n">
        <v>0</v>
      </c>
      <c r="K71" t="n">
        <v>0</v>
      </c>
      <c r="L71" t="n">
        <v>0</v>
      </c>
      <c r="M71" t="n">
        <v>12</v>
      </c>
      <c r="N71" t="n">
        <v>0</v>
      </c>
      <c r="O71" t="n">
        <v>-0.25</v>
      </c>
      <c r="P71" t="n">
        <v>159</v>
      </c>
      <c r="Q71" t="n">
        <v>12</v>
      </c>
      <c r="R71" t="s">
        <v>285</v>
      </c>
      <c r="S71" t="s">
        <v>291</v>
      </c>
      <c r="T71" t="n">
        <v>-0.25</v>
      </c>
    </row>
    <row r="72">
      <c r="A72" t="s">
        <v>31</v>
      </c>
      <c r="B72" t="n">
        <v>1.09</v>
      </c>
      <c r="C72" t="n">
        <v>1.05</v>
      </c>
      <c r="D72" t="n">
        <v>1.18</v>
      </c>
      <c r="E72" t="n">
        <v>-3.25</v>
      </c>
      <c r="F72" t="n">
        <v>-0.5</v>
      </c>
      <c r="G72" t="n">
        <v>1</v>
      </c>
      <c r="H72" t="n">
        <v>12</v>
      </c>
      <c r="I72" t="s">
        <v>280</v>
      </c>
      <c r="J72" t="n">
        <v>0</v>
      </c>
      <c r="K72" t="n">
        <v>0</v>
      </c>
      <c r="L72" t="n">
        <v>0</v>
      </c>
      <c r="M72" t="n">
        <v>12</v>
      </c>
      <c r="N72" t="n">
        <v>0</v>
      </c>
      <c r="O72" t="n">
        <v>-0.25</v>
      </c>
      <c r="P72" t="n">
        <v>148</v>
      </c>
      <c r="Q72" t="n">
        <v>12</v>
      </c>
      <c r="R72" t="s">
        <v>281</v>
      </c>
      <c r="S72" t="s">
        <v>275</v>
      </c>
      <c r="T72" t="n">
        <v>-0.25</v>
      </c>
    </row>
    <row r="73">
      <c r="A73" t="s">
        <v>31</v>
      </c>
      <c r="B73" t="n">
        <v>1.12</v>
      </c>
      <c r="C73" t="n">
        <v>0.78</v>
      </c>
      <c r="D73" t="n">
        <v>1.06</v>
      </c>
      <c r="E73" t="n">
        <v>-6.75</v>
      </c>
      <c r="F73" t="n">
        <v>0</v>
      </c>
      <c r="G73" t="n">
        <v>22</v>
      </c>
      <c r="H73" t="n">
        <v>12</v>
      </c>
      <c r="I73" t="s">
        <v>280</v>
      </c>
      <c r="J73" t="n">
        <v>0</v>
      </c>
      <c r="K73" t="n">
        <v>0</v>
      </c>
      <c r="L73" t="n">
        <v>0</v>
      </c>
      <c r="M73" t="n">
        <v>12</v>
      </c>
      <c r="N73" t="n">
        <v>0</v>
      </c>
      <c r="O73" t="n">
        <v>-0.25</v>
      </c>
      <c r="P73" t="n">
        <v>97</v>
      </c>
      <c r="Q73" t="n">
        <v>12</v>
      </c>
      <c r="R73" t="s">
        <v>275</v>
      </c>
      <c r="S73" t="s">
        <v>279</v>
      </c>
      <c r="T73" t="n">
        <v>-0.25</v>
      </c>
    </row>
    <row r="74">
      <c r="A74" t="s">
        <v>31</v>
      </c>
      <c r="B74" t="n">
        <v>1.01</v>
      </c>
      <c r="C74" t="n">
        <v>0.89</v>
      </c>
      <c r="D74" t="n">
        <v>0.99</v>
      </c>
      <c r="E74" t="n">
        <v>-6</v>
      </c>
      <c r="F74" t="n">
        <v>0</v>
      </c>
      <c r="G74" t="n">
        <v>87</v>
      </c>
      <c r="H74" t="n">
        <v>12</v>
      </c>
      <c r="I74" t="s">
        <v>276</v>
      </c>
      <c r="J74" t="n">
        <v>0</v>
      </c>
      <c r="K74" t="n">
        <v>0</v>
      </c>
      <c r="L74" t="n">
        <v>0</v>
      </c>
      <c r="M74" t="n">
        <v>12</v>
      </c>
      <c r="N74" t="n">
        <v>-0.5</v>
      </c>
      <c r="O74" t="n">
        <v>-0.25</v>
      </c>
      <c r="P74" t="n">
        <v>160</v>
      </c>
      <c r="Q74" t="n">
        <v>12</v>
      </c>
      <c r="R74" t="s">
        <v>276</v>
      </c>
      <c r="S74" t="s">
        <v>287</v>
      </c>
      <c r="T74" t="n">
        <v>-0.5</v>
      </c>
    </row>
    <row r="75">
      <c r="A75" t="s">
        <v>31</v>
      </c>
      <c r="B75" t="n">
        <v>1.02</v>
      </c>
      <c r="C75" t="n">
        <v>0.88</v>
      </c>
      <c r="D75" t="n">
        <v>1.03</v>
      </c>
      <c r="E75" t="n">
        <v>-2.5</v>
      </c>
      <c r="F75" t="n">
        <v>-0.25</v>
      </c>
      <c r="G75" t="n">
        <v>177</v>
      </c>
      <c r="H75" t="n">
        <v>12</v>
      </c>
      <c r="I75" t="s">
        <v>276</v>
      </c>
      <c r="J75" t="n">
        <v>0</v>
      </c>
      <c r="K75" t="n">
        <v>0</v>
      </c>
      <c r="L75" t="n">
        <v>0</v>
      </c>
      <c r="M75" t="n">
        <v>12</v>
      </c>
      <c r="N75" t="n">
        <v>1</v>
      </c>
      <c r="O75" t="n">
        <v>-0.25</v>
      </c>
      <c r="P75" t="n">
        <v>161</v>
      </c>
      <c r="Q75" t="n">
        <v>12</v>
      </c>
      <c r="R75" t="s">
        <v>275</v>
      </c>
      <c r="S75" t="s">
        <v>287</v>
      </c>
      <c r="T75" t="n">
        <v>0.75</v>
      </c>
    </row>
    <row r="76">
      <c r="A76" t="s">
        <v>31</v>
      </c>
      <c r="B76" t="n">
        <v>0.95</v>
      </c>
      <c r="C76" t="n">
        <v>0.68</v>
      </c>
      <c r="D76" t="n">
        <v>0.89</v>
      </c>
      <c r="E76" t="n">
        <v>-6.25</v>
      </c>
      <c r="F76" t="n">
        <v>-0.25</v>
      </c>
      <c r="G76" t="n">
        <v>84</v>
      </c>
      <c r="H76" t="n">
        <v>12</v>
      </c>
      <c r="I76" t="s">
        <v>277</v>
      </c>
      <c r="J76" t="n">
        <v>0</v>
      </c>
      <c r="K76" t="n">
        <v>0</v>
      </c>
      <c r="L76" t="n">
        <v>0</v>
      </c>
      <c r="M76" t="n">
        <v>12</v>
      </c>
      <c r="N76" t="n">
        <v>0.5</v>
      </c>
      <c r="O76" t="n">
        <v>0</v>
      </c>
      <c r="P76" t="n">
        <v>66</v>
      </c>
      <c r="Q76" t="n">
        <v>12</v>
      </c>
      <c r="R76" t="s">
        <v>287</v>
      </c>
      <c r="S76" t="s">
        <v>286</v>
      </c>
      <c r="T76" t="n">
        <v>0.5</v>
      </c>
    </row>
    <row r="77">
      <c r="A77" t="s">
        <v>31</v>
      </c>
      <c r="B77" t="n">
        <v>1.07</v>
      </c>
      <c r="C77" t="n">
        <v>0.83</v>
      </c>
      <c r="D77" t="n">
        <v>0.99</v>
      </c>
      <c r="E77" t="n">
        <v>-4.25</v>
      </c>
      <c r="F77" t="n">
        <v>-2</v>
      </c>
      <c r="G77" t="n">
        <v>39</v>
      </c>
      <c r="H77" t="n">
        <v>12</v>
      </c>
      <c r="I77" t="s">
        <v>275</v>
      </c>
      <c r="J77" t="n">
        <v>0</v>
      </c>
      <c r="K77" t="n">
        <v>0</v>
      </c>
      <c r="L77" t="n">
        <v>0</v>
      </c>
      <c r="M77" t="n">
        <v>12</v>
      </c>
      <c r="N77" t="n">
        <v>0</v>
      </c>
      <c r="O77" t="n">
        <v>-0.25</v>
      </c>
      <c r="P77" t="n">
        <v>32</v>
      </c>
      <c r="Q77" t="n">
        <v>12</v>
      </c>
      <c r="R77" t="s">
        <v>276</v>
      </c>
      <c r="S77" t="s">
        <v>285</v>
      </c>
      <c r="T77" t="n">
        <v>0</v>
      </c>
    </row>
    <row r="78">
      <c r="A78" t="s">
        <v>31</v>
      </c>
      <c r="B78" t="n">
        <v>1.03</v>
      </c>
      <c r="C78" t="n">
        <v>0.92</v>
      </c>
      <c r="D78" t="n">
        <v>1.02</v>
      </c>
      <c r="E78" t="n">
        <v>-3.75</v>
      </c>
      <c r="F78" t="n">
        <v>-0.25</v>
      </c>
      <c r="G78" t="n">
        <v>140</v>
      </c>
      <c r="H78" t="n">
        <v>12</v>
      </c>
      <c r="I78" t="s">
        <v>275</v>
      </c>
      <c r="J78" t="n">
        <v>0</v>
      </c>
      <c r="K78" t="n">
        <v>0</v>
      </c>
      <c r="L78" t="n">
        <v>0</v>
      </c>
      <c r="M78" t="n">
        <v>12</v>
      </c>
      <c r="N78" t="n">
        <v>-0.5</v>
      </c>
      <c r="O78" t="n">
        <v>-0.25</v>
      </c>
      <c r="P78" t="n">
        <v>142</v>
      </c>
      <c r="Q78" t="n">
        <v>12</v>
      </c>
      <c r="R78" t="s">
        <v>276</v>
      </c>
      <c r="S78" t="s">
        <v>278</v>
      </c>
      <c r="T78" t="n">
        <v>-0.5</v>
      </c>
    </row>
    <row r="79">
      <c r="A79" t="s">
        <v>31</v>
      </c>
      <c r="B79" t="n">
        <v>0.96</v>
      </c>
      <c r="C79" t="n">
        <v>0.85</v>
      </c>
      <c r="D79" t="n">
        <v>1</v>
      </c>
      <c r="E79" t="n">
        <v>-3.75</v>
      </c>
      <c r="F79" t="n">
        <v>-0.5</v>
      </c>
      <c r="G79" t="n">
        <v>170</v>
      </c>
      <c r="H79" t="n">
        <v>12</v>
      </c>
      <c r="I79" t="s">
        <v>277</v>
      </c>
      <c r="J79" t="n">
        <v>0</v>
      </c>
      <c r="K79" t="n">
        <v>0</v>
      </c>
      <c r="L79" t="n">
        <v>0</v>
      </c>
      <c r="M79" t="n">
        <v>12</v>
      </c>
      <c r="N79" t="n">
        <v>0</v>
      </c>
      <c r="O79" t="n">
        <v>-0.25</v>
      </c>
      <c r="P79" t="n">
        <v>172</v>
      </c>
      <c r="Q79" t="n">
        <v>12</v>
      </c>
      <c r="R79" t="s">
        <v>276</v>
      </c>
      <c r="S79" t="s">
        <v>285</v>
      </c>
      <c r="T79" t="n">
        <v>-0.25</v>
      </c>
    </row>
    <row r="80">
      <c r="A80" t="s">
        <v>31</v>
      </c>
      <c r="B80" t="n">
        <v>1.02</v>
      </c>
      <c r="C80" t="n">
        <v>0.92</v>
      </c>
      <c r="D80" t="n">
        <v>1</v>
      </c>
      <c r="E80" t="n">
        <v>-1.75</v>
      </c>
      <c r="F80" t="n">
        <v>-1</v>
      </c>
      <c r="G80" t="n">
        <v>56</v>
      </c>
      <c r="H80" t="n">
        <v>12</v>
      </c>
      <c r="I80" t="s">
        <v>276</v>
      </c>
      <c r="J80" t="n">
        <v>0</v>
      </c>
      <c r="K80" t="n">
        <v>0</v>
      </c>
      <c r="L80" t="n">
        <v>0</v>
      </c>
      <c r="M80" t="n">
        <v>12</v>
      </c>
      <c r="N80" t="n">
        <v>0</v>
      </c>
      <c r="O80" t="n">
        <v>0</v>
      </c>
      <c r="P80" t="n">
        <v>53</v>
      </c>
      <c r="Q80" t="n">
        <v>12</v>
      </c>
      <c r="R80" t="s">
        <v>276</v>
      </c>
      <c r="S80" t="s">
        <v>278</v>
      </c>
      <c r="T80" t="n">
        <v>0</v>
      </c>
    </row>
    <row r="81">
      <c r="A81" t="s">
        <v>31</v>
      </c>
      <c r="B81" t="n">
        <v>0.99</v>
      </c>
      <c r="C81" t="n">
        <v>0.94</v>
      </c>
      <c r="D81" t="n">
        <v>1.02</v>
      </c>
      <c r="E81" t="n">
        <v>-8.75</v>
      </c>
      <c r="F81" t="n">
        <v>-1</v>
      </c>
      <c r="G81" t="n">
        <v>101</v>
      </c>
      <c r="H81" t="n">
        <v>12</v>
      </c>
      <c r="I81" t="s">
        <v>276</v>
      </c>
      <c r="J81" t="n">
        <v>0</v>
      </c>
      <c r="K81" t="n">
        <v>0</v>
      </c>
      <c r="L81" t="n">
        <v>0</v>
      </c>
      <c r="M81" t="n">
        <v>12</v>
      </c>
      <c r="N81" t="n">
        <v>0</v>
      </c>
      <c r="O81" t="n">
        <v>0</v>
      </c>
      <c r="P81" t="n">
        <v>32</v>
      </c>
      <c r="Q81" t="n">
        <v>12</v>
      </c>
      <c r="R81" t="s">
        <v>276</v>
      </c>
      <c r="S81" t="s">
        <v>277</v>
      </c>
      <c r="T81" t="n">
        <v>0</v>
      </c>
    </row>
    <row r="82">
      <c r="A82" t="s">
        <v>31</v>
      </c>
      <c r="B82" t="n">
        <v>0.99</v>
      </c>
      <c r="C82" t="n">
        <v>0.88</v>
      </c>
      <c r="D82" t="n">
        <v>0.96</v>
      </c>
      <c r="E82" t="n">
        <v>-4.5</v>
      </c>
      <c r="F82" t="n">
        <v>0</v>
      </c>
      <c r="G82" t="n">
        <v>155</v>
      </c>
      <c r="H82" t="n">
        <v>12</v>
      </c>
      <c r="I82" t="s">
        <v>276</v>
      </c>
      <c r="J82" t="n">
        <v>0</v>
      </c>
      <c r="K82" t="n">
        <v>0</v>
      </c>
      <c r="L82" t="n">
        <v>0</v>
      </c>
      <c r="M82" t="n">
        <v>12</v>
      </c>
      <c r="N82" t="n">
        <v>0</v>
      </c>
      <c r="O82" t="n">
        <v>-0.25</v>
      </c>
      <c r="P82" t="n">
        <v>161</v>
      </c>
      <c r="Q82" t="n">
        <v>12</v>
      </c>
      <c r="R82" t="s">
        <v>277</v>
      </c>
      <c r="S82" t="s">
        <v>287</v>
      </c>
      <c r="T82" t="n">
        <v>-0.25</v>
      </c>
    </row>
    <row r="83">
      <c r="A83" t="s">
        <v>31</v>
      </c>
      <c r="B83" t="n">
        <v>1.04</v>
      </c>
      <c r="C83" t="n">
        <v>1.02</v>
      </c>
      <c r="D83" t="n">
        <v>1.06</v>
      </c>
      <c r="E83" t="n">
        <v>-3</v>
      </c>
      <c r="F83" t="n">
        <v>-2</v>
      </c>
      <c r="G83" t="n">
        <v>170</v>
      </c>
      <c r="H83" t="n">
        <v>12</v>
      </c>
      <c r="I83" t="s">
        <v>275</v>
      </c>
      <c r="J83" t="n">
        <v>0</v>
      </c>
      <c r="K83" t="n">
        <v>0</v>
      </c>
      <c r="L83" t="n">
        <v>0</v>
      </c>
      <c r="M83" t="n">
        <v>12</v>
      </c>
      <c r="N83" t="n">
        <v>-0.25</v>
      </c>
      <c r="O83" t="n">
        <v>0</v>
      </c>
      <c r="P83" t="n">
        <v>164</v>
      </c>
      <c r="Q83" t="n">
        <v>12</v>
      </c>
      <c r="R83" t="s">
        <v>275</v>
      </c>
      <c r="S83" t="s">
        <v>276</v>
      </c>
      <c r="T83" t="n">
        <v>-0.25</v>
      </c>
    </row>
    <row r="84">
      <c r="A84" t="s">
        <v>31</v>
      </c>
      <c r="B84" t="n">
        <v>1.08</v>
      </c>
      <c r="C84" t="n">
        <v>0.87</v>
      </c>
      <c r="D84" t="n">
        <v>1.07</v>
      </c>
      <c r="E84" t="n">
        <v>-8</v>
      </c>
      <c r="F84" t="n">
        <v>-0.5</v>
      </c>
      <c r="G84" t="n">
        <v>103</v>
      </c>
      <c r="H84" t="n">
        <v>12</v>
      </c>
      <c r="I84" t="s">
        <v>280</v>
      </c>
      <c r="J84" t="n">
        <v>0</v>
      </c>
      <c r="K84" t="n">
        <v>0</v>
      </c>
      <c r="L84" t="n">
        <v>0</v>
      </c>
      <c r="M84" t="n">
        <v>12</v>
      </c>
      <c r="N84" t="n">
        <v>0.5</v>
      </c>
      <c r="O84" t="n">
        <v>-0.25</v>
      </c>
      <c r="P84" t="n">
        <v>103</v>
      </c>
      <c r="Q84" t="n">
        <v>12</v>
      </c>
      <c r="R84" t="s">
        <v>275</v>
      </c>
      <c r="S84" t="s">
        <v>287</v>
      </c>
      <c r="T84" t="n">
        <v>0.5</v>
      </c>
    </row>
    <row r="85">
      <c r="A85" t="s">
        <v>31</v>
      </c>
      <c r="B85" t="n">
        <v>1.03</v>
      </c>
      <c r="C85" t="n">
        <v>0.72</v>
      </c>
      <c r="D85" t="n">
        <v>1.02</v>
      </c>
      <c r="E85" t="n">
        <v>-2.25</v>
      </c>
      <c r="F85" t="n">
        <v>0</v>
      </c>
      <c r="G85" t="n">
        <v>10</v>
      </c>
      <c r="H85" t="n">
        <v>12</v>
      </c>
      <c r="I85" t="s">
        <v>275</v>
      </c>
      <c r="J85" t="n">
        <v>0</v>
      </c>
      <c r="K85" t="n">
        <v>0</v>
      </c>
      <c r="L85" t="n">
        <v>0</v>
      </c>
      <c r="M85" t="n">
        <v>12</v>
      </c>
      <c r="N85" t="n">
        <v>-1</v>
      </c>
      <c r="O85" t="n">
        <v>0</v>
      </c>
      <c r="P85" t="n">
        <v>141</v>
      </c>
      <c r="Q85" t="n">
        <v>12</v>
      </c>
      <c r="R85" t="s">
        <v>276</v>
      </c>
      <c r="S85" t="s">
        <v>289</v>
      </c>
      <c r="T85" t="n">
        <v>-1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293</v>
      </c>
      <c r="B1" t="s">
        <v>294</v>
      </c>
      <c r="C1" t="s">
        <v>295</v>
      </c>
      <c r="D1" t="s">
        <v>296</v>
      </c>
      <c r="E1" t="s">
        <v>297</v>
      </c>
    </row>
    <row r="2">
      <c r="A2" t="s">
        <v>298</v>
      </c>
      <c r="B2" t="n">
        <v>-1.5</v>
      </c>
      <c r="C2" t="n">
        <v>161</v>
      </c>
      <c r="D2" t="n">
        <v>-0.25</v>
      </c>
      <c r="E2" t="n">
        <v>167</v>
      </c>
    </row>
    <row r="3">
      <c r="A3" t="s">
        <v>298</v>
      </c>
      <c r="B3" t="n">
        <v>-2.25</v>
      </c>
      <c r="C3" t="n">
        <v>35</v>
      </c>
      <c r="D3" t="n">
        <v>0</v>
      </c>
      <c r="E3" t="n">
        <v>40</v>
      </c>
    </row>
    <row r="4">
      <c r="A4" t="s">
        <v>298</v>
      </c>
      <c r="B4" t="n">
        <v>-1</v>
      </c>
      <c r="C4" t="n">
        <v>24</v>
      </c>
      <c r="D4" t="n">
        <v>-0.5</v>
      </c>
      <c r="E4" t="n">
        <v>36</v>
      </c>
    </row>
    <row r="5">
      <c r="A5" t="s">
        <v>298</v>
      </c>
      <c r="B5" t="n">
        <v>-0.5</v>
      </c>
      <c r="C5" t="n">
        <v>162</v>
      </c>
      <c r="D5" t="n">
        <v>-0.25</v>
      </c>
      <c r="E5" t="n">
        <v>138</v>
      </c>
    </row>
    <row r="6">
      <c r="A6" t="s">
        <v>298</v>
      </c>
      <c r="B6" t="n">
        <v>-0.5</v>
      </c>
      <c r="C6" t="n">
        <v>13</v>
      </c>
      <c r="D6" t="n">
        <v>-0.25</v>
      </c>
      <c r="E6" t="n">
        <v>173</v>
      </c>
    </row>
    <row r="7">
      <c r="A7" t="s">
        <v>299</v>
      </c>
      <c r="B7" t="n">
        <v>0</v>
      </c>
      <c r="C7" t="n">
        <v>161</v>
      </c>
      <c r="D7" t="n">
        <v>-0.25</v>
      </c>
      <c r="E7" t="n">
        <v>7</v>
      </c>
    </row>
    <row r="8">
      <c r="A8" t="s">
        <v>299</v>
      </c>
      <c r="B8" t="n">
        <v>0</v>
      </c>
      <c r="C8" t="n">
        <v>3</v>
      </c>
      <c r="D8" t="n">
        <v>-0.5</v>
      </c>
      <c r="E8" t="n">
        <v>91</v>
      </c>
    </row>
    <row r="9">
      <c r="A9" t="s">
        <v>298</v>
      </c>
      <c r="B9" t="n">
        <v>-1.25</v>
      </c>
      <c r="C9" t="n">
        <v>100</v>
      </c>
      <c r="D9" t="n">
        <v>-0.25</v>
      </c>
      <c r="E9" t="n">
        <v>103</v>
      </c>
    </row>
    <row r="10">
      <c r="A10" t="s">
        <v>299</v>
      </c>
      <c r="B10" t="n">
        <v>0</v>
      </c>
      <c r="C10" t="n">
        <v>1</v>
      </c>
      <c r="D10" t="n">
        <v>-0.5</v>
      </c>
      <c r="E10" t="n">
        <v>23</v>
      </c>
    </row>
    <row r="11">
      <c r="A11" t="s">
        <v>298</v>
      </c>
      <c r="B11" t="n">
        <v>0</v>
      </c>
      <c r="C11" t="n">
        <v>163</v>
      </c>
      <c r="D11" t="n">
        <v>-0.25</v>
      </c>
      <c r="E11" t="n">
        <v>149</v>
      </c>
    </row>
    <row r="12">
      <c r="A12" t="s">
        <v>299</v>
      </c>
      <c r="B12" t="n">
        <v>-0.5</v>
      </c>
      <c r="C12" t="n">
        <v>164</v>
      </c>
      <c r="D12" t="n">
        <v>-0.25</v>
      </c>
      <c r="E12" t="n">
        <v>170</v>
      </c>
    </row>
    <row r="13">
      <c r="A13" t="s">
        <v>299</v>
      </c>
      <c r="B13" t="n">
        <v>-0.25</v>
      </c>
      <c r="C13" t="n">
        <v>47</v>
      </c>
      <c r="D13" t="n">
        <v>-0.5</v>
      </c>
      <c r="E13" t="n">
        <v>48</v>
      </c>
    </row>
    <row r="14">
      <c r="A14" t="s">
        <v>299</v>
      </c>
      <c r="B14" t="n">
        <v>-0.5</v>
      </c>
      <c r="C14" t="n">
        <v>180</v>
      </c>
      <c r="D14" t="n">
        <v>-0.5</v>
      </c>
      <c r="E14" t="n">
        <v>16</v>
      </c>
    </row>
    <row r="15">
      <c r="A15" t="s">
        <v>298</v>
      </c>
      <c r="B15" t="n">
        <v>-0.75</v>
      </c>
      <c r="C15" t="n">
        <v>85</v>
      </c>
      <c r="D15" t="n">
        <v>0</v>
      </c>
      <c r="E15" t="n">
        <v>137</v>
      </c>
    </row>
    <row r="16">
      <c r="A16" t="s">
        <v>299</v>
      </c>
      <c r="B16" t="n">
        <v>-0.75</v>
      </c>
      <c r="C16" t="n">
        <v>14</v>
      </c>
      <c r="D16" t="n">
        <v>-0.5</v>
      </c>
      <c r="E16" t="n">
        <v>167</v>
      </c>
    </row>
    <row r="17">
      <c r="A17" t="s">
        <v>298</v>
      </c>
      <c r="B17" t="n">
        <v>-1.25</v>
      </c>
      <c r="C17" t="n">
        <v>75</v>
      </c>
      <c r="D17" t="n">
        <v>-0.5</v>
      </c>
      <c r="E17" t="n">
        <v>50</v>
      </c>
    </row>
    <row r="18">
      <c r="A18" t="s">
        <v>299</v>
      </c>
      <c r="B18" t="n">
        <v>-0.25</v>
      </c>
      <c r="C18" t="n">
        <v>172</v>
      </c>
      <c r="D18" t="n">
        <v>-0.25</v>
      </c>
      <c r="E18" t="n">
        <v>15</v>
      </c>
    </row>
    <row r="19">
      <c r="A19" t="s">
        <v>298</v>
      </c>
      <c r="B19" t="n">
        <v>-0.25</v>
      </c>
      <c r="C19" t="n">
        <v>97</v>
      </c>
      <c r="D19" t="n">
        <v>-0.25</v>
      </c>
      <c r="E19" t="n">
        <v>122</v>
      </c>
    </row>
    <row r="20">
      <c r="A20" t="s">
        <v>298</v>
      </c>
      <c r="B20" t="n">
        <v>-0.75</v>
      </c>
      <c r="C20" t="n">
        <v>165</v>
      </c>
      <c r="D20" t="n">
        <v>-0.5</v>
      </c>
      <c r="E20" t="n">
        <v>12</v>
      </c>
    </row>
    <row r="21">
      <c r="A21" t="s">
        <v>298</v>
      </c>
      <c r="B21" t="n">
        <v>-0.5</v>
      </c>
      <c r="C21" t="n">
        <v>76</v>
      </c>
      <c r="D21" t="n">
        <v>-0.25</v>
      </c>
      <c r="E21" t="n">
        <v>62</v>
      </c>
    </row>
    <row r="22">
      <c r="A22" t="s">
        <v>299</v>
      </c>
      <c r="B22" t="n">
        <v>-1.25</v>
      </c>
      <c r="C22" t="n">
        <v>84</v>
      </c>
      <c r="D22" t="n">
        <v>-0.25</v>
      </c>
      <c r="E22" t="n">
        <v>62</v>
      </c>
    </row>
    <row r="23">
      <c r="A23" t="s">
        <v>298</v>
      </c>
      <c r="B23" t="n">
        <v>-0.75</v>
      </c>
      <c r="C23" t="n">
        <v>81</v>
      </c>
      <c r="D23" t="n">
        <v>-0.25</v>
      </c>
      <c r="E23" t="n">
        <v>34</v>
      </c>
    </row>
    <row r="24">
      <c r="A24" t="s">
        <v>299</v>
      </c>
      <c r="B24" t="n">
        <v>-0.75</v>
      </c>
      <c r="C24" t="n">
        <v>172</v>
      </c>
      <c r="D24" t="n">
        <v>-0.25</v>
      </c>
      <c r="E24" t="n">
        <v>171</v>
      </c>
    </row>
    <row r="25">
      <c r="A25" t="s">
        <v>298</v>
      </c>
      <c r="B25" t="n">
        <v>-0.25</v>
      </c>
      <c r="C25" t="n">
        <v>161</v>
      </c>
      <c r="D25" t="n">
        <v>0</v>
      </c>
      <c r="E25" t="n">
        <v>80</v>
      </c>
    </row>
    <row r="26">
      <c r="A26" t="s">
        <v>299</v>
      </c>
      <c r="B26" t="n">
        <v>-1</v>
      </c>
      <c r="C26" t="n">
        <v>83</v>
      </c>
      <c r="D26" t="n">
        <v>-0.25</v>
      </c>
      <c r="E26" t="n">
        <v>78</v>
      </c>
    </row>
    <row r="27">
      <c r="A27" t="s">
        <v>299</v>
      </c>
      <c r="B27" t="n">
        <v>-0.5</v>
      </c>
      <c r="C27" t="n">
        <v>80</v>
      </c>
      <c r="D27" t="n">
        <v>0</v>
      </c>
      <c r="E27" t="n">
        <v>11</v>
      </c>
    </row>
    <row r="28">
      <c r="A28" t="s">
        <v>299</v>
      </c>
      <c r="B28" t="n">
        <v>-1</v>
      </c>
      <c r="C28" t="n">
        <v>180</v>
      </c>
      <c r="D28" t="n">
        <v>0</v>
      </c>
      <c r="E28" t="n">
        <v>178</v>
      </c>
    </row>
    <row r="29">
      <c r="A29" t="s">
        <v>299</v>
      </c>
      <c r="B29" t="n">
        <v>-0.75</v>
      </c>
      <c r="C29" t="n">
        <v>7</v>
      </c>
      <c r="D29" t="n">
        <v>-0.25</v>
      </c>
      <c r="E29" t="n">
        <v>24</v>
      </c>
    </row>
    <row r="30">
      <c r="A30" t="s">
        <v>298</v>
      </c>
      <c r="B30" t="n">
        <v>0</v>
      </c>
      <c r="C30" t="n">
        <v>170</v>
      </c>
      <c r="D30" t="n">
        <v>-0.5</v>
      </c>
      <c r="E30" t="n">
        <v>23</v>
      </c>
    </row>
    <row r="31">
      <c r="A31" t="s">
        <v>299</v>
      </c>
      <c r="B31" t="n">
        <v>-1.25</v>
      </c>
      <c r="C31" t="n">
        <v>23</v>
      </c>
      <c r="D31" t="n">
        <v>-0.75</v>
      </c>
      <c r="E31" t="n">
        <v>166</v>
      </c>
    </row>
    <row r="32">
      <c r="A32" t="s">
        <v>298</v>
      </c>
      <c r="B32" t="n">
        <v>0</v>
      </c>
      <c r="C32" t="n">
        <v>5</v>
      </c>
      <c r="D32" t="n">
        <v>0</v>
      </c>
      <c r="E32" t="n">
        <v>177</v>
      </c>
    </row>
    <row r="33">
      <c r="A33" t="s">
        <v>299</v>
      </c>
      <c r="B33" t="n">
        <v>-0.25</v>
      </c>
      <c r="C33" t="n">
        <v>67</v>
      </c>
      <c r="D33" t="n">
        <v>-0.25</v>
      </c>
      <c r="E33" t="n">
        <v>8</v>
      </c>
    </row>
    <row r="34">
      <c r="A34" t="s">
        <v>299</v>
      </c>
      <c r="B34" t="n">
        <v>-0.25</v>
      </c>
      <c r="C34" t="n">
        <v>11</v>
      </c>
      <c r="D34" t="n">
        <v>-0.25</v>
      </c>
      <c r="E34" t="n">
        <v>18</v>
      </c>
    </row>
    <row r="35">
      <c r="A35" t="s">
        <v>298</v>
      </c>
      <c r="B35" t="n">
        <v>-0.75</v>
      </c>
      <c r="C35" t="n">
        <v>180</v>
      </c>
      <c r="D35" t="n">
        <v>-0.5</v>
      </c>
      <c r="E35" t="n">
        <v>10</v>
      </c>
    </row>
    <row r="36">
      <c r="A36" t="s">
        <v>299</v>
      </c>
      <c r="B36" t="n">
        <v>-0.5</v>
      </c>
      <c r="C36" t="n">
        <v>84</v>
      </c>
      <c r="D36" t="n">
        <v>-0.25</v>
      </c>
      <c r="E36" t="n">
        <v>101</v>
      </c>
    </row>
    <row r="37">
      <c r="A37" t="s">
        <v>298</v>
      </c>
      <c r="B37" t="n">
        <v>-0.75</v>
      </c>
      <c r="C37" t="n">
        <v>168</v>
      </c>
      <c r="D37" t="n">
        <v>-0.75</v>
      </c>
      <c r="E37" t="n">
        <v>163</v>
      </c>
    </row>
    <row r="38">
      <c r="A38" t="s">
        <v>298</v>
      </c>
      <c r="B38" t="n">
        <v>-1.25</v>
      </c>
      <c r="C38" t="n">
        <v>99</v>
      </c>
      <c r="D38" t="n">
        <v>0</v>
      </c>
      <c r="E38" t="n">
        <v>79</v>
      </c>
    </row>
    <row r="39">
      <c r="A39" t="s">
        <v>299</v>
      </c>
      <c r="B39" t="n">
        <v>-0.25</v>
      </c>
      <c r="C39" t="n">
        <v>138</v>
      </c>
      <c r="D39" t="n">
        <v>0</v>
      </c>
      <c r="E39" t="n">
        <v>131</v>
      </c>
    </row>
    <row r="40">
      <c r="A40" t="s">
        <v>298</v>
      </c>
      <c r="B40" t="n">
        <v>-0.25</v>
      </c>
      <c r="C40" t="n">
        <v>80</v>
      </c>
      <c r="D40" t="n">
        <v>-0.25</v>
      </c>
      <c r="E40" t="n">
        <v>56</v>
      </c>
    </row>
    <row r="41">
      <c r="A41" t="s">
        <v>299</v>
      </c>
      <c r="B41" t="n">
        <v>-0.25</v>
      </c>
      <c r="C41" t="n">
        <v>20</v>
      </c>
      <c r="D41" t="n">
        <v>-0.25</v>
      </c>
      <c r="E41" t="n">
        <v>25</v>
      </c>
    </row>
    <row r="42">
      <c r="A42" t="s">
        <v>298</v>
      </c>
      <c r="B42" t="n">
        <v>-0.5</v>
      </c>
      <c r="C42" t="n">
        <v>85</v>
      </c>
      <c r="D42" t="n">
        <v>-0.25</v>
      </c>
      <c r="E42" t="n">
        <v>78</v>
      </c>
    </row>
    <row r="43">
      <c r="A43" t="s">
        <v>298</v>
      </c>
      <c r="B43" t="n">
        <v>-0.25</v>
      </c>
      <c r="C43" t="n">
        <v>100</v>
      </c>
      <c r="D43" t="n">
        <v>-0.25</v>
      </c>
      <c r="E43" t="n">
        <v>122</v>
      </c>
    </row>
    <row r="44">
      <c r="A44" t="s">
        <v>299</v>
      </c>
      <c r="B44" t="n">
        <v>-0.5</v>
      </c>
      <c r="C44" t="n">
        <v>95</v>
      </c>
      <c r="D44" t="n">
        <v>-0.25</v>
      </c>
      <c r="E44" t="n">
        <v>89</v>
      </c>
    </row>
    <row r="45">
      <c r="A45" t="s">
        <v>299</v>
      </c>
      <c r="B45" t="n">
        <v>-0.25</v>
      </c>
      <c r="C45" t="n">
        <v>156</v>
      </c>
      <c r="D45" t="n">
        <v>0</v>
      </c>
      <c r="E45" t="n">
        <v>91</v>
      </c>
    </row>
    <row r="46">
      <c r="A46" t="s">
        <v>298</v>
      </c>
      <c r="B46" t="n">
        <v>-0.25</v>
      </c>
      <c r="C46" t="n">
        <v>79</v>
      </c>
      <c r="D46" t="n">
        <v>0</v>
      </c>
      <c r="E46" t="n">
        <v>65</v>
      </c>
    </row>
    <row r="47">
      <c r="A47" t="s">
        <v>298</v>
      </c>
      <c r="B47" t="n">
        <v>-0.25</v>
      </c>
      <c r="C47" t="n">
        <v>92</v>
      </c>
      <c r="D47" t="n">
        <v>-0.25</v>
      </c>
      <c r="E47" t="n">
        <v>69</v>
      </c>
    </row>
    <row r="48">
      <c r="A48" t="s">
        <v>298</v>
      </c>
      <c r="B48" t="n">
        <v>-0.75</v>
      </c>
      <c r="C48" t="n">
        <v>174</v>
      </c>
      <c r="D48" t="n">
        <v>-0.25</v>
      </c>
      <c r="E48" t="n">
        <v>32</v>
      </c>
    </row>
    <row r="49">
      <c r="A49" t="s">
        <v>299</v>
      </c>
      <c r="B49" t="n">
        <v>-1</v>
      </c>
      <c r="C49" t="n">
        <v>162</v>
      </c>
      <c r="D49" t="n">
        <v>0</v>
      </c>
      <c r="E49" t="n">
        <v>78</v>
      </c>
    </row>
    <row r="50">
      <c r="A50" t="s">
        <v>298</v>
      </c>
      <c r="B50" t="n">
        <v>-1</v>
      </c>
      <c r="C50" t="n">
        <v>177</v>
      </c>
      <c r="D50" t="n">
        <v>-0.25</v>
      </c>
      <c r="E50" t="n">
        <v>177</v>
      </c>
    </row>
    <row r="51">
      <c r="A51" t="s">
        <v>299</v>
      </c>
      <c r="B51" t="n">
        <v>-0.5</v>
      </c>
      <c r="C51" t="n">
        <v>86</v>
      </c>
      <c r="D51" t="n">
        <v>0</v>
      </c>
      <c r="E51" t="n">
        <v>85</v>
      </c>
    </row>
    <row r="52">
      <c r="A52" t="s">
        <v>298</v>
      </c>
      <c r="B52" t="n">
        <v>0</v>
      </c>
      <c r="C52" t="n">
        <v>99</v>
      </c>
      <c r="D52" t="n">
        <v>-0.25</v>
      </c>
      <c r="E52" t="n">
        <v>111</v>
      </c>
    </row>
    <row r="53">
      <c r="A53" t="s">
        <v>299</v>
      </c>
      <c r="B53" t="n">
        <v>-0.75</v>
      </c>
      <c r="C53" t="n">
        <v>6</v>
      </c>
      <c r="D53" t="n">
        <v>0</v>
      </c>
      <c r="E53" t="n">
        <v>26</v>
      </c>
    </row>
    <row r="54">
      <c r="A54" t="s">
        <v>298</v>
      </c>
      <c r="B54" t="n">
        <v>-0.75</v>
      </c>
      <c r="C54" t="n">
        <v>178</v>
      </c>
      <c r="D54" t="n">
        <v>-0.25</v>
      </c>
      <c r="E54" t="n">
        <v>4</v>
      </c>
    </row>
    <row r="55">
      <c r="A55" t="s">
        <v>299</v>
      </c>
      <c r="B55" t="n">
        <v>0</v>
      </c>
      <c r="C55" t="n">
        <v>7</v>
      </c>
      <c r="D55" t="n">
        <v>-0.5</v>
      </c>
      <c r="E55" t="n">
        <v>3</v>
      </c>
    </row>
    <row r="56">
      <c r="A56" t="s">
        <v>299</v>
      </c>
      <c r="B56" t="n">
        <v>-0.75</v>
      </c>
      <c r="C56" t="n">
        <v>170</v>
      </c>
      <c r="D56" t="n">
        <v>-0.25</v>
      </c>
      <c r="E56" t="n">
        <v>170</v>
      </c>
    </row>
    <row r="57">
      <c r="A57" t="s">
        <v>298</v>
      </c>
      <c r="B57" t="n">
        <v>0</v>
      </c>
      <c r="C57" t="n">
        <v>80</v>
      </c>
      <c r="D57" t="n">
        <v>0</v>
      </c>
      <c r="E57" t="n">
        <v>68</v>
      </c>
    </row>
    <row r="58">
      <c r="A58" t="s">
        <v>299</v>
      </c>
      <c r="B58" t="n">
        <v>-0.5</v>
      </c>
      <c r="C58" t="n">
        <v>167</v>
      </c>
      <c r="D58" t="n">
        <v>0</v>
      </c>
      <c r="E58" t="n">
        <v>24</v>
      </c>
    </row>
    <row r="59">
      <c r="A59" t="s">
        <v>298</v>
      </c>
      <c r="B59" t="n">
        <v>-1.5</v>
      </c>
      <c r="C59" t="n">
        <v>175</v>
      </c>
      <c r="D59" t="n">
        <v>0</v>
      </c>
      <c r="E59" t="n">
        <v>99</v>
      </c>
    </row>
    <row r="60">
      <c r="A60" t="s">
        <v>299</v>
      </c>
      <c r="B60" t="n">
        <v>-0.75</v>
      </c>
      <c r="C60" t="n">
        <v>173</v>
      </c>
      <c r="D60" t="n">
        <v>-0.25</v>
      </c>
      <c r="E60" t="n">
        <v>162</v>
      </c>
    </row>
    <row r="61">
      <c r="A61" t="s">
        <v>299</v>
      </c>
      <c r="B61" t="n">
        <v>-0.5</v>
      </c>
      <c r="C61" t="n">
        <v>11</v>
      </c>
      <c r="D61" t="n">
        <v>-0.25</v>
      </c>
      <c r="E61" t="n">
        <v>2</v>
      </c>
    </row>
    <row r="62">
      <c r="A62" t="s">
        <v>298</v>
      </c>
      <c r="B62" t="n">
        <v>-0.5</v>
      </c>
      <c r="C62" t="n">
        <v>76</v>
      </c>
      <c r="D62" t="n">
        <v>0</v>
      </c>
      <c r="E62" t="n">
        <v>34</v>
      </c>
    </row>
    <row r="63">
      <c r="A63" t="s">
        <v>299</v>
      </c>
      <c r="B63" t="n">
        <v>-1</v>
      </c>
      <c r="C63" t="n">
        <v>13</v>
      </c>
      <c r="D63" t="n">
        <v>-0.25</v>
      </c>
      <c r="E63" t="n">
        <v>16</v>
      </c>
    </row>
    <row r="64">
      <c r="A64" t="s">
        <v>298</v>
      </c>
      <c r="B64" t="n">
        <v>0</v>
      </c>
      <c r="C64" t="n">
        <v>95</v>
      </c>
      <c r="D64" t="n">
        <v>0</v>
      </c>
      <c r="E64" t="n">
        <v>114</v>
      </c>
    </row>
    <row r="65">
      <c r="A65" t="s">
        <v>299</v>
      </c>
      <c r="B65" t="n">
        <v>-1.25</v>
      </c>
      <c r="C65" t="n">
        <v>169</v>
      </c>
      <c r="D65" t="n">
        <v>-0.25</v>
      </c>
      <c r="E65" t="n">
        <v>176</v>
      </c>
    </row>
    <row r="66">
      <c r="A66" t="s">
        <v>298</v>
      </c>
      <c r="B66" t="n">
        <v>-1.25</v>
      </c>
      <c r="C66" t="n">
        <v>22</v>
      </c>
      <c r="D66" t="n">
        <v>-0.25</v>
      </c>
      <c r="E66" t="n">
        <v>33</v>
      </c>
    </row>
    <row r="67">
      <c r="A67" t="s">
        <v>299</v>
      </c>
      <c r="B67" t="n">
        <v>-2.75</v>
      </c>
      <c r="C67" t="n">
        <v>0</v>
      </c>
      <c r="D67" t="n">
        <v>-0.5</v>
      </c>
      <c r="E67" t="n">
        <v>155</v>
      </c>
    </row>
    <row r="68">
      <c r="A68" t="s">
        <v>299</v>
      </c>
      <c r="B68" t="n">
        <v>-0.5</v>
      </c>
      <c r="C68" t="n">
        <v>86</v>
      </c>
      <c r="D68" t="n">
        <v>-0.25</v>
      </c>
      <c r="E68" t="n">
        <v>118</v>
      </c>
    </row>
    <row r="69">
      <c r="A69" t="s">
        <v>298</v>
      </c>
      <c r="B69" t="n">
        <v>-0.25</v>
      </c>
      <c r="C69" t="n">
        <v>157</v>
      </c>
      <c r="D69" t="n">
        <v>0</v>
      </c>
      <c r="E69" t="n">
        <v>156</v>
      </c>
    </row>
    <row r="70">
      <c r="A70" t="s">
        <v>299</v>
      </c>
      <c r="B70" t="n">
        <v>-0.25</v>
      </c>
      <c r="C70" t="n">
        <v>85</v>
      </c>
      <c r="D70" t="n">
        <v>0</v>
      </c>
      <c r="E70" t="n">
        <v>63</v>
      </c>
    </row>
    <row r="71">
      <c r="A71" t="s">
        <v>299</v>
      </c>
      <c r="B71" t="n">
        <v>-0.25</v>
      </c>
      <c r="C71" t="n">
        <v>170</v>
      </c>
      <c r="D71" t="n">
        <v>0</v>
      </c>
      <c r="E71" t="n">
        <v>157</v>
      </c>
    </row>
    <row r="72">
      <c r="A72" t="s">
        <v>298</v>
      </c>
      <c r="B72" t="n">
        <v>-0.5</v>
      </c>
      <c r="C72" t="n">
        <v>18</v>
      </c>
      <c r="D72" t="n">
        <v>-0.5</v>
      </c>
      <c r="E72" t="n">
        <v>43</v>
      </c>
    </row>
    <row r="73">
      <c r="A73" t="s">
        <v>299</v>
      </c>
      <c r="B73" t="n">
        <v>-2.25</v>
      </c>
      <c r="C73" t="n">
        <v>82</v>
      </c>
      <c r="D73" t="n">
        <v>-0.5</v>
      </c>
      <c r="E73" t="n">
        <v>54</v>
      </c>
    </row>
    <row r="74">
      <c r="A74" t="s">
        <v>298</v>
      </c>
      <c r="B74" t="n">
        <v>-0.25</v>
      </c>
      <c r="C74" t="n">
        <v>40</v>
      </c>
      <c r="D74" t="n">
        <v>0</v>
      </c>
      <c r="E74" t="n">
        <v>17</v>
      </c>
    </row>
    <row r="75">
      <c r="A75" t="s">
        <v>299</v>
      </c>
      <c r="B75" t="n">
        <v>0</v>
      </c>
      <c r="C75" t="n">
        <v>169</v>
      </c>
      <c r="D75" t="n">
        <v>0</v>
      </c>
      <c r="E75" t="n">
        <v>145</v>
      </c>
    </row>
    <row r="76">
      <c r="A76" t="s">
        <v>298</v>
      </c>
      <c r="B76" t="n">
        <v>-0.5</v>
      </c>
      <c r="C76" t="n">
        <v>177</v>
      </c>
      <c r="D76" t="n">
        <v>-0.25</v>
      </c>
      <c r="E76" t="n">
        <v>9</v>
      </c>
    </row>
    <row r="77">
      <c r="A77" t="s">
        <v>299</v>
      </c>
      <c r="B77" t="n">
        <v>-0.25</v>
      </c>
      <c r="C77" t="n">
        <v>17</v>
      </c>
      <c r="D77" t="n">
        <v>-0.5</v>
      </c>
      <c r="E77" t="n">
        <v>178</v>
      </c>
    </row>
    <row r="78">
      <c r="A78" t="s">
        <v>298</v>
      </c>
      <c r="B78" t="n">
        <v>-1.5</v>
      </c>
      <c r="C78" t="n">
        <v>16</v>
      </c>
      <c r="D78" t="n">
        <v>0</v>
      </c>
      <c r="E78" t="n">
        <v>7</v>
      </c>
    </row>
    <row r="79">
      <c r="A79" t="s">
        <v>299</v>
      </c>
      <c r="B79" t="n">
        <v>-0.25</v>
      </c>
      <c r="C79" t="n">
        <v>5</v>
      </c>
      <c r="D79" t="n">
        <v>0</v>
      </c>
      <c r="E79" t="n">
        <v>149</v>
      </c>
    </row>
    <row r="80">
      <c r="A80" t="s">
        <v>298</v>
      </c>
      <c r="B80" t="n">
        <v>-0.5</v>
      </c>
      <c r="C80" t="n">
        <v>9</v>
      </c>
      <c r="D80" t="n">
        <v>-0.25</v>
      </c>
      <c r="E80" t="n">
        <v>15</v>
      </c>
    </row>
    <row r="81">
      <c r="A81" t="s">
        <v>298</v>
      </c>
      <c r="B81" t="n">
        <v>-0.5</v>
      </c>
      <c r="C81" t="n">
        <v>98</v>
      </c>
      <c r="D81" t="n">
        <v>-0.25</v>
      </c>
      <c r="E81" t="n">
        <v>77</v>
      </c>
    </row>
    <row r="82">
      <c r="A82" t="s">
        <v>299</v>
      </c>
      <c r="B82" t="n">
        <v>-1.25</v>
      </c>
      <c r="C82" t="n">
        <v>162</v>
      </c>
      <c r="D82" t="n">
        <v>-0.25</v>
      </c>
      <c r="E82" t="n">
        <v>148</v>
      </c>
    </row>
    <row r="83">
      <c r="A83" t="s">
        <v>299</v>
      </c>
      <c r="B83" t="n">
        <v>-0.5</v>
      </c>
      <c r="C83" t="n">
        <v>95</v>
      </c>
      <c r="D83" t="n">
        <v>-0.25</v>
      </c>
      <c r="E83" t="n">
        <v>95</v>
      </c>
    </row>
    <row r="84">
      <c r="A84" t="s">
        <v>299</v>
      </c>
      <c r="B84" t="n">
        <v>-0.5</v>
      </c>
      <c r="C84" t="n">
        <v>82</v>
      </c>
      <c r="D84" t="n">
        <v>-0.25</v>
      </c>
      <c r="E84" t="n">
        <v>61</v>
      </c>
    </row>
    <row r="85">
      <c r="A85" t="s">
        <v>299</v>
      </c>
      <c r="B85" t="n">
        <v>-1.25</v>
      </c>
      <c r="C85" t="n">
        <v>102</v>
      </c>
      <c r="D85" t="n">
        <v>-0.25</v>
      </c>
      <c r="E85" t="n">
        <v>93</v>
      </c>
    </row>
    <row r="86">
      <c r="A86" t="s">
        <v>299</v>
      </c>
      <c r="B86" t="n">
        <v>-0.5</v>
      </c>
      <c r="C86" t="n">
        <v>71</v>
      </c>
      <c r="D86" t="n">
        <v>-0.5</v>
      </c>
      <c r="E86" t="n">
        <v>96</v>
      </c>
    </row>
    <row r="87">
      <c r="A87" t="s">
        <v>298</v>
      </c>
      <c r="B87" t="n">
        <v>0</v>
      </c>
      <c r="C87" t="n">
        <v>80</v>
      </c>
      <c r="D87" t="n">
        <v>-0.25</v>
      </c>
      <c r="E87" t="n">
        <v>130</v>
      </c>
    </row>
    <row r="88">
      <c r="A88" t="s">
        <v>299</v>
      </c>
      <c r="B88" t="n">
        <v>-1.25</v>
      </c>
      <c r="C88" t="n">
        <v>165</v>
      </c>
      <c r="D88" t="n">
        <v>0</v>
      </c>
      <c r="E88" t="n">
        <v>14</v>
      </c>
    </row>
    <row r="89">
      <c r="A89" t="s">
        <v>298</v>
      </c>
      <c r="B89" t="n">
        <v>0</v>
      </c>
      <c r="C89" t="n">
        <v>149</v>
      </c>
      <c r="D89" t="n">
        <v>-0.5</v>
      </c>
      <c r="E89" t="n">
        <v>143</v>
      </c>
    </row>
    <row r="90">
      <c r="A90" t="s">
        <v>299</v>
      </c>
      <c r="B90" t="n">
        <v>-0.5</v>
      </c>
      <c r="C90" t="n">
        <v>2</v>
      </c>
      <c r="D90" t="n">
        <v>-0.25</v>
      </c>
      <c r="E90" t="n">
        <v>175</v>
      </c>
    </row>
    <row r="91">
      <c r="A91" t="s">
        <v>299</v>
      </c>
      <c r="B91" t="n">
        <v>-1</v>
      </c>
      <c r="C91" t="n">
        <v>152</v>
      </c>
      <c r="D91" t="n">
        <v>0</v>
      </c>
      <c r="E91" t="n">
        <v>156</v>
      </c>
    </row>
    <row r="92">
      <c r="A92" t="s">
        <v>298</v>
      </c>
      <c r="B92" t="n">
        <v>-1</v>
      </c>
      <c r="C92" t="n">
        <v>24</v>
      </c>
      <c r="D92" t="n">
        <v>-0.25</v>
      </c>
      <c r="E92" t="n">
        <v>15</v>
      </c>
    </row>
    <row r="93">
      <c r="A93" t="s">
        <v>298</v>
      </c>
      <c r="B93" t="n">
        <v>-1.5</v>
      </c>
      <c r="C93" t="n">
        <v>5</v>
      </c>
      <c r="D93" t="n">
        <v>-0.25</v>
      </c>
      <c r="E93" t="n">
        <v>172</v>
      </c>
    </row>
    <row r="94">
      <c r="A94" t="s">
        <v>299</v>
      </c>
      <c r="B94" t="n">
        <v>-0.75</v>
      </c>
      <c r="C94" t="n">
        <v>88</v>
      </c>
      <c r="D94" t="n">
        <v>-0.25</v>
      </c>
      <c r="E94" t="n">
        <v>81</v>
      </c>
    </row>
    <row r="95">
      <c r="A95" t="s">
        <v>298</v>
      </c>
      <c r="B95" t="n">
        <v>-0.25</v>
      </c>
      <c r="C95" t="n">
        <v>89</v>
      </c>
      <c r="D95" t="n">
        <v>-0.25</v>
      </c>
      <c r="E95" t="n">
        <v>103</v>
      </c>
    </row>
    <row r="96">
      <c r="A96" t="s">
        <v>298</v>
      </c>
      <c r="B96" t="n">
        <v>-0.5</v>
      </c>
      <c r="C96" t="n">
        <v>173</v>
      </c>
      <c r="D96" t="n">
        <v>-0.5</v>
      </c>
      <c r="E96" t="n">
        <v>24</v>
      </c>
    </row>
    <row r="97">
      <c r="A97" t="s">
        <v>299</v>
      </c>
      <c r="B97" t="n">
        <v>-0.5</v>
      </c>
      <c r="C97" t="n">
        <v>2</v>
      </c>
      <c r="D97" t="n">
        <v>-0.5</v>
      </c>
      <c r="E97" t="n">
        <v>19</v>
      </c>
    </row>
    <row r="98">
      <c r="A98" t="s">
        <v>299</v>
      </c>
      <c r="B98" t="n">
        <v>0</v>
      </c>
      <c r="C98" t="n">
        <v>1</v>
      </c>
      <c r="D98" t="n">
        <v>-0.25</v>
      </c>
      <c r="E98" t="n">
        <v>13</v>
      </c>
    </row>
    <row r="99">
      <c r="A99" t="s">
        <v>299</v>
      </c>
      <c r="B99" t="n">
        <v>-1</v>
      </c>
      <c r="C99" t="n">
        <v>110</v>
      </c>
      <c r="D99" t="n">
        <v>-0.25</v>
      </c>
      <c r="E99" t="n">
        <v>121</v>
      </c>
    </row>
    <row r="100">
      <c r="A100" t="s">
        <v>299</v>
      </c>
      <c r="B100" t="n">
        <v>-1.25</v>
      </c>
      <c r="C100" t="n">
        <v>14</v>
      </c>
      <c r="D100" t="n">
        <v>-0.25</v>
      </c>
      <c r="E100" t="n">
        <v>13</v>
      </c>
    </row>
    <row r="101">
      <c r="A101" t="s">
        <v>299</v>
      </c>
      <c r="B101" t="n">
        <v>-1.25</v>
      </c>
      <c r="C101" t="n">
        <v>163</v>
      </c>
      <c r="D101" t="n">
        <v>0</v>
      </c>
      <c r="E101" t="n">
        <v>5</v>
      </c>
    </row>
    <row r="102">
      <c r="A102" t="s">
        <v>298</v>
      </c>
      <c r="B102" t="n">
        <v>-1</v>
      </c>
      <c r="C102" t="n">
        <v>94</v>
      </c>
      <c r="D102" t="n">
        <v>0</v>
      </c>
      <c r="E102" t="n">
        <v>104</v>
      </c>
    </row>
    <row r="103">
      <c r="A103" t="s">
        <v>299</v>
      </c>
      <c r="B103" t="n">
        <v>-0.75</v>
      </c>
      <c r="C103" t="n">
        <v>89</v>
      </c>
      <c r="D103" t="n">
        <v>-0.25</v>
      </c>
      <c r="E103" t="n">
        <v>74</v>
      </c>
    </row>
    <row r="104">
      <c r="A104" t="s">
        <v>298</v>
      </c>
      <c r="B104" t="n">
        <v>-2.5</v>
      </c>
      <c r="C104" t="n">
        <v>20</v>
      </c>
      <c r="D104" t="n">
        <v>0</v>
      </c>
      <c r="E104" t="n">
        <v>33</v>
      </c>
    </row>
    <row r="105">
      <c r="A105" t="s">
        <v>298</v>
      </c>
      <c r="B105" t="n">
        <v>-0.75</v>
      </c>
      <c r="C105" t="n">
        <v>15</v>
      </c>
      <c r="D105" t="n">
        <v>0</v>
      </c>
      <c r="E105" t="n">
        <v>108</v>
      </c>
    </row>
    <row r="106">
      <c r="A106" t="s">
        <v>299</v>
      </c>
      <c r="B106" t="n">
        <v>-1</v>
      </c>
      <c r="C106" t="n">
        <v>60</v>
      </c>
      <c r="D106" t="n">
        <v>0</v>
      </c>
      <c r="E106" t="n">
        <v>130</v>
      </c>
    </row>
    <row r="107">
      <c r="A107" t="s">
        <v>298</v>
      </c>
      <c r="B107" t="n">
        <v>-0.25</v>
      </c>
      <c r="C107" t="n">
        <v>99</v>
      </c>
      <c r="D107" t="n">
        <v>-0.25</v>
      </c>
      <c r="E107" t="n">
        <v>110</v>
      </c>
    </row>
    <row r="108">
      <c r="A108" t="s">
        <v>298</v>
      </c>
      <c r="B108" t="n">
        <v>-0.25</v>
      </c>
      <c r="C108" t="n">
        <v>12</v>
      </c>
      <c r="D108" t="n">
        <v>-0.25</v>
      </c>
      <c r="E108" t="n">
        <v>34</v>
      </c>
    </row>
    <row r="109">
      <c r="A109" t="s">
        <v>299</v>
      </c>
      <c r="B109" t="n">
        <v>-0.5</v>
      </c>
      <c r="C109" t="n">
        <v>158</v>
      </c>
      <c r="D109" t="n">
        <v>-0.5</v>
      </c>
      <c r="E109" t="n">
        <v>158</v>
      </c>
    </row>
    <row r="110">
      <c r="A110" t="s">
        <v>299</v>
      </c>
      <c r="B110" t="n">
        <v>-0.5</v>
      </c>
      <c r="C110" t="n">
        <v>177</v>
      </c>
      <c r="D110" t="n">
        <v>-0.25</v>
      </c>
      <c r="E110" t="n">
        <v>14</v>
      </c>
    </row>
    <row r="111">
      <c r="A111" t="s">
        <v>298</v>
      </c>
      <c r="B111" t="n">
        <v>-0.25</v>
      </c>
      <c r="C111" t="n">
        <v>81</v>
      </c>
      <c r="D111" t="n">
        <v>-0.25</v>
      </c>
      <c r="E111" t="n">
        <v>104</v>
      </c>
    </row>
    <row r="112">
      <c r="A112" t="s">
        <v>298</v>
      </c>
      <c r="B112" t="n">
        <v>-0.5</v>
      </c>
      <c r="C112" t="n">
        <v>91</v>
      </c>
      <c r="D112" t="n">
        <v>0</v>
      </c>
      <c r="E112" t="n">
        <v>93</v>
      </c>
    </row>
    <row r="113">
      <c r="A113" t="s">
        <v>298</v>
      </c>
      <c r="B113" t="n">
        <v>0</v>
      </c>
      <c r="C113" t="n">
        <v>166</v>
      </c>
      <c r="D113" t="n">
        <v>0</v>
      </c>
      <c r="E113" t="n">
        <v>5</v>
      </c>
    </row>
    <row r="114">
      <c r="A114" t="s">
        <v>299</v>
      </c>
      <c r="B114" t="n">
        <v>0</v>
      </c>
      <c r="C114" t="n">
        <v>87</v>
      </c>
      <c r="D114" t="n">
        <v>0</v>
      </c>
      <c r="E114" t="n">
        <v>97</v>
      </c>
    </row>
    <row r="115">
      <c r="A115" t="s">
        <v>299</v>
      </c>
      <c r="B115" t="n">
        <v>0</v>
      </c>
      <c r="C115" t="n">
        <v>146</v>
      </c>
      <c r="D115" t="n">
        <v>-0.25</v>
      </c>
      <c r="E115" t="n">
        <v>116</v>
      </c>
    </row>
    <row r="116">
      <c r="A116" t="s">
        <v>298</v>
      </c>
      <c r="B116" t="n">
        <v>-0.25</v>
      </c>
      <c r="C116" t="n">
        <v>152</v>
      </c>
      <c r="D116" t="n">
        <v>0</v>
      </c>
      <c r="E116" t="n">
        <v>57</v>
      </c>
    </row>
    <row r="117">
      <c r="A117" t="s">
        <v>298</v>
      </c>
      <c r="B117" t="n">
        <v>-1.25</v>
      </c>
      <c r="C117" t="n">
        <v>105</v>
      </c>
      <c r="D117" t="n">
        <v>-0.5</v>
      </c>
      <c r="E117" t="n">
        <v>107</v>
      </c>
    </row>
    <row r="118">
      <c r="A118" t="s">
        <v>299</v>
      </c>
      <c r="B118" t="n">
        <v>-0.5</v>
      </c>
      <c r="C118" t="n">
        <v>78</v>
      </c>
      <c r="D118" t="n">
        <v>-0.25</v>
      </c>
      <c r="E118" t="n">
        <v>65</v>
      </c>
    </row>
    <row r="119">
      <c r="A119" t="s">
        <v>298</v>
      </c>
      <c r="B119" t="n">
        <v>-0.25</v>
      </c>
      <c r="C119" t="n">
        <v>179</v>
      </c>
      <c r="D119" t="n">
        <v>-0.25</v>
      </c>
      <c r="E119" t="n">
        <v>24</v>
      </c>
    </row>
    <row r="120">
      <c r="A120" t="s">
        <v>299</v>
      </c>
      <c r="B120" t="n">
        <v>-0.25</v>
      </c>
      <c r="C120" t="n">
        <v>102</v>
      </c>
      <c r="D120" t="n">
        <v>-0.25</v>
      </c>
      <c r="E120" t="n">
        <v>81</v>
      </c>
    </row>
    <row r="121">
      <c r="A121" t="s">
        <v>298</v>
      </c>
      <c r="B121" t="n">
        <v>-2.75</v>
      </c>
      <c r="C121" t="n">
        <v>43</v>
      </c>
      <c r="D121" t="n">
        <v>-0.25</v>
      </c>
      <c r="E121" t="n">
        <v>47</v>
      </c>
    </row>
    <row r="122">
      <c r="A122" t="s">
        <v>298</v>
      </c>
      <c r="B122" t="n">
        <v>-0.25</v>
      </c>
      <c r="C122" t="n">
        <v>76</v>
      </c>
      <c r="D122" t="n">
        <v>-0.5</v>
      </c>
      <c r="E122" t="n">
        <v>66</v>
      </c>
    </row>
    <row r="123">
      <c r="A123" t="s">
        <v>298</v>
      </c>
      <c r="B123" t="n">
        <v>-1.5</v>
      </c>
      <c r="C123" t="n">
        <v>3</v>
      </c>
      <c r="D123" t="n">
        <v>-0.25</v>
      </c>
      <c r="E123" t="n">
        <v>2</v>
      </c>
    </row>
    <row r="124">
      <c r="A124" t="s">
        <v>299</v>
      </c>
      <c r="B124" t="n">
        <v>-0.75</v>
      </c>
      <c r="C124" t="n">
        <v>32</v>
      </c>
      <c r="D124" t="n">
        <v>-0.25</v>
      </c>
      <c r="E124" t="n">
        <v>23</v>
      </c>
    </row>
    <row r="125">
      <c r="A125" t="s">
        <v>299</v>
      </c>
      <c r="B125" t="n">
        <v>-0.5</v>
      </c>
      <c r="C125" t="n">
        <v>40</v>
      </c>
      <c r="D125" t="n">
        <v>0</v>
      </c>
      <c r="E125" t="n">
        <v>109</v>
      </c>
    </row>
    <row r="126">
      <c r="A126" t="s">
        <v>299</v>
      </c>
      <c r="B126" t="n">
        <v>-0.5</v>
      </c>
      <c r="C126" t="n">
        <v>2</v>
      </c>
      <c r="D126" t="n">
        <v>-0.25</v>
      </c>
      <c r="E126" t="n">
        <v>171</v>
      </c>
    </row>
    <row r="127">
      <c r="A127" t="s">
        <v>299</v>
      </c>
      <c r="B127" t="n">
        <v>-1</v>
      </c>
      <c r="C127" t="n">
        <v>11</v>
      </c>
      <c r="D127" t="n">
        <v>0</v>
      </c>
      <c r="E127" t="n">
        <v>167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293</v>
      </c>
      <c r="B1" t="s">
        <v>294</v>
      </c>
      <c r="C1" t="s">
        <v>295</v>
      </c>
      <c r="D1" t="s">
        <v>296</v>
      </c>
      <c r="E1" t="s">
        <v>297</v>
      </c>
    </row>
    <row r="2">
      <c r="A2" t="s">
        <v>299</v>
      </c>
      <c r="B2" t="n">
        <v>-0.25</v>
      </c>
      <c r="C2" t="n">
        <v>48</v>
      </c>
      <c r="D2" t="n">
        <v>0</v>
      </c>
      <c r="E2" t="n">
        <v>108</v>
      </c>
    </row>
    <row r="3">
      <c r="A3" t="s">
        <v>298</v>
      </c>
      <c r="B3" t="n">
        <v>-1.25</v>
      </c>
      <c r="C3" t="n">
        <v>12</v>
      </c>
      <c r="D3" t="n">
        <v>-0.25</v>
      </c>
      <c r="E3" t="n">
        <v>8</v>
      </c>
    </row>
    <row r="4">
      <c r="A4" t="s">
        <v>299</v>
      </c>
      <c r="B4" t="n">
        <v>-1.25</v>
      </c>
      <c r="C4" t="n">
        <v>174</v>
      </c>
      <c r="D4" t="n">
        <v>-0.25</v>
      </c>
      <c r="E4" t="n">
        <v>162</v>
      </c>
    </row>
    <row r="5">
      <c r="A5" t="s">
        <v>298</v>
      </c>
      <c r="B5" t="n">
        <v>-0.25</v>
      </c>
      <c r="C5" t="n">
        <v>99</v>
      </c>
      <c r="D5" t="n">
        <v>-0.25</v>
      </c>
      <c r="E5" t="n">
        <v>87</v>
      </c>
    </row>
    <row r="6">
      <c r="A6" t="s">
        <v>299</v>
      </c>
      <c r="B6" t="n">
        <v>-0.25</v>
      </c>
      <c r="C6" t="n">
        <v>94</v>
      </c>
      <c r="D6" t="n">
        <v>0</v>
      </c>
      <c r="E6" t="n">
        <v>154</v>
      </c>
    </row>
    <row r="7">
      <c r="A7" t="s">
        <v>298</v>
      </c>
      <c r="B7" t="n">
        <v>0</v>
      </c>
      <c r="C7" t="n">
        <v>96</v>
      </c>
      <c r="D7" t="n">
        <v>0</v>
      </c>
      <c r="E7" t="n">
        <v>82</v>
      </c>
    </row>
    <row r="8">
      <c r="A8" t="s">
        <v>298</v>
      </c>
      <c r="B8" t="n">
        <v>-0.5</v>
      </c>
      <c r="C8" t="n">
        <v>159</v>
      </c>
      <c r="D8" t="n">
        <v>-0.5</v>
      </c>
      <c r="E8" t="n">
        <v>128</v>
      </c>
    </row>
    <row r="9">
      <c r="A9" t="s">
        <v>299</v>
      </c>
      <c r="B9" t="n">
        <v>-0.25</v>
      </c>
      <c r="C9" t="n">
        <v>94</v>
      </c>
      <c r="D9" t="n">
        <v>0</v>
      </c>
      <c r="E9" t="n">
        <v>70</v>
      </c>
    </row>
    <row r="10">
      <c r="A10" t="s">
        <v>298</v>
      </c>
      <c r="B10" t="n">
        <v>-1.25</v>
      </c>
      <c r="C10" t="n">
        <v>96</v>
      </c>
      <c r="D10" t="n">
        <v>0</v>
      </c>
      <c r="E10" t="n">
        <v>99</v>
      </c>
    </row>
    <row r="11">
      <c r="A11" t="s">
        <v>298</v>
      </c>
      <c r="B11" t="n">
        <v>-1.25</v>
      </c>
      <c r="C11" t="n">
        <v>32</v>
      </c>
      <c r="D11" t="n">
        <v>0</v>
      </c>
      <c r="E11" t="n">
        <v>43</v>
      </c>
    </row>
    <row r="12">
      <c r="A12" t="s">
        <v>298</v>
      </c>
      <c r="B12" t="n">
        <v>-0.5</v>
      </c>
      <c r="C12" t="n">
        <v>24</v>
      </c>
      <c r="D12" t="n">
        <v>0</v>
      </c>
      <c r="E12" t="n">
        <v>17</v>
      </c>
    </row>
    <row r="13">
      <c r="A13" t="s">
        <v>299</v>
      </c>
      <c r="B13" t="n">
        <v>-0.25</v>
      </c>
      <c r="C13" t="n">
        <v>164</v>
      </c>
      <c r="D13" t="n">
        <v>-0.25</v>
      </c>
      <c r="E13" t="n">
        <v>159</v>
      </c>
    </row>
    <row r="14">
      <c r="A14" t="s">
        <v>298</v>
      </c>
      <c r="B14" t="n">
        <v>-0.5</v>
      </c>
      <c r="C14" t="n">
        <v>172</v>
      </c>
      <c r="D14" t="n">
        <v>-0.25</v>
      </c>
      <c r="E14" t="n">
        <v>142</v>
      </c>
    </row>
    <row r="15">
      <c r="A15" t="s">
        <v>299</v>
      </c>
      <c r="B15" t="n">
        <v>-1.25</v>
      </c>
      <c r="C15" t="n">
        <v>179</v>
      </c>
      <c r="D15" t="n">
        <v>0</v>
      </c>
      <c r="E15" t="n">
        <v>155</v>
      </c>
    </row>
    <row r="16">
      <c r="A16" t="s">
        <v>298</v>
      </c>
      <c r="B16" t="n">
        <v>-0.25</v>
      </c>
      <c r="C16" t="n">
        <v>11</v>
      </c>
      <c r="D16" t="n">
        <v>-0.25</v>
      </c>
      <c r="E16" t="n">
        <v>169</v>
      </c>
    </row>
    <row r="17">
      <c r="A17" t="s">
        <v>299</v>
      </c>
      <c r="B17" t="n">
        <v>-0.5</v>
      </c>
      <c r="C17" t="n">
        <v>167</v>
      </c>
      <c r="D17" t="n">
        <v>-0.75</v>
      </c>
      <c r="E17" t="n">
        <v>3</v>
      </c>
    </row>
    <row r="18">
      <c r="A18" t="s">
        <v>298</v>
      </c>
      <c r="B18" t="n">
        <v>-0.75</v>
      </c>
      <c r="C18" t="n">
        <v>94</v>
      </c>
      <c r="D18" t="n">
        <v>-0.25</v>
      </c>
      <c r="E18" t="n">
        <v>63</v>
      </c>
    </row>
    <row r="19">
      <c r="A19" t="s">
        <v>299</v>
      </c>
      <c r="B19" t="n">
        <v>-1.5</v>
      </c>
      <c r="C19" t="n">
        <v>174</v>
      </c>
      <c r="D19" t="n">
        <v>-0.25</v>
      </c>
      <c r="E19" t="n">
        <v>1</v>
      </c>
    </row>
    <row r="20">
      <c r="A20" t="s">
        <v>298</v>
      </c>
      <c r="B20" t="n">
        <v>-0.5</v>
      </c>
      <c r="C20" t="n">
        <v>9</v>
      </c>
      <c r="D20" t="n">
        <v>-0.25</v>
      </c>
      <c r="E20" t="n">
        <v>175</v>
      </c>
    </row>
    <row r="21">
      <c r="A21" t="s">
        <v>298</v>
      </c>
      <c r="B21" t="n">
        <v>-0.5</v>
      </c>
      <c r="C21" t="n">
        <v>89</v>
      </c>
      <c r="D21" t="n">
        <v>-0.5</v>
      </c>
      <c r="E21" t="n">
        <v>109</v>
      </c>
    </row>
    <row r="22">
      <c r="A22" t="s">
        <v>299</v>
      </c>
      <c r="B22" t="n">
        <v>-1.5</v>
      </c>
      <c r="C22" t="n">
        <v>100</v>
      </c>
      <c r="D22" t="n">
        <v>-0.5</v>
      </c>
      <c r="E22" t="n">
        <v>95</v>
      </c>
    </row>
    <row r="23">
      <c r="A23" t="s">
        <v>298</v>
      </c>
      <c r="B23" t="n">
        <v>-0.25</v>
      </c>
      <c r="C23" t="n">
        <v>100</v>
      </c>
      <c r="D23" t="n">
        <v>-0.5</v>
      </c>
      <c r="E23" t="n">
        <v>74</v>
      </c>
    </row>
    <row r="24">
      <c r="A24" t="s">
        <v>299</v>
      </c>
      <c r="B24" t="n">
        <v>-0.5</v>
      </c>
      <c r="C24" t="n">
        <v>4</v>
      </c>
      <c r="D24" t="n">
        <v>-0.25</v>
      </c>
      <c r="E24" t="n">
        <v>179</v>
      </c>
    </row>
    <row r="25">
      <c r="A25" t="s">
        <v>298</v>
      </c>
      <c r="B25" t="n">
        <v>-0.75</v>
      </c>
      <c r="C25" t="n">
        <v>159</v>
      </c>
      <c r="D25" t="n">
        <v>-0.25</v>
      </c>
      <c r="E25" t="n">
        <v>175</v>
      </c>
    </row>
    <row r="26">
      <c r="A26" t="s">
        <v>299</v>
      </c>
      <c r="B26" t="n">
        <v>-1</v>
      </c>
      <c r="C26" t="n">
        <v>180</v>
      </c>
      <c r="D26" t="n">
        <v>-0.25</v>
      </c>
      <c r="E26" t="n">
        <v>13</v>
      </c>
    </row>
    <row r="27">
      <c r="A27" t="s">
        <v>298</v>
      </c>
      <c r="B27" t="n">
        <v>-1.25</v>
      </c>
      <c r="C27" t="n">
        <v>179</v>
      </c>
      <c r="D27" t="n">
        <v>0</v>
      </c>
      <c r="E27" t="n">
        <v>12</v>
      </c>
    </row>
    <row r="28">
      <c r="A28" t="s">
        <v>299</v>
      </c>
      <c r="B28" t="n">
        <v>-0.75</v>
      </c>
      <c r="C28" t="n">
        <v>6</v>
      </c>
      <c r="D28" t="n">
        <v>0</v>
      </c>
      <c r="E28" t="n">
        <v>23</v>
      </c>
    </row>
    <row r="29">
      <c r="A29" t="s">
        <v>299</v>
      </c>
      <c r="B29" t="n">
        <v>-0.25</v>
      </c>
      <c r="C29" t="n">
        <v>157</v>
      </c>
      <c r="D29" t="n">
        <v>-0.25</v>
      </c>
      <c r="E29" t="n">
        <v>128</v>
      </c>
    </row>
    <row r="30">
      <c r="A30" t="s">
        <v>298</v>
      </c>
      <c r="B30" t="n">
        <v>-1.5</v>
      </c>
      <c r="C30" t="n">
        <v>0</v>
      </c>
      <c r="D30" t="n">
        <v>0</v>
      </c>
      <c r="E30" t="n">
        <v>5</v>
      </c>
    </row>
    <row r="31">
      <c r="A31" t="s">
        <v>298</v>
      </c>
      <c r="B31" t="n">
        <v>0</v>
      </c>
      <c r="C31" t="n">
        <v>100</v>
      </c>
      <c r="D31" t="n">
        <v>-0.5</v>
      </c>
      <c r="E31" t="n">
        <v>87</v>
      </c>
    </row>
    <row r="32">
      <c r="A32" t="s">
        <v>299</v>
      </c>
      <c r="B32" t="n">
        <v>-0.75</v>
      </c>
      <c r="C32" t="n">
        <v>13</v>
      </c>
      <c r="D32" t="n">
        <v>0</v>
      </c>
      <c r="E32" t="n">
        <v>9</v>
      </c>
    </row>
    <row r="33">
      <c r="A33" t="s">
        <v>298</v>
      </c>
      <c r="B33" t="n">
        <v>-0.5</v>
      </c>
      <c r="C33" t="n">
        <v>38</v>
      </c>
      <c r="D33" t="n">
        <v>-0.5</v>
      </c>
      <c r="E33" t="n">
        <v>3</v>
      </c>
    </row>
    <row r="34">
      <c r="A34" t="s">
        <v>299</v>
      </c>
      <c r="B34" t="n">
        <v>-0.5</v>
      </c>
      <c r="C34" t="n">
        <v>179</v>
      </c>
      <c r="D34" t="n">
        <v>-0.75</v>
      </c>
      <c r="E34" t="n">
        <v>0</v>
      </c>
    </row>
    <row r="35">
      <c r="A35" t="s">
        <v>298</v>
      </c>
      <c r="B35" t="n">
        <v>-0.75</v>
      </c>
      <c r="C35" t="n">
        <v>21</v>
      </c>
      <c r="D35" t="n">
        <v>-0.5</v>
      </c>
      <c r="E35" t="n">
        <v>28</v>
      </c>
    </row>
    <row r="36">
      <c r="A36" t="s">
        <v>299</v>
      </c>
      <c r="B36" t="n">
        <v>-1</v>
      </c>
      <c r="C36" t="n">
        <v>77</v>
      </c>
      <c r="D36" t="n">
        <v>0</v>
      </c>
      <c r="E36" t="n">
        <v>72</v>
      </c>
    </row>
    <row r="37">
      <c r="A37" t="s">
        <v>299</v>
      </c>
      <c r="B37" t="n">
        <v>-2.5</v>
      </c>
      <c r="C37" t="n">
        <v>104</v>
      </c>
      <c r="D37" t="n">
        <v>-0.25</v>
      </c>
      <c r="E37" t="n">
        <v>105</v>
      </c>
    </row>
    <row r="38">
      <c r="A38" t="s">
        <v>299</v>
      </c>
      <c r="B38" t="n">
        <v>-0.25</v>
      </c>
      <c r="C38" t="n">
        <v>10</v>
      </c>
      <c r="D38" t="n">
        <v>-0.25</v>
      </c>
      <c r="E38" t="n">
        <v>172</v>
      </c>
    </row>
    <row r="39">
      <c r="A39" t="s">
        <v>299</v>
      </c>
      <c r="B39" t="n">
        <v>-0.5</v>
      </c>
      <c r="C39" t="n">
        <v>87</v>
      </c>
      <c r="D39" t="n">
        <v>-0.25</v>
      </c>
      <c r="E39" t="n">
        <v>90</v>
      </c>
    </row>
    <row r="40">
      <c r="A40" t="s">
        <v>298</v>
      </c>
      <c r="B40" t="n">
        <v>-1.25</v>
      </c>
      <c r="C40" t="n">
        <v>165</v>
      </c>
      <c r="D40" t="n">
        <v>-0.25</v>
      </c>
      <c r="E40" t="n">
        <v>156</v>
      </c>
    </row>
    <row r="41">
      <c r="A41" t="s">
        <v>298</v>
      </c>
      <c r="B41" t="n">
        <v>-1.25</v>
      </c>
      <c r="C41" t="n">
        <v>13</v>
      </c>
      <c r="D41" t="n">
        <v>-0.5</v>
      </c>
      <c r="E41" t="n">
        <v>164</v>
      </c>
    </row>
    <row r="42">
      <c r="A42" t="s">
        <v>299</v>
      </c>
      <c r="B42" t="n">
        <v>0</v>
      </c>
      <c r="C42" t="n">
        <v>84</v>
      </c>
      <c r="D42" t="n">
        <v>-0.25</v>
      </c>
      <c r="E42" t="n">
        <v>161</v>
      </c>
    </row>
    <row r="43">
      <c r="A43" t="s">
        <v>298</v>
      </c>
      <c r="B43" t="n">
        <v>-1</v>
      </c>
      <c r="C43" t="n">
        <v>176</v>
      </c>
      <c r="D43" t="n">
        <v>-0.25</v>
      </c>
      <c r="E43" t="n">
        <v>31</v>
      </c>
    </row>
    <row r="44">
      <c r="A44" t="s">
        <v>299</v>
      </c>
      <c r="B44" t="n">
        <v>-2.75</v>
      </c>
      <c r="C44" t="n">
        <v>8</v>
      </c>
      <c r="D44" t="n">
        <v>-0.25</v>
      </c>
      <c r="E44" t="n">
        <v>177</v>
      </c>
    </row>
    <row r="45">
      <c r="A45" t="s">
        <v>298</v>
      </c>
      <c r="B45" t="n">
        <v>0</v>
      </c>
      <c r="C45" t="n">
        <v>174</v>
      </c>
      <c r="D45" t="n">
        <v>-0.25</v>
      </c>
      <c r="E45" t="n">
        <v>116</v>
      </c>
    </row>
    <row r="46">
      <c r="A46" t="s">
        <v>298</v>
      </c>
      <c r="B46" t="n">
        <v>-0.75</v>
      </c>
      <c r="C46" t="n">
        <v>103</v>
      </c>
      <c r="D46" t="n">
        <v>0</v>
      </c>
      <c r="E46" t="n">
        <v>88</v>
      </c>
    </row>
    <row r="47">
      <c r="A47" t="s">
        <v>299</v>
      </c>
      <c r="B47" t="n">
        <v>-0.5</v>
      </c>
      <c r="C47" t="n">
        <v>2</v>
      </c>
      <c r="D47" t="n">
        <v>-0.25</v>
      </c>
      <c r="E47" t="n">
        <v>0</v>
      </c>
    </row>
    <row r="48">
      <c r="A48" t="s">
        <v>298</v>
      </c>
      <c r="B48" t="n">
        <v>-0.75</v>
      </c>
      <c r="C48" t="n">
        <v>81</v>
      </c>
      <c r="D48" t="n">
        <v>-0.5</v>
      </c>
      <c r="E48" t="n">
        <v>85</v>
      </c>
    </row>
    <row r="49">
      <c r="A49" t="s">
        <v>299</v>
      </c>
      <c r="B49" t="n">
        <v>-1.5</v>
      </c>
      <c r="C49" t="n">
        <v>165</v>
      </c>
      <c r="D49" t="n">
        <v>-0.5</v>
      </c>
      <c r="E49" t="n">
        <v>179</v>
      </c>
    </row>
    <row r="50">
      <c r="A50" t="s">
        <v>299</v>
      </c>
      <c r="B50" t="n">
        <v>-1.25</v>
      </c>
      <c r="C50" t="n">
        <v>102</v>
      </c>
      <c r="D50" t="n">
        <v>-0.5</v>
      </c>
      <c r="E50" t="n">
        <v>100</v>
      </c>
    </row>
    <row r="51">
      <c r="A51" t="s">
        <v>298</v>
      </c>
      <c r="B51" t="n">
        <v>-0.5</v>
      </c>
      <c r="C51" t="n">
        <v>18</v>
      </c>
      <c r="D51" t="n">
        <v>-0.25</v>
      </c>
      <c r="E51" t="n">
        <v>166</v>
      </c>
    </row>
    <row r="52">
      <c r="A52" t="s">
        <v>298</v>
      </c>
      <c r="B52" t="n">
        <v>-0.5</v>
      </c>
      <c r="C52" t="n">
        <v>167</v>
      </c>
      <c r="D52" t="n">
        <v>0</v>
      </c>
      <c r="E52" t="n">
        <v>64</v>
      </c>
    </row>
    <row r="53">
      <c r="A53" t="s">
        <v>298</v>
      </c>
      <c r="B53" t="n">
        <v>0</v>
      </c>
      <c r="C53" t="n">
        <v>178</v>
      </c>
      <c r="D53" t="n">
        <v>-0.25</v>
      </c>
      <c r="E53" t="n">
        <v>41</v>
      </c>
    </row>
    <row r="54">
      <c r="A54" t="s">
        <v>299</v>
      </c>
      <c r="B54" t="n">
        <v>-1</v>
      </c>
      <c r="C54" t="n">
        <v>18</v>
      </c>
      <c r="D54" t="n">
        <v>-0.25</v>
      </c>
      <c r="E54" t="n">
        <v>174</v>
      </c>
    </row>
    <row r="55">
      <c r="A55" t="s">
        <v>299</v>
      </c>
      <c r="B55" t="n">
        <v>-2.75</v>
      </c>
      <c r="C55" t="n">
        <v>20</v>
      </c>
      <c r="D55" t="n">
        <v>0</v>
      </c>
      <c r="E55" t="n">
        <v>26</v>
      </c>
    </row>
    <row r="56">
      <c r="A56" t="s">
        <v>298</v>
      </c>
      <c r="B56" t="n">
        <v>-0.5</v>
      </c>
      <c r="C56" t="n">
        <v>12</v>
      </c>
      <c r="D56" t="n">
        <v>-0.25</v>
      </c>
      <c r="E56" t="n">
        <v>54</v>
      </c>
    </row>
    <row r="57">
      <c r="A57" t="s">
        <v>299</v>
      </c>
      <c r="B57" t="n">
        <v>-0.25</v>
      </c>
      <c r="C57" t="n">
        <v>37</v>
      </c>
      <c r="D57" t="n">
        <v>-0.25</v>
      </c>
      <c r="E57" t="n">
        <v>48</v>
      </c>
    </row>
    <row r="58">
      <c r="A58" t="s">
        <v>298</v>
      </c>
      <c r="B58" t="n">
        <v>-1</v>
      </c>
      <c r="C58" t="n">
        <v>12</v>
      </c>
      <c r="D58" t="n">
        <v>-0.25</v>
      </c>
      <c r="E58" t="n">
        <v>32</v>
      </c>
    </row>
    <row r="59">
      <c r="A59" t="s">
        <v>298</v>
      </c>
      <c r="B59" t="n">
        <v>-0.75</v>
      </c>
      <c r="C59" t="n">
        <v>180</v>
      </c>
      <c r="D59" t="n">
        <v>-0.5</v>
      </c>
      <c r="E59" t="n">
        <v>167</v>
      </c>
    </row>
    <row r="60">
      <c r="A60" t="s">
        <v>298</v>
      </c>
      <c r="B60" t="n">
        <v>-0.25</v>
      </c>
      <c r="C60" t="n">
        <v>78</v>
      </c>
      <c r="D60" t="n">
        <v>-0.25</v>
      </c>
      <c r="E60" t="n">
        <v>78</v>
      </c>
    </row>
    <row r="61">
      <c r="A61" t="s">
        <v>299</v>
      </c>
      <c r="B61" t="n">
        <v>-0.25</v>
      </c>
      <c r="C61" t="n">
        <v>169</v>
      </c>
      <c r="D61" t="n">
        <v>0</v>
      </c>
      <c r="E61" t="n">
        <v>82</v>
      </c>
    </row>
    <row r="62">
      <c r="A62" t="s">
        <v>298</v>
      </c>
      <c r="B62" t="n">
        <v>-0.25</v>
      </c>
      <c r="C62" t="n">
        <v>12</v>
      </c>
      <c r="D62" t="n">
        <v>-0.25</v>
      </c>
      <c r="E62" t="n">
        <v>3</v>
      </c>
    </row>
    <row r="63">
      <c r="A63" t="s">
        <v>299</v>
      </c>
      <c r="B63" t="n">
        <v>-0.75</v>
      </c>
      <c r="C63" t="n">
        <v>77</v>
      </c>
      <c r="D63" t="n">
        <v>-0.25</v>
      </c>
      <c r="E63" t="n">
        <v>117</v>
      </c>
    </row>
    <row r="64">
      <c r="A64" t="s">
        <v>298</v>
      </c>
      <c r="B64" t="n">
        <v>-0.75</v>
      </c>
      <c r="C64" t="n">
        <v>7</v>
      </c>
      <c r="D64" t="n">
        <v>0</v>
      </c>
      <c r="E64" t="n">
        <v>13</v>
      </c>
    </row>
    <row r="65">
      <c r="A65" t="s">
        <v>298</v>
      </c>
      <c r="B65" t="n">
        <v>-0.5</v>
      </c>
      <c r="C65" t="n">
        <v>156</v>
      </c>
      <c r="D65" t="n">
        <v>-0.5</v>
      </c>
      <c r="E65" t="n">
        <v>1</v>
      </c>
    </row>
    <row r="66">
      <c r="A66" t="s">
        <v>299</v>
      </c>
      <c r="B66" t="n">
        <v>-0.5</v>
      </c>
      <c r="C66" t="n">
        <v>174</v>
      </c>
      <c r="D66" t="n">
        <v>-0.25</v>
      </c>
      <c r="E66" t="n">
        <v>9</v>
      </c>
    </row>
    <row r="67">
      <c r="A67" t="s">
        <v>298</v>
      </c>
      <c r="B67" t="n">
        <v>-1</v>
      </c>
      <c r="C67" t="n">
        <v>59</v>
      </c>
      <c r="D67" t="n">
        <v>-0.5</v>
      </c>
      <c r="E67" t="n">
        <v>84</v>
      </c>
    </row>
    <row r="68">
      <c r="A68" t="s">
        <v>299</v>
      </c>
      <c r="B68" t="n">
        <v>-0.5</v>
      </c>
      <c r="C68" t="n">
        <v>76</v>
      </c>
      <c r="D68" t="n">
        <v>-0.25</v>
      </c>
      <c r="E68" t="n">
        <v>50</v>
      </c>
    </row>
    <row r="69">
      <c r="A69" t="s">
        <v>298</v>
      </c>
      <c r="B69" t="n">
        <v>0</v>
      </c>
      <c r="C69" t="n">
        <v>179</v>
      </c>
      <c r="D69" t="n">
        <v>0</v>
      </c>
      <c r="E69" t="n">
        <v>20</v>
      </c>
    </row>
    <row r="70">
      <c r="A70" t="s">
        <v>299</v>
      </c>
      <c r="B70" t="n">
        <v>-0.25</v>
      </c>
      <c r="C70" t="n">
        <v>100</v>
      </c>
      <c r="D70" t="n">
        <v>-0.25</v>
      </c>
      <c r="E70" t="n">
        <v>102</v>
      </c>
    </row>
    <row r="71">
      <c r="A71" t="s">
        <v>298</v>
      </c>
      <c r="B71" t="n">
        <v>-0.75</v>
      </c>
      <c r="C71" t="n">
        <v>172</v>
      </c>
      <c r="D71" t="n">
        <v>-0.25</v>
      </c>
      <c r="E71" t="n">
        <v>159</v>
      </c>
    </row>
    <row r="72">
      <c r="A72" t="s">
        <v>299</v>
      </c>
      <c r="B72" t="n">
        <v>-0.5</v>
      </c>
      <c r="C72" t="n">
        <v>1</v>
      </c>
      <c r="D72" t="n">
        <v>-0.25</v>
      </c>
      <c r="E72" t="n">
        <v>148</v>
      </c>
    </row>
    <row r="73">
      <c r="A73" t="s">
        <v>299</v>
      </c>
      <c r="B73" t="n">
        <v>0</v>
      </c>
      <c r="C73" t="n">
        <v>22</v>
      </c>
      <c r="D73" t="n">
        <v>-0.25</v>
      </c>
      <c r="E73" t="n">
        <v>97</v>
      </c>
    </row>
    <row r="74">
      <c r="A74" t="s">
        <v>298</v>
      </c>
      <c r="B74" t="n">
        <v>0</v>
      </c>
      <c r="C74" t="n">
        <v>87</v>
      </c>
      <c r="D74" t="n">
        <v>-0.25</v>
      </c>
      <c r="E74" t="n">
        <v>160</v>
      </c>
    </row>
    <row r="75">
      <c r="A75" t="s">
        <v>298</v>
      </c>
      <c r="B75" t="n">
        <v>-0.25</v>
      </c>
      <c r="C75" t="n">
        <v>177</v>
      </c>
      <c r="D75" t="n">
        <v>-0.25</v>
      </c>
      <c r="E75" t="n">
        <v>161</v>
      </c>
    </row>
    <row r="76">
      <c r="A76" t="s">
        <v>298</v>
      </c>
      <c r="B76" t="n">
        <v>-0.25</v>
      </c>
      <c r="C76" t="n">
        <v>84</v>
      </c>
      <c r="D76" t="n">
        <v>0</v>
      </c>
      <c r="E76" t="n">
        <v>66</v>
      </c>
    </row>
    <row r="77">
      <c r="A77" t="s">
        <v>298</v>
      </c>
      <c r="B77" t="n">
        <v>-2</v>
      </c>
      <c r="C77" t="n">
        <v>39</v>
      </c>
      <c r="D77" t="n">
        <v>-0.25</v>
      </c>
      <c r="E77" t="n">
        <v>32</v>
      </c>
    </row>
    <row r="78">
      <c r="A78" t="s">
        <v>299</v>
      </c>
      <c r="B78" t="n">
        <v>-0.25</v>
      </c>
      <c r="C78" t="n">
        <v>140</v>
      </c>
      <c r="D78" t="n">
        <v>-0.25</v>
      </c>
      <c r="E78" t="n">
        <v>142</v>
      </c>
    </row>
    <row r="79">
      <c r="A79" t="s">
        <v>298</v>
      </c>
      <c r="B79" t="n">
        <v>-0.5</v>
      </c>
      <c r="C79" t="n">
        <v>170</v>
      </c>
      <c r="D79" t="n">
        <v>-0.25</v>
      </c>
      <c r="E79" t="n">
        <v>172</v>
      </c>
    </row>
    <row r="80">
      <c r="A80" t="s">
        <v>299</v>
      </c>
      <c r="B80" t="n">
        <v>-1</v>
      </c>
      <c r="C80" t="n">
        <v>56</v>
      </c>
      <c r="D80" t="n">
        <v>0</v>
      </c>
      <c r="E80" t="n">
        <v>53</v>
      </c>
    </row>
    <row r="81">
      <c r="A81" t="s">
        <v>299</v>
      </c>
      <c r="B81" t="n">
        <v>-1</v>
      </c>
      <c r="C81" t="n">
        <v>101</v>
      </c>
      <c r="D81" t="n">
        <v>0</v>
      </c>
      <c r="E81" t="n">
        <v>32</v>
      </c>
    </row>
    <row r="82">
      <c r="A82" t="s">
        <v>299</v>
      </c>
      <c r="B82" t="n">
        <v>0</v>
      </c>
      <c r="C82" t="n">
        <v>155</v>
      </c>
      <c r="D82" t="n">
        <v>-0.25</v>
      </c>
      <c r="E82" t="n">
        <v>161</v>
      </c>
    </row>
    <row r="83">
      <c r="A83" t="s">
        <v>299</v>
      </c>
      <c r="B83" t="n">
        <v>-2</v>
      </c>
      <c r="C83" t="n">
        <v>170</v>
      </c>
      <c r="D83" t="n">
        <v>0</v>
      </c>
      <c r="E83" t="n">
        <v>164</v>
      </c>
    </row>
    <row r="84">
      <c r="A84" t="s">
        <v>298</v>
      </c>
      <c r="B84" t="n">
        <v>-0.5</v>
      </c>
      <c r="C84" t="n">
        <v>103</v>
      </c>
      <c r="D84" t="n">
        <v>-0.25</v>
      </c>
      <c r="E84" t="n">
        <v>103</v>
      </c>
    </row>
    <row r="85">
      <c r="A85" t="s">
        <v>298</v>
      </c>
      <c r="B85" t="n">
        <v>0</v>
      </c>
      <c r="C85" t="n">
        <v>10</v>
      </c>
      <c r="D85" t="n">
        <v>0</v>
      </c>
      <c r="E85" t="n">
        <v>141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80.71" hidden="0" customWidth="1"/>
  </cols>
  <sheetData>
    <row r="1">
      <c r="A1" t="s">
        <v>487</v>
      </c>
      <c r="B1" t="s">
        <v>5</v>
      </c>
    </row>
    <row r="2">
      <c r="A2" t="s">
        <v>955</v>
      </c>
      <c r="B2" t="s">
        <v>956</v>
      </c>
    </row>
    <row r="3">
      <c r="A3" t="s">
        <v>957</v>
      </c>
      <c r="B3" t="s">
        <v>956</v>
      </c>
    </row>
    <row r="4">
      <c r="A4" t="s">
        <v>958</v>
      </c>
      <c r="B4" t="s">
        <v>959</v>
      </c>
    </row>
    <row r="5">
      <c r="A5" t="s">
        <v>960</v>
      </c>
      <c r="B5" t="s">
        <v>961</v>
      </c>
    </row>
    <row r="6">
      <c r="A6" t="s">
        <v>962</v>
      </c>
      <c r="B6" t="s">
        <v>963</v>
      </c>
    </row>
    <row r="7">
      <c r="A7" t="s">
        <v>964</v>
      </c>
      <c r="B7" t="s">
        <v>965</v>
      </c>
    </row>
    <row r="8">
      <c r="A8" t="s">
        <v>966</v>
      </c>
      <c r="B8" t="s">
        <v>967</v>
      </c>
    </row>
    <row r="9">
      <c r="A9" t="s">
        <v>968</v>
      </c>
      <c r="B9" t="s">
        <v>969</v>
      </c>
    </row>
    <row r="10">
      <c r="A10" t="s">
        <v>970</v>
      </c>
      <c r="B10" t="s">
        <v>971</v>
      </c>
    </row>
    <row r="11">
      <c r="A11" t="s">
        <v>972</v>
      </c>
      <c r="B11" t="s">
        <v>973</v>
      </c>
    </row>
    <row r="12">
      <c r="A12" t="s">
        <v>974</v>
      </c>
      <c r="B12" t="s">
        <v>975</v>
      </c>
    </row>
    <row r="13">
      <c r="A13" t="s">
        <v>976</v>
      </c>
      <c r="B13" t="s">
        <v>977</v>
      </c>
    </row>
    <row r="14">
      <c r="A14" t="s">
        <v>978</v>
      </c>
      <c r="B14" t="s">
        <v>979</v>
      </c>
    </row>
    <row r="15">
      <c r="A15" t="s">
        <v>980</v>
      </c>
      <c r="B15" t="s">
        <v>9</v>
      </c>
    </row>
    <row r="16">
      <c r="A16" t="s">
        <v>981</v>
      </c>
      <c r="B16" t="s">
        <v>982</v>
      </c>
    </row>
    <row r="17">
      <c r="A17" t="s">
        <v>28</v>
      </c>
      <c r="B17" t="s">
        <v>983</v>
      </c>
    </row>
    <row r="18">
      <c r="A18" t="s">
        <v>504</v>
      </c>
      <c r="B18" t="s">
        <v>30</v>
      </c>
    </row>
    <row r="19">
      <c r="A19" t="s">
        <v>984</v>
      </c>
      <c r="B19" t="s">
        <v>985</v>
      </c>
    </row>
    <row r="20">
      <c r="A20" t="s">
        <v>986</v>
      </c>
      <c r="B20" t="s">
        <v>987</v>
      </c>
    </row>
    <row r="21">
      <c r="A21" t="s">
        <v>988</v>
      </c>
      <c r="B21" t="s">
        <v>989</v>
      </c>
    </row>
    <row r="22">
      <c r="A22" t="s">
        <v>990</v>
      </c>
      <c r="B22" t="s">
        <v>991</v>
      </c>
    </row>
    <row r="23">
      <c r="A23" t="s">
        <v>992</v>
      </c>
      <c r="B23" t="s">
        <v>993</v>
      </c>
    </row>
    <row r="24">
      <c r="A24" t="s">
        <v>994</v>
      </c>
      <c r="B24" t="s">
        <v>995</v>
      </c>
    </row>
    <row r="25">
      <c r="A25" t="s">
        <v>996</v>
      </c>
      <c r="B25" t="s">
        <v>997</v>
      </c>
    </row>
    <row r="26">
      <c r="A26" t="s">
        <v>998</v>
      </c>
      <c r="B26" t="s">
        <v>376</v>
      </c>
    </row>
    <row r="27">
      <c r="A27" t="s">
        <v>999</v>
      </c>
      <c r="B27" t="s">
        <v>1000</v>
      </c>
    </row>
    <row r="28">
      <c r="A28" t="s">
        <v>1001</v>
      </c>
      <c r="B28" t="s">
        <v>1002</v>
      </c>
    </row>
    <row r="29">
      <c r="A29" t="s">
        <v>1003</v>
      </c>
      <c r="B29" t="s">
        <v>1002</v>
      </c>
    </row>
    <row r="30">
      <c r="A30" t="s">
        <v>1004</v>
      </c>
      <c r="B30" t="s">
        <v>1005</v>
      </c>
    </row>
    <row r="31">
      <c r="A31" t="s">
        <v>1006</v>
      </c>
      <c r="B31" t="s">
        <v>1007</v>
      </c>
    </row>
    <row r="32">
      <c r="A32" t="s">
        <v>1008</v>
      </c>
      <c r="B32" t="s">
        <v>1009</v>
      </c>
    </row>
    <row r="33">
      <c r="A33" t="s">
        <v>1010</v>
      </c>
      <c r="B33" t="s">
        <v>1011</v>
      </c>
    </row>
    <row r="34">
      <c r="A34" t="s">
        <v>1012</v>
      </c>
      <c r="B34" t="s">
        <v>1013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4.71" hidden="0" customWidth="1"/>
    <col min="2" max="2" width="44.71" hidden="0" customWidth="1"/>
    <col min="3" max="3" width="90.71" hidden="0" customWidth="1"/>
  </cols>
  <sheetData>
    <row r="1">
      <c r="A1" t="s">
        <v>974</v>
      </c>
      <c r="B1" t="s">
        <v>1014</v>
      </c>
      <c r="C1" t="s">
        <v>4</v>
      </c>
    </row>
    <row r="2">
      <c r="A2" s="10" t="str">
        <f>HYPERLINK("#'Manifest'!A1", "Manifest")</f>
      </c>
      <c r="B2" t="s">
        <v>1015</v>
      </c>
      <c r="C2" t="s">
        <v>1016</v>
      </c>
    </row>
    <row r="3">
      <c r="A3" s="10" t="str">
        <f>HYPERLINK("#'Overview'!A1", "Overview")</f>
      </c>
      <c r="B3" t="s">
        <v>1017</v>
      </c>
      <c r="C3" t="s">
        <v>1018</v>
      </c>
    </row>
    <row r="4">
      <c r="A4" s="10" t="str">
        <f>HYPERLINK("#'Baseline &amp; Preop Summary'!A1", "Baseline &amp; Preop Summary")</f>
      </c>
      <c r="B4" t="s">
        <v>1019</v>
      </c>
      <c r="C4" t="s">
        <v>1020</v>
      </c>
    </row>
    <row r="5">
      <c r="A5" s="10" t="str">
        <f>HYPERLINK("#'Outcome Summary'!A1", "Outcome Summary")</f>
      </c>
      <c r="B5" t="s">
        <v>1021</v>
      </c>
      <c r="C5" t="s">
        <v>1022</v>
      </c>
    </row>
    <row r="6">
      <c r="A6" s="10" t="str">
        <f>HYPERLINK("#'Publication Table'!A1", "Publication Table")</f>
      </c>
      <c r="B6" t="s">
        <v>1023</v>
      </c>
      <c r="C6" t="s">
        <v>1024</v>
      </c>
    </row>
    <row r="7">
      <c r="A7" s="10" t="str">
        <f>HYPERLINK("#'mEYEstro_Control'!A1", "mEYEstro_Control")</f>
      </c>
      <c r="B7" t="s">
        <v>1025</v>
      </c>
      <c r="C7" t="s">
        <v>1026</v>
      </c>
    </row>
    <row r="8">
      <c r="A8" s="10" t="str">
        <f>HYPERLINK("#'mEYEstro_Diabetes'!A1", "mEYEstro_Diabetes")</f>
      </c>
      <c r="B8" t="s">
        <v>1027</v>
      </c>
      <c r="C8" t="s">
        <v>1026</v>
      </c>
    </row>
    <row r="9">
      <c r="A9" s="10" t="str">
        <f>HYPERLINK("#'AstigMATIC_Control'!A1", "AstigMATIC_Control")</f>
      </c>
      <c r="B9" t="s">
        <v>1028</v>
      </c>
      <c r="C9" t="s">
        <v>1029</v>
      </c>
    </row>
    <row r="10">
      <c r="A10" s="10" t="str">
        <f>HYPERLINK("#'AstigMATIC_Diabetes'!A1", "AstigMATIC_Diabetes")</f>
      </c>
      <c r="B10" t="s">
        <v>1030</v>
      </c>
      <c r="C10" t="s">
        <v>1029</v>
      </c>
    </row>
    <row r="11">
      <c r="A11" s="10" t="str">
        <f>HYPERLINK("#'GEE_Main_Unmatched_Base'!A1", "GEE_Main_Unmatched_Base")</f>
      </c>
      <c r="B11" t="s">
        <v>1031</v>
      </c>
      <c r="C11" t="s">
        <v>1032</v>
      </c>
    </row>
    <row r="12">
      <c r="A12" s="10" t="str">
        <f>HYPERLINK("#'GEE_Main_Unmatched_Preop'!A1", "GEE_Main_Unmatched_Preop")</f>
      </c>
      <c r="B12" t="s">
        <v>1033</v>
      </c>
      <c r="C12" t="s">
        <v>1032</v>
      </c>
    </row>
    <row r="13">
      <c r="A13" s="10" t="str">
        <f>HYPERLINK("#'GEE_Main_Unmatched_Out'!A1", "GEE_Main_Unmatched_Out")</f>
      </c>
      <c r="B13" t="s">
        <v>1034</v>
      </c>
      <c r="C13" t="s">
        <v>1032</v>
      </c>
    </row>
    <row r="14">
      <c r="A14" s="10" t="str">
        <f>HYPERLINK("#'GEE_Adj_Unmatched_Base'!A1", "GEE_Adj_Unmatched_Base")</f>
      </c>
      <c r="B14" t="s">
        <v>1035</v>
      </c>
      <c r="C14" t="s">
        <v>1036</v>
      </c>
    </row>
    <row r="15">
      <c r="A15" s="10" t="str">
        <f>HYPERLINK("#'GEE_Adj_Unmatched_Preop'!A1", "GEE_Adj_Unmatched_Preop")</f>
      </c>
      <c r="B15" t="s">
        <v>1037</v>
      </c>
      <c r="C15" t="s">
        <v>1036</v>
      </c>
    </row>
    <row r="16">
      <c r="A16" s="10" t="str">
        <f>HYPERLINK("#'GEE_Adj_Unmatched_Out'!A1", "GEE_Adj_Unmatched_Out")</f>
      </c>
      <c r="B16" t="s">
        <v>1038</v>
      </c>
      <c r="C16" t="s">
        <v>1036</v>
      </c>
    </row>
    <row r="17">
      <c r="A17" s="10" t="str">
        <f>HYPERLINK("#'Regression (adjusted)'!A1", "Regression (adjusted)")</f>
      </c>
      <c r="B17" t="s">
        <v>1039</v>
      </c>
      <c r="C17" t="s">
        <v>1040</v>
      </c>
    </row>
    <row r="18">
      <c r="A18" s="10" t="str">
        <f>HYPERLINK("#'PSM_Diabetes_vs_Control'!A1", "PSM_Diabetes_vs_Control")</f>
      </c>
      <c r="B18" t="s">
        <v>1041</v>
      </c>
      <c r="C18" t="s">
        <v>1042</v>
      </c>
    </row>
    <row r="19">
      <c r="A19" s="10" t="str">
        <f>HYPERLINK("#'GEE_M_Diabetes_vs_Control'!A1", "GEE_M_Diabetes_vs_Control")</f>
      </c>
      <c r="B19" t="s">
        <v>1043</v>
      </c>
      <c r="C19" t="s">
        <v>1044</v>
      </c>
    </row>
    <row r="20">
      <c r="A20" s="10" t="str">
        <f>HYPERLINK("#'GEE_Adj_M_Diabetes_vs_Control'!A1", "GEE_Adj_M_Diabetes_vs_Control")</f>
      </c>
      <c r="B20" t="s">
        <v>1045</v>
      </c>
      <c r="C20" t="s">
        <v>1046</v>
      </c>
    </row>
    <row r="21">
      <c r="A21" s="10" t="str">
        <f>HYPERLINK("#'Reg_M_Diabetes_vs_Control'!A1", "Reg_M_Diabetes_vs_Control")</f>
      </c>
      <c r="B21" t="s">
        <v>1047</v>
      </c>
      <c r="C21" t="s">
        <v>1048</v>
      </c>
    </row>
    <row r="22">
      <c r="A22" s="10" t="str">
        <f>HYPERLINK("#'BasePreop_M_Diabetes_vs_Control'!A1", "BasePreop_M_Diabetes_vs_Control")</f>
      </c>
      <c r="B22" t="s">
        <v>1049</v>
      </c>
      <c r="C22" t="s">
        <v>1050</v>
      </c>
    </row>
    <row r="23">
      <c r="A23" s="10" t="str">
        <f>HYPERLINK("#'Out_M_Diabetes_vs_Control'!A1", "Out_M_Diabetes_vs_Control")</f>
      </c>
      <c r="B23" t="s">
        <v>1051</v>
      </c>
      <c r="C23" t="s">
        <v>1052</v>
      </c>
    </row>
    <row r="24">
      <c r="A24" s="10" t="str">
        <f>HYPERLINK("#'Pub_M_Diabetes_vs_Control'!A1", "Pub_M_Diabetes_vs_Control")</f>
      </c>
      <c r="B24" t="s">
        <v>1053</v>
      </c>
      <c r="C24" t="s">
        <v>1054</v>
      </c>
    </row>
    <row r="25">
      <c r="A25" s="10" t="str">
        <f>HYPERLINK("#'mEYEstro_M_Control_Diabetes_vs_'!A1", "mEYEstro_M_Control_Diabetes_vs_")</f>
      </c>
      <c r="B25" t="s">
        <v>1056</v>
      </c>
      <c r="C25" t="s">
        <v>1057</v>
      </c>
    </row>
    <row r="26">
      <c r="A26" s="10" t="str">
        <f>HYPERLINK("#'mEYEstro_M_Diabetes_Diabetes_vs'!A1", "mEYEstro_M_Diabetes_Diabetes_vs")</f>
      </c>
      <c r="B26" t="s">
        <v>1059</v>
      </c>
      <c r="C26" t="s">
        <v>1057</v>
      </c>
    </row>
    <row r="27">
      <c r="A27" s="10" t="str">
        <f>HYPERLINK("#'AstigMATIC_M_Control_Diabetes_v'!A1", "AstigMATIC_M_Control_Diabetes_v")</f>
      </c>
      <c r="B27" t="s">
        <v>1061</v>
      </c>
      <c r="C27" t="s">
        <v>1062</v>
      </c>
    </row>
    <row r="28">
      <c r="A28" s="10" t="str">
        <f>HYPERLINK("#'AstigMATIC_M_Diabetes_Diabetes_'!A1", "AstigMATIC_M_Diabetes_Diabetes_")</f>
      </c>
      <c r="B28" t="s">
        <v>1064</v>
      </c>
      <c r="C28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dror</dc:creator>
  <cp:lastModifiedBy>dror</cp:lastModifiedBy>
  <dcterms:created xsi:type="dcterms:W3CDTF">2026-10-02T19:35:43Z</dcterms:created>
</coreProperties>
</file>