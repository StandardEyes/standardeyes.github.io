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tables/table3.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2"/>
  </bookViews>
  <sheets>
    <sheet name="Contents" sheetId="3" state="visible" r:id="rId3"/>
    <sheet name="Manifest" sheetId="2" state="visible" r:id="rId2"/>
    <sheet name="Matched_Data" sheetId="1" state="visible" r:id="rId1"/>
  </sheets>
</workbook>
</file>

<file path=xl/sharedStrings.xml><?xml version="1.0" encoding="utf-8"?>
<sst xmlns="http://schemas.openxmlformats.org/spreadsheetml/2006/main" count="352" uniqueCount="352">
  <si>
    <t xml:space="preserve">PatientID</t>
  </si>
  <si>
    <t xml:space="preserve">EyeID</t>
  </si>
  <si>
    <t xml:space="preserve">Eye</t>
  </si>
  <si>
    <t xml:space="preserve">SurgeryNumber</t>
  </si>
  <si>
    <t xml:space="preserve">Cohort</t>
  </si>
  <si>
    <t xml:space="preserve">Procedure</t>
  </si>
  <si>
    <t xml:space="preserve">Surgeon</t>
  </si>
  <si>
    <t xml:space="preserve">Age_Years</t>
  </si>
  <si>
    <t xml:space="preserve">Sex</t>
  </si>
  <si>
    <t xml:space="preserve">Smoker</t>
  </si>
  <si>
    <t xml:space="preserve">Preop_Sphere_D_minus_cyl</t>
  </si>
  <si>
    <t xml:space="preserve">Preop_Cylinder_D_minus_cyl</t>
  </si>
  <si>
    <t xml:space="preserve">Preop_Axis_Deg_minus_cyl</t>
  </si>
  <si>
    <t xml:space="preserve">Preop_SEQ_D</t>
  </si>
  <si>
    <t xml:space="preserve">Preop_UDVA_logMAR</t>
  </si>
  <si>
    <t xml:space="preserve">Preop_CDVA_logMAR</t>
  </si>
  <si>
    <t xml:space="preserve">Preop_Pachymetry_um</t>
  </si>
  <si>
    <t xml:space="preserve">Preop_Mean_K_D</t>
  </si>
  <si>
    <t xml:space="preserve">Preop_DryEye_Grade</t>
  </si>
  <si>
    <t xml:space="preserve">Optical_Zone_mm</t>
  </si>
  <si>
    <t xml:space="preserve">Ablation_or_Lenticule_Depth_um</t>
  </si>
  <si>
    <t xml:space="preserve">Target_SEQ_D</t>
  </si>
  <si>
    <t xml:space="preserve">FollowUp_Days</t>
  </si>
  <si>
    <t xml:space="preserve">Postop_Sphere_D_minus_cyl</t>
  </si>
  <si>
    <t xml:space="preserve">Postop_Cylinder_D_minus_cyl</t>
  </si>
  <si>
    <t xml:space="preserve">Postop_Axis_Deg_minus_cyl</t>
  </si>
  <si>
    <t xml:space="preserve">Postop_SEQ_D</t>
  </si>
  <si>
    <t xml:space="preserve">Postop_UDVA_logMAR</t>
  </si>
  <si>
    <t xml:space="preserve">Postop_CDVA_logMAR</t>
  </si>
  <si>
    <t xml:space="preserve">Postop_Haze_Grade</t>
  </si>
  <si>
    <t xml:space="preserve">Patient_Satisfaction_1to5</t>
  </si>
  <si>
    <t xml:space="preserve">DryEye_Symptoms</t>
  </si>
  <si>
    <t xml:space="preserve">Retreatment_Required</t>
  </si>
  <si>
    <t xml:space="preserve">Complication_Type</t>
  </si>
  <si>
    <t xml:space="preserve">Cylinder_Notation</t>
  </si>
  <si>
    <t xml:space="preserve">Visit1_Days_PostOp</t>
  </si>
  <si>
    <t xml:space="preserve">Visit1_Sphere_D</t>
  </si>
  <si>
    <t xml:space="preserve">Visit1_Cylinder_D</t>
  </si>
  <si>
    <t xml:space="preserve">Visit1_Axis_Deg</t>
  </si>
  <si>
    <t xml:space="preserve">Visit1_SEQ_D</t>
  </si>
  <si>
    <t xml:space="preserve">Visit2_Days_PostOp</t>
  </si>
  <si>
    <t xml:space="preserve">Visit2_Sphere_D</t>
  </si>
  <si>
    <t xml:space="preserve">Visit2_Cylinder_D</t>
  </si>
  <si>
    <t xml:space="preserve">Visit2_Axis_Deg</t>
  </si>
  <si>
    <t xml:space="preserve">Visit3_Days_PostOp</t>
  </si>
  <si>
    <t xml:space="preserve">Visit3_Sphere_D</t>
  </si>
  <si>
    <t xml:space="preserve">Visit3_Cylinder_D</t>
  </si>
  <si>
    <t xml:space="preserve">Visit3_Axis_Deg</t>
  </si>
  <si>
    <t xml:space="preserve">Visit3_SEQ_D</t>
  </si>
  <si>
    <t xml:space="preserve">Visit4_Days_PostOp</t>
  </si>
  <si>
    <t xml:space="preserve">Visit4_Sphere_D</t>
  </si>
  <si>
    <t xml:space="preserve">Visit4_Cylinder_D</t>
  </si>
  <si>
    <t xml:space="preserve">Visit4_Axis_Deg</t>
  </si>
  <si>
    <t xml:space="preserve">Visit5_Days_PostOp</t>
  </si>
  <si>
    <t xml:space="preserve">Visit5_Sphere_D</t>
  </si>
  <si>
    <t xml:space="preserve">Visit5_Cylinder_D</t>
  </si>
  <si>
    <t xml:space="preserve">Visit5_Axis_Deg</t>
  </si>
  <si>
    <t xml:space="preserve">GroupLabel</t>
  </si>
  <si>
    <t xml:space="preserve">distance</t>
  </si>
  <si>
    <t xml:space="preserve">weights</t>
  </si>
  <si>
    <t xml:space="preserve">subclass</t>
  </si>
  <si>
    <t xml:space="preserve">Pairing</t>
  </si>
  <si>
    <t xml:space="preserve">P0006</t>
  </si>
  <si>
    <t xml:space="preserve">P0006-OD</t>
  </si>
  <si>
    <t xml:space="preserve">OD</t>
  </si>
  <si>
    <t xml:space="preserve">Reference</t>
  </si>
  <si>
    <t xml:space="preserve">PRK</t>
  </si>
  <si>
    <t xml:space="preserve">Surgeon C</t>
  </si>
  <si>
    <t xml:space="preserve">F</t>
  </si>
  <si>
    <t xml:space="preserve">No</t>
  </si>
  <si>
    <t xml:space="preserve">No complication</t>
  </si>
  <si>
    <t xml:space="preserve">minus</t>
  </si>
  <si>
    <t xml:space="preserve">Cohort A_vs_Reference</t>
  </si>
  <si>
    <t xml:space="preserve">P0006-OS</t>
  </si>
  <si>
    <t xml:space="preserve">OS</t>
  </si>
  <si>
    <t xml:space="preserve">P0008</t>
  </si>
  <si>
    <t xml:space="preserve">P0008-OD</t>
  </si>
  <si>
    <t xml:space="preserve">P0008-OS</t>
  </si>
  <si>
    <t xml:space="preserve">P0009</t>
  </si>
  <si>
    <t xml:space="preserve">P0009-OD</t>
  </si>
  <si>
    <t xml:space="preserve">Yes</t>
  </si>
  <si>
    <t xml:space="preserve">P0010</t>
  </si>
  <si>
    <t xml:space="preserve">P0010-OD</t>
  </si>
  <si>
    <t xml:space="preserve">P0010-OS</t>
  </si>
  <si>
    <t xml:space="preserve">P0013</t>
  </si>
  <si>
    <t xml:space="preserve">P0013-OD</t>
  </si>
  <si>
    <t xml:space="preserve">Cohort A</t>
  </si>
  <si>
    <t xml:space="preserve">Surgeon A</t>
  </si>
  <si>
    <t xml:space="preserve">M</t>
  </si>
  <si>
    <t xml:space="preserve">P0013-OS</t>
  </si>
  <si>
    <t xml:space="preserve">P0016</t>
  </si>
  <si>
    <t xml:space="preserve">P0016-OS</t>
  </si>
  <si>
    <t xml:space="preserve">P0017</t>
  </si>
  <si>
    <t xml:space="preserve">P0017-OS</t>
  </si>
  <si>
    <t xml:space="preserve">Surgeon B</t>
  </si>
  <si>
    <t xml:space="preserve">plus</t>
  </si>
  <si>
    <t xml:space="preserve">P0028</t>
  </si>
  <si>
    <t xml:space="preserve">P0028-OD</t>
  </si>
  <si>
    <t xml:space="preserve">P0028-OS</t>
  </si>
  <si>
    <t xml:space="preserve">P0029</t>
  </si>
  <si>
    <t xml:space="preserve">P0029-OD</t>
  </si>
  <si>
    <t xml:space="preserve">Corneal haze</t>
  </si>
  <si>
    <t xml:space="preserve">P0030</t>
  </si>
  <si>
    <t xml:space="preserve">P0030-OS</t>
  </si>
  <si>
    <t xml:space="preserve">P0035</t>
  </si>
  <si>
    <t xml:space="preserve">P0035-OD</t>
  </si>
  <si>
    <t xml:space="preserve">P0039</t>
  </si>
  <si>
    <t xml:space="preserve">P0039-OD</t>
  </si>
  <si>
    <t xml:space="preserve">P0043</t>
  </si>
  <si>
    <t xml:space="preserve">P0043-OD</t>
  </si>
  <si>
    <t xml:space="preserve">P0048</t>
  </si>
  <si>
    <t xml:space="preserve">P0048-OD</t>
  </si>
  <si>
    <t xml:space="preserve">P0048-OS</t>
  </si>
  <si>
    <t xml:space="preserve">P0050</t>
  </si>
  <si>
    <t xml:space="preserve">P0050-OD</t>
  </si>
  <si>
    <t xml:space="preserve">P0050-OS</t>
  </si>
  <si>
    <t xml:space="preserve">P0051</t>
  </si>
  <si>
    <t xml:space="preserve">P0051-OD</t>
  </si>
  <si>
    <t xml:space="preserve">P0051-OS</t>
  </si>
  <si>
    <t xml:space="preserve">P0053</t>
  </si>
  <si>
    <t xml:space="preserve">P0053-OS</t>
  </si>
  <si>
    <t xml:space="preserve">P0055</t>
  </si>
  <si>
    <t xml:space="preserve">P0055-OD</t>
  </si>
  <si>
    <t xml:space="preserve">P0056</t>
  </si>
  <si>
    <t xml:space="preserve">P0056-OD</t>
  </si>
  <si>
    <t xml:space="preserve">P0056-OS</t>
  </si>
  <si>
    <t xml:space="preserve">P0057</t>
  </si>
  <si>
    <t xml:space="preserve">P0057-OD</t>
  </si>
  <si>
    <t xml:space="preserve">P0062</t>
  </si>
  <si>
    <t xml:space="preserve">P0062-OD</t>
  </si>
  <si>
    <t xml:space="preserve">P0063</t>
  </si>
  <si>
    <t xml:space="preserve">P0063-OS</t>
  </si>
  <si>
    <t xml:space="preserve">P0064</t>
  </si>
  <si>
    <t xml:space="preserve">P0064-OS</t>
  </si>
  <si>
    <t xml:space="preserve">P0070</t>
  </si>
  <si>
    <t xml:space="preserve">P0070-OD</t>
  </si>
  <si>
    <t xml:space="preserve">P0074</t>
  </si>
  <si>
    <t xml:space="preserve">P0074-OS</t>
  </si>
  <si>
    <t xml:space="preserve">P0075</t>
  </si>
  <si>
    <t xml:space="preserve">P0075-OS</t>
  </si>
  <si>
    <t xml:space="preserve">P0087</t>
  </si>
  <si>
    <t xml:space="preserve">P0087-OD</t>
  </si>
  <si>
    <t xml:space="preserve">P0087-OS</t>
  </si>
  <si>
    <t xml:space="preserve">P0096</t>
  </si>
  <si>
    <t xml:space="preserve">P0096-OS</t>
  </si>
  <si>
    <t xml:space="preserve">P0097</t>
  </si>
  <si>
    <t xml:space="preserve">P0097-OS</t>
  </si>
  <si>
    <t xml:space="preserve">P0103</t>
  </si>
  <si>
    <t xml:space="preserve">P0103-OD</t>
  </si>
  <si>
    <t xml:space="preserve">P0103-OS</t>
  </si>
  <si>
    <t xml:space="preserve">P0108</t>
  </si>
  <si>
    <t xml:space="preserve">P0108-OD</t>
  </si>
  <si>
    <t xml:space="preserve">P0111</t>
  </si>
  <si>
    <t xml:space="preserve">P0111-OS</t>
  </si>
  <si>
    <t xml:space="preserve">P0115</t>
  </si>
  <si>
    <t xml:space="preserve">P0115-OS</t>
  </si>
  <si>
    <t xml:space="preserve">P0128</t>
  </si>
  <si>
    <t xml:space="preserve">P0128-OD</t>
  </si>
  <si>
    <t xml:space="preserve">P0130</t>
  </si>
  <si>
    <t xml:space="preserve">P0130-OD</t>
  </si>
  <si>
    <t xml:space="preserve">P0137</t>
  </si>
  <si>
    <t xml:space="preserve">P0137-OD</t>
  </si>
  <si>
    <t xml:space="preserve">P0137-OS</t>
  </si>
  <si>
    <t xml:space="preserve">P0141</t>
  </si>
  <si>
    <t xml:space="preserve">P0141-OD</t>
  </si>
  <si>
    <t xml:space="preserve">P0150</t>
  </si>
  <si>
    <t xml:space="preserve">P0150-OD</t>
  </si>
  <si>
    <t xml:space="preserve">P0150-OS</t>
  </si>
  <si>
    <t xml:space="preserve">P0166</t>
  </si>
  <si>
    <t xml:space="preserve">P0166-OD</t>
  </si>
  <si>
    <t xml:space="preserve">P0168</t>
  </si>
  <si>
    <t xml:space="preserve">P0168-OD</t>
  </si>
  <si>
    <t xml:space="preserve">P0168-OS</t>
  </si>
  <si>
    <t xml:space="preserve">P0169</t>
  </si>
  <si>
    <t xml:space="preserve">P0169-OD</t>
  </si>
  <si>
    <t xml:space="preserve">P0169-OS</t>
  </si>
  <si>
    <t xml:space="preserve">P0170</t>
  </si>
  <si>
    <t xml:space="preserve">P0170-OD</t>
  </si>
  <si>
    <t xml:space="preserve">P0170-OS</t>
  </si>
  <si>
    <t xml:space="preserve">P0171</t>
  </si>
  <si>
    <t xml:space="preserve">P0171-OD</t>
  </si>
  <si>
    <t xml:space="preserve">P0171-OS</t>
  </si>
  <si>
    <t xml:space="preserve">P0178</t>
  </si>
  <si>
    <t xml:space="preserve">P0178-OD</t>
  </si>
  <si>
    <t xml:space="preserve">P0178-OS</t>
  </si>
  <si>
    <t xml:space="preserve">P0190</t>
  </si>
  <si>
    <t xml:space="preserve">P0190-OD</t>
  </si>
  <si>
    <t xml:space="preserve">Epithelial defect</t>
  </si>
  <si>
    <t xml:space="preserve">P0190-OS</t>
  </si>
  <si>
    <t xml:space="preserve">P0194</t>
  </si>
  <si>
    <t xml:space="preserve">P0194-OS</t>
  </si>
  <si>
    <t xml:space="preserve">P0197</t>
  </si>
  <si>
    <t xml:space="preserve">P0197-OD</t>
  </si>
  <si>
    <t xml:space="preserve">P0197-OS</t>
  </si>
  <si>
    <t xml:space="preserve">P0201</t>
  </si>
  <si>
    <t xml:space="preserve">P0201-OD</t>
  </si>
  <si>
    <t xml:space="preserve">P0212</t>
  </si>
  <si>
    <t xml:space="preserve">P0212-OD</t>
  </si>
  <si>
    <t xml:space="preserve">P0212-OS</t>
  </si>
  <si>
    <t xml:space="preserve">P0216</t>
  </si>
  <si>
    <t xml:space="preserve">P0216-OD</t>
  </si>
  <si>
    <t xml:space="preserve">P0217</t>
  </si>
  <si>
    <t xml:space="preserve">P0217-OD</t>
  </si>
  <si>
    <t xml:space="preserve">P0217-OS</t>
  </si>
  <si>
    <t xml:space="preserve">P0223</t>
  </si>
  <si>
    <t xml:space="preserve">P0223-OD</t>
  </si>
  <si>
    <t xml:space="preserve">P0230</t>
  </si>
  <si>
    <t xml:space="preserve">P0230-OS</t>
  </si>
  <si>
    <t xml:space="preserve">P0233</t>
  </si>
  <si>
    <t xml:space="preserve">P0233-OD</t>
  </si>
  <si>
    <t xml:space="preserve">P0234</t>
  </si>
  <si>
    <t xml:space="preserve">P0234-OD</t>
  </si>
  <si>
    <t xml:space="preserve">P0240</t>
  </si>
  <si>
    <t xml:space="preserve">P0240-OD</t>
  </si>
  <si>
    <t xml:space="preserve">P0240-OS</t>
  </si>
  <si>
    <t xml:space="preserve">P0241</t>
  </si>
  <si>
    <t xml:space="preserve">P0241-OD</t>
  </si>
  <si>
    <t xml:space="preserve">P0241-OS</t>
  </si>
  <si>
    <t xml:space="preserve">P0254</t>
  </si>
  <si>
    <t xml:space="preserve">P0254-OS</t>
  </si>
  <si>
    <t xml:space="preserve">P0255</t>
  </si>
  <si>
    <t xml:space="preserve">P0255-OD</t>
  </si>
  <si>
    <t xml:space="preserve">P0257</t>
  </si>
  <si>
    <t xml:space="preserve">P0257-OS</t>
  </si>
  <si>
    <t xml:space="preserve">P0258</t>
  </si>
  <si>
    <t xml:space="preserve">P0258-OD</t>
  </si>
  <si>
    <t xml:space="preserve">P0259</t>
  </si>
  <si>
    <t xml:space="preserve">P0259-OD</t>
  </si>
  <si>
    <t xml:space="preserve">P0259-OS</t>
  </si>
  <si>
    <t xml:space="preserve">P0262</t>
  </si>
  <si>
    <t xml:space="preserve">P0262-OS</t>
  </si>
  <si>
    <t xml:space="preserve">P0264</t>
  </si>
  <si>
    <t xml:space="preserve">P0264-OD</t>
  </si>
  <si>
    <t xml:space="preserve">P0270</t>
  </si>
  <si>
    <t xml:space="preserve">P0270-OD</t>
  </si>
  <si>
    <t xml:space="preserve">P0276</t>
  </si>
  <si>
    <t xml:space="preserve">P0276-OD</t>
  </si>
  <si>
    <t xml:space="preserve">P0278</t>
  </si>
  <si>
    <t xml:space="preserve">P0278-OD</t>
  </si>
  <si>
    <t xml:space="preserve">P0278-OS</t>
  </si>
  <si>
    <t xml:space="preserve">P0281</t>
  </si>
  <si>
    <t xml:space="preserve">P0281-OD</t>
  </si>
  <si>
    <t xml:space="preserve">P0281-OS</t>
  </si>
  <si>
    <t xml:space="preserve">P0282</t>
  </si>
  <si>
    <t xml:space="preserve">P0282-OD</t>
  </si>
  <si>
    <t xml:space="preserve">P0289</t>
  </si>
  <si>
    <t xml:space="preserve">P0289-OS</t>
  </si>
  <si>
    <t xml:space="preserve">P0297</t>
  </si>
  <si>
    <t xml:space="preserve">P0297-OD</t>
  </si>
  <si>
    <t xml:space="preserve">P0304</t>
  </si>
  <si>
    <t xml:space="preserve">P0304-OD</t>
  </si>
  <si>
    <t xml:space="preserve">P0307</t>
  </si>
  <si>
    <t xml:space="preserve">P0307-OD</t>
  </si>
  <si>
    <t xml:space="preserve">P0313</t>
  </si>
  <si>
    <t xml:space="preserve">P0313-OD</t>
  </si>
  <si>
    <t xml:space="preserve">P0315</t>
  </si>
  <si>
    <t xml:space="preserve">P0315-OS</t>
  </si>
  <si>
    <t xml:space="preserve">Setting</t>
  </si>
  <si>
    <t xml:space="preserve">Value</t>
  </si>
  <si>
    <t xml:space="preserve">StandardEyes version</t>
  </si>
  <si>
    <t xml:space="preserve">1.1.0</t>
  </si>
  <si>
    <t xml:space="preserve">Build</t>
  </si>
  <si>
    <t xml:space="preserve">2026-10-04-se.10</t>
  </si>
  <si>
    <t xml:space="preserve">Run duration (s)</t>
  </si>
  <si>
    <t xml:space="preserve">152.7 (seconds, the whole run: tables, workbooks and figures)</t>
  </si>
  <si>
    <t xml:space="preserve">R version</t>
  </si>
  <si>
    <t xml:space="preserve">R version 4.5.2 (2025-10-31 ucrt)</t>
  </si>
  <si>
    <t xml:space="preserve">MatchIt</t>
  </si>
  <si>
    <t xml:space="preserve">4.7.2</t>
  </si>
  <si>
    <t xml:space="preserve">cobalt</t>
  </si>
  <si>
    <t xml:space="preserve">4.6.1</t>
  </si>
  <si>
    <t xml:space="preserve">geepack</t>
  </si>
  <si>
    <t xml:space="preserve">1.3.13</t>
  </si>
  <si>
    <t xml:space="preserve">ggplot2</t>
  </si>
  <si>
    <t xml:space="preserve">4.0.1</t>
  </si>
  <si>
    <t xml:space="preserve">openxlsx</t>
  </si>
  <si>
    <t xml:space="preserve">4.2.8.1</t>
  </si>
  <si>
    <t xml:space="preserve">Run time</t>
  </si>
  <si>
    <t xml:space="preserve">2026-10-14 02:51:33</t>
  </si>
  <si>
    <t xml:space="preserve">Input file</t>
  </si>
  <si>
    <t xml:space="preserve">Example_Refractive_Dataset.xlsx</t>
  </si>
  <si>
    <t xml:space="preserve">Sheet</t>
  </si>
  <si>
    <t xml:space="preserve">sheet 1 ('Surgeries')</t>
  </si>
  <si>
    <t xml:space="preserve">Input MD5 checksum</t>
  </si>
  <si>
    <t xml:space="preserve">3af4f7a64806cc95d503cf6567ddd3a0</t>
  </si>
  <si>
    <t xml:space="preserve">Run / subset</t>
  </si>
  <si>
    <t xml:space="preserve">PRK: Procedure in {PRK}</t>
  </si>
  <si>
    <t xml:space="preserve">Matched rows (stacked over pairings)</t>
  </si>
  <si>
    <t xml:space="preserve">102 rows; 102 distinct eyes (a reference eye matched in several pairings is listed once per pairing)</t>
  </si>
  <si>
    <t xml:space="preserve">Patient ID</t>
  </si>
  <si>
    <t xml:space="preserve">'PatientID'</t>
  </si>
  <si>
    <t xml:space="preserve">Pairings (matched rows per group)</t>
  </si>
  <si>
    <t xml:space="preserve">Cohort A_vs_Reference: Reference = 60, Cohort A = 42</t>
  </si>
  <si>
    <t xml:space="preserve">Groups (distinct eyes)</t>
  </si>
  <si>
    <t xml:space="preserve">Reference = 60; Cohort A = 42</t>
  </si>
  <si>
    <t xml:space="preserve">Reference group</t>
  </si>
  <si>
    <t xml:space="preserve">Filter rules</t>
  </si>
  <si>
    <t xml:space="preserve">Age_Years &gt;= 18; FollowUp_Days between 150 and 210; SurgeryNumber == 1; |Preop_Cylinder_D| &lt;= 5 (a row with a missing value is kept by every rule except 'is missing' / 'is not missing')</t>
  </si>
  <si>
    <t xml:space="preserve">Variables</t>
  </si>
  <si>
    <t xml:space="preserve">Baseline - continuous: Age_Years, Preop_SEQ_D, Preop_Sphere_D, Preop_Cylinder_D, Preop_UDVA, Preop_CDVA, Preop_Pachymetry_um, Preop_Mean_K_D; ordinal: Preop_DryEye_Grade; dichotomous: Sex, Smoker; categorical: Surgeon | Preoperative - continuous: Optical_Zone_mm, Ablation_or_Lenticule_Depth_um; categorical: Procedure | Outcome - continuous: FollowUp_Days, Postop_SEQ_D, Postop_Cylinder_D, Postop_UDVA, Postop_CDVA; ordinal: Postop_Haze_Grade, Patient_Satisfaction_1to5; dichotomous: DryEye_Symptoms, Retreatment_Required; categorical: Complication_Type | preferred levels: Sex = 'F', Smoker = 'Yes', DryEye_Symptoms = 'Yes', Retreatment_Required = 'Yes' | per-patient variables: Age_Years, Sex, Smoker, Optical_Zone_mm, Surgeon</t>
  </si>
  <si>
    <t xml:space="preserve">VA notation</t>
  </si>
  <si>
    <t xml:space="preserve">decimal (1.0 = 20/20)</t>
  </si>
  <si>
    <t xml:space="preserve">logMAR conversion</t>
  </si>
  <si>
    <t xml:space="preserve">on: Preop_UDVA, Preop_CDVA, Postop_UDVA, Postop_CDVA; acuity cells and figure headers read the Snellen geometric mean (logMAR mean ± SD), the table range in Snellen</t>
  </si>
  <si>
    <t xml:space="preserve">Matching</t>
  </si>
  <si>
    <t xml:space="preserve">nearest-neighbor on the propensity score (MatchIt)</t>
  </si>
  <si>
    <t xml:space="preserve">Matching settings</t>
  </si>
  <si>
    <t xml:space="preserve">method nearest, distance: propensity score, logit scale (MatchIt link linear.logit), ratio 2, replacement off, caliper 0.2 SD of the logit of the propensity score, order largest, seed 20250601</t>
  </si>
  <si>
    <t xml:space="preserve">Matching covariates</t>
  </si>
  <si>
    <t xml:space="preserve">Age_Years, Preop_SEQ_D, Preop_Pachymetry_um, Preop_UDVA</t>
  </si>
  <si>
    <t xml:space="preserve">Matching weights</t>
  </si>
  <si>
    <t xml:space="preserve">non-unit (0.714-1.43); used in the matched tables and in the matched GEE / regression (working correlation: independence (weighted))</t>
  </si>
  <si>
    <t xml:space="preserve">GEE small-sample inference</t>
  </si>
  <si>
    <t xml:space="preserve">md - Mancl-DeRouen bias-corrected robust standard errors with a t reference for single comparisons and intervals and an F reference for joint tests (df = patients - model coefficients)</t>
  </si>
  <si>
    <t xml:space="preserve">GEE working correlation</t>
  </si>
  <si>
    <t xml:space="preserve">exchangeable, kept only if the fit converged, its working correlation is below 0.95 and one further scoring step moves no coefficient by more than 0.01 SE - otherwise refitted with an independence working correlation and labeled so (sheets, tables, figures, run log); independence on matched cohorts; variables marked per patient are modeled on one row per patient by an ordinary linear or logistic model (on matched cohorts by an independence GEE with the robust SE clustered by patient), never by an eye-level GEE</t>
  </si>
  <si>
    <t xml:space="preserve">Table tests</t>
  </si>
  <si>
    <t xml:space="preserve">auto - patient-clustered GEE (continuous: Gaussian; ordinal: on ranks; dichotomous: binomial; categorical: stacked level indicators; more than two groups: joint test; exchangeable working correlation, independence for the stacked level indicators, on matched cohorts and where a refit is labeled) for every per-eye row in which a patient has two analyzed eyes, a permutation test over patients where that GEE cannot be fitted; classical (Welch t-test / Welch ANOVA, Wilcoxon / Kruskal-Wallis, chi-squared / Fisher's exact) for one eye per patient and for per-patient rows (on a matched cohort the per-patient rows get the independence GEE on one row per patient, weighted when the matching weights are unequal); a matched cohort with unequal weights: weighted Wald tests (GEE) on every row</t>
  </si>
  <si>
    <t xml:space="preserve">Multiplicity</t>
  </si>
  <si>
    <t xml:space="preserve">Holm within each variable across the comparisons of each group with the reference (summary-table GEE and adjusted columns, tagged [Holm]; regression 'P (Holm)' and 'Crude P (Holm), same eyes'; figure 'vs reference' lines, from the same GEE of all groups as the GEE column when the figure's test is a GEE); omnibus P values and single comparisons unadjusted; the 95% CIs are not adjusted, so a CI can exclude the null while the adjusted P is .05 or more</t>
  </si>
  <si>
    <t xml:space="preserve">Matched analyses</t>
  </si>
  <si>
    <t xml:space="preserve">Matched analyses use an independence working correlation with robust standard errors clustered by patient; matched sets (pairs) are not used as clusters.</t>
  </si>
  <si>
    <t xml:space="preserve">GEE stage</t>
  </si>
  <si>
    <t xml:space="preserve">both</t>
  </si>
  <si>
    <t xml:space="preserve">GEE adjustment covariates</t>
  </si>
  <si>
    <t xml:space="preserve">Age_Years, Preop_SEQ_D, Preop_Pachymetry_um</t>
  </si>
  <si>
    <t xml:space="preserve">GEE columns in summary tables</t>
  </si>
  <si>
    <t xml:space="preserve">main GEE, in the unmatched and matched summary tables</t>
  </si>
  <si>
    <t xml:space="preserve">Regression</t>
  </si>
  <si>
    <t xml:space="preserve">on</t>
  </si>
  <si>
    <t xml:space="preserve">Crude vs adjusted</t>
  </si>
  <si>
    <t xml:space="preserve">the crude GEE (group alone) is refitted on the adjusted model's complete-case eyes; the outcome tables give the adjusted model's number of eyes</t>
  </si>
  <si>
    <t xml:space="preserve">Regression covariates</t>
  </si>
  <si>
    <t xml:space="preserve">Minus-cyl standardization</t>
  </si>
  <si>
    <t xml:space="preserve">Astigmatism vectors</t>
  </si>
  <si>
    <t xml:space="preserve">plus-cylinder format (JCRS 2025), converted by the sign of each cylinder whatever the minus-cylinder switch; with-the-rule on the left of the double-angle plots; SIA = postoperative - preoperative, PE = postoperative - target; total SD with the N denominator</t>
  </si>
  <si>
    <t xml:space="preserve">Astigmatism test</t>
  </si>
  <si>
    <t xml:space="preserve">robust - centroid against zero by the bootstrap projection-distance test (as in the WHWK functions; 999 bootstrap centroids, patients resampled, seed 20250602; untrimmed; P = .001 is the bootstrap floor 1/B); between cohorts 20%-trimmed mean vectors with the pooled winsorized covariance, precision and mean magnitude by trimmed means (trimming and winsorizing by order statistics, g = floor(0.2 n), Wilcox), bootstrap resampling patients within each cohort B = 999 usable resamples, seed 20250601; a trimmed test whose statistic does not exist in the data or in more than 5% of the resamples is run untrimmed - ordinary means and covariance, same bootstrap - and labeled so on the astigmatism sheet and the figure legends</t>
  </si>
  <si>
    <t xml:space="preserve">Astigmatism regions</t>
  </si>
  <si>
    <t xml:space="preserve">data: 95% depth-based convex polygon (as in the WHWK functions) (eyes of depth at least that of rank floor(0.05 n + 0.5); the convex hull of all eyes below 10 eyes); centroid: bootstrap convex polygon of the centroid (as in the WHWK functions) (999 bootstrap centroids, projection distance, 95% to 98% kept by the number of resampling units; seed 20250602); input files for the WHWK functions in the 'WHWK input' sub-folder of the run's figure folder (Graphs_...)</t>
  </si>
  <si>
    <t xml:space="preserve">Random seeds</t>
  </si>
  <si>
    <t xml:space="preserve">bootstrap and Monte-Carlo exact tests 20250601; astigmatism centroid confidence regions and centroid-against-zero tests 20250602; matching 20250601 (fixed, set locally; identical settings give identical results)</t>
  </si>
  <si>
    <t xml:space="preserve">P value style</t>
  </si>
  <si>
    <t xml:space="preserve">ama - two decimals, three below .01 (more only where needed to stay below .05), an exact half rounded up, no leading zero, &lt;.001 and &gt;.99</t>
  </si>
  <si>
    <t xml:space="preserve">Settings (JSON)</t>
  </si>
  <si>
    <t xml:space="preserve">{"file_path":"Example_Refractive_Dataset.xlsx","sheet_name":1,"guess_max":120000,"patient_id_raw":"PatientID","eye_id_raw":"EyeID","group_source_var":"Cohort","patient_level_params_raw":["Age_Years","Sex","Smoker","Optical_Zone_mm","Surgeon"],"exclude_params_raw":[],"age_var":"Age_Years","fu_var":"FollowUp_Days","sex_var":"Sex","baseline":{"continuous":["Age_Years","Preop_SEQ_D","Preop_Sphere_D","Preop_Cylinder_D","Preop_UDVA","Preop_CDVA","Preop_Pachymetry_um","Preop_Mean_K_D"],"ordinal":["Preop_DryEye_Grade"],"dichotomous":["Sex","Smoker"],"categorical":["Surgeon"]},"preop":{"continuous":["Optical_Zone_mm","Ablation_or_Lenticule_Depth_um"],"ordinal":[],"dichotomous":[],"categorical":["Procedure"]},"outcome":{"continuous":["FollowUp_Days","Postop_SEQ_D","Postop_Cylinder_D","Postop_UDVA","Postop_CDVA"],"ordinal":["Postop_Haze_Grade","Patient_Satisfaction_1to5"],"dichotomous":["DryEye_Symptoms","Retreatment_Required"],"categorical":["Complication_Type"]},"within_group":{"continuous":[],"ordinal":[],"dichotomous":[],"categorical":[]},"within_group_levels":{},"filter_rules":[{"var":"Age_Years","op":"&gt;=","value":[18]},{"var":"FollowUp_Days","op":"between","value":[150,210]},{"var":"SurgeryNumber","op":"==","value":[1]},{"var":"Preop_Cylinder_D","op":"abs_le","value":[5]}],"groups":{"Reference":["Reference"],"Cohort A":["Cohort A"]},"reference_group":"Reference","group_colors":{"Reference":"#5B2C86","Cohort A":"#F26522","Cohort B":"#1B9E4B"},"group_labels":{},"do_matching":true,"psm_covariates_raw":["Age_Years","Preop_SEQ_D","Preop_Pachymetry_um","Preop_UDVA"],"psm_method":"nearest","psm_distance":"linear.logit","psm_ratio":2,"psm_replace":false,"psm_caliper":0.2,"psm_std_caliper":true,"psm_m_order":"largest","run_gee_stage":"both","run_main_gee":true,"run_adjusted_gee":true,"gee_adjust_covariates_raw":["Age_Years","Preop_SEQ_D","Preop_Pachymetry_um"],"use_matching_weights_in_gee":true,"add_gee_columns":true,"gee_source_for_tables":"main","do_regression":true,"regression_stage":"both","regression_covariates_raw":["Age_Years","Preop_SEQ_D","Preop_Pachymetry_um"],"subset_col_raw":"Procedure","subsets":{"PRK":["PRK"],"LASIK":["LASIK"]},"subset_mode":"separate","do_standardize_minus_cyl":true,"std_triples":[{"sph":"Preop_Sphere_D","cyl":"Preop_Cylinder_D","axis":"Preop_Axis_Deg"},{"sph":"Postop_Sphere_D","cyl":"Postop_Cylinder_D","axis":"Postop_Axis_Deg"}],"std_sph_raw":"Preop_Sphere_D","std_cyl_raw":"Preop_Cylinder_D","std_axis_raw":"Preop_Axis_Deg","do_logmar":true,"logmar_cols_raw":["Preop_UDVA","Preop_CDVA","Postop_UDVA","Postop_CDVA"],"make_meyestro":true,"make_alpins":true,"make_pub_table":true,"make_graphs":true,"graph_set":"nine","graph_formats":["tiff"],"graph_dpi":600,"astig_panels":true,"double_angle_figs":true,"semicircle_figs":true,"astig_region":"polygon","astig_jcrs_standard":true,"astig_test_method":"robust","cluster_by_patient":true,"stability_figs":true,"stability_visits":[{"label":"1","time":"Visit1_Days_PostOp","sph":"Visit1_Sphere_D","cyl":"Visit1_Cylinder_D","seq":"Visit1_SEQ_D"},{"label":"3","time":"Visit2_Days_PostOp","sph":"Visit2_Sphere_D","cyl":"Visit2_Cylinder_D","seq":""},{"label":"6","time":"Visit3_Days_PostOp","sph":"Visit3_Sphere_D","cyl":"Visit3_Cylinder_D","seq":"Visit3_SEQ_D"},{"label":"12","time":"Visit4_Days_PostOp","sph":"Visit4_Sphere_D","cyl":"Visit4_Cylinder_D","seq":""},{"label":"24","time":"Visit5_Days_PostOp","sph":"Visit5_Sphere_D","cyl":"Visit5_Cylinder_D","seq":""}],"roles":{"pre_ucva":"Preop_UDVA","pre_bcva":"Preop_CDVA","post_ucva":"Postop_UDVA","post_bcva":"Postop_CDVA","pre_sph":"Preop_Sphere_D","pre_cyl":"Preop_Cylinder_D","pre_axis":"Preop_Axis_Deg","post_sph":"Postop_Sphere_D","post_cyl":"Postop_Cylinder_D","post_axis":"Postop_Axis_Deg","pre_seq":"Preop_SEQ_D","post_seq":"Postop_SEQ_D","target_seq":"Target_SEQ_D","eye":"Eye"},"dichotomous_preferred_level":{"Sex":"F","Smoker":"Yes","DryEye_Symptoms":"Yes","Retreatment_Required":"Yes"},"export_filtered_csv":true,"output_prefix":"Ex04_Subsets","stability_include_preop":true,"stability_change_from":"6","stability_change_to":"24","stability_change_threshold":0.5,"num_groups":2,"num_filters":4,"num_subsets":2,"_title":"Subsets: PRK and LASIK","_description":"One preset that produces a complete, separate analysis for each procedure.","_demonstrates":"The subset column splits the run into a full PRK analysis and a full LASIK analysis.","figure_style":"journal"}</t>
  </si>
  <si>
    <t xml:space="preserve">Full name</t>
  </si>
  <si>
    <t xml:space="preserve">Description</t>
  </si>
  <si>
    <t xml:space="preserve">Manifest</t>
  </si>
  <si>
    <t xml:space="preserve">Versions, input checksum and settings of this run.</t>
  </si>
  <si>
    <t xml:space="preserve">Matched_Data</t>
  </si>
  <si>
    <t xml:space="preserve">Matched rows of every pairing, with MatchIt's own columns: distance = the propensity score (on the scale in the Manifest), weights = the matching weight, subclass = the matched set; 'Pairing' names the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</si>
</sst>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3">
    <font>
      <sz val="11"/>
      <color rgb="FF000000"/>
      <name val="Calibri"/>
      <family val="2"/>
      <scheme val="minor"/>
    </font>
    <font>
      <sz val="11"/>
      <color rgb="FF000000"/>
      <name val="Calibri"/>
    </font>
    <font>
      <sz val="11"/>
      <color theme="10"/>
      <name val="Calibri"/>
      <u val="single"/>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1" fillId="0" borderId="0" xfId="0" applyFont="1" applyNumberFormat="1"/>
    <xf numFmtId="0" fontId="2"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3.xml><?xml version="1.0" encoding="utf-8"?>
<table xmlns="http://schemas.openxmlformats.org/spreadsheetml/2006/main" id="3" name="Table3" displayName="Table3" ref="A1:BJ103" totalsRowCount="0" totalsRowShown="0">
  <autoFilter ref="A1:BJ103"/>
  <tableColumns count="62">
    <tableColumn id="1" name="PatientID"/>
    <tableColumn id="2" name="EyeID"/>
    <tableColumn id="3" name="Eye"/>
    <tableColumn id="4" name="SurgeryNumber"/>
    <tableColumn id="5" name="Cohort"/>
    <tableColumn id="6" name="Procedure"/>
    <tableColumn id="7" name="Surgeon"/>
    <tableColumn id="8" name="Age_Years"/>
    <tableColumn id="9" name="Sex"/>
    <tableColumn id="10" name="Smoker"/>
    <tableColumn id="11" name="Preop_Sphere_D_minus_cyl"/>
    <tableColumn id="12" name="Preop_Cylinder_D_minus_cyl"/>
    <tableColumn id="13" name="Preop_Axis_Deg_minus_cyl"/>
    <tableColumn id="14" name="Preop_SEQ_D"/>
    <tableColumn id="15" name="Preop_UDVA_logMAR"/>
    <tableColumn id="16" name="Preop_CDVA_logMAR"/>
    <tableColumn id="17" name="Preop_Pachymetry_um"/>
    <tableColumn id="18" name="Preop_Mean_K_D"/>
    <tableColumn id="19" name="Preop_DryEye_Grade"/>
    <tableColumn id="20" name="Optical_Zone_mm"/>
    <tableColumn id="21" name="Ablation_or_Lenticule_Depth_um"/>
    <tableColumn id="22" name="Target_SEQ_D"/>
    <tableColumn id="23" name="FollowUp_Days"/>
    <tableColumn id="24" name="Postop_Sphere_D_minus_cyl"/>
    <tableColumn id="25" name="Postop_Cylinder_D_minus_cyl"/>
    <tableColumn id="26" name="Postop_Axis_Deg_minus_cyl"/>
    <tableColumn id="27" name="Postop_SEQ_D"/>
    <tableColumn id="28" name="Postop_UDVA_logMAR"/>
    <tableColumn id="29" name="Postop_CDVA_logMAR"/>
    <tableColumn id="30" name="Postop_Haze_Grade"/>
    <tableColumn id="31" name="Patient_Satisfaction_1to5"/>
    <tableColumn id="32" name="DryEye_Symptoms"/>
    <tableColumn id="33" name="Retreatment_Required"/>
    <tableColumn id="34" name="Complication_Type"/>
    <tableColumn id="35" name="Cylinder_Notation"/>
    <tableColumn id="36" name="Visit1_Days_PostOp"/>
    <tableColumn id="37" name="Visit1_Sphere_D"/>
    <tableColumn id="38" name="Visit1_Cylinder_D"/>
    <tableColumn id="39" name="Visit1_Axis_Deg"/>
    <tableColumn id="40" name="Visit1_SEQ_D"/>
    <tableColumn id="41" name="Visit2_Days_PostOp"/>
    <tableColumn id="42" name="Visit2_Sphere_D"/>
    <tableColumn id="43" name="Visit2_Cylinder_D"/>
    <tableColumn id="44" name="Visit2_Axis_Deg"/>
    <tableColumn id="45" name="Visit3_Days_PostOp"/>
    <tableColumn id="46" name="Visit3_Sphere_D"/>
    <tableColumn id="47" name="Visit3_Cylinder_D"/>
    <tableColumn id="48" name="Visit3_Axis_Deg"/>
    <tableColumn id="49" name="Visit3_SEQ_D"/>
    <tableColumn id="50" name="Visit4_Days_PostOp"/>
    <tableColumn id="51" name="Visit4_Sphere_D"/>
    <tableColumn id="52" name="Visit4_Cylinder_D"/>
    <tableColumn id="53" name="Visit4_Axis_Deg"/>
    <tableColumn id="54" name="Visit5_Days_PostOp"/>
    <tableColumn id="55" name="Visit5_Sphere_D"/>
    <tableColumn id="56" name="Visit5_Cylinder_D"/>
    <tableColumn id="57" name="Visit5_Axis_Deg"/>
    <tableColumn id="58" name="GroupLabel"/>
    <tableColumn id="59" name="distance"/>
    <tableColumn id="60" name="weights"/>
    <tableColumn id="61" name="subclass"/>
    <tableColumn id="62" name="Pairing"/>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c r="A2" t="s">
        <v>62</v>
      </c>
      <c r="B2" t="s">
        <v>63</v>
      </c>
      <c r="C2" t="s">
        <v>64</v>
      </c>
      <c r="D2" t="n">
        <v>1</v>
      </c>
      <c r="E2" t="s">
        <v>65</v>
      </c>
      <c r="F2" t="s">
        <v>66</v>
      </c>
      <c r="G2" t="s">
        <v>67</v>
      </c>
      <c r="H2" t="n">
        <v>38</v>
      </c>
      <c r="I2" t="s">
        <v>68</v>
      </c>
      <c r="J2" t="s">
        <v>69</v>
      </c>
      <c r="K2" t="n">
        <v>-4</v>
      </c>
      <c r="L2" t="n">
        <v>-0.5</v>
      </c>
      <c r="M2" t="n">
        <v>179</v>
      </c>
      <c r="N2" t="n">
        <v>-4.25</v>
      </c>
      <c r="O2" s="1" t="n">
        <v>1.30102999566398</v>
      </c>
      <c r="P2" s="1" t="n">
        <v>0.0969100130080564</v>
      </c>
      <c r="Q2" t="n">
        <v>542</v>
      </c>
      <c r="R2" t="n">
        <v>46.94</v>
      </c>
      <c r="S2" t="n">
        <v>2</v>
      </c>
      <c r="T2" t="n">
        <v>6.4</v>
      </c>
      <c r="U2" t="n">
        <v>55</v>
      </c>
      <c r="V2" t="n">
        <v>0</v>
      </c>
      <c r="W2" t="n">
        <v>204</v>
      </c>
      <c r="X2" t="n">
        <v>0.25</v>
      </c>
      <c r="Y2" t="n">
        <v>-0.25</v>
      </c>
      <c r="Z2" t="n">
        <v>66</v>
      </c>
      <c r="AA2" t="n">
        <v>0.125</v>
      </c>
      <c r="AB2" s="1" t="n">
        <v>0</v>
      </c>
      <c r="AC2" s="1" t="n">
        <v>0</v>
      </c>
      <c r="AD2" t="n">
        <v>0</v>
      </c>
      <c r="AE2" t="n">
        <v>4</v>
      </c>
      <c r="AF2" t="s">
        <v>69</v>
      </c>
      <c r="AG2" t="s">
        <v>69</v>
      </c>
      <c r="AH2" t="s">
        <v>70</v>
      </c>
      <c r="AI2" t="s">
        <v>71</v>
      </c>
      <c r="AJ2" t="n">
        <v>24</v>
      </c>
      <c r="AK2" t="n">
        <v>0.5</v>
      </c>
      <c r="AL2" t="n">
        <v>-0.25</v>
      </c>
      <c r="AM2" t="n">
        <v>64</v>
      </c>
      <c r="AN2" t="n">
        <v>0.375</v>
      </c>
      <c r="AO2" t="n">
        <v>88</v>
      </c>
      <c r="AP2" t="n">
        <v>0.25</v>
      </c>
      <c r="AQ2" t="n">
        <v>0</v>
      </c>
      <c r="AR2" t="n">
        <v>66</v>
      </c>
      <c r="AS2" t="n">
        <v>204</v>
      </c>
      <c r="AT2" t="n">
        <v>0.25</v>
      </c>
      <c r="AU2" t="n">
        <v>-0.25</v>
      </c>
      <c r="AV2" t="n">
        <v>66</v>
      </c>
      <c r="AW2" t="n">
        <v>0.125</v>
      </c>
      <c r="AX2" t="n">
        <v>363</v>
      </c>
      <c r="AY2" t="n">
        <v>0</v>
      </c>
      <c r="AZ2" t="n">
        <v>0</v>
      </c>
      <c r="BA2" t="n">
        <v>47</v>
      </c>
      <c r="BB2" t="n">
        <v>720</v>
      </c>
      <c r="BC2" t="n">
        <v>0</v>
      </c>
      <c r="BD2" t="n">
        <v>-0.25</v>
      </c>
      <c r="BE2" t="n">
        <v>70</v>
      </c>
      <c r="BF2" t="s">
        <v>65</v>
      </c>
      <c r="BG2" s="1" t="n">
        <v>-1.24207216994084</v>
      </c>
      <c r="BH2" s="1" t="n">
        <v>0.714285714285714</v>
      </c>
      <c r="BI2" t="n">
        <v>3</v>
      </c>
      <c r="BJ2" t="s">
        <v>72</v>
      </c>
    </row>
    <row r="3">
      <c r="A3" t="s">
        <v>62</v>
      </c>
      <c r="B3" t="s">
        <v>73</v>
      </c>
      <c r="C3" t="s">
        <v>74</v>
      </c>
      <c r="D3" t="n">
        <v>1</v>
      </c>
      <c r="E3" t="s">
        <v>65</v>
      </c>
      <c r="F3" t="s">
        <v>66</v>
      </c>
      <c r="G3" t="s">
        <v>67</v>
      </c>
      <c r="H3" t="n">
        <v>38</v>
      </c>
      <c r="I3" t="s">
        <v>68</v>
      </c>
      <c r="J3" t="s">
        <v>69</v>
      </c>
      <c r="K3" t="n">
        <v>-4</v>
      </c>
      <c r="L3" t="n">
        <v>-1</v>
      </c>
      <c r="M3" t="n">
        <v>170</v>
      </c>
      <c r="N3" t="n">
        <v>-4.5</v>
      </c>
      <c r="O3" s="1" t="n">
        <v>1.39794000867204</v>
      </c>
      <c r="P3" s="1" t="n">
        <v>0.0969100130080564</v>
      </c>
      <c r="Q3" t="n">
        <v>540</v>
      </c>
      <c r="R3" t="n">
        <v>47.35</v>
      </c>
      <c r="S3" t="n">
        <v>0</v>
      </c>
      <c r="T3" t="n">
        <v>6.4</v>
      </c>
      <c r="U3" t="n">
        <v>71</v>
      </c>
      <c r="V3" t="n">
        <v>0</v>
      </c>
      <c r="W3" t="n">
        <v>185</v>
      </c>
      <c r="X3" t="n">
        <v>0.5</v>
      </c>
      <c r="Y3" t="n">
        <v>-0.75</v>
      </c>
      <c r="Z3" t="n">
        <v>131</v>
      </c>
      <c r="AA3" t="n">
        <v>0.125</v>
      </c>
      <c r="AB3" s="1" t="n">
        <v>0.0969100130080564</v>
      </c>
      <c r="AC3" s="1" t="n">
        <v>0</v>
      </c>
      <c r="AD3" t="n">
        <v>1</v>
      </c>
      <c r="AE3" t="n">
        <v>3</v>
      </c>
      <c r="AF3" t="s">
        <v>69</v>
      </c>
      <c r="AG3" t="s">
        <v>69</v>
      </c>
      <c r="AH3" t="s">
        <v>70</v>
      </c>
      <c r="AI3" t="s">
        <v>71</v>
      </c>
      <c r="AJ3" t="n">
        <v>31</v>
      </c>
      <c r="AK3" t="n">
        <v>0.75</v>
      </c>
      <c r="AL3" t="n">
        <v>-0.75</v>
      </c>
      <c r="AM3" t="n">
        <v>132</v>
      </c>
      <c r="AN3" t="n">
        <v>0.375</v>
      </c>
      <c r="AO3" t="n">
        <v>86</v>
      </c>
      <c r="AP3" t="n">
        <v>0.75</v>
      </c>
      <c r="AQ3" t="n">
        <v>-0.75</v>
      </c>
      <c r="AR3" t="n">
        <v>130</v>
      </c>
      <c r="AS3" t="n">
        <v>185</v>
      </c>
      <c r="AT3" t="n">
        <v>0.5</v>
      </c>
      <c r="AU3" t="n">
        <v>-0.75</v>
      </c>
      <c r="AV3" t="n">
        <v>131</v>
      </c>
      <c r="AW3" t="n">
        <v>0.125</v>
      </c>
      <c r="AX3" t="n">
        <v>368</v>
      </c>
      <c r="AY3" t="n">
        <v>0.25</v>
      </c>
      <c r="AZ3" t="n">
        <v>-0.75</v>
      </c>
      <c r="BA3" t="n">
        <v>128</v>
      </c>
      <c r="BB3" t="n">
        <v>747</v>
      </c>
      <c r="BC3" t="n">
        <v>0.25</v>
      </c>
      <c r="BD3" t="n">
        <v>-0.75</v>
      </c>
      <c r="BE3" t="n">
        <v>129</v>
      </c>
      <c r="BF3" t="s">
        <v>65</v>
      </c>
      <c r="BG3" s="1" t="n">
        <v>-1.17099046172378</v>
      </c>
      <c r="BH3" s="1" t="n">
        <v>0.714285714285714</v>
      </c>
      <c r="BI3" t="n">
        <v>39</v>
      </c>
      <c r="BJ3" t="s">
        <v>72</v>
      </c>
    </row>
    <row r="4">
      <c r="A4" t="s">
        <v>75</v>
      </c>
      <c r="B4" t="s">
        <v>76</v>
      </c>
      <c r="C4" t="s">
        <v>64</v>
      </c>
      <c r="D4" t="n">
        <v>1</v>
      </c>
      <c r="E4" t="s">
        <v>65</v>
      </c>
      <c r="F4" t="s">
        <v>66</v>
      </c>
      <c r="G4" t="s">
        <v>67</v>
      </c>
      <c r="H4" t="n">
        <v>38</v>
      </c>
      <c r="I4" t="s">
        <v>68</v>
      </c>
      <c r="J4" t="s">
        <v>69</v>
      </c>
      <c r="K4" t="n">
        <v>-3.5</v>
      </c>
      <c r="L4" t="n">
        <v>-0.75</v>
      </c>
      <c r="M4" t="n">
        <v>95</v>
      </c>
      <c r="N4" t="n">
        <v>-3.875</v>
      </c>
      <c r="O4" s="1" t="n">
        <v>1.09691001300806</v>
      </c>
      <c r="P4" s="1" t="n">
        <v>0</v>
      </c>
      <c r="Q4" t="n">
        <v>542</v>
      </c>
      <c r="R4" t="n">
        <v>43.85</v>
      </c>
      <c r="S4" t="n">
        <v>0</v>
      </c>
      <c r="T4" t="n">
        <v>6.4</v>
      </c>
      <c r="U4" t="n">
        <v>57</v>
      </c>
      <c r="V4" t="n">
        <v>0</v>
      </c>
      <c r="W4" t="n">
        <v>174</v>
      </c>
      <c r="X4" t="n">
        <v>0</v>
      </c>
      <c r="Y4" t="n">
        <v>-0.25</v>
      </c>
      <c r="Z4" t="n">
        <v>92</v>
      </c>
      <c r="AA4" t="n">
        <v>-0.125</v>
      </c>
      <c r="AB4" s="1" t="n">
        <v>-0.0969100130080564</v>
      </c>
      <c r="AC4" s="1" t="n">
        <v>-0.0969100130080564</v>
      </c>
      <c r="AD4" t="n">
        <v>0</v>
      </c>
      <c r="AE4" t="n">
        <v>4</v>
      </c>
      <c r="AF4" t="s">
        <v>69</v>
      </c>
      <c r="AG4" t="s">
        <v>69</v>
      </c>
      <c r="AH4" t="s">
        <v>70</v>
      </c>
      <c r="AI4" t="s">
        <v>71</v>
      </c>
      <c r="AJ4" t="n">
        <v>25</v>
      </c>
      <c r="AK4" t="n">
        <v>0.5</v>
      </c>
      <c r="AL4" t="n">
        <v>-0.25</v>
      </c>
      <c r="AM4" t="n">
        <v>99</v>
      </c>
      <c r="AN4" t="n">
        <v>0.375</v>
      </c>
      <c r="AO4" t="n">
        <v>98</v>
      </c>
      <c r="AP4" t="n">
        <v>0</v>
      </c>
      <c r="AQ4" t="n">
        <v>-0.25</v>
      </c>
      <c r="AR4" t="n">
        <v>90</v>
      </c>
      <c r="AS4" t="n">
        <v>174</v>
      </c>
      <c r="AT4" t="n">
        <v>0</v>
      </c>
      <c r="AU4" t="n">
        <v>-0.25</v>
      </c>
      <c r="AV4" t="n">
        <v>92</v>
      </c>
      <c r="AW4" t="n">
        <v>-0.125</v>
      </c>
      <c r="AX4" t="n">
        <v>368</v>
      </c>
      <c r="AY4" t="n">
        <v>-0.25</v>
      </c>
      <c r="AZ4" t="n">
        <v>-0.25</v>
      </c>
      <c r="BA4" t="n">
        <v>77</v>
      </c>
      <c r="BB4" t="n">
        <v>719</v>
      </c>
      <c r="BC4" t="n">
        <v>-0.25</v>
      </c>
      <c r="BD4" t="n">
        <v>-0.25</v>
      </c>
      <c r="BE4" t="n">
        <v>103</v>
      </c>
      <c r="BF4" t="s">
        <v>65</v>
      </c>
      <c r="BG4" s="1" t="n">
        <v>-0.972658041550511</v>
      </c>
      <c r="BH4" s="1" t="n">
        <v>0.714285714285714</v>
      </c>
      <c r="BI4" t="n">
        <v>39</v>
      </c>
      <c r="BJ4" t="s">
        <v>72</v>
      </c>
    </row>
    <row r="5">
      <c r="A5" t="s">
        <v>75</v>
      </c>
      <c r="B5" t="s">
        <v>77</v>
      </c>
      <c r="C5" t="s">
        <v>74</v>
      </c>
      <c r="D5" t="n">
        <v>1</v>
      </c>
      <c r="E5" t="s">
        <v>65</v>
      </c>
      <c r="F5" t="s">
        <v>66</v>
      </c>
      <c r="G5" t="s">
        <v>67</v>
      </c>
      <c r="H5" t="n">
        <v>38</v>
      </c>
      <c r="I5" t="s">
        <v>68</v>
      </c>
      <c r="J5" t="s">
        <v>69</v>
      </c>
      <c r="K5" t="n">
        <v>-4.75</v>
      </c>
      <c r="L5" t="n">
        <v>-0.5</v>
      </c>
      <c r="M5" t="n">
        <v>106</v>
      </c>
      <c r="N5" t="n">
        <v>-5</v>
      </c>
      <c r="O5" s="1" t="n">
        <v>1.30102999566398</v>
      </c>
      <c r="P5" s="1" t="n">
        <v>0</v>
      </c>
      <c r="Q5" t="n">
        <v>537</v>
      </c>
      <c r="R5"/>
      <c r="S5" t="n">
        <v>0</v>
      </c>
      <c r="T5" t="n">
        <v>6.4</v>
      </c>
      <c r="U5" t="n">
        <v>71</v>
      </c>
      <c r="V5" t="n">
        <v>0</v>
      </c>
      <c r="W5" t="n">
        <v>185</v>
      </c>
      <c r="X5" t="n">
        <v>0.25</v>
      </c>
      <c r="Y5" t="n">
        <v>-0.25</v>
      </c>
      <c r="Z5" t="n">
        <v>123</v>
      </c>
      <c r="AA5" t="n">
        <v>0.125</v>
      </c>
      <c r="AB5" s="1" t="n">
        <v>-0.0969100130080564</v>
      </c>
      <c r="AC5" s="1" t="n">
        <v>-0.0969100130080564</v>
      </c>
      <c r="AD5" t="n">
        <v>1</v>
      </c>
      <c r="AE5" t="n">
        <v>5</v>
      </c>
      <c r="AF5" t="s">
        <v>69</v>
      </c>
      <c r="AG5" t="s">
        <v>69</v>
      </c>
      <c r="AH5" t="s">
        <v>70</v>
      </c>
      <c r="AI5" t="s">
        <v>71</v>
      </c>
      <c r="AJ5" t="n">
        <v>34</v>
      </c>
      <c r="AK5" t="n">
        <v>0.5</v>
      </c>
      <c r="AL5" t="n">
        <v>-0.25</v>
      </c>
      <c r="AM5" t="n">
        <v>111</v>
      </c>
      <c r="AN5" t="n">
        <v>0.375</v>
      </c>
      <c r="AO5" t="n">
        <v>104</v>
      </c>
      <c r="AP5" t="n">
        <v>0.25</v>
      </c>
      <c r="AQ5" t="n">
        <v>-0.25</v>
      </c>
      <c r="AR5" t="n">
        <v>126</v>
      </c>
      <c r="AS5" t="n">
        <v>185</v>
      </c>
      <c r="AT5" t="n">
        <v>0.25</v>
      </c>
      <c r="AU5" t="n">
        <v>-0.25</v>
      </c>
      <c r="AV5" t="n">
        <v>123</v>
      </c>
      <c r="AW5" t="n">
        <v>0.125</v>
      </c>
      <c r="AX5" t="n">
        <v>367</v>
      </c>
      <c r="AY5" t="n">
        <v>0.25</v>
      </c>
      <c r="AZ5" t="n">
        <v>-0.25</v>
      </c>
      <c r="BA5" t="n">
        <v>110</v>
      </c>
      <c r="BB5" t="n">
        <v>691</v>
      </c>
      <c r="BC5" t="n">
        <v>0.25</v>
      </c>
      <c r="BD5" t="n">
        <v>-0.25</v>
      </c>
      <c r="BE5" t="n">
        <v>113</v>
      </c>
      <c r="BF5" t="s">
        <v>65</v>
      </c>
      <c r="BG5" s="1" t="n">
        <v>0.0639450099649999</v>
      </c>
      <c r="BH5" s="1" t="n">
        <v>1.42857142857143</v>
      </c>
      <c r="BI5" t="n">
        <v>2</v>
      </c>
      <c r="BJ5" t="s">
        <v>72</v>
      </c>
    </row>
    <row r="6">
      <c r="A6" t="s">
        <v>78</v>
      </c>
      <c r="B6" t="s">
        <v>79</v>
      </c>
      <c r="C6" t="s">
        <v>64</v>
      </c>
      <c r="D6" t="n">
        <v>1</v>
      </c>
      <c r="E6" t="s">
        <v>65</v>
      </c>
      <c r="F6" t="s">
        <v>66</v>
      </c>
      <c r="G6" t="s">
        <v>67</v>
      </c>
      <c r="H6" t="n">
        <v>47</v>
      </c>
      <c r="I6" t="s">
        <v>68</v>
      </c>
      <c r="J6" t="s">
        <v>80</v>
      </c>
      <c r="K6" t="n">
        <v>-3.75</v>
      </c>
      <c r="L6" t="n">
        <v>-0.75</v>
      </c>
      <c r="M6" t="n">
        <v>4</v>
      </c>
      <c r="N6" t="n">
        <v>-4.125</v>
      </c>
      <c r="O6" s="1" t="n">
        <v>1.20065945054642</v>
      </c>
      <c r="P6" s="1" t="n">
        <v>0</v>
      </c>
      <c r="Q6" t="n">
        <v>525</v>
      </c>
      <c r="R6" t="n">
        <v>42.91</v>
      </c>
      <c r="S6" t="n">
        <v>1</v>
      </c>
      <c r="T6" t="n">
        <v>6.6</v>
      </c>
      <c r="U6" t="n">
        <v>70</v>
      </c>
      <c r="V6" t="n">
        <v>0</v>
      </c>
      <c r="W6" t="n">
        <v>186</v>
      </c>
      <c r="X6" t="n">
        <v>0</v>
      </c>
      <c r="Y6" t="n">
        <v>-0.25</v>
      </c>
      <c r="Z6" t="n">
        <v>156</v>
      </c>
      <c r="AA6" t="n">
        <v>-0.125</v>
      </c>
      <c r="AB6" s="1" t="n">
        <v>-0.0969100130080564</v>
      </c>
      <c r="AC6" s="1" t="n">
        <v>-0.0969100130080564</v>
      </c>
      <c r="AD6" t="n">
        <v>1</v>
      </c>
      <c r="AE6" t="n">
        <v>2</v>
      </c>
      <c r="AF6" t="s">
        <v>80</v>
      </c>
      <c r="AG6" t="s">
        <v>69</v>
      </c>
      <c r="AH6" t="s">
        <v>70</v>
      </c>
      <c r="AI6" t="s">
        <v>71</v>
      </c>
      <c r="AJ6" t="n">
        <v>30</v>
      </c>
      <c r="AK6" t="n">
        <v>0.25</v>
      </c>
      <c r="AL6" t="n">
        <v>-0.25</v>
      </c>
      <c r="AM6" t="n">
        <v>138</v>
      </c>
      <c r="AN6" t="n">
        <v>0.125</v>
      </c>
      <c r="AO6" t="n">
        <v>92</v>
      </c>
      <c r="AP6" t="n">
        <v>0</v>
      </c>
      <c r="AQ6" t="n">
        <v>-0.25</v>
      </c>
      <c r="AR6" t="n">
        <v>148</v>
      </c>
      <c r="AS6" t="n">
        <v>186</v>
      </c>
      <c r="AT6" t="n">
        <v>0</v>
      </c>
      <c r="AU6" t="n">
        <v>-0.25</v>
      </c>
      <c r="AV6" t="n">
        <v>156</v>
      </c>
      <c r="AW6" t="n">
        <v>-0.125</v>
      </c>
      <c r="AX6" t="n">
        <v>353</v>
      </c>
      <c r="AY6" t="n">
        <v>-0.25</v>
      </c>
      <c r="AZ6" t="n">
        <v>-0.25</v>
      </c>
      <c r="BA6" t="n">
        <v>163</v>
      </c>
      <c r="BB6" t="n">
        <v>723</v>
      </c>
      <c r="BC6" t="n">
        <v>-0.25</v>
      </c>
      <c r="BD6" t="n">
        <v>-0.25</v>
      </c>
      <c r="BE6" t="n">
        <v>153</v>
      </c>
      <c r="BF6" t="s">
        <v>65</v>
      </c>
      <c r="BG6" s="1" t="n">
        <v>0.860050904482863</v>
      </c>
      <c r="BH6" s="1" t="n">
        <v>1.42857142857143</v>
      </c>
      <c r="BI6" t="n">
        <v>27</v>
      </c>
      <c r="BJ6" t="s">
        <v>72</v>
      </c>
    </row>
    <row r="7">
      <c r="A7" t="s">
        <v>81</v>
      </c>
      <c r="B7" t="s">
        <v>82</v>
      </c>
      <c r="C7" t="s">
        <v>64</v>
      </c>
      <c r="D7" t="n">
        <v>1</v>
      </c>
      <c r="E7" t="s">
        <v>65</v>
      </c>
      <c r="F7" t="s">
        <v>66</v>
      </c>
      <c r="G7" t="s">
        <v>67</v>
      </c>
      <c r="H7" t="n">
        <v>28</v>
      </c>
      <c r="I7" t="s">
        <v>68</v>
      </c>
      <c r="J7" t="s">
        <v>80</v>
      </c>
      <c r="K7" t="n">
        <v>-5</v>
      </c>
      <c r="L7" t="n">
        <v>-1.75</v>
      </c>
      <c r="M7" t="n">
        <v>23</v>
      </c>
      <c r="N7" t="n">
        <v>-5.875</v>
      </c>
      <c r="O7" s="1" t="n">
        <v>1.69897000433602</v>
      </c>
      <c r="P7" s="1" t="n">
        <v>0</v>
      </c>
      <c r="Q7" t="n">
        <v>514</v>
      </c>
      <c r="R7" t="n">
        <v>44.3</v>
      </c>
      <c r="S7" t="n">
        <v>0</v>
      </c>
      <c r="T7" t="n">
        <v>6.3</v>
      </c>
      <c r="U7" t="n">
        <v>82</v>
      </c>
      <c r="V7" t="n">
        <v>0</v>
      </c>
      <c r="W7" t="n">
        <v>169</v>
      </c>
      <c r="X7" t="n">
        <v>-0.5</v>
      </c>
      <c r="Y7" t="n">
        <v>-0.25</v>
      </c>
      <c r="Z7" t="n">
        <v>66</v>
      </c>
      <c r="AA7" t="n">
        <v>-0.625</v>
      </c>
      <c r="AB7" s="1" t="n">
        <v>0</v>
      </c>
      <c r="AC7" s="1" t="n">
        <v>-0.0969100130080564</v>
      </c>
      <c r="AD7" t="n">
        <v>0</v>
      </c>
      <c r="AE7"/>
      <c r="AF7" t="s">
        <v>69</v>
      </c>
      <c r="AG7" t="s">
        <v>69</v>
      </c>
      <c r="AH7" t="s">
        <v>70</v>
      </c>
      <c r="AI7" t="s">
        <v>71</v>
      </c>
      <c r="AJ7" t="n">
        <v>26</v>
      </c>
      <c r="AK7" t="n">
        <v>-0.25</v>
      </c>
      <c r="AL7" t="n">
        <v>-0.25</v>
      </c>
      <c r="AM7" t="n">
        <v>58</v>
      </c>
      <c r="AN7" t="n">
        <v>-0.375</v>
      </c>
      <c r="AO7" t="n">
        <v>102</v>
      </c>
      <c r="AP7" t="n">
        <v>-0.75</v>
      </c>
      <c r="AQ7" t="n">
        <v>-0.25</v>
      </c>
      <c r="AR7" t="n">
        <v>70</v>
      </c>
      <c r="AS7" t="n">
        <v>169</v>
      </c>
      <c r="AT7" t="n">
        <v>-0.5</v>
      </c>
      <c r="AU7" t="n">
        <v>-0.25</v>
      </c>
      <c r="AV7" t="n">
        <v>66</v>
      </c>
      <c r="AW7" t="n">
        <v>-0.625</v>
      </c>
      <c r="AX7" t="n">
        <v>391</v>
      </c>
      <c r="AY7" t="n">
        <v>-0.75</v>
      </c>
      <c r="AZ7" t="n">
        <v>-0.25</v>
      </c>
      <c r="BA7" t="n">
        <v>60</v>
      </c>
      <c r="BB7" t="n">
        <v>727</v>
      </c>
      <c r="BC7" t="n">
        <v>-0.75</v>
      </c>
      <c r="BD7" t="n">
        <v>0</v>
      </c>
      <c r="BE7" t="n">
        <v>65</v>
      </c>
      <c r="BF7" t="s">
        <v>65</v>
      </c>
      <c r="BG7" s="1" t="n">
        <v>-0.321871837836045</v>
      </c>
      <c r="BH7" s="1" t="n">
        <v>0.714285714285714</v>
      </c>
      <c r="BI7" t="n">
        <v>22</v>
      </c>
      <c r="BJ7" t="s">
        <v>72</v>
      </c>
    </row>
    <row r="8">
      <c r="A8" t="s">
        <v>81</v>
      </c>
      <c r="B8" t="s">
        <v>83</v>
      </c>
      <c r="C8" t="s">
        <v>74</v>
      </c>
      <c r="D8" t="n">
        <v>1</v>
      </c>
      <c r="E8" t="s">
        <v>65</v>
      </c>
      <c r="F8" t="s">
        <v>66</v>
      </c>
      <c r="G8" t="s">
        <v>67</v>
      </c>
      <c r="H8" t="n">
        <v>28</v>
      </c>
      <c r="I8" t="s">
        <v>68</v>
      </c>
      <c r="J8" t="s">
        <v>80</v>
      </c>
      <c r="K8" t="n">
        <v>-6.5</v>
      </c>
      <c r="L8" t="n">
        <v>-1.5</v>
      </c>
      <c r="M8" t="n">
        <v>172</v>
      </c>
      <c r="N8" t="n">
        <v>-7.25</v>
      </c>
      <c r="O8" s="1" t="n">
        <v>1.69897000433602</v>
      </c>
      <c r="P8" s="1" t="n">
        <v>0.0969100130080564</v>
      </c>
      <c r="Q8" t="n">
        <v>520</v>
      </c>
      <c r="R8" t="n">
        <v>43.71</v>
      </c>
      <c r="S8" t="n">
        <v>0</v>
      </c>
      <c r="T8" t="n">
        <v>6.3</v>
      </c>
      <c r="U8" t="n">
        <v>107</v>
      </c>
      <c r="V8" t="n">
        <v>0</v>
      </c>
      <c r="W8" t="n">
        <v>156</v>
      </c>
      <c r="X8" t="n">
        <v>-0.25</v>
      </c>
      <c r="Y8" t="n">
        <v>-0.25</v>
      </c>
      <c r="Z8" t="n">
        <v>37</v>
      </c>
      <c r="AA8" t="n">
        <v>-0.375</v>
      </c>
      <c r="AB8" s="1" t="n">
        <v>0</v>
      </c>
      <c r="AC8" s="1" t="n">
        <v>0</v>
      </c>
      <c r="AD8" t="n">
        <v>1</v>
      </c>
      <c r="AE8" t="n">
        <v>5</v>
      </c>
      <c r="AF8" t="s">
        <v>69</v>
      </c>
      <c r="AG8" t="s">
        <v>69</v>
      </c>
      <c r="AH8" t="s">
        <v>70</v>
      </c>
      <c r="AI8" t="s">
        <v>71</v>
      </c>
      <c r="AJ8" t="n">
        <v>31</v>
      </c>
      <c r="AK8" t="n">
        <v>0</v>
      </c>
      <c r="AL8" t="n">
        <v>-0.25</v>
      </c>
      <c r="AM8" t="n">
        <v>24</v>
      </c>
      <c r="AN8" t="n">
        <v>-0.125</v>
      </c>
      <c r="AO8" t="n">
        <v>94</v>
      </c>
      <c r="AP8" t="n">
        <v>-0.25</v>
      </c>
      <c r="AQ8" t="n">
        <v>-0.25</v>
      </c>
      <c r="AR8" t="n">
        <v>32</v>
      </c>
      <c r="AS8" t="n">
        <v>156</v>
      </c>
      <c r="AT8" t="n">
        <v>-0.25</v>
      </c>
      <c r="AU8" t="n">
        <v>-0.25</v>
      </c>
      <c r="AV8" t="n">
        <v>37</v>
      </c>
      <c r="AW8" t="n">
        <v>-0.375</v>
      </c>
      <c r="AX8" t="n">
        <v>379</v>
      </c>
      <c r="AY8" t="n">
        <v>-0.5</v>
      </c>
      <c r="AZ8" t="n">
        <v>-0.25</v>
      </c>
      <c r="BA8" t="n">
        <v>42</v>
      </c>
      <c r="BB8" t="n">
        <v>761</v>
      </c>
      <c r="BC8" t="n">
        <v>-0.75</v>
      </c>
      <c r="BD8" t="n">
        <v>-0.5</v>
      </c>
      <c r="BE8" t="n">
        <v>32</v>
      </c>
      <c r="BF8" t="s">
        <v>65</v>
      </c>
      <c r="BG8" s="1" t="n">
        <v>1.33742213740818</v>
      </c>
      <c r="BH8" s="1" t="n">
        <v>1.42857142857143</v>
      </c>
      <c r="BI8" t="n">
        <v>36</v>
      </c>
      <c r="BJ8" t="s">
        <v>72</v>
      </c>
    </row>
    <row r="9">
      <c r="A9" t="s">
        <v>84</v>
      </c>
      <c r="B9" t="s">
        <v>85</v>
      </c>
      <c r="C9" t="s">
        <v>64</v>
      </c>
      <c r="D9" t="n">
        <v>1</v>
      </c>
      <c r="E9" t="s">
        <v>86</v>
      </c>
      <c r="F9" t="s">
        <v>66</v>
      </c>
      <c r="G9" t="s">
        <v>87</v>
      </c>
      <c r="H9" t="n">
        <v>43</v>
      </c>
      <c r="I9" t="s">
        <v>88</v>
      </c>
      <c r="J9" t="s">
        <v>69</v>
      </c>
      <c r="K9" t="n">
        <v>-3</v>
      </c>
      <c r="L9" t="n">
        <v>-0.75</v>
      </c>
      <c r="M9" t="n">
        <v>177</v>
      </c>
      <c r="N9" t="n">
        <v>-3.375</v>
      </c>
      <c r="O9" s="1" t="n">
        <v>0.903089986991944</v>
      </c>
      <c r="P9" s="1" t="n">
        <v>0</v>
      </c>
      <c r="Q9" t="n">
        <v>523</v>
      </c>
      <c r="R9" t="n">
        <v>41.96</v>
      </c>
      <c r="S9" t="n">
        <v>0</v>
      </c>
      <c r="T9" t="n">
        <v>6.5</v>
      </c>
      <c r="U9" t="n">
        <v>62</v>
      </c>
      <c r="V9" t="n">
        <v>0</v>
      </c>
      <c r="W9" t="n">
        <v>155</v>
      </c>
      <c r="X9" t="n">
        <v>0</v>
      </c>
      <c r="Y9" t="n">
        <v>-0.25</v>
      </c>
      <c r="Z9" t="n">
        <v>136</v>
      </c>
      <c r="AA9" t="n">
        <v>-0.125</v>
      </c>
      <c r="AB9" s="1" t="n">
        <v>0</v>
      </c>
      <c r="AC9" s="1" t="n">
        <v>0</v>
      </c>
      <c r="AD9" t="n">
        <v>0</v>
      </c>
      <c r="AE9" t="n">
        <v>2</v>
      </c>
      <c r="AF9" t="s">
        <v>80</v>
      </c>
      <c r="AG9" t="s">
        <v>69</v>
      </c>
      <c r="AH9" t="s">
        <v>70</v>
      </c>
      <c r="AI9" t="s">
        <v>71</v>
      </c>
      <c r="AJ9" t="n">
        <v>30</v>
      </c>
      <c r="AK9" t="n">
        <v>0.25</v>
      </c>
      <c r="AL9" t="n">
        <v>-0.25</v>
      </c>
      <c r="AM9" t="n">
        <v>130</v>
      </c>
      <c r="AN9" t="n">
        <v>0.125</v>
      </c>
      <c r="AO9" t="n">
        <v>99</v>
      </c>
      <c r="AP9" t="n">
        <v>-0.25</v>
      </c>
      <c r="AQ9" t="n">
        <v>0</v>
      </c>
      <c r="AR9" t="n">
        <v>95</v>
      </c>
      <c r="AS9" t="n">
        <v>155</v>
      </c>
      <c r="AT9" t="n">
        <v>0</v>
      </c>
      <c r="AU9" t="n">
        <v>-0.25</v>
      </c>
      <c r="AV9" t="n">
        <v>136</v>
      </c>
      <c r="AW9" t="n">
        <v>-0.125</v>
      </c>
      <c r="AX9"/>
      <c r="AY9"/>
      <c r="AZ9"/>
      <c r="BA9"/>
      <c r="BB9"/>
      <c r="BC9"/>
      <c r="BD9"/>
      <c r="BE9"/>
      <c r="BF9" t="s">
        <v>86</v>
      </c>
      <c r="BG9" s="1" t="n">
        <v>0.58961344118736</v>
      </c>
      <c r="BH9" s="1" t="n">
        <v>1</v>
      </c>
      <c r="BI9" t="n">
        <v>1</v>
      </c>
      <c r="BJ9" t="s">
        <v>72</v>
      </c>
    </row>
    <row r="10">
      <c r="A10" t="s">
        <v>84</v>
      </c>
      <c r="B10" t="s">
        <v>89</v>
      </c>
      <c r="C10" t="s">
        <v>74</v>
      </c>
      <c r="D10" t="n">
        <v>1</v>
      </c>
      <c r="E10" t="s">
        <v>86</v>
      </c>
      <c r="F10" t="s">
        <v>66</v>
      </c>
      <c r="G10" t="s">
        <v>87</v>
      </c>
      <c r="H10" t="n">
        <v>43</v>
      </c>
      <c r="I10" t="s">
        <v>88</v>
      </c>
      <c r="J10" t="s">
        <v>69</v>
      </c>
      <c r="K10" t="n">
        <v>-3.75</v>
      </c>
      <c r="L10" t="n">
        <v>-0.25</v>
      </c>
      <c r="M10" t="n">
        <v>14</v>
      </c>
      <c r="N10" t="n">
        <v>-3.875</v>
      </c>
      <c r="O10" s="1" t="n">
        <v>1.09691001300806</v>
      </c>
      <c r="P10" s="1" t="n">
        <v>0.0969100130080564</v>
      </c>
      <c r="Q10" t="n">
        <v>527</v>
      </c>
      <c r="R10" t="n">
        <v>42.06</v>
      </c>
      <c r="S10" t="n">
        <v>1</v>
      </c>
      <c r="T10" t="n">
        <v>6.5</v>
      </c>
      <c r="U10" t="n">
        <v>54</v>
      </c>
      <c r="V10" t="n">
        <v>0</v>
      </c>
      <c r="W10" t="n">
        <v>187</v>
      </c>
      <c r="X10" t="n">
        <v>0</v>
      </c>
      <c r="Y10" t="n">
        <v>-0.25</v>
      </c>
      <c r="Z10" t="n">
        <v>48</v>
      </c>
      <c r="AA10" t="n">
        <v>-0.125</v>
      </c>
      <c r="AB10" s="1" t="n">
        <v>0.0969100130080564</v>
      </c>
      <c r="AC10" s="1" t="n">
        <v>0.0969100130080564</v>
      </c>
      <c r="AD10" t="n">
        <v>0</v>
      </c>
      <c r="AE10" t="n">
        <v>2</v>
      </c>
      <c r="AF10" t="s">
        <v>80</v>
      </c>
      <c r="AG10" t="s">
        <v>69</v>
      </c>
      <c r="AH10" t="s">
        <v>70</v>
      </c>
      <c r="AI10" t="s">
        <v>71</v>
      </c>
      <c r="AJ10" t="n">
        <v>23</v>
      </c>
      <c r="AK10" t="n">
        <v>0.25</v>
      </c>
      <c r="AL10" t="n">
        <v>-0.25</v>
      </c>
      <c r="AM10" t="n">
        <v>51</v>
      </c>
      <c r="AN10" t="n">
        <v>0.125</v>
      </c>
      <c r="AO10" t="n">
        <v>100</v>
      </c>
      <c r="AP10" t="n">
        <v>0.25</v>
      </c>
      <c r="AQ10" t="n">
        <v>-0.5</v>
      </c>
      <c r="AR10" t="n">
        <v>43</v>
      </c>
      <c r="AS10" t="n">
        <v>187</v>
      </c>
      <c r="AT10" t="n">
        <v>0</v>
      </c>
      <c r="AU10" t="n">
        <v>-0.25</v>
      </c>
      <c r="AV10" t="n">
        <v>48</v>
      </c>
      <c r="AW10" t="n">
        <v>-0.125</v>
      </c>
      <c r="AX10"/>
      <c r="AY10"/>
      <c r="AZ10"/>
      <c r="BA10"/>
      <c r="BB10"/>
      <c r="BC10"/>
      <c r="BD10"/>
      <c r="BE10"/>
      <c r="BF10" t="s">
        <v>86</v>
      </c>
      <c r="BG10" s="1" t="n">
        <v>0.344047176083114</v>
      </c>
      <c r="BH10" s="1" t="n">
        <v>1</v>
      </c>
      <c r="BI10" t="n">
        <v>2</v>
      </c>
      <c r="BJ10" t="s">
        <v>72</v>
      </c>
    </row>
    <row r="11">
      <c r="A11" t="s">
        <v>90</v>
      </c>
      <c r="B11" t="s">
        <v>91</v>
      </c>
      <c r="C11" t="s">
        <v>74</v>
      </c>
      <c r="D11" t="n">
        <v>1</v>
      </c>
      <c r="E11" t="s">
        <v>65</v>
      </c>
      <c r="F11" t="s">
        <v>66</v>
      </c>
      <c r="G11" t="s">
        <v>87</v>
      </c>
      <c r="H11" t="n">
        <v>45</v>
      </c>
      <c r="I11" t="s">
        <v>68</v>
      </c>
      <c r="J11" t="s">
        <v>69</v>
      </c>
      <c r="K11" t="n">
        <v>-3</v>
      </c>
      <c r="L11" t="n">
        <v>-0.5</v>
      </c>
      <c r="M11" t="n">
        <v>85</v>
      </c>
      <c r="N11" t="n">
        <v>-3.25</v>
      </c>
      <c r="O11" s="1" t="n">
        <v>1</v>
      </c>
      <c r="P11" s="1" t="n">
        <v>0</v>
      </c>
      <c r="Q11" t="n">
        <v>550</v>
      </c>
      <c r="R11" t="n">
        <v>43.15</v>
      </c>
      <c r="S11" t="n">
        <v>0</v>
      </c>
      <c r="T11" t="n">
        <v>6.7</v>
      </c>
      <c r="U11" t="n">
        <v>46</v>
      </c>
      <c r="V11" t="n">
        <v>0</v>
      </c>
      <c r="W11" t="n">
        <v>183</v>
      </c>
      <c r="X11" t="n">
        <v>0.5</v>
      </c>
      <c r="Y11" t="n">
        <v>0</v>
      </c>
      <c r="Z11" t="n">
        <v>131</v>
      </c>
      <c r="AA11" t="n">
        <v>0.5</v>
      </c>
      <c r="AB11" s="1" t="n">
        <v>-0.0969100130080564</v>
      </c>
      <c r="AC11" s="1" t="n">
        <v>-0.204119982655925</v>
      </c>
      <c r="AD11" t="n">
        <v>0</v>
      </c>
      <c r="AE11" t="n">
        <v>5</v>
      </c>
      <c r="AF11" t="s">
        <v>69</v>
      </c>
      <c r="AG11" t="s">
        <v>69</v>
      </c>
      <c r="AH11" t="s">
        <v>70</v>
      </c>
      <c r="AI11" t="s">
        <v>71</v>
      </c>
      <c r="AJ11" t="n">
        <v>27</v>
      </c>
      <c r="AK11" t="n">
        <v>1</v>
      </c>
      <c r="AL11" t="n">
        <v>0</v>
      </c>
      <c r="AM11" t="n">
        <v>157</v>
      </c>
      <c r="AN11" t="n">
        <v>1</v>
      </c>
      <c r="AO11" t="n">
        <v>94</v>
      </c>
      <c r="AP11" t="n">
        <v>1</v>
      </c>
      <c r="AQ11" t="n">
        <v>-0.25</v>
      </c>
      <c r="AR11" t="n">
        <v>116</v>
      </c>
      <c r="AS11" t="n">
        <v>183</v>
      </c>
      <c r="AT11" t="n">
        <v>0.5</v>
      </c>
      <c r="AU11" t="n">
        <v>0</v>
      </c>
      <c r="AV11" t="n">
        <v>131</v>
      </c>
      <c r="AW11" t="n">
        <v>0.5</v>
      </c>
      <c r="AX11" t="n">
        <v>390</v>
      </c>
      <c r="AY11" t="n">
        <v>0.5</v>
      </c>
      <c r="AZ11" t="n">
        <v>0</v>
      </c>
      <c r="BA11" t="n">
        <v>132</v>
      </c>
      <c r="BB11" t="n">
        <v>735</v>
      </c>
      <c r="BC11" t="n">
        <v>0.25</v>
      </c>
      <c r="BD11" t="n">
        <v>-0.25</v>
      </c>
      <c r="BE11" t="n">
        <v>103</v>
      </c>
      <c r="BF11" t="s">
        <v>65</v>
      </c>
      <c r="BG11" s="1" t="n">
        <v>-1.04078318474462</v>
      </c>
      <c r="BH11" s="1" t="n">
        <v>0.714285714285714</v>
      </c>
      <c r="BI11" t="n">
        <v>24</v>
      </c>
      <c r="BJ11" t="s">
        <v>72</v>
      </c>
    </row>
    <row r="12">
      <c r="A12" t="s">
        <v>92</v>
      </c>
      <c r="B12" t="s">
        <v>93</v>
      </c>
      <c r="C12" t="s">
        <v>74</v>
      </c>
      <c r="D12" t="n">
        <v>1</v>
      </c>
      <c r="E12" t="s">
        <v>86</v>
      </c>
      <c r="F12" t="s">
        <v>66</v>
      </c>
      <c r="G12" t="s">
        <v>94</v>
      </c>
      <c r="H12" t="n">
        <v>33</v>
      </c>
      <c r="I12" t="s">
        <v>88</v>
      </c>
      <c r="J12" t="s">
        <v>69</v>
      </c>
      <c r="K12" t="n">
        <v>-5.25</v>
      </c>
      <c r="L12" t="n">
        <v>-1.5</v>
      </c>
      <c r="M12" t="n">
        <v>98</v>
      </c>
      <c r="N12" t="n">
        <v>-6</v>
      </c>
      <c r="O12" s="1" t="n">
        <v>1.69897000433602</v>
      </c>
      <c r="P12" s="1" t="n">
        <v>0</v>
      </c>
      <c r="Q12" t="n">
        <v>549</v>
      </c>
      <c r="R12" t="n">
        <v>41.51</v>
      </c>
      <c r="S12" t="n">
        <v>1</v>
      </c>
      <c r="T12" t="n">
        <v>6.1</v>
      </c>
      <c r="U12" t="n">
        <v>80</v>
      </c>
      <c r="V12" t="n">
        <v>0</v>
      </c>
      <c r="W12" t="n">
        <v>168</v>
      </c>
      <c r="X12" t="n">
        <v>0.5</v>
      </c>
      <c r="Y12" t="n">
        <v>-0.25</v>
      </c>
      <c r="Z12" t="n">
        <v>97</v>
      </c>
      <c r="AA12" t="n">
        <v>0.375</v>
      </c>
      <c r="AB12" s="1" t="n">
        <v>0</v>
      </c>
      <c r="AC12" s="1" t="n">
        <v>0</v>
      </c>
      <c r="AD12" t="n">
        <v>1</v>
      </c>
      <c r="AE12" t="n">
        <v>4</v>
      </c>
      <c r="AF12" t="s">
        <v>80</v>
      </c>
      <c r="AG12" t="s">
        <v>69</v>
      </c>
      <c r="AH12" t="s">
        <v>70</v>
      </c>
      <c r="AI12" t="s">
        <v>95</v>
      </c>
      <c r="AJ12" t="n">
        <v>26</v>
      </c>
      <c r="AK12" t="n">
        <v>0.5</v>
      </c>
      <c r="AL12" t="n">
        <v>0.25</v>
      </c>
      <c r="AM12" t="n">
        <v>180</v>
      </c>
      <c r="AN12" t="n">
        <v>0.625</v>
      </c>
      <c r="AO12" t="n">
        <v>79</v>
      </c>
      <c r="AP12" t="n">
        <v>0.5</v>
      </c>
      <c r="AQ12" t="n">
        <v>0.25</v>
      </c>
      <c r="AR12" t="n">
        <v>172</v>
      </c>
      <c r="AS12" t="n">
        <v>168</v>
      </c>
      <c r="AT12" t="n">
        <v>0.25</v>
      </c>
      <c r="AU12" t="n">
        <v>0.25</v>
      </c>
      <c r="AV12" t="n">
        <v>7</v>
      </c>
      <c r="AW12" t="n">
        <v>0.375</v>
      </c>
      <c r="AX12" t="n">
        <v>371</v>
      </c>
      <c r="AY12" t="n">
        <v>0</v>
      </c>
      <c r="AZ12" t="n">
        <v>0.25</v>
      </c>
      <c r="BA12" t="n">
        <v>16</v>
      </c>
      <c r="BB12" t="n">
        <v>775</v>
      </c>
      <c r="BC12" t="n">
        <v>0</v>
      </c>
      <c r="BD12" t="n">
        <v>0.25</v>
      </c>
      <c r="BE12" t="n">
        <v>21</v>
      </c>
      <c r="BF12" t="s">
        <v>86</v>
      </c>
      <c r="BG12" s="1" t="n">
        <v>-1.25119610832641</v>
      </c>
      <c r="BH12" s="1" t="n">
        <v>1</v>
      </c>
      <c r="BI12" t="n">
        <v>3</v>
      </c>
      <c r="BJ12" t="s">
        <v>72</v>
      </c>
    </row>
    <row r="13">
      <c r="A13" t="s">
        <v>96</v>
      </c>
      <c r="B13" t="s">
        <v>97</v>
      </c>
      <c r="C13" t="s">
        <v>64</v>
      </c>
      <c r="D13" t="n">
        <v>1</v>
      </c>
      <c r="E13" t="s">
        <v>86</v>
      </c>
      <c r="F13" t="s">
        <v>66</v>
      </c>
      <c r="G13" t="s">
        <v>87</v>
      </c>
      <c r="H13" t="n">
        <v>39</v>
      </c>
      <c r="I13" t="s">
        <v>68</v>
      </c>
      <c r="J13" t="s">
        <v>69</v>
      </c>
      <c r="K13" t="n">
        <v>-2.5</v>
      </c>
      <c r="L13" t="n">
        <v>-1.75</v>
      </c>
      <c r="M13" t="n">
        <v>4</v>
      </c>
      <c r="N13" t="n">
        <v>-3.375</v>
      </c>
      <c r="O13" s="1" t="n">
        <v>1.09691001300806</v>
      </c>
      <c r="P13" s="1" t="n">
        <v>0</v>
      </c>
      <c r="Q13" t="n">
        <v>500</v>
      </c>
      <c r="R13" t="n">
        <v>41.08</v>
      </c>
      <c r="S13" t="n">
        <v>1</v>
      </c>
      <c r="T13" t="n">
        <v>6.5</v>
      </c>
      <c r="U13" t="n">
        <v>59</v>
      </c>
      <c r="V13" t="n">
        <v>0</v>
      </c>
      <c r="W13" t="n">
        <v>204</v>
      </c>
      <c r="X13" t="n">
        <v>0</v>
      </c>
      <c r="Y13" t="n">
        <v>-0.25</v>
      </c>
      <c r="Z13" t="n">
        <v>87</v>
      </c>
      <c r="AA13" t="n">
        <v>-0.125</v>
      </c>
      <c r="AB13" s="1" t="n">
        <v>-0.204119982655925</v>
      </c>
      <c r="AC13" s="1" t="n">
        <v>-0.204119982655925</v>
      </c>
      <c r="AD13" t="n">
        <v>0</v>
      </c>
      <c r="AE13" t="n">
        <v>5</v>
      </c>
      <c r="AF13" t="s">
        <v>80</v>
      </c>
      <c r="AG13" t="s">
        <v>69</v>
      </c>
      <c r="AH13" t="s">
        <v>70</v>
      </c>
      <c r="AI13" t="s">
        <v>71</v>
      </c>
      <c r="AJ13" t="n">
        <v>31</v>
      </c>
      <c r="AK13" t="n">
        <v>0.25</v>
      </c>
      <c r="AL13" t="n">
        <v>-0.25</v>
      </c>
      <c r="AM13" t="n">
        <v>94</v>
      </c>
      <c r="AN13" t="n">
        <v>0.125</v>
      </c>
      <c r="AO13" t="n">
        <v>102</v>
      </c>
      <c r="AP13" t="n">
        <v>0</v>
      </c>
      <c r="AQ13" t="n">
        <v>-0.25</v>
      </c>
      <c r="AR13" t="n">
        <v>78</v>
      </c>
      <c r="AS13" t="n">
        <v>204</v>
      </c>
      <c r="AT13" t="n">
        <v>0</v>
      </c>
      <c r="AU13" t="n">
        <v>-0.25</v>
      </c>
      <c r="AV13" t="n">
        <v>87</v>
      </c>
      <c r="AW13" t="n">
        <v>-0.125</v>
      </c>
      <c r="AX13" t="n">
        <v>368</v>
      </c>
      <c r="AY13" t="n">
        <v>-0.25</v>
      </c>
      <c r="AZ13" t="n">
        <v>-0.25</v>
      </c>
      <c r="BA13" t="n">
        <v>85</v>
      </c>
      <c r="BB13" t="n">
        <v>760</v>
      </c>
      <c r="BC13" t="n">
        <v>-0.25</v>
      </c>
      <c r="BD13" t="n">
        <v>-0.25</v>
      </c>
      <c r="BE13" t="n">
        <v>91</v>
      </c>
      <c r="BF13" t="s">
        <v>86</v>
      </c>
      <c r="BG13" s="1" t="n">
        <v>0.471741113512786</v>
      </c>
      <c r="BH13" s="1" t="n">
        <v>1</v>
      </c>
      <c r="BI13" t="n">
        <v>4</v>
      </c>
      <c r="BJ13" t="s">
        <v>72</v>
      </c>
    </row>
    <row r="14">
      <c r="A14" t="s">
        <v>96</v>
      </c>
      <c r="B14" t="s">
        <v>98</v>
      </c>
      <c r="C14" t="s">
        <v>74</v>
      </c>
      <c r="D14" t="n">
        <v>1</v>
      </c>
      <c r="E14" t="s">
        <v>86</v>
      </c>
      <c r="F14" t="s">
        <v>66</v>
      </c>
      <c r="G14" t="s">
        <v>87</v>
      </c>
      <c r="H14" t="n">
        <v>39</v>
      </c>
      <c r="I14" t="s">
        <v>68</v>
      </c>
      <c r="J14" t="s">
        <v>69</v>
      </c>
      <c r="K14" t="n">
        <v>-3.75</v>
      </c>
      <c r="L14" t="n">
        <v>-1</v>
      </c>
      <c r="M14" t="n">
        <v>2</v>
      </c>
      <c r="N14" t="n">
        <v>-4.25</v>
      </c>
      <c r="O14" s="1" t="n">
        <v>1.09691001300806</v>
      </c>
      <c r="P14" s="1" t="n">
        <v>0</v>
      </c>
      <c r="Q14" t="n">
        <v>498</v>
      </c>
      <c r="R14" t="n">
        <v>41.01</v>
      </c>
      <c r="S14" t="n">
        <v>0</v>
      </c>
      <c r="T14" t="n">
        <v>6.5</v>
      </c>
      <c r="U14" t="n">
        <v>67</v>
      </c>
      <c r="V14" t="n">
        <v>0</v>
      </c>
      <c r="W14" t="n">
        <v>178</v>
      </c>
      <c r="X14" t="n">
        <v>-0.25</v>
      </c>
      <c r="Y14" t="n">
        <v>-0.25</v>
      </c>
      <c r="Z14" t="n">
        <v>91</v>
      </c>
      <c r="AA14" t="n">
        <v>-0.375</v>
      </c>
      <c r="AB14" s="1" t="n">
        <v>0</v>
      </c>
      <c r="AC14" s="1" t="n">
        <v>-0.0969100130080564</v>
      </c>
      <c r="AD14" t="n">
        <v>0</v>
      </c>
      <c r="AE14" t="n">
        <v>5</v>
      </c>
      <c r="AF14" t="s">
        <v>69</v>
      </c>
      <c r="AG14" t="s">
        <v>69</v>
      </c>
      <c r="AH14" t="s">
        <v>70</v>
      </c>
      <c r="AI14" t="s">
        <v>71</v>
      </c>
      <c r="AJ14" t="n">
        <v>36</v>
      </c>
      <c r="AK14" t="n">
        <v>0</v>
      </c>
      <c r="AL14" t="n">
        <v>0</v>
      </c>
      <c r="AM14" t="n">
        <v>15</v>
      </c>
      <c r="AN14" t="n">
        <v>0</v>
      </c>
      <c r="AO14" t="n">
        <v>95</v>
      </c>
      <c r="AP14" t="n">
        <v>-0.25</v>
      </c>
      <c r="AQ14" t="n">
        <v>-0.25</v>
      </c>
      <c r="AR14" t="n">
        <v>80</v>
      </c>
      <c r="AS14" t="n">
        <v>178</v>
      </c>
      <c r="AT14" t="n">
        <v>-0.25</v>
      </c>
      <c r="AU14" t="n">
        <v>-0.25</v>
      </c>
      <c r="AV14" t="n">
        <v>91</v>
      </c>
      <c r="AW14" t="n">
        <v>-0.375</v>
      </c>
      <c r="AX14" t="n">
        <v>378</v>
      </c>
      <c r="AY14" t="n">
        <v>-0.5</v>
      </c>
      <c r="AZ14" t="n">
        <v>-0.25</v>
      </c>
      <c r="BA14" t="n">
        <v>102</v>
      </c>
      <c r="BB14" t="n">
        <v>750</v>
      </c>
      <c r="BC14" t="n">
        <v>-0.5</v>
      </c>
      <c r="BD14" t="n">
        <v>0</v>
      </c>
      <c r="BE14" t="n">
        <v>81</v>
      </c>
      <c r="BF14" t="s">
        <v>86</v>
      </c>
      <c r="BG14" s="1" t="n">
        <v>1.80964068433247</v>
      </c>
      <c r="BH14" s="1" t="n">
        <v>1</v>
      </c>
      <c r="BI14" t="n">
        <v>5</v>
      </c>
      <c r="BJ14" t="s">
        <v>72</v>
      </c>
    </row>
    <row r="15">
      <c r="A15" t="s">
        <v>99</v>
      </c>
      <c r="B15" t="s">
        <v>100</v>
      </c>
      <c r="C15" t="s">
        <v>64</v>
      </c>
      <c r="D15" t="n">
        <v>1</v>
      </c>
      <c r="E15" t="s">
        <v>86</v>
      </c>
      <c r="F15" t="s">
        <v>66</v>
      </c>
      <c r="G15" t="s">
        <v>94</v>
      </c>
      <c r="H15" t="n">
        <v>31</v>
      </c>
      <c r="I15" t="s">
        <v>88</v>
      </c>
      <c r="J15" t="s">
        <v>69</v>
      </c>
      <c r="K15" t="n">
        <v>-7</v>
      </c>
      <c r="L15" t="n">
        <v>-1</v>
      </c>
      <c r="M15" t="n">
        <v>177</v>
      </c>
      <c r="N15" t="n">
        <v>-7.5</v>
      </c>
      <c r="O15" s="1" t="n">
        <v>1.69897000433602</v>
      </c>
      <c r="P15" s="1" t="n">
        <v>0</v>
      </c>
      <c r="Q15" t="n">
        <v>555</v>
      </c>
      <c r="R15" t="n">
        <v>46.28</v>
      </c>
      <c r="S15" t="n">
        <v>0</v>
      </c>
      <c r="T15" t="n">
        <v>6.4</v>
      </c>
      <c r="U15" t="n">
        <v>109</v>
      </c>
      <c r="V15" t="n">
        <v>0</v>
      </c>
      <c r="W15"/>
      <c r="X15"/>
      <c r="Y15"/>
      <c r="Z15"/>
      <c r="AA15"/>
      <c r="AB15" s="1"/>
      <c r="AC15" s="1"/>
      <c r="AD15"/>
      <c r="AE15"/>
      <c r="AF15"/>
      <c r="AG15"/>
      <c r="AH15" t="s">
        <v>101</v>
      </c>
      <c r="AI15" t="s">
        <v>71</v>
      </c>
      <c r="AJ15" t="n">
        <v>36</v>
      </c>
      <c r="AK15" t="n">
        <v>0.5</v>
      </c>
      <c r="AL15" t="n">
        <v>-0.25</v>
      </c>
      <c r="AM15" t="n">
        <v>138</v>
      </c>
      <c r="AN15" t="n">
        <v>0.375</v>
      </c>
      <c r="AO15" t="n">
        <v>80</v>
      </c>
      <c r="AP15" t="n">
        <v>0</v>
      </c>
      <c r="AQ15" t="n">
        <v>0</v>
      </c>
      <c r="AR15" t="n">
        <v>37</v>
      </c>
      <c r="AS15"/>
      <c r="AT15"/>
      <c r="AU15"/>
      <c r="AV15"/>
      <c r="AW15"/>
      <c r="AX15"/>
      <c r="AY15"/>
      <c r="AZ15"/>
      <c r="BA15"/>
      <c r="BB15"/>
      <c r="BC15"/>
      <c r="BD15"/>
      <c r="BE15"/>
      <c r="BF15" t="s">
        <v>86</v>
      </c>
      <c r="BG15" s="1" t="n">
        <v>0.349494062508861</v>
      </c>
      <c r="BH15" s="1" t="n">
        <v>1</v>
      </c>
      <c r="BI15" t="n">
        <v>6</v>
      </c>
      <c r="BJ15" t="s">
        <v>72</v>
      </c>
    </row>
    <row r="16">
      <c r="A16" t="s">
        <v>102</v>
      </c>
      <c r="B16" t="s">
        <v>103</v>
      </c>
      <c r="C16" t="s">
        <v>74</v>
      </c>
      <c r="D16" t="n">
        <v>1</v>
      </c>
      <c r="E16" t="s">
        <v>65</v>
      </c>
      <c r="F16" t="s">
        <v>66</v>
      </c>
      <c r="G16" t="s">
        <v>67</v>
      </c>
      <c r="H16" t="n">
        <v>20</v>
      </c>
      <c r="I16" t="s">
        <v>68</v>
      </c>
      <c r="J16" t="s">
        <v>69</v>
      </c>
      <c r="K16" t="n">
        <v>-5.5</v>
      </c>
      <c r="L16" t="n">
        <v>-0.25</v>
      </c>
      <c r="M16" t="n">
        <v>14</v>
      </c>
      <c r="N16" t="n">
        <v>-5.625</v>
      </c>
      <c r="O16" s="1" t="n">
        <v>1.49485002168009</v>
      </c>
      <c r="P16" s="1" t="n">
        <v>0</v>
      </c>
      <c r="Q16" t="n">
        <v>510</v>
      </c>
      <c r="R16" t="n">
        <v>41.14</v>
      </c>
      <c r="S16" t="n">
        <v>1</v>
      </c>
      <c r="T16" t="n">
        <v>6.3</v>
      </c>
      <c r="U16" t="n">
        <v>74</v>
      </c>
      <c r="V16" t="n">
        <v>0</v>
      </c>
      <c r="W16" t="n">
        <v>202</v>
      </c>
      <c r="X16" t="n">
        <v>-0.25</v>
      </c>
      <c r="Y16" t="n">
        <v>-0.25</v>
      </c>
      <c r="Z16" t="n">
        <v>84</v>
      </c>
      <c r="AA16" t="n">
        <v>-0.375</v>
      </c>
      <c r="AB16" s="1" t="n">
        <v>0</v>
      </c>
      <c r="AC16" s="1" t="n">
        <v>0</v>
      </c>
      <c r="AD16" t="n">
        <v>0</v>
      </c>
      <c r="AE16" t="n">
        <v>3</v>
      </c>
      <c r="AF16" t="s">
        <v>80</v>
      </c>
      <c r="AG16" t="s">
        <v>69</v>
      </c>
      <c r="AH16" t="s">
        <v>70</v>
      </c>
      <c r="AI16" t="s">
        <v>71</v>
      </c>
      <c r="AJ16" t="n">
        <v>26</v>
      </c>
      <c r="AK16" t="n">
        <v>0.25</v>
      </c>
      <c r="AL16" t="n">
        <v>-0.5</v>
      </c>
      <c r="AM16" t="n">
        <v>81</v>
      </c>
      <c r="AN16" t="n">
        <v>0</v>
      </c>
      <c r="AO16" t="n">
        <v>85</v>
      </c>
      <c r="AP16" t="n">
        <v>-0.25</v>
      </c>
      <c r="AQ16" t="n">
        <v>-0.25</v>
      </c>
      <c r="AR16" t="n">
        <v>79</v>
      </c>
      <c r="AS16" t="n">
        <v>202</v>
      </c>
      <c r="AT16" t="n">
        <v>-0.25</v>
      </c>
      <c r="AU16" t="n">
        <v>-0.25</v>
      </c>
      <c r="AV16" t="n">
        <v>84</v>
      </c>
      <c r="AW16" t="n">
        <v>-0.375</v>
      </c>
      <c r="AX16" t="n">
        <v>357</v>
      </c>
      <c r="AY16" t="n">
        <v>-0.5</v>
      </c>
      <c r="AZ16" t="n">
        <v>-0.25</v>
      </c>
      <c r="BA16" t="n">
        <v>84</v>
      </c>
      <c r="BB16" t="n">
        <v>740</v>
      </c>
      <c r="BC16" t="n">
        <v>-0.25</v>
      </c>
      <c r="BD16" t="n">
        <v>-0.5</v>
      </c>
      <c r="BE16" t="n">
        <v>82</v>
      </c>
      <c r="BF16" t="s">
        <v>65</v>
      </c>
      <c r="BG16" s="1" t="n">
        <v>-0.624851150784548</v>
      </c>
      <c r="BH16" s="1" t="n">
        <v>0.714285714285714</v>
      </c>
      <c r="BI16" t="n">
        <v>26</v>
      </c>
      <c r="BJ16" t="s">
        <v>72</v>
      </c>
    </row>
    <row r="17">
      <c r="A17" t="s">
        <v>104</v>
      </c>
      <c r="B17" t="s">
        <v>105</v>
      </c>
      <c r="C17" t="s">
        <v>64</v>
      </c>
      <c r="D17" t="n">
        <v>1</v>
      </c>
      <c r="E17" t="s">
        <v>86</v>
      </c>
      <c r="F17" t="s">
        <v>66</v>
      </c>
      <c r="G17" t="s">
        <v>67</v>
      </c>
      <c r="H17" t="n">
        <v>44</v>
      </c>
      <c r="I17" t="s">
        <v>68</v>
      </c>
      <c r="J17" t="s">
        <v>69</v>
      </c>
      <c r="K17" t="n">
        <v>-8</v>
      </c>
      <c r="L17" t="n">
        <v>-0.75</v>
      </c>
      <c r="M17" t="n">
        <v>82</v>
      </c>
      <c r="N17" t="n">
        <v>-8.375</v>
      </c>
      <c r="O17" s="1" t="n">
        <v>1.69897000433602</v>
      </c>
      <c r="P17" s="1" t="n">
        <v>0</v>
      </c>
      <c r="Q17" t="n">
        <v>564</v>
      </c>
      <c r="R17" t="n">
        <v>42.05</v>
      </c>
      <c r="S17" t="n">
        <v>0</v>
      </c>
      <c r="T17" t="n">
        <v>6.3</v>
      </c>
      <c r="U17" t="n">
        <v>120</v>
      </c>
      <c r="V17" t="n">
        <v>0</v>
      </c>
      <c r="W17" t="n">
        <v>163</v>
      </c>
      <c r="X17" t="n">
        <v>-0.5</v>
      </c>
      <c r="Y17" t="n">
        <v>-0.25</v>
      </c>
      <c r="Z17" t="n">
        <v>121</v>
      </c>
      <c r="AA17" t="n">
        <v>-0.625</v>
      </c>
      <c r="AB17" s="1" t="n">
        <v>-0.0969100130080564</v>
      </c>
      <c r="AC17" s="1" t="n">
        <v>-0.204119982655925</v>
      </c>
      <c r="AD17" t="n">
        <v>0</v>
      </c>
      <c r="AE17" t="n">
        <v>4</v>
      </c>
      <c r="AF17" t="s">
        <v>69</v>
      </c>
      <c r="AG17" t="s">
        <v>69</v>
      </c>
      <c r="AH17" t="s">
        <v>70</v>
      </c>
      <c r="AI17" t="s">
        <v>71</v>
      </c>
      <c r="AJ17" t="n">
        <v>29</v>
      </c>
      <c r="AK17" t="n">
        <v>0</v>
      </c>
      <c r="AL17" t="n">
        <v>-0.5</v>
      </c>
      <c r="AM17" t="n">
        <v>119</v>
      </c>
      <c r="AN17" t="n">
        <v>-0.25</v>
      </c>
      <c r="AO17" t="n">
        <v>79</v>
      </c>
      <c r="AP17" t="n">
        <v>-0.5</v>
      </c>
      <c r="AQ17" t="n">
        <v>-0.25</v>
      </c>
      <c r="AR17" t="n">
        <v>105</v>
      </c>
      <c r="AS17" t="n">
        <v>163</v>
      </c>
      <c r="AT17" t="n">
        <v>-0.5</v>
      </c>
      <c r="AU17" t="n">
        <v>-0.25</v>
      </c>
      <c r="AV17" t="n">
        <v>121</v>
      </c>
      <c r="AW17" t="n">
        <v>-0.625</v>
      </c>
      <c r="AX17" t="n">
        <v>350</v>
      </c>
      <c r="AY17" t="n">
        <v>-0.75</v>
      </c>
      <c r="AZ17" t="n">
        <v>-0.5</v>
      </c>
      <c r="BA17" t="n">
        <v>129</v>
      </c>
      <c r="BB17" t="n">
        <v>766</v>
      </c>
      <c r="BC17" t="n">
        <v>-0.75</v>
      </c>
      <c r="BD17" t="n">
        <v>-0.25</v>
      </c>
      <c r="BE17" t="n">
        <v>109</v>
      </c>
      <c r="BF17" t="s">
        <v>86</v>
      </c>
      <c r="BG17" s="1" t="n">
        <v>2.68751668956125</v>
      </c>
      <c r="BH17" s="1" t="n">
        <v>1</v>
      </c>
      <c r="BI17" t="n">
        <v>7</v>
      </c>
      <c r="BJ17" t="s">
        <v>72</v>
      </c>
    </row>
    <row r="18">
      <c r="A18" t="s">
        <v>106</v>
      </c>
      <c r="B18" t="s">
        <v>107</v>
      </c>
      <c r="C18" t="s">
        <v>64</v>
      </c>
      <c r="D18" t="n">
        <v>1</v>
      </c>
      <c r="E18" t="s">
        <v>86</v>
      </c>
      <c r="F18" t="s">
        <v>66</v>
      </c>
      <c r="G18" t="s">
        <v>87</v>
      </c>
      <c r="H18" t="n">
        <v>43</v>
      </c>
      <c r="I18" t="s">
        <v>68</v>
      </c>
      <c r="J18" t="s">
        <v>69</v>
      </c>
      <c r="K18" t="n">
        <v>-1.5</v>
      </c>
      <c r="L18" t="n">
        <v>-0.5</v>
      </c>
      <c r="M18" t="n">
        <v>169</v>
      </c>
      <c r="N18" t="n">
        <v>-1.75</v>
      </c>
      <c r="O18" s="1" t="n">
        <v>0.494850021680094</v>
      </c>
      <c r="P18" s="1" t="n">
        <v>0</v>
      </c>
      <c r="Q18" t="n">
        <v>508</v>
      </c>
      <c r="R18" t="n">
        <v>43.75</v>
      </c>
      <c r="S18" t="n">
        <v>0</v>
      </c>
      <c r="T18" t="n">
        <v>6.5</v>
      </c>
      <c r="U18" t="n">
        <v>30</v>
      </c>
      <c r="V18" t="n">
        <v>0</v>
      </c>
      <c r="W18" t="n">
        <v>156</v>
      </c>
      <c r="X18" t="n">
        <v>0.25</v>
      </c>
      <c r="Y18" t="n">
        <v>-0.25</v>
      </c>
      <c r="Z18" t="n">
        <v>176</v>
      </c>
      <c r="AA18" t="n">
        <v>0.125</v>
      </c>
      <c r="AB18" s="1" t="n">
        <v>0</v>
      </c>
      <c r="AC18" s="1" t="n">
        <v>0</v>
      </c>
      <c r="AD18" t="n">
        <v>0</v>
      </c>
      <c r="AE18"/>
      <c r="AF18" t="s">
        <v>69</v>
      </c>
      <c r="AG18" t="s">
        <v>69</v>
      </c>
      <c r="AH18" t="s">
        <v>70</v>
      </c>
      <c r="AI18" t="s">
        <v>95</v>
      </c>
      <c r="AJ18" t="n">
        <v>25</v>
      </c>
      <c r="AK18" t="n">
        <v>0</v>
      </c>
      <c r="AL18" t="n">
        <v>0.25</v>
      </c>
      <c r="AM18" t="n">
        <v>92</v>
      </c>
      <c r="AN18" t="n">
        <v>0.125</v>
      </c>
      <c r="AO18" t="n">
        <v>80</v>
      </c>
      <c r="AP18" t="n">
        <v>0</v>
      </c>
      <c r="AQ18" t="n">
        <v>0.25</v>
      </c>
      <c r="AR18" t="n">
        <v>75</v>
      </c>
      <c r="AS18" t="n">
        <v>156</v>
      </c>
      <c r="AT18" t="n">
        <v>0</v>
      </c>
      <c r="AU18" t="n">
        <v>0.25</v>
      </c>
      <c r="AV18" t="n">
        <v>86</v>
      </c>
      <c r="AW18" t="n">
        <v>0.125</v>
      </c>
      <c r="AX18" t="n">
        <v>384</v>
      </c>
      <c r="AY18" t="n">
        <v>-0.25</v>
      </c>
      <c r="AZ18" t="n">
        <v>0.25</v>
      </c>
      <c r="BA18" t="n">
        <v>73</v>
      </c>
      <c r="BB18" t="n">
        <v>720</v>
      </c>
      <c r="BC18" t="n">
        <v>-0.25</v>
      </c>
      <c r="BD18" t="n">
        <v>0.25</v>
      </c>
      <c r="BE18" t="n">
        <v>85</v>
      </c>
      <c r="BF18" t="s">
        <v>86</v>
      </c>
      <c r="BG18" s="1" t="n">
        <v>0.614467700417332</v>
      </c>
      <c r="BH18" s="1" t="n">
        <v>1</v>
      </c>
      <c r="BI18" t="n">
        <v>8</v>
      </c>
      <c r="BJ18" t="s">
        <v>72</v>
      </c>
    </row>
    <row r="19">
      <c r="A19" t="s">
        <v>108</v>
      </c>
      <c r="B19" t="s">
        <v>109</v>
      </c>
      <c r="C19" t="s">
        <v>64</v>
      </c>
      <c r="D19" t="n">
        <v>1</v>
      </c>
      <c r="E19" t="s">
        <v>65</v>
      </c>
      <c r="F19" t="s">
        <v>66</v>
      </c>
      <c r="G19" t="s">
        <v>87</v>
      </c>
      <c r="H19" t="n">
        <v>44</v>
      </c>
      <c r="I19" t="s">
        <v>68</v>
      </c>
      <c r="J19" t="s">
        <v>69</v>
      </c>
      <c r="K19" t="n">
        <v>-2.5</v>
      </c>
      <c r="L19" t="n">
        <v>-1</v>
      </c>
      <c r="M19" t="n">
        <v>167</v>
      </c>
      <c r="N19" t="n">
        <v>-3</v>
      </c>
      <c r="O19" s="1" t="n">
        <v>0.795880017344075</v>
      </c>
      <c r="P19" s="1" t="n">
        <v>-0.0969100130080564</v>
      </c>
      <c r="Q19" t="n">
        <v>549</v>
      </c>
      <c r="R19" t="n">
        <v>43.67</v>
      </c>
      <c r="S19" t="n">
        <v>0</v>
      </c>
      <c r="T19" t="n">
        <v>6.6</v>
      </c>
      <c r="U19" t="n">
        <v>53</v>
      </c>
      <c r="V19" t="n">
        <v>0</v>
      </c>
      <c r="W19" t="n">
        <v>169</v>
      </c>
      <c r="X19" t="n">
        <v>0.25</v>
      </c>
      <c r="Y19" t="n">
        <v>-0.25</v>
      </c>
      <c r="Z19" t="n">
        <v>142</v>
      </c>
      <c r="AA19" t="n">
        <v>0.125</v>
      </c>
      <c r="AB19" s="1" t="n">
        <v>-0.204119982655925</v>
      </c>
      <c r="AC19" s="1" t="n">
        <v>-0.204119982655925</v>
      </c>
      <c r="AD19" t="n">
        <v>1</v>
      </c>
      <c r="AE19" t="n">
        <v>5</v>
      </c>
      <c r="AF19" t="s">
        <v>69</v>
      </c>
      <c r="AG19" t="s">
        <v>69</v>
      </c>
      <c r="AH19" t="s">
        <v>70</v>
      </c>
      <c r="AI19" t="s">
        <v>71</v>
      </c>
      <c r="AJ19" t="n">
        <v>24</v>
      </c>
      <c r="AK19" t="n">
        <v>0.75</v>
      </c>
      <c r="AL19" t="n">
        <v>-0.25</v>
      </c>
      <c r="AM19" t="n">
        <v>136</v>
      </c>
      <c r="AN19" t="n">
        <v>0.625</v>
      </c>
      <c r="AO19" t="n">
        <v>101</v>
      </c>
      <c r="AP19" t="n">
        <v>0.25</v>
      </c>
      <c r="AQ19" t="n">
        <v>-0.25</v>
      </c>
      <c r="AR19" t="n">
        <v>147</v>
      </c>
      <c r="AS19" t="n">
        <v>169</v>
      </c>
      <c r="AT19" t="n">
        <v>0.25</v>
      </c>
      <c r="AU19" t="n">
        <v>-0.25</v>
      </c>
      <c r="AV19" t="n">
        <v>142</v>
      </c>
      <c r="AW19" t="n">
        <v>0.125</v>
      </c>
      <c r="AX19"/>
      <c r="AY19"/>
      <c r="AZ19"/>
      <c r="BA19"/>
      <c r="BB19"/>
      <c r="BC19"/>
      <c r="BD19"/>
      <c r="BE19"/>
      <c r="BF19" t="s">
        <v>65</v>
      </c>
      <c r="BG19" s="1" t="n">
        <v>-0.663564237621116</v>
      </c>
      <c r="BH19" s="1" t="n">
        <v>0.714285714285714</v>
      </c>
      <c r="BI19" t="n">
        <v>29</v>
      </c>
      <c r="BJ19" t="s">
        <v>72</v>
      </c>
    </row>
    <row r="20">
      <c r="A20" t="s">
        <v>110</v>
      </c>
      <c r="B20" t="s">
        <v>111</v>
      </c>
      <c r="C20" t="s">
        <v>64</v>
      </c>
      <c r="D20" t="n">
        <v>1</v>
      </c>
      <c r="E20" t="s">
        <v>65</v>
      </c>
      <c r="F20" t="s">
        <v>66</v>
      </c>
      <c r="G20" t="s">
        <v>94</v>
      </c>
      <c r="H20" t="n">
        <v>36</v>
      </c>
      <c r="I20" t="s">
        <v>88</v>
      </c>
      <c r="J20" t="s">
        <v>69</v>
      </c>
      <c r="K20" t="n">
        <v>-6</v>
      </c>
      <c r="L20" t="n">
        <v>-0.75</v>
      </c>
      <c r="M20" t="n">
        <v>116</v>
      </c>
      <c r="N20" t="n">
        <v>-6.375</v>
      </c>
      <c r="O20" s="1" t="n">
        <v>1.69897000433602</v>
      </c>
      <c r="P20" s="1" t="n">
        <v>0.0969100130080564</v>
      </c>
      <c r="Q20" t="n">
        <v>506</v>
      </c>
      <c r="R20" t="n">
        <v>43.43</v>
      </c>
      <c r="S20" t="n">
        <v>0</v>
      </c>
      <c r="T20" t="n">
        <v>6.6</v>
      </c>
      <c r="U20" t="n">
        <v>101</v>
      </c>
      <c r="V20" t="n">
        <v>0</v>
      </c>
      <c r="W20"/>
      <c r="X20"/>
      <c r="Y20"/>
      <c r="Z20"/>
      <c r="AA20"/>
      <c r="AB20" s="1"/>
      <c r="AC20" s="1"/>
      <c r="AD20"/>
      <c r="AE20"/>
      <c r="AF20"/>
      <c r="AG20"/>
      <c r="AH20" t="s">
        <v>70</v>
      </c>
      <c r="AI20" t="s">
        <v>71</v>
      </c>
      <c r="AJ20" t="n">
        <v>27</v>
      </c>
      <c r="AK20" t="n">
        <v>0.75</v>
      </c>
      <c r="AL20" t="n">
        <v>-0.75</v>
      </c>
      <c r="AM20" t="n">
        <v>147</v>
      </c>
      <c r="AN20" t="n">
        <v>0.375</v>
      </c>
      <c r="AO20"/>
      <c r="AP20"/>
      <c r="AQ20"/>
      <c r="AR20"/>
      <c r="AS20"/>
      <c r="AT20"/>
      <c r="AU20"/>
      <c r="AV20"/>
      <c r="AW20"/>
      <c r="AX20"/>
      <c r="AY20"/>
      <c r="AZ20"/>
      <c r="BA20"/>
      <c r="BB20"/>
      <c r="BC20"/>
      <c r="BD20"/>
      <c r="BE20"/>
      <c r="BF20" t="s">
        <v>65</v>
      </c>
      <c r="BG20" s="1" t="n">
        <v>1.71852123326396</v>
      </c>
      <c r="BH20" s="1" t="n">
        <v>1.42857142857143</v>
      </c>
      <c r="BI20" t="n">
        <v>5</v>
      </c>
      <c r="BJ20" t="s">
        <v>72</v>
      </c>
    </row>
    <row r="21">
      <c r="A21" t="s">
        <v>110</v>
      </c>
      <c r="B21" t="s">
        <v>112</v>
      </c>
      <c r="C21" t="s">
        <v>74</v>
      </c>
      <c r="D21" t="n">
        <v>1</v>
      </c>
      <c r="E21" t="s">
        <v>65</v>
      </c>
      <c r="F21" t="s">
        <v>66</v>
      </c>
      <c r="G21" t="s">
        <v>94</v>
      </c>
      <c r="H21" t="n">
        <v>36</v>
      </c>
      <c r="I21" t="s">
        <v>88</v>
      </c>
      <c r="J21" t="s">
        <v>69</v>
      </c>
      <c r="K21" t="n">
        <v>-4</v>
      </c>
      <c r="L21" t="n">
        <v>-1</v>
      </c>
      <c r="M21" t="n">
        <v>59</v>
      </c>
      <c r="N21" t="n">
        <v>-4.5</v>
      </c>
      <c r="O21" s="1" t="n">
        <v>1.39794000867204</v>
      </c>
      <c r="P21" s="1" t="n">
        <v>0</v>
      </c>
      <c r="Q21" t="n">
        <v>500</v>
      </c>
      <c r="R21" t="n">
        <v>43.63</v>
      </c>
      <c r="S21" t="n">
        <v>0</v>
      </c>
      <c r="T21" t="n">
        <v>6.6</v>
      </c>
      <c r="U21" t="n">
        <v>75</v>
      </c>
      <c r="V21" t="n">
        <v>0</v>
      </c>
      <c r="W21"/>
      <c r="X21"/>
      <c r="Y21"/>
      <c r="Z21"/>
      <c r="AA21"/>
      <c r="AB21" s="1"/>
      <c r="AC21" s="1"/>
      <c r="AD21"/>
      <c r="AE21"/>
      <c r="AF21"/>
      <c r="AG21"/>
      <c r="AH21" t="s">
        <v>70</v>
      </c>
      <c r="AI21" t="s">
        <v>71</v>
      </c>
      <c r="AJ21" t="n">
        <v>34</v>
      </c>
      <c r="AK21" t="n">
        <v>0.5</v>
      </c>
      <c r="AL21" t="n">
        <v>-0.25</v>
      </c>
      <c r="AM21" t="n">
        <v>68</v>
      </c>
      <c r="AN21" t="n">
        <v>0.375</v>
      </c>
      <c r="AO21"/>
      <c r="AP21"/>
      <c r="AQ21"/>
      <c r="AR21"/>
      <c r="AS21"/>
      <c r="AT21"/>
      <c r="AU21"/>
      <c r="AV21"/>
      <c r="AW21"/>
      <c r="AX21"/>
      <c r="AY21"/>
      <c r="AZ21"/>
      <c r="BA21"/>
      <c r="BB21"/>
      <c r="BC21"/>
      <c r="BD21"/>
      <c r="BE21"/>
      <c r="BF21" t="s">
        <v>65</v>
      </c>
      <c r="BG21" s="1" t="n">
        <v>0.531773120068312</v>
      </c>
      <c r="BH21" s="1" t="n">
        <v>1.42857142857143</v>
      </c>
      <c r="BI21" t="n">
        <v>31</v>
      </c>
      <c r="BJ21" t="s">
        <v>72</v>
      </c>
    </row>
    <row r="22">
      <c r="A22" t="s">
        <v>113</v>
      </c>
      <c r="B22" t="s">
        <v>114</v>
      </c>
      <c r="C22" t="s">
        <v>64</v>
      </c>
      <c r="D22" t="n">
        <v>1</v>
      </c>
      <c r="E22" t="s">
        <v>65</v>
      </c>
      <c r="F22" t="s">
        <v>66</v>
      </c>
      <c r="G22" t="s">
        <v>67</v>
      </c>
      <c r="H22" t="n">
        <v>21</v>
      </c>
      <c r="I22" t="s">
        <v>88</v>
      </c>
      <c r="J22"/>
      <c r="K22" t="n">
        <v>-3</v>
      </c>
      <c r="L22" t="n">
        <v>-1</v>
      </c>
      <c r="M22" t="n">
        <v>101</v>
      </c>
      <c r="N22" t="n">
        <v>-3.5</v>
      </c>
      <c r="O22" s="1" t="n">
        <v>1.09691001300806</v>
      </c>
      <c r="P22" s="1" t="n">
        <v>0</v>
      </c>
      <c r="Q22" t="n">
        <v>500</v>
      </c>
      <c r="R22" t="n">
        <v>43.75</v>
      </c>
      <c r="S22" t="n">
        <v>0</v>
      </c>
      <c r="T22" t="n">
        <v>6.5</v>
      </c>
      <c r="U22" t="n">
        <v>61</v>
      </c>
      <c r="V22" t="n">
        <v>0</v>
      </c>
      <c r="W22" t="n">
        <v>185</v>
      </c>
      <c r="X22" t="n">
        <v>0</v>
      </c>
      <c r="Y22" t="n">
        <v>0</v>
      </c>
      <c r="Z22" t="n">
        <v>58</v>
      </c>
      <c r="AA22" t="n">
        <v>0</v>
      </c>
      <c r="AB22" s="1" t="n">
        <v>-0.0969100130080564</v>
      </c>
      <c r="AC22" s="1" t="n">
        <v>-0.0969100130080564</v>
      </c>
      <c r="AD22" t="n">
        <v>0</v>
      </c>
      <c r="AE22" t="n">
        <v>5</v>
      </c>
      <c r="AF22" t="s">
        <v>69</v>
      </c>
      <c r="AG22" t="s">
        <v>69</v>
      </c>
      <c r="AH22" t="s">
        <v>70</v>
      </c>
      <c r="AI22" t="s">
        <v>95</v>
      </c>
      <c r="AJ22" t="n">
        <v>23</v>
      </c>
      <c r="AK22" t="n">
        <v>0.5</v>
      </c>
      <c r="AL22" t="n">
        <v>0</v>
      </c>
      <c r="AM22" t="n">
        <v>43</v>
      </c>
      <c r="AN22" t="n">
        <v>0.5</v>
      </c>
      <c r="AO22" t="n">
        <v>101</v>
      </c>
      <c r="AP22" t="n">
        <v>0</v>
      </c>
      <c r="AQ22" t="n">
        <v>0.25</v>
      </c>
      <c r="AR22" t="n">
        <v>27</v>
      </c>
      <c r="AS22" t="n">
        <v>185</v>
      </c>
      <c r="AT22" t="n">
        <v>0</v>
      </c>
      <c r="AU22" t="n">
        <v>0</v>
      </c>
      <c r="AV22" t="n">
        <v>58</v>
      </c>
      <c r="AW22" t="n">
        <v>0</v>
      </c>
      <c r="AX22" t="n">
        <v>395</v>
      </c>
      <c r="AY22" t="n">
        <v>0</v>
      </c>
      <c r="AZ22" t="n">
        <v>0.25</v>
      </c>
      <c r="BA22" t="n">
        <v>78</v>
      </c>
      <c r="BB22" t="n">
        <v>699</v>
      </c>
      <c r="BC22" t="n">
        <v>0</v>
      </c>
      <c r="BD22" t="n">
        <v>0.25</v>
      </c>
      <c r="BE22" t="n">
        <v>70</v>
      </c>
      <c r="BF22" t="s">
        <v>65</v>
      </c>
      <c r="BG22" s="1" t="n">
        <v>-1.47394129809364</v>
      </c>
      <c r="BH22" s="1" t="n">
        <v>0.714285714285714</v>
      </c>
      <c r="BI22" t="n">
        <v>18</v>
      </c>
      <c r="BJ22" t="s">
        <v>72</v>
      </c>
    </row>
    <row r="23">
      <c r="A23" t="s">
        <v>113</v>
      </c>
      <c r="B23" t="s">
        <v>115</v>
      </c>
      <c r="C23" t="s">
        <v>74</v>
      </c>
      <c r="D23" t="n">
        <v>1</v>
      </c>
      <c r="E23" t="s">
        <v>65</v>
      </c>
      <c r="F23" t="s">
        <v>66</v>
      </c>
      <c r="G23" t="s">
        <v>67</v>
      </c>
      <c r="H23" t="n">
        <v>21</v>
      </c>
      <c r="I23" t="s">
        <v>88</v>
      </c>
      <c r="J23"/>
      <c r="K23" t="n">
        <v>-2.75</v>
      </c>
      <c r="L23" t="n">
        <v>-1</v>
      </c>
      <c r="M23" t="n">
        <v>83</v>
      </c>
      <c r="N23" t="n">
        <v>-3.25</v>
      </c>
      <c r="O23" s="1" t="n">
        <v>0.795880017344075</v>
      </c>
      <c r="P23" s="1" t="n">
        <v>-0.0969100130080564</v>
      </c>
      <c r="Q23" t="n">
        <v>508</v>
      </c>
      <c r="R23" t="n">
        <v>43.75</v>
      </c>
      <c r="S23" t="n">
        <v>0</v>
      </c>
      <c r="T23" t="n">
        <v>6.5</v>
      </c>
      <c r="U23" t="n">
        <v>53</v>
      </c>
      <c r="V23" t="n">
        <v>0</v>
      </c>
      <c r="W23" t="n">
        <v>173</v>
      </c>
      <c r="X23" t="n">
        <v>0.25</v>
      </c>
      <c r="Y23" t="n">
        <v>-0.25</v>
      </c>
      <c r="Z23" t="n">
        <v>165</v>
      </c>
      <c r="AA23" t="n">
        <v>0.125</v>
      </c>
      <c r="AB23" s="1"/>
      <c r="AC23" s="1" t="n">
        <v>-0.204119982655925</v>
      </c>
      <c r="AD23" t="n">
        <v>0</v>
      </c>
      <c r="AE23" t="n">
        <v>5</v>
      </c>
      <c r="AF23" t="s">
        <v>69</v>
      </c>
      <c r="AG23" t="s">
        <v>69</v>
      </c>
      <c r="AH23" t="s">
        <v>70</v>
      </c>
      <c r="AI23" t="s">
        <v>71</v>
      </c>
      <c r="AJ23" t="n">
        <v>29</v>
      </c>
      <c r="AK23" t="n">
        <v>0.75</v>
      </c>
      <c r="AL23" t="n">
        <v>-0.25</v>
      </c>
      <c r="AM23" t="n">
        <v>159</v>
      </c>
      <c r="AN23" t="n">
        <v>0.625</v>
      </c>
      <c r="AO23" t="n">
        <v>95</v>
      </c>
      <c r="AP23" t="n">
        <v>0.25</v>
      </c>
      <c r="AQ23" t="n">
        <v>0</v>
      </c>
      <c r="AR23" t="n">
        <v>42</v>
      </c>
      <c r="AS23" t="n">
        <v>173</v>
      </c>
      <c r="AT23" t="n">
        <v>0.25</v>
      </c>
      <c r="AU23" t="n">
        <v>-0.25</v>
      </c>
      <c r="AV23" t="n">
        <v>165</v>
      </c>
      <c r="AW23" t="n">
        <v>0.125</v>
      </c>
      <c r="AX23" t="n">
        <v>352</v>
      </c>
      <c r="AY23" t="n">
        <v>0.25</v>
      </c>
      <c r="AZ23" t="n">
        <v>0</v>
      </c>
      <c r="BA23" t="n">
        <v>143</v>
      </c>
      <c r="BB23" t="n">
        <v>758</v>
      </c>
      <c r="BC23" t="n">
        <v>0.5</v>
      </c>
      <c r="BD23" t="n">
        <v>-0.25</v>
      </c>
      <c r="BE23" t="n">
        <v>171</v>
      </c>
      <c r="BF23" t="s">
        <v>65</v>
      </c>
      <c r="BG23" s="1" t="n">
        <v>-1.03456307460196</v>
      </c>
      <c r="BH23" s="1" t="n">
        <v>0.714285714285714</v>
      </c>
      <c r="BI23" t="n">
        <v>15</v>
      </c>
      <c r="BJ23" t="s">
        <v>72</v>
      </c>
    </row>
    <row r="24">
      <c r="A24" t="s">
        <v>116</v>
      </c>
      <c r="B24" t="s">
        <v>117</v>
      </c>
      <c r="C24" t="s">
        <v>64</v>
      </c>
      <c r="D24" t="n">
        <v>1</v>
      </c>
      <c r="E24" t="s">
        <v>65</v>
      </c>
      <c r="F24" t="s">
        <v>66</v>
      </c>
      <c r="G24" t="s">
        <v>94</v>
      </c>
      <c r="H24" t="n">
        <v>37</v>
      </c>
      <c r="I24" t="s">
        <v>88</v>
      </c>
      <c r="J24" t="s">
        <v>69</v>
      </c>
      <c r="K24" t="n">
        <v>-2.25</v>
      </c>
      <c r="L24" t="n">
        <v>-1</v>
      </c>
      <c r="M24" t="n">
        <v>170</v>
      </c>
      <c r="N24" t="n">
        <v>-2.75</v>
      </c>
      <c r="O24" s="1" t="n">
        <v>0.795880017344075</v>
      </c>
      <c r="P24" s="1" t="n">
        <v>-0.0969100130080564</v>
      </c>
      <c r="Q24" t="n">
        <v>532</v>
      </c>
      <c r="R24" t="n">
        <v>46.5</v>
      </c>
      <c r="S24" t="n">
        <v>0</v>
      </c>
      <c r="T24" t="n">
        <v>6.3</v>
      </c>
      <c r="U24" t="n">
        <v>42</v>
      </c>
      <c r="V24" t="n">
        <v>0</v>
      </c>
      <c r="W24" t="n">
        <v>174</v>
      </c>
      <c r="X24" t="n">
        <v>0.25</v>
      </c>
      <c r="Y24" t="n">
        <v>-0.25</v>
      </c>
      <c r="Z24" t="n">
        <v>70</v>
      </c>
      <c r="AA24" t="n">
        <v>0.125</v>
      </c>
      <c r="AB24" s="1" t="n">
        <v>-0.0969100130080564</v>
      </c>
      <c r="AC24" s="1" t="n">
        <v>-0.0969100130080564</v>
      </c>
      <c r="AD24" t="n">
        <v>0</v>
      </c>
      <c r="AE24" t="n">
        <v>3</v>
      </c>
      <c r="AF24" t="s">
        <v>69</v>
      </c>
      <c r="AG24" t="s">
        <v>69</v>
      </c>
      <c r="AH24" t="s">
        <v>70</v>
      </c>
      <c r="AI24" t="s">
        <v>71</v>
      </c>
      <c r="AJ24" t="n">
        <v>25</v>
      </c>
      <c r="AK24" t="n">
        <v>0.75</v>
      </c>
      <c r="AL24" t="n">
        <v>-0.25</v>
      </c>
      <c r="AM24" t="n">
        <v>89</v>
      </c>
      <c r="AN24" t="n">
        <v>0.625</v>
      </c>
      <c r="AO24" t="n">
        <v>100</v>
      </c>
      <c r="AP24" t="n">
        <v>0.5</v>
      </c>
      <c r="AQ24" t="n">
        <v>-0.5</v>
      </c>
      <c r="AR24" t="n">
        <v>69</v>
      </c>
      <c r="AS24" t="n">
        <v>174</v>
      </c>
      <c r="AT24" t="n">
        <v>0.25</v>
      </c>
      <c r="AU24" t="n">
        <v>-0.25</v>
      </c>
      <c r="AV24" t="n">
        <v>70</v>
      </c>
      <c r="AW24" t="n">
        <v>0.125</v>
      </c>
      <c r="AX24" t="n">
        <v>394</v>
      </c>
      <c r="AY24" t="n">
        <v>0</v>
      </c>
      <c r="AZ24" t="n">
        <v>-0.25</v>
      </c>
      <c r="BA24" t="n">
        <v>65</v>
      </c>
      <c r="BB24" t="n">
        <v>773</v>
      </c>
      <c r="BC24" t="n">
        <v>0.25</v>
      </c>
      <c r="BD24" t="n">
        <v>-0.25</v>
      </c>
      <c r="BE24" t="n">
        <v>57</v>
      </c>
      <c r="BF24" t="s">
        <v>65</v>
      </c>
      <c r="BG24" s="1" t="n">
        <v>-1.01979759798246</v>
      </c>
      <c r="BH24" s="1" t="n">
        <v>1.42857142857143</v>
      </c>
      <c r="BI24" t="n">
        <v>30</v>
      </c>
      <c r="BJ24" t="s">
        <v>72</v>
      </c>
    </row>
    <row r="25">
      <c r="A25" t="s">
        <v>116</v>
      </c>
      <c r="B25" t="s">
        <v>118</v>
      </c>
      <c r="C25" t="s">
        <v>74</v>
      </c>
      <c r="D25" t="n">
        <v>1</v>
      </c>
      <c r="E25" t="s">
        <v>65</v>
      </c>
      <c r="F25" t="s">
        <v>66</v>
      </c>
      <c r="G25" t="s">
        <v>94</v>
      </c>
      <c r="H25" t="n">
        <v>37</v>
      </c>
      <c r="I25" t="s">
        <v>88</v>
      </c>
      <c r="J25" t="s">
        <v>69</v>
      </c>
      <c r="K25" t="n">
        <v>-2</v>
      </c>
      <c r="L25" t="n">
        <v>-1.25</v>
      </c>
      <c r="M25" t="n">
        <v>170</v>
      </c>
      <c r="N25" t="n">
        <v>-2.625</v>
      </c>
      <c r="O25" s="1" t="n">
        <v>0.698970004336019</v>
      </c>
      <c r="P25" s="1" t="n">
        <v>0</v>
      </c>
      <c r="Q25" t="n">
        <v>542</v>
      </c>
      <c r="R25" t="n">
        <v>46.27</v>
      </c>
      <c r="S25" t="n">
        <v>0</v>
      </c>
      <c r="T25" t="n">
        <v>6.3</v>
      </c>
      <c r="U25" t="n">
        <v>42</v>
      </c>
      <c r="V25" t="n">
        <v>0</v>
      </c>
      <c r="W25" t="n">
        <v>193</v>
      </c>
      <c r="X25" t="n">
        <v>0.25</v>
      </c>
      <c r="Y25" t="n">
        <v>-0.25</v>
      </c>
      <c r="Z25" t="n">
        <v>108</v>
      </c>
      <c r="AA25" t="n">
        <v>0.125</v>
      </c>
      <c r="AB25" s="1" t="n">
        <v>0</v>
      </c>
      <c r="AC25" s="1" t="n">
        <v>0</v>
      </c>
      <c r="AD25" t="n">
        <v>0</v>
      </c>
      <c r="AE25" t="n">
        <v>4</v>
      </c>
      <c r="AF25" t="s">
        <v>69</v>
      </c>
      <c r="AG25" t="s">
        <v>69</v>
      </c>
      <c r="AH25" t="s">
        <v>70</v>
      </c>
      <c r="AI25" t="s">
        <v>95</v>
      </c>
      <c r="AJ25" t="n">
        <v>26</v>
      </c>
      <c r="AK25" t="n">
        <v>0.5</v>
      </c>
      <c r="AL25" t="n">
        <v>0.25</v>
      </c>
      <c r="AM25" t="n">
        <v>19</v>
      </c>
      <c r="AN25" t="n">
        <v>0.625</v>
      </c>
      <c r="AO25" t="n">
        <v>80</v>
      </c>
      <c r="AP25" t="n">
        <v>0.25</v>
      </c>
      <c r="AQ25" t="n">
        <v>0.25</v>
      </c>
      <c r="AR25" t="n">
        <v>24</v>
      </c>
      <c r="AS25" t="n">
        <v>193</v>
      </c>
      <c r="AT25" t="n">
        <v>0</v>
      </c>
      <c r="AU25" t="n">
        <v>0.25</v>
      </c>
      <c r="AV25" t="n">
        <v>18</v>
      </c>
      <c r="AW25" t="n">
        <v>0.125</v>
      </c>
      <c r="AX25" t="n">
        <v>364</v>
      </c>
      <c r="AY25" t="n">
        <v>-0.25</v>
      </c>
      <c r="AZ25" t="n">
        <v>0.25</v>
      </c>
      <c r="BA25" t="n">
        <v>17</v>
      </c>
      <c r="BB25" t="n">
        <v>730</v>
      </c>
      <c r="BC25" t="n">
        <v>0</v>
      </c>
      <c r="BD25" t="n">
        <v>0.25</v>
      </c>
      <c r="BE25" t="n">
        <v>12</v>
      </c>
      <c r="BF25" t="s">
        <v>65</v>
      </c>
      <c r="BG25" s="1" t="n">
        <v>-1.30132796624715</v>
      </c>
      <c r="BH25" s="1" t="n">
        <v>0.714285714285714</v>
      </c>
      <c r="BI25" t="n">
        <v>16</v>
      </c>
      <c r="BJ25" t="s">
        <v>72</v>
      </c>
    </row>
    <row r="26">
      <c r="A26" t="s">
        <v>119</v>
      </c>
      <c r="B26" t="s">
        <v>120</v>
      </c>
      <c r="C26" t="s">
        <v>74</v>
      </c>
      <c r="D26" t="n">
        <v>1</v>
      </c>
      <c r="E26" t="s">
        <v>65</v>
      </c>
      <c r="F26" t="s">
        <v>66</v>
      </c>
      <c r="G26" t="s">
        <v>94</v>
      </c>
      <c r="H26" t="n">
        <v>24</v>
      </c>
      <c r="I26" t="s">
        <v>88</v>
      </c>
      <c r="J26" t="s">
        <v>69</v>
      </c>
      <c r="K26" t="n">
        <v>-4</v>
      </c>
      <c r="L26" t="n">
        <v>-0.5</v>
      </c>
      <c r="M26" t="n">
        <v>11</v>
      </c>
      <c r="N26" t="n">
        <v>-4.25</v>
      </c>
      <c r="O26" s="1" t="n">
        <v>1</v>
      </c>
      <c r="P26" s="1" t="n">
        <v>-0.0969100130080564</v>
      </c>
      <c r="Q26" t="n">
        <v>540</v>
      </c>
      <c r="R26" t="n">
        <v>44.05</v>
      </c>
      <c r="S26" t="n">
        <v>0</v>
      </c>
      <c r="T26" t="n">
        <v>6.3</v>
      </c>
      <c r="U26" t="n">
        <v>61</v>
      </c>
      <c r="V26" t="n">
        <v>0</v>
      </c>
      <c r="W26" t="n">
        <v>177</v>
      </c>
      <c r="X26" t="n">
        <v>0</v>
      </c>
      <c r="Y26" t="n">
        <v>0</v>
      </c>
      <c r="Z26" t="n">
        <v>111</v>
      </c>
      <c r="AA26" t="n">
        <v>0</v>
      </c>
      <c r="AB26" s="1" t="n">
        <v>-0.204119982655925</v>
      </c>
      <c r="AC26" s="1" t="n">
        <v>-0.204119982655925</v>
      </c>
      <c r="AD26" t="n">
        <v>2</v>
      </c>
      <c r="AE26" t="n">
        <v>5</v>
      </c>
      <c r="AF26" t="s">
        <v>69</v>
      </c>
      <c r="AG26" t="s">
        <v>69</v>
      </c>
      <c r="AH26" t="s">
        <v>101</v>
      </c>
      <c r="AI26" t="s">
        <v>71</v>
      </c>
      <c r="AJ26" t="n">
        <v>36</v>
      </c>
      <c r="AK26" t="n">
        <v>0.5</v>
      </c>
      <c r="AL26" t="n">
        <v>-0.25</v>
      </c>
      <c r="AM26" t="n">
        <v>130</v>
      </c>
      <c r="AN26" t="n">
        <v>0.375</v>
      </c>
      <c r="AO26" t="n">
        <v>97</v>
      </c>
      <c r="AP26" t="n">
        <v>0</v>
      </c>
      <c r="AQ26" t="n">
        <v>0</v>
      </c>
      <c r="AR26" t="n">
        <v>96</v>
      </c>
      <c r="AS26" t="n">
        <v>177</v>
      </c>
      <c r="AT26" t="n">
        <v>0</v>
      </c>
      <c r="AU26" t="n">
        <v>0</v>
      </c>
      <c r="AV26" t="n">
        <v>111</v>
      </c>
      <c r="AW26" t="n">
        <v>0</v>
      </c>
      <c r="AX26" t="n">
        <v>337</v>
      </c>
      <c r="AY26" t="n">
        <v>-0.25</v>
      </c>
      <c r="AZ26" t="n">
        <v>0</v>
      </c>
      <c r="BA26" t="n">
        <v>131</v>
      </c>
      <c r="BB26" t="n">
        <v>754</v>
      </c>
      <c r="BC26" t="n">
        <v>0</v>
      </c>
      <c r="BD26" t="n">
        <v>-0.25</v>
      </c>
      <c r="BE26" t="n">
        <v>135</v>
      </c>
      <c r="BF26" t="s">
        <v>65</v>
      </c>
      <c r="BG26" s="1" t="n">
        <v>-1.61466358284254</v>
      </c>
      <c r="BH26" s="1" t="n">
        <v>0.714285714285714</v>
      </c>
      <c r="BI26" t="n">
        <v>18</v>
      </c>
      <c r="BJ26" t="s">
        <v>72</v>
      </c>
    </row>
    <row r="27">
      <c r="A27" t="s">
        <v>121</v>
      </c>
      <c r="B27" t="s">
        <v>122</v>
      </c>
      <c r="C27" t="s">
        <v>64</v>
      </c>
      <c r="D27" t="n">
        <v>1</v>
      </c>
      <c r="E27" t="s">
        <v>65</v>
      </c>
      <c r="F27" t="s">
        <v>66</v>
      </c>
      <c r="G27" t="s">
        <v>87</v>
      </c>
      <c r="H27" t="n">
        <v>34</v>
      </c>
      <c r="I27" t="s">
        <v>88</v>
      </c>
      <c r="J27" t="s">
        <v>69</v>
      </c>
      <c r="K27" t="n">
        <v>-4</v>
      </c>
      <c r="L27" t="n">
        <v>-2.5</v>
      </c>
      <c r="M27" t="n">
        <v>173</v>
      </c>
      <c r="N27" t="n">
        <v>-5.25</v>
      </c>
      <c r="O27" s="1" t="n">
        <v>1.60205999132796</v>
      </c>
      <c r="P27" s="1" t="n">
        <v>0</v>
      </c>
      <c r="Q27" t="n">
        <v>536</v>
      </c>
      <c r="R27" t="n">
        <v>44.59</v>
      </c>
      <c r="S27" t="n">
        <v>0</v>
      </c>
      <c r="T27" t="n">
        <v>6.3</v>
      </c>
      <c r="U27" t="n">
        <v>87</v>
      </c>
      <c r="V27" t="n">
        <v>0</v>
      </c>
      <c r="W27" t="n">
        <v>182</v>
      </c>
      <c r="X27" t="n">
        <v>0</v>
      </c>
      <c r="Y27" t="n">
        <v>-0.25</v>
      </c>
      <c r="Z27" t="n">
        <v>156</v>
      </c>
      <c r="AA27" t="n">
        <v>-0.125</v>
      </c>
      <c r="AB27" s="1" t="n">
        <v>0</v>
      </c>
      <c r="AC27" s="1" t="n">
        <v>0</v>
      </c>
      <c r="AD27" t="n">
        <v>0</v>
      </c>
      <c r="AE27"/>
      <c r="AF27" t="s">
        <v>69</v>
      </c>
      <c r="AG27" t="s">
        <v>69</v>
      </c>
      <c r="AH27" t="s">
        <v>70</v>
      </c>
      <c r="AI27" t="s">
        <v>95</v>
      </c>
      <c r="AJ27" t="n">
        <v>36</v>
      </c>
      <c r="AK27" t="n">
        <v>0</v>
      </c>
      <c r="AL27" t="n">
        <v>0.25</v>
      </c>
      <c r="AM27" t="n">
        <v>66</v>
      </c>
      <c r="AN27" t="n">
        <v>0.125</v>
      </c>
      <c r="AO27" t="n">
        <v>78</v>
      </c>
      <c r="AP27" t="n">
        <v>0.25</v>
      </c>
      <c r="AQ27" t="n">
        <v>0.25</v>
      </c>
      <c r="AR27" t="n">
        <v>57</v>
      </c>
      <c r="AS27" t="n">
        <v>182</v>
      </c>
      <c r="AT27" t="n">
        <v>-0.25</v>
      </c>
      <c r="AU27" t="n">
        <v>0.25</v>
      </c>
      <c r="AV27" t="n">
        <v>66</v>
      </c>
      <c r="AW27" t="n">
        <v>-0.125</v>
      </c>
      <c r="AX27" t="n">
        <v>365</v>
      </c>
      <c r="AY27" t="n">
        <v>-0.25</v>
      </c>
      <c r="AZ27" t="n">
        <v>0.25</v>
      </c>
      <c r="BA27" t="n">
        <v>58</v>
      </c>
      <c r="BB27" t="n">
        <v>737</v>
      </c>
      <c r="BC27" t="n">
        <v>-0.5</v>
      </c>
      <c r="BD27" t="n">
        <v>0.5</v>
      </c>
      <c r="BE27" t="n">
        <v>73</v>
      </c>
      <c r="BF27" t="s">
        <v>65</v>
      </c>
      <c r="BG27" s="1" t="n">
        <v>-1.18646633667212</v>
      </c>
      <c r="BH27" s="1" t="n">
        <v>0.714285714285714</v>
      </c>
      <c r="BI27" t="n">
        <v>42</v>
      </c>
      <c r="BJ27" t="s">
        <v>72</v>
      </c>
    </row>
    <row r="28">
      <c r="A28" t="s">
        <v>123</v>
      </c>
      <c r="B28" t="s">
        <v>124</v>
      </c>
      <c r="C28" t="s">
        <v>64</v>
      </c>
      <c r="D28" t="n">
        <v>1</v>
      </c>
      <c r="E28" t="s">
        <v>65</v>
      </c>
      <c r="F28" t="s">
        <v>66</v>
      </c>
      <c r="G28" t="s">
        <v>94</v>
      </c>
      <c r="H28" t="n">
        <v>41</v>
      </c>
      <c r="I28" t="s">
        <v>68</v>
      </c>
      <c r="J28" t="s">
        <v>69</v>
      </c>
      <c r="K28" t="n">
        <v>-8</v>
      </c>
      <c r="L28" t="n">
        <v>-1.25</v>
      </c>
      <c r="M28" t="n">
        <v>44</v>
      </c>
      <c r="N28" t="n">
        <v>-8.625</v>
      </c>
      <c r="O28" s="1" t="n">
        <v>1.69897000433602</v>
      </c>
      <c r="P28" s="1" t="n">
        <v>0.0969100130080564</v>
      </c>
      <c r="Q28" t="n">
        <v>547</v>
      </c>
      <c r="R28" t="n">
        <v>42.47</v>
      </c>
      <c r="S28" t="n">
        <v>0</v>
      </c>
      <c r="T28" t="n">
        <v>6.2</v>
      </c>
      <c r="U28" t="n">
        <v>119</v>
      </c>
      <c r="V28" t="n">
        <v>0</v>
      </c>
      <c r="W28" t="n">
        <v>176</v>
      </c>
      <c r="X28" t="n">
        <v>0.75</v>
      </c>
      <c r="Y28" t="n">
        <v>-0.5</v>
      </c>
      <c r="Z28" t="n">
        <v>4</v>
      </c>
      <c r="AA28" t="n">
        <v>0.5</v>
      </c>
      <c r="AB28" s="1" t="n">
        <v>0.0969100130080564</v>
      </c>
      <c r="AC28" s="1" t="n">
        <v>0.0969100130080564</v>
      </c>
      <c r="AD28" t="n">
        <v>0</v>
      </c>
      <c r="AE28" t="n">
        <v>4</v>
      </c>
      <c r="AF28" t="s">
        <v>69</v>
      </c>
      <c r="AG28" t="s">
        <v>69</v>
      </c>
      <c r="AH28" t="s">
        <v>70</v>
      </c>
      <c r="AI28" t="s">
        <v>71</v>
      </c>
      <c r="AJ28" t="n">
        <v>35</v>
      </c>
      <c r="AK28" t="n">
        <v>1</v>
      </c>
      <c r="AL28" t="n">
        <v>-0.75</v>
      </c>
      <c r="AM28" t="n">
        <v>7</v>
      </c>
      <c r="AN28" t="n">
        <v>0.625</v>
      </c>
      <c r="AO28" t="n">
        <v>77</v>
      </c>
      <c r="AP28" t="n">
        <v>1</v>
      </c>
      <c r="AQ28" t="n">
        <v>-0.75</v>
      </c>
      <c r="AR28" t="n">
        <v>5</v>
      </c>
      <c r="AS28" t="n">
        <v>176</v>
      </c>
      <c r="AT28" t="n">
        <v>0.75</v>
      </c>
      <c r="AU28" t="n">
        <v>-0.5</v>
      </c>
      <c r="AV28" t="n">
        <v>4</v>
      </c>
      <c r="AW28" t="n">
        <v>0.5</v>
      </c>
      <c r="AX28"/>
      <c r="AY28"/>
      <c r="AZ28"/>
      <c r="BA28"/>
      <c r="BB28"/>
      <c r="BC28"/>
      <c r="BD28"/>
      <c r="BE28"/>
      <c r="BF28" t="s">
        <v>65</v>
      </c>
      <c r="BG28" s="1" t="n">
        <v>3.51217706696219</v>
      </c>
      <c r="BH28" s="1" t="n">
        <v>1.42857142857143</v>
      </c>
      <c r="BI28" t="n">
        <v>17</v>
      </c>
      <c r="BJ28" t="s">
        <v>72</v>
      </c>
    </row>
    <row r="29">
      <c r="A29" t="s">
        <v>123</v>
      </c>
      <c r="B29" t="s">
        <v>125</v>
      </c>
      <c r="C29" t="s">
        <v>74</v>
      </c>
      <c r="D29" t="n">
        <v>1</v>
      </c>
      <c r="E29" t="s">
        <v>65</v>
      </c>
      <c r="F29" t="s">
        <v>66</v>
      </c>
      <c r="G29" t="s">
        <v>94</v>
      </c>
      <c r="H29" t="n">
        <v>41</v>
      </c>
      <c r="I29" t="s">
        <v>68</v>
      </c>
      <c r="J29" t="s">
        <v>69</v>
      </c>
      <c r="K29" t="n">
        <v>-7.5</v>
      </c>
      <c r="L29" t="n">
        <v>-0.5</v>
      </c>
      <c r="M29" t="n">
        <v>142</v>
      </c>
      <c r="N29" t="n">
        <v>-7.75</v>
      </c>
      <c r="O29" s="1" t="n">
        <v>1.69897000433602</v>
      </c>
      <c r="P29" s="1" t="n">
        <v>0.0969100130080564</v>
      </c>
      <c r="Q29" t="n">
        <v>553</v>
      </c>
      <c r="R29" t="n">
        <v>42.3</v>
      </c>
      <c r="S29" t="n">
        <v>2</v>
      </c>
      <c r="T29" t="n">
        <v>6.2</v>
      </c>
      <c r="U29" t="n">
        <v>106</v>
      </c>
      <c r="V29" t="n">
        <v>0</v>
      </c>
      <c r="W29" t="n">
        <v>190</v>
      </c>
      <c r="X29" t="n">
        <v>0</v>
      </c>
      <c r="Y29" t="n">
        <v>-0.25</v>
      </c>
      <c r="Z29" t="n">
        <v>175</v>
      </c>
      <c r="AA29" t="n">
        <v>-0.125</v>
      </c>
      <c r="AB29" s="1" t="n">
        <v>0.0969100130080564</v>
      </c>
      <c r="AC29" s="1" t="n">
        <v>0.0969100130080564</v>
      </c>
      <c r="AD29" t="n">
        <v>0</v>
      </c>
      <c r="AE29" t="n">
        <v>5</v>
      </c>
      <c r="AF29" t="s">
        <v>69</v>
      </c>
      <c r="AG29" t="s">
        <v>69</v>
      </c>
      <c r="AH29" t="s">
        <v>70</v>
      </c>
      <c r="AI29" t="s">
        <v>71</v>
      </c>
      <c r="AJ29" t="n">
        <v>30</v>
      </c>
      <c r="AK29" t="n">
        <v>0.5</v>
      </c>
      <c r="AL29" t="n">
        <v>-0.5</v>
      </c>
      <c r="AM29" t="n">
        <v>175</v>
      </c>
      <c r="AN29" t="n">
        <v>0.25</v>
      </c>
      <c r="AO29" t="n">
        <v>100</v>
      </c>
      <c r="AP29" t="n">
        <v>0.25</v>
      </c>
      <c r="AQ29" t="n">
        <v>-0.25</v>
      </c>
      <c r="AR29" t="n">
        <v>3</v>
      </c>
      <c r="AS29" t="n">
        <v>190</v>
      </c>
      <c r="AT29" t="n">
        <v>0</v>
      </c>
      <c r="AU29" t="n">
        <v>-0.25</v>
      </c>
      <c r="AV29" t="n">
        <v>175</v>
      </c>
      <c r="AW29" t="n">
        <v>-0.125</v>
      </c>
      <c r="AX29"/>
      <c r="AY29"/>
      <c r="AZ29"/>
      <c r="BA29"/>
      <c r="BB29"/>
      <c r="BC29"/>
      <c r="BD29"/>
      <c r="BE29"/>
      <c r="BF29" t="s">
        <v>65</v>
      </c>
      <c r="BG29" s="1" t="n">
        <v>1.98041265537333</v>
      </c>
      <c r="BH29" s="1" t="n">
        <v>1.42857142857143</v>
      </c>
      <c r="BI29" t="n">
        <v>12</v>
      </c>
      <c r="BJ29" t="s">
        <v>72</v>
      </c>
    </row>
    <row r="30">
      <c r="A30" t="s">
        <v>126</v>
      </c>
      <c r="B30" t="s">
        <v>127</v>
      </c>
      <c r="C30" t="s">
        <v>64</v>
      </c>
      <c r="D30" t="n">
        <v>1</v>
      </c>
      <c r="E30" t="s">
        <v>86</v>
      </c>
      <c r="F30" t="s">
        <v>66</v>
      </c>
      <c r="G30" t="s">
        <v>67</v>
      </c>
      <c r="H30" t="n">
        <v>36</v>
      </c>
      <c r="I30" t="s">
        <v>88</v>
      </c>
      <c r="J30"/>
      <c r="K30" t="n">
        <v>-5.5</v>
      </c>
      <c r="L30" t="n">
        <v>-0.5</v>
      </c>
      <c r="M30" t="n">
        <v>13</v>
      </c>
      <c r="N30" t="n">
        <v>-5.75</v>
      </c>
      <c r="O30" s="1" t="n">
        <v>1.49485002168009</v>
      </c>
      <c r="P30" s="1" t="n">
        <v>0</v>
      </c>
      <c r="Q30" t="n">
        <v>527</v>
      </c>
      <c r="R30" t="n">
        <v>42.57</v>
      </c>
      <c r="S30" t="n">
        <v>1</v>
      </c>
      <c r="T30" t="n">
        <v>6.4</v>
      </c>
      <c r="U30" t="n">
        <v>84</v>
      </c>
      <c r="V30" t="n">
        <v>0</v>
      </c>
      <c r="W30" t="n">
        <v>157</v>
      </c>
      <c r="X30" t="n">
        <v>0</v>
      </c>
      <c r="Y30" t="n">
        <v>-0.25</v>
      </c>
      <c r="Z30" t="n">
        <v>163</v>
      </c>
      <c r="AA30" t="n">
        <v>-0.125</v>
      </c>
      <c r="AB30" s="1" t="n">
        <v>0</v>
      </c>
      <c r="AC30" s="1" t="n">
        <v>0</v>
      </c>
      <c r="AD30" t="n">
        <v>1</v>
      </c>
      <c r="AE30" t="n">
        <v>4</v>
      </c>
      <c r="AF30" t="s">
        <v>80</v>
      </c>
      <c r="AG30" t="s">
        <v>69</v>
      </c>
      <c r="AH30" t="s">
        <v>70</v>
      </c>
      <c r="AI30" t="s">
        <v>71</v>
      </c>
      <c r="AJ30" t="n">
        <v>35</v>
      </c>
      <c r="AK30" t="n">
        <v>0.25</v>
      </c>
      <c r="AL30" t="n">
        <v>-0.25</v>
      </c>
      <c r="AM30" t="n">
        <v>176</v>
      </c>
      <c r="AN30" t="n">
        <v>0.125</v>
      </c>
      <c r="AO30" t="n">
        <v>85</v>
      </c>
      <c r="AP30" t="n">
        <v>0</v>
      </c>
      <c r="AQ30" t="n">
        <v>-0.25</v>
      </c>
      <c r="AR30" t="n">
        <v>155</v>
      </c>
      <c r="AS30" t="n">
        <v>157</v>
      </c>
      <c r="AT30" t="n">
        <v>0</v>
      </c>
      <c r="AU30" t="n">
        <v>-0.25</v>
      </c>
      <c r="AV30" t="n">
        <v>163</v>
      </c>
      <c r="AW30" t="n">
        <v>-0.125</v>
      </c>
      <c r="AX30" t="n">
        <v>363</v>
      </c>
      <c r="AY30" t="n">
        <v>-0.25</v>
      </c>
      <c r="AZ30" t="n">
        <v>-0.25</v>
      </c>
      <c r="BA30" t="n">
        <v>164</v>
      </c>
      <c r="BB30" t="n">
        <v>775</v>
      </c>
      <c r="BC30" t="n">
        <v>-0.5</v>
      </c>
      <c r="BD30" t="n">
        <v>-0.25</v>
      </c>
      <c r="BE30" t="n">
        <v>165</v>
      </c>
      <c r="BF30" t="s">
        <v>86</v>
      </c>
      <c r="BG30" s="1" t="n">
        <v>0.615582904634649</v>
      </c>
      <c r="BH30" s="1" t="n">
        <v>1</v>
      </c>
      <c r="BI30" t="n">
        <v>9</v>
      </c>
      <c r="BJ30" t="s">
        <v>72</v>
      </c>
    </row>
    <row r="31">
      <c r="A31" t="s">
        <v>128</v>
      </c>
      <c r="B31" t="s">
        <v>129</v>
      </c>
      <c r="C31" t="s">
        <v>64</v>
      </c>
      <c r="D31" t="n">
        <v>1</v>
      </c>
      <c r="E31" t="s">
        <v>65</v>
      </c>
      <c r="F31" t="s">
        <v>66</v>
      </c>
      <c r="G31" t="s">
        <v>87</v>
      </c>
      <c r="H31" t="n">
        <v>24</v>
      </c>
      <c r="I31" t="s">
        <v>88</v>
      </c>
      <c r="J31" t="s">
        <v>69</v>
      </c>
      <c r="K31" t="n">
        <v>-0.75</v>
      </c>
      <c r="L31" t="n">
        <v>-0.5</v>
      </c>
      <c r="M31" t="n">
        <v>11</v>
      </c>
      <c r="N31" t="n">
        <v>-1</v>
      </c>
      <c r="O31" s="1" t="n">
        <v>0.200659450546418</v>
      </c>
      <c r="P31" s="1" t="n">
        <v>0</v>
      </c>
      <c r="Q31" t="n">
        <v>507</v>
      </c>
      <c r="R31" t="n">
        <v>43.9</v>
      </c>
      <c r="S31" t="n">
        <v>0</v>
      </c>
      <c r="T31" t="n">
        <v>6.5</v>
      </c>
      <c r="U31" t="n">
        <v>15</v>
      </c>
      <c r="V31" t="n">
        <v>0</v>
      </c>
      <c r="W31" t="n">
        <v>190</v>
      </c>
      <c r="X31" t="n">
        <v>0.25</v>
      </c>
      <c r="Y31" t="n">
        <v>-0.25</v>
      </c>
      <c r="Z31" t="n">
        <v>120</v>
      </c>
      <c r="AA31" t="n">
        <v>0.125</v>
      </c>
      <c r="AB31" s="1" t="n">
        <v>0</v>
      </c>
      <c r="AC31" s="1" t="n">
        <v>-0.0969100130080564</v>
      </c>
      <c r="AD31" t="n">
        <v>0</v>
      </c>
      <c r="AE31" t="n">
        <v>5</v>
      </c>
      <c r="AF31" t="s">
        <v>69</v>
      </c>
      <c r="AG31" t="s">
        <v>69</v>
      </c>
      <c r="AH31" t="s">
        <v>70</v>
      </c>
      <c r="AI31" t="s">
        <v>71</v>
      </c>
      <c r="AJ31" t="n">
        <v>29</v>
      </c>
      <c r="AK31" t="n">
        <v>0.5</v>
      </c>
      <c r="AL31" t="n">
        <v>-0.25</v>
      </c>
      <c r="AM31" t="n">
        <v>119</v>
      </c>
      <c r="AN31" t="n">
        <v>0.375</v>
      </c>
      <c r="AO31" t="n">
        <v>94</v>
      </c>
      <c r="AP31" t="n">
        <v>0.25</v>
      </c>
      <c r="AQ31" t="n">
        <v>-0.25</v>
      </c>
      <c r="AR31" t="n">
        <v>118</v>
      </c>
      <c r="AS31" t="n">
        <v>190</v>
      </c>
      <c r="AT31" t="n">
        <v>0.25</v>
      </c>
      <c r="AU31" t="n">
        <v>-0.25</v>
      </c>
      <c r="AV31" t="n">
        <v>120</v>
      </c>
      <c r="AW31" t="n">
        <v>0.125</v>
      </c>
      <c r="AX31"/>
      <c r="AY31"/>
      <c r="AZ31"/>
      <c r="BA31"/>
      <c r="BB31"/>
      <c r="BC31"/>
      <c r="BD31"/>
      <c r="BE31"/>
      <c r="BF31" t="s">
        <v>65</v>
      </c>
      <c r="BG31" s="1" t="n">
        <v>-1.48683574798691</v>
      </c>
      <c r="BH31" s="1" t="n">
        <v>0.714285714285714</v>
      </c>
      <c r="BI31" t="n">
        <v>19</v>
      </c>
      <c r="BJ31" t="s">
        <v>72</v>
      </c>
    </row>
    <row r="32">
      <c r="A32" t="s">
        <v>130</v>
      </c>
      <c r="B32" t="s">
        <v>131</v>
      </c>
      <c r="C32" t="s">
        <v>74</v>
      </c>
      <c r="D32" t="n">
        <v>1</v>
      </c>
      <c r="E32" t="s">
        <v>65</v>
      </c>
      <c r="F32" t="s">
        <v>66</v>
      </c>
      <c r="G32" t="s">
        <v>67</v>
      </c>
      <c r="H32" t="n">
        <v>42</v>
      </c>
      <c r="I32" t="s">
        <v>68</v>
      </c>
      <c r="J32" t="s">
        <v>69</v>
      </c>
      <c r="K32" t="n">
        <v>-0.25</v>
      </c>
      <c r="L32" t="n">
        <v>-2.25</v>
      </c>
      <c r="M32" t="n">
        <v>152</v>
      </c>
      <c r="N32" t="n">
        <v>-1.375</v>
      </c>
      <c r="O32" s="1" t="n">
        <v>0.602059991327962</v>
      </c>
      <c r="P32" s="1" t="n">
        <v>0</v>
      </c>
      <c r="Q32" t="n">
        <v>532</v>
      </c>
      <c r="R32" t="n">
        <v>44.49</v>
      </c>
      <c r="S32" t="n">
        <v>0</v>
      </c>
      <c r="T32" t="n">
        <v>6.8</v>
      </c>
      <c r="U32" t="n">
        <v>36</v>
      </c>
      <c r="V32" t="n">
        <v>0</v>
      </c>
      <c r="W32" t="n">
        <v>197</v>
      </c>
      <c r="X32" t="n">
        <v>0</v>
      </c>
      <c r="Y32" t="n">
        <v>-0.25</v>
      </c>
      <c r="Z32" t="n">
        <v>172</v>
      </c>
      <c r="AA32" t="n">
        <v>-0.125</v>
      </c>
      <c r="AB32" s="1" t="n">
        <v>0</v>
      </c>
      <c r="AC32" s="1" t="n">
        <v>0</v>
      </c>
      <c r="AD32" t="n">
        <v>0</v>
      </c>
      <c r="AE32" t="n">
        <v>5</v>
      </c>
      <c r="AF32" t="s">
        <v>69</v>
      </c>
      <c r="AG32" t="s">
        <v>69</v>
      </c>
      <c r="AH32" t="s">
        <v>70</v>
      </c>
      <c r="AI32" t="s">
        <v>71</v>
      </c>
      <c r="AJ32" t="n">
        <v>28</v>
      </c>
      <c r="AK32" t="n">
        <v>0</v>
      </c>
      <c r="AL32" t="n">
        <v>-0.25</v>
      </c>
      <c r="AM32" t="n">
        <v>5</v>
      </c>
      <c r="AN32" t="n">
        <v>-0.125</v>
      </c>
      <c r="AO32" t="n">
        <v>97</v>
      </c>
      <c r="AP32" t="n">
        <v>0</v>
      </c>
      <c r="AQ32" t="n">
        <v>0</v>
      </c>
      <c r="AR32" t="n">
        <v>159</v>
      </c>
      <c r="AS32" t="n">
        <v>197</v>
      </c>
      <c r="AT32" t="n">
        <v>0</v>
      </c>
      <c r="AU32" t="n">
        <v>-0.25</v>
      </c>
      <c r="AV32" t="n">
        <v>172</v>
      </c>
      <c r="AW32" t="n">
        <v>-0.125</v>
      </c>
      <c r="AX32" t="n">
        <v>390</v>
      </c>
      <c r="AY32" t="n">
        <v>0</v>
      </c>
      <c r="AZ32" t="n">
        <v>-0.25</v>
      </c>
      <c r="BA32" t="n">
        <v>2</v>
      </c>
      <c r="BB32" t="n">
        <v>691</v>
      </c>
      <c r="BC32" t="n">
        <v>0.25</v>
      </c>
      <c r="BD32" t="n">
        <v>-0.25</v>
      </c>
      <c r="BE32" t="n">
        <v>14</v>
      </c>
      <c r="BF32" t="s">
        <v>65</v>
      </c>
      <c r="BG32" s="1" t="n">
        <v>-1.61935125933327</v>
      </c>
      <c r="BH32" s="1" t="n">
        <v>0.714285714285714</v>
      </c>
      <c r="BI32" t="n">
        <v>25</v>
      </c>
      <c r="BJ32" t="s">
        <v>72</v>
      </c>
    </row>
    <row r="33">
      <c r="A33" t="s">
        <v>132</v>
      </c>
      <c r="B33" t="s">
        <v>133</v>
      </c>
      <c r="C33" t="s">
        <v>74</v>
      </c>
      <c r="D33" t="n">
        <v>1</v>
      </c>
      <c r="E33" t="s">
        <v>86</v>
      </c>
      <c r="F33" t="s">
        <v>66</v>
      </c>
      <c r="G33" t="s">
        <v>94</v>
      </c>
      <c r="H33" t="n">
        <v>38</v>
      </c>
      <c r="I33" t="s">
        <v>88</v>
      </c>
      <c r="J33" t="s">
        <v>69</v>
      </c>
      <c r="K33" t="n">
        <v>-1.75</v>
      </c>
      <c r="L33" t="n">
        <v>-0.75</v>
      </c>
      <c r="M33" t="n">
        <v>49</v>
      </c>
      <c r="N33" t="n">
        <v>-2.125</v>
      </c>
      <c r="O33" s="1" t="n">
        <v>0.602059991327962</v>
      </c>
      <c r="P33" s="1" t="n">
        <v>0</v>
      </c>
      <c r="Q33" t="n">
        <v>515</v>
      </c>
      <c r="R33" t="n">
        <v>43.06</v>
      </c>
      <c r="S33" t="n">
        <v>0</v>
      </c>
      <c r="T33" t="n">
        <v>6.6</v>
      </c>
      <c r="U33" t="n">
        <v>38</v>
      </c>
      <c r="V33" t="n">
        <v>0</v>
      </c>
      <c r="W33" t="n">
        <v>204</v>
      </c>
      <c r="X33" t="n">
        <v>0</v>
      </c>
      <c r="Y33" t="n">
        <v>-0.25</v>
      </c>
      <c r="Z33" t="n">
        <v>28</v>
      </c>
      <c r="AA33" t="n">
        <v>-0.125</v>
      </c>
      <c r="AB33" s="1" t="n">
        <v>-0.0969100130080564</v>
      </c>
      <c r="AC33" s="1" t="n">
        <v>-0.0969100130080564</v>
      </c>
      <c r="AD33" t="n">
        <v>0</v>
      </c>
      <c r="AE33" t="n">
        <v>4</v>
      </c>
      <c r="AF33" t="s">
        <v>69</v>
      </c>
      <c r="AG33" t="s">
        <v>69</v>
      </c>
      <c r="AH33" t="s">
        <v>70</v>
      </c>
      <c r="AI33" t="s">
        <v>71</v>
      </c>
      <c r="AJ33" t="n">
        <v>35</v>
      </c>
      <c r="AK33" t="n">
        <v>0.5</v>
      </c>
      <c r="AL33" t="n">
        <v>-0.25</v>
      </c>
      <c r="AM33" t="n">
        <v>21</v>
      </c>
      <c r="AN33" t="n">
        <v>0.375</v>
      </c>
      <c r="AO33" t="n">
        <v>88</v>
      </c>
      <c r="AP33" t="n">
        <v>0</v>
      </c>
      <c r="AQ33" t="n">
        <v>-0.25</v>
      </c>
      <c r="AR33" t="n">
        <v>29</v>
      </c>
      <c r="AS33" t="n">
        <v>204</v>
      </c>
      <c r="AT33" t="n">
        <v>0</v>
      </c>
      <c r="AU33" t="n">
        <v>-0.25</v>
      </c>
      <c r="AV33" t="n">
        <v>28</v>
      </c>
      <c r="AW33" t="n">
        <v>-0.125</v>
      </c>
      <c r="AX33" t="n">
        <v>388</v>
      </c>
      <c r="AY33" t="n">
        <v>-0.25</v>
      </c>
      <c r="AZ33" t="n">
        <v>-0.25</v>
      </c>
      <c r="BA33" t="n">
        <v>35</v>
      </c>
      <c r="BB33" t="n">
        <v>703</v>
      </c>
      <c r="BC33" t="n">
        <v>-0.25</v>
      </c>
      <c r="BD33" t="n">
        <v>-0.25</v>
      </c>
      <c r="BE33" t="n">
        <v>15</v>
      </c>
      <c r="BF33" t="s">
        <v>86</v>
      </c>
      <c r="BG33" s="1" t="n">
        <v>-0.203509208919266</v>
      </c>
      <c r="BH33" s="1" t="n">
        <v>1</v>
      </c>
      <c r="BI33" t="n">
        <v>10</v>
      </c>
      <c r="BJ33" t="s">
        <v>72</v>
      </c>
    </row>
    <row r="34">
      <c r="A34" t="s">
        <v>134</v>
      </c>
      <c r="B34" t="s">
        <v>135</v>
      </c>
      <c r="C34" t="s">
        <v>64</v>
      </c>
      <c r="D34" t="n">
        <v>1</v>
      </c>
      <c r="E34" t="s">
        <v>65</v>
      </c>
      <c r="F34" t="s">
        <v>66</v>
      </c>
      <c r="G34" t="s">
        <v>67</v>
      </c>
      <c r="H34" t="n">
        <v>36</v>
      </c>
      <c r="I34" t="s">
        <v>88</v>
      </c>
      <c r="J34" t="s">
        <v>69</v>
      </c>
      <c r="K34" t="n">
        <v>-4</v>
      </c>
      <c r="L34" t="n">
        <v>-1</v>
      </c>
      <c r="M34" t="n">
        <v>21</v>
      </c>
      <c r="N34" t="n">
        <v>-4.5</v>
      </c>
      <c r="O34" s="1" t="n">
        <v>1.20065945054642</v>
      </c>
      <c r="P34" s="1" t="n">
        <v>0</v>
      </c>
      <c r="Q34" t="n">
        <v>542</v>
      </c>
      <c r="R34" t="n">
        <v>43.42</v>
      </c>
      <c r="S34" t="n">
        <v>0</v>
      </c>
      <c r="T34" t="n">
        <v>6.5</v>
      </c>
      <c r="U34" t="n">
        <v>71</v>
      </c>
      <c r="V34" t="n">
        <v>0</v>
      </c>
      <c r="W34" t="n">
        <v>196</v>
      </c>
      <c r="X34" t="n">
        <v>0.5</v>
      </c>
      <c r="Y34" t="n">
        <v>-0.5</v>
      </c>
      <c r="Z34" t="n">
        <v>156</v>
      </c>
      <c r="AA34" t="n">
        <v>0.25</v>
      </c>
      <c r="AB34" s="1" t="n">
        <v>-0.0969100130080564</v>
      </c>
      <c r="AC34" s="1" t="n">
        <v>-0.0969100130080564</v>
      </c>
      <c r="AD34" t="n">
        <v>1</v>
      </c>
      <c r="AE34" t="n">
        <v>5</v>
      </c>
      <c r="AF34" t="s">
        <v>69</v>
      </c>
      <c r="AG34" t="s">
        <v>69</v>
      </c>
      <c r="AH34" t="s">
        <v>70</v>
      </c>
      <c r="AI34" t="s">
        <v>71</v>
      </c>
      <c r="AJ34" t="n">
        <v>29</v>
      </c>
      <c r="AK34" t="n">
        <v>0.75</v>
      </c>
      <c r="AL34" t="n">
        <v>-0.25</v>
      </c>
      <c r="AM34" t="n">
        <v>162</v>
      </c>
      <c r="AN34" t="n">
        <v>0.625</v>
      </c>
      <c r="AO34" t="n">
        <v>86</v>
      </c>
      <c r="AP34" t="n">
        <v>0.75</v>
      </c>
      <c r="AQ34" t="n">
        <v>-0.5</v>
      </c>
      <c r="AR34" t="n">
        <v>151</v>
      </c>
      <c r="AS34" t="n">
        <v>196</v>
      </c>
      <c r="AT34" t="n">
        <v>0.5</v>
      </c>
      <c r="AU34" t="n">
        <v>-0.5</v>
      </c>
      <c r="AV34" t="n">
        <v>156</v>
      </c>
      <c r="AW34" t="n">
        <v>0.25</v>
      </c>
      <c r="AX34" t="n">
        <v>374</v>
      </c>
      <c r="AY34" t="n">
        <v>0</v>
      </c>
      <c r="AZ34" t="n">
        <v>-0.5</v>
      </c>
      <c r="BA34" t="n">
        <v>156</v>
      </c>
      <c r="BB34" t="n">
        <v>771</v>
      </c>
      <c r="BC34" t="n">
        <v>0.25</v>
      </c>
      <c r="BD34" t="n">
        <v>-0.25</v>
      </c>
      <c r="BE34" t="n">
        <v>160</v>
      </c>
      <c r="BF34" t="s">
        <v>65</v>
      </c>
      <c r="BG34" s="1" t="n">
        <v>-0.72939814676222</v>
      </c>
      <c r="BH34" s="1" t="n">
        <v>0.714285714285714</v>
      </c>
      <c r="BI34" t="n">
        <v>29</v>
      </c>
      <c r="BJ34" t="s">
        <v>72</v>
      </c>
    </row>
    <row r="35">
      <c r="A35" t="s">
        <v>136</v>
      </c>
      <c r="B35" t="s">
        <v>137</v>
      </c>
      <c r="C35" t="s">
        <v>74</v>
      </c>
      <c r="D35" t="n">
        <v>1</v>
      </c>
      <c r="E35" t="s">
        <v>65</v>
      </c>
      <c r="F35" t="s">
        <v>66</v>
      </c>
      <c r="G35" t="s">
        <v>87</v>
      </c>
      <c r="H35" t="n">
        <v>36</v>
      </c>
      <c r="I35" t="s">
        <v>68</v>
      </c>
      <c r="J35" t="s">
        <v>69</v>
      </c>
      <c r="K35" t="n">
        <v>-4</v>
      </c>
      <c r="L35" t="n">
        <v>-0.75</v>
      </c>
      <c r="M35" t="n">
        <v>171</v>
      </c>
      <c r="N35" t="n">
        <v>-4.375</v>
      </c>
      <c r="O35" s="1" t="n">
        <v>1.09691001300806</v>
      </c>
      <c r="P35" s="1" t="n">
        <v>-0.0969100130080564</v>
      </c>
      <c r="Q35" t="n">
        <v>551</v>
      </c>
      <c r="R35" t="n">
        <v>42.31</v>
      </c>
      <c r="S35" t="n">
        <v>1</v>
      </c>
      <c r="T35" t="n">
        <v>6.5</v>
      </c>
      <c r="U35" t="n">
        <v>70</v>
      </c>
      <c r="V35" t="n">
        <v>0</v>
      </c>
      <c r="W35" t="n">
        <v>201</v>
      </c>
      <c r="X35" t="n">
        <v>0</v>
      </c>
      <c r="Y35" t="n">
        <v>-0.25</v>
      </c>
      <c r="Z35" t="n">
        <v>2</v>
      </c>
      <c r="AA35" t="n">
        <v>-0.125</v>
      </c>
      <c r="AB35" s="1" t="n">
        <v>-0.0969100130080564</v>
      </c>
      <c r="AC35" s="1" t="n">
        <v>-0.0969100130080564</v>
      </c>
      <c r="AD35" t="n">
        <v>0</v>
      </c>
      <c r="AE35" t="n">
        <v>5</v>
      </c>
      <c r="AF35" t="s">
        <v>69</v>
      </c>
      <c r="AG35" t="s">
        <v>69</v>
      </c>
      <c r="AH35" t="s">
        <v>70</v>
      </c>
      <c r="AI35" t="s">
        <v>71</v>
      </c>
      <c r="AJ35" t="n">
        <v>33</v>
      </c>
      <c r="AK35" t="n">
        <v>0.5</v>
      </c>
      <c r="AL35" t="n">
        <v>-0.25</v>
      </c>
      <c r="AM35" t="n">
        <v>5</v>
      </c>
      <c r="AN35" t="n">
        <v>0.375</v>
      </c>
      <c r="AO35" t="n">
        <v>84</v>
      </c>
      <c r="AP35" t="n">
        <v>0.25</v>
      </c>
      <c r="AQ35" t="n">
        <v>-0.25</v>
      </c>
      <c r="AR35" t="n">
        <v>178</v>
      </c>
      <c r="AS35" t="n">
        <v>201</v>
      </c>
      <c r="AT35" t="n">
        <v>0</v>
      </c>
      <c r="AU35" t="n">
        <v>-0.25</v>
      </c>
      <c r="AV35" t="n">
        <v>2</v>
      </c>
      <c r="AW35" t="n">
        <v>-0.125</v>
      </c>
      <c r="AX35"/>
      <c r="AY35"/>
      <c r="AZ35"/>
      <c r="BA35"/>
      <c r="BB35"/>
      <c r="BC35"/>
      <c r="BD35"/>
      <c r="BE35"/>
      <c r="BF35" t="s">
        <v>65</v>
      </c>
      <c r="BG35" s="1" t="n">
        <v>-0.935614673217936</v>
      </c>
      <c r="BH35" s="1" t="n">
        <v>0.714285714285714</v>
      </c>
      <c r="BI35" t="n">
        <v>24</v>
      </c>
      <c r="BJ35" t="s">
        <v>72</v>
      </c>
    </row>
    <row r="36">
      <c r="A36" t="s">
        <v>138</v>
      </c>
      <c r="B36" t="s">
        <v>139</v>
      </c>
      <c r="C36" t="s">
        <v>74</v>
      </c>
      <c r="D36" t="n">
        <v>1</v>
      </c>
      <c r="E36" t="s">
        <v>86</v>
      </c>
      <c r="F36" t="s">
        <v>66</v>
      </c>
      <c r="G36" t="s">
        <v>87</v>
      </c>
      <c r="H36" t="n">
        <v>38</v>
      </c>
      <c r="I36" t="s">
        <v>88</v>
      </c>
      <c r="J36" t="s">
        <v>69</v>
      </c>
      <c r="K36" t="n">
        <v>-4.25</v>
      </c>
      <c r="L36" t="n">
        <v>-1</v>
      </c>
      <c r="M36" t="n">
        <v>166</v>
      </c>
      <c r="N36" t="n">
        <v>-4.75</v>
      </c>
      <c r="O36" s="1" t="n">
        <v>1.30102999566398</v>
      </c>
      <c r="P36" s="1" t="n">
        <v>0</v>
      </c>
      <c r="Q36" t="n">
        <v>503</v>
      </c>
      <c r="R36" t="n">
        <v>42.02</v>
      </c>
      <c r="S36" t="n">
        <v>0</v>
      </c>
      <c r="T36" t="n">
        <v>6.5</v>
      </c>
      <c r="U36" t="n">
        <v>79</v>
      </c>
      <c r="V36" t="n">
        <v>0</v>
      </c>
      <c r="W36" t="n">
        <v>155</v>
      </c>
      <c r="X36" t="n">
        <v>-0.5</v>
      </c>
      <c r="Y36" t="n">
        <v>-0.25</v>
      </c>
      <c r="Z36" t="n">
        <v>121</v>
      </c>
      <c r="AA36" t="n">
        <v>-0.625</v>
      </c>
      <c r="AB36" s="1" t="n">
        <v>0.0969100130080564</v>
      </c>
      <c r="AC36" s="1" t="n">
        <v>0</v>
      </c>
      <c r="AD36" t="n">
        <v>0</v>
      </c>
      <c r="AE36" t="n">
        <v>2</v>
      </c>
      <c r="AF36" t="s">
        <v>80</v>
      </c>
      <c r="AG36" t="s">
        <v>69</v>
      </c>
      <c r="AH36" t="s">
        <v>70</v>
      </c>
      <c r="AI36" t="s">
        <v>71</v>
      </c>
      <c r="AJ36" t="n">
        <v>24</v>
      </c>
      <c r="AK36" t="n">
        <v>-0.25</v>
      </c>
      <c r="AL36" t="n">
        <v>-0.25</v>
      </c>
      <c r="AM36" t="n">
        <v>123</v>
      </c>
      <c r="AN36" t="n">
        <v>-0.375</v>
      </c>
      <c r="AO36" t="n">
        <v>88</v>
      </c>
      <c r="AP36" t="n">
        <v>-0.5</v>
      </c>
      <c r="AQ36" t="n">
        <v>-0.25</v>
      </c>
      <c r="AR36" t="n">
        <v>118</v>
      </c>
      <c r="AS36" t="n">
        <v>155</v>
      </c>
      <c r="AT36" t="n">
        <v>-0.5</v>
      </c>
      <c r="AU36" t="n">
        <v>-0.25</v>
      </c>
      <c r="AV36" t="n">
        <v>121</v>
      </c>
      <c r="AW36" t="n">
        <v>-0.625</v>
      </c>
      <c r="AX36" t="n">
        <v>389</v>
      </c>
      <c r="AY36" t="n">
        <v>-0.5</v>
      </c>
      <c r="AZ36" t="n">
        <v>-0.25</v>
      </c>
      <c r="BA36" t="n">
        <v>128</v>
      </c>
      <c r="BB36" t="n">
        <v>723</v>
      </c>
      <c r="BC36" t="n">
        <v>-0.75</v>
      </c>
      <c r="BD36" t="n">
        <v>-0.25</v>
      </c>
      <c r="BE36" t="n">
        <v>119</v>
      </c>
      <c r="BF36" t="s">
        <v>86</v>
      </c>
      <c r="BG36" s="1" t="n">
        <v>1.35723411352155</v>
      </c>
      <c r="BH36" s="1" t="n">
        <v>1</v>
      </c>
      <c r="BI36" t="n">
        <v>11</v>
      </c>
      <c r="BJ36" t="s">
        <v>72</v>
      </c>
    </row>
    <row r="37">
      <c r="A37" t="s">
        <v>140</v>
      </c>
      <c r="B37" t="s">
        <v>141</v>
      </c>
      <c r="C37" t="s">
        <v>64</v>
      </c>
      <c r="D37" t="n">
        <v>1</v>
      </c>
      <c r="E37" t="s">
        <v>86</v>
      </c>
      <c r="F37" t="s">
        <v>66</v>
      </c>
      <c r="G37" t="s">
        <v>67</v>
      </c>
      <c r="H37" t="n">
        <v>48</v>
      </c>
      <c r="I37" t="s">
        <v>68</v>
      </c>
      <c r="J37" t="s">
        <v>69</v>
      </c>
      <c r="K37" t="n">
        <v>-6</v>
      </c>
      <c r="L37" t="n">
        <v>-0.75</v>
      </c>
      <c r="M37" t="n">
        <v>171</v>
      </c>
      <c r="N37" t="n">
        <v>-6.375</v>
      </c>
      <c r="O37" s="1" t="n">
        <v>1.60205999132796</v>
      </c>
      <c r="P37" s="1" t="n">
        <v>-0.0969100130080564</v>
      </c>
      <c r="Q37" t="n">
        <v>532</v>
      </c>
      <c r="R37" t="n">
        <v>41.69</v>
      </c>
      <c r="S37" t="n">
        <v>1</v>
      </c>
      <c r="T37" t="n">
        <v>6.4</v>
      </c>
      <c r="U37" t="n">
        <v>94</v>
      </c>
      <c r="V37" t="n">
        <v>0</v>
      </c>
      <c r="W37"/>
      <c r="X37"/>
      <c r="Y37"/>
      <c r="Z37"/>
      <c r="AA37"/>
      <c r="AB37" s="1"/>
      <c r="AC37" s="1"/>
      <c r="AD37"/>
      <c r="AE37"/>
      <c r="AF37"/>
      <c r="AG37"/>
      <c r="AH37" t="s">
        <v>70</v>
      </c>
      <c r="AI37" t="s">
        <v>71</v>
      </c>
      <c r="AJ37" t="n">
        <v>35</v>
      </c>
      <c r="AK37" t="n">
        <v>-0.25</v>
      </c>
      <c r="AL37" t="n">
        <v>-0.25</v>
      </c>
      <c r="AM37" t="n">
        <v>165</v>
      </c>
      <c r="AN37" t="n">
        <v>-0.375</v>
      </c>
      <c r="AO37" t="n">
        <v>100</v>
      </c>
      <c r="AP37" t="n">
        <v>-0.25</v>
      </c>
      <c r="AQ37" t="n">
        <v>-0.5</v>
      </c>
      <c r="AR37" t="n">
        <v>151</v>
      </c>
      <c r="AS37"/>
      <c r="AT37"/>
      <c r="AU37"/>
      <c r="AV37"/>
      <c r="AW37"/>
      <c r="AX37"/>
      <c r="AY37"/>
      <c r="AZ37"/>
      <c r="BA37"/>
      <c r="BB37"/>
      <c r="BC37"/>
      <c r="BD37"/>
      <c r="BE37"/>
      <c r="BF37" t="s">
        <v>86</v>
      </c>
      <c r="BG37" s="1" t="n">
        <v>2.25412147881139</v>
      </c>
      <c r="BH37" s="1" t="n">
        <v>1</v>
      </c>
      <c r="BI37" t="n">
        <v>12</v>
      </c>
      <c r="BJ37" t="s">
        <v>72</v>
      </c>
    </row>
    <row r="38">
      <c r="A38" t="s">
        <v>140</v>
      </c>
      <c r="B38" t="s">
        <v>142</v>
      </c>
      <c r="C38" t="s">
        <v>74</v>
      </c>
      <c r="D38" t="n">
        <v>1</v>
      </c>
      <c r="E38" t="s">
        <v>86</v>
      </c>
      <c r="F38" t="s">
        <v>66</v>
      </c>
      <c r="G38" t="s">
        <v>67</v>
      </c>
      <c r="H38" t="n">
        <v>48</v>
      </c>
      <c r="I38" t="s">
        <v>68</v>
      </c>
      <c r="J38" t="s">
        <v>69</v>
      </c>
      <c r="K38" t="n">
        <v>-6.25</v>
      </c>
      <c r="L38" t="n">
        <v>-1</v>
      </c>
      <c r="M38" t="n">
        <v>178</v>
      </c>
      <c r="N38" t="n">
        <v>-6.75</v>
      </c>
      <c r="O38" s="1" t="n">
        <v>1.69897000433602</v>
      </c>
      <c r="P38" s="1" t="n">
        <v>-0.0969100130080564</v>
      </c>
      <c r="Q38" t="n">
        <v>537</v>
      </c>
      <c r="R38"/>
      <c r="S38" t="n">
        <v>0</v>
      </c>
      <c r="T38" t="n">
        <v>6.4</v>
      </c>
      <c r="U38" t="n">
        <v>97</v>
      </c>
      <c r="V38" t="n">
        <v>-0.75</v>
      </c>
      <c r="W38"/>
      <c r="X38"/>
      <c r="Y38"/>
      <c r="Z38"/>
      <c r="AA38"/>
      <c r="AB38" s="1"/>
      <c r="AC38" s="1"/>
      <c r="AD38"/>
      <c r="AE38"/>
      <c r="AF38"/>
      <c r="AG38"/>
      <c r="AH38" t="s">
        <v>70</v>
      </c>
      <c r="AI38" t="s">
        <v>95</v>
      </c>
      <c r="AJ38" t="n">
        <v>25</v>
      </c>
      <c r="AK38" t="n">
        <v>-1</v>
      </c>
      <c r="AL38" t="n">
        <v>0.25</v>
      </c>
      <c r="AM38" t="n">
        <v>103</v>
      </c>
      <c r="AN38" t="n">
        <v>-0.875</v>
      </c>
      <c r="AO38" t="n">
        <v>76</v>
      </c>
      <c r="AP38" t="n">
        <v>-1</v>
      </c>
      <c r="AQ38" t="n">
        <v>0</v>
      </c>
      <c r="AR38" t="n">
        <v>101</v>
      </c>
      <c r="AS38"/>
      <c r="AT38"/>
      <c r="AU38"/>
      <c r="AV38"/>
      <c r="AW38"/>
      <c r="AX38"/>
      <c r="AY38"/>
      <c r="AZ38"/>
      <c r="BA38"/>
      <c r="BB38"/>
      <c r="BC38"/>
      <c r="BD38"/>
      <c r="BE38"/>
      <c r="BF38" t="s">
        <v>86</v>
      </c>
      <c r="BG38" s="1" t="n">
        <v>2.16322073717311</v>
      </c>
      <c r="BH38" s="1" t="n">
        <v>1</v>
      </c>
      <c r="BI38" t="n">
        <v>13</v>
      </c>
      <c r="BJ38" t="s">
        <v>72</v>
      </c>
    </row>
    <row r="39">
      <c r="A39" t="s">
        <v>143</v>
      </c>
      <c r="B39" t="s">
        <v>144</v>
      </c>
      <c r="C39" t="s">
        <v>74</v>
      </c>
      <c r="D39" t="n">
        <v>1</v>
      </c>
      <c r="E39" t="s">
        <v>65</v>
      </c>
      <c r="F39" t="s">
        <v>66</v>
      </c>
      <c r="G39" t="s">
        <v>67</v>
      </c>
      <c r="H39" t="n">
        <v>35</v>
      </c>
      <c r="I39" t="s">
        <v>68</v>
      </c>
      <c r="J39" t="s">
        <v>69</v>
      </c>
      <c r="K39" t="n">
        <v>-5.25</v>
      </c>
      <c r="L39" t="n">
        <v>-1.25</v>
      </c>
      <c r="M39" t="n">
        <v>179</v>
      </c>
      <c r="N39" t="n">
        <v>-5.875</v>
      </c>
      <c r="O39" s="1" t="n">
        <v>1.60205999132796</v>
      </c>
      <c r="P39" s="1" t="n">
        <v>-0.0969100130080564</v>
      </c>
      <c r="Q39" t="n">
        <v>535</v>
      </c>
      <c r="R39" t="n">
        <v>43.46</v>
      </c>
      <c r="S39" t="n">
        <v>0</v>
      </c>
      <c r="T39" t="n">
        <v>6.5</v>
      </c>
      <c r="U39" t="n">
        <v>90</v>
      </c>
      <c r="V39" t="n">
        <v>0</v>
      </c>
      <c r="W39" t="n">
        <v>159</v>
      </c>
      <c r="X39" t="n">
        <v>0</v>
      </c>
      <c r="Y39" t="n">
        <v>-0.25</v>
      </c>
      <c r="Z39" t="n">
        <v>16</v>
      </c>
      <c r="AA39" t="n">
        <v>-0.125</v>
      </c>
      <c r="AB39" s="1" t="n">
        <v>-0.0969100130080564</v>
      </c>
      <c r="AC39" s="1" t="n">
        <v>-0.0969100130080564</v>
      </c>
      <c r="AD39" t="n">
        <v>1</v>
      </c>
      <c r="AE39" t="n">
        <v>4</v>
      </c>
      <c r="AF39" t="s">
        <v>69</v>
      </c>
      <c r="AG39" t="s">
        <v>69</v>
      </c>
      <c r="AH39" t="s">
        <v>70</v>
      </c>
      <c r="AI39" t="s">
        <v>71</v>
      </c>
      <c r="AJ39" t="n">
        <v>34</v>
      </c>
      <c r="AK39" t="n">
        <v>0.25</v>
      </c>
      <c r="AL39" t="n">
        <v>-0.25</v>
      </c>
      <c r="AM39" t="n">
        <v>17</v>
      </c>
      <c r="AN39" t="n">
        <v>0.125</v>
      </c>
      <c r="AO39" t="n">
        <v>98</v>
      </c>
      <c r="AP39" t="n">
        <v>0.25</v>
      </c>
      <c r="AQ39" t="n">
        <v>-0.25</v>
      </c>
      <c r="AR39" t="n">
        <v>18</v>
      </c>
      <c r="AS39" t="n">
        <v>159</v>
      </c>
      <c r="AT39" t="n">
        <v>0</v>
      </c>
      <c r="AU39" t="n">
        <v>-0.25</v>
      </c>
      <c r="AV39" t="n">
        <v>16</v>
      </c>
      <c r="AW39" t="n">
        <v>-0.125</v>
      </c>
      <c r="AX39" t="n">
        <v>351</v>
      </c>
      <c r="AY39" t="n">
        <v>-0.25</v>
      </c>
      <c r="AZ39" t="n">
        <v>0</v>
      </c>
      <c r="BA39" t="n">
        <v>4</v>
      </c>
      <c r="BB39" t="n">
        <v>708</v>
      </c>
      <c r="BC39" t="n">
        <v>-0.5</v>
      </c>
      <c r="BD39" t="n">
        <v>-0.25</v>
      </c>
      <c r="BE39" t="n">
        <v>27</v>
      </c>
      <c r="BF39" t="s">
        <v>65</v>
      </c>
      <c r="BG39" s="1" t="n">
        <v>-0.133652606076341</v>
      </c>
      <c r="BH39" s="1" t="n">
        <v>1.42857142857143</v>
      </c>
      <c r="BI39" t="n">
        <v>23</v>
      </c>
      <c r="BJ39" t="s">
        <v>72</v>
      </c>
    </row>
    <row r="40">
      <c r="A40" t="s">
        <v>145</v>
      </c>
      <c r="B40" t="s">
        <v>146</v>
      </c>
      <c r="C40" t="s">
        <v>74</v>
      </c>
      <c r="D40" t="n">
        <v>1</v>
      </c>
      <c r="E40" t="s">
        <v>86</v>
      </c>
      <c r="F40" t="s">
        <v>66</v>
      </c>
      <c r="G40" t="s">
        <v>87</v>
      </c>
      <c r="H40" t="n">
        <v>30</v>
      </c>
      <c r="I40" t="s">
        <v>88</v>
      </c>
      <c r="J40" t="s">
        <v>69</v>
      </c>
      <c r="K40" t="n">
        <v>-5.5</v>
      </c>
      <c r="L40" t="n">
        <v>-0.75</v>
      </c>
      <c r="M40" t="n">
        <v>4</v>
      </c>
      <c r="N40" t="n">
        <v>-5.875</v>
      </c>
      <c r="O40" s="1" t="n">
        <v>1.69897000433602</v>
      </c>
      <c r="P40" s="1" t="n">
        <v>0</v>
      </c>
      <c r="Q40" t="n">
        <v>514</v>
      </c>
      <c r="R40" t="n">
        <v>44.92</v>
      </c>
      <c r="S40" t="n">
        <v>0</v>
      </c>
      <c r="T40" t="n">
        <v>6.5</v>
      </c>
      <c r="U40" t="n">
        <v>89</v>
      </c>
      <c r="V40" t="n">
        <v>0</v>
      </c>
      <c r="W40" t="n">
        <v>185</v>
      </c>
      <c r="X40" t="n">
        <v>0</v>
      </c>
      <c r="Y40" t="n">
        <v>-0.25</v>
      </c>
      <c r="Z40" t="n">
        <v>7</v>
      </c>
      <c r="AA40" t="n">
        <v>-0.125</v>
      </c>
      <c r="AB40" s="1" t="n">
        <v>0</v>
      </c>
      <c r="AC40" s="1" t="n">
        <v>0</v>
      </c>
      <c r="AD40" t="n">
        <v>1</v>
      </c>
      <c r="AE40" t="n">
        <v>5</v>
      </c>
      <c r="AF40" t="s">
        <v>69</v>
      </c>
      <c r="AG40" t="s">
        <v>69</v>
      </c>
      <c r="AH40" t="s">
        <v>70</v>
      </c>
      <c r="AI40" t="s">
        <v>71</v>
      </c>
      <c r="AJ40" t="n">
        <v>30</v>
      </c>
      <c r="AK40" t="n">
        <v>0.25</v>
      </c>
      <c r="AL40" t="n">
        <v>-0.25</v>
      </c>
      <c r="AM40" t="n">
        <v>6</v>
      </c>
      <c r="AN40" t="n">
        <v>0.125</v>
      </c>
      <c r="AO40" t="n">
        <v>98</v>
      </c>
      <c r="AP40" t="n">
        <v>0</v>
      </c>
      <c r="AQ40" t="n">
        <v>-0.25</v>
      </c>
      <c r="AR40" t="n">
        <v>19</v>
      </c>
      <c r="AS40" t="n">
        <v>185</v>
      </c>
      <c r="AT40" t="n">
        <v>0</v>
      </c>
      <c r="AU40" t="n">
        <v>-0.25</v>
      </c>
      <c r="AV40" t="n">
        <v>7</v>
      </c>
      <c r="AW40" t="n">
        <v>-0.125</v>
      </c>
      <c r="AX40" t="n">
        <v>358</v>
      </c>
      <c r="AY40" t="n">
        <v>-0.25</v>
      </c>
      <c r="AZ40" t="n">
        <v>-0.25</v>
      </c>
      <c r="BA40" t="n">
        <v>2</v>
      </c>
      <c r="BB40" t="n">
        <v>769</v>
      </c>
      <c r="BC40" t="n">
        <v>-0.25</v>
      </c>
      <c r="BD40" t="n">
        <v>-0.25</v>
      </c>
      <c r="BE40" t="n">
        <v>175</v>
      </c>
      <c r="BF40" t="s">
        <v>86</v>
      </c>
      <c r="BG40" s="1" t="n">
        <v>-0.0859870119363633</v>
      </c>
      <c r="BH40" s="1" t="n">
        <v>1</v>
      </c>
      <c r="BI40" t="n">
        <v>14</v>
      </c>
      <c r="BJ40" t="s">
        <v>72</v>
      </c>
    </row>
    <row r="41">
      <c r="A41" t="s">
        <v>147</v>
      </c>
      <c r="B41" t="s">
        <v>148</v>
      </c>
      <c r="C41" t="s">
        <v>64</v>
      </c>
      <c r="D41" t="n">
        <v>1</v>
      </c>
      <c r="E41" t="s">
        <v>65</v>
      </c>
      <c r="F41" t="s">
        <v>66</v>
      </c>
      <c r="G41" t="s">
        <v>94</v>
      </c>
      <c r="H41" t="n">
        <v>34</v>
      </c>
      <c r="I41" t="s">
        <v>68</v>
      </c>
      <c r="J41" t="s">
        <v>69</v>
      </c>
      <c r="K41" t="n">
        <v>-2.5</v>
      </c>
      <c r="L41" t="n">
        <v>-0.25</v>
      </c>
      <c r="M41" t="n">
        <v>36</v>
      </c>
      <c r="N41" t="n">
        <v>-2.625</v>
      </c>
      <c r="O41" s="1" t="n">
        <v>0.602059991327962</v>
      </c>
      <c r="P41" s="1" t="n">
        <v>-0.0969100130080564</v>
      </c>
      <c r="Q41" t="n">
        <v>522</v>
      </c>
      <c r="R41" t="n">
        <v>44.5</v>
      </c>
      <c r="S41" t="n">
        <v>0</v>
      </c>
      <c r="T41" t="n">
        <v>6.5</v>
      </c>
      <c r="U41" t="n">
        <v>37</v>
      </c>
      <c r="V41" t="n">
        <v>0</v>
      </c>
      <c r="W41"/>
      <c r="X41"/>
      <c r="Y41"/>
      <c r="Z41"/>
      <c r="AA41"/>
      <c r="AB41" s="1"/>
      <c r="AC41" s="1"/>
      <c r="AD41"/>
      <c r="AE41"/>
      <c r="AF41"/>
      <c r="AG41"/>
      <c r="AH41" t="s">
        <v>70</v>
      </c>
      <c r="AI41" t="s">
        <v>95</v>
      </c>
      <c r="AJ41" t="n">
        <v>32</v>
      </c>
      <c r="AK41" t="n">
        <v>0.75</v>
      </c>
      <c r="AL41" t="n">
        <v>0</v>
      </c>
      <c r="AM41" t="n">
        <v>85</v>
      </c>
      <c r="AN41" t="n">
        <v>0.75</v>
      </c>
      <c r="AO41"/>
      <c r="AP41"/>
      <c r="AQ41"/>
      <c r="AR41"/>
      <c r="AS41"/>
      <c r="AT41"/>
      <c r="AU41"/>
      <c r="AV41"/>
      <c r="AW41"/>
      <c r="AX41"/>
      <c r="AY41"/>
      <c r="AZ41"/>
      <c r="BA41"/>
      <c r="BB41"/>
      <c r="BC41"/>
      <c r="BD41"/>
      <c r="BE41"/>
      <c r="BF41" t="s">
        <v>65</v>
      </c>
      <c r="BG41" s="1" t="n">
        <v>-0.305418246101792</v>
      </c>
      <c r="BH41" s="1" t="n">
        <v>0.714285714285714</v>
      </c>
      <c r="BI41" t="n">
        <v>34</v>
      </c>
      <c r="BJ41" t="s">
        <v>72</v>
      </c>
    </row>
    <row r="42">
      <c r="A42" t="s">
        <v>147</v>
      </c>
      <c r="B42" t="s">
        <v>149</v>
      </c>
      <c r="C42" t="s">
        <v>74</v>
      </c>
      <c r="D42" t="n">
        <v>1</v>
      </c>
      <c r="E42" t="s">
        <v>65</v>
      </c>
      <c r="F42" t="s">
        <v>66</v>
      </c>
      <c r="G42" t="s">
        <v>94</v>
      </c>
      <c r="H42" t="n">
        <v>34</v>
      </c>
      <c r="I42" t="s">
        <v>68</v>
      </c>
      <c r="J42" t="s">
        <v>69</v>
      </c>
      <c r="K42" t="n">
        <v>-3</v>
      </c>
      <c r="L42" t="n">
        <v>-0.5</v>
      </c>
      <c r="M42" t="n">
        <v>145</v>
      </c>
      <c r="N42" t="n">
        <v>-3.25</v>
      </c>
      <c r="O42" s="1" t="n">
        <v>0.795880017344075</v>
      </c>
      <c r="P42" s="1" t="n">
        <v>0</v>
      </c>
      <c r="Q42" t="n">
        <v>525</v>
      </c>
      <c r="R42" t="n">
        <v>44.94</v>
      </c>
      <c r="S42" t="n">
        <v>0</v>
      </c>
      <c r="T42" t="n">
        <v>6.5</v>
      </c>
      <c r="U42" t="n">
        <v>42</v>
      </c>
      <c r="V42" t="n">
        <v>0</v>
      </c>
      <c r="W42"/>
      <c r="X42"/>
      <c r="Y42"/>
      <c r="Z42"/>
      <c r="AA42"/>
      <c r="AB42" s="1"/>
      <c r="AC42" s="1"/>
      <c r="AD42"/>
      <c r="AE42"/>
      <c r="AF42"/>
      <c r="AG42"/>
      <c r="AH42" t="s">
        <v>101</v>
      </c>
      <c r="AI42" t="s">
        <v>71</v>
      </c>
      <c r="AJ42" t="n">
        <v>35</v>
      </c>
      <c r="AK42" t="n">
        <v>1</v>
      </c>
      <c r="AL42" t="n">
        <v>-0.25</v>
      </c>
      <c r="AM42" t="n">
        <v>136</v>
      </c>
      <c r="AN42" t="n">
        <v>0.875</v>
      </c>
      <c r="AO42"/>
      <c r="AP42"/>
      <c r="AQ42"/>
      <c r="AR42"/>
      <c r="AS42"/>
      <c r="AT42"/>
      <c r="AU42"/>
      <c r="AV42"/>
      <c r="AW42"/>
      <c r="AX42"/>
      <c r="AY42"/>
      <c r="AZ42"/>
      <c r="BA42"/>
      <c r="BB42"/>
      <c r="BC42"/>
      <c r="BD42"/>
      <c r="BE42"/>
      <c r="BF42" t="s">
        <v>65</v>
      </c>
      <c r="BG42" s="1" t="n">
        <v>-0.325237279523019</v>
      </c>
      <c r="BH42" s="1" t="n">
        <v>0.714285714285714</v>
      </c>
      <c r="BI42" t="n">
        <v>10</v>
      </c>
      <c r="BJ42" t="s">
        <v>72</v>
      </c>
    </row>
    <row r="43">
      <c r="A43" t="s">
        <v>150</v>
      </c>
      <c r="B43" t="s">
        <v>151</v>
      </c>
      <c r="C43" t="s">
        <v>64</v>
      </c>
      <c r="D43" t="n">
        <v>1</v>
      </c>
      <c r="E43" t="s">
        <v>65</v>
      </c>
      <c r="F43" t="s">
        <v>66</v>
      </c>
      <c r="G43" t="s">
        <v>67</v>
      </c>
      <c r="H43" t="n">
        <v>33</v>
      </c>
      <c r="I43" t="s">
        <v>68</v>
      </c>
      <c r="J43"/>
      <c r="K43" t="n">
        <v>-1.75</v>
      </c>
      <c r="L43" t="n">
        <v>-1</v>
      </c>
      <c r="M43" t="n">
        <v>174</v>
      </c>
      <c r="N43" t="n">
        <v>-2.25</v>
      </c>
      <c r="O43" s="1" t="n">
        <v>0.795880017344075</v>
      </c>
      <c r="P43" s="1" t="n">
        <v>0</v>
      </c>
      <c r="Q43" t="n">
        <v>516</v>
      </c>
      <c r="R43"/>
      <c r="S43" t="n">
        <v>2</v>
      </c>
      <c r="T43" t="n">
        <v>6.5</v>
      </c>
      <c r="U43" t="n">
        <v>36</v>
      </c>
      <c r="V43" t="n">
        <v>0</v>
      </c>
      <c r="W43" t="n">
        <v>171</v>
      </c>
      <c r="X43" t="n">
        <v>0.25</v>
      </c>
      <c r="Y43" t="n">
        <v>-0.5</v>
      </c>
      <c r="Z43" t="n">
        <v>130</v>
      </c>
      <c r="AA43" t="n">
        <v>0</v>
      </c>
      <c r="AB43" s="1" t="n">
        <v>0</v>
      </c>
      <c r="AC43" s="1" t="n">
        <v>0</v>
      </c>
      <c r="AD43" t="n">
        <v>0</v>
      </c>
      <c r="AE43" t="n">
        <v>5</v>
      </c>
      <c r="AF43" t="s">
        <v>69</v>
      </c>
      <c r="AG43" t="s">
        <v>69</v>
      </c>
      <c r="AH43" t="s">
        <v>70</v>
      </c>
      <c r="AI43" t="s">
        <v>71</v>
      </c>
      <c r="AJ43" t="n">
        <v>35</v>
      </c>
      <c r="AK43" t="n">
        <v>0.25</v>
      </c>
      <c r="AL43" t="n">
        <v>-0.25</v>
      </c>
      <c r="AM43" t="n">
        <v>118</v>
      </c>
      <c r="AN43" t="n">
        <v>0.125</v>
      </c>
      <c r="AO43" t="n">
        <v>94</v>
      </c>
      <c r="AP43" t="n">
        <v>0.25</v>
      </c>
      <c r="AQ43" t="n">
        <v>-0.5</v>
      </c>
      <c r="AR43" t="n">
        <v>131</v>
      </c>
      <c r="AS43" t="n">
        <v>171</v>
      </c>
      <c r="AT43" t="n">
        <v>0.25</v>
      </c>
      <c r="AU43" t="n">
        <v>-0.5</v>
      </c>
      <c r="AV43" t="n">
        <v>130</v>
      </c>
      <c r="AW43" t="n">
        <v>0</v>
      </c>
      <c r="AX43" t="n">
        <v>393</v>
      </c>
      <c r="AY43" t="n">
        <v>0</v>
      </c>
      <c r="AZ43" t="n">
        <v>-0.5</v>
      </c>
      <c r="BA43" t="n">
        <v>125</v>
      </c>
      <c r="BB43" t="n">
        <v>759</v>
      </c>
      <c r="BC43" t="n">
        <v>0</v>
      </c>
      <c r="BD43" t="n">
        <v>-0.5</v>
      </c>
      <c r="BE43" t="n">
        <v>129</v>
      </c>
      <c r="BF43" t="s">
        <v>65</v>
      </c>
      <c r="BG43" s="1" t="n">
        <v>-1.42523197266803</v>
      </c>
      <c r="BH43" s="1" t="n">
        <v>0.714285714285714</v>
      </c>
      <c r="BI43" t="n">
        <v>16</v>
      </c>
      <c r="BJ43" t="s">
        <v>72</v>
      </c>
    </row>
    <row r="44">
      <c r="A44" t="s">
        <v>152</v>
      </c>
      <c r="B44" t="s">
        <v>153</v>
      </c>
      <c r="C44" t="s">
        <v>74</v>
      </c>
      <c r="D44" t="n">
        <v>1</v>
      </c>
      <c r="E44" t="s">
        <v>86</v>
      </c>
      <c r="F44" t="s">
        <v>66</v>
      </c>
      <c r="G44" t="s">
        <v>94</v>
      </c>
      <c r="H44" t="n">
        <v>31</v>
      </c>
      <c r="I44" t="s">
        <v>68</v>
      </c>
      <c r="J44" t="s">
        <v>69</v>
      </c>
      <c r="K44" t="n">
        <v>-3.25</v>
      </c>
      <c r="L44" t="n">
        <v>-0.75</v>
      </c>
      <c r="M44" t="n">
        <v>16</v>
      </c>
      <c r="N44" t="n">
        <v>-3.625</v>
      </c>
      <c r="O44" s="1" t="n">
        <v>0.903089986991944</v>
      </c>
      <c r="P44" s="1" t="n">
        <v>-0.0969100130080564</v>
      </c>
      <c r="Q44" t="n">
        <v>530</v>
      </c>
      <c r="R44" t="n">
        <v>43.55</v>
      </c>
      <c r="S44" t="n">
        <v>0</v>
      </c>
      <c r="T44" t="n">
        <v>6.5</v>
      </c>
      <c r="U44" t="n">
        <v>52</v>
      </c>
      <c r="V44" t="n">
        <v>0</v>
      </c>
      <c r="W44" t="n">
        <v>166</v>
      </c>
      <c r="X44" t="n">
        <v>-0.25</v>
      </c>
      <c r="Y44" t="n">
        <v>-0.25</v>
      </c>
      <c r="Z44" t="n">
        <v>137</v>
      </c>
      <c r="AA44" t="n">
        <v>-0.375</v>
      </c>
      <c r="AB44" s="1" t="n">
        <v>-0.0969100130080564</v>
      </c>
      <c r="AC44" s="1" t="n">
        <v>-0.0969100130080564</v>
      </c>
      <c r="AD44" t="n">
        <v>0</v>
      </c>
      <c r="AE44" t="n">
        <v>5</v>
      </c>
      <c r="AF44" t="s">
        <v>69</v>
      </c>
      <c r="AG44" t="s">
        <v>69</v>
      </c>
      <c r="AH44" t="s">
        <v>70</v>
      </c>
      <c r="AI44" t="s">
        <v>71</v>
      </c>
      <c r="AJ44" t="n">
        <v>29</v>
      </c>
      <c r="AK44" t="n">
        <v>-0.25</v>
      </c>
      <c r="AL44" t="n">
        <v>-0.25</v>
      </c>
      <c r="AM44" t="n">
        <v>145</v>
      </c>
      <c r="AN44" t="n">
        <v>-0.375</v>
      </c>
      <c r="AO44" t="n">
        <v>94</v>
      </c>
      <c r="AP44" t="n">
        <v>-0.25</v>
      </c>
      <c r="AQ44" t="n">
        <v>-0.25</v>
      </c>
      <c r="AR44" t="n">
        <v>149</v>
      </c>
      <c r="AS44" t="n">
        <v>166</v>
      </c>
      <c r="AT44" t="n">
        <v>-0.25</v>
      </c>
      <c r="AU44" t="n">
        <v>-0.25</v>
      </c>
      <c r="AV44" t="n">
        <v>137</v>
      </c>
      <c r="AW44" t="n">
        <v>-0.375</v>
      </c>
      <c r="AX44"/>
      <c r="AY44"/>
      <c r="AZ44"/>
      <c r="BA44"/>
      <c r="BB44"/>
      <c r="BC44"/>
      <c r="BD44"/>
      <c r="BE44"/>
      <c r="BF44" t="s">
        <v>86</v>
      </c>
      <c r="BG44" s="1" t="n">
        <v>-0.810396942575352</v>
      </c>
      <c r="BH44" s="1" t="n">
        <v>1</v>
      </c>
      <c r="BI44" t="n">
        <v>15</v>
      </c>
      <c r="BJ44" t="s">
        <v>72</v>
      </c>
    </row>
    <row r="45">
      <c r="A45" t="s">
        <v>154</v>
      </c>
      <c r="B45" t="s">
        <v>155</v>
      </c>
      <c r="C45" t="s">
        <v>74</v>
      </c>
      <c r="D45" t="n">
        <v>1</v>
      </c>
      <c r="E45" t="s">
        <v>86</v>
      </c>
      <c r="F45" t="s">
        <v>66</v>
      </c>
      <c r="G45" t="s">
        <v>94</v>
      </c>
      <c r="H45" t="n">
        <v>30</v>
      </c>
      <c r="I45" t="s">
        <v>88</v>
      </c>
      <c r="J45" t="s">
        <v>69</v>
      </c>
      <c r="K45" t="n">
        <v>-4.5</v>
      </c>
      <c r="L45" t="n">
        <v>-1.25</v>
      </c>
      <c r="M45" t="n">
        <v>158</v>
      </c>
      <c r="N45" t="n">
        <v>-5.125</v>
      </c>
      <c r="O45" s="1" t="n">
        <v>1.60205999132796</v>
      </c>
      <c r="P45" s="1" t="n">
        <v>0.0969100130080564</v>
      </c>
      <c r="Q45" t="n">
        <v>526</v>
      </c>
      <c r="R45" t="n">
        <v>45.23</v>
      </c>
      <c r="S45" t="n">
        <v>0</v>
      </c>
      <c r="T45" t="n">
        <v>6.4</v>
      </c>
      <c r="U45" t="n">
        <v>80</v>
      </c>
      <c r="V45" t="n">
        <v>0</v>
      </c>
      <c r="W45"/>
      <c r="X45"/>
      <c r="Y45"/>
      <c r="Z45"/>
      <c r="AA45"/>
      <c r="AB45" s="1"/>
      <c r="AC45" s="1"/>
      <c r="AD45"/>
      <c r="AE45"/>
      <c r="AF45"/>
      <c r="AG45"/>
      <c r="AH45" t="s">
        <v>70</v>
      </c>
      <c r="AI45" t="s">
        <v>71</v>
      </c>
      <c r="AJ45" t="n">
        <v>29</v>
      </c>
      <c r="AK45" t="n">
        <v>0.25</v>
      </c>
      <c r="AL45" t="n">
        <v>0</v>
      </c>
      <c r="AM45" t="n">
        <v>2</v>
      </c>
      <c r="AN45" t="n">
        <v>0.25</v>
      </c>
      <c r="AO45" t="n">
        <v>85</v>
      </c>
      <c r="AP45" t="n">
        <v>0</v>
      </c>
      <c r="AQ45" t="n">
        <v>0</v>
      </c>
      <c r="AR45" t="n">
        <v>64</v>
      </c>
      <c r="AS45"/>
      <c r="AT45"/>
      <c r="AU45"/>
      <c r="AV45"/>
      <c r="AW45"/>
      <c r="AX45"/>
      <c r="AY45"/>
      <c r="AZ45"/>
      <c r="BA45"/>
      <c r="BB45"/>
      <c r="BC45"/>
      <c r="BD45"/>
      <c r="BE45"/>
      <c r="BF45" t="s">
        <v>86</v>
      </c>
      <c r="BG45" s="1" t="n">
        <v>-1.35085490803927</v>
      </c>
      <c r="BH45" s="1" t="n">
        <v>1</v>
      </c>
      <c r="BI45" t="n">
        <v>16</v>
      </c>
      <c r="BJ45" t="s">
        <v>72</v>
      </c>
    </row>
    <row r="46">
      <c r="A46" t="s">
        <v>156</v>
      </c>
      <c r="B46" t="s">
        <v>157</v>
      </c>
      <c r="C46" t="s">
        <v>64</v>
      </c>
      <c r="D46" t="n">
        <v>1</v>
      </c>
      <c r="E46" t="s">
        <v>65</v>
      </c>
      <c r="F46" t="s">
        <v>66</v>
      </c>
      <c r="G46" t="s">
        <v>87</v>
      </c>
      <c r="H46" t="n">
        <v>37</v>
      </c>
      <c r="I46" t="s">
        <v>68</v>
      </c>
      <c r="J46" t="s">
        <v>69</v>
      </c>
      <c r="K46" t="n">
        <v>-5.75</v>
      </c>
      <c r="L46" t="n">
        <v>-0.5</v>
      </c>
      <c r="M46" t="n">
        <v>41</v>
      </c>
      <c r="N46" t="n">
        <v>-6</v>
      </c>
      <c r="O46" s="1" t="n">
        <v>1.60205999132796</v>
      </c>
      <c r="P46" s="1" t="n">
        <v>-0.0969100130080564</v>
      </c>
      <c r="Q46" t="n">
        <v>547</v>
      </c>
      <c r="R46" t="n">
        <v>43.41</v>
      </c>
      <c r="S46" t="n">
        <v>1</v>
      </c>
      <c r="T46" t="n">
        <v>6.4</v>
      </c>
      <c r="U46" t="n">
        <v>90</v>
      </c>
      <c r="V46" t="n">
        <v>0</v>
      </c>
      <c r="W46" t="n">
        <v>189</v>
      </c>
      <c r="X46" t="n">
        <v>-0.25</v>
      </c>
      <c r="Y46" t="n">
        <v>0</v>
      </c>
      <c r="Z46" t="n">
        <v>82</v>
      </c>
      <c r="AA46" t="n">
        <v>-0.25</v>
      </c>
      <c r="AB46" s="1" t="n">
        <v>-0.0969100130080564</v>
      </c>
      <c r="AC46" s="1" t="n">
        <v>-0.204119982655925</v>
      </c>
      <c r="AD46" t="n">
        <v>0</v>
      </c>
      <c r="AE46" t="n">
        <v>3</v>
      </c>
      <c r="AF46" t="s">
        <v>69</v>
      </c>
      <c r="AG46" t="s">
        <v>69</v>
      </c>
      <c r="AH46" t="s">
        <v>70</v>
      </c>
      <c r="AI46" t="s">
        <v>71</v>
      </c>
      <c r="AJ46" t="n">
        <v>26</v>
      </c>
      <c r="AK46" t="n">
        <v>0.25</v>
      </c>
      <c r="AL46" t="n">
        <v>-0.25</v>
      </c>
      <c r="AM46" t="n">
        <v>62</v>
      </c>
      <c r="AN46" t="n">
        <v>0.125</v>
      </c>
      <c r="AO46" t="n">
        <v>103</v>
      </c>
      <c r="AP46" t="n">
        <v>0</v>
      </c>
      <c r="AQ46" t="n">
        <v>0</v>
      </c>
      <c r="AR46" t="n">
        <v>83</v>
      </c>
      <c r="AS46" t="n">
        <v>189</v>
      </c>
      <c r="AT46" t="n">
        <v>-0.25</v>
      </c>
      <c r="AU46" t="n">
        <v>0</v>
      </c>
      <c r="AV46" t="n">
        <v>82</v>
      </c>
      <c r="AW46" t="n">
        <v>-0.25</v>
      </c>
      <c r="AX46"/>
      <c r="AY46"/>
      <c r="AZ46"/>
      <c r="BA46"/>
      <c r="BB46"/>
      <c r="BC46"/>
      <c r="BD46"/>
      <c r="BE46"/>
      <c r="BF46" t="s">
        <v>65</v>
      </c>
      <c r="BG46" s="1" t="n">
        <v>-0.302081280993471</v>
      </c>
      <c r="BH46" s="1" t="n">
        <v>0.714285714285714</v>
      </c>
      <c r="BI46" t="n">
        <v>28</v>
      </c>
      <c r="BJ46" t="s">
        <v>72</v>
      </c>
    </row>
    <row r="47">
      <c r="A47" t="s">
        <v>158</v>
      </c>
      <c r="B47" t="s">
        <v>159</v>
      </c>
      <c r="C47" t="s">
        <v>64</v>
      </c>
      <c r="D47" t="n">
        <v>1</v>
      </c>
      <c r="E47" t="s">
        <v>65</v>
      </c>
      <c r="F47" t="s">
        <v>66</v>
      </c>
      <c r="G47" t="s">
        <v>87</v>
      </c>
      <c r="H47" t="n">
        <v>32</v>
      </c>
      <c r="I47" t="s">
        <v>68</v>
      </c>
      <c r="J47" t="s">
        <v>69</v>
      </c>
      <c r="K47" t="n">
        <v>-5.5</v>
      </c>
      <c r="L47" t="n">
        <v>-0.75</v>
      </c>
      <c r="M47" t="n">
        <v>100</v>
      </c>
      <c r="N47" t="n">
        <v>-5.875</v>
      </c>
      <c r="O47" s="1" t="n">
        <v>1.49485002168009</v>
      </c>
      <c r="P47" s="1" t="n">
        <v>0</v>
      </c>
      <c r="Q47" t="n">
        <v>559</v>
      </c>
      <c r="R47" t="n">
        <v>42.77</v>
      </c>
      <c r="S47" t="n">
        <v>0</v>
      </c>
      <c r="T47" t="n">
        <v>6.4</v>
      </c>
      <c r="U47" t="n">
        <v>86</v>
      </c>
      <c r="V47" t="n">
        <v>0</v>
      </c>
      <c r="W47" t="n">
        <v>166</v>
      </c>
      <c r="X47" t="n">
        <v>0.5</v>
      </c>
      <c r="Y47" t="n">
        <v>0</v>
      </c>
      <c r="Z47" t="n">
        <v>166</v>
      </c>
      <c r="AA47" t="n">
        <v>0.5</v>
      </c>
      <c r="AB47" s="1" t="n">
        <v>0</v>
      </c>
      <c r="AC47" s="1" t="n">
        <v>0</v>
      </c>
      <c r="AD47" t="n">
        <v>0</v>
      </c>
      <c r="AE47" t="n">
        <v>5</v>
      </c>
      <c r="AF47" t="s">
        <v>69</v>
      </c>
      <c r="AG47" t="s">
        <v>69</v>
      </c>
      <c r="AH47" t="s">
        <v>70</v>
      </c>
      <c r="AI47" t="s">
        <v>71</v>
      </c>
      <c r="AJ47" t="n">
        <v>24</v>
      </c>
      <c r="AK47" t="n">
        <v>0.5</v>
      </c>
      <c r="AL47" t="n">
        <v>0</v>
      </c>
      <c r="AM47" t="n">
        <v>14</v>
      </c>
      <c r="AN47" t="n">
        <v>0.5</v>
      </c>
      <c r="AO47" t="n">
        <v>86</v>
      </c>
      <c r="AP47" t="n">
        <v>0.5</v>
      </c>
      <c r="AQ47" t="n">
        <v>-0.25</v>
      </c>
      <c r="AR47" t="n">
        <v>107</v>
      </c>
      <c r="AS47" t="n">
        <v>166</v>
      </c>
      <c r="AT47" t="n">
        <v>0.5</v>
      </c>
      <c r="AU47" t="n">
        <v>0</v>
      </c>
      <c r="AV47" t="n">
        <v>166</v>
      </c>
      <c r="AW47" t="n">
        <v>0.5</v>
      </c>
      <c r="AX47" t="n">
        <v>359</v>
      </c>
      <c r="AY47" t="n">
        <v>0.5</v>
      </c>
      <c r="AZ47" t="n">
        <v>-0.25</v>
      </c>
      <c r="BA47" t="n">
        <v>165</v>
      </c>
      <c r="BB47" t="n">
        <v>697</v>
      </c>
      <c r="BC47" t="n">
        <v>0.5</v>
      </c>
      <c r="BD47" t="n">
        <v>0</v>
      </c>
      <c r="BE47" t="n">
        <v>34</v>
      </c>
      <c r="BF47" t="s">
        <v>65</v>
      </c>
      <c r="BG47" s="1" t="n">
        <v>-1.22982445182742</v>
      </c>
      <c r="BH47" s="1" t="n">
        <v>0.714285714285714</v>
      </c>
      <c r="BI47" t="n">
        <v>3</v>
      </c>
      <c r="BJ47" t="s">
        <v>72</v>
      </c>
    </row>
    <row r="48">
      <c r="A48" t="s">
        <v>160</v>
      </c>
      <c r="B48" t="s">
        <v>161</v>
      </c>
      <c r="C48" t="s">
        <v>64</v>
      </c>
      <c r="D48" t="n">
        <v>1</v>
      </c>
      <c r="E48" t="s">
        <v>65</v>
      </c>
      <c r="F48" t="s">
        <v>66</v>
      </c>
      <c r="G48" t="s">
        <v>87</v>
      </c>
      <c r="H48" t="n">
        <v>38</v>
      </c>
      <c r="I48" t="s">
        <v>88</v>
      </c>
      <c r="J48" t="s">
        <v>69</v>
      </c>
      <c r="K48" t="n">
        <v>-5.75</v>
      </c>
      <c r="L48" t="n">
        <v>-1.25</v>
      </c>
      <c r="M48" t="n">
        <v>156</v>
      </c>
      <c r="N48" t="n">
        <v>-6.375</v>
      </c>
      <c r="O48" s="1" t="n">
        <v>1.69897000433602</v>
      </c>
      <c r="P48" s="1" t="n">
        <v>0</v>
      </c>
      <c r="Q48" t="n">
        <v>525</v>
      </c>
      <c r="R48" t="n">
        <v>42.69</v>
      </c>
      <c r="S48" t="n">
        <v>1</v>
      </c>
      <c r="T48" t="n">
        <v>6.5</v>
      </c>
      <c r="U48" t="n">
        <v>101</v>
      </c>
      <c r="V48" t="n">
        <v>0</v>
      </c>
      <c r="W48" t="n">
        <v>163</v>
      </c>
      <c r="X48" t="n">
        <v>-0.25</v>
      </c>
      <c r="Y48" t="n">
        <v>-0.25</v>
      </c>
      <c r="Z48" t="n">
        <v>92</v>
      </c>
      <c r="AA48" t="n">
        <v>-0.375</v>
      </c>
      <c r="AB48" s="1" t="n">
        <v>0</v>
      </c>
      <c r="AC48" s="1" t="n">
        <v>0</v>
      </c>
      <c r="AD48" t="n">
        <v>0</v>
      </c>
      <c r="AE48" t="n">
        <v>5</v>
      </c>
      <c r="AF48" t="s">
        <v>80</v>
      </c>
      <c r="AG48" t="s">
        <v>69</v>
      </c>
      <c r="AH48" t="s">
        <v>70</v>
      </c>
      <c r="AI48" t="s">
        <v>71</v>
      </c>
      <c r="AJ48" t="n">
        <v>30</v>
      </c>
      <c r="AK48" t="n">
        <v>-0.25</v>
      </c>
      <c r="AL48" t="n">
        <v>-0.25</v>
      </c>
      <c r="AM48" t="n">
        <v>98</v>
      </c>
      <c r="AN48" t="n">
        <v>-0.375</v>
      </c>
      <c r="AO48" t="n">
        <v>99</v>
      </c>
      <c r="AP48" t="n">
        <v>-0.25</v>
      </c>
      <c r="AQ48" t="n">
        <v>-0.25</v>
      </c>
      <c r="AR48" t="n">
        <v>95</v>
      </c>
      <c r="AS48" t="n">
        <v>163</v>
      </c>
      <c r="AT48" t="n">
        <v>-0.25</v>
      </c>
      <c r="AU48" t="n">
        <v>-0.25</v>
      </c>
      <c r="AV48" t="n">
        <v>92</v>
      </c>
      <c r="AW48" t="n">
        <v>-0.375</v>
      </c>
      <c r="AX48"/>
      <c r="AY48"/>
      <c r="AZ48"/>
      <c r="BA48"/>
      <c r="BB48"/>
      <c r="BC48"/>
      <c r="BD48"/>
      <c r="BE48"/>
      <c r="BF48" t="s">
        <v>65</v>
      </c>
      <c r="BG48" s="1" t="n">
        <v>1.03354806551004</v>
      </c>
      <c r="BH48" s="1" t="n">
        <v>1.42857142857143</v>
      </c>
      <c r="BI48" t="n">
        <v>11</v>
      </c>
      <c r="BJ48" t="s">
        <v>72</v>
      </c>
    </row>
    <row r="49">
      <c r="A49" t="s">
        <v>160</v>
      </c>
      <c r="B49" t="s">
        <v>162</v>
      </c>
      <c r="C49" t="s">
        <v>74</v>
      </c>
      <c r="D49" t="n">
        <v>1</v>
      </c>
      <c r="E49" t="s">
        <v>65</v>
      </c>
      <c r="F49" t="s">
        <v>66</v>
      </c>
      <c r="G49" t="s">
        <v>87</v>
      </c>
      <c r="H49" t="n">
        <v>38</v>
      </c>
      <c r="I49" t="s">
        <v>88</v>
      </c>
      <c r="J49" t="s">
        <v>69</v>
      </c>
      <c r="K49" t="n">
        <v>-4.75</v>
      </c>
      <c r="L49" t="n">
        <v>-2</v>
      </c>
      <c r="M49" t="n">
        <v>36</v>
      </c>
      <c r="N49" t="n">
        <v>-5.75</v>
      </c>
      <c r="O49" s="1" t="n">
        <v>1.69897000433602</v>
      </c>
      <c r="P49" s="1" t="n">
        <v>0</v>
      </c>
      <c r="Q49" t="n">
        <v>525</v>
      </c>
      <c r="R49" t="n">
        <v>42.72</v>
      </c>
      <c r="S49" t="n">
        <v>1</v>
      </c>
      <c r="T49" t="n">
        <v>6.5</v>
      </c>
      <c r="U49" t="n">
        <v>98</v>
      </c>
      <c r="V49" t="n">
        <v>0</v>
      </c>
      <c r="W49" t="n">
        <v>202</v>
      </c>
      <c r="X49" t="n">
        <v>-0.25</v>
      </c>
      <c r="Y49" t="n">
        <v>-0.25</v>
      </c>
      <c r="Z49" t="n">
        <v>80</v>
      </c>
      <c r="AA49" t="n">
        <v>-0.375</v>
      </c>
      <c r="AB49" s="1" t="n">
        <v>0</v>
      </c>
      <c r="AC49" s="1" t="n">
        <v>0</v>
      </c>
      <c r="AD49" t="n">
        <v>0</v>
      </c>
      <c r="AE49" t="n">
        <v>4</v>
      </c>
      <c r="AF49" t="s">
        <v>69</v>
      </c>
      <c r="AG49" t="s">
        <v>69</v>
      </c>
      <c r="AH49" t="s">
        <v>70</v>
      </c>
      <c r="AI49" t="s">
        <v>95</v>
      </c>
      <c r="AJ49" t="n">
        <v>28</v>
      </c>
      <c r="AK49" t="n">
        <v>-0.5</v>
      </c>
      <c r="AL49" t="n">
        <v>0.25</v>
      </c>
      <c r="AM49" t="n">
        <v>4</v>
      </c>
      <c r="AN49" t="n">
        <v>-0.375</v>
      </c>
      <c r="AO49" t="n">
        <v>91</v>
      </c>
      <c r="AP49" t="n">
        <v>-0.25</v>
      </c>
      <c r="AQ49" t="n">
        <v>0.25</v>
      </c>
      <c r="AR49" t="n">
        <v>164</v>
      </c>
      <c r="AS49" t="n">
        <v>202</v>
      </c>
      <c r="AT49" t="n">
        <v>-0.5</v>
      </c>
      <c r="AU49" t="n">
        <v>0.25</v>
      </c>
      <c r="AV49" t="n">
        <v>170</v>
      </c>
      <c r="AW49" t="n">
        <v>-0.375</v>
      </c>
      <c r="AX49"/>
      <c r="AY49"/>
      <c r="AZ49"/>
      <c r="BA49"/>
      <c r="BB49"/>
      <c r="BC49"/>
      <c r="BD49"/>
      <c r="BE49"/>
      <c r="BF49" t="s">
        <v>65</v>
      </c>
      <c r="BG49" s="1" t="n">
        <v>0.147142958056411</v>
      </c>
      <c r="BH49" s="1" t="n">
        <v>1.42857142857143</v>
      </c>
      <c r="BI49" t="n">
        <v>4</v>
      </c>
      <c r="BJ49" t="s">
        <v>72</v>
      </c>
    </row>
    <row r="50">
      <c r="A50" t="s">
        <v>163</v>
      </c>
      <c r="B50" t="s">
        <v>164</v>
      </c>
      <c r="C50" t="s">
        <v>64</v>
      </c>
      <c r="D50" t="n">
        <v>1</v>
      </c>
      <c r="E50" t="s">
        <v>65</v>
      </c>
      <c r="F50" t="s">
        <v>66</v>
      </c>
      <c r="G50" t="s">
        <v>87</v>
      </c>
      <c r="H50" t="n">
        <v>35</v>
      </c>
      <c r="I50" t="s">
        <v>88</v>
      </c>
      <c r="J50" t="s">
        <v>69</v>
      </c>
      <c r="K50" t="n">
        <v>-3.75</v>
      </c>
      <c r="L50" t="n">
        <v>-0.75</v>
      </c>
      <c r="M50" t="n">
        <v>35</v>
      </c>
      <c r="N50" t="n">
        <v>-4.125</v>
      </c>
      <c r="O50" s="1" t="n">
        <v>1.09691001300806</v>
      </c>
      <c r="P50" s="1" t="n">
        <v>0</v>
      </c>
      <c r="Q50" t="n">
        <v>525</v>
      </c>
      <c r="R50" t="n">
        <v>43.55</v>
      </c>
      <c r="S50" t="n">
        <v>1</v>
      </c>
      <c r="T50" t="n">
        <v>6.4</v>
      </c>
      <c r="U50" t="n">
        <v>62</v>
      </c>
      <c r="V50" t="n">
        <v>0</v>
      </c>
      <c r="W50" t="n">
        <v>178</v>
      </c>
      <c r="X50" t="n">
        <v>0.75</v>
      </c>
      <c r="Y50" t="n">
        <v>-0.25</v>
      </c>
      <c r="Z50" t="n">
        <v>7</v>
      </c>
      <c r="AA50" t="n">
        <v>0.625</v>
      </c>
      <c r="AB50" s="1" t="n">
        <v>0</v>
      </c>
      <c r="AC50" s="1" t="n">
        <v>0</v>
      </c>
      <c r="AD50" t="n">
        <v>0</v>
      </c>
      <c r="AE50" t="n">
        <v>4</v>
      </c>
      <c r="AF50" t="s">
        <v>80</v>
      </c>
      <c r="AG50" t="s">
        <v>69</v>
      </c>
      <c r="AH50" t="s">
        <v>70</v>
      </c>
      <c r="AI50" t="s">
        <v>71</v>
      </c>
      <c r="AJ50" t="n">
        <v>27</v>
      </c>
      <c r="AK50" t="n">
        <v>1</v>
      </c>
      <c r="AL50" t="n">
        <v>-0.25</v>
      </c>
      <c r="AM50" t="n">
        <v>8</v>
      </c>
      <c r="AN50" t="n">
        <v>0.875</v>
      </c>
      <c r="AO50" t="n">
        <v>84</v>
      </c>
      <c r="AP50" t="n">
        <v>0.75</v>
      </c>
      <c r="AQ50" t="n">
        <v>-0.25</v>
      </c>
      <c r="AR50" t="n">
        <v>6</v>
      </c>
      <c r="AS50" t="n">
        <v>178</v>
      </c>
      <c r="AT50" t="n">
        <v>0.75</v>
      </c>
      <c r="AU50" t="n">
        <v>-0.25</v>
      </c>
      <c r="AV50" t="n">
        <v>7</v>
      </c>
      <c r="AW50" t="n">
        <v>0.625</v>
      </c>
      <c r="AX50" t="n">
        <v>352</v>
      </c>
      <c r="AY50" t="n">
        <v>0.75</v>
      </c>
      <c r="AZ50" t="n">
        <v>-0.5</v>
      </c>
      <c r="BA50" t="n">
        <v>14</v>
      </c>
      <c r="BB50" t="n">
        <v>745</v>
      </c>
      <c r="BC50" t="n">
        <v>0.75</v>
      </c>
      <c r="BD50" t="n">
        <v>-0.5</v>
      </c>
      <c r="BE50" t="n">
        <v>9</v>
      </c>
      <c r="BF50" t="s">
        <v>65</v>
      </c>
      <c r="BG50" s="1" t="n">
        <v>-0.14799766414958</v>
      </c>
      <c r="BH50" s="1" t="n">
        <v>1.42857142857143</v>
      </c>
      <c r="BI50" t="n">
        <v>40</v>
      </c>
      <c r="BJ50" t="s">
        <v>72</v>
      </c>
    </row>
    <row r="51">
      <c r="A51" t="s">
        <v>165</v>
      </c>
      <c r="B51" t="s">
        <v>166</v>
      </c>
      <c r="C51" t="s">
        <v>64</v>
      </c>
      <c r="D51" t="n">
        <v>1</v>
      </c>
      <c r="E51" t="s">
        <v>65</v>
      </c>
      <c r="F51" t="s">
        <v>66</v>
      </c>
      <c r="G51" t="s">
        <v>94</v>
      </c>
      <c r="H51" t="n">
        <v>21</v>
      </c>
      <c r="I51" t="s">
        <v>68</v>
      </c>
      <c r="J51" t="s">
        <v>69</v>
      </c>
      <c r="K51" t="n">
        <v>-5.5</v>
      </c>
      <c r="L51" t="n">
        <v>-0.75</v>
      </c>
      <c r="M51" t="n">
        <v>81</v>
      </c>
      <c r="N51" t="n">
        <v>-5.875</v>
      </c>
      <c r="O51" s="1" t="n">
        <v>1.39794000867204</v>
      </c>
      <c r="P51" s="1" t="n">
        <v>-0.0969100130080564</v>
      </c>
      <c r="Q51" t="n">
        <v>520</v>
      </c>
      <c r="R51" t="n">
        <v>44.55</v>
      </c>
      <c r="S51" t="n">
        <v>0</v>
      </c>
      <c r="T51" t="n">
        <v>6.3</v>
      </c>
      <c r="U51" t="n">
        <v>79</v>
      </c>
      <c r="V51" t="n">
        <v>0</v>
      </c>
      <c r="W51" t="n">
        <v>173</v>
      </c>
      <c r="X51" t="n">
        <v>0.5</v>
      </c>
      <c r="Y51" t="n">
        <v>-0.25</v>
      </c>
      <c r="Z51" t="n">
        <v>130</v>
      </c>
      <c r="AA51" t="n">
        <v>0.375</v>
      </c>
      <c r="AB51" s="1" t="n">
        <v>-0.204119982655925</v>
      </c>
      <c r="AC51" s="1" t="n">
        <v>-0.204119982655925</v>
      </c>
      <c r="AD51" t="n">
        <v>0</v>
      </c>
      <c r="AE51" t="n">
        <v>5</v>
      </c>
      <c r="AF51" t="s">
        <v>69</v>
      </c>
      <c r="AG51" t="s">
        <v>80</v>
      </c>
      <c r="AH51" t="s">
        <v>70</v>
      </c>
      <c r="AI51" t="s">
        <v>71</v>
      </c>
      <c r="AJ51" t="n">
        <v>29</v>
      </c>
      <c r="AK51" t="n">
        <v>0.75</v>
      </c>
      <c r="AL51" t="n">
        <v>-0.25</v>
      </c>
      <c r="AM51" t="n">
        <v>138</v>
      </c>
      <c r="AN51" t="n">
        <v>0.625</v>
      </c>
      <c r="AO51" t="n">
        <v>96</v>
      </c>
      <c r="AP51" t="n">
        <v>0.5</v>
      </c>
      <c r="AQ51" t="n">
        <v>-0.5</v>
      </c>
      <c r="AR51" t="n">
        <v>137</v>
      </c>
      <c r="AS51" t="n">
        <v>173</v>
      </c>
      <c r="AT51" t="n">
        <v>0.5</v>
      </c>
      <c r="AU51" t="n">
        <v>-0.25</v>
      </c>
      <c r="AV51" t="n">
        <v>130</v>
      </c>
      <c r="AW51" t="n">
        <v>0.375</v>
      </c>
      <c r="AX51" t="n">
        <v>369</v>
      </c>
      <c r="AY51" t="n">
        <v>0.5</v>
      </c>
      <c r="AZ51" t="n">
        <v>-0.25</v>
      </c>
      <c r="BA51" t="n">
        <v>134</v>
      </c>
      <c r="BB51"/>
      <c r="BC51"/>
      <c r="BD51"/>
      <c r="BE51"/>
      <c r="BF51" t="s">
        <v>65</v>
      </c>
      <c r="BG51" s="1" t="n">
        <v>-0.256596041627212</v>
      </c>
      <c r="BH51" s="1" t="n">
        <v>0.714285714285714</v>
      </c>
      <c r="BI51" t="n">
        <v>14</v>
      </c>
      <c r="BJ51" t="s">
        <v>72</v>
      </c>
    </row>
    <row r="52">
      <c r="A52" t="s">
        <v>165</v>
      </c>
      <c r="B52" t="s">
        <v>167</v>
      </c>
      <c r="C52" t="s">
        <v>74</v>
      </c>
      <c r="D52" t="n">
        <v>1</v>
      </c>
      <c r="E52" t="s">
        <v>65</v>
      </c>
      <c r="F52" t="s">
        <v>66</v>
      </c>
      <c r="G52" t="s">
        <v>94</v>
      </c>
      <c r="H52" t="n">
        <v>21</v>
      </c>
      <c r="I52" t="s">
        <v>68</v>
      </c>
      <c r="J52" t="s">
        <v>69</v>
      </c>
      <c r="K52" t="n">
        <v>-4.25</v>
      </c>
      <c r="L52" t="n">
        <v>-0.75</v>
      </c>
      <c r="M52" t="n">
        <v>93</v>
      </c>
      <c r="N52" t="n">
        <v>-4.625</v>
      </c>
      <c r="O52" s="1" t="n">
        <v>1.20065945054642</v>
      </c>
      <c r="P52" s="1" t="n">
        <v>-0.0969100130080564</v>
      </c>
      <c r="Q52" t="n">
        <v>529</v>
      </c>
      <c r="R52" t="n">
        <v>44.12</v>
      </c>
      <c r="S52" t="n">
        <v>0</v>
      </c>
      <c r="T52" t="n">
        <v>6.3</v>
      </c>
      <c r="U52" t="n">
        <v>63</v>
      </c>
      <c r="V52" t="n">
        <v>0</v>
      </c>
      <c r="W52" t="n">
        <v>155</v>
      </c>
      <c r="X52" t="n">
        <v>0.75</v>
      </c>
      <c r="Y52" t="n">
        <v>0</v>
      </c>
      <c r="Z52" t="n">
        <v>102</v>
      </c>
      <c r="AA52" t="n">
        <v>0.75</v>
      </c>
      <c r="AB52" s="1" t="n">
        <v>-0.204119982655925</v>
      </c>
      <c r="AC52" s="1" t="n">
        <v>-0.204119982655925</v>
      </c>
      <c r="AD52" t="n">
        <v>0</v>
      </c>
      <c r="AE52" t="n">
        <v>4</v>
      </c>
      <c r="AF52" t="s">
        <v>69</v>
      </c>
      <c r="AG52" t="s">
        <v>80</v>
      </c>
      <c r="AH52" t="s">
        <v>70</v>
      </c>
      <c r="AI52" t="s">
        <v>71</v>
      </c>
      <c r="AJ52" t="n">
        <v>31</v>
      </c>
      <c r="AK52" t="n">
        <v>1</v>
      </c>
      <c r="AL52" t="n">
        <v>0</v>
      </c>
      <c r="AM52" t="n">
        <v>148</v>
      </c>
      <c r="AN52" t="n">
        <v>1</v>
      </c>
      <c r="AO52" t="n">
        <v>90</v>
      </c>
      <c r="AP52" t="n">
        <v>0.5</v>
      </c>
      <c r="AQ52" t="n">
        <v>0</v>
      </c>
      <c r="AR52" t="n">
        <v>75</v>
      </c>
      <c r="AS52" t="n">
        <v>155</v>
      </c>
      <c r="AT52" t="n">
        <v>0.75</v>
      </c>
      <c r="AU52" t="n">
        <v>0</v>
      </c>
      <c r="AV52" t="n">
        <v>102</v>
      </c>
      <c r="AW52" t="n">
        <v>0.75</v>
      </c>
      <c r="AX52" t="n">
        <v>385</v>
      </c>
      <c r="AY52" t="n">
        <v>0.5</v>
      </c>
      <c r="AZ52" t="n">
        <v>0</v>
      </c>
      <c r="BA52" t="n">
        <v>85</v>
      </c>
      <c r="BB52"/>
      <c r="BC52"/>
      <c r="BD52"/>
      <c r="BE52"/>
      <c r="BF52" t="s">
        <v>65</v>
      </c>
      <c r="BG52" s="1" t="n">
        <v>-1.6911925870193</v>
      </c>
      <c r="BH52" s="1" t="n">
        <v>0.714285714285714</v>
      </c>
      <c r="BI52" t="n">
        <v>25</v>
      </c>
      <c r="BJ52" t="s">
        <v>72</v>
      </c>
    </row>
    <row r="53">
      <c r="A53" t="s">
        <v>168</v>
      </c>
      <c r="B53" t="s">
        <v>169</v>
      </c>
      <c r="C53" t="s">
        <v>64</v>
      </c>
      <c r="D53" t="n">
        <v>1</v>
      </c>
      <c r="E53" t="s">
        <v>86</v>
      </c>
      <c r="F53" t="s">
        <v>66</v>
      </c>
      <c r="G53" t="s">
        <v>87</v>
      </c>
      <c r="H53" t="n">
        <v>48</v>
      </c>
      <c r="I53" t="s">
        <v>68</v>
      </c>
      <c r="J53" t="s">
        <v>69</v>
      </c>
      <c r="K53" t="n">
        <v>-4.5</v>
      </c>
      <c r="L53" t="n">
        <v>-1.25</v>
      </c>
      <c r="M53" t="n">
        <v>168</v>
      </c>
      <c r="N53" t="n">
        <v>-5.125</v>
      </c>
      <c r="O53" s="1" t="n">
        <v>1.49485002168009</v>
      </c>
      <c r="P53" s="1" t="n">
        <v>0</v>
      </c>
      <c r="Q53" t="n">
        <v>484</v>
      </c>
      <c r="R53" t="n">
        <v>45.35</v>
      </c>
      <c r="S53" t="n">
        <v>1</v>
      </c>
      <c r="T53" t="n">
        <v>6.3</v>
      </c>
      <c r="U53" t="n">
        <v>75</v>
      </c>
      <c r="V53" t="n">
        <v>0</v>
      </c>
      <c r="W53" t="n">
        <v>185</v>
      </c>
      <c r="X53" t="n">
        <v>-0.5</v>
      </c>
      <c r="Y53" t="n">
        <v>-0.25</v>
      </c>
      <c r="Z53" t="n">
        <v>15</v>
      </c>
      <c r="AA53" t="n">
        <v>-0.625</v>
      </c>
      <c r="AB53" s="1" t="n">
        <v>0</v>
      </c>
      <c r="AC53" s="1" t="n">
        <v>-0.0969100130080564</v>
      </c>
      <c r="AD53" t="n">
        <v>0</v>
      </c>
      <c r="AE53" t="n">
        <v>5</v>
      </c>
      <c r="AF53" t="s">
        <v>80</v>
      </c>
      <c r="AG53" t="s">
        <v>69</v>
      </c>
      <c r="AH53" t="s">
        <v>70</v>
      </c>
      <c r="AI53" t="s">
        <v>95</v>
      </c>
      <c r="AJ53" t="n">
        <v>37</v>
      </c>
      <c r="AK53" t="n">
        <v>-0.5</v>
      </c>
      <c r="AL53" t="n">
        <v>0</v>
      </c>
      <c r="AM53" t="n">
        <v>72</v>
      </c>
      <c r="AN53" t="n">
        <v>-0.5</v>
      </c>
      <c r="AO53" t="n">
        <v>84</v>
      </c>
      <c r="AP53" t="n">
        <v>-0.5</v>
      </c>
      <c r="AQ53" t="n">
        <v>0</v>
      </c>
      <c r="AR53" t="n">
        <v>102</v>
      </c>
      <c r="AS53" t="n">
        <v>185</v>
      </c>
      <c r="AT53" t="n">
        <v>-0.75</v>
      </c>
      <c r="AU53" t="n">
        <v>0.25</v>
      </c>
      <c r="AV53" t="n">
        <v>105</v>
      </c>
      <c r="AW53" t="n">
        <v>-0.625</v>
      </c>
      <c r="AX53" t="n">
        <v>352</v>
      </c>
      <c r="AY53" t="n">
        <v>-0.75</v>
      </c>
      <c r="AZ53" t="n">
        <v>0</v>
      </c>
      <c r="BA53" t="n">
        <v>131</v>
      </c>
      <c r="BB53"/>
      <c r="BC53"/>
      <c r="BD53"/>
      <c r="BE53"/>
      <c r="BF53" t="s">
        <v>86</v>
      </c>
      <c r="BG53" s="1" t="n">
        <v>3.22853379084777</v>
      </c>
      <c r="BH53" s="1" t="n">
        <v>1</v>
      </c>
      <c r="BI53" t="n">
        <v>17</v>
      </c>
      <c r="BJ53" t="s">
        <v>72</v>
      </c>
    </row>
    <row r="54">
      <c r="A54" t="s">
        <v>170</v>
      </c>
      <c r="B54" t="s">
        <v>171</v>
      </c>
      <c r="C54" t="s">
        <v>64</v>
      </c>
      <c r="D54" t="n">
        <v>1</v>
      </c>
      <c r="E54" t="s">
        <v>86</v>
      </c>
      <c r="F54" t="s">
        <v>66</v>
      </c>
      <c r="G54" t="s">
        <v>67</v>
      </c>
      <c r="H54" t="n">
        <v>35</v>
      </c>
      <c r="I54" t="s">
        <v>88</v>
      </c>
      <c r="J54" t="s">
        <v>80</v>
      </c>
      <c r="K54" t="n">
        <v>-3.25</v>
      </c>
      <c r="L54" t="n">
        <v>-1.5</v>
      </c>
      <c r="M54" t="n">
        <v>177</v>
      </c>
      <c r="N54" t="n">
        <v>-4</v>
      </c>
      <c r="O54" s="1" t="n">
        <v>1.09691001300806</v>
      </c>
      <c r="P54" s="1" t="n">
        <v>0</v>
      </c>
      <c r="Q54" t="n">
        <v>550</v>
      </c>
      <c r="R54" t="n">
        <v>44.7</v>
      </c>
      <c r="S54" t="n">
        <v>1</v>
      </c>
      <c r="T54" t="n">
        <v>6.6</v>
      </c>
      <c r="U54" t="n">
        <v>70</v>
      </c>
      <c r="V54" t="n">
        <v>0</v>
      </c>
      <c r="W54" t="n">
        <v>195</v>
      </c>
      <c r="X54" t="n">
        <v>0.25</v>
      </c>
      <c r="Y54" t="n">
        <v>-0.25</v>
      </c>
      <c r="Z54" t="n">
        <v>129</v>
      </c>
      <c r="AA54" t="n">
        <v>0.125</v>
      </c>
      <c r="AB54" s="1"/>
      <c r="AC54" s="1" t="n">
        <v>0</v>
      </c>
      <c r="AD54" t="n">
        <v>1</v>
      </c>
      <c r="AE54" t="n">
        <v>4</v>
      </c>
      <c r="AF54" t="s">
        <v>80</v>
      </c>
      <c r="AG54" t="s">
        <v>69</v>
      </c>
      <c r="AH54" t="s">
        <v>70</v>
      </c>
      <c r="AI54" t="s">
        <v>95</v>
      </c>
      <c r="AJ54" t="n">
        <v>30</v>
      </c>
      <c r="AK54" t="n">
        <v>0.5</v>
      </c>
      <c r="AL54" t="n">
        <v>0.25</v>
      </c>
      <c r="AM54" t="n">
        <v>40</v>
      </c>
      <c r="AN54" t="n">
        <v>0.625</v>
      </c>
      <c r="AO54" t="n">
        <v>104</v>
      </c>
      <c r="AP54" t="n">
        <v>0</v>
      </c>
      <c r="AQ54" t="n">
        <v>0</v>
      </c>
      <c r="AR54" t="n">
        <v>22</v>
      </c>
      <c r="AS54" t="n">
        <v>195</v>
      </c>
      <c r="AT54" t="n">
        <v>0</v>
      </c>
      <c r="AU54" t="n">
        <v>0.25</v>
      </c>
      <c r="AV54" t="n">
        <v>39</v>
      </c>
      <c r="AW54" t="n">
        <v>0.125</v>
      </c>
      <c r="AX54" t="n">
        <v>384</v>
      </c>
      <c r="AY54" t="n">
        <v>-0.25</v>
      </c>
      <c r="AZ54" t="n">
        <v>0.25</v>
      </c>
      <c r="BA54" t="n">
        <v>37</v>
      </c>
      <c r="BB54" t="n">
        <v>745</v>
      </c>
      <c r="BC54" t="n">
        <v>0</v>
      </c>
      <c r="BD54" t="n">
        <v>0.25</v>
      </c>
      <c r="BE54" t="n">
        <v>4</v>
      </c>
      <c r="BF54" t="s">
        <v>86</v>
      </c>
      <c r="BG54" s="1" t="n">
        <v>-1.53693394044766</v>
      </c>
      <c r="BH54" s="1" t="n">
        <v>1</v>
      </c>
      <c r="BI54" t="n">
        <v>18</v>
      </c>
      <c r="BJ54" t="s">
        <v>72</v>
      </c>
    </row>
    <row r="55">
      <c r="A55" t="s">
        <v>170</v>
      </c>
      <c r="B55" t="s">
        <v>172</v>
      </c>
      <c r="C55" t="s">
        <v>74</v>
      </c>
      <c r="D55" t="n">
        <v>1</v>
      </c>
      <c r="E55" t="s">
        <v>86</v>
      </c>
      <c r="F55" t="s">
        <v>66</v>
      </c>
      <c r="G55" t="s">
        <v>67</v>
      </c>
      <c r="H55" t="n">
        <v>35</v>
      </c>
      <c r="I55" t="s">
        <v>88</v>
      </c>
      <c r="J55" t="s">
        <v>80</v>
      </c>
      <c r="K55" t="n">
        <v>-2.75</v>
      </c>
      <c r="L55" t="n">
        <v>-1.5</v>
      </c>
      <c r="M55" t="n">
        <v>153</v>
      </c>
      <c r="N55" t="n">
        <v>-3.5</v>
      </c>
      <c r="O55" s="1" t="n">
        <v>1</v>
      </c>
      <c r="P55" s="1" t="n">
        <v>-0.0969100130080564</v>
      </c>
      <c r="Q55" t="n">
        <v>543</v>
      </c>
      <c r="R55" t="n">
        <v>44.42</v>
      </c>
      <c r="S55" t="n">
        <v>2</v>
      </c>
      <c r="T55" t="n">
        <v>6.6</v>
      </c>
      <c r="U55" t="n">
        <v>64</v>
      </c>
      <c r="V55" t="n">
        <v>0</v>
      </c>
      <c r="W55" t="n">
        <v>174</v>
      </c>
      <c r="X55" t="n">
        <v>0.25</v>
      </c>
      <c r="Y55" t="n">
        <v>-0.25</v>
      </c>
      <c r="Z55" t="n">
        <v>115</v>
      </c>
      <c r="AA55" t="n">
        <v>0.125</v>
      </c>
      <c r="AB55" s="1" t="n">
        <v>0</v>
      </c>
      <c r="AC55" s="1" t="n">
        <v>0</v>
      </c>
      <c r="AD55" t="n">
        <v>0</v>
      </c>
      <c r="AE55" t="n">
        <v>2</v>
      </c>
      <c r="AF55" t="s">
        <v>80</v>
      </c>
      <c r="AG55" t="s">
        <v>69</v>
      </c>
      <c r="AH55" t="s">
        <v>70</v>
      </c>
      <c r="AI55" t="s">
        <v>71</v>
      </c>
      <c r="AJ55" t="n">
        <v>25</v>
      </c>
      <c r="AK55" t="n">
        <v>1</v>
      </c>
      <c r="AL55" t="n">
        <v>-0.5</v>
      </c>
      <c r="AM55" t="n">
        <v>117</v>
      </c>
      <c r="AN55" t="n">
        <v>0.75</v>
      </c>
      <c r="AO55" t="n">
        <v>83</v>
      </c>
      <c r="AP55" t="n">
        <v>0.25</v>
      </c>
      <c r="AQ55" t="n">
        <v>-0.25</v>
      </c>
      <c r="AR55" t="n">
        <v>114</v>
      </c>
      <c r="AS55" t="n">
        <v>174</v>
      </c>
      <c r="AT55" t="n">
        <v>0.25</v>
      </c>
      <c r="AU55" t="n">
        <v>-0.25</v>
      </c>
      <c r="AV55" t="n">
        <v>115</v>
      </c>
      <c r="AW55" t="n">
        <v>0.125</v>
      </c>
      <c r="AX55" t="n">
        <v>387</v>
      </c>
      <c r="AY55" t="n">
        <v>0</v>
      </c>
      <c r="AZ55" t="n">
        <v>-0.25</v>
      </c>
      <c r="BA55" t="n">
        <v>124</v>
      </c>
      <c r="BB55" t="n">
        <v>700</v>
      </c>
      <c r="BC55" t="n">
        <v>0.25</v>
      </c>
      <c r="BD55" t="n">
        <v>-0.5</v>
      </c>
      <c r="BE55" t="n">
        <v>111</v>
      </c>
      <c r="BF55" t="s">
        <v>86</v>
      </c>
      <c r="BG55" s="1" t="n">
        <v>-1.52638179991553</v>
      </c>
      <c r="BH55" s="1" t="n">
        <v>1</v>
      </c>
      <c r="BI55" t="n">
        <v>19</v>
      </c>
      <c r="BJ55" t="s">
        <v>72</v>
      </c>
    </row>
    <row r="56">
      <c r="A56" t="s">
        <v>173</v>
      </c>
      <c r="B56" t="s">
        <v>174</v>
      </c>
      <c r="C56" t="s">
        <v>64</v>
      </c>
      <c r="D56" t="n">
        <v>1</v>
      </c>
      <c r="E56" t="s">
        <v>65</v>
      </c>
      <c r="F56" t="s">
        <v>66</v>
      </c>
      <c r="G56" t="s">
        <v>67</v>
      </c>
      <c r="H56" t="n">
        <v>41</v>
      </c>
      <c r="I56" t="s">
        <v>68</v>
      </c>
      <c r="J56" t="s">
        <v>69</v>
      </c>
      <c r="K56" t="n">
        <v>-1.75</v>
      </c>
      <c r="L56" t="n">
        <v>-0.5</v>
      </c>
      <c r="M56" t="n">
        <v>44</v>
      </c>
      <c r="N56" t="n">
        <v>-2</v>
      </c>
      <c r="O56" s="1" t="n">
        <v>0.494850021680094</v>
      </c>
      <c r="P56" s="1" t="n">
        <v>-0.0969100130080564</v>
      </c>
      <c r="Q56" t="n">
        <v>530</v>
      </c>
      <c r="R56" t="n">
        <v>44.28</v>
      </c>
      <c r="S56" t="n">
        <v>0</v>
      </c>
      <c r="T56" t="n">
        <v>6.6</v>
      </c>
      <c r="U56" t="n">
        <v>29</v>
      </c>
      <c r="V56" t="n">
        <v>0</v>
      </c>
      <c r="W56" t="n">
        <v>195</v>
      </c>
      <c r="X56" t="n">
        <v>0.25</v>
      </c>
      <c r="Y56" t="n">
        <v>-0.25</v>
      </c>
      <c r="Z56" t="n">
        <v>21</v>
      </c>
      <c r="AA56" t="n">
        <v>0.125</v>
      </c>
      <c r="AB56" s="1" t="n">
        <v>-0.204119982655925</v>
      </c>
      <c r="AC56" s="1" t="n">
        <v>-0.204119982655925</v>
      </c>
      <c r="AD56" t="n">
        <v>0</v>
      </c>
      <c r="AE56" t="n">
        <v>5</v>
      </c>
      <c r="AF56" t="s">
        <v>69</v>
      </c>
      <c r="AG56" t="s">
        <v>69</v>
      </c>
      <c r="AH56" t="s">
        <v>70</v>
      </c>
      <c r="AI56" t="s">
        <v>71</v>
      </c>
      <c r="AJ56" t="n">
        <v>35</v>
      </c>
      <c r="AK56" t="n">
        <v>0.25</v>
      </c>
      <c r="AL56" t="n">
        <v>-0.25</v>
      </c>
      <c r="AM56" t="n">
        <v>22</v>
      </c>
      <c r="AN56" t="n">
        <v>0.125</v>
      </c>
      <c r="AO56" t="n">
        <v>80</v>
      </c>
      <c r="AP56" t="n">
        <v>0.5</v>
      </c>
      <c r="AQ56" t="n">
        <v>-0.25</v>
      </c>
      <c r="AR56" t="n">
        <v>21</v>
      </c>
      <c r="AS56" t="n">
        <v>195</v>
      </c>
      <c r="AT56" t="n">
        <v>0.25</v>
      </c>
      <c r="AU56" t="n">
        <v>-0.25</v>
      </c>
      <c r="AV56" t="n">
        <v>21</v>
      </c>
      <c r="AW56" t="n">
        <v>0.125</v>
      </c>
      <c r="AX56" t="n">
        <v>356</v>
      </c>
      <c r="AY56" t="n">
        <v>0.25</v>
      </c>
      <c r="AZ56" t="n">
        <v>-0.25</v>
      </c>
      <c r="BA56" t="n">
        <v>33</v>
      </c>
      <c r="BB56" t="n">
        <v>775</v>
      </c>
      <c r="BC56" t="n">
        <v>0</v>
      </c>
      <c r="BD56" t="n">
        <v>-0.25</v>
      </c>
      <c r="BE56" t="n">
        <v>16</v>
      </c>
      <c r="BF56" t="s">
        <v>65</v>
      </c>
      <c r="BG56" s="1" t="n">
        <v>-0.333111706731369</v>
      </c>
      <c r="BH56" s="1" t="n">
        <v>0.714285714285714</v>
      </c>
      <c r="BI56" t="n">
        <v>28</v>
      </c>
      <c r="BJ56" t="s">
        <v>72</v>
      </c>
    </row>
    <row r="57">
      <c r="A57" t="s">
        <v>173</v>
      </c>
      <c r="B57" t="s">
        <v>175</v>
      </c>
      <c r="C57" t="s">
        <v>74</v>
      </c>
      <c r="D57" t="n">
        <v>1</v>
      </c>
      <c r="E57" t="s">
        <v>65</v>
      </c>
      <c r="F57" t="s">
        <v>66</v>
      </c>
      <c r="G57" t="s">
        <v>67</v>
      </c>
      <c r="H57" t="n">
        <v>41</v>
      </c>
      <c r="I57" t="s">
        <v>68</v>
      </c>
      <c r="J57" t="s">
        <v>69</v>
      </c>
      <c r="K57" t="n">
        <v>-4.25</v>
      </c>
      <c r="L57" t="n">
        <v>-0.5</v>
      </c>
      <c r="M57" t="n">
        <v>125</v>
      </c>
      <c r="N57" t="n">
        <v>-4.5</v>
      </c>
      <c r="O57" s="1" t="n">
        <v>1.30102999566398</v>
      </c>
      <c r="P57" s="1" t="n">
        <v>0</v>
      </c>
      <c r="Q57" t="n">
        <v>513</v>
      </c>
      <c r="R57" t="n">
        <v>44.08</v>
      </c>
      <c r="S57" t="n">
        <v>0</v>
      </c>
      <c r="T57" t="n">
        <v>6.6</v>
      </c>
      <c r="U57" t="n">
        <v>71</v>
      </c>
      <c r="V57" t="n">
        <v>0</v>
      </c>
      <c r="W57" t="n">
        <v>200</v>
      </c>
      <c r="X57" t="n">
        <v>-0.5</v>
      </c>
      <c r="Y57" t="n">
        <v>-0.5</v>
      </c>
      <c r="Z57" t="n">
        <v>158</v>
      </c>
      <c r="AA57" t="n">
        <v>-0.75</v>
      </c>
      <c r="AB57" s="1" t="n">
        <v>-0.0969100130080564</v>
      </c>
      <c r="AC57" s="1" t="n">
        <v>-0.204119982655925</v>
      </c>
      <c r="AD57" t="n">
        <v>0</v>
      </c>
      <c r="AE57" t="n">
        <v>4</v>
      </c>
      <c r="AF57" t="s">
        <v>69</v>
      </c>
      <c r="AG57" t="s">
        <v>80</v>
      </c>
      <c r="AH57" t="s">
        <v>70</v>
      </c>
      <c r="AI57" t="s">
        <v>71</v>
      </c>
      <c r="AJ57" t="n">
        <v>37</v>
      </c>
      <c r="AK57" t="n">
        <v>-0.5</v>
      </c>
      <c r="AL57" t="n">
        <v>-0.25</v>
      </c>
      <c r="AM57" t="n">
        <v>174</v>
      </c>
      <c r="AN57" t="n">
        <v>-0.625</v>
      </c>
      <c r="AO57" t="n">
        <v>101</v>
      </c>
      <c r="AP57" t="n">
        <v>-0.25</v>
      </c>
      <c r="AQ57" t="n">
        <v>-0.5</v>
      </c>
      <c r="AR57" t="n">
        <v>161</v>
      </c>
      <c r="AS57" t="n">
        <v>200</v>
      </c>
      <c r="AT57" t="n">
        <v>-0.5</v>
      </c>
      <c r="AU57" t="n">
        <v>-0.5</v>
      </c>
      <c r="AV57" t="n">
        <v>158</v>
      </c>
      <c r="AW57" t="n">
        <v>-0.75</v>
      </c>
      <c r="AX57" t="n">
        <v>359</v>
      </c>
      <c r="AY57" t="n">
        <v>-0.5</v>
      </c>
      <c r="AZ57" t="n">
        <v>-0.25</v>
      </c>
      <c r="BA57" t="n">
        <v>149</v>
      </c>
      <c r="BB57" t="n">
        <v>754</v>
      </c>
      <c r="BC57" t="n">
        <v>-0.5</v>
      </c>
      <c r="BD57" t="n">
        <v>-0.5</v>
      </c>
      <c r="BE57" t="n">
        <v>159</v>
      </c>
      <c r="BF57" t="s">
        <v>65</v>
      </c>
      <c r="BG57" s="1" t="n">
        <v>0.87183720746668</v>
      </c>
      <c r="BH57" s="1" t="n">
        <v>1.42857142857143</v>
      </c>
      <c r="BI57" t="n">
        <v>20</v>
      </c>
      <c r="BJ57" t="s">
        <v>72</v>
      </c>
    </row>
    <row r="58">
      <c r="A58" t="s">
        <v>176</v>
      </c>
      <c r="B58" t="s">
        <v>177</v>
      </c>
      <c r="C58" t="s">
        <v>64</v>
      </c>
      <c r="D58" t="n">
        <v>1</v>
      </c>
      <c r="E58" t="s">
        <v>86</v>
      </c>
      <c r="F58" t="s">
        <v>66</v>
      </c>
      <c r="G58" t="s">
        <v>94</v>
      </c>
      <c r="H58" t="n">
        <v>35</v>
      </c>
      <c r="I58" t="s">
        <v>68</v>
      </c>
      <c r="J58" t="s">
        <v>69</v>
      </c>
      <c r="K58" t="n">
        <v>-5.75</v>
      </c>
      <c r="L58" t="n">
        <v>-0.5</v>
      </c>
      <c r="M58" t="n">
        <v>140</v>
      </c>
      <c r="N58" t="n">
        <v>-6</v>
      </c>
      <c r="O58" s="1" t="n">
        <v>1.60205999132796</v>
      </c>
      <c r="P58" s="1" t="n">
        <v>0</v>
      </c>
      <c r="Q58" t="n">
        <v>512</v>
      </c>
      <c r="R58" t="n">
        <v>44.45</v>
      </c>
      <c r="S58" t="n">
        <v>1</v>
      </c>
      <c r="T58" t="n">
        <v>6.3</v>
      </c>
      <c r="U58" t="n">
        <v>79</v>
      </c>
      <c r="V58" t="n">
        <v>0</v>
      </c>
      <c r="W58" t="n">
        <v>194</v>
      </c>
      <c r="X58" t="n">
        <v>-0.5</v>
      </c>
      <c r="Y58" t="n">
        <v>0</v>
      </c>
      <c r="Z58" t="n">
        <v>150</v>
      </c>
      <c r="AA58" t="n">
        <v>-0.5</v>
      </c>
      <c r="AB58" s="1" t="n">
        <v>0.0969100130080564</v>
      </c>
      <c r="AC58" s="1" t="n">
        <v>0</v>
      </c>
      <c r="AD58" t="n">
        <v>0</v>
      </c>
      <c r="AE58" t="n">
        <v>2</v>
      </c>
      <c r="AF58" t="s">
        <v>80</v>
      </c>
      <c r="AG58" t="s">
        <v>69</v>
      </c>
      <c r="AH58" t="s">
        <v>70</v>
      </c>
      <c r="AI58" t="s">
        <v>71</v>
      </c>
      <c r="AJ58" t="n">
        <v>27</v>
      </c>
      <c r="AK58" t="n">
        <v>0</v>
      </c>
      <c r="AL58" t="n">
        <v>0</v>
      </c>
      <c r="AM58" t="n">
        <v>144</v>
      </c>
      <c r="AN58" t="n">
        <v>0</v>
      </c>
      <c r="AO58" t="n">
        <v>83</v>
      </c>
      <c r="AP58" t="n">
        <v>-0.25</v>
      </c>
      <c r="AQ58" t="n">
        <v>-0.25</v>
      </c>
      <c r="AR58" t="n">
        <v>147</v>
      </c>
      <c r="AS58" t="n">
        <v>194</v>
      </c>
      <c r="AT58" t="n">
        <v>-0.5</v>
      </c>
      <c r="AU58" t="n">
        <v>0</v>
      </c>
      <c r="AV58" t="n">
        <v>150</v>
      </c>
      <c r="AW58" t="n">
        <v>-0.5</v>
      </c>
      <c r="AX58" t="n">
        <v>379</v>
      </c>
      <c r="AY58" t="n">
        <v>-0.5</v>
      </c>
      <c r="AZ58" t="n">
        <v>-0.25</v>
      </c>
      <c r="BA58" t="n">
        <v>180</v>
      </c>
      <c r="BB58"/>
      <c r="BC58"/>
      <c r="BD58"/>
      <c r="BE58"/>
      <c r="BF58" t="s">
        <v>86</v>
      </c>
      <c r="BG58" s="1" t="n">
        <v>1.15835124983716</v>
      </c>
      <c r="BH58" s="1" t="n">
        <v>1</v>
      </c>
      <c r="BI58" t="n">
        <v>20</v>
      </c>
      <c r="BJ58" t="s">
        <v>72</v>
      </c>
    </row>
    <row r="59">
      <c r="A59" t="s">
        <v>176</v>
      </c>
      <c r="B59" t="s">
        <v>178</v>
      </c>
      <c r="C59" t="s">
        <v>74</v>
      </c>
      <c r="D59" t="n">
        <v>1</v>
      </c>
      <c r="E59" t="s">
        <v>86</v>
      </c>
      <c r="F59" t="s">
        <v>66</v>
      </c>
      <c r="G59" t="s">
        <v>94</v>
      </c>
      <c r="H59" t="n">
        <v>35</v>
      </c>
      <c r="I59" t="s">
        <v>68</v>
      </c>
      <c r="J59" t="s">
        <v>69</v>
      </c>
      <c r="K59" t="n">
        <v>-5.5</v>
      </c>
      <c r="L59" t="n">
        <v>-0.75</v>
      </c>
      <c r="M59" t="n">
        <v>41</v>
      </c>
      <c r="N59" t="n">
        <v>-5.875</v>
      </c>
      <c r="O59" s="1" t="n">
        <v>1.69897000433602</v>
      </c>
      <c r="P59" s="1" t="n">
        <v>0</v>
      </c>
      <c r="Q59" t="n">
        <v>513</v>
      </c>
      <c r="R59" t="n">
        <v>43.99</v>
      </c>
      <c r="S59" t="n">
        <v>0</v>
      </c>
      <c r="T59" t="n">
        <v>6.3</v>
      </c>
      <c r="U59" t="n">
        <v>84</v>
      </c>
      <c r="V59" t="n">
        <v>0</v>
      </c>
      <c r="W59" t="n">
        <v>196</v>
      </c>
      <c r="X59" t="n">
        <v>-0.75</v>
      </c>
      <c r="Y59" t="n">
        <v>0</v>
      </c>
      <c r="Z59" t="n">
        <v>140</v>
      </c>
      <c r="AA59" t="n">
        <v>-0.75</v>
      </c>
      <c r="AB59" s="1" t="n">
        <v>0.301029995663981</v>
      </c>
      <c r="AC59" s="1" t="n">
        <v>0.0969100130080564</v>
      </c>
      <c r="AD59" t="n">
        <v>0</v>
      </c>
      <c r="AE59" t="n">
        <v>4</v>
      </c>
      <c r="AF59" t="s">
        <v>69</v>
      </c>
      <c r="AG59" t="s">
        <v>80</v>
      </c>
      <c r="AH59" t="s">
        <v>70</v>
      </c>
      <c r="AI59" t="s">
        <v>95</v>
      </c>
      <c r="AJ59" t="n">
        <v>32</v>
      </c>
      <c r="AK59" t="n">
        <v>-0.25</v>
      </c>
      <c r="AL59" t="n">
        <v>0.25</v>
      </c>
      <c r="AM59" t="n">
        <v>125</v>
      </c>
      <c r="AN59" t="n">
        <v>-0.125</v>
      </c>
      <c r="AO59" t="n">
        <v>88</v>
      </c>
      <c r="AP59" t="n">
        <v>-0.75</v>
      </c>
      <c r="AQ59" t="n">
        <v>0.25</v>
      </c>
      <c r="AR59" t="n">
        <v>156</v>
      </c>
      <c r="AS59" t="n">
        <v>196</v>
      </c>
      <c r="AT59" t="n">
        <v>-0.75</v>
      </c>
      <c r="AU59" t="n">
        <v>0</v>
      </c>
      <c r="AV59" t="n">
        <v>140</v>
      </c>
      <c r="AW59" t="n">
        <v>-0.75</v>
      </c>
      <c r="AX59" t="n">
        <v>369</v>
      </c>
      <c r="AY59" t="n">
        <v>-1</v>
      </c>
      <c r="AZ59" t="n">
        <v>0</v>
      </c>
      <c r="BA59" t="n">
        <v>74</v>
      </c>
      <c r="BB59"/>
      <c r="BC59"/>
      <c r="BD59"/>
      <c r="BE59"/>
      <c r="BF59" t="s">
        <v>86</v>
      </c>
      <c r="BG59" s="1" t="n">
        <v>0.552191263005146</v>
      </c>
      <c r="BH59" s="1" t="n">
        <v>1</v>
      </c>
      <c r="BI59" t="n">
        <v>21</v>
      </c>
      <c r="BJ59" t="s">
        <v>72</v>
      </c>
    </row>
    <row r="60">
      <c r="A60" t="s">
        <v>179</v>
      </c>
      <c r="B60" t="s">
        <v>180</v>
      </c>
      <c r="C60" t="s">
        <v>64</v>
      </c>
      <c r="D60" t="n">
        <v>1</v>
      </c>
      <c r="E60" t="s">
        <v>86</v>
      </c>
      <c r="F60" t="s">
        <v>66</v>
      </c>
      <c r="G60" t="s">
        <v>87</v>
      </c>
      <c r="H60" t="n">
        <v>47</v>
      </c>
      <c r="I60" t="s">
        <v>68</v>
      </c>
      <c r="J60" t="s">
        <v>69</v>
      </c>
      <c r="K60" t="n">
        <v>-2.75</v>
      </c>
      <c r="L60" t="n">
        <v>-1.25</v>
      </c>
      <c r="M60" t="n">
        <v>2</v>
      </c>
      <c r="N60" t="n">
        <v>-3.375</v>
      </c>
      <c r="O60" s="1" t="n">
        <v>1</v>
      </c>
      <c r="P60" s="1" t="n">
        <v>-0.0969100130080564</v>
      </c>
      <c r="Q60" t="n">
        <v>540</v>
      </c>
      <c r="R60" t="n">
        <v>44.04</v>
      </c>
      <c r="S60" t="n">
        <v>3</v>
      </c>
      <c r="T60" t="n">
        <v>6.6</v>
      </c>
      <c r="U60" t="n">
        <v>55</v>
      </c>
      <c r="V60" t="n">
        <v>0</v>
      </c>
      <c r="W60" t="n">
        <v>162</v>
      </c>
      <c r="X60" t="n">
        <v>0</v>
      </c>
      <c r="Y60" t="n">
        <v>-0.25</v>
      </c>
      <c r="Z60" t="n">
        <v>58</v>
      </c>
      <c r="AA60" t="n">
        <v>-0.125</v>
      </c>
      <c r="AB60" s="1" t="n">
        <v>-0.0969100130080564</v>
      </c>
      <c r="AC60" s="1" t="n">
        <v>-0.0969100130080564</v>
      </c>
      <c r="AD60" t="n">
        <v>0</v>
      </c>
      <c r="AE60" t="n">
        <v>4</v>
      </c>
      <c r="AF60" t="s">
        <v>80</v>
      </c>
      <c r="AG60" t="s">
        <v>69</v>
      </c>
      <c r="AH60" t="s">
        <v>70</v>
      </c>
      <c r="AI60" t="s">
        <v>71</v>
      </c>
      <c r="AJ60" t="n">
        <v>37</v>
      </c>
      <c r="AK60" t="n">
        <v>0</v>
      </c>
      <c r="AL60" t="n">
        <v>-0.25</v>
      </c>
      <c r="AM60" t="n">
        <v>49</v>
      </c>
      <c r="AN60" t="n">
        <v>-0.125</v>
      </c>
      <c r="AO60" t="n">
        <v>104</v>
      </c>
      <c r="AP60" t="n">
        <v>0</v>
      </c>
      <c r="AQ60" t="n">
        <v>-0.25</v>
      </c>
      <c r="AR60" t="n">
        <v>89</v>
      </c>
      <c r="AS60" t="n">
        <v>162</v>
      </c>
      <c r="AT60" t="n">
        <v>0</v>
      </c>
      <c r="AU60" t="n">
        <v>-0.25</v>
      </c>
      <c r="AV60" t="n">
        <v>58</v>
      </c>
      <c r="AW60" t="n">
        <v>-0.125</v>
      </c>
      <c r="AX60" t="n">
        <v>338</v>
      </c>
      <c r="AY60" t="n">
        <v>0</v>
      </c>
      <c r="AZ60" t="n">
        <v>-0.25</v>
      </c>
      <c r="BA60" t="n">
        <v>56</v>
      </c>
      <c r="BB60" t="n">
        <v>704</v>
      </c>
      <c r="BC60" t="n">
        <v>-0.25</v>
      </c>
      <c r="BD60" t="n">
        <v>-0.25</v>
      </c>
      <c r="BE60" t="n">
        <v>57</v>
      </c>
      <c r="BF60" t="s">
        <v>86</v>
      </c>
      <c r="BG60" s="1" t="n">
        <v>-0.142955235431264</v>
      </c>
      <c r="BH60" s="1" t="n">
        <v>1</v>
      </c>
      <c r="BI60" t="n">
        <v>22</v>
      </c>
      <c r="BJ60" t="s">
        <v>72</v>
      </c>
    </row>
    <row r="61">
      <c r="A61" t="s">
        <v>179</v>
      </c>
      <c r="B61" t="s">
        <v>181</v>
      </c>
      <c r="C61" t="s">
        <v>74</v>
      </c>
      <c r="D61" t="n">
        <v>1</v>
      </c>
      <c r="E61" t="s">
        <v>86</v>
      </c>
      <c r="F61" t="s">
        <v>66</v>
      </c>
      <c r="G61" t="s">
        <v>87</v>
      </c>
      <c r="H61" t="n">
        <v>47</v>
      </c>
      <c r="I61" t="s">
        <v>68</v>
      </c>
      <c r="J61" t="s">
        <v>69</v>
      </c>
      <c r="K61" t="n">
        <v>-2.75</v>
      </c>
      <c r="L61" t="n">
        <v>-1.5</v>
      </c>
      <c r="M61" t="n">
        <v>165</v>
      </c>
      <c r="N61" t="n">
        <v>-3.5</v>
      </c>
      <c r="O61" s="1" t="n">
        <v>0.903089986991944</v>
      </c>
      <c r="P61" s="1" t="n">
        <v>-0.0969100130080564</v>
      </c>
      <c r="Q61" t="n">
        <v>547</v>
      </c>
      <c r="R61" t="n">
        <v>43.81</v>
      </c>
      <c r="S61" t="n">
        <v>1</v>
      </c>
      <c r="T61" t="n">
        <v>6.6</v>
      </c>
      <c r="U61" t="n">
        <v>56</v>
      </c>
      <c r="V61" t="n">
        <v>0</v>
      </c>
      <c r="W61" t="n">
        <v>170</v>
      </c>
      <c r="X61" t="n">
        <v>-0.25</v>
      </c>
      <c r="Y61" t="n">
        <v>-0.25</v>
      </c>
      <c r="Z61" t="n">
        <v>166</v>
      </c>
      <c r="AA61" t="n">
        <v>-0.375</v>
      </c>
      <c r="AB61" s="1" t="n">
        <v>-0.0969100130080564</v>
      </c>
      <c r="AC61" s="1" t="n">
        <v>-0.204119982655925</v>
      </c>
      <c r="AD61" t="n">
        <v>0</v>
      </c>
      <c r="AE61" t="n">
        <v>4</v>
      </c>
      <c r="AF61" t="s">
        <v>69</v>
      </c>
      <c r="AG61" t="s">
        <v>69</v>
      </c>
      <c r="AH61" t="s">
        <v>70</v>
      </c>
      <c r="AI61" t="s">
        <v>71</v>
      </c>
      <c r="AJ61" t="n">
        <v>32</v>
      </c>
      <c r="AK61" t="n">
        <v>0.25</v>
      </c>
      <c r="AL61" t="n">
        <v>-0.25</v>
      </c>
      <c r="AM61" t="n">
        <v>178</v>
      </c>
      <c r="AN61" t="n">
        <v>0.125</v>
      </c>
      <c r="AO61" t="n">
        <v>96</v>
      </c>
      <c r="AP61" t="n">
        <v>0</v>
      </c>
      <c r="AQ61" t="n">
        <v>-0.25</v>
      </c>
      <c r="AR61" t="n">
        <v>156</v>
      </c>
      <c r="AS61" t="n">
        <v>170</v>
      </c>
      <c r="AT61" t="n">
        <v>-0.25</v>
      </c>
      <c r="AU61" t="n">
        <v>-0.25</v>
      </c>
      <c r="AV61" t="n">
        <v>166</v>
      </c>
      <c r="AW61" t="n">
        <v>-0.375</v>
      </c>
      <c r="AX61" t="n">
        <v>391</v>
      </c>
      <c r="AY61" t="n">
        <v>0</v>
      </c>
      <c r="AZ61" t="n">
        <v>-0.5</v>
      </c>
      <c r="BA61" t="n">
        <v>173</v>
      </c>
      <c r="BB61" t="n">
        <v>731</v>
      </c>
      <c r="BC61" t="n">
        <v>-0.25</v>
      </c>
      <c r="BD61" t="n">
        <v>-0.25</v>
      </c>
      <c r="BE61" t="n">
        <v>160</v>
      </c>
      <c r="BF61" t="s">
        <v>86</v>
      </c>
      <c r="BG61" s="1" t="n">
        <v>0.0754750698623887</v>
      </c>
      <c r="BH61" s="1" t="n">
        <v>1</v>
      </c>
      <c r="BI61" t="n">
        <v>23</v>
      </c>
      <c r="BJ61" t="s">
        <v>72</v>
      </c>
    </row>
    <row r="62">
      <c r="A62" t="s">
        <v>182</v>
      </c>
      <c r="B62" t="s">
        <v>183</v>
      </c>
      <c r="C62" t="s">
        <v>64</v>
      </c>
      <c r="D62" t="n">
        <v>1</v>
      </c>
      <c r="E62" t="s">
        <v>65</v>
      </c>
      <c r="F62" t="s">
        <v>66</v>
      </c>
      <c r="G62" t="s">
        <v>94</v>
      </c>
      <c r="H62" t="n">
        <v>38</v>
      </c>
      <c r="I62" t="s">
        <v>68</v>
      </c>
      <c r="J62" t="s">
        <v>69</v>
      </c>
      <c r="K62" t="n">
        <v>-2.25</v>
      </c>
      <c r="L62" t="n">
        <v>-0.5</v>
      </c>
      <c r="M62" t="n">
        <v>165</v>
      </c>
      <c r="N62" t="n">
        <v>-2.5</v>
      </c>
      <c r="O62" s="1" t="n">
        <v>0.602059991327962</v>
      </c>
      <c r="P62" s="1" t="n">
        <v>-0.0969100130080564</v>
      </c>
      <c r="Q62" t="n">
        <v>486</v>
      </c>
      <c r="R62" t="n">
        <v>45.17</v>
      </c>
      <c r="S62" t="n">
        <v>0</v>
      </c>
      <c r="T62" t="n">
        <v>6.6</v>
      </c>
      <c r="U62" t="n">
        <v>44</v>
      </c>
      <c r="V62" t="n">
        <v>0</v>
      </c>
      <c r="W62" t="n">
        <v>177</v>
      </c>
      <c r="X62" t="n">
        <v>0</v>
      </c>
      <c r="Y62" t="n">
        <v>-0.25</v>
      </c>
      <c r="Z62" t="n">
        <v>170</v>
      </c>
      <c r="AA62" t="n">
        <v>-0.125</v>
      </c>
      <c r="AB62" s="1" t="n">
        <v>-0.0969100130080564</v>
      </c>
      <c r="AC62" s="1" t="n">
        <v>-0.0969100130080564</v>
      </c>
      <c r="AD62" t="n">
        <v>2</v>
      </c>
      <c r="AE62"/>
      <c r="AF62" t="s">
        <v>69</v>
      </c>
      <c r="AG62" t="s">
        <v>69</v>
      </c>
      <c r="AH62" t="s">
        <v>101</v>
      </c>
      <c r="AI62" t="s">
        <v>95</v>
      </c>
      <c r="AJ62" t="n">
        <v>28</v>
      </c>
      <c r="AK62" t="n">
        <v>0</v>
      </c>
      <c r="AL62" t="n">
        <v>0.25</v>
      </c>
      <c r="AM62" t="n">
        <v>90</v>
      </c>
      <c r="AN62" t="n">
        <v>0.125</v>
      </c>
      <c r="AO62" t="n">
        <v>95</v>
      </c>
      <c r="AP62" t="n">
        <v>0</v>
      </c>
      <c r="AQ62" t="n">
        <v>0.25</v>
      </c>
      <c r="AR62" t="n">
        <v>96</v>
      </c>
      <c r="AS62" t="n">
        <v>177</v>
      </c>
      <c r="AT62" t="n">
        <v>-0.25</v>
      </c>
      <c r="AU62" t="n">
        <v>0.25</v>
      </c>
      <c r="AV62" t="n">
        <v>80</v>
      </c>
      <c r="AW62" t="n">
        <v>-0.125</v>
      </c>
      <c r="AX62" t="n">
        <v>389</v>
      </c>
      <c r="AY62" t="n">
        <v>0</v>
      </c>
      <c r="AZ62" t="n">
        <v>0.25</v>
      </c>
      <c r="BA62" t="n">
        <v>71</v>
      </c>
      <c r="BB62" t="n">
        <v>709</v>
      </c>
      <c r="BC62" t="n">
        <v>-0.25</v>
      </c>
      <c r="BD62" t="n">
        <v>0.5</v>
      </c>
      <c r="BE62" t="n">
        <v>76</v>
      </c>
      <c r="BF62" t="s">
        <v>65</v>
      </c>
      <c r="BG62" s="1" t="n">
        <v>1.73385395112945</v>
      </c>
      <c r="BH62" s="1" t="n">
        <v>1.42857142857143</v>
      </c>
      <c r="BI62" t="n">
        <v>41</v>
      </c>
      <c r="BJ62" t="s">
        <v>72</v>
      </c>
    </row>
    <row r="63">
      <c r="A63" t="s">
        <v>182</v>
      </c>
      <c r="B63" t="s">
        <v>184</v>
      </c>
      <c r="C63" t="s">
        <v>74</v>
      </c>
      <c r="D63" t="n">
        <v>1</v>
      </c>
      <c r="E63" t="s">
        <v>65</v>
      </c>
      <c r="F63" t="s">
        <v>66</v>
      </c>
      <c r="G63" t="s">
        <v>94</v>
      </c>
      <c r="H63" t="n">
        <v>38</v>
      </c>
      <c r="I63" t="s">
        <v>68</v>
      </c>
      <c r="J63" t="s">
        <v>69</v>
      </c>
      <c r="K63" t="n">
        <v>-3.25</v>
      </c>
      <c r="L63" t="n">
        <v>-0.5</v>
      </c>
      <c r="M63" t="n">
        <v>21</v>
      </c>
      <c r="N63" t="n">
        <v>-3.5</v>
      </c>
      <c r="O63" s="1" t="n">
        <v>0.903089986991944</v>
      </c>
      <c r="P63" s="1" t="n">
        <v>0</v>
      </c>
      <c r="Q63" t="n">
        <v>476</v>
      </c>
      <c r="R63" t="n">
        <v>44.77</v>
      </c>
      <c r="S63" t="n">
        <v>0</v>
      </c>
      <c r="T63" t="n">
        <v>6.6</v>
      </c>
      <c r="U63" t="n">
        <v>55</v>
      </c>
      <c r="V63" t="n">
        <v>0</v>
      </c>
      <c r="W63" t="n">
        <v>182</v>
      </c>
      <c r="X63" t="n">
        <v>0.5</v>
      </c>
      <c r="Y63" t="n">
        <v>-0.25</v>
      </c>
      <c r="Z63" t="n">
        <v>19</v>
      </c>
      <c r="AA63" t="n">
        <v>0.375</v>
      </c>
      <c r="AB63" s="1" t="n">
        <v>0</v>
      </c>
      <c r="AC63" s="1" t="n">
        <v>0</v>
      </c>
      <c r="AD63" t="n">
        <v>1</v>
      </c>
      <c r="AE63"/>
      <c r="AF63" t="s">
        <v>69</v>
      </c>
      <c r="AG63" t="s">
        <v>69</v>
      </c>
      <c r="AH63" t="s">
        <v>70</v>
      </c>
      <c r="AI63" t="s">
        <v>71</v>
      </c>
      <c r="AJ63" t="n">
        <v>27</v>
      </c>
      <c r="AK63" t="n">
        <v>0.75</v>
      </c>
      <c r="AL63" t="n">
        <v>-0.25</v>
      </c>
      <c r="AM63" t="n">
        <v>13</v>
      </c>
      <c r="AN63" t="n">
        <v>0.625</v>
      </c>
      <c r="AO63" t="n">
        <v>104</v>
      </c>
      <c r="AP63" t="n">
        <v>0.5</v>
      </c>
      <c r="AQ63" t="n">
        <v>-0.25</v>
      </c>
      <c r="AR63" t="n">
        <v>15</v>
      </c>
      <c r="AS63" t="n">
        <v>182</v>
      </c>
      <c r="AT63" t="n">
        <v>0.5</v>
      </c>
      <c r="AU63" t="n">
        <v>-0.25</v>
      </c>
      <c r="AV63" t="n">
        <v>19</v>
      </c>
      <c r="AW63" t="n">
        <v>0.375</v>
      </c>
      <c r="AX63" t="n">
        <v>339</v>
      </c>
      <c r="AY63" t="n">
        <v>0.5</v>
      </c>
      <c r="AZ63" t="n">
        <v>-0.25</v>
      </c>
      <c r="BA63" t="n">
        <v>23</v>
      </c>
      <c r="BB63" t="n">
        <v>755</v>
      </c>
      <c r="BC63" t="n">
        <v>0.25</v>
      </c>
      <c r="BD63" t="n">
        <v>0</v>
      </c>
      <c r="BE63" t="n">
        <v>82</v>
      </c>
      <c r="BF63" t="s">
        <v>65</v>
      </c>
      <c r="BG63" s="1" t="n">
        <v>2.45509427696672</v>
      </c>
      <c r="BH63" s="1" t="n">
        <v>1.42857142857143</v>
      </c>
      <c r="BI63" t="n">
        <v>32</v>
      </c>
      <c r="BJ63" t="s">
        <v>72</v>
      </c>
    </row>
    <row r="64">
      <c r="A64" t="s">
        <v>185</v>
      </c>
      <c r="B64" t="s">
        <v>186</v>
      </c>
      <c r="C64" t="s">
        <v>64</v>
      </c>
      <c r="D64" t="n">
        <v>1</v>
      </c>
      <c r="E64" t="s">
        <v>65</v>
      </c>
      <c r="F64" t="s">
        <v>66</v>
      </c>
      <c r="G64" t="s">
        <v>87</v>
      </c>
      <c r="H64" t="n">
        <v>42</v>
      </c>
      <c r="I64" t="s">
        <v>68</v>
      </c>
      <c r="J64" t="s">
        <v>69</v>
      </c>
      <c r="K64" t="n">
        <v>-2</v>
      </c>
      <c r="L64" t="n">
        <v>-0.25</v>
      </c>
      <c r="M64" t="n">
        <v>35</v>
      </c>
      <c r="N64" t="n">
        <v>-2.125</v>
      </c>
      <c r="O64" s="1" t="n">
        <v>0.397940008672038</v>
      </c>
      <c r="P64" s="1" t="n">
        <v>-0.0969100130080564</v>
      </c>
      <c r="Q64" t="n">
        <v>562</v>
      </c>
      <c r="R64" t="n">
        <v>42.41</v>
      </c>
      <c r="S64" t="n">
        <v>0</v>
      </c>
      <c r="T64" t="n">
        <v>6.8</v>
      </c>
      <c r="U64" t="n">
        <v>38</v>
      </c>
      <c r="V64" t="n">
        <v>0</v>
      </c>
      <c r="W64" t="n">
        <v>182</v>
      </c>
      <c r="X64" t="n">
        <v>0.25</v>
      </c>
      <c r="Y64" t="n">
        <v>0</v>
      </c>
      <c r="Z64" t="n">
        <v>20</v>
      </c>
      <c r="AA64" t="n">
        <v>0.25</v>
      </c>
      <c r="AB64" s="1" t="n">
        <v>-0.0969100130080564</v>
      </c>
      <c r="AC64" s="1" t="n">
        <v>-0.0969100130080564</v>
      </c>
      <c r="AD64" t="n">
        <v>0</v>
      </c>
      <c r="AE64" t="n">
        <v>5</v>
      </c>
      <c r="AF64" t="s">
        <v>69</v>
      </c>
      <c r="AG64" t="s">
        <v>69</v>
      </c>
      <c r="AH64" t="s">
        <v>187</v>
      </c>
      <c r="AI64" t="s">
        <v>71</v>
      </c>
      <c r="AJ64" t="n">
        <v>33</v>
      </c>
      <c r="AK64" t="n">
        <v>0.5</v>
      </c>
      <c r="AL64" t="n">
        <v>0</v>
      </c>
      <c r="AM64" t="n">
        <v>14</v>
      </c>
      <c r="AN64" t="n">
        <v>0.5</v>
      </c>
      <c r="AO64" t="n">
        <v>93</v>
      </c>
      <c r="AP64" t="n">
        <v>0.5</v>
      </c>
      <c r="AQ64" t="n">
        <v>0</v>
      </c>
      <c r="AR64" t="n">
        <v>4</v>
      </c>
      <c r="AS64" t="n">
        <v>182</v>
      </c>
      <c r="AT64" t="n">
        <v>0.25</v>
      </c>
      <c r="AU64" t="n">
        <v>0</v>
      </c>
      <c r="AV64" t="n">
        <v>20</v>
      </c>
      <c r="AW64" t="n">
        <v>0.25</v>
      </c>
      <c r="AX64" t="n">
        <v>376</v>
      </c>
      <c r="AY64" t="n">
        <v>0.5</v>
      </c>
      <c r="AZ64" t="n">
        <v>-0.25</v>
      </c>
      <c r="BA64" t="n">
        <v>28</v>
      </c>
      <c r="BB64" t="n">
        <v>775</v>
      </c>
      <c r="BC64" t="n">
        <v>0.25</v>
      </c>
      <c r="BD64" t="n">
        <v>-0.25</v>
      </c>
      <c r="BE64" t="n">
        <v>65</v>
      </c>
      <c r="BF64" t="s">
        <v>65</v>
      </c>
      <c r="BG64" s="1" t="n">
        <v>-1.20839424329523</v>
      </c>
      <c r="BH64" s="1" t="n">
        <v>0.714285714285714</v>
      </c>
      <c r="BI64" t="n">
        <v>37</v>
      </c>
      <c r="BJ64" t="s">
        <v>72</v>
      </c>
    </row>
    <row r="65">
      <c r="A65" t="s">
        <v>185</v>
      </c>
      <c r="B65" t="s">
        <v>188</v>
      </c>
      <c r="C65" t="s">
        <v>74</v>
      </c>
      <c r="D65" t="n">
        <v>1</v>
      </c>
      <c r="E65" t="s">
        <v>65</v>
      </c>
      <c r="F65" t="s">
        <v>66</v>
      </c>
      <c r="G65" t="s">
        <v>87</v>
      </c>
      <c r="H65" t="n">
        <v>42</v>
      </c>
      <c r="I65" t="s">
        <v>68</v>
      </c>
      <c r="J65" t="s">
        <v>69</v>
      </c>
      <c r="K65" t="n">
        <v>-2.25</v>
      </c>
      <c r="L65" t="n">
        <v>-0.25</v>
      </c>
      <c r="M65" t="n">
        <v>147</v>
      </c>
      <c r="N65" t="n">
        <v>-2.375</v>
      </c>
      <c r="O65" s="1" t="n">
        <v>0.397940008672038</v>
      </c>
      <c r="P65" s="1" t="n">
        <v>-0.204119982655925</v>
      </c>
      <c r="Q65" t="n">
        <v>560</v>
      </c>
      <c r="R65" t="n">
        <v>43.08</v>
      </c>
      <c r="S65" t="n">
        <v>1</v>
      </c>
      <c r="T65" t="n">
        <v>6.8</v>
      </c>
      <c r="U65" t="n">
        <v>38</v>
      </c>
      <c r="V65" t="n">
        <v>0</v>
      </c>
      <c r="W65" t="n">
        <v>200</v>
      </c>
      <c r="X65" t="n">
        <v>0.25</v>
      </c>
      <c r="Y65" t="n">
        <v>0</v>
      </c>
      <c r="Z65" t="n">
        <v>29</v>
      </c>
      <c r="AA65" t="n">
        <v>0.25</v>
      </c>
      <c r="AB65" s="1" t="n">
        <v>-0.0969100130080564</v>
      </c>
      <c r="AC65" s="1" t="n">
        <v>-0.0969100130080564</v>
      </c>
      <c r="AD65" t="n">
        <v>0</v>
      </c>
      <c r="AE65" t="n">
        <v>4</v>
      </c>
      <c r="AF65" t="s">
        <v>69</v>
      </c>
      <c r="AG65" t="s">
        <v>69</v>
      </c>
      <c r="AH65" t="s">
        <v>70</v>
      </c>
      <c r="AI65" t="s">
        <v>71</v>
      </c>
      <c r="AJ65" t="n">
        <v>33</v>
      </c>
      <c r="AK65" t="n">
        <v>0.5</v>
      </c>
      <c r="AL65" t="n">
        <v>0</v>
      </c>
      <c r="AM65" t="n">
        <v>178</v>
      </c>
      <c r="AN65" t="n">
        <v>0.5</v>
      </c>
      <c r="AO65" t="n">
        <v>85</v>
      </c>
      <c r="AP65" t="n">
        <v>0.5</v>
      </c>
      <c r="AQ65" t="n">
        <v>0</v>
      </c>
      <c r="AR65" t="n">
        <v>21</v>
      </c>
      <c r="AS65" t="n">
        <v>200</v>
      </c>
      <c r="AT65" t="n">
        <v>0.25</v>
      </c>
      <c r="AU65" t="n">
        <v>0</v>
      </c>
      <c r="AV65" t="n">
        <v>29</v>
      </c>
      <c r="AW65" t="n">
        <v>0.25</v>
      </c>
      <c r="AX65" t="n">
        <v>367</v>
      </c>
      <c r="AY65" t="n">
        <v>0.25</v>
      </c>
      <c r="AZ65" t="n">
        <v>-0.25</v>
      </c>
      <c r="BA65" t="n">
        <v>144</v>
      </c>
      <c r="BB65" t="n">
        <v>699</v>
      </c>
      <c r="BC65" t="n">
        <v>0.25</v>
      </c>
      <c r="BD65" t="n">
        <v>0</v>
      </c>
      <c r="BE65" t="n">
        <v>28</v>
      </c>
      <c r="BF65" t="s">
        <v>65</v>
      </c>
      <c r="BG65" s="1" t="n">
        <v>-0.756899779929192</v>
      </c>
      <c r="BH65" s="1" t="n">
        <v>0.714285714285714</v>
      </c>
      <c r="BI65" t="n">
        <v>33</v>
      </c>
      <c r="BJ65" t="s">
        <v>72</v>
      </c>
    </row>
    <row r="66">
      <c r="A66" t="s">
        <v>189</v>
      </c>
      <c r="B66" t="s">
        <v>190</v>
      </c>
      <c r="C66" t="s">
        <v>74</v>
      </c>
      <c r="D66" t="n">
        <v>1</v>
      </c>
      <c r="E66" t="s">
        <v>65</v>
      </c>
      <c r="F66" t="s">
        <v>66</v>
      </c>
      <c r="G66" t="s">
        <v>87</v>
      </c>
      <c r="H66" t="n">
        <v>48</v>
      </c>
      <c r="I66" t="s">
        <v>68</v>
      </c>
      <c r="J66" t="s">
        <v>69</v>
      </c>
      <c r="K66" t="n">
        <v>-1.75</v>
      </c>
      <c r="L66" t="n">
        <v>-0.75</v>
      </c>
      <c r="M66" t="n">
        <v>93</v>
      </c>
      <c r="N66" t="n">
        <v>-2.125</v>
      </c>
      <c r="O66" s="1" t="n">
        <v>0.397940008672038</v>
      </c>
      <c r="P66" s="1" t="n">
        <v>-0.0969100130080564</v>
      </c>
      <c r="Q66" t="n">
        <v>582</v>
      </c>
      <c r="R66" t="n">
        <v>43.46</v>
      </c>
      <c r="S66" t="n">
        <v>0</v>
      </c>
      <c r="T66" t="n">
        <v>6.6</v>
      </c>
      <c r="U66" t="n">
        <v>39</v>
      </c>
      <c r="V66" t="n">
        <v>-1</v>
      </c>
      <c r="W66" t="n">
        <v>184</v>
      </c>
      <c r="X66" t="n">
        <v>-0.25</v>
      </c>
      <c r="Y66" t="n">
        <v>-0.25</v>
      </c>
      <c r="Z66" t="n">
        <v>155</v>
      </c>
      <c r="AA66" t="n">
        <v>-0.375</v>
      </c>
      <c r="AB66" s="1" t="n">
        <v>0</v>
      </c>
      <c r="AC66" s="1" t="n">
        <v>0</v>
      </c>
      <c r="AD66" t="n">
        <v>0</v>
      </c>
      <c r="AE66" t="n">
        <v>5</v>
      </c>
      <c r="AF66" t="s">
        <v>69</v>
      </c>
      <c r="AG66" t="s">
        <v>69</v>
      </c>
      <c r="AH66" t="s">
        <v>70</v>
      </c>
      <c r="AI66" t="s">
        <v>95</v>
      </c>
      <c r="AJ66" t="n">
        <v>26</v>
      </c>
      <c r="AK66" t="n">
        <v>0</v>
      </c>
      <c r="AL66" t="n">
        <v>0.25</v>
      </c>
      <c r="AM66" t="n">
        <v>72</v>
      </c>
      <c r="AN66" t="n">
        <v>0.125</v>
      </c>
      <c r="AO66" t="n">
        <v>82</v>
      </c>
      <c r="AP66" t="n">
        <v>-0.25</v>
      </c>
      <c r="AQ66" t="n">
        <v>0.25</v>
      </c>
      <c r="AR66" t="n">
        <v>74</v>
      </c>
      <c r="AS66" t="n">
        <v>184</v>
      </c>
      <c r="AT66" t="n">
        <v>-0.5</v>
      </c>
      <c r="AU66" t="n">
        <v>0.25</v>
      </c>
      <c r="AV66" t="n">
        <v>65</v>
      </c>
      <c r="AW66" t="n">
        <v>-0.375</v>
      </c>
      <c r="AX66" t="n">
        <v>381</v>
      </c>
      <c r="AY66" t="n">
        <v>-0.5</v>
      </c>
      <c r="AZ66" t="n">
        <v>0.25</v>
      </c>
      <c r="BA66" t="n">
        <v>49</v>
      </c>
      <c r="BB66" t="n">
        <v>692</v>
      </c>
      <c r="BC66" t="n">
        <v>-1</v>
      </c>
      <c r="BD66" t="n">
        <v>0.25</v>
      </c>
      <c r="BE66" t="n">
        <v>71</v>
      </c>
      <c r="BF66" t="s">
        <v>65</v>
      </c>
      <c r="BG66" s="1" t="n">
        <v>-1.47006396944207</v>
      </c>
      <c r="BH66" s="1" t="n">
        <v>0.714285714285714</v>
      </c>
      <c r="BI66" t="n">
        <v>19</v>
      </c>
      <c r="BJ66" t="s">
        <v>72</v>
      </c>
    </row>
    <row r="67">
      <c r="A67" t="s">
        <v>191</v>
      </c>
      <c r="B67" t="s">
        <v>192</v>
      </c>
      <c r="C67" t="s">
        <v>64</v>
      </c>
      <c r="D67" t="n">
        <v>1</v>
      </c>
      <c r="E67" t="s">
        <v>86</v>
      </c>
      <c r="F67" t="s">
        <v>66</v>
      </c>
      <c r="G67" t="s">
        <v>87</v>
      </c>
      <c r="H67" t="n">
        <v>24</v>
      </c>
      <c r="I67" t="s">
        <v>88</v>
      </c>
      <c r="J67" t="s">
        <v>80</v>
      </c>
      <c r="K67" t="n">
        <v>-1</v>
      </c>
      <c r="L67" t="n">
        <v>-0.75</v>
      </c>
      <c r="M67" t="n">
        <v>21</v>
      </c>
      <c r="N67" t="n">
        <v>-1.375</v>
      </c>
      <c r="O67" s="1" t="n">
        <v>0.301029995663981</v>
      </c>
      <c r="P67" s="1" t="n">
        <v>-0.0969100130080564</v>
      </c>
      <c r="Q67" t="n">
        <v>496</v>
      </c>
      <c r="R67" t="n">
        <v>43.34</v>
      </c>
      <c r="S67" t="n">
        <v>0</v>
      </c>
      <c r="T67" t="n">
        <v>6.6</v>
      </c>
      <c r="U67" t="n">
        <v>23</v>
      </c>
      <c r="V67" t="n">
        <v>0</v>
      </c>
      <c r="W67" t="n">
        <v>168</v>
      </c>
      <c r="X67" t="n">
        <v>0.25</v>
      </c>
      <c r="Y67" t="n">
        <v>0</v>
      </c>
      <c r="Z67" t="n">
        <v>180</v>
      </c>
      <c r="AA67" t="n">
        <v>0.25</v>
      </c>
      <c r="AB67" s="1" t="n">
        <v>-0.0969100130080564</v>
      </c>
      <c r="AC67" s="1" t="n">
        <v>-0.0969100130080564</v>
      </c>
      <c r="AD67" t="n">
        <v>0</v>
      </c>
      <c r="AE67" t="n">
        <v>3</v>
      </c>
      <c r="AF67" t="s">
        <v>80</v>
      </c>
      <c r="AG67" t="s">
        <v>69</v>
      </c>
      <c r="AH67" t="s">
        <v>70</v>
      </c>
      <c r="AI67" t="s">
        <v>71</v>
      </c>
      <c r="AJ67" t="n">
        <v>29</v>
      </c>
      <c r="AK67" t="n">
        <v>1</v>
      </c>
      <c r="AL67" t="n">
        <v>-0.25</v>
      </c>
      <c r="AM67" t="n">
        <v>166</v>
      </c>
      <c r="AN67" t="n">
        <v>0.875</v>
      </c>
      <c r="AO67" t="n">
        <v>92</v>
      </c>
      <c r="AP67" t="n">
        <v>0.5</v>
      </c>
      <c r="AQ67" t="n">
        <v>-0.25</v>
      </c>
      <c r="AR67" t="n">
        <v>178</v>
      </c>
      <c r="AS67" t="n">
        <v>168</v>
      </c>
      <c r="AT67" t="n">
        <v>0.25</v>
      </c>
      <c r="AU67" t="n">
        <v>0</v>
      </c>
      <c r="AV67" t="n">
        <v>180</v>
      </c>
      <c r="AW67" t="n">
        <v>0.25</v>
      </c>
      <c r="AX67"/>
      <c r="AY67"/>
      <c r="AZ67"/>
      <c r="BA67"/>
      <c r="BB67"/>
      <c r="BC67"/>
      <c r="BD67"/>
      <c r="BE67"/>
      <c r="BF67" t="s">
        <v>86</v>
      </c>
      <c r="BG67" s="1" t="n">
        <v>-0.815861177496333</v>
      </c>
      <c r="BH67" s="1" t="n">
        <v>1</v>
      </c>
      <c r="BI67" t="n">
        <v>24</v>
      </c>
      <c r="BJ67" t="s">
        <v>72</v>
      </c>
    </row>
    <row r="68">
      <c r="A68" t="s">
        <v>191</v>
      </c>
      <c r="B68" t="s">
        <v>193</v>
      </c>
      <c r="C68" t="s">
        <v>74</v>
      </c>
      <c r="D68" t="n">
        <v>1</v>
      </c>
      <c r="E68" t="s">
        <v>86</v>
      </c>
      <c r="F68" t="s">
        <v>66</v>
      </c>
      <c r="G68" t="s">
        <v>87</v>
      </c>
      <c r="H68" t="n">
        <v>24</v>
      </c>
      <c r="I68" t="s">
        <v>88</v>
      </c>
      <c r="J68" t="s">
        <v>80</v>
      </c>
      <c r="K68" t="n">
        <v>-0.75</v>
      </c>
      <c r="L68" t="n">
        <v>-0.5</v>
      </c>
      <c r="M68" t="n">
        <v>166</v>
      </c>
      <c r="N68" t="n">
        <v>-1</v>
      </c>
      <c r="O68" s="1" t="n">
        <v>0.200659450546418</v>
      </c>
      <c r="P68" s="1" t="n">
        <v>0</v>
      </c>
      <c r="Q68" t="n">
        <v>510</v>
      </c>
      <c r="R68" t="n">
        <v>43.45</v>
      </c>
      <c r="S68" t="n">
        <v>1</v>
      </c>
      <c r="T68" t="n">
        <v>6.6</v>
      </c>
      <c r="U68" t="n">
        <v>15</v>
      </c>
      <c r="V68" t="n">
        <v>0</v>
      </c>
      <c r="W68" t="n">
        <v>161</v>
      </c>
      <c r="X68" t="n">
        <v>0.5</v>
      </c>
      <c r="Y68" t="n">
        <v>-0.25</v>
      </c>
      <c r="Z68" t="n">
        <v>26</v>
      </c>
      <c r="AA68" t="n">
        <v>0.375</v>
      </c>
      <c r="AB68" s="1" t="n">
        <v>0</v>
      </c>
      <c r="AC68" s="1" t="n">
        <v>0</v>
      </c>
      <c r="AD68" t="n">
        <v>0</v>
      </c>
      <c r="AE68" t="n">
        <v>2</v>
      </c>
      <c r="AF68" t="s">
        <v>80</v>
      </c>
      <c r="AG68" t="s">
        <v>69</v>
      </c>
      <c r="AH68" t="s">
        <v>70</v>
      </c>
      <c r="AI68" t="s">
        <v>71</v>
      </c>
      <c r="AJ68" t="n">
        <v>30</v>
      </c>
      <c r="AK68" t="n">
        <v>1</v>
      </c>
      <c r="AL68" t="n">
        <v>-0.25</v>
      </c>
      <c r="AM68" t="n">
        <v>22</v>
      </c>
      <c r="AN68" t="n">
        <v>0.875</v>
      </c>
      <c r="AO68" t="n">
        <v>79</v>
      </c>
      <c r="AP68" t="n">
        <v>0.5</v>
      </c>
      <c r="AQ68" t="n">
        <v>-0.25</v>
      </c>
      <c r="AR68" t="n">
        <v>64</v>
      </c>
      <c r="AS68" t="n">
        <v>161</v>
      </c>
      <c r="AT68" t="n">
        <v>0.5</v>
      </c>
      <c r="AU68" t="n">
        <v>-0.25</v>
      </c>
      <c r="AV68" t="n">
        <v>26</v>
      </c>
      <c r="AW68" t="n">
        <v>0.375</v>
      </c>
      <c r="AX68"/>
      <c r="AY68"/>
      <c r="AZ68"/>
      <c r="BA68"/>
      <c r="BB68"/>
      <c r="BC68"/>
      <c r="BD68"/>
      <c r="BE68"/>
      <c r="BF68" t="s">
        <v>86</v>
      </c>
      <c r="BG68" s="1" t="n">
        <v>-1.63223437856379</v>
      </c>
      <c r="BH68" s="1" t="n">
        <v>1</v>
      </c>
      <c r="BI68" t="n">
        <v>25</v>
      </c>
      <c r="BJ68" t="s">
        <v>72</v>
      </c>
    </row>
    <row r="69">
      <c r="A69" t="s">
        <v>194</v>
      </c>
      <c r="B69" t="s">
        <v>195</v>
      </c>
      <c r="C69" t="s">
        <v>64</v>
      </c>
      <c r="D69" t="n">
        <v>1</v>
      </c>
      <c r="E69" t="s">
        <v>86</v>
      </c>
      <c r="F69" t="s">
        <v>66</v>
      </c>
      <c r="G69" t="s">
        <v>94</v>
      </c>
      <c r="H69" t="n">
        <v>34</v>
      </c>
      <c r="I69" t="s">
        <v>68</v>
      </c>
      <c r="J69" t="s">
        <v>69</v>
      </c>
      <c r="K69" t="n">
        <v>-0.25</v>
      </c>
      <c r="L69" t="n">
        <v>-0.75</v>
      </c>
      <c r="M69" t="n">
        <v>43</v>
      </c>
      <c r="N69" t="n">
        <v>-0.625</v>
      </c>
      <c r="O69" s="1" t="n">
        <v>0.0969100130080564</v>
      </c>
      <c r="P69" s="1" t="n">
        <v>-0.0969100130080564</v>
      </c>
      <c r="Q69" t="n">
        <v>510</v>
      </c>
      <c r="R69" t="n">
        <v>45.98</v>
      </c>
      <c r="S69" t="n">
        <v>2</v>
      </c>
      <c r="T69" t="n">
        <v>6.7</v>
      </c>
      <c r="U69" t="n">
        <v>15</v>
      </c>
      <c r="V69" t="n">
        <v>0</v>
      </c>
      <c r="W69" t="n">
        <v>161</v>
      </c>
      <c r="X69" t="n">
        <v>-0.25</v>
      </c>
      <c r="Y69" t="n">
        <v>-0.25</v>
      </c>
      <c r="Z69" t="n">
        <v>180</v>
      </c>
      <c r="AA69" t="n">
        <v>-0.375</v>
      </c>
      <c r="AB69" s="1" t="n">
        <v>-0.0969100130080564</v>
      </c>
      <c r="AC69" s="1" t="n">
        <v>-0.0969100130080564</v>
      </c>
      <c r="AD69" t="n">
        <v>0</v>
      </c>
      <c r="AE69" t="n">
        <v>2</v>
      </c>
      <c r="AF69" t="s">
        <v>80</v>
      </c>
      <c r="AG69" t="s">
        <v>69</v>
      </c>
      <c r="AH69" t="s">
        <v>70</v>
      </c>
      <c r="AI69" t="s">
        <v>71</v>
      </c>
      <c r="AJ69" t="n">
        <v>34</v>
      </c>
      <c r="AK69" t="n">
        <v>0</v>
      </c>
      <c r="AL69" t="n">
        <v>-0.5</v>
      </c>
      <c r="AM69" t="n">
        <v>170</v>
      </c>
      <c r="AN69" t="n">
        <v>-0.25</v>
      </c>
      <c r="AO69" t="n">
        <v>104</v>
      </c>
      <c r="AP69" t="n">
        <v>-0.5</v>
      </c>
      <c r="AQ69" t="n">
        <v>-0.25</v>
      </c>
      <c r="AR69" t="n">
        <v>172</v>
      </c>
      <c r="AS69" t="n">
        <v>161</v>
      </c>
      <c r="AT69" t="n">
        <v>-0.25</v>
      </c>
      <c r="AU69" t="n">
        <v>-0.25</v>
      </c>
      <c r="AV69" t="n">
        <v>180</v>
      </c>
      <c r="AW69" t="n">
        <v>-0.375</v>
      </c>
      <c r="AX69" t="n">
        <v>354</v>
      </c>
      <c r="AY69" t="n">
        <v>-0.25</v>
      </c>
      <c r="AZ69" t="n">
        <v>-0.25</v>
      </c>
      <c r="BA69" t="n">
        <v>8</v>
      </c>
      <c r="BB69" t="n">
        <v>738</v>
      </c>
      <c r="BC69" t="n">
        <v>-0.25</v>
      </c>
      <c r="BD69" t="n">
        <v>-0.25</v>
      </c>
      <c r="BE69" t="n">
        <v>2</v>
      </c>
      <c r="BF69" t="s">
        <v>86</v>
      </c>
      <c r="BG69" s="1" t="n">
        <v>-0.57739292677189</v>
      </c>
      <c r="BH69" s="1" t="n">
        <v>1</v>
      </c>
      <c r="BI69" t="n">
        <v>26</v>
      </c>
      <c r="BJ69" t="s">
        <v>72</v>
      </c>
    </row>
    <row r="70">
      <c r="A70" t="s">
        <v>196</v>
      </c>
      <c r="B70" t="s">
        <v>197</v>
      </c>
      <c r="C70" t="s">
        <v>64</v>
      </c>
      <c r="D70" t="n">
        <v>1</v>
      </c>
      <c r="E70" t="s">
        <v>86</v>
      </c>
      <c r="F70" t="s">
        <v>66</v>
      </c>
      <c r="G70" t="s">
        <v>94</v>
      </c>
      <c r="H70" t="n">
        <v>34</v>
      </c>
      <c r="I70" t="s">
        <v>88</v>
      </c>
      <c r="J70" t="s">
        <v>69</v>
      </c>
      <c r="K70" t="n">
        <v>-6</v>
      </c>
      <c r="L70" t="n">
        <v>-1.5</v>
      </c>
      <c r="M70" t="n">
        <v>124</v>
      </c>
      <c r="N70" t="n">
        <v>-6.75</v>
      </c>
      <c r="O70" s="1" t="n">
        <v>1.69897000433602</v>
      </c>
      <c r="P70" s="1" t="n">
        <v>0</v>
      </c>
      <c r="Q70" t="n">
        <v>524</v>
      </c>
      <c r="R70" t="n">
        <v>41.58</v>
      </c>
      <c r="S70" t="n">
        <v>0</v>
      </c>
      <c r="T70" t="n">
        <v>6.5</v>
      </c>
      <c r="U70" t="n">
        <v>103</v>
      </c>
      <c r="V70" t="n">
        <v>0</v>
      </c>
      <c r="W70" t="n">
        <v>193</v>
      </c>
      <c r="X70" t="n">
        <v>0</v>
      </c>
      <c r="Y70" t="n">
        <v>-0.5</v>
      </c>
      <c r="Z70" t="n">
        <v>105</v>
      </c>
      <c r="AA70" t="n">
        <v>-0.25</v>
      </c>
      <c r="AB70" s="1" t="n">
        <v>0</v>
      </c>
      <c r="AC70" s="1" t="n">
        <v>0</v>
      </c>
      <c r="AD70" t="n">
        <v>1</v>
      </c>
      <c r="AE70" t="n">
        <v>5</v>
      </c>
      <c r="AF70" t="s">
        <v>69</v>
      </c>
      <c r="AG70" t="s">
        <v>69</v>
      </c>
      <c r="AH70" t="s">
        <v>70</v>
      </c>
      <c r="AI70" t="s">
        <v>71</v>
      </c>
      <c r="AJ70" t="n">
        <v>33</v>
      </c>
      <c r="AK70" t="n">
        <v>0.25</v>
      </c>
      <c r="AL70" t="n">
        <v>-0.5</v>
      </c>
      <c r="AM70" t="n">
        <v>93</v>
      </c>
      <c r="AN70" t="n">
        <v>0</v>
      </c>
      <c r="AO70" t="n">
        <v>80</v>
      </c>
      <c r="AP70" t="n">
        <v>0.25</v>
      </c>
      <c r="AQ70" t="n">
        <v>-0.5</v>
      </c>
      <c r="AR70" t="n">
        <v>97</v>
      </c>
      <c r="AS70" t="n">
        <v>193</v>
      </c>
      <c r="AT70" t="n">
        <v>0</v>
      </c>
      <c r="AU70" t="n">
        <v>-0.5</v>
      </c>
      <c r="AV70" t="n">
        <v>105</v>
      </c>
      <c r="AW70" t="n">
        <v>-0.25</v>
      </c>
      <c r="AX70" t="n">
        <v>391</v>
      </c>
      <c r="AY70" t="n">
        <v>-0.5</v>
      </c>
      <c r="AZ70" t="n">
        <v>-0.5</v>
      </c>
      <c r="BA70" t="n">
        <v>100</v>
      </c>
      <c r="BB70" t="n">
        <v>724</v>
      </c>
      <c r="BC70" t="n">
        <v>-0.25</v>
      </c>
      <c r="BD70" t="n">
        <v>-0.5</v>
      </c>
      <c r="BE70" t="n">
        <v>107</v>
      </c>
      <c r="BF70" t="s">
        <v>86</v>
      </c>
      <c r="BG70" s="1" t="n">
        <v>1.14208768837515</v>
      </c>
      <c r="BH70" s="1" t="n">
        <v>1</v>
      </c>
      <c r="BI70" t="n">
        <v>27</v>
      </c>
      <c r="BJ70" t="s">
        <v>72</v>
      </c>
    </row>
    <row r="71">
      <c r="A71" t="s">
        <v>196</v>
      </c>
      <c r="B71" t="s">
        <v>198</v>
      </c>
      <c r="C71" t="s">
        <v>74</v>
      </c>
      <c r="D71" t="n">
        <v>1</v>
      </c>
      <c r="E71" t="s">
        <v>86</v>
      </c>
      <c r="F71" t="s">
        <v>66</v>
      </c>
      <c r="G71" t="s">
        <v>94</v>
      </c>
      <c r="H71" t="n">
        <v>34</v>
      </c>
      <c r="I71" t="s">
        <v>88</v>
      </c>
      <c r="J71" t="s">
        <v>69</v>
      </c>
      <c r="K71" t="n">
        <v>-5</v>
      </c>
      <c r="L71" t="n">
        <v>-1</v>
      </c>
      <c r="M71" t="n">
        <v>55</v>
      </c>
      <c r="N71" t="n">
        <v>-5.5</v>
      </c>
      <c r="O71" s="1" t="n">
        <v>1.60205999132796</v>
      </c>
      <c r="P71" s="1" t="n">
        <v>0</v>
      </c>
      <c r="Q71" t="n">
        <v>521</v>
      </c>
      <c r="R71" t="n">
        <v>42.06</v>
      </c>
      <c r="S71" t="n">
        <v>0</v>
      </c>
      <c r="T71" t="n">
        <v>6.5</v>
      </c>
      <c r="U71" t="n">
        <v>82</v>
      </c>
      <c r="V71" t="n">
        <v>0</v>
      </c>
      <c r="W71" t="n">
        <v>180</v>
      </c>
      <c r="X71" t="n">
        <v>-0.5</v>
      </c>
      <c r="Y71" t="n">
        <v>-0.25</v>
      </c>
      <c r="Z71" t="n">
        <v>58</v>
      </c>
      <c r="AA71" t="n">
        <v>-0.625</v>
      </c>
      <c r="AB71" s="1" t="n">
        <v>0</v>
      </c>
      <c r="AC71" s="1" t="n">
        <v>-0.0969100130080564</v>
      </c>
      <c r="AD71" t="n">
        <v>0</v>
      </c>
      <c r="AE71" t="n">
        <v>4</v>
      </c>
      <c r="AF71" t="s">
        <v>80</v>
      </c>
      <c r="AG71" t="s">
        <v>69</v>
      </c>
      <c r="AH71" t="s">
        <v>70</v>
      </c>
      <c r="AI71" t="s">
        <v>71</v>
      </c>
      <c r="AJ71" t="n">
        <v>26</v>
      </c>
      <c r="AK71" t="n">
        <v>0</v>
      </c>
      <c r="AL71" t="n">
        <v>-0.25</v>
      </c>
      <c r="AM71" t="n">
        <v>62</v>
      </c>
      <c r="AN71" t="n">
        <v>-0.125</v>
      </c>
      <c r="AO71" t="n">
        <v>100</v>
      </c>
      <c r="AP71" t="n">
        <v>-0.25</v>
      </c>
      <c r="AQ71" t="n">
        <v>-0.25</v>
      </c>
      <c r="AR71" t="n">
        <v>58</v>
      </c>
      <c r="AS71" t="n">
        <v>180</v>
      </c>
      <c r="AT71" t="n">
        <v>-0.5</v>
      </c>
      <c r="AU71" t="n">
        <v>-0.25</v>
      </c>
      <c r="AV71" t="n">
        <v>58</v>
      </c>
      <c r="AW71" t="n">
        <v>-0.625</v>
      </c>
      <c r="AX71" t="n">
        <v>381</v>
      </c>
      <c r="AY71" t="n">
        <v>-0.75</v>
      </c>
      <c r="AZ71" t="n">
        <v>0</v>
      </c>
      <c r="BA71" t="n">
        <v>59</v>
      </c>
      <c r="BB71" t="n">
        <v>718</v>
      </c>
      <c r="BC71" t="n">
        <v>-0.5</v>
      </c>
      <c r="BD71" t="n">
        <v>-0.5</v>
      </c>
      <c r="BE71" t="n">
        <v>44</v>
      </c>
      <c r="BF71" t="s">
        <v>86</v>
      </c>
      <c r="BG71" s="1" t="n">
        <v>-0.104911140806246</v>
      </c>
      <c r="BH71" s="1" t="n">
        <v>1</v>
      </c>
      <c r="BI71" t="n">
        <v>28</v>
      </c>
      <c r="BJ71" t="s">
        <v>72</v>
      </c>
    </row>
    <row r="72">
      <c r="A72" t="s">
        <v>199</v>
      </c>
      <c r="B72" t="s">
        <v>200</v>
      </c>
      <c r="C72" t="s">
        <v>64</v>
      </c>
      <c r="D72" t="n">
        <v>1</v>
      </c>
      <c r="E72" t="s">
        <v>86</v>
      </c>
      <c r="F72" t="s">
        <v>66</v>
      </c>
      <c r="G72" t="s">
        <v>87</v>
      </c>
      <c r="H72" t="n">
        <v>44</v>
      </c>
      <c r="I72" t="s">
        <v>68</v>
      </c>
      <c r="J72" t="s">
        <v>69</v>
      </c>
      <c r="K72" t="n">
        <v>-2.5</v>
      </c>
      <c r="L72" t="n">
        <v>-0.25</v>
      </c>
      <c r="M72" t="n">
        <v>4</v>
      </c>
      <c r="N72" t="n">
        <v>-2.625</v>
      </c>
      <c r="O72" s="1" t="n">
        <v>0.795880017344075</v>
      </c>
      <c r="P72" s="1" t="n">
        <v>0</v>
      </c>
      <c r="Q72" t="n">
        <v>539</v>
      </c>
      <c r="R72" t="n">
        <v>44.76</v>
      </c>
      <c r="S72" t="n">
        <v>1</v>
      </c>
      <c r="T72" t="n">
        <v>6.4</v>
      </c>
      <c r="U72" t="n">
        <v>39</v>
      </c>
      <c r="V72" t="n">
        <v>0</v>
      </c>
      <c r="W72" t="n">
        <v>180</v>
      </c>
      <c r="X72" t="n">
        <v>-1</v>
      </c>
      <c r="Y72" t="n">
        <v>0</v>
      </c>
      <c r="Z72" t="n">
        <v>154</v>
      </c>
      <c r="AA72" t="n">
        <v>-1</v>
      </c>
      <c r="AB72" s="1" t="n">
        <v>0.200659450546418</v>
      </c>
      <c r="AC72" s="1" t="n">
        <v>-0.0969100130080564</v>
      </c>
      <c r="AD72" t="n">
        <v>1</v>
      </c>
      <c r="AE72" t="n">
        <v>4</v>
      </c>
      <c r="AF72" t="s">
        <v>69</v>
      </c>
      <c r="AG72" t="s">
        <v>80</v>
      </c>
      <c r="AH72" t="s">
        <v>70</v>
      </c>
      <c r="AI72" t="s">
        <v>71</v>
      </c>
      <c r="AJ72" t="n">
        <v>28</v>
      </c>
      <c r="AK72" t="n">
        <v>-0.75</v>
      </c>
      <c r="AL72" t="n">
        <v>0</v>
      </c>
      <c r="AM72" t="n">
        <v>14</v>
      </c>
      <c r="AN72" t="n">
        <v>-0.75</v>
      </c>
      <c r="AO72" t="n">
        <v>94</v>
      </c>
      <c r="AP72" t="n">
        <v>-0.75</v>
      </c>
      <c r="AQ72" t="n">
        <v>-0.25</v>
      </c>
      <c r="AR72" t="n">
        <v>160</v>
      </c>
      <c r="AS72" t="n">
        <v>180</v>
      </c>
      <c r="AT72" t="n">
        <v>-1</v>
      </c>
      <c r="AU72" t="n">
        <v>0</v>
      </c>
      <c r="AV72" t="n">
        <v>154</v>
      </c>
      <c r="AW72" t="n">
        <v>-1</v>
      </c>
      <c r="AX72" t="n">
        <v>343</v>
      </c>
      <c r="AY72" t="n">
        <v>-1</v>
      </c>
      <c r="AZ72" t="n">
        <v>0</v>
      </c>
      <c r="BA72" t="n">
        <v>171</v>
      </c>
      <c r="BB72" t="n">
        <v>762</v>
      </c>
      <c r="BC72" t="n">
        <v>-1</v>
      </c>
      <c r="BD72" t="n">
        <v>0</v>
      </c>
      <c r="BE72" t="n">
        <v>148</v>
      </c>
      <c r="BF72" t="s">
        <v>86</v>
      </c>
      <c r="BG72" s="1" t="n">
        <v>-0.710745200170353</v>
      </c>
      <c r="BH72" s="1" t="n">
        <v>1</v>
      </c>
      <c r="BI72" t="n">
        <v>29</v>
      </c>
      <c r="BJ72" t="s">
        <v>72</v>
      </c>
    </row>
    <row r="73">
      <c r="A73" t="s">
        <v>201</v>
      </c>
      <c r="B73" t="s">
        <v>202</v>
      </c>
      <c r="C73" t="s">
        <v>64</v>
      </c>
      <c r="D73" t="n">
        <v>1</v>
      </c>
      <c r="E73" t="s">
        <v>65</v>
      </c>
      <c r="F73" t="s">
        <v>66</v>
      </c>
      <c r="G73" t="s">
        <v>87</v>
      </c>
      <c r="H73" t="n">
        <v>41</v>
      </c>
      <c r="I73" t="s">
        <v>68</v>
      </c>
      <c r="J73" t="s">
        <v>69</v>
      </c>
      <c r="K73" t="n">
        <v>-5.25</v>
      </c>
      <c r="L73" t="n">
        <v>-0.75</v>
      </c>
      <c r="M73" t="n">
        <v>168</v>
      </c>
      <c r="N73" t="n">
        <v>-5.625</v>
      </c>
      <c r="O73" s="1" t="n">
        <v>1.60205999132796</v>
      </c>
      <c r="P73" s="1" t="n">
        <v>0</v>
      </c>
      <c r="Q73" t="n">
        <v>532</v>
      </c>
      <c r="R73" t="n">
        <v>43.93</v>
      </c>
      <c r="S73" t="n">
        <v>3</v>
      </c>
      <c r="T73" t="n">
        <v>6.4</v>
      </c>
      <c r="U73" t="n">
        <v>83</v>
      </c>
      <c r="V73" t="n">
        <v>0</v>
      </c>
      <c r="W73" t="n">
        <v>191</v>
      </c>
      <c r="X73" t="n">
        <v>0</v>
      </c>
      <c r="Y73" t="n">
        <v>0</v>
      </c>
      <c r="Z73" t="n">
        <v>137</v>
      </c>
      <c r="AA73" t="n">
        <v>0</v>
      </c>
      <c r="AB73" s="1" t="n">
        <v>0</v>
      </c>
      <c r="AC73" s="1" t="n">
        <v>0</v>
      </c>
      <c r="AD73" t="n">
        <v>0</v>
      </c>
      <c r="AE73"/>
      <c r="AF73" t="s">
        <v>80</v>
      </c>
      <c r="AG73" t="s">
        <v>69</v>
      </c>
      <c r="AH73" t="s">
        <v>70</v>
      </c>
      <c r="AI73" t="s">
        <v>71</v>
      </c>
      <c r="AJ73" t="n">
        <v>36</v>
      </c>
      <c r="AK73" t="n">
        <v>0.25</v>
      </c>
      <c r="AL73" t="n">
        <v>0</v>
      </c>
      <c r="AM73" t="n">
        <v>151</v>
      </c>
      <c r="AN73" t="n">
        <v>0.25</v>
      </c>
      <c r="AO73" t="n">
        <v>83</v>
      </c>
      <c r="AP73" t="n">
        <v>0.25</v>
      </c>
      <c r="AQ73" t="n">
        <v>0</v>
      </c>
      <c r="AR73" t="n">
        <v>36</v>
      </c>
      <c r="AS73" t="n">
        <v>191</v>
      </c>
      <c r="AT73" t="n">
        <v>0</v>
      </c>
      <c r="AU73" t="n">
        <v>0</v>
      </c>
      <c r="AV73" t="n">
        <v>137</v>
      </c>
      <c r="AW73" t="n">
        <v>0</v>
      </c>
      <c r="AX73"/>
      <c r="AY73"/>
      <c r="AZ73"/>
      <c r="BA73"/>
      <c r="BB73"/>
      <c r="BC73"/>
      <c r="BD73"/>
      <c r="BE73"/>
      <c r="BF73" t="s">
        <v>65</v>
      </c>
      <c r="BG73" s="1" t="n">
        <v>0.364838459218136</v>
      </c>
      <c r="BH73" s="1" t="n">
        <v>1.42857142857143</v>
      </c>
      <c r="BI73" t="n">
        <v>9</v>
      </c>
      <c r="BJ73" t="s">
        <v>72</v>
      </c>
    </row>
    <row r="74">
      <c r="A74" t="s">
        <v>201</v>
      </c>
      <c r="B74" t="s">
        <v>203</v>
      </c>
      <c r="C74" t="s">
        <v>74</v>
      </c>
      <c r="D74" t="n">
        <v>1</v>
      </c>
      <c r="E74" t="s">
        <v>65</v>
      </c>
      <c r="F74" t="s">
        <v>66</v>
      </c>
      <c r="G74" t="s">
        <v>87</v>
      </c>
      <c r="H74" t="n">
        <v>41</v>
      </c>
      <c r="I74" t="s">
        <v>68</v>
      </c>
      <c r="J74" t="s">
        <v>69</v>
      </c>
      <c r="K74" t="n">
        <v>-4.25</v>
      </c>
      <c r="L74" t="n">
        <v>-0.75</v>
      </c>
      <c r="M74" t="n">
        <v>17</v>
      </c>
      <c r="N74" t="n">
        <v>-4.625</v>
      </c>
      <c r="O74" s="1" t="n">
        <v>1.20065945054642</v>
      </c>
      <c r="P74" s="1" t="n">
        <v>0</v>
      </c>
      <c r="Q74" t="n">
        <v>536</v>
      </c>
      <c r="R74" t="n">
        <v>44.14</v>
      </c>
      <c r="S74" t="n">
        <v>3</v>
      </c>
      <c r="T74" t="n">
        <v>6.4</v>
      </c>
      <c r="U74" t="n">
        <v>69</v>
      </c>
      <c r="V74" t="n">
        <v>0</v>
      </c>
      <c r="W74" t="n">
        <v>205</v>
      </c>
      <c r="X74" t="n">
        <v>-0.5</v>
      </c>
      <c r="Y74" t="n">
        <v>0</v>
      </c>
      <c r="Z74" t="n">
        <v>31</v>
      </c>
      <c r="AA74" t="n">
        <v>-0.5</v>
      </c>
      <c r="AB74" s="1" t="n">
        <v>0.0969100130080564</v>
      </c>
      <c r="AC74" s="1" t="n">
        <v>0</v>
      </c>
      <c r="AD74" t="n">
        <v>0</v>
      </c>
      <c r="AE74" t="n">
        <v>3</v>
      </c>
      <c r="AF74" t="s">
        <v>80</v>
      </c>
      <c r="AG74" t="s">
        <v>69</v>
      </c>
      <c r="AH74" t="s">
        <v>70</v>
      </c>
      <c r="AI74" t="s">
        <v>71</v>
      </c>
      <c r="AJ74" t="n">
        <v>36</v>
      </c>
      <c r="AK74" t="n">
        <v>-0.25</v>
      </c>
      <c r="AL74" t="n">
        <v>0</v>
      </c>
      <c r="AM74" t="n">
        <v>62</v>
      </c>
      <c r="AN74" t="n">
        <v>-0.25</v>
      </c>
      <c r="AO74" t="n">
        <v>87</v>
      </c>
      <c r="AP74" t="n">
        <v>0</v>
      </c>
      <c r="AQ74" t="n">
        <v>-0.25</v>
      </c>
      <c r="AR74" t="n">
        <v>175</v>
      </c>
      <c r="AS74" t="n">
        <v>205</v>
      </c>
      <c r="AT74" t="n">
        <v>-0.5</v>
      </c>
      <c r="AU74" t="n">
        <v>0</v>
      </c>
      <c r="AV74" t="n">
        <v>31</v>
      </c>
      <c r="AW74" t="n">
        <v>-0.5</v>
      </c>
      <c r="AX74"/>
      <c r="AY74"/>
      <c r="AZ74"/>
      <c r="BA74"/>
      <c r="BB74"/>
      <c r="BC74"/>
      <c r="BD74"/>
      <c r="BE74"/>
      <c r="BF74" t="s">
        <v>65</v>
      </c>
      <c r="BG74" s="1" t="n">
        <v>0.328392200631482</v>
      </c>
      <c r="BH74" s="1" t="n">
        <v>1.42857142857143</v>
      </c>
      <c r="BI74" t="n">
        <v>8</v>
      </c>
      <c r="BJ74" t="s">
        <v>72</v>
      </c>
    </row>
    <row r="75">
      <c r="A75" t="s">
        <v>204</v>
      </c>
      <c r="B75" t="s">
        <v>205</v>
      </c>
      <c r="C75" t="s">
        <v>64</v>
      </c>
      <c r="D75" t="n">
        <v>1</v>
      </c>
      <c r="E75" t="s">
        <v>86</v>
      </c>
      <c r="F75" t="s">
        <v>66</v>
      </c>
      <c r="G75" t="s">
        <v>67</v>
      </c>
      <c r="H75" t="n">
        <v>34</v>
      </c>
      <c r="I75" t="s">
        <v>68</v>
      </c>
      <c r="J75" t="s">
        <v>69</v>
      </c>
      <c r="K75" t="n">
        <v>-4</v>
      </c>
      <c r="L75" t="n">
        <v>-1.5</v>
      </c>
      <c r="M75" t="n">
        <v>160</v>
      </c>
      <c r="N75" t="n">
        <v>-4.75</v>
      </c>
      <c r="O75" s="1" t="n">
        <v>1.39794000867204</v>
      </c>
      <c r="P75" s="1" t="n">
        <v>0</v>
      </c>
      <c r="Q75" t="n">
        <v>531</v>
      </c>
      <c r="R75" t="n">
        <v>43.84</v>
      </c>
      <c r="S75" t="n">
        <v>0</v>
      </c>
      <c r="T75" t="n">
        <v>6.3</v>
      </c>
      <c r="U75" t="n">
        <v>74</v>
      </c>
      <c r="V75" t="n">
        <v>0</v>
      </c>
      <c r="W75" t="n">
        <v>156</v>
      </c>
      <c r="X75" t="n">
        <v>-0.5</v>
      </c>
      <c r="Y75" t="n">
        <v>-0.25</v>
      </c>
      <c r="Z75" t="n">
        <v>2</v>
      </c>
      <c r="AA75" t="n">
        <v>-0.625</v>
      </c>
      <c r="AB75" s="1" t="n">
        <v>0.200659450546418</v>
      </c>
      <c r="AC75" s="1" t="n">
        <v>0</v>
      </c>
      <c r="AD75" t="n">
        <v>0</v>
      </c>
      <c r="AE75"/>
      <c r="AF75" t="s">
        <v>80</v>
      </c>
      <c r="AG75" t="s">
        <v>69</v>
      </c>
      <c r="AH75" t="s">
        <v>70</v>
      </c>
      <c r="AI75" t="s">
        <v>71</v>
      </c>
      <c r="AJ75" t="n">
        <v>34</v>
      </c>
      <c r="AK75" t="n">
        <v>-0.25</v>
      </c>
      <c r="AL75" t="n">
        <v>-0.25</v>
      </c>
      <c r="AM75" t="n">
        <v>166</v>
      </c>
      <c r="AN75" t="n">
        <v>-0.375</v>
      </c>
      <c r="AO75" t="n">
        <v>89</v>
      </c>
      <c r="AP75" t="n">
        <v>-0.75</v>
      </c>
      <c r="AQ75" t="n">
        <v>-0.25</v>
      </c>
      <c r="AR75" t="n">
        <v>1</v>
      </c>
      <c r="AS75" t="n">
        <v>156</v>
      </c>
      <c r="AT75" t="n">
        <v>-0.5</v>
      </c>
      <c r="AU75" t="n">
        <v>-0.25</v>
      </c>
      <c r="AV75" t="n">
        <v>2</v>
      </c>
      <c r="AW75" t="n">
        <v>-0.625</v>
      </c>
      <c r="AX75" t="n">
        <v>361</v>
      </c>
      <c r="AY75" t="n">
        <v>-0.75</v>
      </c>
      <c r="AZ75" t="n">
        <v>-0.25</v>
      </c>
      <c r="BA75" t="n">
        <v>15</v>
      </c>
      <c r="BB75" t="n">
        <v>758</v>
      </c>
      <c r="BC75" t="n">
        <v>-0.5</v>
      </c>
      <c r="BD75" t="n">
        <v>-0.5</v>
      </c>
      <c r="BE75" t="n">
        <v>10</v>
      </c>
      <c r="BF75" t="s">
        <v>86</v>
      </c>
      <c r="BG75" s="1" t="n">
        <v>-0.852002178811048</v>
      </c>
      <c r="BH75" s="1" t="n">
        <v>1</v>
      </c>
      <c r="BI75" t="n">
        <v>30</v>
      </c>
      <c r="BJ75" t="s">
        <v>72</v>
      </c>
    </row>
    <row r="76">
      <c r="A76" t="s">
        <v>206</v>
      </c>
      <c r="B76" t="s">
        <v>207</v>
      </c>
      <c r="C76" t="s">
        <v>74</v>
      </c>
      <c r="D76" t="n">
        <v>1</v>
      </c>
      <c r="E76" t="s">
        <v>65</v>
      </c>
      <c r="F76" t="s">
        <v>66</v>
      </c>
      <c r="G76" t="s">
        <v>94</v>
      </c>
      <c r="H76" t="n">
        <v>37</v>
      </c>
      <c r="I76" t="s">
        <v>68</v>
      </c>
      <c r="J76" t="s">
        <v>80</v>
      </c>
      <c r="K76" t="n">
        <v>-3.25</v>
      </c>
      <c r="L76" t="n">
        <v>-1.5</v>
      </c>
      <c r="M76" t="n">
        <v>8</v>
      </c>
      <c r="N76" t="n">
        <v>-4</v>
      </c>
      <c r="O76" s="1" t="n">
        <v>1.20065945054642</v>
      </c>
      <c r="P76" s="1" t="n">
        <v>0.0969100130080564</v>
      </c>
      <c r="Q76" t="n">
        <v>510</v>
      </c>
      <c r="R76" t="n">
        <v>42.95</v>
      </c>
      <c r="S76" t="n">
        <v>1</v>
      </c>
      <c r="T76" t="n">
        <v>6.4</v>
      </c>
      <c r="U76" t="n">
        <v>70</v>
      </c>
      <c r="V76" t="n">
        <v>0</v>
      </c>
      <c r="W76" t="n">
        <v>155</v>
      </c>
      <c r="X76" t="n">
        <v>-0.25</v>
      </c>
      <c r="Y76" t="n">
        <v>-0.25</v>
      </c>
      <c r="Z76" t="n">
        <v>34</v>
      </c>
      <c r="AA76" t="n">
        <v>-0.375</v>
      </c>
      <c r="AB76" s="1" t="n">
        <v>0.200659450546418</v>
      </c>
      <c r="AC76" s="1" t="n">
        <v>0.0969100130080564</v>
      </c>
      <c r="AD76" t="n">
        <v>0</v>
      </c>
      <c r="AE76" t="n">
        <v>3</v>
      </c>
      <c r="AF76" t="s">
        <v>69</v>
      </c>
      <c r="AG76" t="s">
        <v>69</v>
      </c>
      <c r="AH76" t="s">
        <v>70</v>
      </c>
      <c r="AI76" t="s">
        <v>71</v>
      </c>
      <c r="AJ76" t="n">
        <v>29</v>
      </c>
      <c r="AK76" t="n">
        <v>0</v>
      </c>
      <c r="AL76" t="n">
        <v>-0.5</v>
      </c>
      <c r="AM76" t="n">
        <v>36</v>
      </c>
      <c r="AN76" t="n">
        <v>-0.25</v>
      </c>
      <c r="AO76" t="n">
        <v>93</v>
      </c>
      <c r="AP76" t="n">
        <v>-0.25</v>
      </c>
      <c r="AQ76" t="n">
        <v>-0.25</v>
      </c>
      <c r="AR76" t="n">
        <v>37</v>
      </c>
      <c r="AS76" t="n">
        <v>155</v>
      </c>
      <c r="AT76" t="n">
        <v>-0.25</v>
      </c>
      <c r="AU76" t="n">
        <v>-0.25</v>
      </c>
      <c r="AV76" t="n">
        <v>34</v>
      </c>
      <c r="AW76" t="n">
        <v>-0.375</v>
      </c>
      <c r="AX76" t="n">
        <v>353</v>
      </c>
      <c r="AY76" t="n">
        <v>-0.25</v>
      </c>
      <c r="AZ76" t="n">
        <v>-0.25</v>
      </c>
      <c r="BA76" t="n">
        <v>35</v>
      </c>
      <c r="BB76"/>
      <c r="BC76"/>
      <c r="BD76"/>
      <c r="BE76"/>
      <c r="BF76" t="s">
        <v>65</v>
      </c>
      <c r="BG76" s="1" t="n">
        <v>0.230338906378135</v>
      </c>
      <c r="BH76" s="1" t="n">
        <v>1.42857142857143</v>
      </c>
      <c r="BI76" t="n">
        <v>21</v>
      </c>
      <c r="BJ76" t="s">
        <v>72</v>
      </c>
    </row>
    <row r="77">
      <c r="A77" t="s">
        <v>208</v>
      </c>
      <c r="B77" t="s">
        <v>209</v>
      </c>
      <c r="C77" t="s">
        <v>64</v>
      </c>
      <c r="D77" t="n">
        <v>1</v>
      </c>
      <c r="E77" t="s">
        <v>86</v>
      </c>
      <c r="F77" t="s">
        <v>66</v>
      </c>
      <c r="G77" t="s">
        <v>87</v>
      </c>
      <c r="H77" t="n">
        <v>39</v>
      </c>
      <c r="I77" t="s">
        <v>68</v>
      </c>
      <c r="J77"/>
      <c r="K77" t="n">
        <v>-4.5</v>
      </c>
      <c r="L77" t="n">
        <v>-0.5</v>
      </c>
      <c r="M77" t="n">
        <v>175</v>
      </c>
      <c r="N77" t="n">
        <v>-4.75</v>
      </c>
      <c r="O77" s="1" t="n">
        <v>1.30102999566398</v>
      </c>
      <c r="P77" s="1" t="n">
        <v>0</v>
      </c>
      <c r="Q77" t="n">
        <v>516</v>
      </c>
      <c r="R77" t="n">
        <v>43.97</v>
      </c>
      <c r="S77" t="n">
        <v>0</v>
      </c>
      <c r="T77" t="n">
        <v>6.3</v>
      </c>
      <c r="U77" t="n">
        <v>64</v>
      </c>
      <c r="V77" t="n">
        <v>0</v>
      </c>
      <c r="W77" t="n">
        <v>189</v>
      </c>
      <c r="X77" t="n">
        <v>0</v>
      </c>
      <c r="Y77" t="n">
        <v>-0.25</v>
      </c>
      <c r="Z77" t="n">
        <v>7</v>
      </c>
      <c r="AA77" t="n">
        <v>-0.125</v>
      </c>
      <c r="AB77" s="1" t="n">
        <v>0</v>
      </c>
      <c r="AC77" s="1" t="n">
        <v>0</v>
      </c>
      <c r="AD77" t="n">
        <v>1</v>
      </c>
      <c r="AE77" t="n">
        <v>4</v>
      </c>
      <c r="AF77" t="s">
        <v>69</v>
      </c>
      <c r="AG77" t="s">
        <v>69</v>
      </c>
      <c r="AH77" t="s">
        <v>70</v>
      </c>
      <c r="AI77" t="s">
        <v>95</v>
      </c>
      <c r="AJ77" t="n">
        <v>28</v>
      </c>
      <c r="AK77" t="n">
        <v>-0.25</v>
      </c>
      <c r="AL77" t="n">
        <v>0.25</v>
      </c>
      <c r="AM77" t="n">
        <v>93</v>
      </c>
      <c r="AN77" t="n">
        <v>-0.125</v>
      </c>
      <c r="AO77" t="n">
        <v>83</v>
      </c>
      <c r="AP77" t="n">
        <v>0</v>
      </c>
      <c r="AQ77" t="n">
        <v>0.25</v>
      </c>
      <c r="AR77" t="n">
        <v>83</v>
      </c>
      <c r="AS77" t="n">
        <v>189</v>
      </c>
      <c r="AT77" t="n">
        <v>-0.25</v>
      </c>
      <c r="AU77" t="n">
        <v>0.25</v>
      </c>
      <c r="AV77" t="n">
        <v>97</v>
      </c>
      <c r="AW77" t="n">
        <v>-0.125</v>
      </c>
      <c r="AX77" t="n">
        <v>346</v>
      </c>
      <c r="AY77" t="n">
        <v>-0.5</v>
      </c>
      <c r="AZ77" t="n">
        <v>0.25</v>
      </c>
      <c r="BA77" t="n">
        <v>112</v>
      </c>
      <c r="BB77" t="n">
        <v>728</v>
      </c>
      <c r="BC77" t="n">
        <v>-0.75</v>
      </c>
      <c r="BD77" t="n">
        <v>0.25</v>
      </c>
      <c r="BE77" t="n">
        <v>79</v>
      </c>
      <c r="BF77" t="s">
        <v>86</v>
      </c>
      <c r="BG77" s="1" t="n">
        <v>0.845115793971569</v>
      </c>
      <c r="BH77" s="1" t="n">
        <v>1</v>
      </c>
      <c r="BI77" t="n">
        <v>31</v>
      </c>
      <c r="BJ77" t="s">
        <v>72</v>
      </c>
    </row>
    <row r="78">
      <c r="A78" t="s">
        <v>210</v>
      </c>
      <c r="B78" t="s">
        <v>211</v>
      </c>
      <c r="C78" t="s">
        <v>64</v>
      </c>
      <c r="D78" t="n">
        <v>1</v>
      </c>
      <c r="E78" t="s">
        <v>86</v>
      </c>
      <c r="F78" t="s">
        <v>66</v>
      </c>
      <c r="G78" t="s">
        <v>94</v>
      </c>
      <c r="H78" t="n">
        <v>30</v>
      </c>
      <c r="I78" t="s">
        <v>68</v>
      </c>
      <c r="J78" t="s">
        <v>69</v>
      </c>
      <c r="K78" t="n">
        <v>-8</v>
      </c>
      <c r="L78" t="n">
        <v>-0.75</v>
      </c>
      <c r="M78" t="n">
        <v>94</v>
      </c>
      <c r="N78" t="n">
        <v>-8.375</v>
      </c>
      <c r="O78" s="1" t="n">
        <v>1.69897000433602</v>
      </c>
      <c r="P78" s="1" t="n">
        <v>-0.0969100130080564</v>
      </c>
      <c r="Q78" t="n">
        <v>531</v>
      </c>
      <c r="R78" t="n">
        <v>43.91</v>
      </c>
      <c r="S78" t="n">
        <v>2</v>
      </c>
      <c r="T78" t="n">
        <v>6.5</v>
      </c>
      <c r="U78" t="n">
        <v>129</v>
      </c>
      <c r="V78" t="n">
        <v>0</v>
      </c>
      <c r="W78" t="n">
        <v>165</v>
      </c>
      <c r="X78" t="n">
        <v>-0.5</v>
      </c>
      <c r="Y78" t="n">
        <v>-0.25</v>
      </c>
      <c r="Z78" t="n">
        <v>132</v>
      </c>
      <c r="AA78" t="n">
        <v>-0.625</v>
      </c>
      <c r="AB78" s="1" t="n">
        <v>-0.0969100130080564</v>
      </c>
      <c r="AC78" s="1" t="n">
        <v>-0.204119982655925</v>
      </c>
      <c r="AD78" t="n">
        <v>0</v>
      </c>
      <c r="AE78" t="n">
        <v>4</v>
      </c>
      <c r="AF78" t="s">
        <v>80</v>
      </c>
      <c r="AG78" t="s">
        <v>69</v>
      </c>
      <c r="AH78" t="s">
        <v>70</v>
      </c>
      <c r="AI78" t="s">
        <v>95</v>
      </c>
      <c r="AJ78" t="n">
        <v>34</v>
      </c>
      <c r="AK78" t="n">
        <v>-0.5</v>
      </c>
      <c r="AL78" t="n">
        <v>0.25</v>
      </c>
      <c r="AM78" t="n">
        <v>23</v>
      </c>
      <c r="AN78" t="n">
        <v>-0.375</v>
      </c>
      <c r="AO78" t="n">
        <v>98</v>
      </c>
      <c r="AP78" t="n">
        <v>-0.5</v>
      </c>
      <c r="AQ78" t="n">
        <v>0</v>
      </c>
      <c r="AR78" t="n">
        <v>45</v>
      </c>
      <c r="AS78" t="n">
        <v>165</v>
      </c>
      <c r="AT78" t="n">
        <v>-0.75</v>
      </c>
      <c r="AU78" t="n">
        <v>0.25</v>
      </c>
      <c r="AV78" t="n">
        <v>42</v>
      </c>
      <c r="AW78" t="n">
        <v>-0.625</v>
      </c>
      <c r="AX78" t="n">
        <v>342</v>
      </c>
      <c r="AY78" t="n">
        <v>-0.75</v>
      </c>
      <c r="AZ78" t="n">
        <v>0.25</v>
      </c>
      <c r="BA78" t="n">
        <v>49</v>
      </c>
      <c r="BB78" t="n">
        <v>775</v>
      </c>
      <c r="BC78" t="n">
        <v>-1</v>
      </c>
      <c r="BD78" t="n">
        <v>0.25</v>
      </c>
      <c r="BE78" t="n">
        <v>48</v>
      </c>
      <c r="BF78" t="s">
        <v>86</v>
      </c>
      <c r="BG78" s="1" t="n">
        <v>2.63570784460917</v>
      </c>
      <c r="BH78" s="1" t="n">
        <v>1</v>
      </c>
      <c r="BI78" t="n">
        <v>32</v>
      </c>
      <c r="BJ78" t="s">
        <v>72</v>
      </c>
    </row>
    <row r="79">
      <c r="A79" t="s">
        <v>212</v>
      </c>
      <c r="B79" t="s">
        <v>213</v>
      </c>
      <c r="C79" t="s">
        <v>64</v>
      </c>
      <c r="D79" t="n">
        <v>1</v>
      </c>
      <c r="E79" t="s">
        <v>65</v>
      </c>
      <c r="F79" t="s">
        <v>66</v>
      </c>
      <c r="G79" t="s">
        <v>67</v>
      </c>
      <c r="H79" t="n">
        <v>34</v>
      </c>
      <c r="I79" t="s">
        <v>68</v>
      </c>
      <c r="J79" t="s">
        <v>69</v>
      </c>
      <c r="K79" t="n">
        <v>0</v>
      </c>
      <c r="L79" t="n">
        <v>-0.75</v>
      </c>
      <c r="M79" t="n">
        <v>152</v>
      </c>
      <c r="N79" t="n">
        <v>-0.375</v>
      </c>
      <c r="O79" s="1" t="n">
        <v>-0.0969100130080564</v>
      </c>
      <c r="P79" s="1" t="n">
        <v>-0.0969100130080564</v>
      </c>
      <c r="Q79" t="n">
        <v>500</v>
      </c>
      <c r="R79" t="n">
        <v>42.53</v>
      </c>
      <c r="S79" t="n">
        <v>0</v>
      </c>
      <c r="T79" t="n">
        <v>6.7</v>
      </c>
      <c r="U79" t="n">
        <v>10</v>
      </c>
      <c r="V79" t="n">
        <v>0</v>
      </c>
      <c r="W79" t="n">
        <v>184</v>
      </c>
      <c r="X79" t="n">
        <v>0.25</v>
      </c>
      <c r="Y79" t="n">
        <v>-0.25</v>
      </c>
      <c r="Z79" t="n">
        <v>13</v>
      </c>
      <c r="AA79" t="n">
        <v>0.125</v>
      </c>
      <c r="AB79" s="1" t="n">
        <v>-0.0969100130080564</v>
      </c>
      <c r="AC79" s="1" t="n">
        <v>-0.0969100130080564</v>
      </c>
      <c r="AD79" t="n">
        <v>0</v>
      </c>
      <c r="AE79" t="n">
        <v>5</v>
      </c>
      <c r="AF79" t="s">
        <v>69</v>
      </c>
      <c r="AG79" t="s">
        <v>69</v>
      </c>
      <c r="AH79" t="s">
        <v>70</v>
      </c>
      <c r="AI79" t="s">
        <v>95</v>
      </c>
      <c r="AJ79" t="n">
        <v>30</v>
      </c>
      <c r="AK79" t="n">
        <v>0.25</v>
      </c>
      <c r="AL79" t="n">
        <v>0.25</v>
      </c>
      <c r="AM79" t="n">
        <v>124</v>
      </c>
      <c r="AN79" t="n">
        <v>0.375</v>
      </c>
      <c r="AO79" t="n">
        <v>86</v>
      </c>
      <c r="AP79" t="n">
        <v>-0.25</v>
      </c>
      <c r="AQ79" t="n">
        <v>0.25</v>
      </c>
      <c r="AR79" t="n">
        <v>104</v>
      </c>
      <c r="AS79" t="n">
        <v>184</v>
      </c>
      <c r="AT79" t="n">
        <v>0</v>
      </c>
      <c r="AU79" t="n">
        <v>0.25</v>
      </c>
      <c r="AV79" t="n">
        <v>103</v>
      </c>
      <c r="AW79" t="n">
        <v>0.125</v>
      </c>
      <c r="AX79" t="n">
        <v>341</v>
      </c>
      <c r="AY79" t="n">
        <v>0.25</v>
      </c>
      <c r="AZ79" t="n">
        <v>0.25</v>
      </c>
      <c r="BA79" t="n">
        <v>105</v>
      </c>
      <c r="BB79" t="n">
        <v>774</v>
      </c>
      <c r="BC79" t="n">
        <v>0</v>
      </c>
      <c r="BD79" t="n">
        <v>0.25</v>
      </c>
      <c r="BE79" t="n">
        <v>100</v>
      </c>
      <c r="BF79" t="s">
        <v>65</v>
      </c>
      <c r="BG79" s="1" t="n">
        <v>0.313532642467575</v>
      </c>
      <c r="BH79" s="1" t="n">
        <v>1.42857142857143</v>
      </c>
      <c r="BI79" t="n">
        <v>1</v>
      </c>
      <c r="BJ79" t="s">
        <v>72</v>
      </c>
    </row>
    <row r="80">
      <c r="A80" t="s">
        <v>212</v>
      </c>
      <c r="B80" t="s">
        <v>214</v>
      </c>
      <c r="C80" t="s">
        <v>74</v>
      </c>
      <c r="D80" t="n">
        <v>1</v>
      </c>
      <c r="E80" t="s">
        <v>65</v>
      </c>
      <c r="F80" t="s">
        <v>66</v>
      </c>
      <c r="G80" t="s">
        <v>67</v>
      </c>
      <c r="H80" t="n">
        <v>34</v>
      </c>
      <c r="I80" t="s">
        <v>68</v>
      </c>
      <c r="J80" t="s">
        <v>69</v>
      </c>
      <c r="K80" t="n">
        <v>-1.25</v>
      </c>
      <c r="L80" t="n">
        <v>-1</v>
      </c>
      <c r="M80" t="n">
        <v>29</v>
      </c>
      <c r="N80" t="n">
        <v>-1.75</v>
      </c>
      <c r="O80" s="1" t="n">
        <v>0.397940008672038</v>
      </c>
      <c r="P80" s="1" t="n">
        <v>-0.0969100130080564</v>
      </c>
      <c r="Q80" t="n">
        <v>504</v>
      </c>
      <c r="R80" t="n">
        <v>43.11</v>
      </c>
      <c r="S80" t="n">
        <v>0</v>
      </c>
      <c r="T80" t="n">
        <v>6.7</v>
      </c>
      <c r="U80" t="n">
        <v>38</v>
      </c>
      <c r="V80" t="n">
        <v>0</v>
      </c>
      <c r="W80" t="n">
        <v>182</v>
      </c>
      <c r="X80" t="n">
        <v>0.5</v>
      </c>
      <c r="Y80" t="n">
        <v>-0.25</v>
      </c>
      <c r="Z80" t="n">
        <v>47</v>
      </c>
      <c r="AA80" t="n">
        <v>0.375</v>
      </c>
      <c r="AB80" s="1" t="n">
        <v>-0.0969100130080564</v>
      </c>
      <c r="AC80" s="1" t="n">
        <v>-0.0969100130080564</v>
      </c>
      <c r="AD80" t="n">
        <v>0</v>
      </c>
      <c r="AE80"/>
      <c r="AF80" t="s">
        <v>69</v>
      </c>
      <c r="AG80" t="s">
        <v>69</v>
      </c>
      <c r="AH80" t="s">
        <v>70</v>
      </c>
      <c r="AI80" t="s">
        <v>95</v>
      </c>
      <c r="AJ80" t="n">
        <v>36</v>
      </c>
      <c r="AK80" t="n">
        <v>0.75</v>
      </c>
      <c r="AL80" t="n">
        <v>0.25</v>
      </c>
      <c r="AM80" t="n">
        <v>147</v>
      </c>
      <c r="AN80" t="n">
        <v>0.875</v>
      </c>
      <c r="AO80" t="n">
        <v>87</v>
      </c>
      <c r="AP80" t="n">
        <v>0.25</v>
      </c>
      <c r="AQ80" t="n">
        <v>0.5</v>
      </c>
      <c r="AR80" t="n">
        <v>136</v>
      </c>
      <c r="AS80" t="n">
        <v>182</v>
      </c>
      <c r="AT80" t="n">
        <v>0.25</v>
      </c>
      <c r="AU80" t="n">
        <v>0.25</v>
      </c>
      <c r="AV80" t="n">
        <v>137</v>
      </c>
      <c r="AW80" t="n">
        <v>0.375</v>
      </c>
      <c r="AX80" t="n">
        <v>355</v>
      </c>
      <c r="AY80" t="n">
        <v>0.25</v>
      </c>
      <c r="AZ80" t="n">
        <v>0.25</v>
      </c>
      <c r="BA80" t="n">
        <v>142</v>
      </c>
      <c r="BB80" t="n">
        <v>710</v>
      </c>
      <c r="BC80" t="n">
        <v>0.25</v>
      </c>
      <c r="BD80" t="n">
        <v>0.25</v>
      </c>
      <c r="BE80" t="n">
        <v>148</v>
      </c>
      <c r="BF80" t="s">
        <v>65</v>
      </c>
      <c r="BG80" s="1" t="n">
        <v>0.127263579786924</v>
      </c>
      <c r="BH80" s="1" t="n">
        <v>1.42857142857143</v>
      </c>
      <c r="BI80" t="n">
        <v>6</v>
      </c>
      <c r="BJ80" t="s">
        <v>72</v>
      </c>
    </row>
    <row r="81">
      <c r="A81" t="s">
        <v>215</v>
      </c>
      <c r="B81" t="s">
        <v>216</v>
      </c>
      <c r="C81" t="s">
        <v>64</v>
      </c>
      <c r="D81" t="n">
        <v>1</v>
      </c>
      <c r="E81" t="s">
        <v>86</v>
      </c>
      <c r="F81" t="s">
        <v>66</v>
      </c>
      <c r="G81" t="s">
        <v>67</v>
      </c>
      <c r="H81" t="n">
        <v>37</v>
      </c>
      <c r="I81" t="s">
        <v>68</v>
      </c>
      <c r="J81" t="s">
        <v>69</v>
      </c>
      <c r="K81" t="n">
        <v>-1.5</v>
      </c>
      <c r="L81" t="n">
        <v>-1</v>
      </c>
      <c r="M81" t="n">
        <v>168</v>
      </c>
      <c r="N81" t="n">
        <v>-2</v>
      </c>
      <c r="O81" s="1" t="n">
        <v>0.602059991327962</v>
      </c>
      <c r="P81" s="1" t="n">
        <v>-0.0969100130080564</v>
      </c>
      <c r="Q81" t="n">
        <v>521</v>
      </c>
      <c r="R81" t="n">
        <v>42.96</v>
      </c>
      <c r="S81" t="n">
        <v>0</v>
      </c>
      <c r="T81" t="n">
        <v>6.6</v>
      </c>
      <c r="U81" t="n">
        <v>29</v>
      </c>
      <c r="V81" t="n">
        <v>0</v>
      </c>
      <c r="W81" t="n">
        <v>160</v>
      </c>
      <c r="X81" t="n">
        <v>-0.25</v>
      </c>
      <c r="Y81" t="n">
        <v>-0.25</v>
      </c>
      <c r="Z81" t="n">
        <v>176</v>
      </c>
      <c r="AA81" t="n">
        <v>-0.375</v>
      </c>
      <c r="AB81" s="1" t="n">
        <v>-0.0969100130080564</v>
      </c>
      <c r="AC81" s="1" t="n">
        <v>-0.0969100130080564</v>
      </c>
      <c r="AD81" t="n">
        <v>0</v>
      </c>
      <c r="AE81" t="n">
        <v>3</v>
      </c>
      <c r="AF81" t="s">
        <v>69</v>
      </c>
      <c r="AG81" t="s">
        <v>69</v>
      </c>
      <c r="AH81" t="s">
        <v>70</v>
      </c>
      <c r="AI81" t="s">
        <v>71</v>
      </c>
      <c r="AJ81" t="n">
        <v>30</v>
      </c>
      <c r="AK81" t="n">
        <v>0</v>
      </c>
      <c r="AL81" t="n">
        <v>-0.25</v>
      </c>
      <c r="AM81" t="n">
        <v>176</v>
      </c>
      <c r="AN81" t="n">
        <v>-0.125</v>
      </c>
      <c r="AO81" t="n">
        <v>85</v>
      </c>
      <c r="AP81" t="n">
        <v>-0.25</v>
      </c>
      <c r="AQ81" t="n">
        <v>-0.25</v>
      </c>
      <c r="AR81" t="n">
        <v>166</v>
      </c>
      <c r="AS81" t="n">
        <v>160</v>
      </c>
      <c r="AT81" t="n">
        <v>-0.25</v>
      </c>
      <c r="AU81" t="n">
        <v>-0.25</v>
      </c>
      <c r="AV81" t="n">
        <v>176</v>
      </c>
      <c r="AW81" t="n">
        <v>-0.375</v>
      </c>
      <c r="AX81" t="n">
        <v>371</v>
      </c>
      <c r="AY81" t="n">
        <v>-0.5</v>
      </c>
      <c r="AZ81" t="n">
        <v>-0.25</v>
      </c>
      <c r="BA81" t="n">
        <v>167</v>
      </c>
      <c r="BB81" t="n">
        <v>740</v>
      </c>
      <c r="BC81" t="n">
        <v>-0.5</v>
      </c>
      <c r="BD81" t="n">
        <v>-0.25</v>
      </c>
      <c r="BE81" t="n">
        <v>166</v>
      </c>
      <c r="BF81" t="s">
        <v>86</v>
      </c>
      <c r="BG81" s="1" t="n">
        <v>-0.789529904513605</v>
      </c>
      <c r="BH81" s="1" t="n">
        <v>1</v>
      </c>
      <c r="BI81" t="n">
        <v>33</v>
      </c>
      <c r="BJ81" t="s">
        <v>72</v>
      </c>
    </row>
    <row r="82">
      <c r="A82" t="s">
        <v>215</v>
      </c>
      <c r="B82" t="s">
        <v>217</v>
      </c>
      <c r="C82" t="s">
        <v>74</v>
      </c>
      <c r="D82" t="n">
        <v>1</v>
      </c>
      <c r="E82" t="s">
        <v>86</v>
      </c>
      <c r="F82" t="s">
        <v>66</v>
      </c>
      <c r="G82" t="s">
        <v>67</v>
      </c>
      <c r="H82" t="n">
        <v>37</v>
      </c>
      <c r="I82" t="s">
        <v>68</v>
      </c>
      <c r="J82" t="s">
        <v>69</v>
      </c>
      <c r="K82" t="n">
        <v>-1.25</v>
      </c>
      <c r="L82" t="n">
        <v>-0.75</v>
      </c>
      <c r="M82" t="n">
        <v>8</v>
      </c>
      <c r="N82" t="n">
        <v>-1.625</v>
      </c>
      <c r="O82" s="1" t="n">
        <v>0.397940008672038</v>
      </c>
      <c r="P82" s="1" t="n">
        <v>-0.0969100130080564</v>
      </c>
      <c r="Q82" t="n">
        <v>513</v>
      </c>
      <c r="R82" t="n">
        <v>43.14</v>
      </c>
      <c r="S82" t="n">
        <v>1</v>
      </c>
      <c r="T82" t="n">
        <v>6.6</v>
      </c>
      <c r="U82" t="n">
        <v>30</v>
      </c>
      <c r="V82" t="n">
        <v>0</v>
      </c>
      <c r="W82" t="n">
        <v>200</v>
      </c>
      <c r="X82" t="n">
        <v>-0.25</v>
      </c>
      <c r="Y82" t="n">
        <v>-0.25</v>
      </c>
      <c r="Z82" t="n">
        <v>40</v>
      </c>
      <c r="AA82" t="n">
        <v>-0.375</v>
      </c>
      <c r="AB82" s="1" t="n">
        <v>0</v>
      </c>
      <c r="AC82" s="1" t="n">
        <v>-0.0969100130080564</v>
      </c>
      <c r="AD82" t="n">
        <v>1</v>
      </c>
      <c r="AE82" t="n">
        <v>5</v>
      </c>
      <c r="AF82" t="s">
        <v>69</v>
      </c>
      <c r="AG82" t="s">
        <v>69</v>
      </c>
      <c r="AH82" t="s">
        <v>70</v>
      </c>
      <c r="AI82" t="s">
        <v>71</v>
      </c>
      <c r="AJ82" t="n">
        <v>34</v>
      </c>
      <c r="AK82" t="n">
        <v>-0.25</v>
      </c>
      <c r="AL82" t="n">
        <v>-0.25</v>
      </c>
      <c r="AM82" t="n">
        <v>61</v>
      </c>
      <c r="AN82" t="n">
        <v>-0.375</v>
      </c>
      <c r="AO82" t="n">
        <v>88</v>
      </c>
      <c r="AP82" t="n">
        <v>-0.25</v>
      </c>
      <c r="AQ82" t="n">
        <v>-0.25</v>
      </c>
      <c r="AR82" t="n">
        <v>42</v>
      </c>
      <c r="AS82" t="n">
        <v>200</v>
      </c>
      <c r="AT82" t="n">
        <v>-0.25</v>
      </c>
      <c r="AU82" t="n">
        <v>-0.25</v>
      </c>
      <c r="AV82" t="n">
        <v>40</v>
      </c>
      <c r="AW82" t="n">
        <v>-0.375</v>
      </c>
      <c r="AX82" t="n">
        <v>355</v>
      </c>
      <c r="AY82" t="n">
        <v>-0.25</v>
      </c>
      <c r="AZ82" t="n">
        <v>-0.5</v>
      </c>
      <c r="BA82" t="n">
        <v>43</v>
      </c>
      <c r="BB82" t="n">
        <v>711</v>
      </c>
      <c r="BC82" t="n">
        <v>-0.5</v>
      </c>
      <c r="BD82" t="n">
        <v>-0.25</v>
      </c>
      <c r="BE82" t="n">
        <v>50</v>
      </c>
      <c r="BF82" t="s">
        <v>86</v>
      </c>
      <c r="BG82" s="1" t="n">
        <v>-0.13238609458493</v>
      </c>
      <c r="BH82" s="1" t="n">
        <v>1</v>
      </c>
      <c r="BI82" t="n">
        <v>34</v>
      </c>
      <c r="BJ82" t="s">
        <v>72</v>
      </c>
    </row>
    <row r="83">
      <c r="A83" t="s">
        <v>218</v>
      </c>
      <c r="B83" t="s">
        <v>219</v>
      </c>
      <c r="C83" t="s">
        <v>74</v>
      </c>
      <c r="D83" t="n">
        <v>1</v>
      </c>
      <c r="E83" t="s">
        <v>86</v>
      </c>
      <c r="F83" t="s">
        <v>66</v>
      </c>
      <c r="G83" t="s">
        <v>87</v>
      </c>
      <c r="H83" t="n">
        <v>47</v>
      </c>
      <c r="I83" t="s">
        <v>68</v>
      </c>
      <c r="J83" t="s">
        <v>69</v>
      </c>
      <c r="K83" t="n">
        <v>-6.5</v>
      </c>
      <c r="L83" t="n">
        <v>-1</v>
      </c>
      <c r="M83" t="n">
        <v>127</v>
      </c>
      <c r="N83" t="n">
        <v>-7</v>
      </c>
      <c r="O83" s="1" t="n">
        <v>1.69897000433602</v>
      </c>
      <c r="P83" s="1" t="n">
        <v>-0.0969100130080564</v>
      </c>
      <c r="Q83" t="n">
        <v>566</v>
      </c>
      <c r="R83" t="n">
        <v>43.46</v>
      </c>
      <c r="S83" t="n">
        <v>1</v>
      </c>
      <c r="T83" t="n">
        <v>6.3</v>
      </c>
      <c r="U83" t="n">
        <v>105</v>
      </c>
      <c r="V83" t="n">
        <v>0</v>
      </c>
      <c r="W83" t="n">
        <v>164</v>
      </c>
      <c r="X83" t="n">
        <v>-0.25</v>
      </c>
      <c r="Y83" t="n">
        <v>-0.5</v>
      </c>
      <c r="Z83" t="n">
        <v>150</v>
      </c>
      <c r="AA83" t="n">
        <v>-0.5</v>
      </c>
      <c r="AB83" s="1" t="n">
        <v>-0.0969100130080564</v>
      </c>
      <c r="AC83" s="1" t="n">
        <v>-0.204119982655925</v>
      </c>
      <c r="AD83" t="n">
        <v>1</v>
      </c>
      <c r="AE83" t="n">
        <v>4</v>
      </c>
      <c r="AF83" t="s">
        <v>80</v>
      </c>
      <c r="AG83" t="s">
        <v>69</v>
      </c>
      <c r="AH83" t="s">
        <v>70</v>
      </c>
      <c r="AI83" t="s">
        <v>95</v>
      </c>
      <c r="AJ83" t="n">
        <v>37</v>
      </c>
      <c r="AK83" t="n">
        <v>-0.25</v>
      </c>
      <c r="AL83" t="n">
        <v>0.5</v>
      </c>
      <c r="AM83" t="n">
        <v>61</v>
      </c>
      <c r="AN83" t="n">
        <v>0</v>
      </c>
      <c r="AO83" t="n">
        <v>95</v>
      </c>
      <c r="AP83" t="n">
        <v>-0.75</v>
      </c>
      <c r="AQ83" t="n">
        <v>0.5</v>
      </c>
      <c r="AR83" t="n">
        <v>56</v>
      </c>
      <c r="AS83" t="n">
        <v>164</v>
      </c>
      <c r="AT83" t="n">
        <v>-0.75</v>
      </c>
      <c r="AU83" t="n">
        <v>0.5</v>
      </c>
      <c r="AV83" t="n">
        <v>60</v>
      </c>
      <c r="AW83" t="n">
        <v>-0.5</v>
      </c>
      <c r="AX83" t="n">
        <v>371</v>
      </c>
      <c r="AY83" t="n">
        <v>-0.75</v>
      </c>
      <c r="AZ83" t="n">
        <v>0.5</v>
      </c>
      <c r="BA83" t="n">
        <v>42</v>
      </c>
      <c r="BB83" t="n">
        <v>729</v>
      </c>
      <c r="BC83" t="n">
        <v>-0.75</v>
      </c>
      <c r="BD83" t="n">
        <v>0.5</v>
      </c>
      <c r="BE83" t="n">
        <v>65</v>
      </c>
      <c r="BF83" t="s">
        <v>86</v>
      </c>
      <c r="BG83" s="1" t="n">
        <v>0.994320271628184</v>
      </c>
      <c r="BH83" s="1" t="n">
        <v>1</v>
      </c>
      <c r="BI83" t="n">
        <v>35</v>
      </c>
      <c r="BJ83" t="s">
        <v>72</v>
      </c>
    </row>
    <row r="84">
      <c r="A84" t="s">
        <v>220</v>
      </c>
      <c r="B84" t="s">
        <v>221</v>
      </c>
      <c r="C84" t="s">
        <v>64</v>
      </c>
      <c r="D84" t="n">
        <v>1</v>
      </c>
      <c r="E84" t="s">
        <v>65</v>
      </c>
      <c r="F84" t="s">
        <v>66</v>
      </c>
      <c r="G84" t="s">
        <v>87</v>
      </c>
      <c r="H84" t="n">
        <v>36</v>
      </c>
      <c r="I84" t="s">
        <v>68</v>
      </c>
      <c r="J84" t="s">
        <v>69</v>
      </c>
      <c r="K84" t="n">
        <v>-5.75</v>
      </c>
      <c r="L84" t="n">
        <v>-1</v>
      </c>
      <c r="M84" t="n">
        <v>164</v>
      </c>
      <c r="N84" t="n">
        <v>-6.25</v>
      </c>
      <c r="O84" s="1" t="n">
        <v>1.69897000433602</v>
      </c>
      <c r="P84" s="1" t="n">
        <v>-0.0969100130080564</v>
      </c>
      <c r="Q84" t="n">
        <v>499</v>
      </c>
      <c r="R84" t="n">
        <v>44.82</v>
      </c>
      <c r="S84" t="n">
        <v>2</v>
      </c>
      <c r="T84" t="n">
        <v>6.2</v>
      </c>
      <c r="U84" t="n">
        <v>87</v>
      </c>
      <c r="V84" t="n">
        <v>0</v>
      </c>
      <c r="W84" t="n">
        <v>192</v>
      </c>
      <c r="X84" t="n">
        <v>-0.25</v>
      </c>
      <c r="Y84" t="n">
        <v>-0.75</v>
      </c>
      <c r="Z84" t="n">
        <v>131</v>
      </c>
      <c r="AA84" t="n">
        <v>-0.625</v>
      </c>
      <c r="AB84" s="1" t="n">
        <v>0</v>
      </c>
      <c r="AC84" s="1" t="n">
        <v>-0.204119982655925</v>
      </c>
      <c r="AD84" t="n">
        <v>0</v>
      </c>
      <c r="AE84" t="n">
        <v>5</v>
      </c>
      <c r="AF84" t="s">
        <v>69</v>
      </c>
      <c r="AG84" t="s">
        <v>69</v>
      </c>
      <c r="AH84" t="s">
        <v>70</v>
      </c>
      <c r="AI84" t="s">
        <v>95</v>
      </c>
      <c r="AJ84" t="n">
        <v>37</v>
      </c>
      <c r="AK84" t="n">
        <v>-1</v>
      </c>
      <c r="AL84" t="n">
        <v>0.75</v>
      </c>
      <c r="AM84" t="n">
        <v>41</v>
      </c>
      <c r="AN84" t="n">
        <v>-0.625</v>
      </c>
      <c r="AO84" t="n">
        <v>101</v>
      </c>
      <c r="AP84" t="n">
        <v>-1</v>
      </c>
      <c r="AQ84" t="n">
        <v>0.75</v>
      </c>
      <c r="AR84" t="n">
        <v>40</v>
      </c>
      <c r="AS84" t="n">
        <v>192</v>
      </c>
      <c r="AT84" t="n">
        <v>-1</v>
      </c>
      <c r="AU84" t="n">
        <v>0.75</v>
      </c>
      <c r="AV84" t="n">
        <v>41</v>
      </c>
      <c r="AW84" t="n">
        <v>-0.625</v>
      </c>
      <c r="AX84" t="n">
        <v>374</v>
      </c>
      <c r="AY84" t="n">
        <v>-1.25</v>
      </c>
      <c r="AZ84" t="n">
        <v>0.75</v>
      </c>
      <c r="BA84" t="n">
        <v>36</v>
      </c>
      <c r="BB84" t="n">
        <v>706</v>
      </c>
      <c r="BC84" t="n">
        <v>-1.25</v>
      </c>
      <c r="BD84" t="n">
        <v>0.5</v>
      </c>
      <c r="BE84" t="n">
        <v>39</v>
      </c>
      <c r="BF84" t="s">
        <v>65</v>
      </c>
      <c r="BG84" s="1" t="n">
        <v>1.88050368311929</v>
      </c>
      <c r="BH84" s="1" t="n">
        <v>1.42857142857143</v>
      </c>
      <c r="BI84" t="n">
        <v>13</v>
      </c>
      <c r="BJ84" t="s">
        <v>72</v>
      </c>
    </row>
    <row r="85">
      <c r="A85" t="s">
        <v>222</v>
      </c>
      <c r="B85" t="s">
        <v>223</v>
      </c>
      <c r="C85" t="s">
        <v>74</v>
      </c>
      <c r="D85" t="n">
        <v>1</v>
      </c>
      <c r="E85" t="s">
        <v>86</v>
      </c>
      <c r="F85" t="s">
        <v>66</v>
      </c>
      <c r="G85" t="s">
        <v>94</v>
      </c>
      <c r="H85" t="n">
        <v>41</v>
      </c>
      <c r="I85" t="s">
        <v>68</v>
      </c>
      <c r="J85" t="s">
        <v>69</v>
      </c>
      <c r="K85" t="n">
        <v>-5</v>
      </c>
      <c r="L85" t="n">
        <v>-0.5</v>
      </c>
      <c r="M85" t="n">
        <v>3</v>
      </c>
      <c r="N85" t="n">
        <v>-5.25</v>
      </c>
      <c r="O85" s="1" t="n">
        <v>1.39794000867204</v>
      </c>
      <c r="P85" s="1" t="n">
        <v>0</v>
      </c>
      <c r="Q85" t="n">
        <v>511</v>
      </c>
      <c r="R85" t="n">
        <v>41.77</v>
      </c>
      <c r="S85" t="n">
        <v>0</v>
      </c>
      <c r="T85" t="n">
        <v>6.8</v>
      </c>
      <c r="U85" t="n">
        <v>86</v>
      </c>
      <c r="V85" t="n">
        <v>0</v>
      </c>
      <c r="W85" t="n">
        <v>177</v>
      </c>
      <c r="X85" t="n">
        <v>-0.5</v>
      </c>
      <c r="Y85" t="n">
        <v>-0.25</v>
      </c>
      <c r="Z85" t="n">
        <v>32</v>
      </c>
      <c r="AA85" t="n">
        <v>-0.625</v>
      </c>
      <c r="AB85" s="1" t="n">
        <v>0</v>
      </c>
      <c r="AC85" s="1" t="n">
        <v>0</v>
      </c>
      <c r="AD85" t="n">
        <v>1</v>
      </c>
      <c r="AE85" t="n">
        <v>5</v>
      </c>
      <c r="AF85" t="s">
        <v>69</v>
      </c>
      <c r="AG85" t="s">
        <v>69</v>
      </c>
      <c r="AH85" t="s">
        <v>70</v>
      </c>
      <c r="AI85" t="s">
        <v>71</v>
      </c>
      <c r="AJ85" t="n">
        <v>24</v>
      </c>
      <c r="AK85" t="n">
        <v>-0.25</v>
      </c>
      <c r="AL85" t="n">
        <v>0</v>
      </c>
      <c r="AM85" t="n">
        <v>81</v>
      </c>
      <c r="AN85" t="n">
        <v>-0.25</v>
      </c>
      <c r="AO85" t="n">
        <v>87</v>
      </c>
      <c r="AP85" t="n">
        <v>-0.25</v>
      </c>
      <c r="AQ85" t="n">
        <v>-0.25</v>
      </c>
      <c r="AR85" t="n">
        <v>7</v>
      </c>
      <c r="AS85" t="n">
        <v>177</v>
      </c>
      <c r="AT85" t="n">
        <v>-0.5</v>
      </c>
      <c r="AU85" t="n">
        <v>-0.25</v>
      </c>
      <c r="AV85" t="n">
        <v>32</v>
      </c>
      <c r="AW85" t="n">
        <v>-0.625</v>
      </c>
      <c r="AX85" t="n">
        <v>337</v>
      </c>
      <c r="AY85" t="n">
        <v>-0.75</v>
      </c>
      <c r="AZ85" t="n">
        <v>0</v>
      </c>
      <c r="BA85" t="n">
        <v>20</v>
      </c>
      <c r="BB85"/>
      <c r="BC85"/>
      <c r="BD85"/>
      <c r="BE85"/>
      <c r="BF85" t="s">
        <v>86</v>
      </c>
      <c r="BG85" s="1" t="n">
        <v>1.65204300164665</v>
      </c>
      <c r="BH85" s="1" t="n">
        <v>1</v>
      </c>
      <c r="BI85" t="n">
        <v>36</v>
      </c>
      <c r="BJ85" t="s">
        <v>72</v>
      </c>
    </row>
    <row r="86">
      <c r="A86" t="s">
        <v>224</v>
      </c>
      <c r="B86" t="s">
        <v>225</v>
      </c>
      <c r="C86" t="s">
        <v>64</v>
      </c>
      <c r="D86" t="n">
        <v>1</v>
      </c>
      <c r="E86" t="s">
        <v>65</v>
      </c>
      <c r="F86" t="s">
        <v>66</v>
      </c>
      <c r="G86" t="s">
        <v>94</v>
      </c>
      <c r="H86" t="n">
        <v>34</v>
      </c>
      <c r="I86" t="s">
        <v>88</v>
      </c>
      <c r="J86" t="s">
        <v>69</v>
      </c>
      <c r="K86" t="n">
        <v>-5</v>
      </c>
      <c r="L86" t="n">
        <v>-0.5</v>
      </c>
      <c r="M86" t="n">
        <v>163</v>
      </c>
      <c r="N86" t="n">
        <v>-5.25</v>
      </c>
      <c r="O86" s="1" t="n">
        <v>1.30102999566398</v>
      </c>
      <c r="P86" s="1" t="n">
        <v>0</v>
      </c>
      <c r="Q86" t="n">
        <v>484</v>
      </c>
      <c r="R86" t="n">
        <v>45.92</v>
      </c>
      <c r="S86" t="n">
        <v>1</v>
      </c>
      <c r="T86" t="n">
        <v>6.3</v>
      </c>
      <c r="U86" t="n">
        <v>69</v>
      </c>
      <c r="V86" t="n">
        <v>0</v>
      </c>
      <c r="W86" t="n">
        <v>174</v>
      </c>
      <c r="X86" t="n">
        <v>0.25</v>
      </c>
      <c r="Y86" t="n">
        <v>-0.5</v>
      </c>
      <c r="Z86" t="n">
        <v>127</v>
      </c>
      <c r="AA86" t="n">
        <v>0</v>
      </c>
      <c r="AB86" s="1"/>
      <c r="AC86" s="1" t="n">
        <v>-0.204119982655925</v>
      </c>
      <c r="AD86" t="n">
        <v>1</v>
      </c>
      <c r="AE86" t="n">
        <v>4</v>
      </c>
      <c r="AF86" t="s">
        <v>80</v>
      </c>
      <c r="AG86" t="s">
        <v>69</v>
      </c>
      <c r="AH86" t="s">
        <v>70</v>
      </c>
      <c r="AI86" t="s">
        <v>71</v>
      </c>
      <c r="AJ86" t="n">
        <v>37</v>
      </c>
      <c r="AK86" t="n">
        <v>0.5</v>
      </c>
      <c r="AL86" t="n">
        <v>-0.5</v>
      </c>
      <c r="AM86" t="n">
        <v>126</v>
      </c>
      <c r="AN86" t="n">
        <v>0.25</v>
      </c>
      <c r="AO86" t="n">
        <v>101</v>
      </c>
      <c r="AP86" t="n">
        <v>0.25</v>
      </c>
      <c r="AQ86" t="n">
        <v>-0.5</v>
      </c>
      <c r="AR86" t="n">
        <v>120</v>
      </c>
      <c r="AS86" t="n">
        <v>174</v>
      </c>
      <c r="AT86" t="n">
        <v>0.25</v>
      </c>
      <c r="AU86" t="n">
        <v>-0.5</v>
      </c>
      <c r="AV86" t="n">
        <v>127</v>
      </c>
      <c r="AW86" t="n">
        <v>0</v>
      </c>
      <c r="AX86" t="n">
        <v>386</v>
      </c>
      <c r="AY86" t="n">
        <v>0</v>
      </c>
      <c r="AZ86" t="n">
        <v>-0.25</v>
      </c>
      <c r="BA86" t="n">
        <v>130</v>
      </c>
      <c r="BB86" t="n">
        <v>699</v>
      </c>
      <c r="BC86" t="n">
        <v>0</v>
      </c>
      <c r="BD86" t="n">
        <v>-0.5</v>
      </c>
      <c r="BE86" t="n">
        <v>125</v>
      </c>
      <c r="BF86" t="s">
        <v>65</v>
      </c>
      <c r="BG86" s="1" t="n">
        <v>2.51544654133869</v>
      </c>
      <c r="BH86" s="1" t="n">
        <v>1.42857142857143</v>
      </c>
      <c r="BI86" t="n">
        <v>7</v>
      </c>
      <c r="BJ86" t="s">
        <v>72</v>
      </c>
    </row>
    <row r="87">
      <c r="A87" t="s">
        <v>226</v>
      </c>
      <c r="B87" t="s">
        <v>227</v>
      </c>
      <c r="C87" t="s">
        <v>64</v>
      </c>
      <c r="D87" t="n">
        <v>1</v>
      </c>
      <c r="E87" t="s">
        <v>65</v>
      </c>
      <c r="F87" t="s">
        <v>66</v>
      </c>
      <c r="G87" t="s">
        <v>67</v>
      </c>
      <c r="H87" t="n">
        <v>35</v>
      </c>
      <c r="I87" t="s">
        <v>68</v>
      </c>
      <c r="J87" t="s">
        <v>69</v>
      </c>
      <c r="K87" t="n">
        <v>-1.75</v>
      </c>
      <c r="L87" t="n">
        <v>-0.75</v>
      </c>
      <c r="M87" t="n">
        <v>26</v>
      </c>
      <c r="N87" t="n">
        <v>-2.125</v>
      </c>
      <c r="O87" s="1" t="n">
        <v>0.494850021680094</v>
      </c>
      <c r="P87" s="1" t="n">
        <v>-0.0969100130080564</v>
      </c>
      <c r="Q87" t="n">
        <v>521</v>
      </c>
      <c r="R87" t="n">
        <v>42.8</v>
      </c>
      <c r="S87" t="n">
        <v>0</v>
      </c>
      <c r="T87" t="n">
        <v>6.7</v>
      </c>
      <c r="U87" t="n">
        <v>33</v>
      </c>
      <c r="V87" t="n">
        <v>0</v>
      </c>
      <c r="W87" t="n">
        <v>171</v>
      </c>
      <c r="X87" t="n">
        <v>0.25</v>
      </c>
      <c r="Y87" t="n">
        <v>0</v>
      </c>
      <c r="Z87" t="n">
        <v>66</v>
      </c>
      <c r="AA87" t="n">
        <v>0.25</v>
      </c>
      <c r="AB87" s="1" t="n">
        <v>-0.204119982655925</v>
      </c>
      <c r="AC87" s="1" t="n">
        <v>-0.204119982655925</v>
      </c>
      <c r="AD87" t="n">
        <v>0</v>
      </c>
      <c r="AE87" t="n">
        <v>5</v>
      </c>
      <c r="AF87" t="s">
        <v>69</v>
      </c>
      <c r="AG87" t="s">
        <v>69</v>
      </c>
      <c r="AH87" t="s">
        <v>187</v>
      </c>
      <c r="AI87" t="s">
        <v>71</v>
      </c>
      <c r="AJ87" t="n">
        <v>28</v>
      </c>
      <c r="AK87" t="n">
        <v>0.5</v>
      </c>
      <c r="AL87" t="n">
        <v>0</v>
      </c>
      <c r="AM87" t="n">
        <v>59</v>
      </c>
      <c r="AN87" t="n">
        <v>0.5</v>
      </c>
      <c r="AO87" t="n">
        <v>78</v>
      </c>
      <c r="AP87" t="n">
        <v>0.25</v>
      </c>
      <c r="AQ87" t="n">
        <v>0</v>
      </c>
      <c r="AR87" t="n">
        <v>6</v>
      </c>
      <c r="AS87" t="n">
        <v>171</v>
      </c>
      <c r="AT87" t="n">
        <v>0.25</v>
      </c>
      <c r="AU87" t="n">
        <v>0</v>
      </c>
      <c r="AV87" t="n">
        <v>66</v>
      </c>
      <c r="AW87" t="n">
        <v>0.25</v>
      </c>
      <c r="AX87" t="n">
        <v>339</v>
      </c>
      <c r="AY87" t="n">
        <v>0.25</v>
      </c>
      <c r="AZ87" t="n">
        <v>-0.25</v>
      </c>
      <c r="BA87" t="n">
        <v>66</v>
      </c>
      <c r="BB87" t="n">
        <v>736</v>
      </c>
      <c r="BC87" t="n">
        <v>0.25</v>
      </c>
      <c r="BD87" t="n">
        <v>0</v>
      </c>
      <c r="BE87" t="n">
        <v>56</v>
      </c>
      <c r="BF87" t="s">
        <v>65</v>
      </c>
      <c r="BG87" s="1" t="n">
        <v>-0.427289271209041</v>
      </c>
      <c r="BH87" s="1" t="n">
        <v>0.714285714285714</v>
      </c>
      <c r="BI87" t="n">
        <v>10</v>
      </c>
      <c r="BJ87" t="s">
        <v>72</v>
      </c>
    </row>
    <row r="88">
      <c r="A88" t="s">
        <v>226</v>
      </c>
      <c r="B88" t="s">
        <v>228</v>
      </c>
      <c r="C88" t="s">
        <v>74</v>
      </c>
      <c r="D88" t="n">
        <v>1</v>
      </c>
      <c r="E88" t="s">
        <v>65</v>
      </c>
      <c r="F88" t="s">
        <v>66</v>
      </c>
      <c r="G88" t="s">
        <v>67</v>
      </c>
      <c r="H88" t="n">
        <v>35</v>
      </c>
      <c r="I88" t="s">
        <v>68</v>
      </c>
      <c r="J88" t="s">
        <v>69</v>
      </c>
      <c r="K88" t="n">
        <v>-2</v>
      </c>
      <c r="L88" t="n">
        <v>-1.75</v>
      </c>
      <c r="M88" t="n">
        <v>148</v>
      </c>
      <c r="N88" t="n">
        <v>-2.875</v>
      </c>
      <c r="O88" s="1" t="n">
        <v>0.698970004336019</v>
      </c>
      <c r="P88" s="1" t="n">
        <v>-0.0969100130080564</v>
      </c>
      <c r="Q88" t="n">
        <v>531</v>
      </c>
      <c r="R88" t="n">
        <v>42.38</v>
      </c>
      <c r="S88" t="n">
        <v>0</v>
      </c>
      <c r="T88" t="n">
        <v>6.7</v>
      </c>
      <c r="U88" t="n">
        <v>54</v>
      </c>
      <c r="V88" t="n">
        <v>0</v>
      </c>
      <c r="W88" t="n">
        <v>196</v>
      </c>
      <c r="X88" t="n">
        <v>0.25</v>
      </c>
      <c r="Y88" t="n">
        <v>-0.25</v>
      </c>
      <c r="Z88" t="n">
        <v>112</v>
      </c>
      <c r="AA88" t="n">
        <v>0.125</v>
      </c>
      <c r="AB88" s="1" t="n">
        <v>-0.0969100130080564</v>
      </c>
      <c r="AC88" s="1" t="n">
        <v>-0.0969100130080564</v>
      </c>
      <c r="AD88" t="n">
        <v>0</v>
      </c>
      <c r="AE88" t="n">
        <v>5</v>
      </c>
      <c r="AF88" t="s">
        <v>69</v>
      </c>
      <c r="AG88" t="s">
        <v>69</v>
      </c>
      <c r="AH88" t="s">
        <v>70</v>
      </c>
      <c r="AI88" t="s">
        <v>71</v>
      </c>
      <c r="AJ88" t="n">
        <v>31</v>
      </c>
      <c r="AK88" t="n">
        <v>0.5</v>
      </c>
      <c r="AL88" t="n">
        <v>-0.25</v>
      </c>
      <c r="AM88" t="n">
        <v>108</v>
      </c>
      <c r="AN88" t="n">
        <v>0.375</v>
      </c>
      <c r="AO88" t="n">
        <v>83</v>
      </c>
      <c r="AP88" t="n">
        <v>0.25</v>
      </c>
      <c r="AQ88" t="n">
        <v>-0.25</v>
      </c>
      <c r="AR88" t="n">
        <v>105</v>
      </c>
      <c r="AS88" t="n">
        <v>196</v>
      </c>
      <c r="AT88" t="n">
        <v>0.25</v>
      </c>
      <c r="AU88" t="n">
        <v>-0.25</v>
      </c>
      <c r="AV88" t="n">
        <v>112</v>
      </c>
      <c r="AW88" t="n">
        <v>0.125</v>
      </c>
      <c r="AX88" t="n">
        <v>358</v>
      </c>
      <c r="AY88" t="n">
        <v>0.25</v>
      </c>
      <c r="AZ88" t="n">
        <v>-0.25</v>
      </c>
      <c r="BA88" t="n">
        <v>126</v>
      </c>
      <c r="BB88" t="n">
        <v>736</v>
      </c>
      <c r="BC88" t="n">
        <v>0.25</v>
      </c>
      <c r="BD88" t="n">
        <v>-0.25</v>
      </c>
      <c r="BE88" t="n">
        <v>116</v>
      </c>
      <c r="BF88" t="s">
        <v>65</v>
      </c>
      <c r="BG88" s="1" t="n">
        <v>-0.649522437050132</v>
      </c>
      <c r="BH88" s="1" t="n">
        <v>0.714285714285714</v>
      </c>
      <c r="BI88" t="n">
        <v>33</v>
      </c>
      <c r="BJ88" t="s">
        <v>72</v>
      </c>
    </row>
    <row r="89">
      <c r="A89" t="s">
        <v>229</v>
      </c>
      <c r="B89" t="s">
        <v>230</v>
      </c>
      <c r="C89" t="s">
        <v>74</v>
      </c>
      <c r="D89" t="n">
        <v>1</v>
      </c>
      <c r="E89" t="s">
        <v>65</v>
      </c>
      <c r="F89" t="s">
        <v>66</v>
      </c>
      <c r="G89" t="s">
        <v>67</v>
      </c>
      <c r="H89" t="n">
        <v>29</v>
      </c>
      <c r="I89" t="s">
        <v>68</v>
      </c>
      <c r="J89" t="s">
        <v>69</v>
      </c>
      <c r="K89" t="n">
        <v>-6.25</v>
      </c>
      <c r="L89" t="n">
        <v>-0.25</v>
      </c>
      <c r="M89" t="n">
        <v>97</v>
      </c>
      <c r="N89" t="n">
        <v>-6.375</v>
      </c>
      <c r="O89" s="1" t="n">
        <v>1.60205999132796</v>
      </c>
      <c r="P89" s="1" t="n">
        <v>-0.0969100130080564</v>
      </c>
      <c r="Q89" t="n">
        <v>539</v>
      </c>
      <c r="R89" t="n">
        <v>42.48</v>
      </c>
      <c r="S89" t="n">
        <v>1</v>
      </c>
      <c r="T89" t="n">
        <v>6.5</v>
      </c>
      <c r="U89" t="n">
        <v>96</v>
      </c>
      <c r="V89" t="n">
        <v>0</v>
      </c>
      <c r="W89" t="n">
        <v>158</v>
      </c>
      <c r="X89" t="n">
        <v>-0.25</v>
      </c>
      <c r="Y89" t="n">
        <v>0</v>
      </c>
      <c r="Z89" t="n">
        <v>166</v>
      </c>
      <c r="AA89" t="n">
        <v>-0.25</v>
      </c>
      <c r="AB89" s="1" t="n">
        <v>-0.204119982655925</v>
      </c>
      <c r="AC89" s="1" t="n">
        <v>-0.204119982655925</v>
      </c>
      <c r="AD89" t="n">
        <v>2</v>
      </c>
      <c r="AE89" t="n">
        <v>5</v>
      </c>
      <c r="AF89" t="s">
        <v>69</v>
      </c>
      <c r="AG89" t="s">
        <v>69</v>
      </c>
      <c r="AH89" t="s">
        <v>101</v>
      </c>
      <c r="AI89" t="s">
        <v>95</v>
      </c>
      <c r="AJ89" t="n">
        <v>37</v>
      </c>
      <c r="AK89" t="n">
        <v>0.25</v>
      </c>
      <c r="AL89" t="n">
        <v>0</v>
      </c>
      <c r="AM89" t="n">
        <v>121</v>
      </c>
      <c r="AN89" t="n">
        <v>0.25</v>
      </c>
      <c r="AO89" t="n">
        <v>88</v>
      </c>
      <c r="AP89" t="n">
        <v>0</v>
      </c>
      <c r="AQ89" t="n">
        <v>0</v>
      </c>
      <c r="AR89" t="n">
        <v>10</v>
      </c>
      <c r="AS89" t="n">
        <v>158</v>
      </c>
      <c r="AT89" t="n">
        <v>-0.25</v>
      </c>
      <c r="AU89" t="n">
        <v>0</v>
      </c>
      <c r="AV89" t="n">
        <v>166</v>
      </c>
      <c r="AW89" t="n">
        <v>-0.25</v>
      </c>
      <c r="AX89" t="n">
        <v>394</v>
      </c>
      <c r="AY89" t="n">
        <v>-0.25</v>
      </c>
      <c r="AZ89" t="n">
        <v>0</v>
      </c>
      <c r="BA89" t="n">
        <v>148</v>
      </c>
      <c r="BB89" t="n">
        <v>731</v>
      </c>
      <c r="BC89" t="n">
        <v>-0.5</v>
      </c>
      <c r="BD89" t="n">
        <v>0.25</v>
      </c>
      <c r="BE89" t="n">
        <v>177</v>
      </c>
      <c r="BF89" t="s">
        <v>65</v>
      </c>
      <c r="BG89" s="1" t="n">
        <v>-0.326047838581664</v>
      </c>
      <c r="BH89" s="1" t="n">
        <v>0.714285714285714</v>
      </c>
      <c r="BI89" t="n">
        <v>14</v>
      </c>
      <c r="BJ89" t="s">
        <v>72</v>
      </c>
    </row>
    <row r="90">
      <c r="A90" t="s">
        <v>231</v>
      </c>
      <c r="B90" t="s">
        <v>232</v>
      </c>
      <c r="C90" t="s">
        <v>64</v>
      </c>
      <c r="D90" t="n">
        <v>1</v>
      </c>
      <c r="E90" t="s">
        <v>86</v>
      </c>
      <c r="F90" t="s">
        <v>66</v>
      </c>
      <c r="G90" t="s">
        <v>87</v>
      </c>
      <c r="H90" t="n">
        <v>36</v>
      </c>
      <c r="I90" t="s">
        <v>68</v>
      </c>
      <c r="J90" t="s">
        <v>69</v>
      </c>
      <c r="K90" t="n">
        <v>-2.5</v>
      </c>
      <c r="L90" t="n">
        <v>-1</v>
      </c>
      <c r="M90" t="n">
        <v>14</v>
      </c>
      <c r="N90" t="n">
        <v>-3</v>
      </c>
      <c r="O90" s="1" t="n">
        <v>0.903089986991944</v>
      </c>
      <c r="P90" s="1" t="n">
        <v>0</v>
      </c>
      <c r="Q90" t="n">
        <v>530</v>
      </c>
      <c r="R90" t="n">
        <v>43.15</v>
      </c>
      <c r="S90" t="n">
        <v>1</v>
      </c>
      <c r="T90" t="n">
        <v>6.5</v>
      </c>
      <c r="U90" t="n">
        <v>43</v>
      </c>
      <c r="V90" t="n">
        <v>0</v>
      </c>
      <c r="W90" t="n">
        <v>188</v>
      </c>
      <c r="X90" t="n">
        <v>-0.25</v>
      </c>
      <c r="Y90" t="n">
        <v>0</v>
      </c>
      <c r="Z90" t="n">
        <v>171</v>
      </c>
      <c r="AA90" t="n">
        <v>-0.25</v>
      </c>
      <c r="AB90" s="1" t="n">
        <v>0</v>
      </c>
      <c r="AC90" s="1" t="n">
        <v>0</v>
      </c>
      <c r="AD90" t="n">
        <v>0</v>
      </c>
      <c r="AE90" t="n">
        <v>5</v>
      </c>
      <c r="AF90" t="s">
        <v>69</v>
      </c>
      <c r="AG90" t="s">
        <v>69</v>
      </c>
      <c r="AH90" t="s">
        <v>70</v>
      </c>
      <c r="AI90" t="s">
        <v>71</v>
      </c>
      <c r="AJ90" t="n">
        <v>29</v>
      </c>
      <c r="AK90" t="n">
        <v>0</v>
      </c>
      <c r="AL90" t="n">
        <v>0</v>
      </c>
      <c r="AM90" t="n">
        <v>26</v>
      </c>
      <c r="AN90" t="n">
        <v>0</v>
      </c>
      <c r="AO90" t="n">
        <v>83</v>
      </c>
      <c r="AP90" t="n">
        <v>-0.25</v>
      </c>
      <c r="AQ90" t="n">
        <v>-0.25</v>
      </c>
      <c r="AR90" t="n">
        <v>144</v>
      </c>
      <c r="AS90" t="n">
        <v>188</v>
      </c>
      <c r="AT90" t="n">
        <v>-0.25</v>
      </c>
      <c r="AU90" t="n">
        <v>0</v>
      </c>
      <c r="AV90" t="n">
        <v>171</v>
      </c>
      <c r="AW90" t="n">
        <v>-0.25</v>
      </c>
      <c r="AX90"/>
      <c r="AY90"/>
      <c r="AZ90"/>
      <c r="BA90"/>
      <c r="BB90"/>
      <c r="BC90"/>
      <c r="BD90"/>
      <c r="BE90"/>
      <c r="BF90" t="s">
        <v>86</v>
      </c>
      <c r="BG90" s="1" t="n">
        <v>-1.10708998527978</v>
      </c>
      <c r="BH90" s="1" t="n">
        <v>1</v>
      </c>
      <c r="BI90" t="n">
        <v>37</v>
      </c>
      <c r="BJ90" t="s">
        <v>72</v>
      </c>
    </row>
    <row r="91">
      <c r="A91" t="s">
        <v>233</v>
      </c>
      <c r="B91" t="s">
        <v>234</v>
      </c>
      <c r="C91" t="s">
        <v>64</v>
      </c>
      <c r="D91" t="n">
        <v>1</v>
      </c>
      <c r="E91" t="s">
        <v>86</v>
      </c>
      <c r="F91" t="s">
        <v>66</v>
      </c>
      <c r="G91" t="s">
        <v>87</v>
      </c>
      <c r="H91" t="n">
        <v>28</v>
      </c>
      <c r="I91" t="s">
        <v>88</v>
      </c>
      <c r="J91" t="s">
        <v>69</v>
      </c>
      <c r="K91" t="n">
        <v>-7</v>
      </c>
      <c r="L91" t="n">
        <v>-0.25</v>
      </c>
      <c r="M91" t="n">
        <v>9</v>
      </c>
      <c r="N91" t="n">
        <v>-7.125</v>
      </c>
      <c r="O91" s="1" t="n">
        <v>1.69897000433602</v>
      </c>
      <c r="P91" s="1" t="n">
        <v>0</v>
      </c>
      <c r="Q91" t="n">
        <v>512</v>
      </c>
      <c r="R91" t="n">
        <v>43.99</v>
      </c>
      <c r="S91" t="n">
        <v>0</v>
      </c>
      <c r="T91" t="n">
        <v>6.5</v>
      </c>
      <c r="U91" t="n">
        <v>104</v>
      </c>
      <c r="V91" t="n">
        <v>0</v>
      </c>
      <c r="W91" t="n">
        <v>174</v>
      </c>
      <c r="X91" t="n">
        <v>0</v>
      </c>
      <c r="Y91" t="n">
        <v>0</v>
      </c>
      <c r="Z91" t="n">
        <v>114</v>
      </c>
      <c r="AA91" t="n">
        <v>0</v>
      </c>
      <c r="AB91" s="1" t="n">
        <v>0</v>
      </c>
      <c r="AC91" s="1" t="n">
        <v>0</v>
      </c>
      <c r="AD91" t="n">
        <v>0</v>
      </c>
      <c r="AE91" t="n">
        <v>5</v>
      </c>
      <c r="AF91" t="s">
        <v>80</v>
      </c>
      <c r="AG91" t="s">
        <v>69</v>
      </c>
      <c r="AH91" t="s">
        <v>70</v>
      </c>
      <c r="AI91" t="s">
        <v>71</v>
      </c>
      <c r="AJ91" t="n">
        <v>34</v>
      </c>
      <c r="AK91" t="n">
        <v>0</v>
      </c>
      <c r="AL91" t="n">
        <v>0</v>
      </c>
      <c r="AM91" t="n">
        <v>91</v>
      </c>
      <c r="AN91" t="n">
        <v>0</v>
      </c>
      <c r="AO91" t="n">
        <v>103</v>
      </c>
      <c r="AP91" t="n">
        <v>0</v>
      </c>
      <c r="AQ91" t="n">
        <v>0</v>
      </c>
      <c r="AR91" t="n">
        <v>4</v>
      </c>
      <c r="AS91" t="n">
        <v>174</v>
      </c>
      <c r="AT91" t="n">
        <v>0</v>
      </c>
      <c r="AU91" t="n">
        <v>0</v>
      </c>
      <c r="AV91" t="n">
        <v>114</v>
      </c>
      <c r="AW91" t="n">
        <v>0</v>
      </c>
      <c r="AX91" t="n">
        <v>353</v>
      </c>
      <c r="AY91" t="n">
        <v>0</v>
      </c>
      <c r="AZ91" t="n">
        <v>-0.25</v>
      </c>
      <c r="BA91" t="n">
        <v>18</v>
      </c>
      <c r="BB91" t="n">
        <v>689</v>
      </c>
      <c r="BC91" t="n">
        <v>-0.25</v>
      </c>
      <c r="BD91" t="n">
        <v>-0.25</v>
      </c>
      <c r="BE91" t="n">
        <v>31</v>
      </c>
      <c r="BF91" t="s">
        <v>86</v>
      </c>
      <c r="BG91" s="1" t="n">
        <v>1.54787079745581</v>
      </c>
      <c r="BH91" s="1" t="n">
        <v>1</v>
      </c>
      <c r="BI91" t="n">
        <v>38</v>
      </c>
      <c r="BJ91" t="s">
        <v>72</v>
      </c>
    </row>
    <row r="92">
      <c r="A92" t="s">
        <v>235</v>
      </c>
      <c r="B92" t="s">
        <v>236</v>
      </c>
      <c r="C92" t="s">
        <v>64</v>
      </c>
      <c r="D92" t="n">
        <v>1</v>
      </c>
      <c r="E92" t="s">
        <v>86</v>
      </c>
      <c r="F92" t="s">
        <v>66</v>
      </c>
      <c r="G92" t="s">
        <v>87</v>
      </c>
      <c r="H92" t="n">
        <v>21</v>
      </c>
      <c r="I92" t="s">
        <v>88</v>
      </c>
      <c r="J92" t="s">
        <v>69</v>
      </c>
      <c r="K92" t="n">
        <v>-5.5</v>
      </c>
      <c r="L92" t="n">
        <v>-0.25</v>
      </c>
      <c r="M92" t="n">
        <v>21</v>
      </c>
      <c r="N92" t="n">
        <v>-5.625</v>
      </c>
      <c r="O92" s="1" t="n">
        <v>1.49485002168009</v>
      </c>
      <c r="P92" s="1" t="n">
        <v>0</v>
      </c>
      <c r="Q92" t="n">
        <v>517</v>
      </c>
      <c r="R92" t="n">
        <v>43.53</v>
      </c>
      <c r="S92" t="n">
        <v>0</v>
      </c>
      <c r="T92" t="n">
        <v>6.4</v>
      </c>
      <c r="U92" t="n">
        <v>77</v>
      </c>
      <c r="V92" t="n">
        <v>0</v>
      </c>
      <c r="W92" t="n">
        <v>195</v>
      </c>
      <c r="X92" t="n">
        <v>-0.25</v>
      </c>
      <c r="Y92" t="n">
        <v>-0.25</v>
      </c>
      <c r="Z92" t="n">
        <v>108</v>
      </c>
      <c r="AA92" t="n">
        <v>-0.375</v>
      </c>
      <c r="AB92" s="1" t="n">
        <v>-0.0969100130080564</v>
      </c>
      <c r="AC92" s="1" t="n">
        <v>-0.0969100130080564</v>
      </c>
      <c r="AD92" t="n">
        <v>0</v>
      </c>
      <c r="AE92" t="n">
        <v>3</v>
      </c>
      <c r="AF92" t="s">
        <v>69</v>
      </c>
      <c r="AG92" t="s">
        <v>69</v>
      </c>
      <c r="AH92" t="s">
        <v>70</v>
      </c>
      <c r="AI92" t="s">
        <v>71</v>
      </c>
      <c r="AJ92" t="n">
        <v>27</v>
      </c>
      <c r="AK92" t="n">
        <v>0</v>
      </c>
      <c r="AL92" t="n">
        <v>-0.25</v>
      </c>
      <c r="AM92" t="n">
        <v>109</v>
      </c>
      <c r="AN92" t="n">
        <v>-0.125</v>
      </c>
      <c r="AO92" t="n">
        <v>81</v>
      </c>
      <c r="AP92" t="n">
        <v>0</v>
      </c>
      <c r="AQ92" t="n">
        <v>-0.25</v>
      </c>
      <c r="AR92" t="n">
        <v>103</v>
      </c>
      <c r="AS92" t="n">
        <v>195</v>
      </c>
      <c r="AT92" t="n">
        <v>-0.25</v>
      </c>
      <c r="AU92" t="n">
        <v>-0.25</v>
      </c>
      <c r="AV92" t="n">
        <v>108</v>
      </c>
      <c r="AW92" t="n">
        <v>-0.375</v>
      </c>
      <c r="AX92" t="n">
        <v>346</v>
      </c>
      <c r="AY92" t="n">
        <v>-0.25</v>
      </c>
      <c r="AZ92" t="n">
        <v>-0.25</v>
      </c>
      <c r="BA92" t="n">
        <v>120</v>
      </c>
      <c r="BB92" t="n">
        <v>756</v>
      </c>
      <c r="BC92" t="n">
        <v>-0.25</v>
      </c>
      <c r="BD92" t="n">
        <v>-0.25</v>
      </c>
      <c r="BE92" t="n">
        <v>106</v>
      </c>
      <c r="BF92" t="s">
        <v>86</v>
      </c>
      <c r="BG92" s="1" t="n">
        <v>-0.846172209180769</v>
      </c>
      <c r="BH92" s="1" t="n">
        <v>1</v>
      </c>
      <c r="BI92" t="n">
        <v>39</v>
      </c>
      <c r="BJ92" t="s">
        <v>72</v>
      </c>
    </row>
    <row r="93">
      <c r="A93" t="s">
        <v>237</v>
      </c>
      <c r="B93" t="s">
        <v>238</v>
      </c>
      <c r="C93" t="s">
        <v>64</v>
      </c>
      <c r="D93" t="n">
        <v>1</v>
      </c>
      <c r="E93" t="s">
        <v>65</v>
      </c>
      <c r="F93" t="s">
        <v>66</v>
      </c>
      <c r="G93" t="s">
        <v>94</v>
      </c>
      <c r="H93" t="n">
        <v>35</v>
      </c>
      <c r="I93" t="s">
        <v>88</v>
      </c>
      <c r="J93" t="s">
        <v>80</v>
      </c>
      <c r="K93" t="n">
        <v>-1.75</v>
      </c>
      <c r="L93" t="n">
        <v>-0.75</v>
      </c>
      <c r="M93" t="n">
        <v>10</v>
      </c>
      <c r="N93" t="n">
        <v>-2.125</v>
      </c>
      <c r="O93" s="1" t="n">
        <v>0.494850021680094</v>
      </c>
      <c r="P93" s="1" t="n">
        <v>-0.0969100130080564</v>
      </c>
      <c r="Q93" t="n">
        <v>525</v>
      </c>
      <c r="R93" t="n">
        <v>39.64</v>
      </c>
      <c r="S93" t="n">
        <v>0</v>
      </c>
      <c r="T93" t="n">
        <v>6.8</v>
      </c>
      <c r="U93" t="n">
        <v>39</v>
      </c>
      <c r="V93" t="n">
        <v>0</v>
      </c>
      <c r="W93" t="n">
        <v>157</v>
      </c>
      <c r="X93" t="n">
        <v>0.25</v>
      </c>
      <c r="Y93" t="n">
        <v>-0.25</v>
      </c>
      <c r="Z93" t="n">
        <v>68</v>
      </c>
      <c r="AA93" t="n">
        <v>0.125</v>
      </c>
      <c r="AB93" s="1" t="n">
        <v>-0.0969100130080564</v>
      </c>
      <c r="AC93" s="1" t="n">
        <v>-0.0969100130080564</v>
      </c>
      <c r="AD93" t="n">
        <v>1</v>
      </c>
      <c r="AE93" t="n">
        <v>5</v>
      </c>
      <c r="AF93" t="s">
        <v>69</v>
      </c>
      <c r="AG93" t="s">
        <v>69</v>
      </c>
      <c r="AH93" t="s">
        <v>70</v>
      </c>
      <c r="AI93" t="s">
        <v>95</v>
      </c>
      <c r="AJ93" t="n">
        <v>36</v>
      </c>
      <c r="AK93" t="n">
        <v>0.25</v>
      </c>
      <c r="AL93" t="n">
        <v>0</v>
      </c>
      <c r="AM93" t="n">
        <v>146</v>
      </c>
      <c r="AN93" t="n">
        <v>0.25</v>
      </c>
      <c r="AO93" t="n">
        <v>85</v>
      </c>
      <c r="AP93" t="n">
        <v>0</v>
      </c>
      <c r="AQ93" t="n">
        <v>0.25</v>
      </c>
      <c r="AR93" t="n">
        <v>150</v>
      </c>
      <c r="AS93" t="n">
        <v>157</v>
      </c>
      <c r="AT93" t="n">
        <v>0</v>
      </c>
      <c r="AU93" t="n">
        <v>0.25</v>
      </c>
      <c r="AV93" t="n">
        <v>158</v>
      </c>
      <c r="AW93" t="n">
        <v>0.125</v>
      </c>
      <c r="AX93" t="n">
        <v>383</v>
      </c>
      <c r="AY93" t="n">
        <v>-0.25</v>
      </c>
      <c r="AZ93" t="n">
        <v>0.25</v>
      </c>
      <c r="BA93" t="n">
        <v>154</v>
      </c>
      <c r="BB93"/>
      <c r="BC93"/>
      <c r="BD93"/>
      <c r="BE93"/>
      <c r="BF93" t="s">
        <v>65</v>
      </c>
      <c r="BG93" s="1" t="n">
        <v>-0.621154111978221</v>
      </c>
      <c r="BH93" s="1" t="n">
        <v>0.714285714285714</v>
      </c>
      <c r="BI93" t="n">
        <v>26</v>
      </c>
      <c r="BJ93" t="s">
        <v>72</v>
      </c>
    </row>
    <row r="94">
      <c r="A94" t="s">
        <v>237</v>
      </c>
      <c r="B94" t="s">
        <v>239</v>
      </c>
      <c r="C94" t="s">
        <v>74</v>
      </c>
      <c r="D94" t="n">
        <v>1</v>
      </c>
      <c r="E94" t="s">
        <v>65</v>
      </c>
      <c r="F94" t="s">
        <v>66</v>
      </c>
      <c r="G94" t="s">
        <v>94</v>
      </c>
      <c r="H94" t="n">
        <v>35</v>
      </c>
      <c r="I94" t="s">
        <v>88</v>
      </c>
      <c r="J94" t="s">
        <v>80</v>
      </c>
      <c r="K94" t="n">
        <v>-0.5</v>
      </c>
      <c r="L94" t="n">
        <v>-1.25</v>
      </c>
      <c r="M94" t="n">
        <v>171</v>
      </c>
      <c r="N94" t="n">
        <v>-1.125</v>
      </c>
      <c r="O94" s="1" t="n">
        <v>0.200659450546418</v>
      </c>
      <c r="P94" s="1" t="n">
        <v>-0.0969100130080564</v>
      </c>
      <c r="Q94" t="n">
        <v>528</v>
      </c>
      <c r="R94" t="n">
        <v>39.46</v>
      </c>
      <c r="S94" t="n">
        <v>0</v>
      </c>
      <c r="T94" t="n">
        <v>6.8</v>
      </c>
      <c r="U94" t="n">
        <v>29</v>
      </c>
      <c r="V94" t="n">
        <v>0</v>
      </c>
      <c r="W94" t="n">
        <v>194</v>
      </c>
      <c r="X94" t="n">
        <v>0.25</v>
      </c>
      <c r="Y94" t="n">
        <v>-0.25</v>
      </c>
      <c r="Z94" t="n">
        <v>41</v>
      </c>
      <c r="AA94" t="n">
        <v>0.125</v>
      </c>
      <c r="AB94" s="1" t="n">
        <v>-0.0969100130080564</v>
      </c>
      <c r="AC94" s="1" t="n">
        <v>-0.0969100130080564</v>
      </c>
      <c r="AD94" t="n">
        <v>0</v>
      </c>
      <c r="AE94" t="n">
        <v>5</v>
      </c>
      <c r="AF94" t="s">
        <v>69</v>
      </c>
      <c r="AG94" t="s">
        <v>69</v>
      </c>
      <c r="AH94" t="s">
        <v>70</v>
      </c>
      <c r="AI94" t="s">
        <v>71</v>
      </c>
      <c r="AJ94" t="n">
        <v>26</v>
      </c>
      <c r="AK94" t="n">
        <v>0.75</v>
      </c>
      <c r="AL94" t="n">
        <v>-0.25</v>
      </c>
      <c r="AM94" t="n">
        <v>34</v>
      </c>
      <c r="AN94" t="n">
        <v>0.625</v>
      </c>
      <c r="AO94" t="n">
        <v>77</v>
      </c>
      <c r="AP94" t="n">
        <v>0.5</v>
      </c>
      <c r="AQ94" t="n">
        <v>-0.25</v>
      </c>
      <c r="AR94" t="n">
        <v>38</v>
      </c>
      <c r="AS94" t="n">
        <v>194</v>
      </c>
      <c r="AT94" t="n">
        <v>0.25</v>
      </c>
      <c r="AU94" t="n">
        <v>-0.25</v>
      </c>
      <c r="AV94" t="n">
        <v>41</v>
      </c>
      <c r="AW94" t="n">
        <v>0.125</v>
      </c>
      <c r="AX94" t="n">
        <v>342</v>
      </c>
      <c r="AY94" t="n">
        <v>0</v>
      </c>
      <c r="AZ94" t="n">
        <v>0</v>
      </c>
      <c r="BA94" t="n">
        <v>46</v>
      </c>
      <c r="BB94"/>
      <c r="BC94"/>
      <c r="BD94"/>
      <c r="BE94"/>
      <c r="BF94" t="s">
        <v>65</v>
      </c>
      <c r="BG94" s="1" t="n">
        <v>-1.0299785980861</v>
      </c>
      <c r="BH94" s="1" t="n">
        <v>0.714285714285714</v>
      </c>
      <c r="BI94" t="n">
        <v>42</v>
      </c>
      <c r="BJ94" t="s">
        <v>72</v>
      </c>
    </row>
    <row r="95">
      <c r="A95" t="s">
        <v>240</v>
      </c>
      <c r="B95" t="s">
        <v>241</v>
      </c>
      <c r="C95" t="s">
        <v>64</v>
      </c>
      <c r="D95" t="n">
        <v>1</v>
      </c>
      <c r="E95" t="s">
        <v>65</v>
      </c>
      <c r="F95" t="s">
        <v>66</v>
      </c>
      <c r="G95" t="s">
        <v>87</v>
      </c>
      <c r="H95" t="n">
        <v>48</v>
      </c>
      <c r="I95" t="s">
        <v>68</v>
      </c>
      <c r="J95" t="s">
        <v>80</v>
      </c>
      <c r="K95" t="n">
        <v>-5</v>
      </c>
      <c r="L95" t="n">
        <v>-0.5</v>
      </c>
      <c r="M95" t="n">
        <v>157</v>
      </c>
      <c r="N95" t="n">
        <v>-5.25</v>
      </c>
      <c r="O95" s="1" t="n">
        <v>1.49485002168009</v>
      </c>
      <c r="P95" s="1" t="n">
        <v>0</v>
      </c>
      <c r="Q95" t="n">
        <v>528</v>
      </c>
      <c r="R95"/>
      <c r="S95" t="n">
        <v>1</v>
      </c>
      <c r="T95" t="n">
        <v>6.5</v>
      </c>
      <c r="U95" t="n">
        <v>81</v>
      </c>
      <c r="V95" t="n">
        <v>0</v>
      </c>
      <c r="W95" t="n">
        <v>197</v>
      </c>
      <c r="X95" t="n">
        <v>-1</v>
      </c>
      <c r="Y95" t="n">
        <v>0</v>
      </c>
      <c r="Z95" t="n">
        <v>108</v>
      </c>
      <c r="AA95" t="n">
        <v>-1</v>
      </c>
      <c r="AB95" s="1" t="n">
        <v>0.0969100130080564</v>
      </c>
      <c r="AC95" s="1" t="n">
        <v>-0.204119982655925</v>
      </c>
      <c r="AD95" t="n">
        <v>0</v>
      </c>
      <c r="AE95" t="n">
        <v>5</v>
      </c>
      <c r="AF95" t="s">
        <v>69</v>
      </c>
      <c r="AG95" t="s">
        <v>80</v>
      </c>
      <c r="AH95" t="s">
        <v>70</v>
      </c>
      <c r="AI95" t="s">
        <v>71</v>
      </c>
      <c r="AJ95" t="n">
        <v>23</v>
      </c>
      <c r="AK95" t="n">
        <v>-0.5</v>
      </c>
      <c r="AL95" t="n">
        <v>0</v>
      </c>
      <c r="AM95" t="n">
        <v>104</v>
      </c>
      <c r="AN95" t="n">
        <v>-0.5</v>
      </c>
      <c r="AO95" t="n">
        <v>81</v>
      </c>
      <c r="AP95" t="n">
        <v>-0.75</v>
      </c>
      <c r="AQ95" t="n">
        <v>-0.25</v>
      </c>
      <c r="AR95" t="n">
        <v>98</v>
      </c>
      <c r="AS95" t="n">
        <v>197</v>
      </c>
      <c r="AT95" t="n">
        <v>-1</v>
      </c>
      <c r="AU95" t="n">
        <v>0</v>
      </c>
      <c r="AV95" t="n">
        <v>108</v>
      </c>
      <c r="AW95" t="n">
        <v>-1</v>
      </c>
      <c r="AX95" t="n">
        <v>336</v>
      </c>
      <c r="AY95" t="n">
        <v>-0.75</v>
      </c>
      <c r="AZ95" t="n">
        <v>-0.25</v>
      </c>
      <c r="BA95" t="n">
        <v>113</v>
      </c>
      <c r="BB95" t="n">
        <v>764</v>
      </c>
      <c r="BC95" t="n">
        <v>-1</v>
      </c>
      <c r="BD95" t="n">
        <v>0</v>
      </c>
      <c r="BE95" t="n">
        <v>135</v>
      </c>
      <c r="BF95" t="s">
        <v>65</v>
      </c>
      <c r="BG95" s="1" t="n">
        <v>1.27330156387754</v>
      </c>
      <c r="BH95" s="1" t="n">
        <v>1.42857142857143</v>
      </c>
      <c r="BI95" t="n">
        <v>38</v>
      </c>
      <c r="BJ95" t="s">
        <v>72</v>
      </c>
    </row>
    <row r="96">
      <c r="A96" t="s">
        <v>240</v>
      </c>
      <c r="B96" t="s">
        <v>242</v>
      </c>
      <c r="C96" t="s">
        <v>74</v>
      </c>
      <c r="D96" t="n">
        <v>1</v>
      </c>
      <c r="E96" t="s">
        <v>65</v>
      </c>
      <c r="F96" t="s">
        <v>66</v>
      </c>
      <c r="G96" t="s">
        <v>87</v>
      </c>
      <c r="H96" t="n">
        <v>48</v>
      </c>
      <c r="I96" t="s">
        <v>68</v>
      </c>
      <c r="J96" t="s">
        <v>80</v>
      </c>
      <c r="K96" t="n">
        <v>-4.5</v>
      </c>
      <c r="L96" t="n">
        <v>-0.75</v>
      </c>
      <c r="M96" t="n">
        <v>28</v>
      </c>
      <c r="N96" t="n">
        <v>-4.875</v>
      </c>
      <c r="O96" s="1" t="n">
        <v>1.30102999566398</v>
      </c>
      <c r="P96" s="1" t="n">
        <v>0</v>
      </c>
      <c r="Q96" t="n">
        <v>545</v>
      </c>
      <c r="R96" t="n">
        <v>41.68</v>
      </c>
      <c r="S96" t="n">
        <v>0</v>
      </c>
      <c r="T96" t="n">
        <v>6.5</v>
      </c>
      <c r="U96" t="n">
        <v>70</v>
      </c>
      <c r="V96" t="n">
        <v>0</v>
      </c>
      <c r="W96" t="n">
        <v>171</v>
      </c>
      <c r="X96" t="n">
        <v>-1</v>
      </c>
      <c r="Y96" t="n">
        <v>0</v>
      </c>
      <c r="Z96" t="n">
        <v>97</v>
      </c>
      <c r="AA96" t="n">
        <v>-1</v>
      </c>
      <c r="AB96" s="1" t="n">
        <v>0</v>
      </c>
      <c r="AC96" s="1" t="n">
        <v>-0.204119982655925</v>
      </c>
      <c r="AD96" t="n">
        <v>0</v>
      </c>
      <c r="AE96" t="n">
        <v>5</v>
      </c>
      <c r="AF96" t="s">
        <v>69</v>
      </c>
      <c r="AG96" t="s">
        <v>80</v>
      </c>
      <c r="AH96" t="s">
        <v>70</v>
      </c>
      <c r="AI96" t="s">
        <v>71</v>
      </c>
      <c r="AJ96" t="n">
        <v>32</v>
      </c>
      <c r="AK96" t="n">
        <v>-0.75</v>
      </c>
      <c r="AL96" t="n">
        <v>0</v>
      </c>
      <c r="AM96" t="n">
        <v>92</v>
      </c>
      <c r="AN96" t="n">
        <v>-0.75</v>
      </c>
      <c r="AO96" t="n">
        <v>98</v>
      </c>
      <c r="AP96" t="n">
        <v>-0.75</v>
      </c>
      <c r="AQ96" t="n">
        <v>0</v>
      </c>
      <c r="AR96" t="n">
        <v>123</v>
      </c>
      <c r="AS96" t="n">
        <v>171</v>
      </c>
      <c r="AT96" t="n">
        <v>-1</v>
      </c>
      <c r="AU96" t="n">
        <v>0</v>
      </c>
      <c r="AV96" t="n">
        <v>97</v>
      </c>
      <c r="AW96" t="n">
        <v>-1</v>
      </c>
      <c r="AX96" t="n">
        <v>385</v>
      </c>
      <c r="AY96" t="n">
        <v>-0.75</v>
      </c>
      <c r="AZ96" t="n">
        <v>-0.25</v>
      </c>
      <c r="BA96" t="n">
        <v>107</v>
      </c>
      <c r="BB96" t="n">
        <v>741</v>
      </c>
      <c r="BC96" t="n">
        <v>-1</v>
      </c>
      <c r="BD96" t="n">
        <v>-0.25</v>
      </c>
      <c r="BE96" t="n">
        <v>112</v>
      </c>
      <c r="BF96" t="s">
        <v>65</v>
      </c>
      <c r="BG96" s="1" t="n">
        <v>0.678358436434333</v>
      </c>
      <c r="BH96" s="1" t="n">
        <v>1.42857142857143</v>
      </c>
      <c r="BI96" t="n">
        <v>35</v>
      </c>
      <c r="BJ96" t="s">
        <v>72</v>
      </c>
    </row>
    <row r="97">
      <c r="A97" t="s">
        <v>243</v>
      </c>
      <c r="B97" t="s">
        <v>244</v>
      </c>
      <c r="C97" t="s">
        <v>64</v>
      </c>
      <c r="D97" t="n">
        <v>1</v>
      </c>
      <c r="E97" t="s">
        <v>86</v>
      </c>
      <c r="F97" t="s">
        <v>66</v>
      </c>
      <c r="G97" t="s">
        <v>67</v>
      </c>
      <c r="H97" t="n">
        <v>19</v>
      </c>
      <c r="I97" t="s">
        <v>68</v>
      </c>
      <c r="J97" t="s">
        <v>69</v>
      </c>
      <c r="K97" t="n">
        <v>-7.5</v>
      </c>
      <c r="L97" t="n">
        <v>-0.25</v>
      </c>
      <c r="M97" t="n">
        <v>180</v>
      </c>
      <c r="N97" t="n">
        <v>-7.625</v>
      </c>
      <c r="O97" s="1" t="n">
        <v>1.69897000433602</v>
      </c>
      <c r="P97" s="1" t="n">
        <v>0</v>
      </c>
      <c r="Q97" t="n">
        <v>536</v>
      </c>
      <c r="R97" t="n">
        <v>42.24</v>
      </c>
      <c r="S97" t="n">
        <v>2</v>
      </c>
      <c r="T97" t="n">
        <v>6.3</v>
      </c>
      <c r="U97" t="n">
        <v>103</v>
      </c>
      <c r="V97" t="n">
        <v>0</v>
      </c>
      <c r="W97" t="n">
        <v>186</v>
      </c>
      <c r="X97" t="n">
        <v>-0.75</v>
      </c>
      <c r="Y97" t="n">
        <v>0</v>
      </c>
      <c r="Z97" t="n">
        <v>167</v>
      </c>
      <c r="AA97" t="n">
        <v>-0.75</v>
      </c>
      <c r="AB97" s="1" t="n">
        <v>0</v>
      </c>
      <c r="AC97" s="1" t="n">
        <v>0</v>
      </c>
      <c r="AD97" t="n">
        <v>1</v>
      </c>
      <c r="AE97" t="n">
        <v>5</v>
      </c>
      <c r="AF97" t="s">
        <v>69</v>
      </c>
      <c r="AG97" t="s">
        <v>80</v>
      </c>
      <c r="AH97" t="s">
        <v>187</v>
      </c>
      <c r="AI97" t="s">
        <v>95</v>
      </c>
      <c r="AJ97" t="n">
        <v>23</v>
      </c>
      <c r="AK97" t="n">
        <v>-0.5</v>
      </c>
      <c r="AL97" t="n">
        <v>0</v>
      </c>
      <c r="AM97" t="n">
        <v>19</v>
      </c>
      <c r="AN97" t="n">
        <v>-0.5</v>
      </c>
      <c r="AO97" t="n">
        <v>86</v>
      </c>
      <c r="AP97" t="n">
        <v>-0.5</v>
      </c>
      <c r="AQ97" t="n">
        <v>0</v>
      </c>
      <c r="AR97" t="n">
        <v>171</v>
      </c>
      <c r="AS97" t="n">
        <v>186</v>
      </c>
      <c r="AT97" t="n">
        <v>-0.75</v>
      </c>
      <c r="AU97" t="n">
        <v>0</v>
      </c>
      <c r="AV97" t="n">
        <v>167</v>
      </c>
      <c r="AW97" t="n">
        <v>-0.75</v>
      </c>
      <c r="AX97" t="n">
        <v>349</v>
      </c>
      <c r="AY97" t="n">
        <v>-0.75</v>
      </c>
      <c r="AZ97" t="n">
        <v>0</v>
      </c>
      <c r="BA97" t="n">
        <v>159</v>
      </c>
      <c r="BB97" t="n">
        <v>692</v>
      </c>
      <c r="BC97" t="n">
        <v>-1.25</v>
      </c>
      <c r="BD97" t="n">
        <v>0</v>
      </c>
      <c r="BE97" t="n">
        <v>87</v>
      </c>
      <c r="BF97" t="s">
        <v>86</v>
      </c>
      <c r="BG97" s="1" t="n">
        <v>0.0323241222550807</v>
      </c>
      <c r="BH97" s="1" t="n">
        <v>1</v>
      </c>
      <c r="BI97" t="n">
        <v>40</v>
      </c>
      <c r="BJ97" t="s">
        <v>72</v>
      </c>
    </row>
    <row r="98">
      <c r="A98" t="s">
        <v>245</v>
      </c>
      <c r="B98" t="s">
        <v>246</v>
      </c>
      <c r="C98" t="s">
        <v>74</v>
      </c>
      <c r="D98" t="n">
        <v>1</v>
      </c>
      <c r="E98" t="s">
        <v>65</v>
      </c>
      <c r="F98" t="s">
        <v>66</v>
      </c>
      <c r="G98" t="s">
        <v>87</v>
      </c>
      <c r="H98" t="n">
        <v>23</v>
      </c>
      <c r="I98" t="s">
        <v>68</v>
      </c>
      <c r="J98" t="s">
        <v>80</v>
      </c>
      <c r="K98" t="n">
        <v>-5.75</v>
      </c>
      <c r="L98" t="n">
        <v>-0.5</v>
      </c>
      <c r="M98" t="n">
        <v>126</v>
      </c>
      <c r="N98" t="n">
        <v>-6</v>
      </c>
      <c r="O98" s="1" t="n">
        <v>1.69897000433602</v>
      </c>
      <c r="P98" s="1" t="n">
        <v>0.0969100130080564</v>
      </c>
      <c r="Q98" t="n">
        <v>517</v>
      </c>
      <c r="R98" t="n">
        <v>44.13</v>
      </c>
      <c r="S98" t="n">
        <v>0</v>
      </c>
      <c r="T98" t="n">
        <v>6.6</v>
      </c>
      <c r="U98" t="n">
        <v>92</v>
      </c>
      <c r="V98" t="n">
        <v>0</v>
      </c>
      <c r="W98"/>
      <c r="X98"/>
      <c r="Y98"/>
      <c r="Z98"/>
      <c r="AA98"/>
      <c r="AB98" s="1"/>
      <c r="AC98" s="1"/>
      <c r="AD98"/>
      <c r="AE98"/>
      <c r="AF98"/>
      <c r="AG98"/>
      <c r="AH98" t="s">
        <v>101</v>
      </c>
      <c r="AI98" t="s">
        <v>95</v>
      </c>
      <c r="AJ98" t="n">
        <v>29</v>
      </c>
      <c r="AK98" t="n">
        <v>0.25</v>
      </c>
      <c r="AL98" t="n">
        <v>0</v>
      </c>
      <c r="AM98" t="n">
        <v>155</v>
      </c>
      <c r="AN98" t="n">
        <v>0.25</v>
      </c>
      <c r="AO98"/>
      <c r="AP98"/>
      <c r="AQ98"/>
      <c r="AR98"/>
      <c r="AS98"/>
      <c r="AT98"/>
      <c r="AU98"/>
      <c r="AV98"/>
      <c r="AW98"/>
      <c r="AX98"/>
      <c r="AY98"/>
      <c r="AZ98"/>
      <c r="BA98"/>
      <c r="BB98"/>
      <c r="BC98"/>
      <c r="BD98"/>
      <c r="BE98"/>
      <c r="BF98" t="s">
        <v>65</v>
      </c>
      <c r="BG98" s="1" t="n">
        <v>-0.879701511671409</v>
      </c>
      <c r="BH98" s="1" t="n">
        <v>0.714285714285714</v>
      </c>
      <c r="BI98" t="n">
        <v>15</v>
      </c>
      <c r="BJ98" t="s">
        <v>72</v>
      </c>
    </row>
    <row r="99">
      <c r="A99" t="s">
        <v>247</v>
      </c>
      <c r="B99" t="s">
        <v>248</v>
      </c>
      <c r="C99" t="s">
        <v>64</v>
      </c>
      <c r="D99" t="n">
        <v>1</v>
      </c>
      <c r="E99" t="s">
        <v>65</v>
      </c>
      <c r="F99" t="s">
        <v>66</v>
      </c>
      <c r="G99" t="s">
        <v>94</v>
      </c>
      <c r="H99" t="n">
        <v>33</v>
      </c>
      <c r="I99" t="s">
        <v>88</v>
      </c>
      <c r="J99" t="s">
        <v>69</v>
      </c>
      <c r="K99" t="n">
        <v>-1</v>
      </c>
      <c r="L99" t="n">
        <v>-0.5</v>
      </c>
      <c r="M99" t="n">
        <v>162</v>
      </c>
      <c r="N99" t="n">
        <v>-1.25</v>
      </c>
      <c r="O99" s="1" t="n">
        <v>0.301029995663981</v>
      </c>
      <c r="P99" s="1" t="n">
        <v>0</v>
      </c>
      <c r="Q99" t="n">
        <v>505</v>
      </c>
      <c r="R99" t="n">
        <v>43.43</v>
      </c>
      <c r="S99" t="n">
        <v>1</v>
      </c>
      <c r="T99" t="n">
        <v>6.7</v>
      </c>
      <c r="U99" t="n">
        <v>24</v>
      </c>
      <c r="V99" t="n">
        <v>0</v>
      </c>
      <c r="W99" t="n">
        <v>171</v>
      </c>
      <c r="X99" t="n">
        <v>0.75</v>
      </c>
      <c r="Y99" t="n">
        <v>-0.25</v>
      </c>
      <c r="Z99" t="n">
        <v>96</v>
      </c>
      <c r="AA99" t="n">
        <v>0.625</v>
      </c>
      <c r="AB99" s="1" t="n">
        <v>0.0969100130080564</v>
      </c>
      <c r="AC99" s="1" t="n">
        <v>0</v>
      </c>
      <c r="AD99" t="n">
        <v>0</v>
      </c>
      <c r="AE99" t="n">
        <v>5</v>
      </c>
      <c r="AF99" t="s">
        <v>69</v>
      </c>
      <c r="AG99" t="s">
        <v>69</v>
      </c>
      <c r="AH99" t="s">
        <v>70</v>
      </c>
      <c r="AI99" t="s">
        <v>71</v>
      </c>
      <c r="AJ99" t="n">
        <v>32</v>
      </c>
      <c r="AK99" t="n">
        <v>0.75</v>
      </c>
      <c r="AL99" t="n">
        <v>-0.25</v>
      </c>
      <c r="AM99" t="n">
        <v>110</v>
      </c>
      <c r="AN99" t="n">
        <v>0.625</v>
      </c>
      <c r="AO99" t="n">
        <v>103</v>
      </c>
      <c r="AP99" t="n">
        <v>1.25</v>
      </c>
      <c r="AQ99" t="n">
        <v>-0.5</v>
      </c>
      <c r="AR99" t="n">
        <v>100</v>
      </c>
      <c r="AS99" t="n">
        <v>171</v>
      </c>
      <c r="AT99" t="n">
        <v>0.75</v>
      </c>
      <c r="AU99" t="n">
        <v>-0.25</v>
      </c>
      <c r="AV99" t="n">
        <v>96</v>
      </c>
      <c r="AW99" t="n">
        <v>0.625</v>
      </c>
      <c r="AX99" t="n">
        <v>391</v>
      </c>
      <c r="AY99" t="n">
        <v>0.5</v>
      </c>
      <c r="AZ99" t="n">
        <v>-0.25</v>
      </c>
      <c r="BA99" t="n">
        <v>95</v>
      </c>
      <c r="BB99" t="n">
        <v>720</v>
      </c>
      <c r="BC99" t="n">
        <v>0.75</v>
      </c>
      <c r="BD99" t="n">
        <v>-0.25</v>
      </c>
      <c r="BE99" t="n">
        <v>91</v>
      </c>
      <c r="BF99" t="s">
        <v>65</v>
      </c>
      <c r="BG99" s="1" t="n">
        <v>-0.367856374169132</v>
      </c>
      <c r="BH99" s="1" t="n">
        <v>0.714285714285714</v>
      </c>
      <c r="BI99" t="n">
        <v>34</v>
      </c>
      <c r="BJ99" t="s">
        <v>72</v>
      </c>
    </row>
    <row r="100">
      <c r="A100" t="s">
        <v>249</v>
      </c>
      <c r="B100" t="s">
        <v>250</v>
      </c>
      <c r="C100" t="s">
        <v>64</v>
      </c>
      <c r="D100" t="n">
        <v>1</v>
      </c>
      <c r="E100" t="s">
        <v>86</v>
      </c>
      <c r="F100" t="s">
        <v>66</v>
      </c>
      <c r="G100" t="s">
        <v>94</v>
      </c>
      <c r="H100" t="n">
        <v>39</v>
      </c>
      <c r="I100" t="s">
        <v>68</v>
      </c>
      <c r="J100" t="s">
        <v>69</v>
      </c>
      <c r="K100" t="n">
        <v>-5</v>
      </c>
      <c r="L100" t="n">
        <v>-1</v>
      </c>
      <c r="M100" t="n">
        <v>95</v>
      </c>
      <c r="N100" t="n">
        <v>-5.5</v>
      </c>
      <c r="O100" s="1" t="n">
        <v>1.30102999566398</v>
      </c>
      <c r="P100" s="1" t="n">
        <v>-0.0969100130080564</v>
      </c>
      <c r="Q100" t="n">
        <v>514</v>
      </c>
      <c r="R100" t="n">
        <v>44.41</v>
      </c>
      <c r="S100" t="n">
        <v>0</v>
      </c>
      <c r="T100" t="n">
        <v>6.5</v>
      </c>
      <c r="U100" t="n">
        <v>83</v>
      </c>
      <c r="V100" t="n">
        <v>0</v>
      </c>
      <c r="W100" t="n">
        <v>198</v>
      </c>
      <c r="X100" t="n">
        <v>0</v>
      </c>
      <c r="Y100" t="n">
        <v>0</v>
      </c>
      <c r="Z100" t="n">
        <v>32</v>
      </c>
      <c r="AA100" t="n">
        <v>0</v>
      </c>
      <c r="AB100" s="1" t="n">
        <v>-0.0969100130080564</v>
      </c>
      <c r="AC100" s="1" t="n">
        <v>-0.0969100130080564</v>
      </c>
      <c r="AD100" t="n">
        <v>1</v>
      </c>
      <c r="AE100" t="n">
        <v>5</v>
      </c>
      <c r="AF100" t="s">
        <v>69</v>
      </c>
      <c r="AG100" t="s">
        <v>69</v>
      </c>
      <c r="AH100" t="s">
        <v>187</v>
      </c>
      <c r="AI100" t="s">
        <v>71</v>
      </c>
      <c r="AJ100" t="n">
        <v>30</v>
      </c>
      <c r="AK100" t="n">
        <v>0.5</v>
      </c>
      <c r="AL100" t="n">
        <v>-0.25</v>
      </c>
      <c r="AM100" t="n">
        <v>52</v>
      </c>
      <c r="AN100" t="n">
        <v>0.375</v>
      </c>
      <c r="AO100" t="n">
        <v>88</v>
      </c>
      <c r="AP100" t="n">
        <v>0.25</v>
      </c>
      <c r="AQ100" t="n">
        <v>0</v>
      </c>
      <c r="AR100" t="n">
        <v>21</v>
      </c>
      <c r="AS100" t="n">
        <v>198</v>
      </c>
      <c r="AT100" t="n">
        <v>0</v>
      </c>
      <c r="AU100" t="n">
        <v>0</v>
      </c>
      <c r="AV100" t="n">
        <v>32</v>
      </c>
      <c r="AW100" t="n">
        <v>0</v>
      </c>
      <c r="AX100" t="n">
        <v>378</v>
      </c>
      <c r="AY100" t="n">
        <v>0</v>
      </c>
      <c r="AZ100" t="n">
        <v>0</v>
      </c>
      <c r="BA100" t="n">
        <v>34</v>
      </c>
      <c r="BB100"/>
      <c r="BC100"/>
      <c r="BD100"/>
      <c r="BE100"/>
      <c r="BF100" t="s">
        <v>86</v>
      </c>
      <c r="BG100" s="1" t="n">
        <v>2.00573434330052</v>
      </c>
      <c r="BH100" s="1" t="n">
        <v>1</v>
      </c>
      <c r="BI100" t="n">
        <v>41</v>
      </c>
      <c r="BJ100" t="s">
        <v>72</v>
      </c>
    </row>
    <row r="101">
      <c r="A101" t="s">
        <v>251</v>
      </c>
      <c r="B101" t="s">
        <v>252</v>
      </c>
      <c r="C101" t="s">
        <v>64</v>
      </c>
      <c r="D101" t="n">
        <v>1</v>
      </c>
      <c r="E101" t="s">
        <v>86</v>
      </c>
      <c r="F101" t="s">
        <v>66</v>
      </c>
      <c r="G101" t="s">
        <v>67</v>
      </c>
      <c r="H101" t="n">
        <v>38</v>
      </c>
      <c r="I101" t="s">
        <v>88</v>
      </c>
      <c r="J101" t="s">
        <v>80</v>
      </c>
      <c r="K101" t="n">
        <v>-5.75</v>
      </c>
      <c r="L101" t="n">
        <v>-0.75</v>
      </c>
      <c r="M101" t="n">
        <v>104</v>
      </c>
      <c r="N101" t="n">
        <v>-6.125</v>
      </c>
      <c r="O101" s="1" t="n">
        <v>1.69897000433602</v>
      </c>
      <c r="P101" s="1" t="n">
        <v>0</v>
      </c>
      <c r="Q101" t="n">
        <v>557</v>
      </c>
      <c r="R101" t="n">
        <v>43.04</v>
      </c>
      <c r="S101" t="n">
        <v>0</v>
      </c>
      <c r="T101" t="n">
        <v>6.5</v>
      </c>
      <c r="U101" t="n">
        <v>87</v>
      </c>
      <c r="V101" t="n">
        <v>0</v>
      </c>
      <c r="W101" t="n">
        <v>189</v>
      </c>
      <c r="X101" t="n">
        <v>-0.25</v>
      </c>
      <c r="Y101" t="n">
        <v>-0.25</v>
      </c>
      <c r="Z101" t="n">
        <v>84</v>
      </c>
      <c r="AA101" t="n">
        <v>-0.375</v>
      </c>
      <c r="AB101" s="1" t="n">
        <v>-0.0969100130080564</v>
      </c>
      <c r="AC101" s="1" t="n">
        <v>-0.0969100130080564</v>
      </c>
      <c r="AD101" t="n">
        <v>1</v>
      </c>
      <c r="AE101" t="n">
        <v>5</v>
      </c>
      <c r="AF101" t="s">
        <v>69</v>
      </c>
      <c r="AG101" t="s">
        <v>69</v>
      </c>
      <c r="AH101" t="s">
        <v>70</v>
      </c>
      <c r="AI101" t="s">
        <v>71</v>
      </c>
      <c r="AJ101" t="n">
        <v>24</v>
      </c>
      <c r="AK101" t="n">
        <v>0.25</v>
      </c>
      <c r="AL101" t="n">
        <v>-0.25</v>
      </c>
      <c r="AM101" t="n">
        <v>98</v>
      </c>
      <c r="AN101" t="n">
        <v>0.125</v>
      </c>
      <c r="AO101" t="n">
        <v>103</v>
      </c>
      <c r="AP101" t="n">
        <v>0.25</v>
      </c>
      <c r="AQ101" t="n">
        <v>-0.25</v>
      </c>
      <c r="AR101" t="n">
        <v>76</v>
      </c>
      <c r="AS101" t="n">
        <v>189</v>
      </c>
      <c r="AT101" t="n">
        <v>-0.25</v>
      </c>
      <c r="AU101" t="n">
        <v>-0.25</v>
      </c>
      <c r="AV101" t="n">
        <v>84</v>
      </c>
      <c r="AW101" t="n">
        <v>-0.375</v>
      </c>
      <c r="AX101" t="n">
        <v>386</v>
      </c>
      <c r="AY101" t="n">
        <v>-0.25</v>
      </c>
      <c r="AZ101" t="n">
        <v>-0.25</v>
      </c>
      <c r="BA101" t="n">
        <v>80</v>
      </c>
      <c r="BB101" t="n">
        <v>710</v>
      </c>
      <c r="BC101" t="n">
        <v>-0.25</v>
      </c>
      <c r="BD101" t="n">
        <v>-0.25</v>
      </c>
      <c r="BE101" t="n">
        <v>76</v>
      </c>
      <c r="BF101" t="s">
        <v>86</v>
      </c>
      <c r="BG101" s="1" t="n">
        <v>-0.871932703624831</v>
      </c>
      <c r="BH101" s="1" t="n">
        <v>1</v>
      </c>
      <c r="BI101" t="n">
        <v>42</v>
      </c>
      <c r="BJ101" t="s">
        <v>72</v>
      </c>
    </row>
    <row r="102">
      <c r="A102" t="s">
        <v>253</v>
      </c>
      <c r="B102" t="s">
        <v>254</v>
      </c>
      <c r="C102" t="s">
        <v>64</v>
      </c>
      <c r="D102" t="n">
        <v>1</v>
      </c>
      <c r="E102" t="s">
        <v>65</v>
      </c>
      <c r="F102" t="s">
        <v>66</v>
      </c>
      <c r="G102" t="s">
        <v>94</v>
      </c>
      <c r="H102" t="n">
        <v>42</v>
      </c>
      <c r="I102" t="s">
        <v>88</v>
      </c>
      <c r="J102" t="s">
        <v>80</v>
      </c>
      <c r="K102" t="n">
        <v>-4</v>
      </c>
      <c r="L102" t="n">
        <v>-0.5</v>
      </c>
      <c r="M102" t="n">
        <v>152</v>
      </c>
      <c r="N102" t="n">
        <v>-4.25</v>
      </c>
      <c r="O102" s="1" t="n">
        <v>1.09691001300806</v>
      </c>
      <c r="P102" s="1" t="n">
        <v>-0.0969100130080564</v>
      </c>
      <c r="Q102" t="n">
        <v>566</v>
      </c>
      <c r="R102" t="n">
        <v>45.21</v>
      </c>
      <c r="S102" t="n">
        <v>0</v>
      </c>
      <c r="T102" t="n">
        <v>6.5</v>
      </c>
      <c r="U102" t="n">
        <v>62</v>
      </c>
      <c r="V102" t="n">
        <v>0</v>
      </c>
      <c r="W102" t="n">
        <v>182</v>
      </c>
      <c r="X102" t="n">
        <v>-0.25</v>
      </c>
      <c r="Y102" t="n">
        <v>-0.25</v>
      </c>
      <c r="Z102" t="n">
        <v>1</v>
      </c>
      <c r="AA102" t="n">
        <v>-0.375</v>
      </c>
      <c r="AB102" s="1" t="n">
        <v>-0.0969100130080564</v>
      </c>
      <c r="AC102" s="1" t="n">
        <v>-0.0969100130080564</v>
      </c>
      <c r="AD102" t="n">
        <v>1</v>
      </c>
      <c r="AE102" t="n">
        <v>5</v>
      </c>
      <c r="AF102" t="s">
        <v>69</v>
      </c>
      <c r="AG102" t="s">
        <v>69</v>
      </c>
      <c r="AH102" t="s">
        <v>70</v>
      </c>
      <c r="AI102" t="s">
        <v>71</v>
      </c>
      <c r="AJ102" t="n">
        <v>37</v>
      </c>
      <c r="AK102" t="n">
        <v>0.25</v>
      </c>
      <c r="AL102" t="n">
        <v>-0.25</v>
      </c>
      <c r="AM102" t="n">
        <v>8</v>
      </c>
      <c r="AN102" t="n">
        <v>0.125</v>
      </c>
      <c r="AO102" t="n">
        <v>83</v>
      </c>
      <c r="AP102" t="n">
        <v>0</v>
      </c>
      <c r="AQ102" t="n">
        <v>-0.25</v>
      </c>
      <c r="AR102" t="n">
        <v>19</v>
      </c>
      <c r="AS102" t="n">
        <v>182</v>
      </c>
      <c r="AT102" t="n">
        <v>-0.25</v>
      </c>
      <c r="AU102" t="n">
        <v>-0.25</v>
      </c>
      <c r="AV102" t="n">
        <v>1</v>
      </c>
      <c r="AW102" t="n">
        <v>-0.375</v>
      </c>
      <c r="AX102" t="n">
        <v>356</v>
      </c>
      <c r="AY102" t="n">
        <v>-0.25</v>
      </c>
      <c r="AZ102" t="n">
        <v>-0.25</v>
      </c>
      <c r="BA102" t="n">
        <v>163</v>
      </c>
      <c r="BB102" t="n">
        <v>756</v>
      </c>
      <c r="BC102" t="n">
        <v>-0.25</v>
      </c>
      <c r="BD102" t="n">
        <v>-0.25</v>
      </c>
      <c r="BE102" t="n">
        <v>5</v>
      </c>
      <c r="BF102" t="s">
        <v>65</v>
      </c>
      <c r="BG102" s="1" t="n">
        <v>-1.13223436989403</v>
      </c>
      <c r="BH102" s="1" t="n">
        <v>0.714285714285714</v>
      </c>
      <c r="BI102" t="n">
        <v>37</v>
      </c>
      <c r="BJ102" t="s">
        <v>72</v>
      </c>
    </row>
    <row r="103">
      <c r="A103" t="s">
        <v>255</v>
      </c>
      <c r="B103" t="s">
        <v>256</v>
      </c>
      <c r="C103" t="s">
        <v>74</v>
      </c>
      <c r="D103" t="n">
        <v>1</v>
      </c>
      <c r="E103" t="s">
        <v>65</v>
      </c>
      <c r="F103" t="s">
        <v>66</v>
      </c>
      <c r="G103" t="s">
        <v>94</v>
      </c>
      <c r="H103" t="n">
        <v>36</v>
      </c>
      <c r="I103" t="s">
        <v>88</v>
      </c>
      <c r="J103" t="s">
        <v>69</v>
      </c>
      <c r="K103" t="n">
        <v>-6.5</v>
      </c>
      <c r="L103" t="n">
        <v>-0.75</v>
      </c>
      <c r="M103" t="n">
        <v>93</v>
      </c>
      <c r="N103" t="n">
        <v>-6.875</v>
      </c>
      <c r="O103" s="1" t="n">
        <v>1.69897000433602</v>
      </c>
      <c r="P103" s="1" t="n">
        <v>0</v>
      </c>
      <c r="Q103" t="n">
        <v>564</v>
      </c>
      <c r="R103" t="n">
        <v>41.81</v>
      </c>
      <c r="S103" t="n">
        <v>1</v>
      </c>
      <c r="T103" t="n">
        <v>6.3</v>
      </c>
      <c r="U103" t="n">
        <v>98</v>
      </c>
      <c r="V103" t="n">
        <v>0</v>
      </c>
      <c r="W103" t="n">
        <v>204</v>
      </c>
      <c r="X103" t="n">
        <v>0</v>
      </c>
      <c r="Y103" t="n">
        <v>-0.5</v>
      </c>
      <c r="Z103" t="n">
        <v>64</v>
      </c>
      <c r="AA103" t="n">
        <v>-0.25</v>
      </c>
      <c r="AB103" s="1" t="n">
        <v>-0.0969100130080564</v>
      </c>
      <c r="AC103" s="1" t="n">
        <v>-0.0969100130080564</v>
      </c>
      <c r="AD103" t="n">
        <v>1</v>
      </c>
      <c r="AE103" t="n">
        <v>4</v>
      </c>
      <c r="AF103" t="s">
        <v>80</v>
      </c>
      <c r="AG103" t="s">
        <v>69</v>
      </c>
      <c r="AH103" t="s">
        <v>70</v>
      </c>
      <c r="AI103" t="s">
        <v>71</v>
      </c>
      <c r="AJ103" t="n">
        <v>26</v>
      </c>
      <c r="AK103" t="n">
        <v>0.25</v>
      </c>
      <c r="AL103" t="n">
        <v>-0.25</v>
      </c>
      <c r="AM103" t="n">
        <v>70</v>
      </c>
      <c r="AN103" t="n">
        <v>0.125</v>
      </c>
      <c r="AO103" t="n">
        <v>90</v>
      </c>
      <c r="AP103" t="n">
        <v>0</v>
      </c>
      <c r="AQ103" t="n">
        <v>-0.25</v>
      </c>
      <c r="AR103" t="n">
        <v>68</v>
      </c>
      <c r="AS103" t="n">
        <v>204</v>
      </c>
      <c r="AT103" t="n">
        <v>0</v>
      </c>
      <c r="AU103" t="n">
        <v>-0.5</v>
      </c>
      <c r="AV103" t="n">
        <v>64</v>
      </c>
      <c r="AW103" t="n">
        <v>-0.25</v>
      </c>
      <c r="AX103" t="n">
        <v>367</v>
      </c>
      <c r="AY103" t="n">
        <v>-0.25</v>
      </c>
      <c r="AZ103" t="n">
        <v>-0.5</v>
      </c>
      <c r="BA103" t="n">
        <v>66</v>
      </c>
      <c r="BB103" t="n">
        <v>746</v>
      </c>
      <c r="BC103" t="n">
        <v>-0.25</v>
      </c>
      <c r="BD103" t="n">
        <v>-0.5</v>
      </c>
      <c r="BE103" t="n">
        <v>63</v>
      </c>
      <c r="BF103" t="s">
        <v>65</v>
      </c>
      <c r="BG103" s="1" t="n">
        <v>-0.383394871926213</v>
      </c>
      <c r="BH103" s="1" t="n">
        <v>0.714285714285714</v>
      </c>
      <c r="BI103" t="n">
        <v>22</v>
      </c>
      <c r="BJ103" t="s">
        <v>72</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80.71" hidden="0" customWidth="1"/>
  </cols>
  <sheetData>
    <row r="1">
      <c r="A1" t="s">
        <v>257</v>
      </c>
      <c r="B1" t="s">
        <v>258</v>
      </c>
    </row>
    <row r="2">
      <c r="A2" t="s">
        <v>259</v>
      </c>
      <c r="B2" t="s">
        <v>260</v>
      </c>
    </row>
    <row r="3">
      <c r="A3" t="s">
        <v>261</v>
      </c>
      <c r="B3" t="s">
        <v>262</v>
      </c>
    </row>
    <row r="4">
      <c r="A4" t="s">
        <v>263</v>
      </c>
      <c r="B4" t="s">
        <v>264</v>
      </c>
    </row>
    <row r="5">
      <c r="A5" t="s">
        <v>265</v>
      </c>
      <c r="B5" t="s">
        <v>266</v>
      </c>
    </row>
    <row r="6">
      <c r="A6" t="s">
        <v>267</v>
      </c>
      <c r="B6" t="s">
        <v>268</v>
      </c>
    </row>
    <row r="7">
      <c r="A7" t="s">
        <v>269</v>
      </c>
      <c r="B7" t="s">
        <v>270</v>
      </c>
    </row>
    <row r="8">
      <c r="A8" t="s">
        <v>271</v>
      </c>
      <c r="B8" t="s">
        <v>272</v>
      </c>
    </row>
    <row r="9">
      <c r="A9" t="s">
        <v>273</v>
      </c>
      <c r="B9" t="s">
        <v>274</v>
      </c>
    </row>
    <row r="10">
      <c r="A10" t="s">
        <v>275</v>
      </c>
      <c r="B10" t="s">
        <v>276</v>
      </c>
    </row>
    <row r="11">
      <c r="A11" t="s">
        <v>277</v>
      </c>
      <c r="B11" t="s">
        <v>278</v>
      </c>
    </row>
    <row r="12">
      <c r="A12" t="s">
        <v>279</v>
      </c>
      <c r="B12" t="s">
        <v>280</v>
      </c>
    </row>
    <row r="13">
      <c r="A13" t="s">
        <v>281</v>
      </c>
      <c r="B13" t="s">
        <v>282</v>
      </c>
    </row>
    <row r="14">
      <c r="A14" t="s">
        <v>283</v>
      </c>
      <c r="B14" t="s">
        <v>284</v>
      </c>
    </row>
    <row r="15">
      <c r="A15" t="s">
        <v>285</v>
      </c>
      <c r="B15" t="s">
        <v>286</v>
      </c>
    </row>
    <row r="16">
      <c r="A16" t="s">
        <v>287</v>
      </c>
      <c r="B16" t="s">
        <v>288</v>
      </c>
    </row>
    <row r="17">
      <c r="A17" t="s">
        <v>289</v>
      </c>
      <c r="B17" t="s">
        <v>290</v>
      </c>
    </row>
    <row r="18">
      <c r="A18" t="s">
        <v>291</v>
      </c>
      <c r="B18" t="s">
        <v>292</v>
      </c>
    </row>
    <row r="19">
      <c r="A19" t="s">
        <v>293</v>
      </c>
      <c r="B19" t="s">
        <v>294</v>
      </c>
    </row>
    <row r="20">
      <c r="A20" t="s">
        <v>295</v>
      </c>
      <c r="B20" t="s">
        <v>65</v>
      </c>
    </row>
    <row r="21">
      <c r="A21" t="s">
        <v>296</v>
      </c>
      <c r="B21" t="s">
        <v>297</v>
      </c>
    </row>
    <row r="22">
      <c r="A22" t="s">
        <v>298</v>
      </c>
      <c r="B22" t="s">
        <v>299</v>
      </c>
    </row>
    <row r="23">
      <c r="A23" t="s">
        <v>300</v>
      </c>
      <c r="B23" t="s">
        <v>301</v>
      </c>
    </row>
    <row r="24">
      <c r="A24" t="s">
        <v>302</v>
      </c>
      <c r="B24" t="s">
        <v>303</v>
      </c>
    </row>
    <row r="25">
      <c r="A25" t="s">
        <v>304</v>
      </c>
      <c r="B25" t="s">
        <v>305</v>
      </c>
    </row>
    <row r="26">
      <c r="A26" t="s">
        <v>306</v>
      </c>
      <c r="B26" t="s">
        <v>307</v>
      </c>
    </row>
    <row r="27">
      <c r="A27" t="s">
        <v>308</v>
      </c>
      <c r="B27" t="s">
        <v>309</v>
      </c>
    </row>
    <row r="28">
      <c r="A28" t="s">
        <v>310</v>
      </c>
      <c r="B28" t="s">
        <v>311</v>
      </c>
    </row>
    <row r="29">
      <c r="A29" t="s">
        <v>312</v>
      </c>
      <c r="B29" t="s">
        <v>313</v>
      </c>
    </row>
    <row r="30">
      <c r="A30" t="s">
        <v>314</v>
      </c>
      <c r="B30" t="s">
        <v>315</v>
      </c>
    </row>
    <row r="31">
      <c r="A31" t="s">
        <v>316</v>
      </c>
      <c r="B31" t="s">
        <v>317</v>
      </c>
    </row>
    <row r="32">
      <c r="A32" t="s">
        <v>318</v>
      </c>
      <c r="B32" t="s">
        <v>319</v>
      </c>
    </row>
    <row r="33">
      <c r="A33" t="s">
        <v>320</v>
      </c>
      <c r="B33" t="s">
        <v>321</v>
      </c>
    </row>
    <row r="34">
      <c r="A34" t="s">
        <v>322</v>
      </c>
      <c r="B34" t="s">
        <v>323</v>
      </c>
    </row>
    <row r="35">
      <c r="A35" t="s">
        <v>324</v>
      </c>
      <c r="B35" t="s">
        <v>325</v>
      </c>
    </row>
    <row r="36">
      <c r="A36" t="s">
        <v>326</v>
      </c>
      <c r="B36" t="s">
        <v>327</v>
      </c>
    </row>
    <row r="37">
      <c r="A37" t="s">
        <v>328</v>
      </c>
      <c r="B37" t="s">
        <v>329</v>
      </c>
    </row>
    <row r="38">
      <c r="A38" t="s">
        <v>330</v>
      </c>
      <c r="B38" t="s">
        <v>331</v>
      </c>
    </row>
    <row r="39">
      <c r="A39" t="s">
        <v>332</v>
      </c>
      <c r="B39" t="s">
        <v>325</v>
      </c>
    </row>
    <row r="40">
      <c r="A40" t="s">
        <v>333</v>
      </c>
      <c r="B40" t="s">
        <v>329</v>
      </c>
    </row>
    <row r="41">
      <c r="A41" t="s">
        <v>334</v>
      </c>
      <c r="B41" t="s">
        <v>335</v>
      </c>
    </row>
    <row r="42">
      <c r="A42" t="s">
        <v>336</v>
      </c>
      <c r="B42" t="s">
        <v>337</v>
      </c>
    </row>
    <row r="43">
      <c r="A43" t="s">
        <v>338</v>
      </c>
      <c r="B43" t="s">
        <v>339</v>
      </c>
    </row>
    <row r="44">
      <c r="A44" t="s">
        <v>340</v>
      </c>
      <c r="B44" t="s">
        <v>341</v>
      </c>
    </row>
    <row r="45">
      <c r="A45" t="s">
        <v>342</v>
      </c>
      <c r="B45" t="s">
        <v>343</v>
      </c>
    </row>
    <row r="46">
      <c r="A46" t="s">
        <v>344</v>
      </c>
      <c r="B46" t="s">
        <v>345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4.71" hidden="0" customWidth="1"/>
    <col min="2" max="2" width="44.71" hidden="0" customWidth="1"/>
    <col min="3" max="3" width="90.71" hidden="0" customWidth="1"/>
  </cols>
  <sheetData>
    <row r="1">
      <c r="A1" t="s">
        <v>281</v>
      </c>
      <c r="B1" t="s">
        <v>346</v>
      </c>
      <c r="C1" t="s">
        <v>347</v>
      </c>
    </row>
    <row r="2">
      <c r="A2" s="2" t="str">
        <f>HYPERLINK("#'Manifest'!A1", "Manifest")</f>
      </c>
      <c r="B2" t="s">
        <v>348</v>
      </c>
      <c r="C2" t="s">
        <v>349</v>
      </c>
    </row>
    <row r="3">
      <c r="A3" s="2" t="str">
        <f>HYPERLINK("#'Matched_Data'!A1", "Matched_Data")</f>
      </c>
      <c r="B3" t="s">
        <v>350</v>
      </c>
      <c r="C3" t="s">
        <v>351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StandardEyes 1.1.0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StandardEyes</dc:creator>
  <cp:lastModifiedBy>StandardEyes</cp:lastModifiedBy>
  <dcterms:created xsi:type="dcterms:W3CDTF">2026-10-13T23:51:33Z</dcterms:created>
</coreProperties>
</file>