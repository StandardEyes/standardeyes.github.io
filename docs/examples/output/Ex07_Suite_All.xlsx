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3.xml" ContentType="application/vnd.openxmlformats-officedocument.spreadsheetml.table+xml"/>
  <Override PartName="/xl/worksheets/sheet9.xml" ContentType="application/vnd.openxmlformats-officedocument.spreadsheetml.worksheet+xml"/>
  <Override PartName="/xl/tables/table4.xml" ContentType="application/vnd.openxmlformats-officedocument.spreadsheetml.table+xml"/>
  <Override PartName="/xl/worksheets/sheet10.xml" ContentType="application/vnd.openxmlformats-officedocument.spreadsheetml.worksheet+xml"/>
  <Override PartName="/xl/tables/table5.xml" ContentType="application/vnd.openxmlformats-officedocument.spreadsheetml.table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ables/table6.xml" ContentType="application/vnd.openxmlformats-officedocument.spreadsheetml.table+xml"/>
  <Override PartName="/xl/worksheets/sheet28.xml" ContentType="application/vnd.openxmlformats-officedocument.spreadsheetml.worksheet+xml"/>
  <Override PartName="/xl/tables/table7.xml" ContentType="application/vnd.openxmlformats-officedocument.spreadsheetml.table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ables/table8.xml" ContentType="application/vnd.openxmlformats-officedocument.spreadsheetml.table+xml"/>
  <Override PartName="/xl/worksheets/sheet39.xml" ContentType="application/vnd.openxmlformats-officedocument.spreadsheetml.worksheet+xml"/>
  <Override PartName="/xl/tables/table9.xml" ContentType="application/vnd.openxmlformats-officedocument.spreadsheetml.table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2"/>
  </bookViews>
  <sheets>
    <sheet name="Contents" sheetId="41" state="visible" r:id="rId41"/>
    <sheet name="Manifest" sheetId="40" state="visible" r:id="rId40"/>
    <sheet name="Overview" sheetId="1" state="visible" r:id="rId1"/>
    <sheet name="Baseline &amp; Preop Summary" sheetId="2" state="visible" r:id="rId2"/>
    <sheet name="Outcome Summary" sheetId="3" state="visible" r:id="rId3"/>
    <sheet name="Publication Table" sheetId="4" state="visible" r:id="rId4"/>
    <sheet name="mEYEstro_Control" sheetId="5" state="visible" r:id="rId5"/>
    <sheet name="mEYEstro_Diabetes" sheetId="6" state="visible" r:id="rId6"/>
    <sheet name="mEYEstro_Autoimmune" sheetId="7" state="visible" r:id="rId7"/>
    <sheet name="AstigMATIC_Control" sheetId="8" state="visible" r:id="rId8"/>
    <sheet name="AstigMATIC_Diabetes" sheetId="9" state="visible" r:id="rId9"/>
    <sheet name="AstigMATIC_Autoimmune" sheetId="10" state="visible" r:id="rId10"/>
    <sheet name="GEE_Main_Unmatched_Base" sheetId="11" state="visible" r:id="rId11"/>
    <sheet name="GEE_Main_Unmatched_Preop" sheetId="12" state="visible" r:id="rId12"/>
    <sheet name="GEE_Main_Unmatched_Out" sheetId="13" state="visible" r:id="rId13"/>
    <sheet name="GEE_Adj_Unmatched_Base" sheetId="14" state="visible" r:id="rId14"/>
    <sheet name="GEE_Adj_Unmatched_Preop" sheetId="15" state="visible" r:id="rId15"/>
    <sheet name="GEE_Adj_Unmatched_Out" sheetId="16" state="visible" r:id="rId16"/>
    <sheet name="Regression (adjusted)" sheetId="17" state="visible" r:id="rId17"/>
    <sheet name="PSM_Diabetes_vs_Control" sheetId="18" state="visible" r:id="rId18"/>
    <sheet name="GEE_M_Diabetes_vs_Control" sheetId="19" state="visible" r:id="rId19"/>
    <sheet name="GEE_Adj_M_Diabetes_vs_Control" sheetId="20" state="visible" r:id="rId20"/>
    <sheet name="Reg_M_Diabetes_vs_Control" sheetId="21" state="visible" r:id="rId21"/>
    <sheet name="BasePreop_M_Diabetes_vs_Control" sheetId="22" state="visible" r:id="rId22"/>
    <sheet name="Out_M_Diabetes_vs_Control" sheetId="23" state="visible" r:id="rId23"/>
    <sheet name="Pub_M_Diabetes_vs_Control" sheetId="24" state="visible" r:id="rId24"/>
    <sheet name="mEYEstro_M_Control_Diabetes_vs_" sheetId="25" state="visible" r:id="rId25"/>
    <sheet name="mEYEstro_M_Diabetes_Diabetes_vs" sheetId="26" state="visible" r:id="rId26"/>
    <sheet name="AstigMATIC_M_Control_Diabetes_v" sheetId="27" state="visible" r:id="rId27"/>
    <sheet name="AstigMATIC_M_Diabetes_Diabetes_" sheetId="28" state="visible" r:id="rId28"/>
    <sheet name="PSM_Autoimmune_vs_Control" sheetId="29" state="visible" r:id="rId29"/>
    <sheet name="GEE_M_Autoimmune_vs_Control" sheetId="30" state="visible" r:id="rId30"/>
    <sheet name="GEE_Adj_M_Autoimmune_vs_Control" sheetId="31" state="visible" r:id="rId31"/>
    <sheet name="Reg_M_Autoimmune_vs_Control" sheetId="32" state="visible" r:id="rId32"/>
    <sheet name="BasePreop_M_Autoimmune_vs_Contr" sheetId="33" state="visible" r:id="rId33"/>
    <sheet name="Out_M_Autoimmune_vs_Control" sheetId="34" state="visible" r:id="rId34"/>
    <sheet name="Pub_M_Autoimmune_vs_Control" sheetId="35" state="visible" r:id="rId35"/>
    <sheet name="mEYEstro_M_Control_Autoimmune_v" sheetId="36" state="visible" r:id="rId36"/>
    <sheet name="mEYEstro_M_Autoimmune_Autoimmun" sheetId="37" state="visible" r:id="rId37"/>
    <sheet name="AstigMATIC_M_Control_Autoimmune" sheetId="38" state="visible" r:id="rId38"/>
    <sheet name="AstigMATIC_M_Autoimmune_Autoimm" sheetId="39" state="visible" r:id="rId39"/>
  </sheets>
</workbook>
</file>

<file path=xl/sharedStrings.xml><?xml version="1.0" encoding="utf-8"?>
<sst xmlns="http://schemas.openxmlformats.org/spreadsheetml/2006/main" count="1495" uniqueCount="1495">
  <si>
    <t xml:space="preserve">Notes</t>
  </si>
  <si>
    <t xml:space="preserve">Note</t>
  </si>
  <si>
    <t xml:space="preserve">Visual acuity analysed in logMAR (lower = better): Preop_UDVA, Preop_CDVA, Postop_UDVA, Postop_CDVA - converted from the recorded notation.</t>
  </si>
  <si>
    <t xml:space="preserve">Initial Summary</t>
  </si>
  <si>
    <t xml:space="preserve">Description</t>
  </si>
  <si>
    <t xml:space="preserve">Value</t>
  </si>
  <si>
    <t xml:space="preserve">Number of Patients</t>
  </si>
  <si>
    <t xml:space="preserve">303</t>
  </si>
  <si>
    <t xml:space="preserve">Number of Eyes</t>
  </si>
  <si>
    <t xml:space="preserve">469</t>
  </si>
  <si>
    <t xml:space="preserve">Mean Age (per patient)</t>
  </si>
  <si>
    <t xml:space="preserve">33.35</t>
  </si>
  <si>
    <t xml:space="preserve">SD Age (per patient)</t>
  </si>
  <si>
    <t xml:space="preserve">7.03</t>
  </si>
  <si>
    <t xml:space="preserve">Age Range (per patient)</t>
  </si>
  <si>
    <t xml:space="preserve">18 - 54</t>
  </si>
  <si>
    <t xml:space="preserve">Mean Follow-up Time (per eye)</t>
  </si>
  <si>
    <t xml:space="preserve">182.02</t>
  </si>
  <si>
    <t xml:space="preserve">SD Follow-up Time (per eye)</t>
  </si>
  <si>
    <t xml:space="preserve">85.1</t>
  </si>
  <si>
    <t xml:space="preserve">Median Follow-up Time [IQR] (per eye)</t>
  </si>
  <si>
    <t xml:space="preserve">170 [115–260]</t>
  </si>
  <si>
    <t xml:space="preserve">Sex (per patient)</t>
  </si>
  <si>
    <t xml:space="preserve">Sex</t>
  </si>
  <si>
    <t xml:space="preserve">Count</t>
  </si>
  <si>
    <t xml:space="preserve">Percentage</t>
  </si>
  <si>
    <t xml:space="preserve">F</t>
  </si>
  <si>
    <t xml:space="preserve">M</t>
  </si>
  <si>
    <t xml:space="preserve">Groups</t>
  </si>
  <si>
    <t xml:space="preserve">GroupLabel</t>
  </si>
  <si>
    <t xml:space="preserve">Control</t>
  </si>
  <si>
    <t xml:space="preserve">Diabetes</t>
  </si>
  <si>
    <t xml:space="preserve">Autoimmune</t>
  </si>
  <si>
    <t xml:space="preserve">QC - group assignment by source value</t>
  </si>
  <si>
    <t xml:space="preserve">Group_Source_Value</t>
  </si>
  <si>
    <t xml:space="preserve">N</t>
  </si>
  <si>
    <t xml:space="preserve">Baseline</t>
  </si>
  <si>
    <t xml:space="preserve">Parameter</t>
  </si>
  <si>
    <t xml:space="preserve">Control (n = 247 eyes; 163 patients)</t>
  </si>
  <si>
    <t xml:space="preserve">Diabetes (n = 113 eyes; 72 patients)</t>
  </si>
  <si>
    <t xml:space="preserve">Autoimmune (n = 109 eyes; 68 patients)</t>
  </si>
  <si>
    <t xml:space="preserve">p_value</t>
  </si>
  <si>
    <t xml:space="preserve">Test</t>
  </si>
  <si>
    <t xml:space="preserve">Practical Interpretation</t>
  </si>
  <si>
    <t xml:space="preserve">GEE effect (95% CI)</t>
  </si>
  <si>
    <t xml:space="preserve">GEE p value</t>
  </si>
  <si>
    <t xml:space="preserve">Age_Years [per patient]</t>
  </si>
  <si>
    <t xml:space="preserve">30.94 ± 6.34</t>
  </si>
  <si>
    <t xml:space="preserve">38.58 ± 6.83</t>
  </si>
  <si>
    <t xml:space="preserve">33.56 ± 5.69</t>
  </si>
  <si>
    <t xml:space="preserve">&lt;0.001</t>
  </si>
  <si>
    <t xml:space="preserve">Welch ANOVA</t>
  </si>
  <si>
    <t xml:space="preserve">Significant difference among groups.</t>
  </si>
  <si>
    <t xml:space="preserve">Diabetes: β = 7.628 [5.793, 9.462]
Autoimmune: β = 2.625 [0.972, 4.279]</t>
  </si>
  <si>
    <t xml:space="preserve">Diabetes: &lt;0.001
Autoimmune: 0.002</t>
  </si>
  <si>
    <t xml:space="preserve">Preop_SEQ_D</t>
  </si>
  <si>
    <t xml:space="preserve">-4.16 ± 1.89</t>
  </si>
  <si>
    <t xml:space="preserve">-4.4 ± 1.92</t>
  </si>
  <si>
    <t xml:space="preserve">-4.69 ± 1.62</t>
  </si>
  <si>
    <t xml:space="preserve">0.024</t>
  </si>
  <si>
    <t xml:space="preserve">Diabetes: β = -0.235 [-0.664, 0.194]
Autoimmune: β = -0.533 [-0.933, -0.133]</t>
  </si>
  <si>
    <t xml:space="preserve">Diabetes: 0.284
Autoimmune: 0.009</t>
  </si>
  <si>
    <t xml:space="preserve">Preop_Sphere_D</t>
  </si>
  <si>
    <t xml:space="preserve">-3.83 ± 1.89</t>
  </si>
  <si>
    <t xml:space="preserve">-4.05 ± 1.95</t>
  </si>
  <si>
    <t xml:space="preserve">-4.4 ± 1.64</t>
  </si>
  <si>
    <t xml:space="preserve">0.018</t>
  </si>
  <si>
    <t xml:space="preserve">Diabetes: β = -0.207 [-0.644, 0.229]
Autoimmune: β = -0.564 [-0.965, -0.163]</t>
  </si>
  <si>
    <t xml:space="preserve">Diabetes: 0.352
Autoimmune: 0.006</t>
  </si>
  <si>
    <t xml:space="preserve">Preop_Cylinder_D</t>
  </si>
  <si>
    <t xml:space="preserve">-0.65 ± 0.56</t>
  </si>
  <si>
    <t xml:space="preserve">-0.69 ± 0.59</t>
  </si>
  <si>
    <t xml:space="preserve">-0.58 ± 0.44</t>
  </si>
  <si>
    <t xml:space="preserve">0.227</t>
  </si>
  <si>
    <t xml:space="preserve">No significant difference among groups.</t>
  </si>
  <si>
    <t xml:space="preserve">Diabetes: β = -0.040 [-0.161, 0.082]
Autoimmune: β = 0.073 [-0.035, 0.180]</t>
  </si>
  <si>
    <t xml:space="preserve">Diabetes: 0.520
Autoimmune: 0.185</t>
  </si>
  <si>
    <t xml:space="preserve">Preop_UDVA</t>
  </si>
  <si>
    <t xml:space="preserve">1.08 ± 0.23</t>
  </si>
  <si>
    <t xml:space="preserve">1.1 ± 0.23</t>
  </si>
  <si>
    <t xml:space="preserve">1.13 ± 0.2</t>
  </si>
  <si>
    <t xml:space="preserve">0.048</t>
  </si>
  <si>
    <t xml:space="preserve">Diabetes: β = 0.027 [-0.024, 0.079]
Autoimmune: β = 0.059 [0.010, 0.108]</t>
  </si>
  <si>
    <t xml:space="preserve">Diabetes: 0.293
Autoimmune: 0.019</t>
  </si>
  <si>
    <t xml:space="preserve">Preop_CDVA</t>
  </si>
  <si>
    <t xml:space="preserve">-0.01 ± 0.03</t>
  </si>
  <si>
    <t xml:space="preserve">0.126</t>
  </si>
  <si>
    <t xml:space="preserve">Diabetes: β = 0.006 [-0.001, 0.012]
Autoimmune: β = -0.002 [-0.009, 0.005]</t>
  </si>
  <si>
    <t xml:space="preserve">Diabetes: 0.094
Autoimmune: 0.551</t>
  </si>
  <si>
    <t xml:space="preserve">Preop_Pachymetry_um</t>
  </si>
  <si>
    <t xml:space="preserve">546.34 ± 26.34 (n = 240)</t>
  </si>
  <si>
    <t xml:space="preserve">533.62 ± 25.04 (n = 108)</t>
  </si>
  <si>
    <t xml:space="preserve">537.81 ± 25.45 (n = 107)</t>
  </si>
  <si>
    <t xml:space="preserve">Diabetes: β = -12.452 [-18.526, -6.378]
Autoimmune: β = -8.453 [-14.355, -2.550]</t>
  </si>
  <si>
    <t xml:space="preserve">Diabetes: &lt;0.001
Autoimmune: 0.005</t>
  </si>
  <si>
    <t xml:space="preserve">Preop_Mean_K_D</t>
  </si>
  <si>
    <t xml:space="preserve">43.59 ± 1.4 (n = 243)</t>
  </si>
  <si>
    <t xml:space="preserve">43.58 ± 1.47 (n = 110)</t>
  </si>
  <si>
    <t xml:space="preserve">43.78 ± 1.25 (n = 108)</t>
  </si>
  <si>
    <t xml:space="preserve">0.396</t>
  </si>
  <si>
    <t xml:space="preserve">Diabetes: β = -0.013 [-0.329, 0.302]
Autoimmune: β = 0.190 [-0.116, 0.496]</t>
  </si>
  <si>
    <t xml:space="preserve">Diabetes: 0.933
Autoimmune: 0.224</t>
  </si>
  <si>
    <t xml:space="preserve">Preop_DryEye_Grade</t>
  </si>
  <si>
    <t xml:space="preserve">0 [0–1]</t>
  </si>
  <si>
    <t xml:space="preserve">1 [0–2]</t>
  </si>
  <si>
    <t xml:space="preserve">2 [1–2]</t>
  </si>
  <si>
    <t xml:space="preserve">Kruskal-Wallis test</t>
  </si>
  <si>
    <t xml:space="preserve"/>
  </si>
  <si>
    <t xml:space="preserve">Sex (F) [per patient]</t>
  </si>
  <si>
    <t xml:space="preserve">96/163 (58.9%)</t>
  </si>
  <si>
    <t xml:space="preserve">42/72 (58.3%)</t>
  </si>
  <si>
    <t xml:space="preserve">34/68 (50%)</t>
  </si>
  <si>
    <t xml:space="preserve">0.440</t>
  </si>
  <si>
    <t xml:space="preserve">Chi-squared test</t>
  </si>
  <si>
    <t xml:space="preserve">Diabetes: OR = 0.978 [0.557, 1.718]
Autoimmune: OR = 0.698 [0.395, 1.232]</t>
  </si>
  <si>
    <t xml:space="preserve">Diabetes: 0.939
Autoimmune: 0.214</t>
  </si>
  <si>
    <t xml:space="preserve">Smoker (Yes) [per patient]</t>
  </si>
  <si>
    <t xml:space="preserve">38/163 (23.3%)</t>
  </si>
  <si>
    <t xml:space="preserve">13/72 (18.1%)</t>
  </si>
  <si>
    <t xml:space="preserve">10/68 (14.7%)</t>
  </si>
  <si>
    <t xml:space="preserve">0.292</t>
  </si>
  <si>
    <t xml:space="preserve">Diabetes: OR = 0.727 [0.360, 1.466]
Autoimmune: OR = 0.568 [0.265, 1.219]</t>
  </si>
  <si>
    <t xml:space="preserve">Diabetes: 0.373
Autoimmune: 0.147</t>
  </si>
  <si>
    <t xml:space="preserve">Surgeon: Surgeon A</t>
  </si>
  <si>
    <t xml:space="preserve">104/247 (42.1%)</t>
  </si>
  <si>
    <t xml:space="preserve">37/113 (32.7%)</t>
  </si>
  <si>
    <t xml:space="preserve">46/109 (42.2%)</t>
  </si>
  <si>
    <t xml:space="preserve">0.480</t>
  </si>
  <si>
    <t xml:space="preserve">Surgeon: Surgeon B</t>
  </si>
  <si>
    <t xml:space="preserve">86/247 (34.8%)</t>
  </si>
  <si>
    <t xml:space="preserve">43/113 (38.1%)</t>
  </si>
  <si>
    <t xml:space="preserve">36/109 (33%)</t>
  </si>
  <si>
    <t xml:space="preserve">Surgeon: Surgeon C</t>
  </si>
  <si>
    <t xml:space="preserve">57/247 (23.1%)</t>
  </si>
  <si>
    <t xml:space="preserve">33/113 (29.2%)</t>
  </si>
  <si>
    <t xml:space="preserve">27/109 (24.8%)</t>
  </si>
  <si>
    <t xml:space="preserve">Preoperative / intraoperative</t>
  </si>
  <si>
    <t xml:space="preserve">Optical_Zone_mm</t>
  </si>
  <si>
    <t xml:space="preserve">6.51 ± 0.29</t>
  </si>
  <si>
    <t xml:space="preserve">6.49 ± 0.32</t>
  </si>
  <si>
    <t xml:space="preserve">0.765</t>
  </si>
  <si>
    <t xml:space="preserve">Diabetes: β = -0.026 [-0.091, 0.039]
Autoimmune: β = -0.005 [-0.064, 0.054]</t>
  </si>
  <si>
    <t xml:space="preserve">Diabetes: 0.432
Autoimmune: 0.879</t>
  </si>
  <si>
    <t xml:space="preserve">Ablation_Depth_um</t>
  </si>
  <si>
    <t xml:space="preserve">64.05 ± 26.74</t>
  </si>
  <si>
    <t xml:space="preserve">67.11 ± 27.86</t>
  </si>
  <si>
    <t xml:space="preserve">70.66 ± 23.38</t>
  </si>
  <si>
    <t xml:space="preserve">0.064</t>
  </si>
  <si>
    <t xml:space="preserve">Diabetes: β = 2.963 [-3.196, 9.122]
Autoimmune: β = 6.596 [0.980, 12.211]</t>
  </si>
  <si>
    <t xml:space="preserve">Diabetes: 0.346
Autoimmune: 0.021</t>
  </si>
  <si>
    <t xml:space="preserve">Procedure: LASIK</t>
  </si>
  <si>
    <t xml:space="preserve">102/247 (41.3%)</t>
  </si>
  <si>
    <t xml:space="preserve">48/113 (42.5%)</t>
  </si>
  <si>
    <t xml:space="preserve">57/109 (52.3%)</t>
  </si>
  <si>
    <t xml:space="preserve">0.152</t>
  </si>
  <si>
    <t xml:space="preserve">Procedure: PRK</t>
  </si>
  <si>
    <t xml:space="preserve">108/247 (43.7%)</t>
  </si>
  <si>
    <t xml:space="preserve">42/113 (37.2%)</t>
  </si>
  <si>
    <t xml:space="preserve">34/109 (31.2%)</t>
  </si>
  <si>
    <t xml:space="preserve">Procedure: SMILE</t>
  </si>
  <si>
    <t xml:space="preserve">37/247 (15%)</t>
  </si>
  <si>
    <t xml:space="preserve">23/113 (20.4%)</t>
  </si>
  <si>
    <t xml:space="preserve">18/109 (16.5%)</t>
  </si>
  <si>
    <t xml:space="preserve">Adjusted effect (95% CI)</t>
  </si>
  <si>
    <t xml:space="preserve">Adjusted P</t>
  </si>
  <si>
    <t xml:space="preserve">FollowUp_Days</t>
  </si>
  <si>
    <t xml:space="preserve">184.84 ± 88.81</t>
  </si>
  <si>
    <t xml:space="preserve">174.53 ± 77.83</t>
  </si>
  <si>
    <t xml:space="preserve">183.39 ± 84.02</t>
  </si>
  <si>
    <t xml:space="preserve">0.521</t>
  </si>
  <si>
    <t xml:space="preserve">Diabetes: β = -9.954 [-29.015, 9.108]
Autoimmune: β = -1.157 [-20.644, 18.329]</t>
  </si>
  <si>
    <t xml:space="preserve">Diabetes: 0.306
Autoimmune: 0.907</t>
  </si>
  <si>
    <t xml:space="preserve">Diabetes vs Control: beta = -10.73 [-31.82, 10.36]
Autoimmune vs Control: beta = -2.58 [-23.40, 18.24]</t>
  </si>
  <si>
    <t xml:space="preserve">Diabetes vs Control: 0.319
Autoimmune vs Control: 0.808</t>
  </si>
  <si>
    <t xml:space="preserve">Postop_SEQ_D</t>
  </si>
  <si>
    <t xml:space="preserve">0.02 ± 0.31</t>
  </si>
  <si>
    <t xml:space="preserve">-0.18 ± 0.45</t>
  </si>
  <si>
    <t xml:space="preserve">-0.14 ± 0.38</t>
  </si>
  <si>
    <t xml:space="preserve">Diabetes: β = -0.205 [-0.295, -0.115]
Autoimmune: β = -0.159 [-0.238, -0.080]</t>
  </si>
  <si>
    <t xml:space="preserve">Diabetes: &lt;0.001
Autoimmune: &lt;0.001</t>
  </si>
  <si>
    <t xml:space="preserve">Diabetes vs Control: beta = -0.18 [-0.28, -0.08]
Autoimmune vs Control: beta = -0.15 [-0.24, -0.07]</t>
  </si>
  <si>
    <t xml:space="preserve">Diabetes vs Control: &lt;0.001
Autoimmune vs Control: &lt;0.001</t>
  </si>
  <si>
    <t xml:space="preserve">Postop_Cylinder_D</t>
  </si>
  <si>
    <t xml:space="preserve">-0.22 ± 0.18</t>
  </si>
  <si>
    <t xml:space="preserve">-0.21 ± 0.18</t>
  </si>
  <si>
    <t xml:space="preserve">0.914</t>
  </si>
  <si>
    <t xml:space="preserve">Diabetes: β = 0.005 [-0.038, 0.047]
Autoimmune: β = -0.007 [-0.049, 0.036]</t>
  </si>
  <si>
    <t xml:space="preserve">Diabetes: 0.831
Autoimmune: 0.760</t>
  </si>
  <si>
    <t xml:space="preserve">Diabetes vs Control: beta = -0.01 [-0.06, 0.04]
Autoimmune vs Control: beta = -0.01 [-0.05, 0.03]</t>
  </si>
  <si>
    <t xml:space="preserve">Diabetes vs Control: 0.641
Autoimmune vs Control: 0.694</t>
  </si>
  <si>
    <t xml:space="preserve">Postop_UDVA</t>
  </si>
  <si>
    <t xml:space="preserve">0 ± 0.05</t>
  </si>
  <si>
    <t xml:space="preserve">0.05 ± 0.06</t>
  </si>
  <si>
    <t xml:space="preserve">0.02 ± 0.05</t>
  </si>
  <si>
    <t xml:space="preserve">Diabetes: β = 0.055 [0.043, 0.068]
Autoimmune: β = 0.021 [0.010, 0.033]</t>
  </si>
  <si>
    <t xml:space="preserve">Diabetes vs Control: beta = 0.05 [0.04, 0.07]
Autoimmune vs Control: beta = 0.02 [0.01, 0.03]</t>
  </si>
  <si>
    <t xml:space="preserve">Diabetes vs Control: &lt;0.001
Autoimmune vs Control: 0.001</t>
  </si>
  <si>
    <t xml:space="preserve">Postop_CDVA</t>
  </si>
  <si>
    <t xml:space="preserve">-0.01 ± 0.04</t>
  </si>
  <si>
    <t xml:space="preserve">-0.02 ± 0.03</t>
  </si>
  <si>
    <t xml:space="preserve">0.138</t>
  </si>
  <si>
    <t xml:space="preserve">Diabetes: β = 0.007 [-0.001, 0.015]
Autoimmune: β = -0.001 [-0.008, 0.006]</t>
  </si>
  <si>
    <t xml:space="preserve">Diabetes: 0.085
Autoimmune: 0.793</t>
  </si>
  <si>
    <t xml:space="preserve">Diabetes vs Control: beta = 0.01 [-0.00, 0.02]
Autoimmune vs Control: beta = -0.00 [-0.01, 0.01]</t>
  </si>
  <si>
    <t xml:space="preserve">Diabetes vs Control: 0.089
Autoimmune vs Control: 0.809</t>
  </si>
  <si>
    <t xml:space="preserve">Postop_Haze_Grade</t>
  </si>
  <si>
    <t xml:space="preserve">0 [0–0]</t>
  </si>
  <si>
    <t xml:space="preserve">0.013</t>
  </si>
  <si>
    <t xml:space="preserve">Patient_Satisfaction_1to5</t>
  </si>
  <si>
    <t xml:space="preserve">4 [4–5] (n = 234)</t>
  </si>
  <si>
    <t xml:space="preserve">4 [3–5] (n = 105)</t>
  </si>
  <si>
    <t xml:space="preserve">4 [3–5] (n = 104)</t>
  </si>
  <si>
    <t xml:space="preserve">DryEye_Symptoms (Yes)</t>
  </si>
  <si>
    <t xml:space="preserve">40/247 (16.2%)</t>
  </si>
  <si>
    <t xml:space="preserve">38/113 (33.6%)</t>
  </si>
  <si>
    <t xml:space="preserve">56/109 (51.4%)</t>
  </si>
  <si>
    <t xml:space="preserve">Diabetes: OR = 2.650 [1.637, 4.292]
Autoimmune: OR = 5.477 [3.298, 9.098]</t>
  </si>
  <si>
    <t xml:space="preserve">Diabetes vs Control: OR = 2.63 [1.47, 4.71]
Autoimmune vs Control: OR = 4.99 [2.94, 8.49]</t>
  </si>
  <si>
    <t xml:space="preserve">Diabetes vs Control: 0.001
Autoimmune vs Control: &lt;0.001</t>
  </si>
  <si>
    <t xml:space="preserve">Retreatment_Required (Yes)</t>
  </si>
  <si>
    <t xml:space="preserve">8/247 (3.2%)</t>
  </si>
  <si>
    <t xml:space="preserve">9/113 (8%)</t>
  </si>
  <si>
    <t xml:space="preserve">7/109 (6.4%)</t>
  </si>
  <si>
    <t xml:space="preserve">0.131</t>
  </si>
  <si>
    <t xml:space="preserve">Diabetes: OR = 2.596 [0.945, 7.128]
Autoimmune: OR = 2.083 [0.743, 5.835]</t>
  </si>
  <si>
    <t xml:space="preserve">Diabetes: 0.064
Autoimmune: 0.163</t>
  </si>
  <si>
    <t xml:space="preserve">Diabetes vs Control: OR = 1.22 [0.42, 3.50]
Autoimmune vs Control: OR = 1.49 [0.49, 4.46]</t>
  </si>
  <si>
    <t xml:space="preserve">Diabetes vs Control: 0.713
Autoimmune vs Control: 0.481</t>
  </si>
  <si>
    <t xml:space="preserve">Complication_Type: Corneal haze</t>
  </si>
  <si>
    <t xml:space="preserve">15/247 (6.1%)</t>
  </si>
  <si>
    <t xml:space="preserve">7/113 (6.2%)</t>
  </si>
  <si>
    <t xml:space="preserve">1/109 (0.9%)</t>
  </si>
  <si>
    <t xml:space="preserve">0.106</t>
  </si>
  <si>
    <t xml:space="preserve">Fisher's exact test</t>
  </si>
  <si>
    <t xml:space="preserve">Complication_Type: Diffuse lamellar keratitis</t>
  </si>
  <si>
    <t xml:space="preserve">7/247 (2.8%)</t>
  </si>
  <si>
    <t xml:space="preserve">3/113 (2.7%)</t>
  </si>
  <si>
    <t xml:space="preserve">Complication_Type: Epithelial defect</t>
  </si>
  <si>
    <t xml:space="preserve">14/247 (5.7%)</t>
  </si>
  <si>
    <t xml:space="preserve">6/113 (5.3%)</t>
  </si>
  <si>
    <t xml:space="preserve">2/109 (1.8%)</t>
  </si>
  <si>
    <t xml:space="preserve">Complication_Type: None</t>
  </si>
  <si>
    <t xml:space="preserve">211/247 (85.4%)</t>
  </si>
  <si>
    <t xml:space="preserve">97/113 (85.8%)</t>
  </si>
  <si>
    <t xml:space="preserve">105/109 (96.3%)</t>
  </si>
  <si>
    <t xml:space="preserve">p value</t>
  </si>
  <si>
    <t xml:space="preserve">Baseline characteristics</t>
  </si>
  <si>
    <t xml:space="preserve">Age Years [per patient]</t>
  </si>
  <si>
    <t xml:space="preserve">Preop SEQ D</t>
  </si>
  <si>
    <t xml:space="preserve">Preop Sphere D</t>
  </si>
  <si>
    <t xml:space="preserve">Preop Cylinder D</t>
  </si>
  <si>
    <t xml:space="preserve">Preop UDVA</t>
  </si>
  <si>
    <t xml:space="preserve">Preop CDVA</t>
  </si>
  <si>
    <t xml:space="preserve">Preop Pachymetry um</t>
  </si>
  <si>
    <t xml:space="preserve">Preop Mean K D</t>
  </si>
  <si>
    <t xml:space="preserve">Preop DryEye Grade</t>
  </si>
  <si>
    <t xml:space="preserve">Optical Zone mm</t>
  </si>
  <si>
    <t xml:space="preserve">Ablation Depth um</t>
  </si>
  <si>
    <t xml:space="preserve">Outcomes</t>
  </si>
  <si>
    <t xml:space="preserve">FollowUp Days</t>
  </si>
  <si>
    <t xml:space="preserve">Postop SEQ D</t>
  </si>
  <si>
    <t xml:space="preserve">Postop Cylinder D</t>
  </si>
  <si>
    <t xml:space="preserve">Postop UDVA</t>
  </si>
  <si>
    <t xml:space="preserve">Postop CDVA</t>
  </si>
  <si>
    <t xml:space="preserve">Postop Haze Grade</t>
  </si>
  <si>
    <t xml:space="preserve">Patient Satisfaction 1to5</t>
  </si>
  <si>
    <t xml:space="preserve">DryEye Symptoms (Yes)</t>
  </si>
  <si>
    <t xml:space="preserve">Retreatment Required (Yes)</t>
  </si>
  <si>
    <t xml:space="preserve">Complication Type: Corneal haze</t>
  </si>
  <si>
    <t xml:space="preserve">Complication Type: Diffuse lamellar keratitis</t>
  </si>
  <si>
    <t xml:space="preserve">Complication Type: Epithelial defect</t>
  </si>
  <si>
    <t xml:space="preserve">Complication Type: None</t>
  </si>
  <si>
    <t xml:space="preserve">Pre_BCVA</t>
  </si>
  <si>
    <t xml:space="preserve">Post_UCVA</t>
  </si>
  <si>
    <t xml:space="preserve">Post_BCVA</t>
  </si>
  <si>
    <t xml:space="preserve">Pre_Sph</t>
  </si>
  <si>
    <t xml:space="preserve">Pre_Cyl</t>
  </si>
  <si>
    <t xml:space="preserve">Pre_Axis</t>
  </si>
  <si>
    <t xml:space="preserve">Preop_MR_Vertex_Distance</t>
  </si>
  <si>
    <t xml:space="preserve">Intended_Postop_MR_Sphere</t>
  </si>
  <si>
    <t xml:space="preserve">Intended_Postop_MR_Cylinder</t>
  </si>
  <si>
    <t xml:space="preserve">Intended_Postop_MR_Axis</t>
  </si>
  <si>
    <t xml:space="preserve">Intended_Postop_MR_Vertex_Distance</t>
  </si>
  <si>
    <t xml:space="preserve">Post_Sph</t>
  </si>
  <si>
    <t xml:space="preserve">Post_Cyl</t>
  </si>
  <si>
    <t xml:space="preserve">Post_Axis</t>
  </si>
  <si>
    <t xml:space="preserve">Postop_MR_Vertex_Distance</t>
  </si>
  <si>
    <t xml:space="preserve">Post_SEQ</t>
  </si>
  <si>
    <t xml:space="preserve">20+</t>
  </si>
  <si>
    <t xml:space="preserve">20</t>
  </si>
  <si>
    <t xml:space="preserve">20-1</t>
  </si>
  <si>
    <t xml:space="preserve">20-2</t>
  </si>
  <si>
    <t xml:space="preserve">25</t>
  </si>
  <si>
    <t xml:space="preserve">16-3</t>
  </si>
  <si>
    <t xml:space="preserve">15-2</t>
  </si>
  <si>
    <t xml:space="preserve">15</t>
  </si>
  <si>
    <t xml:space="preserve">15-1</t>
  </si>
  <si>
    <t xml:space="preserve">15-3</t>
  </si>
  <si>
    <t xml:space="preserve">25+</t>
  </si>
  <si>
    <t xml:space="preserve">25-3</t>
  </si>
  <si>
    <t xml:space="preserve">20-3</t>
  </si>
  <si>
    <t xml:space="preserve">25-1</t>
  </si>
  <si>
    <t xml:space="preserve">25-2</t>
  </si>
  <si>
    <t xml:space="preserve">30-2</t>
  </si>
  <si>
    <t xml:space="preserve">30-1</t>
  </si>
  <si>
    <t xml:space="preserve">30</t>
  </si>
  <si>
    <t xml:space="preserve">Eye</t>
  </si>
  <si>
    <t xml:space="preserve">preoperative cylinder</t>
  </si>
  <si>
    <t xml:space="preserve">preoperative axis</t>
  </si>
  <si>
    <t xml:space="preserve">postoperative cylinder</t>
  </si>
  <si>
    <t xml:space="preserve">postoperative axis</t>
  </si>
  <si>
    <t xml:space="preserve">OS</t>
  </si>
  <si>
    <t xml:space="preserve">OD</t>
  </si>
  <si>
    <t xml:space="preserve">GEE results</t>
  </si>
  <si>
    <t xml:space="preserve">Outcome</t>
  </si>
  <si>
    <t xml:space="preserve">term</t>
  </si>
  <si>
    <t xml:space="preserve">estimate</t>
  </si>
  <si>
    <t xml:space="preserve">std.error</t>
  </si>
  <si>
    <t xml:space="preserve">statistic</t>
  </si>
  <si>
    <t xml:space="preserve">p.value</t>
  </si>
  <si>
    <t xml:space="preserve">Effect</t>
  </si>
  <si>
    <t xml:space="preserve">EffectValue</t>
  </si>
  <si>
    <t xml:space="preserve">CI_low</t>
  </si>
  <si>
    <t xml:space="preserve">CI_high</t>
  </si>
  <si>
    <t xml:space="preserve">CI</t>
  </si>
  <si>
    <t xml:space="preserve">Model</t>
  </si>
  <si>
    <t xml:space="preserve">Covariates</t>
  </si>
  <si>
    <t xml:space="preserve">Age_Years</t>
  </si>
  <si>
    <t xml:space="preserve">(Intercept)</t>
  </si>
  <si>
    <t xml:space="preserve">Beta</t>
  </si>
  <si>
    <t xml:space="preserve">[29.966, 31.904]</t>
  </si>
  <si>
    <t xml:space="preserve">GEE Gaussian (exchangeable)</t>
  </si>
  <si>
    <t xml:space="preserve">none</t>
  </si>
  <si>
    <t xml:space="preserve">GroupLabelDiabetes</t>
  </si>
  <si>
    <t xml:space="preserve">[5.793, 9.462]</t>
  </si>
  <si>
    <t xml:space="preserve">GroupLabelAutoimmune</t>
  </si>
  <si>
    <t xml:space="preserve">[0.972, 4.279]</t>
  </si>
  <si>
    <t xml:space="preserve">[-4.407, -3.904]</t>
  </si>
  <si>
    <t xml:space="preserve">[-0.664, 0.194]</t>
  </si>
  <si>
    <t xml:space="preserve">[-0.933, -0.133]</t>
  </si>
  <si>
    <t xml:space="preserve">[-4.085, -3.578]</t>
  </si>
  <si>
    <t xml:space="preserve">[-0.644, 0.229]</t>
  </si>
  <si>
    <t xml:space="preserve">[-0.965, -0.163]</t>
  </si>
  <si>
    <t xml:space="preserve">[-0.725, -0.581]</t>
  </si>
  <si>
    <t xml:space="preserve">[-0.161, 0.082]</t>
  </si>
  <si>
    <t xml:space="preserve">[-0.035, 0.180]</t>
  </si>
  <si>
    <t xml:space="preserve">[1.045, 1.106]</t>
  </si>
  <si>
    <t xml:space="preserve">[-0.024, 0.079]</t>
  </si>
  <si>
    <t xml:space="preserve">[0.010, 0.108]</t>
  </si>
  <si>
    <t xml:space="preserve">[-0.017, -0.009]</t>
  </si>
  <si>
    <t xml:space="preserve">[-0.001, 0.012]</t>
  </si>
  <si>
    <t xml:space="preserve">[-0.009, 0.005]</t>
  </si>
  <si>
    <t xml:space="preserve">[542.926, 549.610]</t>
  </si>
  <si>
    <t xml:space="preserve">[-18.526, -6.378]</t>
  </si>
  <si>
    <t xml:space="preserve">[-14.355, -2.550]</t>
  </si>
  <si>
    <t xml:space="preserve">[43.414, 43.763]</t>
  </si>
  <si>
    <t xml:space="preserve">[-0.329, 0.302]</t>
  </si>
  <si>
    <t xml:space="preserve">[-0.116, 0.496]</t>
  </si>
  <si>
    <t xml:space="preserve">Skipped: ordinal outcome not modeled in GEE</t>
  </si>
  <si>
    <t xml:space="preserve">OR</t>
  </si>
  <si>
    <t xml:space="preserve">[1.049, 1.958]</t>
  </si>
  <si>
    <t xml:space="preserve">GEE Binomial (exchangeable)</t>
  </si>
  <si>
    <t xml:space="preserve">[0.557, 1.718]</t>
  </si>
  <si>
    <t xml:space="preserve">[0.395, 1.232]</t>
  </si>
  <si>
    <t xml:space="preserve">Smoker</t>
  </si>
  <si>
    <t xml:space="preserve">[0.211, 0.437]</t>
  </si>
  <si>
    <t xml:space="preserve">[0.360, 1.466]</t>
  </si>
  <si>
    <t xml:space="preserve">[0.265, 1.219]</t>
  </si>
  <si>
    <t xml:space="preserve">Surgeon</t>
  </si>
  <si>
    <t xml:space="preserve">Skipped: categorical outcome not modeled in GEE</t>
  </si>
  <si>
    <t xml:space="preserve">[6.478, 6.550]</t>
  </si>
  <si>
    <t xml:space="preserve">[-0.091, 0.039]</t>
  </si>
  <si>
    <t xml:space="preserve">[-0.064, 0.054]</t>
  </si>
  <si>
    <t xml:space="preserve">[60.529, 67.535]</t>
  </si>
  <si>
    <t xml:space="preserve">[-3.196, 9.122]</t>
  </si>
  <si>
    <t xml:space="preserve">[0.980, 12.211]</t>
  </si>
  <si>
    <t xml:space="preserve">Procedure</t>
  </si>
  <si>
    <t xml:space="preserve">[173.658, 195.595]</t>
  </si>
  <si>
    <t xml:space="preserve">[-29.015, 9.108]</t>
  </si>
  <si>
    <t xml:space="preserve">[-20.644, 18.329]</t>
  </si>
  <si>
    <t xml:space="preserve">[-0.019, 0.062]</t>
  </si>
  <si>
    <t xml:space="preserve">[-0.295, -0.115]</t>
  </si>
  <si>
    <t xml:space="preserve">[-0.238, -0.080]</t>
  </si>
  <si>
    <t xml:space="preserve">[-0.241, -0.196]</t>
  </si>
  <si>
    <t xml:space="preserve">[-0.038, 0.047]</t>
  </si>
  <si>
    <t xml:space="preserve">[-0.049, 0.036]</t>
  </si>
  <si>
    <t xml:space="preserve">[-0.008, 0.005]</t>
  </si>
  <si>
    <t xml:space="preserve">[0.043, 0.068]</t>
  </si>
  <si>
    <t xml:space="preserve">[0.010, 0.033]</t>
  </si>
  <si>
    <t xml:space="preserve">[-0.019, -0.010]</t>
  </si>
  <si>
    <t xml:space="preserve">[-0.001, 0.015]</t>
  </si>
  <si>
    <t xml:space="preserve">[-0.008, 0.006]</t>
  </si>
  <si>
    <t xml:space="preserve">DryEye_Symptoms</t>
  </si>
  <si>
    <t xml:space="preserve">[0.139, 0.264]</t>
  </si>
  <si>
    <t xml:space="preserve">[1.637, 4.292]</t>
  </si>
  <si>
    <t xml:space="preserve">[3.298, 9.098]</t>
  </si>
  <si>
    <t xml:space="preserve">Retreatment_Required</t>
  </si>
  <si>
    <t xml:space="preserve">[0.017, 0.066]</t>
  </si>
  <si>
    <t xml:space="preserve">[0.945, 7.128]</t>
  </si>
  <si>
    <t xml:space="preserve">[0.743, 5.835]</t>
  </si>
  <si>
    <t xml:space="preserve">Complication_Type</t>
  </si>
  <si>
    <t xml:space="preserve">[29.909, 31.899]</t>
  </si>
  <si>
    <t xml:space="preserve">Not adjusted for itself (own value omitted from the covariates). GEE Gaussian (exchangeable)</t>
  </si>
  <si>
    <t xml:space="preserve">[5.792, 9.461]</t>
  </si>
  <si>
    <t xml:space="preserve">[0.968, 4.275]</t>
  </si>
  <si>
    <t xml:space="preserve">[-0.065, 0.051]</t>
  </si>
  <si>
    <t xml:space="preserve">[-5.028, -3.250]</t>
  </si>
  <si>
    <t xml:space="preserve">[-0.703, 0.242]</t>
  </si>
  <si>
    <t xml:space="preserve">[-0.942, -0.121]</t>
  </si>
  <si>
    <t xml:space="preserve">[-0.029, 0.027]</t>
  </si>
  <si>
    <t xml:space="preserve">[0.130, 0.390]</t>
  </si>
  <si>
    <t xml:space="preserve">Age_Years, Preop_SEQ_D</t>
  </si>
  <si>
    <t xml:space="preserve">[-0.053, 0.080]</t>
  </si>
  <si>
    <t xml:space="preserve">[-0.095, 0.021]</t>
  </si>
  <si>
    <t xml:space="preserve">[-0.002, 0.005]</t>
  </si>
  <si>
    <t xml:space="preserve">[0.985, 1.010]</t>
  </si>
  <si>
    <t xml:space="preserve">[-0.819, -0.318]</t>
  </si>
  <si>
    <t xml:space="preserve">[-0.152, 0.101]</t>
  </si>
  <si>
    <t xml:space="preserve">[-0.029, 0.192]</t>
  </si>
  <si>
    <t xml:space="preserve">[-0.009, 0.006]</t>
  </si>
  <si>
    <t xml:space="preserve">[-0.016, 0.033]</t>
  </si>
  <si>
    <t xml:space="preserve">[0.578, 0.673]</t>
  </si>
  <si>
    <t xml:space="preserve">[-0.020, 0.028]</t>
  </si>
  <si>
    <t xml:space="preserve">[-0.021, 0.022]</t>
  </si>
  <si>
    <t xml:space="preserve">[-0.002, 0.001]</t>
  </si>
  <si>
    <t xml:space="preserve">[-0.116, -0.106]</t>
  </si>
  <si>
    <t xml:space="preserve">[-0.039, -0.007]</t>
  </si>
  <si>
    <t xml:space="preserve">[-0.004, 0.011]</t>
  </si>
  <si>
    <t xml:space="preserve">[-0.010, 0.004]</t>
  </si>
  <si>
    <t xml:space="preserve">[-0.000, 0.001]</t>
  </si>
  <si>
    <t xml:space="preserve">[-0.003, 0.001]</t>
  </si>
  <si>
    <t xml:space="preserve">[537.684, 566.353]</t>
  </si>
  <si>
    <t xml:space="preserve">[-18.278, -5.104]</t>
  </si>
  <si>
    <t xml:space="preserve">[-13.799, -1.667]</t>
  </si>
  <si>
    <t xml:space="preserve">[-0.463, 0.349]</t>
  </si>
  <si>
    <t xml:space="preserve">[-0.395, 2.336]</t>
  </si>
  <si>
    <t xml:space="preserve">[42.259, 43.698]</t>
  </si>
  <si>
    <t xml:space="preserve">[-0.503, 0.200]</t>
  </si>
  <si>
    <t xml:space="preserve">[-0.179, 0.445]</t>
  </si>
  <si>
    <t xml:space="preserve">[-0.002, 0.039]</t>
  </si>
  <si>
    <t xml:space="preserve">[-0.080, 0.062]</t>
  </si>
  <si>
    <t xml:space="preserve">[0.276, 2.747]</t>
  </si>
  <si>
    <t xml:space="preserve">[0.463, 1.616]</t>
  </si>
  <si>
    <t xml:space="preserve">[0.376, 1.188]</t>
  </si>
  <si>
    <t xml:space="preserve">[0.980, 1.053]</t>
  </si>
  <si>
    <t xml:space="preserve">[0.997, 1.001]</t>
  </si>
  <si>
    <t xml:space="preserve">[0.011, 0.241]</t>
  </si>
  <si>
    <t xml:space="preserve">[0.214, 1.025]</t>
  </si>
  <si>
    <t xml:space="preserve">[0.222, 1.088]</t>
  </si>
  <si>
    <t xml:space="preserve">[1.009, 1.109]</t>
  </si>
  <si>
    <t xml:space="preserve">[0.991, 1.007]</t>
  </si>
  <si>
    <t xml:space="preserve">[6.360, 6.661]</t>
  </si>
  <si>
    <t xml:space="preserve">[-0.100, 0.042]</t>
  </si>
  <si>
    <t xml:space="preserve">[-0.065, 0.056]</t>
  </si>
  <si>
    <t xml:space="preserve">[-0.004, 0.005]</t>
  </si>
  <si>
    <t xml:space="preserve">[-0.011, 0.018]</t>
  </si>
  <si>
    <t xml:space="preserve">[1.727, 9.163]</t>
  </si>
  <si>
    <t xml:space="preserve">[-2.470, 1.016]</t>
  </si>
  <si>
    <t xml:space="preserve">[-2.580, 0.713]</t>
  </si>
  <si>
    <t xml:space="preserve">[-0.056, 0.156]</t>
  </si>
  <si>
    <t xml:space="preserve">[-14.080, -13.384]</t>
  </si>
  <si>
    <t xml:space="preserve">[116.555, 213.524]</t>
  </si>
  <si>
    <t xml:space="preserve">[-33.538, 8.139]</t>
  </si>
  <si>
    <t xml:space="preserve">[-24.062, 17.291]</t>
  </si>
  <si>
    <t xml:space="preserve">[-1.169, 1.717]</t>
  </si>
  <si>
    <t xml:space="preserve">[-6.994, 1.614]</t>
  </si>
  <si>
    <t xml:space="preserve">[0.017, 0.411]</t>
  </si>
  <si>
    <t xml:space="preserve">[-0.268, -0.068]</t>
  </si>
  <si>
    <t xml:space="preserve">[-0.222, -0.057]</t>
  </si>
  <si>
    <t xml:space="preserve">[-0.010, 0.001]</t>
  </si>
  <si>
    <t xml:space="preserve">[-0.006, 0.032]</t>
  </si>
  <si>
    <t xml:space="preserve">[-0.331, -0.146]</t>
  </si>
  <si>
    <t xml:space="preserve">[-0.053, 0.042]</t>
  </si>
  <si>
    <t xml:space="preserve">[-0.051, 0.036]</t>
  </si>
  <si>
    <t xml:space="preserve">[-0.001, 0.004]</t>
  </si>
  <si>
    <t xml:space="preserve">[-0.002, 0.016]</t>
  </si>
  <si>
    <t xml:space="preserve">[-0.049, 0.008]</t>
  </si>
  <si>
    <t xml:space="preserve">[0.038, 0.065]</t>
  </si>
  <si>
    <t xml:space="preserve">[0.008, 0.031]</t>
  </si>
  <si>
    <t xml:space="preserve">[-0.004, 0.001]</t>
  </si>
  <si>
    <t xml:space="preserve">[-0.039, -0.001]</t>
  </si>
  <si>
    <t xml:space="preserve">[-0.003, 0.015]</t>
  </si>
  <si>
    <t xml:space="preserve">[0.058, 0.548]</t>
  </si>
  <si>
    <t xml:space="preserve">[1.564, 4.773]</t>
  </si>
  <si>
    <t xml:space="preserve">[3.218, 9.124]</t>
  </si>
  <si>
    <t xml:space="preserve">[0.962, 1.028]</t>
  </si>
  <si>
    <t xml:space="preserve">[0.840, 1.059]</t>
  </si>
  <si>
    <t xml:space="preserve">[0.000, 0.027]</t>
  </si>
  <si>
    <t xml:space="preserve">[0.473, 3.859]</t>
  </si>
  <si>
    <t xml:space="preserve">[0.548, 4.897]</t>
  </si>
  <si>
    <t xml:space="preserve">[1.005, 1.175]</t>
  </si>
  <si>
    <t xml:space="preserve">[0.704, 1.148]</t>
  </si>
  <si>
    <t xml:space="preserve">NOTE: 1 model(s) carry a small-sample caution or failed - see the Note column. Interpret flagged estimates cautiously.</t>
  </si>
  <si>
    <t xml:space="preserve">Adjusted regression - unmatched cohort (covariates: Age_Years, Preop_SEQ_D, Preop_Pachymetry_um)</t>
  </si>
  <si>
    <t xml:space="preserve">Comparison</t>
  </si>
  <si>
    <t xml:space="preserve">P value</t>
  </si>
  <si>
    <t xml:space="preserve">n</t>
  </si>
  <si>
    <t xml:space="preserve">Diabetes vs Control</t>
  </si>
  <si>
    <t xml:space="preserve">beta = -10.73 [-31.82, 10.36]</t>
  </si>
  <si>
    <t xml:space="preserve">0.319</t>
  </si>
  <si>
    <t xml:space="preserve">455</t>
  </si>
  <si>
    <t xml:space="preserve">Autoimmune vs Control</t>
  </si>
  <si>
    <t xml:space="preserve">beta = -2.58 [-23.40, 18.24]</t>
  </si>
  <si>
    <t xml:space="preserve">0.808</t>
  </si>
  <si>
    <t xml:space="preserve">beta = -0.18 [-0.28, -0.08]</t>
  </si>
  <si>
    <t xml:space="preserve">beta = -0.15 [-0.24, -0.07]</t>
  </si>
  <si>
    <t xml:space="preserve">beta = -0.01 [-0.06, 0.04]</t>
  </si>
  <si>
    <t xml:space="preserve">0.641</t>
  </si>
  <si>
    <t xml:space="preserve">beta = -0.01 [-0.05, 0.03]</t>
  </si>
  <si>
    <t xml:space="preserve">0.694</t>
  </si>
  <si>
    <t xml:space="preserve">beta = 0.05 [0.04, 0.07]</t>
  </si>
  <si>
    <t xml:space="preserve">beta = 0.02 [0.01, 0.03]</t>
  </si>
  <si>
    <t xml:space="preserve">0.001</t>
  </si>
  <si>
    <t xml:space="preserve">beta = 0.01 [-0.00, 0.02]</t>
  </si>
  <si>
    <t xml:space="preserve">0.089</t>
  </si>
  <si>
    <t xml:space="preserve">beta = -0.00 [-0.01, 0.01]</t>
  </si>
  <si>
    <t xml:space="preserve">0.809</t>
  </si>
  <si>
    <t xml:space="preserve">Skipped: ordinal outcome</t>
  </si>
  <si>
    <t xml:space="preserve">OR = 2.63 [1.47, 4.71]</t>
  </si>
  <si>
    <t xml:space="preserve">455 (130 events)</t>
  </si>
  <si>
    <t xml:space="preserve">OR = 4.99 [2.94, 8.49]</t>
  </si>
  <si>
    <t xml:space="preserve">OR = 1.22 [0.42, 3.50]</t>
  </si>
  <si>
    <t xml:space="preserve">0.713</t>
  </si>
  <si>
    <t xml:space="preserve">455 (24 events)</t>
  </si>
  <si>
    <t xml:space="preserve">CAUTION: only 24 eyes in the smaller outcome class for 5 parameters (&lt;10 per parameter) - possible overfitting</t>
  </si>
  <si>
    <t xml:space="preserve">OR = 1.49 [0.49, 4.46]</t>
  </si>
  <si>
    <t xml:space="preserve">0.481</t>
  </si>
  <si>
    <t xml:space="preserve">Skipped: categorical outcome</t>
  </si>
  <si>
    <t xml:space="preserve">Full models (every term)</t>
  </si>
  <si>
    <t xml:space="preserve">[-40.815, 319.923]</t>
  </si>
  <si>
    <t xml:space="preserve">Linear GEE (beta)</t>
  </si>
  <si>
    <t xml:space="preserve">[-31.824, 10.363]</t>
  </si>
  <si>
    <t xml:space="preserve">[-23.404, 18.239]</t>
  </si>
  <si>
    <t xml:space="preserve">[-1.212, 1.758]</t>
  </si>
  <si>
    <t xml:space="preserve">[-6.451, 1.793]</t>
  </si>
  <si>
    <t xml:space="preserve">[-0.264, 0.365]</t>
  </si>
  <si>
    <t xml:space="preserve">[-0.082, 1.364]</t>
  </si>
  <si>
    <t xml:space="preserve">[-0.283, -0.078]</t>
  </si>
  <si>
    <t xml:space="preserve">[-0.237, -0.066]</t>
  </si>
  <si>
    <t xml:space="preserve">[-0.011, 0.001]</t>
  </si>
  <si>
    <t xml:space="preserve">[-0.007, 0.032]</t>
  </si>
  <si>
    <t xml:space="preserve">[-0.444, 0.261]</t>
  </si>
  <si>
    <t xml:space="preserve">[-0.059, 0.036]</t>
  </si>
  <si>
    <t xml:space="preserve">[-0.052, 0.035]</t>
  </si>
  <si>
    <t xml:space="preserve">[-0.001, 0.000]</t>
  </si>
  <si>
    <t xml:space="preserve">[-0.156, 0.044]</t>
  </si>
  <si>
    <t xml:space="preserve">[0.040, 0.067]</t>
  </si>
  <si>
    <t xml:space="preserve">[0.008, 0.032]</t>
  </si>
  <si>
    <t xml:space="preserve">[-0.001, 0.001]</t>
  </si>
  <si>
    <t xml:space="preserve">[-0.000, 0.000]</t>
  </si>
  <si>
    <t xml:space="preserve">[-0.117, 0.021]</t>
  </si>
  <si>
    <t xml:space="preserve">[-0.001, 0.017]</t>
  </si>
  <si>
    <t xml:space="preserve">[-0.009, 0.007]</t>
  </si>
  <si>
    <t xml:space="preserve">[0.013, 118.214]</t>
  </si>
  <si>
    <t xml:space="preserve">Logistic GEE (OR)</t>
  </si>
  <si>
    <t xml:space="preserve">[1.468, 4.710]</t>
  </si>
  <si>
    <t xml:space="preserve">[2.939, 8.488]</t>
  </si>
  <si>
    <t xml:space="preserve">[0.963, 1.031]</t>
  </si>
  <si>
    <t xml:space="preserve">[0.841, 1.064]</t>
  </si>
  <si>
    <t xml:space="preserve">[0.988, 1.004]</t>
  </si>
  <si>
    <t xml:space="preserve">[0.000, 163.410]</t>
  </si>
  <si>
    <t xml:space="preserve">[0.425, 3.501]</t>
  </si>
  <si>
    <t xml:space="preserve">[0.494, 4.462]</t>
  </si>
  <si>
    <t xml:space="preserve">[1.004, 1.182]</t>
  </si>
  <si>
    <t xml:space="preserve">[0.703, 1.154]</t>
  </si>
  <si>
    <t xml:space="preserve">[0.981, 1.005]</t>
  </si>
  <si>
    <t xml:space="preserve">PSM settings</t>
  </si>
  <si>
    <t xml:space="preserve">Setting</t>
  </si>
  <si>
    <t xml:space="preserve">Matching method</t>
  </si>
  <si>
    <t xml:space="preserve">nearest</t>
  </si>
  <si>
    <t xml:space="preserve">Distance</t>
  </si>
  <si>
    <t xml:space="preserve">logit</t>
  </si>
  <si>
    <t xml:space="preserve">Ratio</t>
  </si>
  <si>
    <t xml:space="preserve">2</t>
  </si>
  <si>
    <t xml:space="preserve">Replacement</t>
  </si>
  <si>
    <t xml:space="preserve">FALSE</t>
  </si>
  <si>
    <t xml:space="preserve">Caliper</t>
  </si>
  <si>
    <t xml:space="preserve">0.2</t>
  </si>
  <si>
    <t xml:space="preserve">Standardized caliper</t>
  </si>
  <si>
    <t xml:space="preserve">TRUE</t>
  </si>
  <si>
    <t xml:space="preserve">Matching order</t>
  </si>
  <si>
    <t xml:space="preserve">largest</t>
  </si>
  <si>
    <t xml:space="preserve">Random seed (matching)</t>
  </si>
  <si>
    <t xml:space="preserve">20250601</t>
  </si>
  <si>
    <t xml:space="preserve">Reference group</t>
  </si>
  <si>
    <t xml:space="preserve">Patient ID (clustering for GEE only; not used in matching)</t>
  </si>
  <si>
    <t xml:space="preserve">PatientID</t>
  </si>
  <si>
    <t xml:space="preserve">Matching covariates</t>
  </si>
  <si>
    <t xml:space="preserve">PSM_Covariates</t>
  </si>
  <si>
    <t xml:space="preserve">Covariate balance (cobalt; standardized differences for every covariate)</t>
  </si>
  <si>
    <t xml:space="preserve">Variable</t>
  </si>
  <si>
    <t xml:space="preserve">Type</t>
  </si>
  <si>
    <t xml:space="preserve">Diff.Un</t>
  </si>
  <si>
    <t xml:space="preserve">Diff.Adj</t>
  </si>
  <si>
    <t xml:space="preserve">M.Threshold</t>
  </si>
  <si>
    <t xml:space="preserve">distance</t>
  </si>
  <si>
    <t xml:space="preserve">Balanced, &lt;0.1</t>
  </si>
  <si>
    <t xml:space="preserve">Contin.</t>
  </si>
  <si>
    <t xml:space="preserve">Propensity-score distribution (matched rows)</t>
  </si>
  <si>
    <t xml:space="preserve">PropensityScore</t>
  </si>
  <si>
    <t xml:space="preserve">MatchingWeight</t>
  </si>
  <si>
    <t xml:space="preserve">P0003</t>
  </si>
  <si>
    <t xml:space="preserve">P0004</t>
  </si>
  <si>
    <t xml:space="preserve">P0005</t>
  </si>
  <si>
    <t xml:space="preserve">P0006</t>
  </si>
  <si>
    <t xml:space="preserve">P0010</t>
  </si>
  <si>
    <t xml:space="preserve">P0013</t>
  </si>
  <si>
    <t xml:space="preserve">P0015</t>
  </si>
  <si>
    <t xml:space="preserve">P0021</t>
  </si>
  <si>
    <t xml:space="preserve">P0022</t>
  </si>
  <si>
    <t xml:space="preserve">P0026</t>
  </si>
  <si>
    <t xml:space="preserve">P0030</t>
  </si>
  <si>
    <t xml:space="preserve">P0031</t>
  </si>
  <si>
    <t xml:space="preserve">P0034</t>
  </si>
  <si>
    <t xml:space="preserve">P0035</t>
  </si>
  <si>
    <t xml:space="preserve">P0037</t>
  </si>
  <si>
    <t xml:space="preserve">P0038</t>
  </si>
  <si>
    <t xml:space="preserve">P0039</t>
  </si>
  <si>
    <t xml:space="preserve">P0040</t>
  </si>
  <si>
    <t xml:space="preserve">P0041</t>
  </si>
  <si>
    <t xml:space="preserve">P0042</t>
  </si>
  <si>
    <t xml:space="preserve">P0047</t>
  </si>
  <si>
    <t xml:space="preserve">P0048</t>
  </si>
  <si>
    <t xml:space="preserve">P0050</t>
  </si>
  <si>
    <t xml:space="preserve">P0051</t>
  </si>
  <si>
    <t xml:space="preserve">P0053</t>
  </si>
  <si>
    <t xml:space="preserve">P0055</t>
  </si>
  <si>
    <t xml:space="preserve">P0057</t>
  </si>
  <si>
    <t xml:space="preserve">P0059</t>
  </si>
  <si>
    <t xml:space="preserve">P0060</t>
  </si>
  <si>
    <t xml:space="preserve">P0062</t>
  </si>
  <si>
    <t xml:space="preserve">P0072</t>
  </si>
  <si>
    <t xml:space="preserve">P0077</t>
  </si>
  <si>
    <t xml:space="preserve">P0082</t>
  </si>
  <si>
    <t xml:space="preserve">P0085</t>
  </si>
  <si>
    <t xml:space="preserve">P0088</t>
  </si>
  <si>
    <t xml:space="preserve">P0090</t>
  </si>
  <si>
    <t xml:space="preserve">P0093</t>
  </si>
  <si>
    <t xml:space="preserve">P0094</t>
  </si>
  <si>
    <t xml:space="preserve">P0095</t>
  </si>
  <si>
    <t xml:space="preserve">P0096</t>
  </si>
  <si>
    <t xml:space="preserve">P0097</t>
  </si>
  <si>
    <t xml:space="preserve">P0103</t>
  </si>
  <si>
    <t xml:space="preserve">P0104</t>
  </si>
  <si>
    <t xml:space="preserve">P0105</t>
  </si>
  <si>
    <t xml:space="preserve">P0108</t>
  </si>
  <si>
    <t xml:space="preserve">P0109</t>
  </si>
  <si>
    <t xml:space="preserve">P0110</t>
  </si>
  <si>
    <t xml:space="preserve">P0113</t>
  </si>
  <si>
    <t xml:space="preserve">P0114</t>
  </si>
  <si>
    <t xml:space="preserve">P0115</t>
  </si>
  <si>
    <t xml:space="preserve">P0116</t>
  </si>
  <si>
    <t xml:space="preserve">P0124</t>
  </si>
  <si>
    <t xml:space="preserve">P0125</t>
  </si>
  <si>
    <t xml:space="preserve">P0127</t>
  </si>
  <si>
    <t xml:space="preserve">P0128</t>
  </si>
  <si>
    <t xml:space="preserve">P0131</t>
  </si>
  <si>
    <t xml:space="preserve">P0132</t>
  </si>
  <si>
    <t xml:space="preserve">P0137</t>
  </si>
  <si>
    <t xml:space="preserve">P0140</t>
  </si>
  <si>
    <t xml:space="preserve">P0141</t>
  </si>
  <si>
    <t xml:space="preserve">P0142</t>
  </si>
  <si>
    <t xml:space="preserve">P0145</t>
  </si>
  <si>
    <t xml:space="preserve">P0146</t>
  </si>
  <si>
    <t xml:space="preserve">P0147</t>
  </si>
  <si>
    <t xml:space="preserve">P0148</t>
  </si>
  <si>
    <t xml:space="preserve">P0150</t>
  </si>
  <si>
    <t xml:space="preserve">P0151</t>
  </si>
  <si>
    <t xml:space="preserve">P0152</t>
  </si>
  <si>
    <t xml:space="preserve">P0153</t>
  </si>
  <si>
    <t xml:space="preserve">P0157</t>
  </si>
  <si>
    <t xml:space="preserve">P0158</t>
  </si>
  <si>
    <t xml:space="preserve">P0159</t>
  </si>
  <si>
    <t xml:space="preserve">P0161</t>
  </si>
  <si>
    <t xml:space="preserve">P0162</t>
  </si>
  <si>
    <t xml:space="preserve">P0163</t>
  </si>
  <si>
    <t xml:space="preserve">P0165</t>
  </si>
  <si>
    <t xml:space="preserve">P0166</t>
  </si>
  <si>
    <t xml:space="preserve">P0171</t>
  </si>
  <si>
    <t xml:space="preserve">P0173</t>
  </si>
  <si>
    <t xml:space="preserve">P0175</t>
  </si>
  <si>
    <t xml:space="preserve">P0176</t>
  </si>
  <si>
    <t xml:space="preserve">P0177</t>
  </si>
  <si>
    <t xml:space="preserve">P0178</t>
  </si>
  <si>
    <t xml:space="preserve">P0183</t>
  </si>
  <si>
    <t xml:space="preserve">P0184</t>
  </si>
  <si>
    <t xml:space="preserve">P0185</t>
  </si>
  <si>
    <t xml:space="preserve">P0191</t>
  </si>
  <si>
    <t xml:space="preserve">P0192</t>
  </si>
  <si>
    <t xml:space="preserve">P0193</t>
  </si>
  <si>
    <t xml:space="preserve">P0195</t>
  </si>
  <si>
    <t xml:space="preserve">P0196</t>
  </si>
  <si>
    <t xml:space="preserve">P0197</t>
  </si>
  <si>
    <t xml:space="preserve">P0198</t>
  </si>
  <si>
    <t xml:space="preserve">P0201</t>
  </si>
  <si>
    <t xml:space="preserve">P0203</t>
  </si>
  <si>
    <t xml:space="preserve">P0207</t>
  </si>
  <si>
    <t xml:space="preserve">P0212</t>
  </si>
  <si>
    <t xml:space="preserve">P0214</t>
  </si>
  <si>
    <t xml:space="preserve">P0216</t>
  </si>
  <si>
    <t xml:space="preserve">P0218</t>
  </si>
  <si>
    <t xml:space="preserve">P0222</t>
  </si>
  <si>
    <t xml:space="preserve">P0223</t>
  </si>
  <si>
    <t xml:space="preserve">P0226</t>
  </si>
  <si>
    <t xml:space="preserve">P0227</t>
  </si>
  <si>
    <t xml:space="preserve">P0228</t>
  </si>
  <si>
    <t xml:space="preserve">P0229</t>
  </si>
  <si>
    <t xml:space="preserve">P0230</t>
  </si>
  <si>
    <t xml:space="preserve">P0231</t>
  </si>
  <si>
    <t xml:space="preserve">P0232</t>
  </si>
  <si>
    <t xml:space="preserve">P0235</t>
  </si>
  <si>
    <t xml:space="preserve">P0240</t>
  </si>
  <si>
    <t xml:space="preserve">P0243</t>
  </si>
  <si>
    <t xml:space="preserve">P0244</t>
  </si>
  <si>
    <t xml:space="preserve">P0246</t>
  </si>
  <si>
    <t xml:space="preserve">P0248</t>
  </si>
  <si>
    <t xml:space="preserve">P0251</t>
  </si>
  <si>
    <t xml:space="preserve">P0252</t>
  </si>
  <si>
    <t xml:space="preserve">P0253</t>
  </si>
  <si>
    <t xml:space="preserve">P0256</t>
  </si>
  <si>
    <t xml:space="preserve">P0259</t>
  </si>
  <si>
    <t xml:space="preserve">P0261</t>
  </si>
  <si>
    <t xml:space="preserve">P0262</t>
  </si>
  <si>
    <t xml:space="preserve">P0263</t>
  </si>
  <si>
    <t xml:space="preserve">P0265</t>
  </si>
  <si>
    <t xml:space="preserve">P0268</t>
  </si>
  <si>
    <t xml:space="preserve">P0269</t>
  </si>
  <si>
    <t xml:space="preserve">P0270</t>
  </si>
  <si>
    <t xml:space="preserve">P0274</t>
  </si>
  <si>
    <t xml:space="preserve">P0280</t>
  </si>
  <si>
    <t xml:space="preserve">P0281</t>
  </si>
  <si>
    <t xml:space="preserve">P0282</t>
  </si>
  <si>
    <t xml:space="preserve">P0283</t>
  </si>
  <si>
    <t xml:space="preserve">P0284</t>
  </si>
  <si>
    <t xml:space="preserve">P0285</t>
  </si>
  <si>
    <t xml:space="preserve">P0286</t>
  </si>
  <si>
    <t xml:space="preserve">P0287</t>
  </si>
  <si>
    <t xml:space="preserve">P0289</t>
  </si>
  <si>
    <t xml:space="preserve">P0290</t>
  </si>
  <si>
    <t xml:space="preserve">P0291</t>
  </si>
  <si>
    <t xml:space="preserve">P0293</t>
  </si>
  <si>
    <t xml:space="preserve">P0295</t>
  </si>
  <si>
    <t xml:space="preserve">P0296</t>
  </si>
  <si>
    <t xml:space="preserve">P0297</t>
  </si>
  <si>
    <t xml:space="preserve">P0301</t>
  </si>
  <si>
    <t xml:space="preserve">P0302</t>
  </si>
  <si>
    <t xml:space="preserve">P0307</t>
  </si>
  <si>
    <t xml:space="preserve">P0308</t>
  </si>
  <si>
    <t xml:space="preserve">P0309</t>
  </si>
  <si>
    <t xml:space="preserve">P0310</t>
  </si>
  <si>
    <t xml:space="preserve">P0311</t>
  </si>
  <si>
    <t xml:space="preserve">P0315</t>
  </si>
  <si>
    <t xml:space="preserve">P0317</t>
  </si>
  <si>
    <t xml:space="preserve">P0318</t>
  </si>
  <si>
    <t xml:space="preserve">P0320</t>
  </si>
  <si>
    <t xml:space="preserve">NOTE: Models weighted by the matching weights - working correlation: independence (weighted), robust (sandwich) standard errors.</t>
  </si>
  <si>
    <t xml:space="preserve">GEE - baseline</t>
  </si>
  <si>
    <t xml:space="preserve">[34.835, 36.867]</t>
  </si>
  <si>
    <t xml:space="preserve">GEE Gaussian, working correlation: independence (weighted)</t>
  </si>
  <si>
    <t xml:space="preserve">[-1.428, 1.797]</t>
  </si>
  <si>
    <t xml:space="preserve">[-4.637, -3.882]</t>
  </si>
  <si>
    <t xml:space="preserve">[-0.550, 0.509]</t>
  </si>
  <si>
    <t xml:space="preserve">[-4.315, -3.536]</t>
  </si>
  <si>
    <t xml:space="preserve">[-0.535, 0.547]</t>
  </si>
  <si>
    <t xml:space="preserve">[-0.761, -0.563]</t>
  </si>
  <si>
    <t xml:space="preserve">[-0.200, 0.102]</t>
  </si>
  <si>
    <t xml:space="preserve">[1.047, 1.134]</t>
  </si>
  <si>
    <t xml:space="preserve">[-0.061, 0.064]</t>
  </si>
  <si>
    <t xml:space="preserve">[-0.016, -0.004]</t>
  </si>
  <si>
    <t xml:space="preserve">[-0.004, 0.014]</t>
  </si>
  <si>
    <t xml:space="preserve">[533.290, 544.044]</t>
  </si>
  <si>
    <t xml:space="preserve">[-9.187, 6.187]</t>
  </si>
  <si>
    <t xml:space="preserve">[43.475, 43.967]</t>
  </si>
  <si>
    <t xml:space="preserve">[-0.617, 0.136]</t>
  </si>
  <si>
    <t xml:space="preserve">[0.875, 2.133]</t>
  </si>
  <si>
    <t xml:space="preserve">GEE Binomial, working correlation: independence (weighted)</t>
  </si>
  <si>
    <t xml:space="preserve">[0.460, 1.881]</t>
  </si>
  <si>
    <t xml:space="preserve">[0.298, 0.795]</t>
  </si>
  <si>
    <t xml:space="preserve">[0.153, 0.922]</t>
  </si>
  <si>
    <t xml:space="preserve">GEE - preop/intraop</t>
  </si>
  <si>
    <t xml:space="preserve">[6.476, 6.579]</t>
  </si>
  <si>
    <t xml:space="preserve">[-0.149, 0.015]</t>
  </si>
  <si>
    <t xml:space="preserve">[60.702, 71.071]</t>
  </si>
  <si>
    <t xml:space="preserve">[-8.079, 6.996]</t>
  </si>
  <si>
    <t xml:space="preserve">GEE - outcomes</t>
  </si>
  <si>
    <t xml:space="preserve">[170.534, 202.383]</t>
  </si>
  <si>
    <t xml:space="preserve">[-37.911, 9.709]</t>
  </si>
  <si>
    <t xml:space="preserve">[-0.029, 0.092]</t>
  </si>
  <si>
    <t xml:space="preserve">[-0.291, -0.057]</t>
  </si>
  <si>
    <t xml:space="preserve">[-0.248, -0.187]</t>
  </si>
  <si>
    <t xml:space="preserve">[-0.068, 0.038]</t>
  </si>
  <si>
    <t xml:space="preserve">[-0.004, 0.016]</t>
  </si>
  <si>
    <t xml:space="preserve">[0.037, 0.067]</t>
  </si>
  <si>
    <t xml:space="preserve">[-0.017, -0.004]</t>
  </si>
  <si>
    <t xml:space="preserve">[-0.003, 0.016]</t>
  </si>
  <si>
    <t xml:space="preserve">[0.111, 0.302]</t>
  </si>
  <si>
    <t xml:space="preserve">[1.318, 5.079]</t>
  </si>
  <si>
    <t xml:space="preserve">[0.031, 0.157]</t>
  </si>
  <si>
    <t xml:space="preserve">[0.317, 3.808]</t>
  </si>
  <si>
    <t xml:space="preserve">Adjusted GEE - baseline</t>
  </si>
  <si>
    <t xml:space="preserve">[33.905, 37.389]</t>
  </si>
  <si>
    <t xml:space="preserve">Not adjusted for itself (own value omitted from the covariates). GEE Gaussian, working correlation: independence (weighted)</t>
  </si>
  <si>
    <t xml:space="preserve">[-1.431, 1.798]</t>
  </si>
  <si>
    <t xml:space="preserve">[-0.401, 0.305]</t>
  </si>
  <si>
    <t xml:space="preserve">[-5.938, -2.050]</t>
  </si>
  <si>
    <t xml:space="preserve">[-0.550, 0.512]</t>
  </si>
  <si>
    <t xml:space="preserve">[-0.062, 0.047]</t>
  </si>
  <si>
    <t xml:space="preserve">[-0.007, 0.572]</t>
  </si>
  <si>
    <t xml:space="preserve">[-0.052, 0.104]</t>
  </si>
  <si>
    <t xml:space="preserve">[-0.006, 0.010]</t>
  </si>
  <si>
    <t xml:space="preserve">[0.984, 1.022]</t>
  </si>
  <si>
    <t xml:space="preserve">[-1.187, -0.088]</t>
  </si>
  <si>
    <t xml:space="preserve">[-0.199, 0.101]</t>
  </si>
  <si>
    <t xml:space="preserve">[-0.016, 0.013]</t>
  </si>
  <si>
    <t xml:space="preserve">[-0.047, 0.029]</t>
  </si>
  <si>
    <t xml:space="preserve">[0.540, 0.735]</t>
  </si>
  <si>
    <t xml:space="preserve">[-0.028, 0.027]</t>
  </si>
  <si>
    <t xml:space="preserve">[-0.003, 0.002]</t>
  </si>
  <si>
    <t xml:space="preserve">[-0.118, -0.104]</t>
  </si>
  <si>
    <t xml:space="preserve">[-0.030, 0.027]</t>
  </si>
  <si>
    <t xml:space="preserve">[-0.003, 0.014]</t>
  </si>
  <si>
    <t xml:space="preserve">[-0.005, 0.000]</t>
  </si>
  <si>
    <t xml:space="preserve">[461.114, 514.428]</t>
  </si>
  <si>
    <t xml:space="preserve">[-9.115, 5.589]</t>
  </si>
  <si>
    <t xml:space="preserve">[0.787, 2.225]</t>
  </si>
  <si>
    <t xml:space="preserve">[-1.220, 2.669]</t>
  </si>
  <si>
    <t xml:space="preserve">[40.749, 43.559]</t>
  </si>
  <si>
    <t xml:space="preserve">[-0.621, 0.124]</t>
  </si>
  <si>
    <t xml:space="preserve">[0.009, 0.086]</t>
  </si>
  <si>
    <t xml:space="preserve">[-0.069, 0.138]</t>
  </si>
  <si>
    <t xml:space="preserve">[0.065, 12.639]</t>
  </si>
  <si>
    <t xml:space="preserve">[0.454, 1.892]</t>
  </si>
  <si>
    <t xml:space="preserve">[0.952, 1.099]</t>
  </si>
  <si>
    <t xml:space="preserve">[0.940, 1.290]</t>
  </si>
  <si>
    <t xml:space="preserve">[0.001, 0.848]</t>
  </si>
  <si>
    <t xml:space="preserve">[0.149, 0.886]</t>
  </si>
  <si>
    <t xml:space="preserve">[0.984, 1.172]</t>
  </si>
  <si>
    <t xml:space="preserve">[0.811, 1.169]</t>
  </si>
  <si>
    <t xml:space="preserve">Adjusted GEE - preop/intraop</t>
  </si>
  <si>
    <t xml:space="preserve">[6.294, 6.935]</t>
  </si>
  <si>
    <t xml:space="preserve">[-0.148, 0.015]</t>
  </si>
  <si>
    <t xml:space="preserve">[-0.012, 0.006]</t>
  </si>
  <si>
    <t xml:space="preserve">[-0.029, 0.019]</t>
  </si>
  <si>
    <t xml:space="preserve">[-3.178, 10.830]</t>
  </si>
  <si>
    <t xml:space="preserve">[-2.921, 1.240]</t>
  </si>
  <si>
    <t xml:space="preserve">[-0.097, 0.288]</t>
  </si>
  <si>
    <t xml:space="preserve">[-14.335, -13.199]</t>
  </si>
  <si>
    <t xml:space="preserve">Adjusted GEE - outcomes</t>
  </si>
  <si>
    <t xml:space="preserve">[26.660, 215.762]</t>
  </si>
  <si>
    <t xml:space="preserve">[-38.091, 9.223]</t>
  </si>
  <si>
    <t xml:space="preserve">[-0.995, 4.142]</t>
  </si>
  <si>
    <t xml:space="preserve">[-8.662, 4.512]</t>
  </si>
  <si>
    <t xml:space="preserve">[-0.552, 0.287]</t>
  </si>
  <si>
    <t xml:space="preserve">[-0.292, -0.058]</t>
  </si>
  <si>
    <t xml:space="preserve">[-0.007, 0.017]</t>
  </si>
  <si>
    <t xml:space="preserve">[-0.023, 0.031]</t>
  </si>
  <si>
    <t xml:space="preserve">[-0.589, -0.170]</t>
  </si>
  <si>
    <t xml:space="preserve">[-0.069, 0.037]</t>
  </si>
  <si>
    <t xml:space="preserve">[-0.000, 0.011]</t>
  </si>
  <si>
    <t xml:space="preserve">[-0.006, 0.021]</t>
  </si>
  <si>
    <t xml:space="preserve">[-0.045, 0.059]</t>
  </si>
  <si>
    <t xml:space="preserve">[-0.007, 0.002]</t>
  </si>
  <si>
    <t xml:space="preserve">[-0.035, 0.030]</t>
  </si>
  <si>
    <t xml:space="preserve">[0.005, 1.105]</t>
  </si>
  <si>
    <t xml:space="preserve">[1.316, 5.062]</t>
  </si>
  <si>
    <t xml:space="preserve">[0.952, 1.106]</t>
  </si>
  <si>
    <t xml:space="preserve">[0.837, 1.210]</t>
  </si>
  <si>
    <t xml:space="preserve">[0.000, 0.001]</t>
  </si>
  <si>
    <t xml:space="preserve">[0.317, 3.845]</t>
  </si>
  <si>
    <t xml:space="preserve">[1.095, 1.436]</t>
  </si>
  <si>
    <t xml:space="preserve">[0.555, 1.270]</t>
  </si>
  <si>
    <t xml:space="preserve">Adjusted regression - matched cohort (Diabetes_vs_Control) (covariates: Age_Years, Preop_SEQ_D, Preop_Pachymetry_um)</t>
  </si>
  <si>
    <t xml:space="preserve">beta = -14.49 [-38.10, 9.13]</t>
  </si>
  <si>
    <t xml:space="preserve">0.229</t>
  </si>
  <si>
    <t xml:space="preserve">210</t>
  </si>
  <si>
    <t xml:space="preserve">beta = -0.18 [-0.29, -0.06]</t>
  </si>
  <si>
    <t xml:space="preserve">0.003</t>
  </si>
  <si>
    <t xml:space="preserve">beta = -0.02 [-0.07, 0.04]</t>
  </si>
  <si>
    <t xml:space="preserve">0.542</t>
  </si>
  <si>
    <t xml:space="preserve">0.155</t>
  </si>
  <si>
    <t xml:space="preserve">OR = 2.56 [1.31, 5.03]</t>
  </si>
  <si>
    <t xml:space="preserve">0.006</t>
  </si>
  <si>
    <t xml:space="preserve">210 (46 events)</t>
  </si>
  <si>
    <t xml:space="preserve">OR = 1.01 [0.31, 3.36]</t>
  </si>
  <si>
    <t xml:space="preserve">0.981</t>
  </si>
  <si>
    <t xml:space="preserve">210 (12 events)</t>
  </si>
  <si>
    <t xml:space="preserve">CAUTION: only 12 eyes in the smaller outcome class for 4 parameters (&lt;10 per parameter) - possible overfitting</t>
  </si>
  <si>
    <t xml:space="preserve">[-141.529, 412.832]</t>
  </si>
  <si>
    <t xml:space="preserve">Linear GEE (beta), working correlation: independence (weighted)</t>
  </si>
  <si>
    <t xml:space="preserve">[-38.103, 9.130]</t>
  </si>
  <si>
    <t xml:space="preserve">[-0.932, 4.168]</t>
  </si>
  <si>
    <t xml:space="preserve">[-8.608, 4.501]</t>
  </si>
  <si>
    <t xml:space="preserve">[-0.534, 0.475]</t>
  </si>
  <si>
    <t xml:space="preserve">[-0.824, 1.576]</t>
  </si>
  <si>
    <t xml:space="preserve">[-0.292, -0.062]</t>
  </si>
  <si>
    <t xml:space="preserve">[-0.005, 0.018]</t>
  </si>
  <si>
    <t xml:space="preserve">[-0.022, 0.032]</t>
  </si>
  <si>
    <t xml:space="preserve">[-0.721, 0.326]</t>
  </si>
  <si>
    <t xml:space="preserve">[-0.069, 0.036]</t>
  </si>
  <si>
    <t xml:space="preserve">[0.000, 0.012]</t>
  </si>
  <si>
    <t xml:space="preserve">[-0.361, -0.063]</t>
  </si>
  <si>
    <t xml:space="preserve">[0.038, 0.067]</t>
  </si>
  <si>
    <t xml:space="preserve">[-0.003, 0.000]</t>
  </si>
  <si>
    <t xml:space="preserve">[-0.008, 0.001]</t>
  </si>
  <si>
    <t xml:space="preserve">[-0.200, -0.023]</t>
  </si>
  <si>
    <t xml:space="preserve">[-0.002, 0.000]</t>
  </si>
  <si>
    <t xml:space="preserve">[-0.005, -0.000]</t>
  </si>
  <si>
    <t xml:space="preserve">[0.000, 0.000]</t>
  </si>
  <si>
    <t xml:space="preserve">[0.000, 3286.280]</t>
  </si>
  <si>
    <t xml:space="preserve">Logistic GEE (OR), working correlation: independence (weighted)</t>
  </si>
  <si>
    <t xml:space="preserve">[1.306, 5.029]</t>
  </si>
  <si>
    <t xml:space="preserve">[0.955, 1.121]</t>
  </si>
  <si>
    <t xml:space="preserve">[0.839, 1.222]</t>
  </si>
  <si>
    <t xml:space="preserve">[0.979, 1.010]</t>
  </si>
  <si>
    <t xml:space="preserve">[0.000, 160.258]</t>
  </si>
  <si>
    <t xml:space="preserve">[0.307, 3.356]</t>
  </si>
  <si>
    <t xml:space="preserve">[1.114, 1.501]</t>
  </si>
  <si>
    <t xml:space="preserve">[0.549, 1.273]</t>
  </si>
  <si>
    <t xml:space="preserve">[0.963, 1.010]</t>
  </si>
  <si>
    <t xml:space="preserve">NOTE: the matched cohort carries non-unit matching weights (0.75-1.5). Descriptives and the table tests are weighted by the MatchIt weights (weighted Wald test, GEE robust SE); n = matched rows, ESS = effective sample size. The GEE / adjusted-regression columns are weighted too. Within-group sections and the mEYEstro / AstigMATIC tabs list the matched rows unweighted.</t>
  </si>
  <si>
    <t xml:space="preserve">Baseline (matched)</t>
  </si>
  <si>
    <t xml:space="preserve">Control (n = 126 eyes; 95 patients, ESS = 112)</t>
  </si>
  <si>
    <t xml:space="preserve">Diabetes (n = 84 eyes; 59 patients, ESS = 84)</t>
  </si>
  <si>
    <t xml:space="preserve">35.77 ± 4.98</t>
  </si>
  <si>
    <t xml:space="preserve">36.31 ± 4.95</t>
  </si>
  <si>
    <t xml:space="preserve">0.524</t>
  </si>
  <si>
    <t xml:space="preserve">Weighted Wald test (GEE, robust SE)</t>
  </si>
  <si>
    <t xml:space="preserve">No significant difference between groups.</t>
  </si>
  <si>
    <t xml:space="preserve">β = 0.185 [-1.428, 1.797]</t>
  </si>
  <si>
    <t xml:space="preserve">0.823</t>
  </si>
  <si>
    <t xml:space="preserve">-4.26 ± 1.89</t>
  </si>
  <si>
    <t xml:space="preserve">-4.28 ± 1.85</t>
  </si>
  <si>
    <t xml:space="preserve">0.940</t>
  </si>
  <si>
    <t xml:space="preserve">β = -0.020 [-0.550, 0.509]</t>
  </si>
  <si>
    <t xml:space="preserve">-3.93 ± 1.91</t>
  </si>
  <si>
    <t xml:space="preserve">-3.92 ± 1.88</t>
  </si>
  <si>
    <t xml:space="preserve">0.983</t>
  </si>
  <si>
    <t xml:space="preserve">β = 0.006 [-0.535, 0.547]</t>
  </si>
  <si>
    <t xml:space="preserve">-0.66 ± 0.55</t>
  </si>
  <si>
    <t xml:space="preserve">-0.71 ± 0.6</t>
  </si>
  <si>
    <t xml:space="preserve">β = -0.049 [-0.200, 0.102]</t>
  </si>
  <si>
    <t xml:space="preserve">1.09 ± 0.22</t>
  </si>
  <si>
    <t xml:space="preserve">1.09 ± 0.23</t>
  </si>
  <si>
    <t xml:space="preserve">0.960</t>
  </si>
  <si>
    <t xml:space="preserve">β = 0.002 [-0.061, 0.064]</t>
  </si>
  <si>
    <t xml:space="preserve">0 ± 0.03</t>
  </si>
  <si>
    <t xml:space="preserve">0.254</t>
  </si>
  <si>
    <t xml:space="preserve">β = 0.005 [-0.004, 0.014]</t>
  </si>
  <si>
    <t xml:space="preserve">538.67 ± 26.86</t>
  </si>
  <si>
    <t xml:space="preserve">537.17 ± 24.74</t>
  </si>
  <si>
    <t xml:space="preserve">0.702</t>
  </si>
  <si>
    <t xml:space="preserve">β = -1.500 [-9.187, 6.187]</t>
  </si>
  <si>
    <t xml:space="preserve">43.72 ± 1.39</t>
  </si>
  <si>
    <t xml:space="preserve">43.48 ± 1.4</t>
  </si>
  <si>
    <t xml:space="preserve">0.210</t>
  </si>
  <si>
    <t xml:space="preserve">β = -0.241 [-0.617, 0.136]</t>
  </si>
  <si>
    <t xml:space="preserve">1 [0–1]</t>
  </si>
  <si>
    <t xml:space="preserve">0.307</t>
  </si>
  <si>
    <t xml:space="preserve">Weighted Wald test on ranks (GEE, robust SE)</t>
  </si>
  <si>
    <t xml:space="preserve">52.9/95.2 (55.5%)</t>
  </si>
  <si>
    <t xml:space="preserve">34/59 (57.6%)</t>
  </si>
  <si>
    <t xml:space="preserve">0.801</t>
  </si>
  <si>
    <t xml:space="preserve">OR = 0.930 [0.460, 1.881]</t>
  </si>
  <si>
    <t xml:space="preserve">0.840</t>
  </si>
  <si>
    <t xml:space="preserve">28.9/95.2 (30.3%)</t>
  </si>
  <si>
    <t xml:space="preserve">9/59 (15.3%)</t>
  </si>
  <si>
    <t xml:space="preserve">0.043</t>
  </si>
  <si>
    <t xml:space="preserve">Significant difference between groups.</t>
  </si>
  <si>
    <t xml:space="preserve">OR = 0.376 [0.153, 0.922]</t>
  </si>
  <si>
    <t xml:space="preserve">0.033</t>
  </si>
  <si>
    <t xml:space="preserve">43.5/126 (34.5%)</t>
  </si>
  <si>
    <t xml:space="preserve">27/84 (32.1%)</t>
  </si>
  <si>
    <t xml:space="preserve">Not available with matching weights</t>
  </si>
  <si>
    <t xml:space="preserve">Not estimable - no weighted test for a categorical variable with more than two levels.</t>
  </si>
  <si>
    <t xml:space="preserve">57.8/126 (45.8%)</t>
  </si>
  <si>
    <t xml:space="preserve">31/84 (36.9%)</t>
  </si>
  <si>
    <t xml:space="preserve">24.8/126 (19.6%)</t>
  </si>
  <si>
    <t xml:space="preserve">26/84 (31%)</t>
  </si>
  <si>
    <t xml:space="preserve">Preoperative / intraoperative (matched)</t>
  </si>
  <si>
    <t xml:space="preserve">6.53 ± 0.29</t>
  </si>
  <si>
    <t xml:space="preserve">6.46 ± 0.31</t>
  </si>
  <si>
    <t xml:space="preserve">0.109</t>
  </si>
  <si>
    <t xml:space="preserve">β = -0.067 [-0.149, 0.015]</t>
  </si>
  <si>
    <t xml:space="preserve">65.89 ± 26.74</t>
  </si>
  <si>
    <t xml:space="preserve">65.35 ± 27.1</t>
  </si>
  <si>
    <t xml:space="preserve">0.888</t>
  </si>
  <si>
    <t xml:space="preserve">β = -0.542 [-8.079, 6.996]</t>
  </si>
  <si>
    <t xml:space="preserve">52.5/126 (41.7%)</t>
  </si>
  <si>
    <t xml:space="preserve">33/84 (39.3%)</t>
  </si>
  <si>
    <t xml:space="preserve">55.5/126 (44%)</t>
  </si>
  <si>
    <t xml:space="preserve">32/84 (38.1%)</t>
  </si>
  <si>
    <t xml:space="preserve">18/126 (14.3%)</t>
  </si>
  <si>
    <t xml:space="preserve">19/84 (22.6%)</t>
  </si>
  <si>
    <t xml:space="preserve">186.46 ± 88.04</t>
  </si>
  <si>
    <t xml:space="preserve">172.36 ± 74.12</t>
  </si>
  <si>
    <t xml:space="preserve">0.246</t>
  </si>
  <si>
    <t xml:space="preserve">β = -14.101 [-37.911, 9.709]</t>
  </si>
  <si>
    <t xml:space="preserve">0.03 ± 0.31</t>
  </si>
  <si>
    <t xml:space="preserve">-0.14 ± 0.46</t>
  </si>
  <si>
    <t xml:space="preserve">0.004</t>
  </si>
  <si>
    <t xml:space="preserve">β = -0.174 [-0.291, -0.057]</t>
  </si>
  <si>
    <t xml:space="preserve">-0.23 ± 0.19</t>
  </si>
  <si>
    <t xml:space="preserve">0.583</t>
  </si>
  <si>
    <t xml:space="preserve">β = -0.015 [-0.068, 0.038]</t>
  </si>
  <si>
    <t xml:space="preserve">0.01 ± 0.05</t>
  </si>
  <si>
    <t xml:space="preserve">0.06 ± 0.05</t>
  </si>
  <si>
    <t xml:space="preserve">β = 0.052 [0.037, 0.067]</t>
  </si>
  <si>
    <t xml:space="preserve">0.196</t>
  </si>
  <si>
    <t xml:space="preserve">β = 0.006 [-0.003, 0.016]</t>
  </si>
  <si>
    <t xml:space="preserve">0.009</t>
  </si>
  <si>
    <t xml:space="preserve">4 [4–5] (n = 124)</t>
  </si>
  <si>
    <t xml:space="preserve">4 [3–5] (n = 81)</t>
  </si>
  <si>
    <t xml:space="preserve">0.166</t>
  </si>
  <si>
    <t xml:space="preserve">19.5/126 (15.5%)</t>
  </si>
  <si>
    <t xml:space="preserve">OR = 2.587 [1.318, 5.079]</t>
  </si>
  <si>
    <t xml:space="preserve">8.2/126 (6.5%)</t>
  </si>
  <si>
    <t xml:space="preserve">6/84 (7.1%)</t>
  </si>
  <si>
    <t xml:space="preserve">0.883</t>
  </si>
  <si>
    <t xml:space="preserve">OR = 1.098 [0.317, 3.808]</t>
  </si>
  <si>
    <t xml:space="preserve">4.5/126 (3.6%)</t>
  </si>
  <si>
    <t xml:space="preserve">3/126 (2.4%)</t>
  </si>
  <si>
    <t xml:space="preserve">3/84 (3.6%)</t>
  </si>
  <si>
    <t xml:space="preserve">6/126 (4.8%)</t>
  </si>
  <si>
    <t xml:space="preserve">5/84 (6%)</t>
  </si>
  <si>
    <t xml:space="preserve">112.5/126 (89.3%)</t>
  </si>
  <si>
    <t xml:space="preserve">70/84 (83.3%)</t>
  </si>
  <si>
    <t xml:space="preserve">NE</t>
  </si>
  <si>
    <t xml:space="preserve">NE = not estimable (no P value):</t>
  </si>
  <si>
    <t xml:space="preserve">- no weighted test for a categorical variable with more than two levels: Surgeon; Procedure; Complication Type.</t>
  </si>
  <si>
    <t xml:space="preserve">P0001</t>
  </si>
  <si>
    <t xml:space="preserve">P0002</t>
  </si>
  <si>
    <t xml:space="preserve">P0008</t>
  </si>
  <si>
    <t xml:space="preserve">P0011</t>
  </si>
  <si>
    <t xml:space="preserve">P0014</t>
  </si>
  <si>
    <t xml:space="preserve">P0016</t>
  </si>
  <si>
    <t xml:space="preserve">P0017</t>
  </si>
  <si>
    <t xml:space="preserve">P0018</t>
  </si>
  <si>
    <t xml:space="preserve">P0019</t>
  </si>
  <si>
    <t xml:space="preserve">P0020</t>
  </si>
  <si>
    <t xml:space="preserve">P0024</t>
  </si>
  <si>
    <t xml:space="preserve">P0025</t>
  </si>
  <si>
    <t xml:space="preserve">P0027</t>
  </si>
  <si>
    <t xml:space="preserve">P0028</t>
  </si>
  <si>
    <t xml:space="preserve">P0033</t>
  </si>
  <si>
    <t xml:space="preserve">P0036</t>
  </si>
  <si>
    <t xml:space="preserve">P0043</t>
  </si>
  <si>
    <t xml:space="preserve">P0044</t>
  </si>
  <si>
    <t xml:space="preserve">P0046</t>
  </si>
  <si>
    <t xml:space="preserve">P0049</t>
  </si>
  <si>
    <t xml:space="preserve">P0052</t>
  </si>
  <si>
    <t xml:space="preserve">P0054</t>
  </si>
  <si>
    <t xml:space="preserve">P0058</t>
  </si>
  <si>
    <t xml:space="preserve">P0061</t>
  </si>
  <si>
    <t xml:space="preserve">P0063</t>
  </si>
  <si>
    <t xml:space="preserve">P0064</t>
  </si>
  <si>
    <t xml:space="preserve">P0065</t>
  </si>
  <si>
    <t xml:space="preserve">P0066</t>
  </si>
  <si>
    <t xml:space="preserve">P0067</t>
  </si>
  <si>
    <t xml:space="preserve">P0070</t>
  </si>
  <si>
    <t xml:space="preserve">P0075</t>
  </si>
  <si>
    <t xml:space="preserve">P0076</t>
  </si>
  <si>
    <t xml:space="preserve">P0078</t>
  </si>
  <si>
    <t xml:space="preserve">P0079</t>
  </si>
  <si>
    <t xml:space="preserve">P0080</t>
  </si>
  <si>
    <t xml:space="preserve">P0081</t>
  </si>
  <si>
    <t xml:space="preserve">P0083</t>
  </si>
  <si>
    <t xml:space="preserve">P0086</t>
  </si>
  <si>
    <t xml:space="preserve">P0089</t>
  </si>
  <si>
    <t xml:space="preserve">P0091</t>
  </si>
  <si>
    <t xml:space="preserve">P0092</t>
  </si>
  <si>
    <t xml:space="preserve">P0101</t>
  </si>
  <si>
    <t xml:space="preserve">P0102</t>
  </si>
  <si>
    <t xml:space="preserve">P0106</t>
  </si>
  <si>
    <t xml:space="preserve">P0117</t>
  </si>
  <si>
    <t xml:space="preserve">P0118</t>
  </si>
  <si>
    <t xml:space="preserve">P0120</t>
  </si>
  <si>
    <t xml:space="preserve">P0122</t>
  </si>
  <si>
    <t xml:space="preserve">P0123</t>
  </si>
  <si>
    <t xml:space="preserve">P0126</t>
  </si>
  <si>
    <t xml:space="preserve">P0129</t>
  </si>
  <si>
    <t xml:space="preserve">P0133</t>
  </si>
  <si>
    <t xml:space="preserve">P0135</t>
  </si>
  <si>
    <t xml:space="preserve">P0138</t>
  </si>
  <si>
    <t xml:space="preserve">P0149</t>
  </si>
  <si>
    <t xml:space="preserve">P0154</t>
  </si>
  <si>
    <t xml:space="preserve">P0155</t>
  </si>
  <si>
    <t xml:space="preserve">P0156</t>
  </si>
  <si>
    <t xml:space="preserve">P0160</t>
  </si>
  <si>
    <t xml:space="preserve">P0164</t>
  </si>
  <si>
    <t xml:space="preserve">P0167</t>
  </si>
  <si>
    <t xml:space="preserve">P0168</t>
  </si>
  <si>
    <t xml:space="preserve">P0169</t>
  </si>
  <si>
    <t xml:space="preserve">P0170</t>
  </si>
  <si>
    <t xml:space="preserve">P0172</t>
  </si>
  <si>
    <t xml:space="preserve">P0174</t>
  </si>
  <si>
    <t xml:space="preserve">P0186</t>
  </si>
  <si>
    <t xml:space="preserve">P0187</t>
  </si>
  <si>
    <t xml:space="preserve">P0189</t>
  </si>
  <si>
    <t xml:space="preserve">P0199</t>
  </si>
  <si>
    <t xml:space="preserve">P0200</t>
  </si>
  <si>
    <t xml:space="preserve">P0202</t>
  </si>
  <si>
    <t xml:space="preserve">P0204</t>
  </si>
  <si>
    <t xml:space="preserve">P0205</t>
  </si>
  <si>
    <t xml:space="preserve">P0210</t>
  </si>
  <si>
    <t xml:space="preserve">P0211</t>
  </si>
  <si>
    <t xml:space="preserve">P0215</t>
  </si>
  <si>
    <t xml:space="preserve">P0217</t>
  </si>
  <si>
    <t xml:space="preserve">P0219</t>
  </si>
  <si>
    <t xml:space="preserve">P0224</t>
  </si>
  <si>
    <t xml:space="preserve">P0225</t>
  </si>
  <si>
    <t xml:space="preserve">P0233</t>
  </si>
  <si>
    <t xml:space="preserve">P0234</t>
  </si>
  <si>
    <t xml:space="preserve">P0238</t>
  </si>
  <si>
    <t xml:space="preserve">P0241</t>
  </si>
  <si>
    <t xml:space="preserve">P0242</t>
  </si>
  <si>
    <t xml:space="preserve">P0245</t>
  </si>
  <si>
    <t xml:space="preserve">P0247</t>
  </si>
  <si>
    <t xml:space="preserve">P0249</t>
  </si>
  <si>
    <t xml:space="preserve">P0250</t>
  </si>
  <si>
    <t xml:space="preserve">P0257</t>
  </si>
  <si>
    <t xml:space="preserve">P0258</t>
  </si>
  <si>
    <t xml:space="preserve">P0260</t>
  </si>
  <si>
    <t xml:space="preserve">P0271</t>
  </si>
  <si>
    <t xml:space="preserve">P0272</t>
  </si>
  <si>
    <t xml:space="preserve">P0273</t>
  </si>
  <si>
    <t xml:space="preserve">P0276</t>
  </si>
  <si>
    <t xml:space="preserve">P0277</t>
  </si>
  <si>
    <t xml:space="preserve">P0279</t>
  </si>
  <si>
    <t xml:space="preserve">P0288</t>
  </si>
  <si>
    <t xml:space="preserve">P0294</t>
  </si>
  <si>
    <t xml:space="preserve">P0298</t>
  </si>
  <si>
    <t xml:space="preserve">P0299</t>
  </si>
  <si>
    <t xml:space="preserve">P0303</t>
  </si>
  <si>
    <t xml:space="preserve">P0312</t>
  </si>
  <si>
    <t xml:space="preserve">P0313</t>
  </si>
  <si>
    <t xml:space="preserve">P0319</t>
  </si>
  <si>
    <t xml:space="preserve">[32.572, 34.588]</t>
  </si>
  <si>
    <t xml:space="preserve">[-1.786, 1.645]</t>
  </si>
  <si>
    <t xml:space="preserve">[-4.885, -4.231]</t>
  </si>
  <si>
    <t xml:space="preserve">[-0.579, 0.331]</t>
  </si>
  <si>
    <t xml:space="preserve">[-4.579, -3.907]</t>
  </si>
  <si>
    <t xml:space="preserve">[-0.603, 0.315]</t>
  </si>
  <si>
    <t xml:space="preserve">[-0.708, -0.539]</t>
  </si>
  <si>
    <t xml:space="preserve">[-0.078, 0.156]</t>
  </si>
  <si>
    <t xml:space="preserve">[1.088, 1.168]</t>
  </si>
  <si>
    <t xml:space="preserve">[-0.049, 0.062]</t>
  </si>
  <si>
    <t xml:space="preserve">[-0.017, -0.006]</t>
  </si>
  <si>
    <t xml:space="preserve">[-0.011, 0.005]</t>
  </si>
  <si>
    <t xml:space="preserve">[534.788, 543.363]</t>
  </si>
  <si>
    <t xml:space="preserve">[-7.154, 5.852]</t>
  </si>
  <si>
    <t xml:space="preserve">[43.415, 43.903]</t>
  </si>
  <si>
    <t xml:space="preserve">[-0.209, 0.486]</t>
  </si>
  <si>
    <t xml:space="preserve">[1.022, 2.273]</t>
  </si>
  <si>
    <t xml:space="preserve">[0.374, 1.341]</t>
  </si>
  <si>
    <t xml:space="preserve">[0.257, 0.636]</t>
  </si>
  <si>
    <t xml:space="preserve">[0.176, 0.945]</t>
  </si>
  <si>
    <t xml:space="preserve">[6.469, 6.568]</t>
  </si>
  <si>
    <t xml:space="preserve">[-0.079, 0.057]</t>
  </si>
  <si>
    <t xml:space="preserve">[65.014, 74.052]</t>
  </si>
  <si>
    <t xml:space="preserve">[-5.337, 7.441]</t>
  </si>
  <si>
    <t xml:space="preserve">[176.810, 205.690]</t>
  </si>
  <si>
    <t xml:space="preserve">[-28.842, 14.889]</t>
  </si>
  <si>
    <t xml:space="preserve">[-0.045, 0.064]</t>
  </si>
  <si>
    <t xml:space="preserve">[-0.237, -0.060]</t>
  </si>
  <si>
    <t xml:space="preserve">[-0.240, -0.186]</t>
  </si>
  <si>
    <t xml:space="preserve">[-0.054, 0.037]</t>
  </si>
  <si>
    <t xml:space="preserve">[-0.007, 0.012]</t>
  </si>
  <si>
    <t xml:space="preserve">[0.004, 0.031]</t>
  </si>
  <si>
    <t xml:space="preserve">[-0.020, -0.007]</t>
  </si>
  <si>
    <t xml:space="preserve">[-0.010, 0.007]</t>
  </si>
  <si>
    <t xml:space="preserve">[0.128, 0.286]</t>
  </si>
  <si>
    <t xml:space="preserve">[3.089, 9.568]</t>
  </si>
  <si>
    <t xml:space="preserve">[0.013, 0.093]</t>
  </si>
  <si>
    <t xml:space="preserve">[0.587, 7.309]</t>
  </si>
  <si>
    <t xml:space="preserve">[32.387, 36.273]</t>
  </si>
  <si>
    <t xml:space="preserve">[-1.765, 1.664]</t>
  </si>
  <si>
    <t xml:space="preserve">[-0.243, 0.572]</t>
  </si>
  <si>
    <t xml:space="preserve">[-6.518, -3.725]</t>
  </si>
  <si>
    <t xml:space="preserve">[-0.575, 0.330]</t>
  </si>
  <si>
    <t xml:space="preserve">[-0.025, 0.059]</t>
  </si>
  <si>
    <t xml:space="preserve">[0.124, 0.510]</t>
  </si>
  <si>
    <t xml:space="preserve">[-0.080, 0.041]</t>
  </si>
  <si>
    <t xml:space="preserve">[-0.005, 0.006]</t>
  </si>
  <si>
    <t xml:space="preserve">[0.988, 1.020]</t>
  </si>
  <si>
    <t xml:space="preserve">[-1.046, -0.271]</t>
  </si>
  <si>
    <t xml:space="preserve">[-0.079, 0.155]</t>
  </si>
  <si>
    <t xml:space="preserve">[-0.010, 0.011]</t>
  </si>
  <si>
    <t xml:space="preserve">[-0.036, 0.027]</t>
  </si>
  <si>
    <t xml:space="preserve">[0.580, 0.733]</t>
  </si>
  <si>
    <t xml:space="preserve">[-0.032, 0.017]</t>
  </si>
  <si>
    <t xml:space="preserve">[-0.117, -0.102]</t>
  </si>
  <si>
    <t xml:space="preserve">[-0.055, -0.003]</t>
  </si>
  <si>
    <t xml:space="preserve">[-0.011, 0.004]</t>
  </si>
  <si>
    <t xml:space="preserve">[495.282, 536.637]</t>
  </si>
  <si>
    <t xml:space="preserve">[-7.203, 5.780]</t>
  </si>
  <si>
    <t xml:space="preserve">[0.049, 1.106]</t>
  </si>
  <si>
    <t xml:space="preserve">[-2.811, 1.175]</t>
  </si>
  <si>
    <t xml:space="preserve">[42.085, 44.190]</t>
  </si>
  <si>
    <t xml:space="preserve">[-0.211, 0.485]</t>
  </si>
  <si>
    <t xml:space="preserve">[-0.016, 0.042]</t>
  </si>
  <si>
    <t xml:space="preserve">[-0.105, 0.066]</t>
  </si>
  <si>
    <t xml:space="preserve">[0.131, 6.199]</t>
  </si>
  <si>
    <t xml:space="preserve">[0.375, 1.362]</t>
  </si>
  <si>
    <t xml:space="preserve">[0.978, 1.088]</t>
  </si>
  <si>
    <t xml:space="preserve">[0.958, 1.305]</t>
  </si>
  <si>
    <t xml:space="preserve">[0.009, 1.557]</t>
  </si>
  <si>
    <t xml:space="preserve">[0.172, 0.964]</t>
  </si>
  <si>
    <t xml:space="preserve">[0.973, 1.120]</t>
  </si>
  <si>
    <t xml:space="preserve">[0.882, 1.265]</t>
  </si>
  <si>
    <t xml:space="preserve">[6.282, 6.742]</t>
  </si>
  <si>
    <t xml:space="preserve">[-0.006, 0.007]</t>
  </si>
  <si>
    <t xml:space="preserve">[-0.020, 0.024]</t>
  </si>
  <si>
    <t xml:space="preserve">[-0.882, 11.414]</t>
  </si>
  <si>
    <t xml:space="preserve">[-2.430, 1.158]</t>
  </si>
  <si>
    <t xml:space="preserve">[-0.099, 0.219]</t>
  </si>
  <si>
    <t xml:space="preserve">[-14.173, -13.144]</t>
  </si>
  <si>
    <t xml:space="preserve">[83.314, 245.876]</t>
  </si>
  <si>
    <t xml:space="preserve">[-29.342, 14.440]</t>
  </si>
  <si>
    <t xml:space="preserve">[-1.997, 2.506]</t>
  </si>
  <si>
    <t xml:space="preserve">[-9.966, 2.014]</t>
  </si>
  <si>
    <t xml:space="preserve">[-0.262, 0.324]</t>
  </si>
  <si>
    <t xml:space="preserve">[-0.237, -0.059]</t>
  </si>
  <si>
    <t xml:space="preserve">[-0.008, 0.008]</t>
  </si>
  <si>
    <t xml:space="preserve">[-0.022, 0.030]</t>
  </si>
  <si>
    <t xml:space="preserve">[-0.314, -0.016]</t>
  </si>
  <si>
    <t xml:space="preserve">[-0.053, 0.039]</t>
  </si>
  <si>
    <t xml:space="preserve">[-0.004, 0.004]</t>
  </si>
  <si>
    <t xml:space="preserve">[-0.002, 0.022]</t>
  </si>
  <si>
    <t xml:space="preserve">[-0.083, 0.002]</t>
  </si>
  <si>
    <t xml:space="preserve">[0.004, 0.030]</t>
  </si>
  <si>
    <t xml:space="preserve">[-0.000, 0.002]</t>
  </si>
  <si>
    <t xml:space="preserve">[-0.061, -0.002]</t>
  </si>
  <si>
    <t xml:space="preserve">[-0.011, 0.007]</t>
  </si>
  <si>
    <t xml:space="preserve">[0.046, 1.543]</t>
  </si>
  <si>
    <t xml:space="preserve">[3.077, 9.577]</t>
  </si>
  <si>
    <t xml:space="preserve">[0.935, 1.037]</t>
  </si>
  <si>
    <t xml:space="preserve">[0.814, 1.138]</t>
  </si>
  <si>
    <t xml:space="preserve">[0.000, 0.233]</t>
  </si>
  <si>
    <t xml:space="preserve">[0.655, 6.826]</t>
  </si>
  <si>
    <t xml:space="preserve">[0.917, 1.159]</t>
  </si>
  <si>
    <t xml:space="preserve">[0.430, 1.157]</t>
  </si>
  <si>
    <t xml:space="preserve">Adjusted regression - matched cohort (Autoimmune_vs_Control) (covariates: Age_Years, Preop_SEQ_D, Preop_Pachymetry_um)</t>
  </si>
  <si>
    <t xml:space="preserve">beta = -7.30 [-29.11, 14.51]</t>
  </si>
  <si>
    <t xml:space="preserve">0.512</t>
  </si>
  <si>
    <t xml:space="preserve">269</t>
  </si>
  <si>
    <t xml:space="preserve">beta = -0.15 [-0.24, -0.06]</t>
  </si>
  <si>
    <t xml:space="preserve">beta = -0.01 [-0.05, 0.04]</t>
  </si>
  <si>
    <t xml:space="preserve">0.747</t>
  </si>
  <si>
    <t xml:space="preserve">beta = 0.02 [0.00, 0.03]</t>
  </si>
  <si>
    <t xml:space="preserve">0.011</t>
  </si>
  <si>
    <t xml:space="preserve">0.667</t>
  </si>
  <si>
    <t xml:space="preserve">OR = 5.43 [3.07, 9.58]</t>
  </si>
  <si>
    <t xml:space="preserve">269 (83 events)</t>
  </si>
  <si>
    <t xml:space="preserve">OR = 2.05 [0.62, 6.84]</t>
  </si>
  <si>
    <t xml:space="preserve">0.242</t>
  </si>
  <si>
    <t xml:space="preserve">269 (11 events)</t>
  </si>
  <si>
    <t xml:space="preserve">CAUTION: only 11 eyes in the smaller outcome class for 4 parameters (&lt;10 per parameter) - possible overfitting</t>
  </si>
  <si>
    <t xml:space="preserve">[-191.011, 303.039]</t>
  </si>
  <si>
    <t xml:space="preserve">[-29.114, 14.512]</t>
  </si>
  <si>
    <t xml:space="preserve">[-2.096, 2.361]</t>
  </si>
  <si>
    <t xml:space="preserve">[-9.806, 2.197]</t>
  </si>
  <si>
    <t xml:space="preserve">[-0.226, 0.646]</t>
  </si>
  <si>
    <t xml:space="preserve">[-0.930, 0.691]</t>
  </si>
  <si>
    <t xml:space="preserve">[-0.022, 0.031]</t>
  </si>
  <si>
    <t xml:space="preserve">[-0.001, 0.002]</t>
  </si>
  <si>
    <t xml:space="preserve">[-0.293, 0.668]</t>
  </si>
  <si>
    <t xml:space="preserve">[-0.053, 0.038]</t>
  </si>
  <si>
    <t xml:space="preserve">[-0.003, 0.021]</t>
  </si>
  <si>
    <t xml:space="preserve">[-0.210, 0.068]</t>
  </si>
  <si>
    <t xml:space="preserve">[-0.149, 0.030]</t>
  </si>
  <si>
    <t xml:space="preserve">[0.001, 308.159]</t>
  </si>
  <si>
    <t xml:space="preserve">[3.074, 9.580]</t>
  </si>
  <si>
    <t xml:space="preserve">[0.935, 1.038]</t>
  </si>
  <si>
    <t xml:space="preserve">[0.815, 1.136]</t>
  </si>
  <si>
    <t xml:space="preserve">[0.987, 1.012]</t>
  </si>
  <si>
    <t xml:space="preserve">[0.001, 258363.223]</t>
  </si>
  <si>
    <t xml:space="preserve">[0.616, 6.844]</t>
  </si>
  <si>
    <t xml:space="preserve">[0.915, 1.177]</t>
  </si>
  <si>
    <t xml:space="preserve">[0.415, 1.154]</t>
  </si>
  <si>
    <t xml:space="preserve">[0.966, 1.000]</t>
  </si>
  <si>
    <t xml:space="preserve">NOTE: the matched cohort carries non-unit matching weights (0.769-1.54). Descriptives and the table tests are weighted by the MatchIt weights (weighted Wald test, GEE robust SE); n = matched rows, ESS = effective sample size. The GEE / adjusted-regression columns are weighted too. Within-group sections and the mEYEstro / AstigMATIC tabs list the matched rows unweighted.</t>
  </si>
  <si>
    <t xml:space="preserve">Control (n = 163 eyes; 128 patients, ESS = 145)</t>
  </si>
  <si>
    <t xml:space="preserve">Autoimmune (n = 106 eyes; 68 patients, ESS = 106)</t>
  </si>
  <si>
    <t xml:space="preserve">33.36 ± 5.8</t>
  </si>
  <si>
    <t xml:space="preserve">0.818</t>
  </si>
  <si>
    <t xml:space="preserve">β = -0.071 [-1.786, 1.645]</t>
  </si>
  <si>
    <t xml:space="preserve">0.936</t>
  </si>
  <si>
    <t xml:space="preserve">-4.56 ± 1.88</t>
  </si>
  <si>
    <t xml:space="preserve">-4.68 ± 1.63</t>
  </si>
  <si>
    <t xml:space="preserve">0.593</t>
  </si>
  <si>
    <t xml:space="preserve">β = -0.124 [-0.579, 0.331]</t>
  </si>
  <si>
    <t xml:space="preserve">-4.24 ± 1.9</t>
  </si>
  <si>
    <t xml:space="preserve">-4.39 ± 1.65</t>
  </si>
  <si>
    <t xml:space="preserve">0.539</t>
  </si>
  <si>
    <t xml:space="preserve">β = -0.144 [-0.603, 0.315]</t>
  </si>
  <si>
    <t xml:space="preserve">-0.62 ± 0.51</t>
  </si>
  <si>
    <t xml:space="preserve">-0.58 ± 0.45</t>
  </si>
  <si>
    <t xml:space="preserve">0.514</t>
  </si>
  <si>
    <t xml:space="preserve">β = 0.039 [-0.078, 0.156]</t>
  </si>
  <si>
    <t xml:space="preserve">1.13 ± 0.23</t>
  </si>
  <si>
    <t xml:space="preserve">0.816</t>
  </si>
  <si>
    <t xml:space="preserve">β = 0.007 [-0.049, 0.062]</t>
  </si>
  <si>
    <t xml:space="preserve">0.431</t>
  </si>
  <si>
    <t xml:space="preserve">β = -0.003 [-0.011, 0.005]</t>
  </si>
  <si>
    <t xml:space="preserve">539.08 ± 26.2</t>
  </si>
  <si>
    <t xml:space="preserve">538.42 ± 24.77</t>
  </si>
  <si>
    <t xml:space="preserve">0.844</t>
  </si>
  <si>
    <t xml:space="preserve">β = -0.651 [-7.154, 5.852]</t>
  </si>
  <si>
    <t xml:space="preserve">43.66 ± 1.47</t>
  </si>
  <si>
    <t xml:space="preserve">43.8 ± 1.24</t>
  </si>
  <si>
    <t xml:space="preserve">0.434</t>
  </si>
  <si>
    <t xml:space="preserve">β = 0.139 [-0.209, 0.486]</t>
  </si>
  <si>
    <t xml:space="preserve">76.5/126.5 (60.5%)</t>
  </si>
  <si>
    <t xml:space="preserve">0.168</t>
  </si>
  <si>
    <t xml:space="preserve">OR = 0.708 [0.374, 1.341]</t>
  </si>
  <si>
    <t xml:space="preserve">0.289</t>
  </si>
  <si>
    <t xml:space="preserve">31.9/126.5 (25.2%)</t>
  </si>
  <si>
    <t xml:space="preserve">0.099</t>
  </si>
  <si>
    <t xml:space="preserve">OR = 0.408 [0.176, 0.945]</t>
  </si>
  <si>
    <t xml:space="preserve">0.036</t>
  </si>
  <si>
    <t xml:space="preserve">66.1/163 (40.6%)</t>
  </si>
  <si>
    <t xml:space="preserve">44/106 (41.5%)</t>
  </si>
  <si>
    <t xml:space="preserve">65.4/163 (40.1%)</t>
  </si>
  <si>
    <t xml:space="preserve">36/106 (34%)</t>
  </si>
  <si>
    <t xml:space="preserve">31.5/163 (19.3%)</t>
  </si>
  <si>
    <t xml:space="preserve">26/106 (24.5%)</t>
  </si>
  <si>
    <t xml:space="preserve">6.52 ± 0.3</t>
  </si>
  <si>
    <t xml:space="preserve">β = -0.011 [-0.079, 0.057]</t>
  </si>
  <si>
    <t xml:space="preserve">69.53 ± 26.59</t>
  </si>
  <si>
    <t xml:space="preserve">70.58 ± 23.49</t>
  </si>
  <si>
    <t xml:space="preserve">β = 1.052 [-5.337, 7.441]</t>
  </si>
  <si>
    <t xml:space="preserve">66.9/163 (41%)</t>
  </si>
  <si>
    <t xml:space="preserve">55/106 (51.9%)</t>
  </si>
  <si>
    <t xml:space="preserve">69.2/163 (42.5%)</t>
  </si>
  <si>
    <t xml:space="preserve">34/106 (32.1%)</t>
  </si>
  <si>
    <t xml:space="preserve">26.9/163 (16.5%)</t>
  </si>
  <si>
    <t xml:space="preserve">17/106 (16%)</t>
  </si>
  <si>
    <t xml:space="preserve">191.25 ± 89.17</t>
  </si>
  <si>
    <t xml:space="preserve">184.27 ± 84.79</t>
  </si>
  <si>
    <t xml:space="preserve">0.532</t>
  </si>
  <si>
    <t xml:space="preserve">β = -6.976 [-28.842, 14.889]</t>
  </si>
  <si>
    <t xml:space="preserve">0.01 ± 0.33</t>
  </si>
  <si>
    <t xml:space="preserve">-0.14 ± 0.39</t>
  </si>
  <si>
    <t xml:space="preserve">β = -0.149 [-0.237, -0.060]</t>
  </si>
  <si>
    <t xml:space="preserve">0.722</t>
  </si>
  <si>
    <t xml:space="preserve">β = -0.008 [-0.054, 0.037]</t>
  </si>
  <si>
    <t xml:space="preserve">0 ± 0.06</t>
  </si>
  <si>
    <t xml:space="preserve">β = 0.018 [0.004, 0.031]</t>
  </si>
  <si>
    <t xml:space="preserve">0.705</t>
  </si>
  <si>
    <t xml:space="preserve">β = -0.002 [-0.010, 0.007]</t>
  </si>
  <si>
    <t xml:space="preserve">0.082</t>
  </si>
  <si>
    <t xml:space="preserve">4 [4–5] (n = 160)</t>
  </si>
  <si>
    <t xml:space="preserve">4 [3–5] (n = 103)</t>
  </si>
  <si>
    <t xml:space="preserve">26.1/163 (16%)</t>
  </si>
  <si>
    <t xml:space="preserve">54/106 (50.9%)</t>
  </si>
  <si>
    <t xml:space="preserve">OR = 5.437 [3.089, 9.568]</t>
  </si>
  <si>
    <t xml:space="preserve">5.4/163 (3.3%)</t>
  </si>
  <si>
    <t xml:space="preserve">7/106 (6.6%)</t>
  </si>
  <si>
    <t xml:space="preserve">0.258</t>
  </si>
  <si>
    <t xml:space="preserve">OR = 2.071 [0.587, 7.309]</t>
  </si>
  <si>
    <t xml:space="preserve">9.2/163 (5.7%)</t>
  </si>
  <si>
    <t xml:space="preserve">1/106 (0.9%)</t>
  </si>
  <si>
    <t xml:space="preserve">3.8/163 (2.4%)</t>
  </si>
  <si>
    <t xml:space="preserve">8.5/163 (5.2%)</t>
  </si>
  <si>
    <t xml:space="preserve">2/106 (1.9%)</t>
  </si>
  <si>
    <t xml:space="preserve">141.5/163 (86.8%)</t>
  </si>
  <si>
    <t xml:space="preserve">102/106 (96.2%)</t>
  </si>
  <si>
    <t xml:space="preserve">StandardEyes version</t>
  </si>
  <si>
    <t xml:space="preserve">not recorded (run from the command line)</t>
  </si>
  <si>
    <t xml:space="preserve">Build</t>
  </si>
  <si>
    <t xml:space="preserve">R version</t>
  </si>
  <si>
    <t xml:space="preserve">R version 4.5.2 (2025-10-31 ucrt)</t>
  </si>
  <si>
    <t xml:space="preserve">MatchIt</t>
  </si>
  <si>
    <t xml:space="preserve">4.7.2</t>
  </si>
  <si>
    <t xml:space="preserve">cobalt</t>
  </si>
  <si>
    <t xml:space="preserve">4.6.1</t>
  </si>
  <si>
    <t xml:space="preserve">geepack</t>
  </si>
  <si>
    <t xml:space="preserve">1.3.13</t>
  </si>
  <si>
    <t xml:space="preserve">ggplot2</t>
  </si>
  <si>
    <t xml:space="preserve">4.0.1</t>
  </si>
  <si>
    <t xml:space="preserve">openxlsx</t>
  </si>
  <si>
    <t xml:space="preserve">4.2.8.1</t>
  </si>
  <si>
    <t xml:space="preserve">Run time</t>
  </si>
  <si>
    <t xml:space="preserve">2026-10-02 22:40:09</t>
  </si>
  <si>
    <t xml:space="preserve">Input file</t>
  </si>
  <si>
    <t xml:space="preserve">Example_Refractive_Dataset.xlsx</t>
  </si>
  <si>
    <t xml:space="preserve">Sheet</t>
  </si>
  <si>
    <t xml:space="preserve">sheet 1 ('Surgeries')</t>
  </si>
  <si>
    <t xml:space="preserve">Input MD5 checksum</t>
  </si>
  <si>
    <t xml:space="preserve">90362219da759c9a1c04ef170ffca4ec</t>
  </si>
  <si>
    <t xml:space="preserve">Run / subset</t>
  </si>
  <si>
    <t xml:space="preserve">All (all rows)</t>
  </si>
  <si>
    <t xml:space="preserve">Rows analyzed</t>
  </si>
  <si>
    <t xml:space="preserve">Patient ID</t>
  </si>
  <si>
    <t xml:space="preserve">'PatientID'</t>
  </si>
  <si>
    <t xml:space="preserve">Control = 247; Diabetes = 113; Autoimmune = 109</t>
  </si>
  <si>
    <t xml:space="preserve">Filter rules</t>
  </si>
  <si>
    <t xml:space="preserve">4</t>
  </si>
  <si>
    <t xml:space="preserve">VA notation</t>
  </si>
  <si>
    <t xml:space="preserve">decimal (1.0 = 20/20)</t>
  </si>
  <si>
    <t xml:space="preserve">LogMAR conversion</t>
  </si>
  <si>
    <t xml:space="preserve">on: Preop_UDVA, Preop_CDVA, Postop_UDVA, Postop_CDVA</t>
  </si>
  <si>
    <t xml:space="preserve">Matching</t>
  </si>
  <si>
    <t xml:space="preserve">nearest-neighbour on the propensity score (MatchIt)</t>
  </si>
  <si>
    <t xml:space="preserve">Matching settings</t>
  </si>
  <si>
    <t xml:space="preserve">method nearest, distance logit, ratio 2, replacement off, caliper 0.2 (SD of the propensity score), order largest, seed 20250601</t>
  </si>
  <si>
    <t xml:space="preserve">Matching weights</t>
  </si>
  <si>
    <t xml:space="preserve">non-unit (0.75-1.54); used in the matched tables and in the matched GEE / regression (working correlation: independence (weighted))</t>
  </si>
  <si>
    <t xml:space="preserve">GEE stage</t>
  </si>
  <si>
    <t xml:space="preserve">both</t>
  </si>
  <si>
    <t xml:space="preserve">GEE adjustment covariates</t>
  </si>
  <si>
    <t xml:space="preserve">GEE columns in summary tables</t>
  </si>
  <si>
    <t xml:space="preserve">main GEE, in the unmatched and matched summary tables</t>
  </si>
  <si>
    <t xml:space="preserve">Regression</t>
  </si>
  <si>
    <t xml:space="preserve">on</t>
  </si>
  <si>
    <t xml:space="preserve">Minus-cyl standardization</t>
  </si>
  <si>
    <t xml:space="preserve">Astigmatism test</t>
  </si>
  <si>
    <t xml:space="preserve">robust (20%-trimmed mean vectors, pooled winsorized covariance; cluster bootstrap over patients B = 999, seed 20250601)</t>
  </si>
  <si>
    <t xml:space="preserve">mEYEstro intended refraction</t>
  </si>
  <si>
    <t xml:space="preserve">SEQ plano (no target SEQ mapped); no cylinder (no astigmatism target mapped); vertex distance 12 mm assumed</t>
  </si>
  <si>
    <t xml:space="preserve">mEYEstro refraction notation</t>
  </si>
  <si>
    <t xml:space="preserve">minus cylinder (plus-cylinder rows transposed in the tab only)</t>
  </si>
  <si>
    <t xml:space="preserve">Random seeds</t>
  </si>
  <si>
    <t xml:space="preserve">bootstrap and Monte-Carlo exact tests 20250601; matching 20250601 (fixed, set locally; identical settings give identical results)</t>
  </si>
  <si>
    <t xml:space="preserve">Figure p-values</t>
  </si>
  <si>
    <t xml:space="preserve">clustered by patient (GEE)</t>
  </si>
  <si>
    <t xml:space="preserve">Full name</t>
  </si>
  <si>
    <t xml:space="preserve">Manifest</t>
  </si>
  <si>
    <t xml:space="preserve">Versions, input checksum and settings of this run.</t>
  </si>
  <si>
    <t xml:space="preserve">Overview</t>
  </si>
  <si>
    <t xml:space="preserve">Initial data summary, notes and quality checks.</t>
  </si>
  <si>
    <t xml:space="preserve">Baseline &amp; Preop Summary</t>
  </si>
  <si>
    <t xml:space="preserve">Baseline and preoperative tables, with within-group sections.</t>
  </si>
  <si>
    <t xml:space="preserve">Outcome Summary</t>
  </si>
  <si>
    <t xml:space="preserve">Outcome comparisons (GEE / adjusted columns merged in when requested).</t>
  </si>
  <si>
    <t xml:space="preserve">Publication Table</t>
  </si>
  <si>
    <t xml:space="preserve">Manuscript-ready stacked table.</t>
  </si>
  <si>
    <t xml:space="preserve">mEYEstro_Control</t>
  </si>
  <si>
    <t xml:space="preserve">mEYEstro-format export of one group (all rows): copy columns E-S (15 columns, template order) into the mEYEstro template - yellow E-I preop refraction, vertex (12 mm), preop CDVA; green J-M intended refraction; red N-S postop refraction, vertex, postop CDVA, postop UDVA. Grey A-D (group, decimal acuities) and blue T (postop SEQ) are for reference only.</t>
  </si>
  <si>
    <t xml:space="preserve">mEYEstro_Diabetes</t>
  </si>
  <si>
    <t xml:space="preserve">mEYEstro_Autoimmune</t>
  </si>
  <si>
    <t xml:space="preserve">AstigMATIC_Control</t>
  </si>
  <si>
    <t xml:space="preserve">AstigMATIC input for one group (all rows): columns A-E (eye OD/OS, preop cylinder, preop axis, postop cylinder, postop axis) load directly into AstigMATIC; minus cylinder accepted.</t>
  </si>
  <si>
    <t xml:space="preserve">AstigMATIC_Diabetes</t>
  </si>
  <si>
    <t xml:space="preserve">AstigMATIC_Autoimmune</t>
  </si>
  <si>
    <t xml:space="preserve">GEE_Main_Unmatched_Base</t>
  </si>
  <si>
    <t xml:space="preserve">Clustered GEE, group as the only predictor.</t>
  </si>
  <si>
    <t xml:space="preserve">GEE_Main_Unmatched_Preop</t>
  </si>
  <si>
    <t xml:space="preserve">GEE_Main_Unmatched_Out</t>
  </si>
  <si>
    <t xml:space="preserve">GEE_Adj_Unmatched_Base</t>
  </si>
  <si>
    <t xml:space="preserve">Clustered GEE adjusted for the covariates listed per row and in the Manifest (a variable is never adjusted for itself).</t>
  </si>
  <si>
    <t xml:space="preserve">GEE_Adj_Unmatched_Preop</t>
  </si>
  <si>
    <t xml:space="preserve">GEE_Adj_Unmatched_Out</t>
  </si>
  <si>
    <t xml:space="preserve">Regression (adjusted)</t>
  </si>
  <si>
    <t xml:space="preserve">Covariate-adjusted models, with full-model appendix.</t>
  </si>
  <si>
    <t xml:space="preserve">PSM_Diabetes_vs_Control</t>
  </si>
  <si>
    <t xml:space="preserve">Matching (MatchIt): settings, covariates, balance and the matched rows.</t>
  </si>
  <si>
    <t xml:space="preserve">GEE_M_Diabetes_vs_Control</t>
  </si>
  <si>
    <t xml:space="preserve">Clustered GEE on the matched cohort.</t>
  </si>
  <si>
    <t xml:space="preserve">GEE_Adj_M_Diabetes_vs_Control</t>
  </si>
  <si>
    <t xml:space="preserve">Adjusted clustered GEE on the matched cohort (covariates listed per row and in the Manifest).</t>
  </si>
  <si>
    <t xml:space="preserve">Reg_M_Diabetes_vs_Control</t>
  </si>
  <si>
    <t xml:space="preserve">Covariate-adjusted models on the matched cohort.</t>
  </si>
  <si>
    <t xml:space="preserve">BasePreop_M_Diabetes_vs_Control</t>
  </si>
  <si>
    <t xml:space="preserve">Baseline and preop tables after matching.</t>
  </si>
  <si>
    <t xml:space="preserve">Out_M_Diabetes_vs_Control</t>
  </si>
  <si>
    <t xml:space="preserve">Outcome comparisons after matching.</t>
  </si>
  <si>
    <t xml:space="preserve">Pub_M_Diabetes_vs_Control</t>
  </si>
  <si>
    <t xml:space="preserve">Publication-style table for the matched cohort.</t>
  </si>
  <si>
    <t xml:space="preserve">mEYEstro_M_Control_Diabetes_vs_</t>
  </si>
  <si>
    <t xml:space="preserve">mEYEstro_M_Control_Diabetes_vs_Control</t>
  </si>
  <si>
    <t xml:space="preserve">mEYEstro-format export of one group of a matched pairing (matched rows, unweighted): copy columns E-S (15 columns, template order) into the mEYEstro template - yellow E-I preop refraction, vertex (12 mm), preop CDVA; green J-M intended refraction; red N-S postop refraction, vertex, postop CDVA, postop UDVA. Grey A-D (group, decimal acuities) and blue T (postop SEQ) are for reference only.</t>
  </si>
  <si>
    <t xml:space="preserve">mEYEstro_M_Diabetes_Diabetes_vs</t>
  </si>
  <si>
    <t xml:space="preserve">mEYEstro_M_Diabetes_Diabetes_vs_Control</t>
  </si>
  <si>
    <t xml:space="preserve">AstigMATIC_M_Control_Diabetes_v</t>
  </si>
  <si>
    <t xml:space="preserve">AstigMATIC_M_Control_Diabetes_vs_Control</t>
  </si>
  <si>
    <t xml:space="preserve">AstigMATIC input for one group of a matched pairing (matched rows, unweighted): columns A-E (eye OD/OS, preop cylinder, preop axis, postop cylinder, postop axis) load directly into AstigMATIC; minus cylinder accepted.</t>
  </si>
  <si>
    <t xml:space="preserve">AstigMATIC_M_Diabetes_Diabetes_</t>
  </si>
  <si>
    <t xml:space="preserve">AstigMATIC_M_Diabetes_Diabetes_vs_Control</t>
  </si>
  <si>
    <t xml:space="preserve">PSM_Autoimmune_vs_Control</t>
  </si>
  <si>
    <t xml:space="preserve">GEE_M_Autoimmune_vs_Control</t>
  </si>
  <si>
    <t xml:space="preserve">GEE_Adj_M_Autoimmune_vs_Control</t>
  </si>
  <si>
    <t xml:space="preserve">Reg_M_Autoimmune_vs_Control</t>
  </si>
  <si>
    <t xml:space="preserve">BasePreop_M_Autoimmune_vs_Contr</t>
  </si>
  <si>
    <t xml:space="preserve">BasePreop_M_Autoimmune_vs_Control</t>
  </si>
  <si>
    <t xml:space="preserve">Out_M_Autoimmune_vs_Control</t>
  </si>
  <si>
    <t xml:space="preserve">Pub_M_Autoimmune_vs_Control</t>
  </si>
  <si>
    <t xml:space="preserve">mEYEstro_M_Control_Autoimmune_v</t>
  </si>
  <si>
    <t xml:space="preserve">mEYEstro_M_Control_Autoimmune_vs_Control</t>
  </si>
  <si>
    <t xml:space="preserve">mEYEstro_M_Autoimmune_Autoimmun</t>
  </si>
  <si>
    <t xml:space="preserve">mEYEstro_M_Autoimmune_Autoimmune_vs_Control</t>
  </si>
  <si>
    <t xml:space="preserve">AstigMATIC_M_Control_Autoimmune</t>
  </si>
  <si>
    <t xml:space="preserve">AstigMATIC_M_Control_Autoimmune_vs_Control</t>
  </si>
  <si>
    <t xml:space="preserve">AstigMATIC_M_Autoimmune_Autoimm</t>
  </si>
  <si>
    <t xml:space="preserve">AstigMATIC_M_Autoimmune_Autoimmune_vs_Control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</si>
</sst>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6">
    <font>
      <sz val="11"/>
      <color rgb="FF000000"/>
      <name val="Calibri"/>
      <family val="2"/>
      <scheme val="minor"/>
    </font>
    <font>
      <sz val="12"/>
      <color rgb="FF000000"/>
      <name val="Calibri"/>
      <b/>
    </font>
    <font>
      <sz val="11"/>
      <color rgb="FF000000"/>
      <name val="Calibri"/>
    </font>
    <font>
      <sz val="11"/>
      <color rgb="FF000000"/>
      <name val="Calibri"/>
      <b/>
    </font>
    <font>
      <sz val="11"/>
      <color rgb="FFC00000"/>
      <name val="Calibri"/>
      <b/>
    </font>
    <font>
      <sz val="11"/>
      <color theme="10"/>
      <name val="Calibri"/>
      <u val="single"/>
    </font>
  </fonts>
  <fills count="8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D3D3D3"/>
      </patternFill>
    </fill>
    <fill>
      <patternFill patternType="solid">
        <fgColor rgb="FFFFFF99"/>
      </patternFill>
    </fill>
    <fill>
      <patternFill patternType="solid">
        <fgColor rgb="FFCCFFCC"/>
      </patternFill>
    </fill>
    <fill>
      <patternFill patternType="solid">
        <fgColor rgb="FFFF9999"/>
      </patternFill>
    </fill>
    <fill>
      <patternFill patternType="solid">
        <fgColor rgb="FF99CCFF"/>
      </patternFill>
    </fill>
  </fills>
  <borders count="2">
    <border>
      <left/>
      <right/>
      <top/>
      <bottom/>
      <diagonal/>
    </border>
    <border>
      <bottom style="thin">
        <color rgb="FF000000"/>
      </bottom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0" borderId="1" xfId="0" applyFont="1" applyBorder="1"/>
    <xf numFmtId="0" fontId="3" fillId="2" borderId="0" xfId="0" applyFont="1" applyFill="1"/>
    <xf numFmtId="0" fontId="3" fillId="3" borderId="0" xfId="0" applyFont="1" applyFill="1" applyAlignment="1">
      <alignment horizontal="center"/>
    </xf>
    <xf numFmtId="0" fontId="3" fillId="4" borderId="0" xfId="0" applyFont="1" applyFill="1" applyAlignment="1">
      <alignment horizontal="center"/>
    </xf>
    <xf numFmtId="0" fontId="3" fillId="5" borderId="0" xfId="0" applyFont="1" applyFill="1" applyAlignment="1">
      <alignment horizontal="center"/>
    </xf>
    <xf numFmtId="0" fontId="3" fillId="6" borderId="0" xfId="0" applyFont="1" applyFill="1" applyAlignment="1">
      <alignment horizontal="center"/>
    </xf>
    <xf numFmtId="0" fontId="3" fillId="7" borderId="0" xfId="0" applyFont="1" applyFill="1" applyAlignment="1">
      <alignment horizontal="center"/>
    </xf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worksheet" Target="worksheets/sheet36.xml"/><Relationship Id="rId37" Type="http://schemas.openxmlformats.org/officeDocument/2006/relationships/worksheet" Target="worksheets/sheet37.xml"/><Relationship Id="rId38" Type="http://schemas.openxmlformats.org/officeDocument/2006/relationships/worksheet" Target="worksheets/sheet38.xml"/><Relationship Id="rId39" Type="http://schemas.openxmlformats.org/officeDocument/2006/relationships/worksheet" Target="worksheets/sheet39.xml"/><Relationship Id="rId40" Type="http://schemas.openxmlformats.org/officeDocument/2006/relationships/worksheet" Target="worksheets/sheet40.xml"/><Relationship Id="rId41" Type="http://schemas.openxmlformats.org/officeDocument/2006/relationships/worksheet" Target="worksheets/sheet41.xml"/><Relationship Id="rId42" Type="http://schemas.openxmlformats.org/officeDocument/2006/relationships/theme" Target="theme/theme1.xml"/><Relationship Id="rId43" Type="http://schemas.openxmlformats.org/officeDocument/2006/relationships/styles" Target="styles.xml"/><Relationship Id="rId44" Type="http://schemas.openxmlformats.org/officeDocument/2006/relationships/sharedStrings" Target="sharedStrings.xml"/></Relationships>
</file>

<file path=xl/tables/table3.xml><?xml version="1.0" encoding="utf-8"?>
<table xmlns="http://schemas.openxmlformats.org/spreadsheetml/2006/main" id="3" name="Table3" displayName="Table3" ref="A1:E248" totalsRowCount="0" totalsRowShown="0">
  <autoFilter ref="A1:E248"/>
  <tableColumns count="5">
    <tableColumn id="1" name="Eye"/>
    <tableColumn id="2" name="preoperative cylinder"/>
    <tableColumn id="3" name="preoperative axis"/>
    <tableColumn id="4" name="postoperative cylinder"/>
    <tableColumn id="5" name="postoperative axis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id="4" name="Table4" displayName="Table4" ref="A1:E114" totalsRowCount="0" totalsRowShown="0">
  <autoFilter ref="A1:E114"/>
  <tableColumns count="5">
    <tableColumn id="1" name="Eye"/>
    <tableColumn id="2" name="preoperative cylinder"/>
    <tableColumn id="3" name="preoperative axis"/>
    <tableColumn id="4" name="postoperative cylinder"/>
    <tableColumn id="5" name="postoperative axis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E110" totalsRowCount="0" totalsRowShown="0">
  <autoFilter ref="A1:E110"/>
  <tableColumns count="5">
    <tableColumn id="1" name="Eye"/>
    <tableColumn id="2" name="preoperative cylinder"/>
    <tableColumn id="3" name="preoperative axis"/>
    <tableColumn id="4" name="postoperative cylinder"/>
    <tableColumn id="5" name="postoperative axis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E127" totalsRowCount="0" totalsRowShown="0">
  <autoFilter ref="A1:E127"/>
  <tableColumns count="5">
    <tableColumn id="1" name="Eye"/>
    <tableColumn id="2" name="preoperative cylinder"/>
    <tableColumn id="3" name="preoperative axis"/>
    <tableColumn id="4" name="postoperative cylinder"/>
    <tableColumn id="5" name="postoperative axis"/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id="7" name="Table7" displayName="Table7" ref="A1:E85" totalsRowCount="0" totalsRowShown="0">
  <autoFilter ref="A1:E85"/>
  <tableColumns count="5">
    <tableColumn id="1" name="Eye"/>
    <tableColumn id="2" name="preoperative cylinder"/>
    <tableColumn id="3" name="preoperative axis"/>
    <tableColumn id="4" name="postoperative cylinder"/>
    <tableColumn id="5" name="postoperative axis"/>
  </tableColumns>
  <tableStyleInfo name="TableStyleLight9" showFirstColumn="0" showLastColumn="0" showRowStripes="1" showColumnStripes="0"/>
</table>
</file>

<file path=xl/tables/table8.xml><?xml version="1.0" encoding="utf-8"?>
<table xmlns="http://schemas.openxmlformats.org/spreadsheetml/2006/main" id="8" name="Table8" displayName="Table8" ref="A1:E164" totalsRowCount="0" totalsRowShown="0">
  <autoFilter ref="A1:E164"/>
  <tableColumns count="5">
    <tableColumn id="1" name="Eye"/>
    <tableColumn id="2" name="preoperative cylinder"/>
    <tableColumn id="3" name="preoperative axis"/>
    <tableColumn id="4" name="postoperative cylinder"/>
    <tableColumn id="5" name="postoperative axis"/>
  </tableColumns>
  <tableStyleInfo name="TableStyleLight9" showFirstColumn="0" showLastColumn="0" showRowStripes="1" showColumnStripes="0"/>
</table>
</file>

<file path=xl/tables/table9.xml><?xml version="1.0" encoding="utf-8"?>
<table xmlns="http://schemas.openxmlformats.org/spreadsheetml/2006/main" id="9" name="Table9" displayName="Table9" ref="A1:E107" totalsRowCount="0" totalsRowShown="0">
  <autoFilter ref="A1:E107"/>
  <tableColumns count="5">
    <tableColumn id="1" name="Eye"/>
    <tableColumn id="2" name="preoperative cylinder"/>
    <tableColumn id="3" name="preoperative axis"/>
    <tableColumn id="4" name="postoperative cylinder"/>
    <tableColumn id="5" name="postoperative axis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.bin"/></Relationships>

</file>

<file path=xl/worksheets/_rels/sheet2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.bin"/></Relationships>

</file>

<file path=xl/worksheets/_rels/sheet3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3.bin"/></Relationships>

</file>

<file path=xl/worksheets/_rels/sheet4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4.bin"/></Relationships>

</file>

<file path=xl/worksheets/_rels/sheet5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5.bin"/></Relationships>

</file>

<file path=xl/worksheets/_rels/sheet6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6.bin"/></Relationships>

</file>

<file path=xl/worksheets/_rels/sheet7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7.bin"/></Relationships>

</file>

<file path=xl/worksheets/_rels/sheet8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8.bin"/><Relationship Id="rId3" Type="http://schemas.openxmlformats.org/officeDocument/2006/relationships/table" Target="../tables/table3.xml"/></Relationships>

</file>

<file path=xl/worksheets/_rels/sheet9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9.bin"/><Relationship Id="rId4" Type="http://schemas.openxmlformats.org/officeDocument/2006/relationships/table" Target="../tables/table4.xml"/></Relationships>

</file>

<file path=xl/worksheets/_rels/sheet10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0.bin"/><Relationship Id="rId5" Type="http://schemas.openxmlformats.org/officeDocument/2006/relationships/table" Target="../tables/table5.xml"/></Relationships>

</file>

<file path=xl/worksheets/_rels/sheet11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1.bin"/></Relationships>

</file>

<file path=xl/worksheets/_rels/sheet12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2.bin"/></Relationships>

</file>

<file path=xl/worksheets/_rels/sheet13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3.bin"/></Relationships>

</file>

<file path=xl/worksheets/_rels/sheet14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4.bin"/></Relationships>

</file>

<file path=xl/worksheets/_rels/sheet15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5.bin"/></Relationships>

</file>

<file path=xl/worksheets/_rels/sheet16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6.bin"/></Relationships>

</file>

<file path=xl/worksheets/_rels/sheet17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7.bin"/></Relationships>

</file>

<file path=xl/worksheets/_rels/sheet18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8.bin"/></Relationships>

</file>

<file path=xl/worksheets/_rels/sheet19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9.bin"/></Relationships>

</file>

<file path=xl/worksheets/_rels/sheet20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0.bin"/></Relationships>

</file>

<file path=xl/worksheets/_rels/sheet21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1.bin"/></Relationships>

</file>

<file path=xl/worksheets/_rels/sheet22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2.bin"/></Relationships>

</file>

<file path=xl/worksheets/_rels/sheet23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3.bin"/></Relationships>

</file>

<file path=xl/worksheets/_rels/sheet24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4.bin"/></Relationships>

</file>

<file path=xl/worksheets/_rels/sheet25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5.bin"/></Relationships>

</file>

<file path=xl/worksheets/_rels/sheet26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6.bin"/></Relationships>

</file>

<file path=xl/worksheets/_rels/sheet27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7.bin"/><Relationship Id="rId6" Type="http://schemas.openxmlformats.org/officeDocument/2006/relationships/table" Target="../tables/table6.xml"/></Relationships>

</file>

<file path=xl/worksheets/_rels/sheet28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8.bin"/><Relationship Id="rId7" Type="http://schemas.openxmlformats.org/officeDocument/2006/relationships/table" Target="../tables/table7.xml"/></Relationships>

</file>

<file path=xl/worksheets/_rels/sheet29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9.bin"/></Relationships>

</file>

<file path=xl/worksheets/_rels/sheet30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30.bin"/></Relationships>

</file>

<file path=xl/worksheets/_rels/sheet31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31.bin"/></Relationships>

</file>

<file path=xl/worksheets/_rels/sheet32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32.bin"/></Relationships>

</file>

<file path=xl/worksheets/_rels/sheet33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33.bin"/></Relationships>

</file>

<file path=xl/worksheets/_rels/sheet34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34.bin"/></Relationships>

</file>

<file path=xl/worksheets/_rels/sheet35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35.bin"/></Relationships>

</file>

<file path=xl/worksheets/_rels/sheet36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36.bin"/></Relationships>

</file>

<file path=xl/worksheets/_rels/sheet37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37.bin"/></Relationships>

</file>

<file path=xl/worksheets/_rels/sheet38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38.bin"/><Relationship Id="rId8" Type="http://schemas.openxmlformats.org/officeDocument/2006/relationships/table" Target="../tables/table8.xml"/></Relationships>

</file>

<file path=xl/worksheets/_rels/sheet39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39.bin"/><Relationship Id="rId9" Type="http://schemas.openxmlformats.org/officeDocument/2006/relationships/table" Target="../tables/table9.xml"/></Relationships>

</file>

<file path=xl/worksheets/_rels/sheet40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40.bin"/></Relationships>

</file>

<file path=xl/worksheets/_rels/sheet41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41.bin"/></Relationships>
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s="1" t="s">
        <v>0</v>
      </c>
    </row>
    <row r="2">
      <c r="A2" t="s">
        <v>1</v>
      </c>
    </row>
    <row r="3">
      <c r="A3" t="s">
        <v>2</v>
      </c>
    </row>
    <row r="5">
      <c r="A5" s="1" t="s">
        <v>3</v>
      </c>
    </row>
    <row r="6">
      <c r="A6" t="s">
        <v>4</v>
      </c>
      <c r="B6" t="s">
        <v>5</v>
      </c>
    </row>
    <row r="7">
      <c r="A7" t="s">
        <v>6</v>
      </c>
      <c r="B7" t="s">
        <v>7</v>
      </c>
    </row>
    <row r="8">
      <c r="A8" t="s">
        <v>8</v>
      </c>
      <c r="B8" t="s">
        <v>9</v>
      </c>
    </row>
    <row r="9">
      <c r="A9" t="s">
        <v>10</v>
      </c>
      <c r="B9" t="s">
        <v>11</v>
      </c>
    </row>
    <row r="10">
      <c r="A10" t="s">
        <v>12</v>
      </c>
      <c r="B10" t="s">
        <v>13</v>
      </c>
    </row>
    <row r="11">
      <c r="A11" t="s">
        <v>14</v>
      </c>
      <c r="B11" t="s">
        <v>15</v>
      </c>
    </row>
    <row r="12">
      <c r="A12" t="s">
        <v>16</v>
      </c>
      <c r="B12" t="s">
        <v>17</v>
      </c>
    </row>
    <row r="13">
      <c r="A13" t="s">
        <v>18</v>
      </c>
      <c r="B13" t="s">
        <v>19</v>
      </c>
    </row>
    <row r="14">
      <c r="A14" t="s">
        <v>20</v>
      </c>
      <c r="B14" t="s">
        <v>21</v>
      </c>
    </row>
    <row r="16">
      <c r="A16" s="1" t="s">
        <v>22</v>
      </c>
    </row>
    <row r="17">
      <c r="A17" t="s">
        <v>23</v>
      </c>
      <c r="B17" t="s">
        <v>24</v>
      </c>
      <c r="C17" t="s">
        <v>25</v>
      </c>
    </row>
    <row r="18">
      <c r="A18" t="s">
        <v>26</v>
      </c>
      <c r="B18" t="n">
        <v>172</v>
      </c>
      <c r="C18" t="n">
        <v>56.8</v>
      </c>
    </row>
    <row r="19">
      <c r="A19" t="s">
        <v>27</v>
      </c>
      <c r="B19" t="n">
        <v>131</v>
      </c>
      <c r="C19" t="n">
        <v>43.2</v>
      </c>
    </row>
    <row r="21">
      <c r="A21" s="1" t="s">
        <v>28</v>
      </c>
    </row>
    <row r="22">
      <c r="A22" t="s">
        <v>29</v>
      </c>
      <c r="B22" t="s">
        <v>24</v>
      </c>
      <c r="C22" t="s">
        <v>25</v>
      </c>
    </row>
    <row r="23">
      <c r="A23" t="s">
        <v>30</v>
      </c>
      <c r="B23" t="n">
        <v>247</v>
      </c>
      <c r="C23" t="n">
        <v>52.7</v>
      </c>
    </row>
    <row r="24">
      <c r="A24" t="s">
        <v>31</v>
      </c>
      <c r="B24" t="n">
        <v>113</v>
      </c>
      <c r="C24" t="n">
        <v>24.1</v>
      </c>
    </row>
    <row r="25">
      <c r="A25" t="s">
        <v>32</v>
      </c>
      <c r="B25" t="n">
        <v>109</v>
      </c>
      <c r="C25" t="n">
        <v>23.2</v>
      </c>
    </row>
    <row r="27">
      <c r="A27" s="1" t="s">
        <v>33</v>
      </c>
    </row>
    <row r="28">
      <c r="A28" t="s">
        <v>34</v>
      </c>
      <c r="B28" t="s">
        <v>29</v>
      </c>
      <c r="C28" t="s">
        <v>35</v>
      </c>
    </row>
    <row r="29">
      <c r="A29" t="s">
        <v>30</v>
      </c>
      <c r="B29" t="s">
        <v>30</v>
      </c>
      <c r="C29" t="n">
        <v>247</v>
      </c>
    </row>
    <row r="30">
      <c r="A30" t="s">
        <v>31</v>
      </c>
      <c r="B30" t="s">
        <v>31</v>
      </c>
      <c r="C30" t="n">
        <v>113</v>
      </c>
    </row>
    <row r="31">
      <c r="A31" t="s">
        <v>32</v>
      </c>
      <c r="B31" t="s">
        <v>32</v>
      </c>
      <c r="C31" t="n">
        <v>109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1" t="s">
        <v>36</v>
      </c>
    </row>
    <row r="2">
      <c r="A2" t="s">
        <v>37</v>
      </c>
      <c r="B2" t="s">
        <v>38</v>
      </c>
      <c r="C2" t="s">
        <v>39</v>
      </c>
      <c r="D2" t="s">
        <v>40</v>
      </c>
      <c r="E2" t="s">
        <v>41</v>
      </c>
      <c r="F2" t="s">
        <v>42</v>
      </c>
      <c r="G2" t="s">
        <v>43</v>
      </c>
      <c r="H2" t="s">
        <v>44</v>
      </c>
      <c r="I2" t="s">
        <v>45</v>
      </c>
    </row>
    <row r="3">
      <c r="A3" t="s">
        <v>46</v>
      </c>
      <c r="B3" t="s">
        <v>47</v>
      </c>
      <c r="C3" t="s">
        <v>48</v>
      </c>
      <c r="D3" t="s">
        <v>49</v>
      </c>
      <c r="E3" t="s">
        <v>50</v>
      </c>
      <c r="F3" t="s">
        <v>51</v>
      </c>
      <c r="G3" t="s">
        <v>52</v>
      </c>
      <c r="H3" s="2" t="s">
        <v>53</v>
      </c>
      <c r="I3" s="2" t="s">
        <v>54</v>
      </c>
    </row>
    <row r="4">
      <c r="A4" t="s">
        <v>55</v>
      </c>
      <c r="B4" t="s">
        <v>56</v>
      </c>
      <c r="C4" t="s">
        <v>57</v>
      </c>
      <c r="D4" t="s">
        <v>58</v>
      </c>
      <c r="E4" t="s">
        <v>59</v>
      </c>
      <c r="F4" t="s">
        <v>51</v>
      </c>
      <c r="G4" t="s">
        <v>52</v>
      </c>
      <c r="H4" s="2" t="s">
        <v>60</v>
      </c>
      <c r="I4" s="2" t="s">
        <v>61</v>
      </c>
    </row>
    <row r="5">
      <c r="A5" t="s">
        <v>62</v>
      </c>
      <c r="B5" t="s">
        <v>63</v>
      </c>
      <c r="C5" t="s">
        <v>64</v>
      </c>
      <c r="D5" t="s">
        <v>65</v>
      </c>
      <c r="E5" t="s">
        <v>66</v>
      </c>
      <c r="F5" t="s">
        <v>51</v>
      </c>
      <c r="G5" t="s">
        <v>52</v>
      </c>
      <c r="H5" s="2" t="s">
        <v>67</v>
      </c>
      <c r="I5" s="2" t="s">
        <v>68</v>
      </c>
    </row>
    <row r="6">
      <c r="A6" t="s">
        <v>69</v>
      </c>
      <c r="B6" t="s">
        <v>70</v>
      </c>
      <c r="C6" t="s">
        <v>71</v>
      </c>
      <c r="D6" t="s">
        <v>72</v>
      </c>
      <c r="E6" t="s">
        <v>73</v>
      </c>
      <c r="F6" t="s">
        <v>51</v>
      </c>
      <c r="G6" t="s">
        <v>74</v>
      </c>
      <c r="H6" s="2" t="s">
        <v>75</v>
      </c>
      <c r="I6" s="2" t="s">
        <v>76</v>
      </c>
    </row>
    <row r="7">
      <c r="A7" t="s">
        <v>77</v>
      </c>
      <c r="B7" t="s">
        <v>78</v>
      </c>
      <c r="C7" t="s">
        <v>79</v>
      </c>
      <c r="D7" t="s">
        <v>80</v>
      </c>
      <c r="E7" t="s">
        <v>81</v>
      </c>
      <c r="F7" t="s">
        <v>51</v>
      </c>
      <c r="G7" t="s">
        <v>52</v>
      </c>
      <c r="H7" s="2" t="s">
        <v>82</v>
      </c>
      <c r="I7" s="2" t="s">
        <v>83</v>
      </c>
    </row>
    <row r="8">
      <c r="A8" t="s">
        <v>84</v>
      </c>
      <c r="B8" t="s">
        <v>85</v>
      </c>
      <c r="C8" t="s">
        <v>85</v>
      </c>
      <c r="D8" t="s">
        <v>85</v>
      </c>
      <c r="E8" t="s">
        <v>86</v>
      </c>
      <c r="F8" t="s">
        <v>51</v>
      </c>
      <c r="G8" t="s">
        <v>74</v>
      </c>
      <c r="H8" s="2" t="s">
        <v>87</v>
      </c>
      <c r="I8" s="2" t="s">
        <v>88</v>
      </c>
    </row>
    <row r="9">
      <c r="A9" t="s">
        <v>89</v>
      </c>
      <c r="B9" t="s">
        <v>90</v>
      </c>
      <c r="C9" t="s">
        <v>91</v>
      </c>
      <c r="D9" t="s">
        <v>92</v>
      </c>
      <c r="E9" t="s">
        <v>50</v>
      </c>
      <c r="F9" t="s">
        <v>51</v>
      </c>
      <c r="G9" t="s">
        <v>52</v>
      </c>
      <c r="H9" s="2" t="s">
        <v>93</v>
      </c>
      <c r="I9" s="2" t="s">
        <v>94</v>
      </c>
    </row>
    <row r="10">
      <c r="A10" t="s">
        <v>95</v>
      </c>
      <c r="B10" t="s">
        <v>96</v>
      </c>
      <c r="C10" t="s">
        <v>97</v>
      </c>
      <c r="D10" t="s">
        <v>98</v>
      </c>
      <c r="E10" t="s">
        <v>99</v>
      </c>
      <c r="F10" t="s">
        <v>51</v>
      </c>
      <c r="G10" t="s">
        <v>74</v>
      </c>
      <c r="H10" s="2" t="s">
        <v>100</v>
      </c>
      <c r="I10" s="2" t="s">
        <v>101</v>
      </c>
    </row>
    <row r="11">
      <c r="A11" t="s">
        <v>102</v>
      </c>
      <c r="B11" t="s">
        <v>103</v>
      </c>
      <c r="C11" t="s">
        <v>104</v>
      </c>
      <c r="D11" t="s">
        <v>105</v>
      </c>
      <c r="E11" t="s">
        <v>50</v>
      </c>
      <c r="F11" t="s">
        <v>106</v>
      </c>
      <c r="G11" t="s">
        <v>52</v>
      </c>
      <c r="H11" t="s">
        <v>107</v>
      </c>
      <c r="I11" t="s">
        <v>107</v>
      </c>
    </row>
    <row r="12">
      <c r="A12" t="s">
        <v>108</v>
      </c>
      <c r="B12" t="s">
        <v>109</v>
      </c>
      <c r="C12" t="s">
        <v>110</v>
      </c>
      <c r="D12" t="s">
        <v>111</v>
      </c>
      <c r="E12" t="s">
        <v>112</v>
      </c>
      <c r="F12" t="s">
        <v>113</v>
      </c>
      <c r="G12" t="s">
        <v>74</v>
      </c>
      <c r="H12" s="2" t="s">
        <v>114</v>
      </c>
      <c r="I12" s="2" t="s">
        <v>115</v>
      </c>
    </row>
    <row r="13">
      <c r="A13" t="s">
        <v>116</v>
      </c>
      <c r="B13" t="s">
        <v>117</v>
      </c>
      <c r="C13" t="s">
        <v>118</v>
      </c>
      <c r="D13" t="s">
        <v>119</v>
      </c>
      <c r="E13" t="s">
        <v>120</v>
      </c>
      <c r="F13" t="s">
        <v>113</v>
      </c>
      <c r="G13" t="s">
        <v>74</v>
      </c>
      <c r="H13" s="2" t="s">
        <v>121</v>
      </c>
      <c r="I13" s="2" t="s">
        <v>122</v>
      </c>
    </row>
    <row r="14">
      <c r="A14" t="s">
        <v>123</v>
      </c>
      <c r="B14" t="s">
        <v>124</v>
      </c>
      <c r="C14" t="s">
        <v>125</v>
      </c>
      <c r="D14" t="s">
        <v>126</v>
      </c>
      <c r="E14" t="s">
        <v>127</v>
      </c>
      <c r="F14" t="s">
        <v>113</v>
      </c>
      <c r="G14" t="s">
        <v>74</v>
      </c>
      <c r="H14" t="s">
        <v>107</v>
      </c>
      <c r="I14" t="s">
        <v>107</v>
      </c>
    </row>
    <row r="15">
      <c r="A15" t="s">
        <v>128</v>
      </c>
      <c r="B15" t="s">
        <v>129</v>
      </c>
      <c r="C15" t="s">
        <v>130</v>
      </c>
      <c r="D15" t="s">
        <v>131</v>
      </c>
      <c r="E15" t="s">
        <v>107</v>
      </c>
      <c r="F15" t="s">
        <v>107</v>
      </c>
      <c r="G15" t="s">
        <v>107</v>
      </c>
      <c r="H15" t="s">
        <v>107</v>
      </c>
      <c r="I15" t="s">
        <v>107</v>
      </c>
    </row>
    <row r="16">
      <c r="A16" t="s">
        <v>132</v>
      </c>
      <c r="B16" t="s">
        <v>133</v>
      </c>
      <c r="C16" t="s">
        <v>134</v>
      </c>
      <c r="D16" t="s">
        <v>135</v>
      </c>
      <c r="E16" t="s">
        <v>107</v>
      </c>
      <c r="F16" t="s">
        <v>107</v>
      </c>
      <c r="G16" t="s">
        <v>107</v>
      </c>
      <c r="H16" t="s">
        <v>107</v>
      </c>
      <c r="I16" t="s">
        <v>107</v>
      </c>
    </row>
    <row r="18">
      <c r="A18" s="1" t="s">
        <v>136</v>
      </c>
    </row>
    <row r="19">
      <c r="A19" t="s">
        <v>37</v>
      </c>
      <c r="B19" t="s">
        <v>38</v>
      </c>
      <c r="C19" t="s">
        <v>39</v>
      </c>
      <c r="D19" t="s">
        <v>40</v>
      </c>
      <c r="E19" t="s">
        <v>41</v>
      </c>
      <c r="F19" t="s">
        <v>42</v>
      </c>
      <c r="G19" t="s">
        <v>43</v>
      </c>
      <c r="H19" t="s">
        <v>44</v>
      </c>
      <c r="I19" t="s">
        <v>45</v>
      </c>
    </row>
    <row r="20">
      <c r="A20" t="s">
        <v>137</v>
      </c>
      <c r="B20" t="s">
        <v>138</v>
      </c>
      <c r="C20" t="s">
        <v>139</v>
      </c>
      <c r="D20" t="s">
        <v>138</v>
      </c>
      <c r="E20" t="s">
        <v>140</v>
      </c>
      <c r="F20" t="s">
        <v>51</v>
      </c>
      <c r="G20" t="s">
        <v>74</v>
      </c>
      <c r="H20" s="2" t="s">
        <v>141</v>
      </c>
      <c r="I20" s="2" t="s">
        <v>142</v>
      </c>
    </row>
    <row r="21">
      <c r="A21" t="s">
        <v>143</v>
      </c>
      <c r="B21" t="s">
        <v>144</v>
      </c>
      <c r="C21" t="s">
        <v>145</v>
      </c>
      <c r="D21" t="s">
        <v>146</v>
      </c>
      <c r="E21" t="s">
        <v>147</v>
      </c>
      <c r="F21" t="s">
        <v>51</v>
      </c>
      <c r="G21" t="s">
        <v>74</v>
      </c>
      <c r="H21" s="2" t="s">
        <v>148</v>
      </c>
      <c r="I21" s="2" t="s">
        <v>149</v>
      </c>
    </row>
    <row r="22">
      <c r="A22" t="s">
        <v>150</v>
      </c>
      <c r="B22" t="s">
        <v>151</v>
      </c>
      <c r="C22" t="s">
        <v>152</v>
      </c>
      <c r="D22" t="s">
        <v>153</v>
      </c>
      <c r="E22" t="s">
        <v>154</v>
      </c>
      <c r="F22" t="s">
        <v>113</v>
      </c>
      <c r="G22" t="s">
        <v>74</v>
      </c>
      <c r="H22" t="s">
        <v>107</v>
      </c>
      <c r="I22" t="s">
        <v>107</v>
      </c>
    </row>
    <row r="23">
      <c r="A23" t="s">
        <v>155</v>
      </c>
      <c r="B23" t="s">
        <v>156</v>
      </c>
      <c r="C23" t="s">
        <v>157</v>
      </c>
      <c r="D23" t="s">
        <v>158</v>
      </c>
      <c r="E23" t="s">
        <v>107</v>
      </c>
      <c r="F23" t="s">
        <v>107</v>
      </c>
      <c r="G23" t="s">
        <v>107</v>
      </c>
      <c r="H23" t="s">
        <v>107</v>
      </c>
      <c r="I23" t="s">
        <v>107</v>
      </c>
    </row>
    <row r="24">
      <c r="A24" t="s">
        <v>159</v>
      </c>
      <c r="B24" t="s">
        <v>160</v>
      </c>
      <c r="C24" t="s">
        <v>161</v>
      </c>
      <c r="D24" t="s">
        <v>162</v>
      </c>
      <c r="E24" t="s">
        <v>107</v>
      </c>
      <c r="F24" t="s">
        <v>107</v>
      </c>
      <c r="G24" t="s">
        <v>107</v>
      </c>
      <c r="H24" t="s">
        <v>107</v>
      </c>
      <c r="I24" t="s">
        <v>107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37</v>
      </c>
      <c r="B1" t="s">
        <v>38</v>
      </c>
      <c r="C1" t="s">
        <v>39</v>
      </c>
      <c r="D1" t="s">
        <v>40</v>
      </c>
      <c r="E1" t="s">
        <v>41</v>
      </c>
      <c r="F1" t="s">
        <v>42</v>
      </c>
      <c r="G1" t="s">
        <v>43</v>
      </c>
      <c r="H1" t="s">
        <v>44</v>
      </c>
      <c r="I1" t="s">
        <v>45</v>
      </c>
      <c r="J1" t="s">
        <v>163</v>
      </c>
      <c r="K1" t="s">
        <v>164</v>
      </c>
    </row>
    <row r="2">
      <c r="A2" t="s">
        <v>165</v>
      </c>
      <c r="B2" t="s">
        <v>166</v>
      </c>
      <c r="C2" t="s">
        <v>167</v>
      </c>
      <c r="D2" t="s">
        <v>168</v>
      </c>
      <c r="E2" t="s">
        <v>169</v>
      </c>
      <c r="F2" t="s">
        <v>51</v>
      </c>
      <c r="G2" t="s">
        <v>74</v>
      </c>
      <c r="H2" s="2" t="s">
        <v>170</v>
      </c>
      <c r="I2" s="2" t="s">
        <v>171</v>
      </c>
      <c r="J2" s="2" t="s">
        <v>172</v>
      </c>
      <c r="K2" s="2" t="s">
        <v>173</v>
      </c>
    </row>
    <row r="3">
      <c r="A3" t="s">
        <v>174</v>
      </c>
      <c r="B3" t="s">
        <v>175</v>
      </c>
      <c r="C3" t="s">
        <v>176</v>
      </c>
      <c r="D3" t="s">
        <v>177</v>
      </c>
      <c r="E3" t="s">
        <v>50</v>
      </c>
      <c r="F3" t="s">
        <v>51</v>
      </c>
      <c r="G3" t="s">
        <v>52</v>
      </c>
      <c r="H3" s="2" t="s">
        <v>178</v>
      </c>
      <c r="I3" s="2" t="s">
        <v>179</v>
      </c>
      <c r="J3" s="2" t="s">
        <v>180</v>
      </c>
      <c r="K3" s="2" t="s">
        <v>181</v>
      </c>
    </row>
    <row r="4">
      <c r="A4" t="s">
        <v>182</v>
      </c>
      <c r="B4" t="s">
        <v>183</v>
      </c>
      <c r="C4" t="s">
        <v>184</v>
      </c>
      <c r="D4" t="s">
        <v>183</v>
      </c>
      <c r="E4" t="s">
        <v>185</v>
      </c>
      <c r="F4" t="s">
        <v>51</v>
      </c>
      <c r="G4" t="s">
        <v>74</v>
      </c>
      <c r="H4" s="2" t="s">
        <v>186</v>
      </c>
      <c r="I4" s="2" t="s">
        <v>187</v>
      </c>
      <c r="J4" s="2" t="s">
        <v>188</v>
      </c>
      <c r="K4" s="2" t="s">
        <v>189</v>
      </c>
    </row>
    <row r="5">
      <c r="A5" t="s">
        <v>190</v>
      </c>
      <c r="B5" t="s">
        <v>191</v>
      </c>
      <c r="C5" t="s">
        <v>192</v>
      </c>
      <c r="D5" t="s">
        <v>193</v>
      </c>
      <c r="E5" t="s">
        <v>50</v>
      </c>
      <c r="F5" t="s">
        <v>51</v>
      </c>
      <c r="G5" t="s">
        <v>52</v>
      </c>
      <c r="H5" s="2" t="s">
        <v>194</v>
      </c>
      <c r="I5" s="2" t="s">
        <v>179</v>
      </c>
      <c r="J5" s="2" t="s">
        <v>195</v>
      </c>
      <c r="K5" s="2" t="s">
        <v>196</v>
      </c>
    </row>
    <row r="6">
      <c r="A6" t="s">
        <v>197</v>
      </c>
      <c r="B6" t="s">
        <v>198</v>
      </c>
      <c r="C6" t="s">
        <v>85</v>
      </c>
      <c r="D6" t="s">
        <v>199</v>
      </c>
      <c r="E6" t="s">
        <v>200</v>
      </c>
      <c r="F6" t="s">
        <v>51</v>
      </c>
      <c r="G6" t="s">
        <v>74</v>
      </c>
      <c r="H6" s="2" t="s">
        <v>201</v>
      </c>
      <c r="I6" s="2" t="s">
        <v>202</v>
      </c>
      <c r="J6" s="2" t="s">
        <v>203</v>
      </c>
      <c r="K6" s="2" t="s">
        <v>204</v>
      </c>
    </row>
    <row r="7">
      <c r="A7" t="s">
        <v>205</v>
      </c>
      <c r="B7" t="s">
        <v>103</v>
      </c>
      <c r="C7" t="s">
        <v>206</v>
      </c>
      <c r="D7" t="s">
        <v>206</v>
      </c>
      <c r="E7" t="s">
        <v>207</v>
      </c>
      <c r="F7" t="s">
        <v>106</v>
      </c>
      <c r="G7" t="s">
        <v>52</v>
      </c>
      <c r="H7" t="s">
        <v>107</v>
      </c>
      <c r="I7" t="s">
        <v>107</v>
      </c>
      <c r="J7" t="s">
        <v>107</v>
      </c>
      <c r="K7" t="s">
        <v>107</v>
      </c>
    </row>
    <row r="8">
      <c r="A8" t="s">
        <v>208</v>
      </c>
      <c r="B8" t="s">
        <v>209</v>
      </c>
      <c r="C8" t="s">
        <v>210</v>
      </c>
      <c r="D8" t="s">
        <v>211</v>
      </c>
      <c r="E8" t="s">
        <v>50</v>
      </c>
      <c r="F8" t="s">
        <v>106</v>
      </c>
      <c r="G8" t="s">
        <v>52</v>
      </c>
      <c r="H8" t="s">
        <v>107</v>
      </c>
      <c r="I8" t="s">
        <v>107</v>
      </c>
      <c r="J8" t="s">
        <v>107</v>
      </c>
      <c r="K8" t="s">
        <v>107</v>
      </c>
    </row>
    <row r="9">
      <c r="A9" t="s">
        <v>212</v>
      </c>
      <c r="B9" t="s">
        <v>213</v>
      </c>
      <c r="C9" t="s">
        <v>214</v>
      </c>
      <c r="D9" t="s">
        <v>215</v>
      </c>
      <c r="E9" t="s">
        <v>50</v>
      </c>
      <c r="F9" t="s">
        <v>113</v>
      </c>
      <c r="G9" t="s">
        <v>52</v>
      </c>
      <c r="H9" s="2" t="s">
        <v>216</v>
      </c>
      <c r="I9" s="2" t="s">
        <v>179</v>
      </c>
      <c r="J9" s="2" t="s">
        <v>217</v>
      </c>
      <c r="K9" s="2" t="s">
        <v>218</v>
      </c>
    </row>
    <row r="10">
      <c r="A10" t="s">
        <v>219</v>
      </c>
      <c r="B10" t="s">
        <v>220</v>
      </c>
      <c r="C10" t="s">
        <v>221</v>
      </c>
      <c r="D10" t="s">
        <v>222</v>
      </c>
      <c r="E10" t="s">
        <v>223</v>
      </c>
      <c r="F10" t="s">
        <v>113</v>
      </c>
      <c r="G10" t="s">
        <v>74</v>
      </c>
      <c r="H10" s="2" t="s">
        <v>224</v>
      </c>
      <c r="I10" s="2" t="s">
        <v>225</v>
      </c>
      <c r="J10" s="2" t="s">
        <v>226</v>
      </c>
      <c r="K10" s="2" t="s">
        <v>227</v>
      </c>
    </row>
    <row r="11">
      <c r="A11" t="s">
        <v>228</v>
      </c>
      <c r="B11" t="s">
        <v>229</v>
      </c>
      <c r="C11" t="s">
        <v>230</v>
      </c>
      <c r="D11" t="s">
        <v>231</v>
      </c>
      <c r="E11" t="s">
        <v>232</v>
      </c>
      <c r="F11" t="s">
        <v>233</v>
      </c>
      <c r="G11" t="s">
        <v>74</v>
      </c>
      <c r="H11" t="s">
        <v>107</v>
      </c>
      <c r="I11" t="s">
        <v>107</v>
      </c>
      <c r="J11" t="s">
        <v>107</v>
      </c>
      <c r="K11" t="s">
        <v>107</v>
      </c>
    </row>
    <row r="12">
      <c r="A12" t="s">
        <v>234</v>
      </c>
      <c r="B12" t="s">
        <v>235</v>
      </c>
      <c r="C12" t="s">
        <v>236</v>
      </c>
      <c r="D12" t="s">
        <v>231</v>
      </c>
      <c r="E12" t="s">
        <v>107</v>
      </c>
      <c r="F12" t="s">
        <v>107</v>
      </c>
      <c r="G12" t="s">
        <v>107</v>
      </c>
      <c r="H12" t="s">
        <v>107</v>
      </c>
      <c r="I12" t="s">
        <v>107</v>
      </c>
      <c r="J12" t="s">
        <v>107</v>
      </c>
      <c r="K12" t="s">
        <v>107</v>
      </c>
    </row>
    <row r="13">
      <c r="A13" t="s">
        <v>237</v>
      </c>
      <c r="B13" t="s">
        <v>238</v>
      </c>
      <c r="C13" t="s">
        <v>239</v>
      </c>
      <c r="D13" t="s">
        <v>240</v>
      </c>
      <c r="E13" t="s">
        <v>107</v>
      </c>
      <c r="F13" t="s">
        <v>107</v>
      </c>
      <c r="G13" t="s">
        <v>107</v>
      </c>
      <c r="H13" t="s">
        <v>107</v>
      </c>
      <c r="I13" t="s">
        <v>107</v>
      </c>
      <c r="J13" t="s">
        <v>107</v>
      </c>
      <c r="K13" t="s">
        <v>107</v>
      </c>
    </row>
    <row r="14">
      <c r="A14" t="s">
        <v>241</v>
      </c>
      <c r="B14" t="s">
        <v>242</v>
      </c>
      <c r="C14" t="s">
        <v>243</v>
      </c>
      <c r="D14" t="s">
        <v>244</v>
      </c>
      <c r="E14" t="s">
        <v>107</v>
      </c>
      <c r="F14" t="s">
        <v>107</v>
      </c>
      <c r="G14" t="s">
        <v>107</v>
      </c>
      <c r="H14" t="s">
        <v>107</v>
      </c>
      <c r="I14" t="s">
        <v>107</v>
      </c>
      <c r="J14" t="s">
        <v>107</v>
      </c>
      <c r="K14" t="s">
        <v>107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38.71" hidden="0" customWidth="1"/>
    <col min="2" max="2" width="18.71" hidden="0" customWidth="1"/>
    <col min="3" max="3" width="18.71" hidden="0" customWidth="1"/>
    <col min="4" max="4" width="18.71" hidden="0" customWidth="1"/>
    <col min="5" max="5" width="18.71" hidden="0" customWidth="1"/>
    <col min="6" max="6" width="18.71" hidden="0" customWidth="1"/>
    <col min="7" max="7" width="18.71" hidden="0" customWidth="1"/>
    <col min="8" max="8" width="18.71" hidden="0" customWidth="1"/>
    <col min="9" max="9" width="18.71" hidden="0" customWidth="1"/>
  </cols>
  <sheetData>
    <row r="1">
      <c r="A1" s="3" t="s">
        <v>37</v>
      </c>
      <c r="B1" s="3" t="s">
        <v>38</v>
      </c>
      <c r="C1" s="3" t="s">
        <v>39</v>
      </c>
      <c r="D1" s="3" t="s">
        <v>40</v>
      </c>
      <c r="E1" s="3" t="s">
        <v>245</v>
      </c>
      <c r="F1" s="3" t="s">
        <v>44</v>
      </c>
      <c r="G1" s="3" t="s">
        <v>45</v>
      </c>
      <c r="H1" s="3" t="s">
        <v>163</v>
      </c>
      <c r="I1" s="3" t="s">
        <v>164</v>
      </c>
    </row>
    <row r="2">
      <c r="A2" s="4" t="s">
        <v>246</v>
      </c>
      <c r="B2" s="4" t="s">
        <v>107</v>
      </c>
      <c r="C2" s="4" t="s">
        <v>107</v>
      </c>
      <c r="D2" s="4" t="s">
        <v>107</v>
      </c>
      <c r="E2" s="4" t="s">
        <v>107</v>
      </c>
      <c r="F2" s="4" t="s">
        <v>107</v>
      </c>
      <c r="G2" s="4" t="s">
        <v>107</v>
      </c>
      <c r="H2" s="4" t="s">
        <v>107</v>
      </c>
      <c r="I2" s="4" t="s">
        <v>107</v>
      </c>
    </row>
    <row r="3">
      <c r="A3" t="s">
        <v>247</v>
      </c>
      <c r="B3" t="s">
        <v>47</v>
      </c>
      <c r="C3" t="s">
        <v>48</v>
      </c>
      <c r="D3" t="s">
        <v>49</v>
      </c>
      <c r="E3" t="s">
        <v>50</v>
      </c>
      <c r="F3" s="2" t="s">
        <v>53</v>
      </c>
      <c r="G3" s="2" t="s">
        <v>54</v>
      </c>
      <c r="H3" t="s">
        <v>107</v>
      </c>
      <c r="I3" t="s">
        <v>107</v>
      </c>
    </row>
    <row r="4">
      <c r="A4" t="s">
        <v>248</v>
      </c>
      <c r="B4" t="s">
        <v>56</v>
      </c>
      <c r="C4" t="s">
        <v>57</v>
      </c>
      <c r="D4" t="s">
        <v>58</v>
      </c>
      <c r="E4" t="s">
        <v>59</v>
      </c>
      <c r="F4" s="2" t="s">
        <v>60</v>
      </c>
      <c r="G4" s="2" t="s">
        <v>61</v>
      </c>
      <c r="H4" t="s">
        <v>107</v>
      </c>
      <c r="I4" t="s">
        <v>107</v>
      </c>
    </row>
    <row r="5">
      <c r="A5" t="s">
        <v>249</v>
      </c>
      <c r="B5" t="s">
        <v>63</v>
      </c>
      <c r="C5" t="s">
        <v>64</v>
      </c>
      <c r="D5" t="s">
        <v>65</v>
      </c>
      <c r="E5" t="s">
        <v>66</v>
      </c>
      <c r="F5" s="2" t="s">
        <v>67</v>
      </c>
      <c r="G5" s="2" t="s">
        <v>68</v>
      </c>
      <c r="H5" t="s">
        <v>107</v>
      </c>
      <c r="I5" t="s">
        <v>107</v>
      </c>
    </row>
    <row r="6">
      <c r="A6" t="s">
        <v>250</v>
      </c>
      <c r="B6" t="s">
        <v>70</v>
      </c>
      <c r="C6" t="s">
        <v>71</v>
      </c>
      <c r="D6" t="s">
        <v>72</v>
      </c>
      <c r="E6" t="s">
        <v>73</v>
      </c>
      <c r="F6" s="2" t="s">
        <v>75</v>
      </c>
      <c r="G6" s="2" t="s">
        <v>76</v>
      </c>
      <c r="H6" t="s">
        <v>107</v>
      </c>
      <c r="I6" t="s">
        <v>107</v>
      </c>
    </row>
    <row r="7">
      <c r="A7" t="s">
        <v>251</v>
      </c>
      <c r="B7" t="s">
        <v>78</v>
      </c>
      <c r="C7" t="s">
        <v>79</v>
      </c>
      <c r="D7" t="s">
        <v>80</v>
      </c>
      <c r="E7" t="s">
        <v>81</v>
      </c>
      <c r="F7" s="2" t="s">
        <v>82</v>
      </c>
      <c r="G7" s="2" t="s">
        <v>83</v>
      </c>
      <c r="H7" t="s">
        <v>107</v>
      </c>
      <c r="I7" t="s">
        <v>107</v>
      </c>
    </row>
    <row r="8">
      <c r="A8" t="s">
        <v>252</v>
      </c>
      <c r="B8" t="s">
        <v>85</v>
      </c>
      <c r="C8" t="s">
        <v>85</v>
      </c>
      <c r="D8" t="s">
        <v>85</v>
      </c>
      <c r="E8" t="s">
        <v>86</v>
      </c>
      <c r="F8" s="2" t="s">
        <v>87</v>
      </c>
      <c r="G8" s="2" t="s">
        <v>88</v>
      </c>
      <c r="H8" t="s">
        <v>107</v>
      </c>
      <c r="I8" t="s">
        <v>107</v>
      </c>
    </row>
    <row r="9">
      <c r="A9" t="s">
        <v>253</v>
      </c>
      <c r="B9" t="s">
        <v>90</v>
      </c>
      <c r="C9" t="s">
        <v>91</v>
      </c>
      <c r="D9" t="s">
        <v>92</v>
      </c>
      <c r="E9" t="s">
        <v>50</v>
      </c>
      <c r="F9" s="2" t="s">
        <v>93</v>
      </c>
      <c r="G9" s="2" t="s">
        <v>94</v>
      </c>
      <c r="H9" t="s">
        <v>107</v>
      </c>
      <c r="I9" t="s">
        <v>107</v>
      </c>
    </row>
    <row r="10">
      <c r="A10" t="s">
        <v>254</v>
      </c>
      <c r="B10" t="s">
        <v>96</v>
      </c>
      <c r="C10" t="s">
        <v>97</v>
      </c>
      <c r="D10" t="s">
        <v>98</v>
      </c>
      <c r="E10" t="s">
        <v>99</v>
      </c>
      <c r="F10" s="2" t="s">
        <v>100</v>
      </c>
      <c r="G10" s="2" t="s">
        <v>101</v>
      </c>
      <c r="H10" t="s">
        <v>107</v>
      </c>
      <c r="I10" t="s">
        <v>107</v>
      </c>
    </row>
    <row r="11">
      <c r="A11" t="s">
        <v>255</v>
      </c>
      <c r="B11" t="s">
        <v>103</v>
      </c>
      <c r="C11" t="s">
        <v>104</v>
      </c>
      <c r="D11" t="s">
        <v>105</v>
      </c>
      <c r="E11" t="s">
        <v>50</v>
      </c>
      <c r="F11" t="s">
        <v>107</v>
      </c>
      <c r="G11" t="s">
        <v>107</v>
      </c>
      <c r="H11" t="s">
        <v>107</v>
      </c>
      <c r="I11" t="s">
        <v>107</v>
      </c>
    </row>
    <row r="12">
      <c r="A12" t="s">
        <v>108</v>
      </c>
      <c r="B12" t="s">
        <v>109</v>
      </c>
      <c r="C12" t="s">
        <v>110</v>
      </c>
      <c r="D12" t="s">
        <v>111</v>
      </c>
      <c r="E12" t="s">
        <v>112</v>
      </c>
      <c r="F12" s="2" t="s">
        <v>114</v>
      </c>
      <c r="G12" s="2" t="s">
        <v>115</v>
      </c>
      <c r="H12" t="s">
        <v>107</v>
      </c>
      <c r="I12" t="s">
        <v>107</v>
      </c>
    </row>
    <row r="13">
      <c r="A13" t="s">
        <v>116</v>
      </c>
      <c r="B13" t="s">
        <v>117</v>
      </c>
      <c r="C13" t="s">
        <v>118</v>
      </c>
      <c r="D13" t="s">
        <v>119</v>
      </c>
      <c r="E13" t="s">
        <v>120</v>
      </c>
      <c r="F13" s="2" t="s">
        <v>121</v>
      </c>
      <c r="G13" s="2" t="s">
        <v>122</v>
      </c>
      <c r="H13" t="s">
        <v>107</v>
      </c>
      <c r="I13" t="s">
        <v>107</v>
      </c>
    </row>
    <row r="14">
      <c r="A14" t="s">
        <v>123</v>
      </c>
      <c r="B14" t="s">
        <v>124</v>
      </c>
      <c r="C14" t="s">
        <v>125</v>
      </c>
      <c r="D14" t="s">
        <v>126</v>
      </c>
      <c r="E14" t="s">
        <v>127</v>
      </c>
      <c r="F14" t="s">
        <v>107</v>
      </c>
      <c r="G14" t="s">
        <v>107</v>
      </c>
      <c r="H14" t="s">
        <v>107</v>
      </c>
      <c r="I14" t="s">
        <v>107</v>
      </c>
    </row>
    <row r="15">
      <c r="A15" t="s">
        <v>128</v>
      </c>
      <c r="B15" t="s">
        <v>129</v>
      </c>
      <c r="C15" t="s">
        <v>130</v>
      </c>
      <c r="D15" t="s">
        <v>131</v>
      </c>
      <c r="E15" t="s">
        <v>107</v>
      </c>
      <c r="F15" t="s">
        <v>107</v>
      </c>
      <c r="G15" t="s">
        <v>107</v>
      </c>
      <c r="H15" t="s">
        <v>107</v>
      </c>
      <c r="I15" t="s">
        <v>107</v>
      </c>
    </row>
    <row r="16">
      <c r="A16" t="s">
        <v>132</v>
      </c>
      <c r="B16" t="s">
        <v>133</v>
      </c>
      <c r="C16" t="s">
        <v>134</v>
      </c>
      <c r="D16" t="s">
        <v>135</v>
      </c>
      <c r="E16" t="s">
        <v>107</v>
      </c>
      <c r="F16" t="s">
        <v>107</v>
      </c>
      <c r="G16" t="s">
        <v>107</v>
      </c>
      <c r="H16" t="s">
        <v>107</v>
      </c>
      <c r="I16" t="s">
        <v>107</v>
      </c>
    </row>
    <row r="17">
      <c r="A17" s="4" t="s">
        <v>136</v>
      </c>
      <c r="B17" s="4" t="s">
        <v>107</v>
      </c>
      <c r="C17" s="4" t="s">
        <v>107</v>
      </c>
      <c r="D17" s="4" t="s">
        <v>107</v>
      </c>
      <c r="E17" s="4" t="s">
        <v>107</v>
      </c>
      <c r="F17" s="4" t="s">
        <v>107</v>
      </c>
      <c r="G17" s="4" t="s">
        <v>107</v>
      </c>
      <c r="H17" s="4" t="s">
        <v>107</v>
      </c>
      <c r="I17" s="4" t="s">
        <v>107</v>
      </c>
    </row>
    <row r="18">
      <c r="A18" t="s">
        <v>256</v>
      </c>
      <c r="B18" t="s">
        <v>138</v>
      </c>
      <c r="C18" t="s">
        <v>139</v>
      </c>
      <c r="D18" t="s">
        <v>138</v>
      </c>
      <c r="E18" t="s">
        <v>140</v>
      </c>
      <c r="F18" s="2" t="s">
        <v>141</v>
      </c>
      <c r="G18" s="2" t="s">
        <v>142</v>
      </c>
      <c r="H18" t="s">
        <v>107</v>
      </c>
      <c r="I18" t="s">
        <v>107</v>
      </c>
    </row>
    <row r="19">
      <c r="A19" t="s">
        <v>257</v>
      </c>
      <c r="B19" t="s">
        <v>144</v>
      </c>
      <c r="C19" t="s">
        <v>145</v>
      </c>
      <c r="D19" t="s">
        <v>146</v>
      </c>
      <c r="E19" t="s">
        <v>147</v>
      </c>
      <c r="F19" s="2" t="s">
        <v>148</v>
      </c>
      <c r="G19" s="2" t="s">
        <v>149</v>
      </c>
      <c r="H19" t="s">
        <v>107</v>
      </c>
      <c r="I19" t="s">
        <v>107</v>
      </c>
    </row>
    <row r="20">
      <c r="A20" t="s">
        <v>150</v>
      </c>
      <c r="B20" t="s">
        <v>151</v>
      </c>
      <c r="C20" t="s">
        <v>152</v>
      </c>
      <c r="D20" t="s">
        <v>153</v>
      </c>
      <c r="E20" t="s">
        <v>154</v>
      </c>
      <c r="F20" t="s">
        <v>107</v>
      </c>
      <c r="G20" t="s">
        <v>107</v>
      </c>
      <c r="H20" t="s">
        <v>107</v>
      </c>
      <c r="I20" t="s">
        <v>107</v>
      </c>
    </row>
    <row r="21">
      <c r="A21" t="s">
        <v>155</v>
      </c>
      <c r="B21" t="s">
        <v>156</v>
      </c>
      <c r="C21" t="s">
        <v>157</v>
      </c>
      <c r="D21" t="s">
        <v>158</v>
      </c>
      <c r="E21" t="s">
        <v>107</v>
      </c>
      <c r="F21" t="s">
        <v>107</v>
      </c>
      <c r="G21" t="s">
        <v>107</v>
      </c>
      <c r="H21" t="s">
        <v>107</v>
      </c>
      <c r="I21" t="s">
        <v>107</v>
      </c>
    </row>
    <row r="22">
      <c r="A22" t="s">
        <v>159</v>
      </c>
      <c r="B22" t="s">
        <v>160</v>
      </c>
      <c r="C22" t="s">
        <v>161</v>
      </c>
      <c r="D22" t="s">
        <v>162</v>
      </c>
      <c r="E22" t="s">
        <v>107</v>
      </c>
      <c r="F22" t="s">
        <v>107</v>
      </c>
      <c r="G22" t="s">
        <v>107</v>
      </c>
      <c r="H22" t="s">
        <v>107</v>
      </c>
      <c r="I22" t="s">
        <v>107</v>
      </c>
    </row>
    <row r="23">
      <c r="A23" s="4" t="s">
        <v>258</v>
      </c>
      <c r="B23" s="4" t="s">
        <v>107</v>
      </c>
      <c r="C23" s="4" t="s">
        <v>107</v>
      </c>
      <c r="D23" s="4" t="s">
        <v>107</v>
      </c>
      <c r="E23" s="4" t="s">
        <v>107</v>
      </c>
      <c r="F23" s="4" t="s">
        <v>107</v>
      </c>
      <c r="G23" s="4" t="s">
        <v>107</v>
      </c>
      <c r="H23" s="4" t="s">
        <v>107</v>
      </c>
      <c r="I23" s="4" t="s">
        <v>107</v>
      </c>
    </row>
    <row r="24">
      <c r="A24" t="s">
        <v>259</v>
      </c>
      <c r="B24" t="s">
        <v>166</v>
      </c>
      <c r="C24" t="s">
        <v>167</v>
      </c>
      <c r="D24" t="s">
        <v>168</v>
      </c>
      <c r="E24" t="s">
        <v>169</v>
      </c>
      <c r="F24" s="2" t="s">
        <v>170</v>
      </c>
      <c r="G24" s="2" t="s">
        <v>171</v>
      </c>
      <c r="H24" s="2" t="s">
        <v>172</v>
      </c>
      <c r="I24" s="2" t="s">
        <v>173</v>
      </c>
    </row>
    <row r="25">
      <c r="A25" t="s">
        <v>260</v>
      </c>
      <c r="B25" t="s">
        <v>175</v>
      </c>
      <c r="C25" t="s">
        <v>176</v>
      </c>
      <c r="D25" t="s">
        <v>177</v>
      </c>
      <c r="E25" t="s">
        <v>50</v>
      </c>
      <c r="F25" s="2" t="s">
        <v>178</v>
      </c>
      <c r="G25" s="2" t="s">
        <v>179</v>
      </c>
      <c r="H25" s="2" t="s">
        <v>180</v>
      </c>
      <c r="I25" s="2" t="s">
        <v>181</v>
      </c>
    </row>
    <row r="26">
      <c r="A26" t="s">
        <v>261</v>
      </c>
      <c r="B26" t="s">
        <v>183</v>
      </c>
      <c r="C26" t="s">
        <v>184</v>
      </c>
      <c r="D26" t="s">
        <v>183</v>
      </c>
      <c r="E26" t="s">
        <v>185</v>
      </c>
      <c r="F26" s="2" t="s">
        <v>186</v>
      </c>
      <c r="G26" s="2" t="s">
        <v>187</v>
      </c>
      <c r="H26" s="2" t="s">
        <v>188</v>
      </c>
      <c r="I26" s="2" t="s">
        <v>189</v>
      </c>
    </row>
    <row r="27">
      <c r="A27" t="s">
        <v>262</v>
      </c>
      <c r="B27" t="s">
        <v>191</v>
      </c>
      <c r="C27" t="s">
        <v>192</v>
      </c>
      <c r="D27" t="s">
        <v>193</v>
      </c>
      <c r="E27" t="s">
        <v>50</v>
      </c>
      <c r="F27" s="2" t="s">
        <v>194</v>
      </c>
      <c r="G27" s="2" t="s">
        <v>179</v>
      </c>
      <c r="H27" s="2" t="s">
        <v>195</v>
      </c>
      <c r="I27" s="2" t="s">
        <v>196</v>
      </c>
    </row>
    <row r="28">
      <c r="A28" t="s">
        <v>263</v>
      </c>
      <c r="B28" t="s">
        <v>198</v>
      </c>
      <c r="C28" t="s">
        <v>85</v>
      </c>
      <c r="D28" t="s">
        <v>199</v>
      </c>
      <c r="E28" t="s">
        <v>200</v>
      </c>
      <c r="F28" s="2" t="s">
        <v>201</v>
      </c>
      <c r="G28" s="2" t="s">
        <v>202</v>
      </c>
      <c r="H28" s="2" t="s">
        <v>203</v>
      </c>
      <c r="I28" s="2" t="s">
        <v>204</v>
      </c>
    </row>
    <row r="29">
      <c r="A29" t="s">
        <v>264</v>
      </c>
      <c r="B29" t="s">
        <v>103</v>
      </c>
      <c r="C29" t="s">
        <v>206</v>
      </c>
      <c r="D29" t="s">
        <v>206</v>
      </c>
      <c r="E29" t="s">
        <v>207</v>
      </c>
      <c r="F29" t="s">
        <v>107</v>
      </c>
      <c r="G29" t="s">
        <v>107</v>
      </c>
      <c r="H29" t="s">
        <v>107</v>
      </c>
      <c r="I29" t="s">
        <v>107</v>
      </c>
    </row>
    <row r="30">
      <c r="A30" t="s">
        <v>265</v>
      </c>
      <c r="B30" t="s">
        <v>209</v>
      </c>
      <c r="C30" t="s">
        <v>210</v>
      </c>
      <c r="D30" t="s">
        <v>211</v>
      </c>
      <c r="E30" t="s">
        <v>50</v>
      </c>
      <c r="F30" t="s">
        <v>107</v>
      </c>
      <c r="G30" t="s">
        <v>107</v>
      </c>
      <c r="H30" t="s">
        <v>107</v>
      </c>
      <c r="I30" t="s">
        <v>107</v>
      </c>
    </row>
    <row r="31">
      <c r="A31" t="s">
        <v>266</v>
      </c>
      <c r="B31" t="s">
        <v>213</v>
      </c>
      <c r="C31" t="s">
        <v>214</v>
      </c>
      <c r="D31" t="s">
        <v>215</v>
      </c>
      <c r="E31" t="s">
        <v>50</v>
      </c>
      <c r="F31" s="2" t="s">
        <v>216</v>
      </c>
      <c r="G31" s="2" t="s">
        <v>179</v>
      </c>
      <c r="H31" s="2" t="s">
        <v>217</v>
      </c>
      <c r="I31" s="2" t="s">
        <v>218</v>
      </c>
    </row>
    <row r="32">
      <c r="A32" t="s">
        <v>267</v>
      </c>
      <c r="B32" t="s">
        <v>220</v>
      </c>
      <c r="C32" t="s">
        <v>221</v>
      </c>
      <c r="D32" t="s">
        <v>222</v>
      </c>
      <c r="E32" t="s">
        <v>223</v>
      </c>
      <c r="F32" s="2" t="s">
        <v>224</v>
      </c>
      <c r="G32" s="2" t="s">
        <v>225</v>
      </c>
      <c r="H32" s="2" t="s">
        <v>226</v>
      </c>
      <c r="I32" s="2" t="s">
        <v>227</v>
      </c>
    </row>
    <row r="33">
      <c r="A33" t="s">
        <v>268</v>
      </c>
      <c r="B33" t="s">
        <v>229</v>
      </c>
      <c r="C33" t="s">
        <v>230</v>
      </c>
      <c r="D33" t="s">
        <v>231</v>
      </c>
      <c r="E33" t="s">
        <v>232</v>
      </c>
      <c r="F33" t="s">
        <v>107</v>
      </c>
      <c r="G33" t="s">
        <v>107</v>
      </c>
      <c r="H33" t="s">
        <v>107</v>
      </c>
      <c r="I33" t="s">
        <v>107</v>
      </c>
    </row>
    <row r="34">
      <c r="A34" t="s">
        <v>269</v>
      </c>
      <c r="B34" t="s">
        <v>235</v>
      </c>
      <c r="C34" t="s">
        <v>236</v>
      </c>
      <c r="D34" t="s">
        <v>231</v>
      </c>
      <c r="E34" t="s">
        <v>107</v>
      </c>
      <c r="F34" t="s">
        <v>107</v>
      </c>
      <c r="G34" t="s">
        <v>107</v>
      </c>
      <c r="H34" t="s">
        <v>107</v>
      </c>
      <c r="I34" t="s">
        <v>107</v>
      </c>
    </row>
    <row r="35">
      <c r="A35" t="s">
        <v>270</v>
      </c>
      <c r="B35" t="s">
        <v>238</v>
      </c>
      <c r="C35" t="s">
        <v>239</v>
      </c>
      <c r="D35" t="s">
        <v>240</v>
      </c>
      <c r="E35" t="s">
        <v>107</v>
      </c>
      <c r="F35" t="s">
        <v>107</v>
      </c>
      <c r="G35" t="s">
        <v>107</v>
      </c>
      <c r="H35" t="s">
        <v>107</v>
      </c>
      <c r="I35" t="s">
        <v>107</v>
      </c>
    </row>
    <row r="36">
      <c r="A36" t="s">
        <v>271</v>
      </c>
      <c r="B36" t="s">
        <v>242</v>
      </c>
      <c r="C36" t="s">
        <v>243</v>
      </c>
      <c r="D36" t="s">
        <v>244</v>
      </c>
      <c r="E36" t="s">
        <v>107</v>
      </c>
      <c r="F36" t="s">
        <v>107</v>
      </c>
      <c r="G36" t="s">
        <v>107</v>
      </c>
      <c r="H36" t="s">
        <v>107</v>
      </c>
      <c r="I36" t="s">
        <v>107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5" t="s">
        <v>29</v>
      </c>
      <c r="B1" s="5" t="s">
        <v>272</v>
      </c>
      <c r="C1" s="5" t="s">
        <v>273</v>
      </c>
      <c r="D1" s="5" t="s">
        <v>274</v>
      </c>
      <c r="E1" s="6" t="s">
        <v>275</v>
      </c>
      <c r="F1" s="6" t="s">
        <v>276</v>
      </c>
      <c r="G1" s="6" t="s">
        <v>277</v>
      </c>
      <c r="H1" s="6" t="s">
        <v>278</v>
      </c>
      <c r="I1" s="6" t="s">
        <v>84</v>
      </c>
      <c r="J1" s="7" t="s">
        <v>279</v>
      </c>
      <c r="K1" s="7" t="s">
        <v>280</v>
      </c>
      <c r="L1" s="7" t="s">
        <v>281</v>
      </c>
      <c r="M1" s="7" t="s">
        <v>282</v>
      </c>
      <c r="N1" s="8" t="s">
        <v>283</v>
      </c>
      <c r="O1" s="8" t="s">
        <v>284</v>
      </c>
      <c r="P1" s="8" t="s">
        <v>285</v>
      </c>
      <c r="Q1" s="8" t="s">
        <v>286</v>
      </c>
      <c r="R1" s="8" t="s">
        <v>197</v>
      </c>
      <c r="S1" s="8" t="s">
        <v>190</v>
      </c>
      <c r="T1" s="9" t="s">
        <v>287</v>
      </c>
    </row>
    <row r="2">
      <c r="A2" t="s">
        <v>30</v>
      </c>
      <c r="B2" t="n">
        <v>1.04</v>
      </c>
      <c r="C2" t="n">
        <v>1.03</v>
      </c>
      <c r="D2" t="n">
        <v>1.01</v>
      </c>
      <c r="E2" t="n">
        <v>-2.75</v>
      </c>
      <c r="F2" t="n">
        <v>-1.5</v>
      </c>
      <c r="G2" t="n">
        <v>161</v>
      </c>
      <c r="H2" t="n">
        <v>12</v>
      </c>
      <c r="I2" t="s">
        <v>288</v>
      </c>
      <c r="J2" t="n">
        <v>0</v>
      </c>
      <c r="K2" t="n">
        <v>0</v>
      </c>
      <c r="L2" t="n">
        <v>0</v>
      </c>
      <c r="M2" t="n">
        <v>12</v>
      </c>
      <c r="N2" t="n">
        <v>0</v>
      </c>
      <c r="O2" t="n">
        <v>-0.25</v>
      </c>
      <c r="P2" t="n">
        <v>167</v>
      </c>
      <c r="Q2" t="n">
        <v>12</v>
      </c>
      <c r="R2" t="s">
        <v>289</v>
      </c>
      <c r="S2" t="s">
        <v>288</v>
      </c>
      <c r="T2" t="n">
        <v>0</v>
      </c>
    </row>
    <row r="3">
      <c r="A3" t="s">
        <v>30</v>
      </c>
      <c r="B3" t="n">
        <v>0.97</v>
      </c>
      <c r="C3" t="n">
        <v>0.78</v>
      </c>
      <c r="D3" t="n">
        <v>0.93</v>
      </c>
      <c r="E3" t="n">
        <v>-3.75</v>
      </c>
      <c r="F3" t="n">
        <v>-2.25</v>
      </c>
      <c r="G3" t="n">
        <v>35</v>
      </c>
      <c r="H3" t="n">
        <v>12</v>
      </c>
      <c r="I3" t="s">
        <v>290</v>
      </c>
      <c r="J3" t="n">
        <v>0</v>
      </c>
      <c r="K3" t="n">
        <v>0</v>
      </c>
      <c r="L3" t="n">
        <v>0</v>
      </c>
      <c r="M3" t="n">
        <v>12</v>
      </c>
      <c r="N3" t="n">
        <v>0</v>
      </c>
      <c r="O3" t="n">
        <v>0</v>
      </c>
      <c r="P3" t="n">
        <v>40</v>
      </c>
      <c r="Q3" t="n">
        <v>12</v>
      </c>
      <c r="R3" t="s">
        <v>291</v>
      </c>
      <c r="S3" t="s">
        <v>292</v>
      </c>
      <c r="T3" t="n">
        <v>0</v>
      </c>
    </row>
    <row r="4">
      <c r="A4" t="s">
        <v>30</v>
      </c>
      <c r="B4" t="n">
        <v>1.03</v>
      </c>
      <c r="C4" t="n">
        <v>1</v>
      </c>
      <c r="D4" t="n">
        <v>1.03</v>
      </c>
      <c r="E4" t="n">
        <v>-3</v>
      </c>
      <c r="F4" t="n">
        <v>-0.75</v>
      </c>
      <c r="G4" t="n">
        <v>78</v>
      </c>
      <c r="H4" t="n">
        <v>12</v>
      </c>
      <c r="I4" t="s">
        <v>288</v>
      </c>
      <c r="J4" t="n">
        <v>0</v>
      </c>
      <c r="K4" t="n">
        <v>0</v>
      </c>
      <c r="L4" t="n">
        <v>0</v>
      </c>
      <c r="M4" t="n">
        <v>12</v>
      </c>
      <c r="N4" t="n">
        <v>0</v>
      </c>
      <c r="O4" t="n">
        <v>-0.25</v>
      </c>
      <c r="P4" t="n">
        <v>110</v>
      </c>
      <c r="Q4" t="n">
        <v>12</v>
      </c>
      <c r="R4" t="s">
        <v>288</v>
      </c>
      <c r="S4" t="s">
        <v>289</v>
      </c>
      <c r="T4" t="n">
        <v>0</v>
      </c>
    </row>
    <row r="5">
      <c r="A5" t="s">
        <v>30</v>
      </c>
      <c r="B5" t="n">
        <v>1.06</v>
      </c>
      <c r="C5" t="n">
        <v>1.02</v>
      </c>
      <c r="D5" t="n">
        <v>1.08</v>
      </c>
      <c r="E5" t="n">
        <v>-0.75</v>
      </c>
      <c r="F5" t="n">
        <v>0</v>
      </c>
      <c r="G5" t="n">
        <v>80</v>
      </c>
      <c r="H5" t="n">
        <v>12</v>
      </c>
      <c r="I5" t="s">
        <v>288</v>
      </c>
      <c r="J5" t="n">
        <v>0</v>
      </c>
      <c r="K5" t="n">
        <v>0</v>
      </c>
      <c r="L5" t="n">
        <v>0</v>
      </c>
      <c r="M5" t="n">
        <v>12</v>
      </c>
      <c r="N5" t="n">
        <v>0.25</v>
      </c>
      <c r="O5" t="n">
        <v>0</v>
      </c>
      <c r="P5" t="n">
        <v>89</v>
      </c>
      <c r="Q5" t="n">
        <v>12</v>
      </c>
      <c r="R5" t="s">
        <v>293</v>
      </c>
      <c r="S5" t="s">
        <v>289</v>
      </c>
      <c r="T5" t="n">
        <v>0.25</v>
      </c>
    </row>
    <row r="6">
      <c r="A6" t="s">
        <v>30</v>
      </c>
      <c r="B6" t="n">
        <v>1.2</v>
      </c>
      <c r="C6" t="n">
        <v>1.25</v>
      </c>
      <c r="D6" t="n">
        <v>1.3</v>
      </c>
      <c r="E6" t="n">
        <v>-1.75</v>
      </c>
      <c r="F6" t="n">
        <v>-1</v>
      </c>
      <c r="G6" t="n">
        <v>103</v>
      </c>
      <c r="H6" t="n">
        <v>12</v>
      </c>
      <c r="I6" t="s">
        <v>294</v>
      </c>
      <c r="J6" t="n">
        <v>0</v>
      </c>
      <c r="K6" t="n">
        <v>0</v>
      </c>
      <c r="L6" t="n">
        <v>0</v>
      </c>
      <c r="M6" t="n">
        <v>12</v>
      </c>
      <c r="N6" t="n">
        <v>0.25</v>
      </c>
      <c r="O6" t="n">
        <v>-0.5</v>
      </c>
      <c r="P6" t="n">
        <v>78</v>
      </c>
      <c r="Q6" t="n">
        <v>12</v>
      </c>
      <c r="R6" t="s">
        <v>295</v>
      </c>
      <c r="S6" t="s">
        <v>296</v>
      </c>
      <c r="T6" t="n">
        <v>0</v>
      </c>
    </row>
    <row r="7">
      <c r="A7" t="s">
        <v>30</v>
      </c>
      <c r="B7" t="n">
        <v>1.09</v>
      </c>
      <c r="C7" t="n">
        <v>1.16</v>
      </c>
      <c r="D7" t="n">
        <v>1.08</v>
      </c>
      <c r="E7" t="n">
        <v>-0.5</v>
      </c>
      <c r="F7" t="n">
        <v>-0.25</v>
      </c>
      <c r="G7" t="n">
        <v>3</v>
      </c>
      <c r="H7" t="n">
        <v>12</v>
      </c>
      <c r="I7" t="s">
        <v>293</v>
      </c>
      <c r="J7" t="n">
        <v>0</v>
      </c>
      <c r="K7" t="n">
        <v>0</v>
      </c>
      <c r="L7" t="n">
        <v>0</v>
      </c>
      <c r="M7" t="n">
        <v>12</v>
      </c>
      <c r="N7" t="n">
        <v>0.5</v>
      </c>
      <c r="O7" t="n">
        <v>-0.25</v>
      </c>
      <c r="P7" t="n">
        <v>177</v>
      </c>
      <c r="Q7" t="n">
        <v>12</v>
      </c>
      <c r="R7" t="s">
        <v>293</v>
      </c>
      <c r="S7" t="s">
        <v>297</v>
      </c>
      <c r="T7" t="n">
        <v>0.25</v>
      </c>
    </row>
    <row r="8">
      <c r="A8" t="s">
        <v>30</v>
      </c>
      <c r="B8" t="n">
        <v>1.1</v>
      </c>
      <c r="C8" t="n">
        <v>1.09</v>
      </c>
      <c r="D8" t="n">
        <v>1.12</v>
      </c>
      <c r="E8" t="n">
        <v>-5.25</v>
      </c>
      <c r="F8" t="n">
        <v>-1.25</v>
      </c>
      <c r="G8" t="n">
        <v>103</v>
      </c>
      <c r="H8" t="n">
        <v>12</v>
      </c>
      <c r="I8" t="s">
        <v>293</v>
      </c>
      <c r="J8" t="n">
        <v>0</v>
      </c>
      <c r="K8" t="n">
        <v>0</v>
      </c>
      <c r="L8" t="n">
        <v>0</v>
      </c>
      <c r="M8" t="n">
        <v>12</v>
      </c>
      <c r="N8" t="n">
        <v>0.5</v>
      </c>
      <c r="O8" t="n">
        <v>-0.5</v>
      </c>
      <c r="P8" t="n">
        <v>75</v>
      </c>
      <c r="Q8" t="n">
        <v>12</v>
      </c>
      <c r="R8" t="s">
        <v>293</v>
      </c>
      <c r="S8" t="s">
        <v>293</v>
      </c>
      <c r="T8" t="n">
        <v>0.25</v>
      </c>
    </row>
    <row r="9">
      <c r="A9" t="s">
        <v>30</v>
      </c>
      <c r="B9" t="n">
        <v>0.93</v>
      </c>
      <c r="C9" t="n">
        <v>0.93</v>
      </c>
      <c r="D9" t="n">
        <v>0.95</v>
      </c>
      <c r="E9" t="n">
        <v>-3.25</v>
      </c>
      <c r="F9" t="n">
        <v>-1</v>
      </c>
      <c r="G9" t="n">
        <v>24</v>
      </c>
      <c r="H9" t="n">
        <v>12</v>
      </c>
      <c r="I9" t="s">
        <v>291</v>
      </c>
      <c r="J9" t="n">
        <v>0</v>
      </c>
      <c r="K9" t="n">
        <v>0</v>
      </c>
      <c r="L9" t="n">
        <v>0</v>
      </c>
      <c r="M9" t="n">
        <v>12</v>
      </c>
      <c r="N9" t="n">
        <v>0.5</v>
      </c>
      <c r="O9" t="n">
        <v>-0.5</v>
      </c>
      <c r="P9" t="n">
        <v>36</v>
      </c>
      <c r="Q9" t="n">
        <v>12</v>
      </c>
      <c r="R9" t="s">
        <v>290</v>
      </c>
      <c r="S9" t="s">
        <v>291</v>
      </c>
      <c r="T9" t="n">
        <v>0.25</v>
      </c>
    </row>
    <row r="10">
      <c r="A10" t="s">
        <v>30</v>
      </c>
      <c r="B10" t="n">
        <v>0.96</v>
      </c>
      <c r="C10" t="n">
        <v>0.94</v>
      </c>
      <c r="D10" t="n">
        <v>0.95</v>
      </c>
      <c r="E10" t="n">
        <v>-1</v>
      </c>
      <c r="F10" t="n">
        <v>-0.5</v>
      </c>
      <c r="G10" t="n">
        <v>101</v>
      </c>
      <c r="H10" t="n">
        <v>12</v>
      </c>
      <c r="I10" t="s">
        <v>290</v>
      </c>
      <c r="J10" t="n">
        <v>0</v>
      </c>
      <c r="K10" t="n">
        <v>0</v>
      </c>
      <c r="L10" t="n">
        <v>0</v>
      </c>
      <c r="M10" t="n">
        <v>12</v>
      </c>
      <c r="N10" t="n">
        <v>0.5</v>
      </c>
      <c r="O10" t="n">
        <v>-0.25</v>
      </c>
      <c r="P10" t="n">
        <v>98</v>
      </c>
      <c r="Q10" t="n">
        <v>12</v>
      </c>
      <c r="R10" t="s">
        <v>290</v>
      </c>
      <c r="S10" t="s">
        <v>290</v>
      </c>
      <c r="T10" t="n">
        <v>0.25</v>
      </c>
    </row>
    <row r="11">
      <c r="A11" t="s">
        <v>30</v>
      </c>
      <c r="B11" t="n">
        <v>0.95</v>
      </c>
      <c r="C11" t="n">
        <v>0.9</v>
      </c>
      <c r="D11" t="n">
        <v>1.01</v>
      </c>
      <c r="E11" t="n">
        <v>-5.25</v>
      </c>
      <c r="F11" t="n">
        <v>-1.25</v>
      </c>
      <c r="G11" t="n">
        <v>79</v>
      </c>
      <c r="H11" t="n">
        <v>12</v>
      </c>
      <c r="I11" t="s">
        <v>290</v>
      </c>
      <c r="J11" t="n">
        <v>0</v>
      </c>
      <c r="K11" t="n">
        <v>0</v>
      </c>
      <c r="L11" t="n">
        <v>0</v>
      </c>
      <c r="M11" t="n">
        <v>12</v>
      </c>
      <c r="N11" t="n">
        <v>0</v>
      </c>
      <c r="O11" t="n">
        <v>-0.75</v>
      </c>
      <c r="P11" t="n">
        <v>64</v>
      </c>
      <c r="Q11" t="n">
        <v>12</v>
      </c>
      <c r="R11" t="s">
        <v>289</v>
      </c>
      <c r="S11" t="s">
        <v>291</v>
      </c>
      <c r="T11" t="n">
        <v>-0.25</v>
      </c>
    </row>
    <row r="12">
      <c r="A12" t="s">
        <v>30</v>
      </c>
      <c r="B12" t="n">
        <v>1.06</v>
      </c>
      <c r="C12" t="n">
        <v>1.05</v>
      </c>
      <c r="D12" t="n">
        <v>1.13</v>
      </c>
      <c r="E12" t="n">
        <v>-2</v>
      </c>
      <c r="F12" t="n">
        <v>-0.5</v>
      </c>
      <c r="G12" t="n">
        <v>162</v>
      </c>
      <c r="H12" t="n">
        <v>12</v>
      </c>
      <c r="I12" t="s">
        <v>288</v>
      </c>
      <c r="J12" t="n">
        <v>0</v>
      </c>
      <c r="K12" t="n">
        <v>0</v>
      </c>
      <c r="L12" t="n">
        <v>0</v>
      </c>
      <c r="M12" t="n">
        <v>12</v>
      </c>
      <c r="N12" t="n">
        <v>0.5</v>
      </c>
      <c r="O12" t="n">
        <v>-0.25</v>
      </c>
      <c r="P12" t="n">
        <v>138</v>
      </c>
      <c r="Q12" t="n">
        <v>12</v>
      </c>
      <c r="R12" t="s">
        <v>297</v>
      </c>
      <c r="S12" t="s">
        <v>288</v>
      </c>
      <c r="T12" t="n">
        <v>0.25</v>
      </c>
    </row>
    <row r="13">
      <c r="A13" t="s">
        <v>30</v>
      </c>
      <c r="B13" t="n">
        <v>0.98</v>
      </c>
      <c r="C13" t="n">
        <v>1.05</v>
      </c>
      <c r="D13" t="n">
        <v>0.97</v>
      </c>
      <c r="E13" t="n">
        <v>-4.5</v>
      </c>
      <c r="F13" t="n">
        <v>-1.5</v>
      </c>
      <c r="G13" t="n">
        <v>20</v>
      </c>
      <c r="H13" t="n">
        <v>12</v>
      </c>
      <c r="I13" t="s">
        <v>289</v>
      </c>
      <c r="J13" t="n">
        <v>0</v>
      </c>
      <c r="K13" t="n">
        <v>0</v>
      </c>
      <c r="L13" t="n">
        <v>0</v>
      </c>
      <c r="M13" t="n">
        <v>12</v>
      </c>
      <c r="N13" t="n">
        <v>-0.25</v>
      </c>
      <c r="O13" t="n">
        <v>0</v>
      </c>
      <c r="P13" t="n">
        <v>24</v>
      </c>
      <c r="Q13" t="n">
        <v>12</v>
      </c>
      <c r="R13" t="s">
        <v>290</v>
      </c>
      <c r="S13" t="s">
        <v>288</v>
      </c>
      <c r="T13" t="n">
        <v>-0.25</v>
      </c>
    </row>
    <row r="14">
      <c r="A14" t="s">
        <v>30</v>
      </c>
      <c r="B14" t="n">
        <v>0.97</v>
      </c>
      <c r="C14" t="n">
        <v>0.83</v>
      </c>
      <c r="D14" t="n">
        <v>0.93</v>
      </c>
      <c r="E14" t="n">
        <v>-5.5</v>
      </c>
      <c r="F14" t="n">
        <v>-1</v>
      </c>
      <c r="G14" t="n">
        <v>102</v>
      </c>
      <c r="H14" t="n">
        <v>12</v>
      </c>
      <c r="I14" t="s">
        <v>290</v>
      </c>
      <c r="J14" t="n">
        <v>0</v>
      </c>
      <c r="K14" t="n">
        <v>0</v>
      </c>
      <c r="L14" t="n">
        <v>0</v>
      </c>
      <c r="M14" t="n">
        <v>12</v>
      </c>
      <c r="N14" t="n">
        <v>-0.25</v>
      </c>
      <c r="O14" t="n">
        <v>0</v>
      </c>
      <c r="P14" t="n">
        <v>88</v>
      </c>
      <c r="Q14" t="n">
        <v>12</v>
      </c>
      <c r="R14" t="s">
        <v>291</v>
      </c>
      <c r="S14" t="s">
        <v>298</v>
      </c>
      <c r="T14" t="n">
        <v>-0.25</v>
      </c>
    </row>
    <row r="15">
      <c r="A15" t="s">
        <v>30</v>
      </c>
      <c r="B15" t="n">
        <v>1.16</v>
      </c>
      <c r="C15" t="n">
        <v>1</v>
      </c>
      <c r="D15" t="n">
        <v>1.16</v>
      </c>
      <c r="E15" t="n">
        <v>-1.5</v>
      </c>
      <c r="F15" t="n">
        <v>-0.25</v>
      </c>
      <c r="G15" t="n">
        <v>3</v>
      </c>
      <c r="H15" t="n">
        <v>12</v>
      </c>
      <c r="I15" t="s">
        <v>297</v>
      </c>
      <c r="J15" t="n">
        <v>0</v>
      </c>
      <c r="K15" t="n">
        <v>0</v>
      </c>
      <c r="L15" t="n">
        <v>0</v>
      </c>
      <c r="M15" t="n">
        <v>12</v>
      </c>
      <c r="N15" t="n">
        <v>0.5</v>
      </c>
      <c r="O15" t="n">
        <v>-0.25</v>
      </c>
      <c r="P15" t="n">
        <v>152</v>
      </c>
      <c r="Q15" t="n">
        <v>12</v>
      </c>
      <c r="R15" t="s">
        <v>297</v>
      </c>
      <c r="S15" t="s">
        <v>289</v>
      </c>
      <c r="T15" t="n">
        <v>0.5</v>
      </c>
    </row>
    <row r="16">
      <c r="A16" t="s">
        <v>30</v>
      </c>
      <c r="B16" t="n">
        <v>0.83</v>
      </c>
      <c r="C16" t="n">
        <v>0.7</v>
      </c>
      <c r="D16" t="n">
        <v>0.8</v>
      </c>
      <c r="E16" t="n">
        <v>-7</v>
      </c>
      <c r="F16" t="n">
        <v>0</v>
      </c>
      <c r="G16" t="n">
        <v>8</v>
      </c>
      <c r="H16" t="n">
        <v>12</v>
      </c>
      <c r="I16" t="s">
        <v>298</v>
      </c>
      <c r="J16" t="n">
        <v>0</v>
      </c>
      <c r="K16" t="n">
        <v>0</v>
      </c>
      <c r="L16" t="n">
        <v>0</v>
      </c>
      <c r="M16" t="n">
        <v>12</v>
      </c>
      <c r="N16" t="n">
        <v>0</v>
      </c>
      <c r="O16" t="n">
        <v>-0.25</v>
      </c>
      <c r="P16" t="n">
        <v>75</v>
      </c>
      <c r="Q16" t="n">
        <v>12</v>
      </c>
      <c r="R16" t="s">
        <v>292</v>
      </c>
      <c r="S16" t="s">
        <v>299</v>
      </c>
      <c r="T16" t="n">
        <v>-0.25</v>
      </c>
    </row>
    <row r="17">
      <c r="A17" t="s">
        <v>30</v>
      </c>
      <c r="B17" t="n">
        <v>1.13</v>
      </c>
      <c r="C17" t="n">
        <v>1.05</v>
      </c>
      <c r="D17" t="n">
        <v>1.14</v>
      </c>
      <c r="E17" t="n">
        <v>-3.25</v>
      </c>
      <c r="F17" t="n">
        <v>-1.5</v>
      </c>
      <c r="G17" t="n">
        <v>92</v>
      </c>
      <c r="H17" t="n">
        <v>12</v>
      </c>
      <c r="I17" t="s">
        <v>297</v>
      </c>
      <c r="J17" t="n">
        <v>0</v>
      </c>
      <c r="K17" t="n">
        <v>0</v>
      </c>
      <c r="L17" t="n">
        <v>0</v>
      </c>
      <c r="M17" t="n">
        <v>12</v>
      </c>
      <c r="N17" t="n">
        <v>0</v>
      </c>
      <c r="O17" t="n">
        <v>-0.25</v>
      </c>
      <c r="P17" t="n">
        <v>97</v>
      </c>
      <c r="Q17" t="n">
        <v>12</v>
      </c>
      <c r="R17" t="s">
        <v>297</v>
      </c>
      <c r="S17" t="s">
        <v>288</v>
      </c>
      <c r="T17" t="n">
        <v>0</v>
      </c>
    </row>
    <row r="18">
      <c r="A18" t="s">
        <v>30</v>
      </c>
      <c r="B18" t="n">
        <v>1.15</v>
      </c>
      <c r="C18" t="n">
        <v>1.04</v>
      </c>
      <c r="D18" t="n">
        <v>1.15</v>
      </c>
      <c r="E18" t="n">
        <v>-5.75</v>
      </c>
      <c r="F18" t="n">
        <v>-0.75</v>
      </c>
      <c r="G18" t="n">
        <v>17</v>
      </c>
      <c r="H18" t="n">
        <v>12</v>
      </c>
      <c r="I18" t="s">
        <v>297</v>
      </c>
      <c r="J18" t="n">
        <v>0</v>
      </c>
      <c r="K18" t="n">
        <v>0</v>
      </c>
      <c r="L18" t="n">
        <v>0</v>
      </c>
      <c r="M18" t="n">
        <v>12</v>
      </c>
      <c r="N18" t="n">
        <v>-0.5</v>
      </c>
      <c r="O18" t="n">
        <v>-0.25</v>
      </c>
      <c r="P18" t="n">
        <v>20</v>
      </c>
      <c r="Q18" t="n">
        <v>12</v>
      </c>
      <c r="R18" t="s">
        <v>297</v>
      </c>
      <c r="S18" t="s">
        <v>288</v>
      </c>
      <c r="T18" t="n">
        <v>-0.75</v>
      </c>
    </row>
    <row r="19">
      <c r="A19" t="s">
        <v>30</v>
      </c>
      <c r="B19" t="n">
        <v>1.06</v>
      </c>
      <c r="C19" t="n">
        <v>1.01</v>
      </c>
      <c r="D19" t="n">
        <v>1.09</v>
      </c>
      <c r="E19" t="n">
        <v>-2.75</v>
      </c>
      <c r="F19" t="n">
        <v>-0.25</v>
      </c>
      <c r="G19" t="n">
        <v>7</v>
      </c>
      <c r="H19" t="n">
        <v>12</v>
      </c>
      <c r="I19" t="s">
        <v>288</v>
      </c>
      <c r="J19" t="n">
        <v>0</v>
      </c>
      <c r="K19" t="n">
        <v>0</v>
      </c>
      <c r="L19" t="n">
        <v>0</v>
      </c>
      <c r="M19" t="n">
        <v>12</v>
      </c>
      <c r="N19" t="n">
        <v>0</v>
      </c>
      <c r="O19" t="n">
        <v>0</v>
      </c>
      <c r="P19" t="n">
        <v>178</v>
      </c>
      <c r="Q19" t="n">
        <v>12</v>
      </c>
      <c r="R19" t="s">
        <v>293</v>
      </c>
      <c r="S19" t="s">
        <v>289</v>
      </c>
      <c r="T19" t="n">
        <v>0</v>
      </c>
    </row>
    <row r="20">
      <c r="A20" t="s">
        <v>30</v>
      </c>
      <c r="B20" t="n">
        <v>1</v>
      </c>
      <c r="C20" t="n">
        <v>0.92</v>
      </c>
      <c r="D20" t="n">
        <v>0.95</v>
      </c>
      <c r="E20" t="n">
        <v>-1.5</v>
      </c>
      <c r="F20" t="n">
        <v>0</v>
      </c>
      <c r="G20" t="n">
        <v>97</v>
      </c>
      <c r="H20" t="n">
        <v>12</v>
      </c>
      <c r="I20" t="s">
        <v>289</v>
      </c>
      <c r="J20" t="n">
        <v>0</v>
      </c>
      <c r="K20" t="n">
        <v>0</v>
      </c>
      <c r="L20" t="n">
        <v>0</v>
      </c>
      <c r="M20" t="n">
        <v>12</v>
      </c>
      <c r="N20" t="n">
        <v>-0.5</v>
      </c>
      <c r="O20" t="n">
        <v>-0.25</v>
      </c>
      <c r="P20" t="n">
        <v>122</v>
      </c>
      <c r="Q20" t="n">
        <v>12</v>
      </c>
      <c r="R20" t="s">
        <v>290</v>
      </c>
      <c r="S20" t="s">
        <v>291</v>
      </c>
      <c r="T20" t="n">
        <v>-0.5</v>
      </c>
    </row>
    <row r="21">
      <c r="A21" t="s">
        <v>30</v>
      </c>
      <c r="B21" t="n">
        <v>1.05</v>
      </c>
      <c r="C21" t="n">
        <v>0.9</v>
      </c>
      <c r="D21" t="n">
        <v>1.06</v>
      </c>
      <c r="E21" t="n">
        <v>-6</v>
      </c>
      <c r="F21" t="n">
        <v>-1.5</v>
      </c>
      <c r="G21" t="n">
        <v>161</v>
      </c>
      <c r="H21" t="n">
        <v>12</v>
      </c>
      <c r="I21" t="s">
        <v>288</v>
      </c>
      <c r="J21" t="n">
        <v>0</v>
      </c>
      <c r="K21" t="n">
        <v>0</v>
      </c>
      <c r="L21" t="n">
        <v>0</v>
      </c>
      <c r="M21" t="n">
        <v>12</v>
      </c>
      <c r="N21" t="n">
        <v>0.5</v>
      </c>
      <c r="O21" t="n">
        <v>-0.25</v>
      </c>
      <c r="P21" t="n">
        <v>12</v>
      </c>
      <c r="Q21" t="n">
        <v>12</v>
      </c>
      <c r="R21" t="s">
        <v>288</v>
      </c>
      <c r="S21" t="s">
        <v>291</v>
      </c>
      <c r="T21" t="n">
        <v>0.25</v>
      </c>
    </row>
    <row r="22">
      <c r="A22" t="s">
        <v>30</v>
      </c>
      <c r="B22" t="n">
        <v>1.11</v>
      </c>
      <c r="C22" t="n">
        <v>1.14</v>
      </c>
      <c r="D22" t="n">
        <v>1.08</v>
      </c>
      <c r="E22" t="n">
        <v>-4.25</v>
      </c>
      <c r="F22" t="n">
        <v>-2.5</v>
      </c>
      <c r="G22" t="n">
        <v>3</v>
      </c>
      <c r="H22" t="n">
        <v>12</v>
      </c>
      <c r="I22" t="s">
        <v>293</v>
      </c>
      <c r="J22" t="n">
        <v>0</v>
      </c>
      <c r="K22" t="n">
        <v>0</v>
      </c>
      <c r="L22" t="n">
        <v>0</v>
      </c>
      <c r="M22" t="n">
        <v>12</v>
      </c>
      <c r="N22" t="n">
        <v>0</v>
      </c>
      <c r="O22" t="n">
        <v>0</v>
      </c>
      <c r="P22" t="n">
        <v>9</v>
      </c>
      <c r="Q22" t="n">
        <v>12</v>
      </c>
      <c r="R22" t="s">
        <v>293</v>
      </c>
      <c r="S22" t="s">
        <v>297</v>
      </c>
      <c r="T22" t="n">
        <v>0</v>
      </c>
    </row>
    <row r="23">
      <c r="A23" t="s">
        <v>30</v>
      </c>
      <c r="B23" t="n">
        <v>1.1</v>
      </c>
      <c r="C23" t="n">
        <v>1.09</v>
      </c>
      <c r="D23" t="n">
        <v>1.12</v>
      </c>
      <c r="E23" t="n">
        <v>-5.25</v>
      </c>
      <c r="F23" t="n">
        <v>-0.5</v>
      </c>
      <c r="G23" t="n">
        <v>13</v>
      </c>
      <c r="H23" t="n">
        <v>12</v>
      </c>
      <c r="I23" t="s">
        <v>293</v>
      </c>
      <c r="J23" t="n">
        <v>0</v>
      </c>
      <c r="K23" t="n">
        <v>0</v>
      </c>
      <c r="L23" t="n">
        <v>0</v>
      </c>
      <c r="M23" t="n">
        <v>12</v>
      </c>
      <c r="N23" t="n">
        <v>0</v>
      </c>
      <c r="O23" t="n">
        <v>-0.25</v>
      </c>
      <c r="P23" t="n">
        <v>173</v>
      </c>
      <c r="Q23" t="n">
        <v>12</v>
      </c>
      <c r="R23" t="s">
        <v>293</v>
      </c>
      <c r="S23" t="s">
        <v>293</v>
      </c>
      <c r="T23" t="n">
        <v>0</v>
      </c>
    </row>
    <row r="24">
      <c r="A24" t="s">
        <v>30</v>
      </c>
      <c r="B24" t="n">
        <v>1.07</v>
      </c>
      <c r="C24" t="n">
        <v>0.97</v>
      </c>
      <c r="D24" t="n">
        <v>1.1</v>
      </c>
      <c r="E24" t="n">
        <v>-2.75</v>
      </c>
      <c r="F24" t="n">
        <v>-0.25</v>
      </c>
      <c r="G24" t="n">
        <v>178</v>
      </c>
      <c r="H24" t="n">
        <v>12</v>
      </c>
      <c r="I24" t="s">
        <v>288</v>
      </c>
      <c r="J24" t="n">
        <v>0</v>
      </c>
      <c r="K24" t="n">
        <v>0</v>
      </c>
      <c r="L24" t="n">
        <v>0</v>
      </c>
      <c r="M24" t="n">
        <v>12</v>
      </c>
      <c r="N24" t="n">
        <v>1</v>
      </c>
      <c r="O24" t="n">
        <v>-0.25</v>
      </c>
      <c r="P24" t="n">
        <v>162</v>
      </c>
      <c r="Q24" t="n">
        <v>12</v>
      </c>
      <c r="R24" t="s">
        <v>293</v>
      </c>
      <c r="S24" t="s">
        <v>290</v>
      </c>
      <c r="T24" t="n">
        <v>0.75</v>
      </c>
    </row>
    <row r="25">
      <c r="A25" t="s">
        <v>30</v>
      </c>
      <c r="B25" t="n">
        <v>1.02</v>
      </c>
      <c r="C25" t="n">
        <v>0.99</v>
      </c>
      <c r="D25" t="n">
        <v>0.96</v>
      </c>
      <c r="E25" t="n">
        <v>-3.75</v>
      </c>
      <c r="F25" t="n">
        <v>0</v>
      </c>
      <c r="G25" t="n">
        <v>159</v>
      </c>
      <c r="H25" t="n">
        <v>12</v>
      </c>
      <c r="I25" t="s">
        <v>289</v>
      </c>
      <c r="J25" t="n">
        <v>0</v>
      </c>
      <c r="K25" t="n">
        <v>0</v>
      </c>
      <c r="L25" t="n">
        <v>0</v>
      </c>
      <c r="M25" t="n">
        <v>12</v>
      </c>
      <c r="N25" t="n">
        <v>0.5</v>
      </c>
      <c r="O25" t="n">
        <v>0</v>
      </c>
      <c r="P25" t="n">
        <v>159</v>
      </c>
      <c r="Q25" t="n">
        <v>12</v>
      </c>
      <c r="R25" t="s">
        <v>290</v>
      </c>
      <c r="S25" t="s">
        <v>289</v>
      </c>
      <c r="T25" t="n">
        <v>0.5</v>
      </c>
    </row>
    <row r="26">
      <c r="A26" t="s">
        <v>30</v>
      </c>
      <c r="B26" t="n">
        <v>0.95</v>
      </c>
      <c r="C26" t="n">
        <v>1.14</v>
      </c>
      <c r="D26" t="n">
        <v>0.95</v>
      </c>
      <c r="E26" t="n">
        <v>-1.75</v>
      </c>
      <c r="F26" t="n">
        <v>0</v>
      </c>
      <c r="G26" t="n">
        <v>161</v>
      </c>
      <c r="H26" t="n">
        <v>12</v>
      </c>
      <c r="I26" t="s">
        <v>290</v>
      </c>
      <c r="J26" t="n">
        <v>0</v>
      </c>
      <c r="K26" t="n">
        <v>0</v>
      </c>
      <c r="L26" t="n">
        <v>0</v>
      </c>
      <c r="M26" t="n">
        <v>12</v>
      </c>
      <c r="N26" t="n">
        <v>0</v>
      </c>
      <c r="O26" t="n">
        <v>-0.25</v>
      </c>
      <c r="P26" t="n">
        <v>7</v>
      </c>
      <c r="Q26" t="n">
        <v>12</v>
      </c>
      <c r="R26" t="s">
        <v>290</v>
      </c>
      <c r="S26" t="s">
        <v>297</v>
      </c>
      <c r="T26" t="n">
        <v>0</v>
      </c>
    </row>
    <row r="27">
      <c r="A27" t="s">
        <v>30</v>
      </c>
      <c r="B27" t="n">
        <v>0.97</v>
      </c>
      <c r="C27" t="n">
        <v>1.06</v>
      </c>
      <c r="D27" t="n">
        <v>0.98</v>
      </c>
      <c r="E27" t="n">
        <v>-3.75</v>
      </c>
      <c r="F27" t="n">
        <v>-1.75</v>
      </c>
      <c r="G27" t="n">
        <v>15</v>
      </c>
      <c r="H27" t="n">
        <v>12</v>
      </c>
      <c r="I27" t="s">
        <v>290</v>
      </c>
      <c r="J27" t="n">
        <v>0</v>
      </c>
      <c r="K27" t="n">
        <v>0</v>
      </c>
      <c r="L27" t="n">
        <v>0</v>
      </c>
      <c r="M27" t="n">
        <v>12</v>
      </c>
      <c r="N27" t="n">
        <v>0.75</v>
      </c>
      <c r="O27" t="n">
        <v>-0.5</v>
      </c>
      <c r="P27" t="n">
        <v>24</v>
      </c>
      <c r="Q27" t="n">
        <v>12</v>
      </c>
      <c r="R27" t="s">
        <v>289</v>
      </c>
      <c r="S27" t="s">
        <v>288</v>
      </c>
      <c r="T27" t="n">
        <v>0.5</v>
      </c>
    </row>
    <row r="28">
      <c r="A28" t="s">
        <v>30</v>
      </c>
      <c r="B28" t="n">
        <v>1.04</v>
      </c>
      <c r="C28" t="n">
        <v>0.91</v>
      </c>
      <c r="D28" t="n">
        <v>1.04</v>
      </c>
      <c r="E28" t="n">
        <v>-5.25</v>
      </c>
      <c r="F28" t="n">
        <v>0</v>
      </c>
      <c r="G28" t="n">
        <v>3</v>
      </c>
      <c r="H28" t="n">
        <v>12</v>
      </c>
      <c r="I28" t="s">
        <v>288</v>
      </c>
      <c r="J28" t="n">
        <v>0</v>
      </c>
      <c r="K28" t="n">
        <v>0</v>
      </c>
      <c r="L28" t="n">
        <v>0</v>
      </c>
      <c r="M28" t="n">
        <v>12</v>
      </c>
      <c r="N28" t="n">
        <v>0.25</v>
      </c>
      <c r="O28" t="n">
        <v>-0.5</v>
      </c>
      <c r="P28" t="n">
        <v>91</v>
      </c>
      <c r="Q28" t="n">
        <v>12</v>
      </c>
      <c r="R28" t="s">
        <v>288</v>
      </c>
      <c r="S28" t="s">
        <v>291</v>
      </c>
      <c r="T28" t="n">
        <v>0</v>
      </c>
    </row>
    <row r="29">
      <c r="A29" t="s">
        <v>30</v>
      </c>
      <c r="B29" t="n">
        <v>1.13</v>
      </c>
      <c r="C29" t="n">
        <v>1.18</v>
      </c>
      <c r="D29" t="n">
        <v>1.16</v>
      </c>
      <c r="E29" t="n">
        <v>-5.75</v>
      </c>
      <c r="F29" t="n">
        <v>-1.25</v>
      </c>
      <c r="G29" t="n">
        <v>100</v>
      </c>
      <c r="H29" t="n">
        <v>12</v>
      </c>
      <c r="I29" t="s">
        <v>297</v>
      </c>
      <c r="J29" t="n">
        <v>0</v>
      </c>
      <c r="K29" t="n">
        <v>0</v>
      </c>
      <c r="L29" t="n">
        <v>0</v>
      </c>
      <c r="M29" t="n">
        <v>12</v>
      </c>
      <c r="N29" t="n">
        <v>0</v>
      </c>
      <c r="O29" t="n">
        <v>-0.25</v>
      </c>
      <c r="P29" t="n">
        <v>103</v>
      </c>
      <c r="Q29" t="n">
        <v>12</v>
      </c>
      <c r="R29" t="s">
        <v>297</v>
      </c>
      <c r="S29" t="s">
        <v>294</v>
      </c>
      <c r="T29" t="n">
        <v>0</v>
      </c>
    </row>
    <row r="30">
      <c r="A30" t="s">
        <v>30</v>
      </c>
      <c r="B30" t="n">
        <v>0.92</v>
      </c>
      <c r="C30" t="n">
        <v>0.87</v>
      </c>
      <c r="D30" t="n">
        <v>0.92</v>
      </c>
      <c r="E30" t="n">
        <v>-3.25</v>
      </c>
      <c r="F30" t="n">
        <v>0</v>
      </c>
      <c r="G30" t="n">
        <v>3</v>
      </c>
      <c r="H30" t="n">
        <v>12</v>
      </c>
      <c r="I30" t="s">
        <v>291</v>
      </c>
      <c r="J30" t="n">
        <v>0</v>
      </c>
      <c r="K30" t="n">
        <v>0</v>
      </c>
      <c r="L30" t="n">
        <v>0</v>
      </c>
      <c r="M30" t="n">
        <v>12</v>
      </c>
      <c r="N30" t="n">
        <v>0</v>
      </c>
      <c r="O30" t="n">
        <v>-0.25</v>
      </c>
      <c r="P30" t="n">
        <v>140</v>
      </c>
      <c r="Q30" t="n">
        <v>12</v>
      </c>
      <c r="R30" t="s">
        <v>291</v>
      </c>
      <c r="S30" t="s">
        <v>300</v>
      </c>
      <c r="T30" t="n">
        <v>0</v>
      </c>
    </row>
    <row r="31">
      <c r="A31" t="s">
        <v>30</v>
      </c>
      <c r="B31" t="n">
        <v>0.89</v>
      </c>
      <c r="C31" t="n">
        <v>0.81</v>
      </c>
      <c r="D31" t="n">
        <v>0.85</v>
      </c>
      <c r="E31" t="n">
        <v>-2.5</v>
      </c>
      <c r="F31" t="n">
        <v>0</v>
      </c>
      <c r="G31" t="n">
        <v>1</v>
      </c>
      <c r="H31" t="n">
        <v>12</v>
      </c>
      <c r="I31" t="s">
        <v>300</v>
      </c>
      <c r="J31" t="n">
        <v>0</v>
      </c>
      <c r="K31" t="n">
        <v>0</v>
      </c>
      <c r="L31" t="n">
        <v>0</v>
      </c>
      <c r="M31" t="n">
        <v>12</v>
      </c>
      <c r="N31" t="n">
        <v>0.5</v>
      </c>
      <c r="O31" t="n">
        <v>-0.5</v>
      </c>
      <c r="P31" t="n">
        <v>23</v>
      </c>
      <c r="Q31" t="n">
        <v>12</v>
      </c>
      <c r="R31" t="s">
        <v>298</v>
      </c>
      <c r="S31" t="s">
        <v>292</v>
      </c>
      <c r="T31" t="n">
        <v>0.25</v>
      </c>
    </row>
    <row r="32">
      <c r="A32" t="s">
        <v>30</v>
      </c>
      <c r="B32" t="n">
        <v>1.12</v>
      </c>
      <c r="C32" t="n">
        <v>1.15</v>
      </c>
      <c r="D32" t="n">
        <v>1.17</v>
      </c>
      <c r="E32" t="n">
        <v>-0.75</v>
      </c>
      <c r="F32" t="n">
        <v>0</v>
      </c>
      <c r="G32" t="n">
        <v>163</v>
      </c>
      <c r="H32" t="n">
        <v>12</v>
      </c>
      <c r="I32" t="s">
        <v>293</v>
      </c>
      <c r="J32" t="n">
        <v>0</v>
      </c>
      <c r="K32" t="n">
        <v>0</v>
      </c>
      <c r="L32" t="n">
        <v>0</v>
      </c>
      <c r="M32" t="n">
        <v>12</v>
      </c>
      <c r="N32" t="n">
        <v>0</v>
      </c>
      <c r="O32" t="n">
        <v>-0.25</v>
      </c>
      <c r="P32" t="n">
        <v>149</v>
      </c>
      <c r="Q32" t="n">
        <v>12</v>
      </c>
      <c r="R32" t="s">
        <v>297</v>
      </c>
      <c r="S32" t="s">
        <v>297</v>
      </c>
      <c r="T32" t="n">
        <v>0</v>
      </c>
    </row>
    <row r="33">
      <c r="A33" t="s">
        <v>30</v>
      </c>
      <c r="B33" t="n">
        <v>0.97</v>
      </c>
      <c r="C33" t="n">
        <v>1</v>
      </c>
      <c r="D33" t="n">
        <v>0.95</v>
      </c>
      <c r="E33" t="n">
        <v>-5</v>
      </c>
      <c r="F33" t="n">
        <v>-1</v>
      </c>
      <c r="G33" t="n">
        <v>159</v>
      </c>
      <c r="H33" t="n">
        <v>12</v>
      </c>
      <c r="I33" t="s">
        <v>290</v>
      </c>
      <c r="J33" t="n">
        <v>0</v>
      </c>
      <c r="K33" t="n">
        <v>0</v>
      </c>
      <c r="L33" t="n">
        <v>0</v>
      </c>
      <c r="M33" t="n">
        <v>12</v>
      </c>
      <c r="N33" t="n">
        <v>0.25</v>
      </c>
      <c r="O33" t="n">
        <v>-0.5</v>
      </c>
      <c r="P33" t="n">
        <v>169</v>
      </c>
      <c r="Q33" t="n">
        <v>12</v>
      </c>
      <c r="R33" t="s">
        <v>290</v>
      </c>
      <c r="S33" t="s">
        <v>289</v>
      </c>
      <c r="T33" t="n">
        <v>0</v>
      </c>
    </row>
    <row r="34">
      <c r="A34" t="s">
        <v>30</v>
      </c>
      <c r="B34" t="n">
        <v>1.02</v>
      </c>
      <c r="C34" t="n">
        <v>1.2</v>
      </c>
      <c r="D34" t="n">
        <v>1.05</v>
      </c>
      <c r="E34" t="n">
        <v>-2.5</v>
      </c>
      <c r="F34" t="n">
        <v>-0.5</v>
      </c>
      <c r="G34" t="n">
        <v>168</v>
      </c>
      <c r="H34" t="n">
        <v>12</v>
      </c>
      <c r="I34" t="s">
        <v>289</v>
      </c>
      <c r="J34" t="n">
        <v>0</v>
      </c>
      <c r="K34" t="n">
        <v>0</v>
      </c>
      <c r="L34" t="n">
        <v>0</v>
      </c>
      <c r="M34" t="n">
        <v>12</v>
      </c>
      <c r="N34" t="n">
        <v>0</v>
      </c>
      <c r="O34" t="n">
        <v>-0.25</v>
      </c>
      <c r="P34" t="n">
        <v>4</v>
      </c>
      <c r="Q34" t="n">
        <v>12</v>
      </c>
      <c r="R34" t="s">
        <v>288</v>
      </c>
      <c r="S34" t="s">
        <v>294</v>
      </c>
      <c r="T34" t="n">
        <v>0</v>
      </c>
    </row>
    <row r="35">
      <c r="A35" t="s">
        <v>30</v>
      </c>
      <c r="B35" t="n">
        <v>1.15</v>
      </c>
      <c r="C35" t="n">
        <v>1.16</v>
      </c>
      <c r="D35" t="n">
        <v>1.12</v>
      </c>
      <c r="E35" t="n">
        <v>-2.5</v>
      </c>
      <c r="F35" t="n">
        <v>-0.5</v>
      </c>
      <c r="G35" t="n">
        <v>164</v>
      </c>
      <c r="H35" t="n">
        <v>12</v>
      </c>
      <c r="I35" t="s">
        <v>297</v>
      </c>
      <c r="J35" t="n">
        <v>0</v>
      </c>
      <c r="K35" t="n">
        <v>0</v>
      </c>
      <c r="L35" t="n">
        <v>0</v>
      </c>
      <c r="M35" t="n">
        <v>12</v>
      </c>
      <c r="N35" t="n">
        <v>1</v>
      </c>
      <c r="O35" t="n">
        <v>-0.25</v>
      </c>
      <c r="P35" t="n">
        <v>170</v>
      </c>
      <c r="Q35" t="n">
        <v>12</v>
      </c>
      <c r="R35" t="s">
        <v>293</v>
      </c>
      <c r="S35" t="s">
        <v>297</v>
      </c>
      <c r="T35" t="n">
        <v>0.75</v>
      </c>
    </row>
    <row r="36">
      <c r="A36" t="s">
        <v>30</v>
      </c>
      <c r="B36" t="n">
        <v>1.11</v>
      </c>
      <c r="C36" t="n">
        <v>1.25</v>
      </c>
      <c r="D36" t="n">
        <v>1.14</v>
      </c>
      <c r="E36" t="n">
        <v>-2</v>
      </c>
      <c r="F36" t="n">
        <v>-0.25</v>
      </c>
      <c r="G36" t="n">
        <v>10</v>
      </c>
      <c r="H36" t="n">
        <v>12</v>
      </c>
      <c r="I36" t="s">
        <v>293</v>
      </c>
      <c r="J36" t="n">
        <v>0</v>
      </c>
      <c r="K36" t="n">
        <v>0</v>
      </c>
      <c r="L36" t="n">
        <v>0</v>
      </c>
      <c r="M36" t="n">
        <v>12</v>
      </c>
      <c r="N36" t="n">
        <v>0</v>
      </c>
      <c r="O36" t="n">
        <v>-0.5</v>
      </c>
      <c r="P36" t="n">
        <v>28</v>
      </c>
      <c r="Q36" t="n">
        <v>12</v>
      </c>
      <c r="R36" t="s">
        <v>297</v>
      </c>
      <c r="S36" t="s">
        <v>296</v>
      </c>
      <c r="T36" t="n">
        <v>-0.25</v>
      </c>
    </row>
    <row r="37">
      <c r="A37" t="s">
        <v>30</v>
      </c>
      <c r="B37" t="n">
        <v>1.01</v>
      </c>
      <c r="C37" t="n">
        <v>0.91</v>
      </c>
      <c r="D37" t="n">
        <v>1</v>
      </c>
      <c r="E37" t="n">
        <v>-3.25</v>
      </c>
      <c r="F37" t="n">
        <v>-0.25</v>
      </c>
      <c r="G37" t="n">
        <v>47</v>
      </c>
      <c r="H37" t="n">
        <v>12</v>
      </c>
      <c r="I37" t="s">
        <v>289</v>
      </c>
      <c r="J37" t="n">
        <v>0</v>
      </c>
      <c r="K37" t="n">
        <v>0</v>
      </c>
      <c r="L37" t="n">
        <v>0</v>
      </c>
      <c r="M37" t="n">
        <v>12</v>
      </c>
      <c r="N37" t="n">
        <v>0.5</v>
      </c>
      <c r="O37" t="n">
        <v>-0.5</v>
      </c>
      <c r="P37" t="n">
        <v>48</v>
      </c>
      <c r="Q37" t="n">
        <v>12</v>
      </c>
      <c r="R37" t="s">
        <v>289</v>
      </c>
      <c r="S37" t="s">
        <v>291</v>
      </c>
      <c r="T37" t="n">
        <v>0.25</v>
      </c>
    </row>
    <row r="38">
      <c r="A38" t="s">
        <v>30</v>
      </c>
      <c r="B38" t="n">
        <v>1.01</v>
      </c>
      <c r="C38" t="n">
        <v>1.14</v>
      </c>
      <c r="D38" t="n">
        <v>0.98</v>
      </c>
      <c r="E38" t="n">
        <v>-6.75</v>
      </c>
      <c r="F38" t="n">
        <v>-0.5</v>
      </c>
      <c r="G38" t="n">
        <v>7</v>
      </c>
      <c r="H38" t="n">
        <v>12</v>
      </c>
      <c r="I38" t="s">
        <v>289</v>
      </c>
      <c r="J38" t="n">
        <v>0</v>
      </c>
      <c r="K38" t="n">
        <v>0</v>
      </c>
      <c r="L38" t="n">
        <v>0</v>
      </c>
      <c r="M38" t="n">
        <v>12</v>
      </c>
      <c r="N38" t="n">
        <v>0</v>
      </c>
      <c r="O38" t="n">
        <v>-0.25</v>
      </c>
      <c r="P38" t="n">
        <v>21</v>
      </c>
      <c r="Q38" t="n">
        <v>12</v>
      </c>
      <c r="R38" t="s">
        <v>289</v>
      </c>
      <c r="S38" t="s">
        <v>297</v>
      </c>
      <c r="T38" t="n">
        <v>-0.25</v>
      </c>
    </row>
    <row r="39">
      <c r="A39" t="s">
        <v>30</v>
      </c>
      <c r="B39" t="n">
        <v>1.03</v>
      </c>
      <c r="C39" t="n">
        <v>0.93</v>
      </c>
      <c r="D39" t="n">
        <v>1.03</v>
      </c>
      <c r="E39" t="n">
        <v>-7.25</v>
      </c>
      <c r="F39" t="n">
        <v>-0.5</v>
      </c>
      <c r="G39" t="n">
        <v>180</v>
      </c>
      <c r="H39" t="n">
        <v>12</v>
      </c>
      <c r="I39" t="s">
        <v>288</v>
      </c>
      <c r="J39" t="n">
        <v>0</v>
      </c>
      <c r="K39" t="n">
        <v>0</v>
      </c>
      <c r="L39" t="n">
        <v>0</v>
      </c>
      <c r="M39" t="n">
        <v>12</v>
      </c>
      <c r="N39" t="n">
        <v>0.5</v>
      </c>
      <c r="O39" t="n">
        <v>-0.5</v>
      </c>
      <c r="P39" t="n">
        <v>16</v>
      </c>
      <c r="Q39" t="n">
        <v>12</v>
      </c>
      <c r="R39" t="s">
        <v>288</v>
      </c>
      <c r="S39" t="s">
        <v>291</v>
      </c>
      <c r="T39" t="n">
        <v>0.25</v>
      </c>
    </row>
    <row r="40">
      <c r="A40" t="s">
        <v>30</v>
      </c>
      <c r="B40" t="n">
        <v>1.13</v>
      </c>
      <c r="C40" t="n">
        <v>0.9</v>
      </c>
      <c r="D40" t="n">
        <v>1.12</v>
      </c>
      <c r="E40" t="n">
        <v>-2</v>
      </c>
      <c r="F40" t="n">
        <v>-0.75</v>
      </c>
      <c r="G40" t="n">
        <v>85</v>
      </c>
      <c r="H40" t="n">
        <v>12</v>
      </c>
      <c r="I40" t="s">
        <v>297</v>
      </c>
      <c r="J40" t="n">
        <v>0</v>
      </c>
      <c r="K40" t="n">
        <v>0</v>
      </c>
      <c r="L40" t="n">
        <v>0</v>
      </c>
      <c r="M40" t="n">
        <v>12</v>
      </c>
      <c r="N40" t="n">
        <v>0.5</v>
      </c>
      <c r="O40" t="n">
        <v>0</v>
      </c>
      <c r="P40" t="n">
        <v>137</v>
      </c>
      <c r="Q40" t="n">
        <v>12</v>
      </c>
      <c r="R40" t="s">
        <v>293</v>
      </c>
      <c r="S40" t="s">
        <v>291</v>
      </c>
      <c r="T40" t="n">
        <v>0.5</v>
      </c>
    </row>
    <row r="41">
      <c r="A41" t="s">
        <v>30</v>
      </c>
      <c r="B41" t="n">
        <v>0.98</v>
      </c>
      <c r="C41" t="n">
        <v>0.86</v>
      </c>
      <c r="D41" t="n">
        <v>0.95</v>
      </c>
      <c r="E41" t="n">
        <v>-7.25</v>
      </c>
      <c r="F41" t="n">
        <v>-0.75</v>
      </c>
      <c r="G41" t="n">
        <v>14</v>
      </c>
      <c r="H41" t="n">
        <v>12</v>
      </c>
      <c r="I41" t="s">
        <v>289</v>
      </c>
      <c r="J41" t="n">
        <v>0</v>
      </c>
      <c r="K41" t="n">
        <v>0</v>
      </c>
      <c r="L41" t="n">
        <v>0</v>
      </c>
      <c r="M41" t="n">
        <v>12</v>
      </c>
      <c r="N41" t="n">
        <v>0</v>
      </c>
      <c r="O41" t="n">
        <v>-0.5</v>
      </c>
      <c r="P41" t="n">
        <v>167</v>
      </c>
      <c r="Q41" t="n">
        <v>12</v>
      </c>
      <c r="R41" t="s">
        <v>290</v>
      </c>
      <c r="S41" t="s">
        <v>300</v>
      </c>
      <c r="T41" t="n">
        <v>-0.25</v>
      </c>
    </row>
    <row r="42">
      <c r="A42" t="s">
        <v>30</v>
      </c>
      <c r="B42" t="n">
        <v>0.88</v>
      </c>
      <c r="C42" t="n">
        <v>0.83</v>
      </c>
      <c r="D42" t="n">
        <v>0.82</v>
      </c>
      <c r="E42" t="n">
        <v>-4.5</v>
      </c>
      <c r="F42" t="n">
        <v>-1.25</v>
      </c>
      <c r="G42" t="n">
        <v>75</v>
      </c>
      <c r="H42" t="n">
        <v>12</v>
      </c>
      <c r="I42" t="s">
        <v>300</v>
      </c>
      <c r="J42" t="n">
        <v>0</v>
      </c>
      <c r="K42" t="n">
        <v>0</v>
      </c>
      <c r="L42" t="n">
        <v>0</v>
      </c>
      <c r="M42" t="n">
        <v>12</v>
      </c>
      <c r="N42" t="n">
        <v>0.25</v>
      </c>
      <c r="O42" t="n">
        <v>-0.5</v>
      </c>
      <c r="P42" t="n">
        <v>50</v>
      </c>
      <c r="Q42" t="n">
        <v>12</v>
      </c>
      <c r="R42" t="s">
        <v>298</v>
      </c>
      <c r="S42" t="s">
        <v>298</v>
      </c>
      <c r="T42" t="n">
        <v>0</v>
      </c>
    </row>
    <row r="43">
      <c r="A43" t="s">
        <v>30</v>
      </c>
      <c r="B43" t="n">
        <v>1.11</v>
      </c>
      <c r="C43" t="n">
        <v>1.08</v>
      </c>
      <c r="D43" t="n">
        <v>1.14</v>
      </c>
      <c r="E43" t="n">
        <v>-4.75</v>
      </c>
      <c r="F43" t="n">
        <v>-1.25</v>
      </c>
      <c r="G43" t="n">
        <v>17</v>
      </c>
      <c r="H43" t="n">
        <v>12</v>
      </c>
      <c r="I43" t="s">
        <v>293</v>
      </c>
      <c r="J43" t="n">
        <v>0</v>
      </c>
      <c r="K43" t="n">
        <v>0</v>
      </c>
      <c r="L43" t="n">
        <v>0</v>
      </c>
      <c r="M43" t="n">
        <v>12</v>
      </c>
      <c r="N43" t="n">
        <v>0</v>
      </c>
      <c r="O43" t="n">
        <v>0</v>
      </c>
      <c r="P43" t="n">
        <v>18</v>
      </c>
      <c r="Q43" t="n">
        <v>12</v>
      </c>
      <c r="R43" t="s">
        <v>297</v>
      </c>
      <c r="S43" t="s">
        <v>293</v>
      </c>
      <c r="T43" t="n">
        <v>0</v>
      </c>
    </row>
    <row r="44">
      <c r="A44" t="s">
        <v>30</v>
      </c>
      <c r="B44" t="n">
        <v>1.1</v>
      </c>
      <c r="C44" t="n">
        <v>1.22</v>
      </c>
      <c r="D44" t="n">
        <v>1.12</v>
      </c>
      <c r="E44" t="n">
        <v>-4.25</v>
      </c>
      <c r="F44" t="n">
        <v>-2.75</v>
      </c>
      <c r="G44" t="n">
        <v>170</v>
      </c>
      <c r="H44" t="n">
        <v>12</v>
      </c>
      <c r="I44" t="s">
        <v>293</v>
      </c>
      <c r="J44" t="n">
        <v>0</v>
      </c>
      <c r="K44" t="n">
        <v>0</v>
      </c>
      <c r="L44" t="n">
        <v>0</v>
      </c>
      <c r="M44" t="n">
        <v>12</v>
      </c>
      <c r="N44" t="n">
        <v>0.25</v>
      </c>
      <c r="O44" t="n">
        <v>-0.5</v>
      </c>
      <c r="P44" t="n">
        <v>13</v>
      </c>
      <c r="Q44" t="n">
        <v>12</v>
      </c>
      <c r="R44" t="s">
        <v>293</v>
      </c>
      <c r="S44" t="s">
        <v>294</v>
      </c>
      <c r="T44" t="n">
        <v>0</v>
      </c>
    </row>
    <row r="45">
      <c r="A45" t="s">
        <v>30</v>
      </c>
      <c r="B45" t="n">
        <v>0.99</v>
      </c>
      <c r="C45" t="n">
        <v>0.92</v>
      </c>
      <c r="D45" t="n">
        <v>0.98</v>
      </c>
      <c r="E45" t="n">
        <v>-0.5</v>
      </c>
      <c r="F45" t="n">
        <v>-0.5</v>
      </c>
      <c r="G45" t="n">
        <v>23</v>
      </c>
      <c r="H45" t="n">
        <v>12</v>
      </c>
      <c r="I45" t="s">
        <v>289</v>
      </c>
      <c r="J45" t="n">
        <v>0</v>
      </c>
      <c r="K45" t="n">
        <v>0</v>
      </c>
      <c r="L45" t="n">
        <v>0</v>
      </c>
      <c r="M45" t="n">
        <v>12</v>
      </c>
      <c r="N45" t="n">
        <v>0.5</v>
      </c>
      <c r="O45" t="n">
        <v>-0.25</v>
      </c>
      <c r="P45" t="n">
        <v>49</v>
      </c>
      <c r="Q45" t="n">
        <v>12</v>
      </c>
      <c r="R45" t="s">
        <v>289</v>
      </c>
      <c r="S45" t="s">
        <v>291</v>
      </c>
      <c r="T45" t="n">
        <v>0.5</v>
      </c>
    </row>
    <row r="46">
      <c r="A46" t="s">
        <v>30</v>
      </c>
      <c r="B46" t="n">
        <v>1.08</v>
      </c>
      <c r="C46" t="n">
        <v>1.15</v>
      </c>
      <c r="D46" t="n">
        <v>1.04</v>
      </c>
      <c r="E46" t="n">
        <v>-4.75</v>
      </c>
      <c r="F46" t="n">
        <v>-0.25</v>
      </c>
      <c r="G46" t="n">
        <v>172</v>
      </c>
      <c r="H46" t="n">
        <v>12</v>
      </c>
      <c r="I46" t="s">
        <v>293</v>
      </c>
      <c r="J46" t="n">
        <v>0</v>
      </c>
      <c r="K46" t="n">
        <v>0</v>
      </c>
      <c r="L46" t="n">
        <v>0</v>
      </c>
      <c r="M46" t="n">
        <v>12</v>
      </c>
      <c r="N46" t="n">
        <v>0.5</v>
      </c>
      <c r="O46" t="n">
        <v>-0.25</v>
      </c>
      <c r="P46" t="n">
        <v>15</v>
      </c>
      <c r="Q46" t="n">
        <v>12</v>
      </c>
      <c r="R46" t="s">
        <v>288</v>
      </c>
      <c r="S46" t="s">
        <v>297</v>
      </c>
      <c r="T46" t="n">
        <v>0.25</v>
      </c>
    </row>
    <row r="47">
      <c r="A47" t="s">
        <v>30</v>
      </c>
      <c r="B47" t="n">
        <v>1.06</v>
      </c>
      <c r="C47" t="n">
        <v>1.09</v>
      </c>
      <c r="D47" t="n">
        <v>1.13</v>
      </c>
      <c r="E47" t="n">
        <v>-3.25</v>
      </c>
      <c r="F47" t="n">
        <v>-0.25</v>
      </c>
      <c r="G47" t="n">
        <v>97</v>
      </c>
      <c r="H47" t="n">
        <v>12</v>
      </c>
      <c r="I47" t="s">
        <v>288</v>
      </c>
      <c r="J47" t="n">
        <v>0</v>
      </c>
      <c r="K47" t="n">
        <v>0</v>
      </c>
      <c r="L47" t="n">
        <v>0</v>
      </c>
      <c r="M47" t="n">
        <v>12</v>
      </c>
      <c r="N47" t="n">
        <v>0.5</v>
      </c>
      <c r="O47" t="n">
        <v>-0.25</v>
      </c>
      <c r="P47" t="n">
        <v>122</v>
      </c>
      <c r="Q47" t="n">
        <v>12</v>
      </c>
      <c r="R47" t="s">
        <v>297</v>
      </c>
      <c r="S47" t="s">
        <v>293</v>
      </c>
      <c r="T47" t="n">
        <v>0.25</v>
      </c>
    </row>
    <row r="48">
      <c r="A48" t="s">
        <v>30</v>
      </c>
      <c r="B48" t="n">
        <v>1.02</v>
      </c>
      <c r="C48" t="n">
        <v>0.94</v>
      </c>
      <c r="D48" t="n">
        <v>1.02</v>
      </c>
      <c r="E48" t="n">
        <v>-2.75</v>
      </c>
      <c r="F48" t="n">
        <v>-2.25</v>
      </c>
      <c r="G48" t="n">
        <v>7</v>
      </c>
      <c r="H48" t="n">
        <v>12</v>
      </c>
      <c r="I48" t="s">
        <v>289</v>
      </c>
      <c r="J48" t="n">
        <v>0</v>
      </c>
      <c r="K48" t="n">
        <v>0</v>
      </c>
      <c r="L48" t="n">
        <v>0</v>
      </c>
      <c r="M48" t="n">
        <v>12</v>
      </c>
      <c r="N48" t="n">
        <v>-0.5</v>
      </c>
      <c r="O48" t="n">
        <v>-0.25</v>
      </c>
      <c r="P48" t="n">
        <v>153</v>
      </c>
      <c r="Q48" t="n">
        <v>12</v>
      </c>
      <c r="R48" t="s">
        <v>289</v>
      </c>
      <c r="S48" t="s">
        <v>290</v>
      </c>
      <c r="T48" t="n">
        <v>-0.5</v>
      </c>
    </row>
    <row r="49">
      <c r="A49" t="s">
        <v>30</v>
      </c>
      <c r="B49" t="n">
        <v>1.06</v>
      </c>
      <c r="C49" t="n">
        <v>1.11</v>
      </c>
      <c r="D49" t="n">
        <v>1.06</v>
      </c>
      <c r="E49" t="n">
        <v>-3</v>
      </c>
      <c r="F49" t="n">
        <v>-0.75</v>
      </c>
      <c r="G49" t="n">
        <v>165</v>
      </c>
      <c r="H49" t="n">
        <v>12</v>
      </c>
      <c r="I49" t="s">
        <v>288</v>
      </c>
      <c r="J49" t="n">
        <v>0</v>
      </c>
      <c r="K49" t="n">
        <v>0</v>
      </c>
      <c r="L49" t="n">
        <v>0</v>
      </c>
      <c r="M49" t="n">
        <v>12</v>
      </c>
      <c r="N49" t="n">
        <v>0</v>
      </c>
      <c r="O49" t="n">
        <v>-0.5</v>
      </c>
      <c r="P49" t="n">
        <v>12</v>
      </c>
      <c r="Q49" t="n">
        <v>12</v>
      </c>
      <c r="R49" t="s">
        <v>288</v>
      </c>
      <c r="S49" t="s">
        <v>293</v>
      </c>
      <c r="T49" t="n">
        <v>-0.25</v>
      </c>
    </row>
    <row r="50">
      <c r="A50" t="s">
        <v>30</v>
      </c>
      <c r="B50" t="n">
        <v>1.02</v>
      </c>
      <c r="C50" t="n">
        <v>0.96</v>
      </c>
      <c r="D50" t="n">
        <v>0.96</v>
      </c>
      <c r="E50" t="n">
        <v>-4.25</v>
      </c>
      <c r="F50" t="n">
        <v>-0.5</v>
      </c>
      <c r="G50" t="n">
        <v>76</v>
      </c>
      <c r="H50" t="n">
        <v>12</v>
      </c>
      <c r="I50" t="s">
        <v>289</v>
      </c>
      <c r="J50" t="n">
        <v>0</v>
      </c>
      <c r="K50" t="n">
        <v>0</v>
      </c>
      <c r="L50" t="n">
        <v>0</v>
      </c>
      <c r="M50" t="n">
        <v>12</v>
      </c>
      <c r="N50" t="n">
        <v>0</v>
      </c>
      <c r="O50" t="n">
        <v>-0.25</v>
      </c>
      <c r="P50" t="n">
        <v>62</v>
      </c>
      <c r="Q50" t="n">
        <v>12</v>
      </c>
      <c r="R50" t="s">
        <v>290</v>
      </c>
      <c r="S50" t="s">
        <v>290</v>
      </c>
      <c r="T50" t="n">
        <v>0</v>
      </c>
    </row>
    <row r="51">
      <c r="A51" t="s">
        <v>30</v>
      </c>
      <c r="B51" t="n">
        <v>0.9</v>
      </c>
      <c r="C51" t="n">
        <v>0.91</v>
      </c>
      <c r="D51" t="n">
        <v>0.91</v>
      </c>
      <c r="E51" t="n">
        <v>-3.5</v>
      </c>
      <c r="F51" t="n">
        <v>0</v>
      </c>
      <c r="G51" t="n">
        <v>170</v>
      </c>
      <c r="H51" t="n">
        <v>12</v>
      </c>
      <c r="I51" t="s">
        <v>291</v>
      </c>
      <c r="J51" t="n">
        <v>0</v>
      </c>
      <c r="K51" t="n">
        <v>0</v>
      </c>
      <c r="L51" t="n">
        <v>0</v>
      </c>
      <c r="M51" t="n">
        <v>12</v>
      </c>
      <c r="N51" t="n">
        <v>0</v>
      </c>
      <c r="O51" t="n">
        <v>-0.25</v>
      </c>
      <c r="P51" t="n">
        <v>165</v>
      </c>
      <c r="Q51" t="n">
        <v>12</v>
      </c>
      <c r="R51" t="s">
        <v>291</v>
      </c>
      <c r="S51" t="s">
        <v>291</v>
      </c>
      <c r="T51" t="n">
        <v>0</v>
      </c>
    </row>
    <row r="52">
      <c r="A52" t="s">
        <v>30</v>
      </c>
      <c r="B52" t="n">
        <v>1.06</v>
      </c>
      <c r="C52" t="n">
        <v>0.95</v>
      </c>
      <c r="D52" t="n">
        <v>1.06</v>
      </c>
      <c r="E52" t="n">
        <v>-3.25</v>
      </c>
      <c r="F52" t="n">
        <v>-1.25</v>
      </c>
      <c r="G52" t="n">
        <v>84</v>
      </c>
      <c r="H52" t="n">
        <v>12</v>
      </c>
      <c r="I52" t="s">
        <v>288</v>
      </c>
      <c r="J52" t="n">
        <v>0</v>
      </c>
      <c r="K52" t="n">
        <v>0</v>
      </c>
      <c r="L52" t="n">
        <v>0</v>
      </c>
      <c r="M52" t="n">
        <v>12</v>
      </c>
      <c r="N52" t="n">
        <v>0.5</v>
      </c>
      <c r="O52" t="n">
        <v>-0.25</v>
      </c>
      <c r="P52" t="n">
        <v>62</v>
      </c>
      <c r="Q52" t="n">
        <v>12</v>
      </c>
      <c r="R52" t="s">
        <v>288</v>
      </c>
      <c r="S52" t="s">
        <v>290</v>
      </c>
      <c r="T52" t="n">
        <v>0.5</v>
      </c>
    </row>
    <row r="53">
      <c r="A53" t="s">
        <v>30</v>
      </c>
      <c r="B53" t="n">
        <v>1.11</v>
      </c>
      <c r="C53" t="n">
        <v>1.06</v>
      </c>
      <c r="D53" t="n">
        <v>1.09</v>
      </c>
      <c r="E53" t="n">
        <v>-6.75</v>
      </c>
      <c r="F53" t="n">
        <v>-0.75</v>
      </c>
      <c r="G53" t="n">
        <v>81</v>
      </c>
      <c r="H53" t="n">
        <v>12</v>
      </c>
      <c r="I53" t="s">
        <v>293</v>
      </c>
      <c r="J53" t="n">
        <v>0</v>
      </c>
      <c r="K53" t="n">
        <v>0</v>
      </c>
      <c r="L53" t="n">
        <v>0</v>
      </c>
      <c r="M53" t="n">
        <v>12</v>
      </c>
      <c r="N53" t="n">
        <v>-0.5</v>
      </c>
      <c r="O53" t="n">
        <v>-0.25</v>
      </c>
      <c r="P53" t="n">
        <v>34</v>
      </c>
      <c r="Q53" t="n">
        <v>12</v>
      </c>
      <c r="R53" t="s">
        <v>293</v>
      </c>
      <c r="S53" t="s">
        <v>288</v>
      </c>
      <c r="T53" t="n">
        <v>-0.5</v>
      </c>
    </row>
    <row r="54">
      <c r="A54" t="s">
        <v>30</v>
      </c>
      <c r="B54" t="n">
        <v>1.01</v>
      </c>
      <c r="C54" t="n">
        <v>1.07</v>
      </c>
      <c r="D54" t="n">
        <v>1.02</v>
      </c>
      <c r="E54" t="n">
        <v>-2.5</v>
      </c>
      <c r="F54" t="n">
        <v>-0.5</v>
      </c>
      <c r="G54" t="n">
        <v>149</v>
      </c>
      <c r="H54" t="n">
        <v>12</v>
      </c>
      <c r="I54" t="s">
        <v>289</v>
      </c>
      <c r="J54" t="n">
        <v>0</v>
      </c>
      <c r="K54" t="n">
        <v>0</v>
      </c>
      <c r="L54" t="n">
        <v>0</v>
      </c>
      <c r="M54" t="n">
        <v>12</v>
      </c>
      <c r="N54" t="n">
        <v>0</v>
      </c>
      <c r="O54" t="n">
        <v>-0.25</v>
      </c>
      <c r="P54" t="n">
        <v>161</v>
      </c>
      <c r="Q54" t="n">
        <v>12</v>
      </c>
      <c r="R54" t="s">
        <v>289</v>
      </c>
      <c r="S54" t="s">
        <v>288</v>
      </c>
      <c r="T54" t="n">
        <v>0</v>
      </c>
    </row>
    <row r="55">
      <c r="A55" t="s">
        <v>30</v>
      </c>
      <c r="B55" t="n">
        <v>0.92</v>
      </c>
      <c r="C55" t="n">
        <v>0.75</v>
      </c>
      <c r="D55" t="n">
        <v>0.93</v>
      </c>
      <c r="E55" t="n">
        <v>-8.25</v>
      </c>
      <c r="F55" t="n">
        <v>-0.75</v>
      </c>
      <c r="G55" t="n">
        <v>172</v>
      </c>
      <c r="H55" t="n">
        <v>12</v>
      </c>
      <c r="I55" t="s">
        <v>291</v>
      </c>
      <c r="J55" t="n">
        <v>0</v>
      </c>
      <c r="K55" t="n">
        <v>0</v>
      </c>
      <c r="L55" t="n">
        <v>0</v>
      </c>
      <c r="M55" t="n">
        <v>12</v>
      </c>
      <c r="N55" t="n">
        <v>-0.5</v>
      </c>
      <c r="O55" t="n">
        <v>-0.25</v>
      </c>
      <c r="P55" t="n">
        <v>171</v>
      </c>
      <c r="Q55" t="n">
        <v>12</v>
      </c>
      <c r="R55" t="s">
        <v>291</v>
      </c>
      <c r="S55" t="s">
        <v>301</v>
      </c>
      <c r="T55" t="n">
        <v>-0.5</v>
      </c>
    </row>
    <row r="56">
      <c r="A56" t="s">
        <v>30</v>
      </c>
      <c r="B56" t="n">
        <v>0.99</v>
      </c>
      <c r="C56" t="n">
        <v>0.96</v>
      </c>
      <c r="D56" t="n">
        <v>1.01</v>
      </c>
      <c r="E56" t="n">
        <v>-5</v>
      </c>
      <c r="F56" t="n">
        <v>-0.25</v>
      </c>
      <c r="G56" t="n">
        <v>161</v>
      </c>
      <c r="H56" t="n">
        <v>12</v>
      </c>
      <c r="I56" t="s">
        <v>289</v>
      </c>
      <c r="J56" t="n">
        <v>0</v>
      </c>
      <c r="K56" t="n">
        <v>0</v>
      </c>
      <c r="L56" t="n">
        <v>0</v>
      </c>
      <c r="M56" t="n">
        <v>12</v>
      </c>
      <c r="N56" t="n">
        <v>0</v>
      </c>
      <c r="O56" t="n">
        <v>0</v>
      </c>
      <c r="P56" t="n">
        <v>80</v>
      </c>
      <c r="Q56" t="n">
        <v>12</v>
      </c>
      <c r="R56" t="s">
        <v>289</v>
      </c>
      <c r="S56" t="s">
        <v>290</v>
      </c>
      <c r="T56" t="n">
        <v>0</v>
      </c>
    </row>
    <row r="57">
      <c r="A57" t="s">
        <v>30</v>
      </c>
      <c r="B57" t="n">
        <v>0.91</v>
      </c>
      <c r="C57" t="n">
        <v>0.93</v>
      </c>
      <c r="D57" t="n">
        <v>0.9</v>
      </c>
      <c r="E57" t="n">
        <v>-1.25</v>
      </c>
      <c r="F57" t="n">
        <v>-0.25</v>
      </c>
      <c r="G57" t="n">
        <v>166</v>
      </c>
      <c r="H57" t="n">
        <v>12</v>
      </c>
      <c r="I57" t="s">
        <v>291</v>
      </c>
      <c r="J57" t="n">
        <v>0</v>
      </c>
      <c r="K57" t="n">
        <v>0</v>
      </c>
      <c r="L57" t="n">
        <v>0</v>
      </c>
      <c r="M57" t="n">
        <v>12</v>
      </c>
      <c r="N57" t="n">
        <v>0</v>
      </c>
      <c r="O57" t="n">
        <v>0</v>
      </c>
      <c r="P57" t="n">
        <v>141</v>
      </c>
      <c r="Q57" t="n">
        <v>12</v>
      </c>
      <c r="R57" t="s">
        <v>291</v>
      </c>
      <c r="S57" t="s">
        <v>291</v>
      </c>
      <c r="T57" t="n">
        <v>0</v>
      </c>
    </row>
    <row r="58">
      <c r="A58" t="s">
        <v>30</v>
      </c>
      <c r="B58" t="n">
        <v>1.01</v>
      </c>
      <c r="C58" t="n">
        <v>0.95</v>
      </c>
      <c r="D58" t="n">
        <v>1.01</v>
      </c>
      <c r="E58" t="n">
        <v>-7.75</v>
      </c>
      <c r="F58" t="n">
        <v>0</v>
      </c>
      <c r="G58" t="n">
        <v>168</v>
      </c>
      <c r="H58" t="n">
        <v>12</v>
      </c>
      <c r="I58" t="s">
        <v>289</v>
      </c>
      <c r="J58" t="n">
        <v>0</v>
      </c>
      <c r="K58" t="n">
        <v>0</v>
      </c>
      <c r="L58" t="n">
        <v>0</v>
      </c>
      <c r="M58" t="n">
        <v>12</v>
      </c>
      <c r="N58" t="n">
        <v>0.25</v>
      </c>
      <c r="O58" t="n">
        <v>0</v>
      </c>
      <c r="P58" t="n">
        <v>12</v>
      </c>
      <c r="Q58" t="n">
        <v>12</v>
      </c>
      <c r="R58" t="s">
        <v>289</v>
      </c>
      <c r="S58" t="s">
        <v>290</v>
      </c>
      <c r="T58" t="n">
        <v>0.25</v>
      </c>
    </row>
    <row r="59">
      <c r="A59" t="s">
        <v>30</v>
      </c>
      <c r="B59" t="n">
        <v>0.93</v>
      </c>
      <c r="C59" t="n">
        <v>0.96</v>
      </c>
      <c r="D59" t="n">
        <v>0.94</v>
      </c>
      <c r="E59" t="n">
        <v>-5.75</v>
      </c>
      <c r="F59" t="n">
        <v>-1</v>
      </c>
      <c r="G59" t="n">
        <v>83</v>
      </c>
      <c r="H59" t="n">
        <v>12</v>
      </c>
      <c r="I59" t="s">
        <v>291</v>
      </c>
      <c r="J59" t="n">
        <v>0</v>
      </c>
      <c r="K59" t="n">
        <v>0</v>
      </c>
      <c r="L59" t="n">
        <v>0</v>
      </c>
      <c r="M59" t="n">
        <v>12</v>
      </c>
      <c r="N59" t="n">
        <v>0</v>
      </c>
      <c r="O59" t="n">
        <v>-0.25</v>
      </c>
      <c r="P59" t="n">
        <v>78</v>
      </c>
      <c r="Q59" t="n">
        <v>12</v>
      </c>
      <c r="R59" t="s">
        <v>290</v>
      </c>
      <c r="S59" t="s">
        <v>290</v>
      </c>
      <c r="T59" t="n">
        <v>0</v>
      </c>
    </row>
    <row r="60">
      <c r="A60" t="s">
        <v>30</v>
      </c>
      <c r="B60" t="n">
        <v>0.91</v>
      </c>
      <c r="C60" t="n">
        <v>0.89</v>
      </c>
      <c r="D60" t="n">
        <v>0.88</v>
      </c>
      <c r="E60" t="n">
        <v>-4</v>
      </c>
      <c r="F60" t="n">
        <v>0</v>
      </c>
      <c r="G60" t="n">
        <v>100</v>
      </c>
      <c r="H60" t="n">
        <v>12</v>
      </c>
      <c r="I60" t="s">
        <v>291</v>
      </c>
      <c r="J60" t="n">
        <v>0</v>
      </c>
      <c r="K60" t="n">
        <v>0</v>
      </c>
      <c r="L60" t="n">
        <v>0</v>
      </c>
      <c r="M60" t="n">
        <v>12</v>
      </c>
      <c r="N60" t="n">
        <v>0</v>
      </c>
      <c r="O60" t="n">
        <v>0</v>
      </c>
      <c r="P60" t="n">
        <v>124</v>
      </c>
      <c r="Q60" t="n">
        <v>12</v>
      </c>
      <c r="R60" t="s">
        <v>300</v>
      </c>
      <c r="S60" t="s">
        <v>300</v>
      </c>
      <c r="T60" t="n">
        <v>0</v>
      </c>
    </row>
    <row r="61">
      <c r="A61" t="s">
        <v>30</v>
      </c>
      <c r="B61" t="n">
        <v>1.04</v>
      </c>
      <c r="C61" t="n">
        <v>1.09</v>
      </c>
      <c r="D61" t="n">
        <v>1.03</v>
      </c>
      <c r="E61" t="n">
        <v>-3.25</v>
      </c>
      <c r="F61" t="n">
        <v>-0.5</v>
      </c>
      <c r="G61" t="n">
        <v>82</v>
      </c>
      <c r="H61" t="n">
        <v>12</v>
      </c>
      <c r="I61" t="s">
        <v>288</v>
      </c>
      <c r="J61" t="n">
        <v>0</v>
      </c>
      <c r="K61" t="n">
        <v>0</v>
      </c>
      <c r="L61" t="n">
        <v>0</v>
      </c>
      <c r="M61" t="n">
        <v>12</v>
      </c>
      <c r="N61" t="n">
        <v>0.5</v>
      </c>
      <c r="O61" t="n">
        <v>-0.5</v>
      </c>
      <c r="P61" t="n">
        <v>86</v>
      </c>
      <c r="Q61" t="n">
        <v>12</v>
      </c>
      <c r="R61" t="s">
        <v>288</v>
      </c>
      <c r="S61" t="s">
        <v>293</v>
      </c>
      <c r="T61" t="n">
        <v>0.25</v>
      </c>
    </row>
    <row r="62">
      <c r="A62" t="s">
        <v>30</v>
      </c>
      <c r="B62" t="n">
        <v>1.03</v>
      </c>
      <c r="C62" t="n">
        <v>1.08</v>
      </c>
      <c r="D62" t="n">
        <v>1.06</v>
      </c>
      <c r="E62" t="n">
        <v>-1</v>
      </c>
      <c r="F62" t="n">
        <v>-0.5</v>
      </c>
      <c r="G62" t="n">
        <v>80</v>
      </c>
      <c r="H62" t="n">
        <v>12</v>
      </c>
      <c r="I62" t="s">
        <v>288</v>
      </c>
      <c r="J62" t="n">
        <v>0</v>
      </c>
      <c r="K62" t="n">
        <v>0</v>
      </c>
      <c r="L62" t="n">
        <v>0</v>
      </c>
      <c r="M62" t="n">
        <v>12</v>
      </c>
      <c r="N62" t="n">
        <v>0</v>
      </c>
      <c r="O62" t="n">
        <v>0</v>
      </c>
      <c r="P62" t="n">
        <v>11</v>
      </c>
      <c r="Q62" t="n">
        <v>12</v>
      </c>
      <c r="R62" t="s">
        <v>288</v>
      </c>
      <c r="S62" t="s">
        <v>293</v>
      </c>
      <c r="T62" t="n">
        <v>0</v>
      </c>
    </row>
    <row r="63">
      <c r="A63" t="s">
        <v>30</v>
      </c>
      <c r="B63" t="n">
        <v>1.04</v>
      </c>
      <c r="C63" t="n">
        <v>1.1</v>
      </c>
      <c r="D63" t="n">
        <v>1.06</v>
      </c>
      <c r="E63" t="n">
        <v>-1.25</v>
      </c>
      <c r="F63" t="n">
        <v>-1</v>
      </c>
      <c r="G63" t="n">
        <v>180</v>
      </c>
      <c r="H63" t="n">
        <v>12</v>
      </c>
      <c r="I63" t="s">
        <v>288</v>
      </c>
      <c r="J63" t="n">
        <v>0</v>
      </c>
      <c r="K63" t="n">
        <v>0</v>
      </c>
      <c r="L63" t="n">
        <v>0</v>
      </c>
      <c r="M63" t="n">
        <v>12</v>
      </c>
      <c r="N63" t="n">
        <v>-0.5</v>
      </c>
      <c r="O63" t="n">
        <v>0</v>
      </c>
      <c r="P63" t="n">
        <v>178</v>
      </c>
      <c r="Q63" t="n">
        <v>12</v>
      </c>
      <c r="R63" t="s">
        <v>288</v>
      </c>
      <c r="S63" t="s">
        <v>293</v>
      </c>
      <c r="T63" t="n">
        <v>-0.5</v>
      </c>
    </row>
    <row r="64">
      <c r="A64" t="s">
        <v>30</v>
      </c>
      <c r="B64" t="n">
        <v>0.98</v>
      </c>
      <c r="C64" t="n">
        <v>1.08</v>
      </c>
      <c r="D64" t="n">
        <v>1.02</v>
      </c>
      <c r="E64" t="n">
        <v>-0.5</v>
      </c>
      <c r="F64" t="n">
        <v>-0.75</v>
      </c>
      <c r="G64" t="n">
        <v>7</v>
      </c>
      <c r="H64" t="n">
        <v>12</v>
      </c>
      <c r="I64" t="s">
        <v>289</v>
      </c>
      <c r="J64" t="n">
        <v>0</v>
      </c>
      <c r="K64" t="n">
        <v>0</v>
      </c>
      <c r="L64" t="n">
        <v>0</v>
      </c>
      <c r="M64" t="n">
        <v>12</v>
      </c>
      <c r="N64" t="n">
        <v>0</v>
      </c>
      <c r="O64" t="n">
        <v>-0.25</v>
      </c>
      <c r="P64" t="n">
        <v>24</v>
      </c>
      <c r="Q64" t="n">
        <v>12</v>
      </c>
      <c r="R64" t="s">
        <v>289</v>
      </c>
      <c r="S64" t="s">
        <v>293</v>
      </c>
      <c r="T64" t="n">
        <v>0</v>
      </c>
    </row>
    <row r="65">
      <c r="A65" t="s">
        <v>30</v>
      </c>
      <c r="B65" t="n">
        <v>1.19</v>
      </c>
      <c r="C65" t="n">
        <v>1.16</v>
      </c>
      <c r="D65" t="n">
        <v>1.23</v>
      </c>
      <c r="E65" t="n">
        <v>-2</v>
      </c>
      <c r="F65" t="n">
        <v>0</v>
      </c>
      <c r="G65" t="n">
        <v>170</v>
      </c>
      <c r="H65" t="n">
        <v>12</v>
      </c>
      <c r="I65" t="s">
        <v>294</v>
      </c>
      <c r="J65" t="n">
        <v>0</v>
      </c>
      <c r="K65" t="n">
        <v>0</v>
      </c>
      <c r="L65" t="n">
        <v>0</v>
      </c>
      <c r="M65" t="n">
        <v>12</v>
      </c>
      <c r="N65" t="n">
        <v>0.25</v>
      </c>
      <c r="O65" t="n">
        <v>-0.5</v>
      </c>
      <c r="P65" t="n">
        <v>23</v>
      </c>
      <c r="Q65" t="n">
        <v>12</v>
      </c>
      <c r="R65" t="s">
        <v>294</v>
      </c>
      <c r="S65" t="s">
        <v>297</v>
      </c>
      <c r="T65" t="n">
        <v>0</v>
      </c>
    </row>
    <row r="66">
      <c r="A66" t="s">
        <v>30</v>
      </c>
      <c r="B66" t="n">
        <v>1.07</v>
      </c>
      <c r="C66" t="n">
        <v>1.09</v>
      </c>
      <c r="D66" t="n">
        <v>1.1</v>
      </c>
      <c r="E66" t="n">
        <v>-4.25</v>
      </c>
      <c r="F66" t="n">
        <v>-0.25</v>
      </c>
      <c r="G66" t="n">
        <v>175</v>
      </c>
      <c r="H66" t="n">
        <v>12</v>
      </c>
      <c r="I66" t="s">
        <v>288</v>
      </c>
      <c r="J66" t="n">
        <v>0</v>
      </c>
      <c r="K66" t="n">
        <v>0</v>
      </c>
      <c r="L66" t="n">
        <v>0</v>
      </c>
      <c r="M66" t="n">
        <v>12</v>
      </c>
      <c r="N66" t="n">
        <v>0</v>
      </c>
      <c r="O66" t="n">
        <v>-0.25</v>
      </c>
      <c r="P66" t="n">
        <v>23</v>
      </c>
      <c r="Q66" t="n">
        <v>12</v>
      </c>
      <c r="R66" t="s">
        <v>293</v>
      </c>
      <c r="S66" t="s">
        <v>293</v>
      </c>
      <c r="T66" t="n">
        <v>0</v>
      </c>
    </row>
    <row r="67">
      <c r="A67" t="s">
        <v>30</v>
      </c>
      <c r="B67" t="n">
        <v>1.05</v>
      </c>
      <c r="C67" t="n">
        <v>0.96</v>
      </c>
      <c r="D67" t="n">
        <v>1.02</v>
      </c>
      <c r="E67" t="n">
        <v>-4.5</v>
      </c>
      <c r="F67" t="n">
        <v>-0.25</v>
      </c>
      <c r="G67" t="n">
        <v>165</v>
      </c>
      <c r="H67" t="n">
        <v>12</v>
      </c>
      <c r="I67" t="s">
        <v>288</v>
      </c>
      <c r="J67" t="n">
        <v>0</v>
      </c>
      <c r="K67" t="n">
        <v>0</v>
      </c>
      <c r="L67" t="n">
        <v>0</v>
      </c>
      <c r="M67" t="n">
        <v>12</v>
      </c>
      <c r="N67" t="n">
        <v>0.5</v>
      </c>
      <c r="O67" t="n">
        <v>-0.25</v>
      </c>
      <c r="P67" t="n">
        <v>164</v>
      </c>
      <c r="Q67" t="n">
        <v>12</v>
      </c>
      <c r="R67" t="s">
        <v>289</v>
      </c>
      <c r="S67" t="s">
        <v>290</v>
      </c>
      <c r="T67" t="n">
        <v>0.25</v>
      </c>
    </row>
    <row r="68">
      <c r="A68" t="s">
        <v>30</v>
      </c>
      <c r="B68" t="n">
        <v>1.13</v>
      </c>
      <c r="C68" t="n">
        <v>1.05</v>
      </c>
      <c r="D68" t="n">
        <v>1.14</v>
      </c>
      <c r="E68" t="n">
        <v>-6</v>
      </c>
      <c r="F68" t="n">
        <v>-0.5</v>
      </c>
      <c r="G68" t="n">
        <v>86</v>
      </c>
      <c r="H68" t="n">
        <v>12</v>
      </c>
      <c r="I68" t="s">
        <v>297</v>
      </c>
      <c r="J68" t="n">
        <v>0</v>
      </c>
      <c r="K68" t="n">
        <v>0</v>
      </c>
      <c r="L68" t="n">
        <v>0</v>
      </c>
      <c r="M68" t="n">
        <v>12</v>
      </c>
      <c r="N68" t="n">
        <v>0</v>
      </c>
      <c r="O68" t="n">
        <v>-0.25</v>
      </c>
      <c r="P68" t="n">
        <v>106</v>
      </c>
      <c r="Q68" t="n">
        <v>12</v>
      </c>
      <c r="R68" t="s">
        <v>297</v>
      </c>
      <c r="S68" t="s">
        <v>288</v>
      </c>
      <c r="T68" t="n">
        <v>-0.25</v>
      </c>
    </row>
    <row r="69">
      <c r="A69" t="s">
        <v>30</v>
      </c>
      <c r="B69" t="n">
        <v>0.99</v>
      </c>
      <c r="C69" t="n">
        <v>1.09</v>
      </c>
      <c r="D69" t="n">
        <v>1.05</v>
      </c>
      <c r="E69" t="n">
        <v>-5.75</v>
      </c>
      <c r="F69" t="n">
        <v>-0.75</v>
      </c>
      <c r="G69" t="n">
        <v>171</v>
      </c>
      <c r="H69" t="n">
        <v>12</v>
      </c>
      <c r="I69" t="s">
        <v>289</v>
      </c>
      <c r="J69" t="n">
        <v>0</v>
      </c>
      <c r="K69" t="n">
        <v>0</v>
      </c>
      <c r="L69" t="n">
        <v>0</v>
      </c>
      <c r="M69" t="n">
        <v>12</v>
      </c>
      <c r="N69" t="n">
        <v>0.25</v>
      </c>
      <c r="O69" t="n">
        <v>-0.5</v>
      </c>
      <c r="P69" t="n">
        <v>129</v>
      </c>
      <c r="Q69" t="n">
        <v>12</v>
      </c>
      <c r="R69" t="s">
        <v>288</v>
      </c>
      <c r="S69" t="s">
        <v>293</v>
      </c>
      <c r="T69" t="n">
        <v>0</v>
      </c>
    </row>
    <row r="70">
      <c r="A70" t="s">
        <v>30</v>
      </c>
      <c r="B70" t="n">
        <v>1</v>
      </c>
      <c r="C70" t="n">
        <v>1.07</v>
      </c>
      <c r="D70" t="n">
        <v>0.97</v>
      </c>
      <c r="E70" t="n">
        <v>-6.25</v>
      </c>
      <c r="F70" t="n">
        <v>-0.25</v>
      </c>
      <c r="G70" t="n">
        <v>91</v>
      </c>
      <c r="H70" t="n">
        <v>12</v>
      </c>
      <c r="I70" t="s">
        <v>289</v>
      </c>
      <c r="J70" t="n">
        <v>0</v>
      </c>
      <c r="K70" t="n">
        <v>0</v>
      </c>
      <c r="L70" t="n">
        <v>0</v>
      </c>
      <c r="M70" t="n">
        <v>12</v>
      </c>
      <c r="N70" t="n">
        <v>-0.25</v>
      </c>
      <c r="O70" t="n">
        <v>0</v>
      </c>
      <c r="P70" t="n">
        <v>164</v>
      </c>
      <c r="Q70" t="n">
        <v>12</v>
      </c>
      <c r="R70" t="s">
        <v>290</v>
      </c>
      <c r="S70" t="s">
        <v>288</v>
      </c>
      <c r="T70" t="n">
        <v>-0.25</v>
      </c>
    </row>
    <row r="71">
      <c r="A71" t="s">
        <v>30</v>
      </c>
      <c r="B71" t="n">
        <v>0.93</v>
      </c>
      <c r="C71" t="n">
        <v>0.87</v>
      </c>
      <c r="D71" t="n">
        <v>0.94</v>
      </c>
      <c r="E71" t="n">
        <v>-5</v>
      </c>
      <c r="F71" t="n">
        <v>-0.75</v>
      </c>
      <c r="G71" t="n">
        <v>88</v>
      </c>
      <c r="H71" t="n">
        <v>12</v>
      </c>
      <c r="I71" t="s">
        <v>291</v>
      </c>
      <c r="J71" t="n">
        <v>0</v>
      </c>
      <c r="K71" t="n">
        <v>0</v>
      </c>
      <c r="L71" t="n">
        <v>0</v>
      </c>
      <c r="M71" t="n">
        <v>12</v>
      </c>
      <c r="N71" t="n">
        <v>0.5</v>
      </c>
      <c r="O71" t="n">
        <v>-0.5</v>
      </c>
      <c r="P71" t="n">
        <v>148</v>
      </c>
      <c r="Q71" t="n">
        <v>12</v>
      </c>
      <c r="R71" t="s">
        <v>290</v>
      </c>
      <c r="S71" t="s">
        <v>300</v>
      </c>
      <c r="T71" t="n">
        <v>0.25</v>
      </c>
    </row>
    <row r="72">
      <c r="A72" t="s">
        <v>30</v>
      </c>
      <c r="B72" t="n">
        <v>1.06</v>
      </c>
      <c r="C72" t="n">
        <v>1.13</v>
      </c>
      <c r="D72" t="n">
        <v>1.05</v>
      </c>
      <c r="E72" t="n">
        <v>-1.25</v>
      </c>
      <c r="F72" t="n">
        <v>-0.75</v>
      </c>
      <c r="G72" t="n">
        <v>99</v>
      </c>
      <c r="H72" t="n">
        <v>12</v>
      </c>
      <c r="I72" t="s">
        <v>288</v>
      </c>
      <c r="J72" t="n">
        <v>0</v>
      </c>
      <c r="K72" t="n">
        <v>0</v>
      </c>
      <c r="L72" t="n">
        <v>0</v>
      </c>
      <c r="M72" t="n">
        <v>12</v>
      </c>
      <c r="N72" t="n">
        <v>-0.5</v>
      </c>
      <c r="O72" t="n">
        <v>-0.25</v>
      </c>
      <c r="P72" t="n">
        <v>75</v>
      </c>
      <c r="Q72" t="n">
        <v>12</v>
      </c>
      <c r="R72" t="s">
        <v>288</v>
      </c>
      <c r="S72" t="s">
        <v>297</v>
      </c>
      <c r="T72" t="n">
        <v>-0.5</v>
      </c>
    </row>
    <row r="73">
      <c r="A73" t="s">
        <v>30</v>
      </c>
      <c r="B73" t="n">
        <v>0.86</v>
      </c>
      <c r="C73" t="n">
        <v>0.83</v>
      </c>
      <c r="D73" t="n">
        <v>0.84</v>
      </c>
      <c r="E73" t="n">
        <v>-3.75</v>
      </c>
      <c r="F73" t="n">
        <v>-1.25</v>
      </c>
      <c r="G73" t="n">
        <v>23</v>
      </c>
      <c r="H73" t="n">
        <v>12</v>
      </c>
      <c r="I73" t="s">
        <v>300</v>
      </c>
      <c r="J73" t="n">
        <v>0</v>
      </c>
      <c r="K73" t="n">
        <v>0</v>
      </c>
      <c r="L73" t="n">
        <v>0</v>
      </c>
      <c r="M73" t="n">
        <v>12</v>
      </c>
      <c r="N73" t="n">
        <v>0.5</v>
      </c>
      <c r="O73" t="n">
        <v>-0.75</v>
      </c>
      <c r="P73" t="n">
        <v>166</v>
      </c>
      <c r="Q73" t="n">
        <v>12</v>
      </c>
      <c r="R73" t="s">
        <v>298</v>
      </c>
      <c r="S73" t="s">
        <v>298</v>
      </c>
      <c r="T73" t="n">
        <v>0</v>
      </c>
    </row>
    <row r="74">
      <c r="A74" t="s">
        <v>30</v>
      </c>
      <c r="B74" t="n">
        <v>0.99</v>
      </c>
      <c r="C74" t="n">
        <v>0.82</v>
      </c>
      <c r="D74" t="n">
        <v>0.97</v>
      </c>
      <c r="E74" t="n">
        <v>-4.75</v>
      </c>
      <c r="F74" t="n">
        <v>0</v>
      </c>
      <c r="G74" t="n">
        <v>5</v>
      </c>
      <c r="H74" t="n">
        <v>12</v>
      </c>
      <c r="I74" t="s">
        <v>289</v>
      </c>
      <c r="J74" t="n">
        <v>0</v>
      </c>
      <c r="K74" t="n">
        <v>0</v>
      </c>
      <c r="L74" t="n">
        <v>0</v>
      </c>
      <c r="M74" t="n">
        <v>12</v>
      </c>
      <c r="N74" t="n">
        <v>0.5</v>
      </c>
      <c r="O74" t="n">
        <v>0</v>
      </c>
      <c r="P74" t="n">
        <v>177</v>
      </c>
      <c r="Q74" t="n">
        <v>12</v>
      </c>
      <c r="R74" t="s">
        <v>290</v>
      </c>
      <c r="S74" t="s">
        <v>298</v>
      </c>
      <c r="T74" t="n">
        <v>0.5</v>
      </c>
    </row>
    <row r="75">
      <c r="A75" t="s">
        <v>30</v>
      </c>
      <c r="B75" t="n">
        <v>0.94</v>
      </c>
      <c r="C75" t="n">
        <v>0.98</v>
      </c>
      <c r="D75" t="n">
        <v>1</v>
      </c>
      <c r="E75" t="n">
        <v>-0.75</v>
      </c>
      <c r="F75" t="n">
        <v>-0.5</v>
      </c>
      <c r="G75" t="n">
        <v>16</v>
      </c>
      <c r="H75" t="n">
        <v>12</v>
      </c>
      <c r="I75" t="s">
        <v>290</v>
      </c>
      <c r="J75" t="n">
        <v>0</v>
      </c>
      <c r="K75" t="n">
        <v>0</v>
      </c>
      <c r="L75" t="n">
        <v>0</v>
      </c>
      <c r="M75" t="n">
        <v>12</v>
      </c>
      <c r="N75" t="n">
        <v>-0.25</v>
      </c>
      <c r="O75" t="n">
        <v>0</v>
      </c>
      <c r="P75" t="n">
        <v>128</v>
      </c>
      <c r="Q75" t="n">
        <v>12</v>
      </c>
      <c r="R75" t="s">
        <v>289</v>
      </c>
      <c r="S75" t="s">
        <v>289</v>
      </c>
      <c r="T75" t="n">
        <v>-0.25</v>
      </c>
    </row>
    <row r="76">
      <c r="A76" t="s">
        <v>30</v>
      </c>
      <c r="B76" t="n">
        <v>0.96</v>
      </c>
      <c r="C76" t="n">
        <v>0.98</v>
      </c>
      <c r="D76" t="n">
        <v>0.97</v>
      </c>
      <c r="E76" t="n">
        <v>-6.25</v>
      </c>
      <c r="F76" t="n">
        <v>-0.25</v>
      </c>
      <c r="G76" t="n">
        <v>67</v>
      </c>
      <c r="H76" t="n">
        <v>12</v>
      </c>
      <c r="I76" t="s">
        <v>290</v>
      </c>
      <c r="J76" t="n">
        <v>0</v>
      </c>
      <c r="K76" t="n">
        <v>0</v>
      </c>
      <c r="L76" t="n">
        <v>0</v>
      </c>
      <c r="M76" t="n">
        <v>12</v>
      </c>
      <c r="N76" t="n">
        <v>0.5</v>
      </c>
      <c r="O76" t="n">
        <v>-0.25</v>
      </c>
      <c r="P76" t="n">
        <v>8</v>
      </c>
      <c r="Q76" t="n">
        <v>12</v>
      </c>
      <c r="R76" t="s">
        <v>290</v>
      </c>
      <c r="S76" t="s">
        <v>289</v>
      </c>
      <c r="T76" t="n">
        <v>0.5</v>
      </c>
    </row>
    <row r="77">
      <c r="A77" t="s">
        <v>30</v>
      </c>
      <c r="B77" t="n">
        <v>1.07</v>
      </c>
      <c r="C77" t="n">
        <v>1.11</v>
      </c>
      <c r="D77" t="n">
        <v>1.12</v>
      </c>
      <c r="E77" t="n">
        <v>-2.5</v>
      </c>
      <c r="F77" t="n">
        <v>-0.75</v>
      </c>
      <c r="G77" t="n">
        <v>100</v>
      </c>
      <c r="H77" t="n">
        <v>12</v>
      </c>
      <c r="I77" t="s">
        <v>288</v>
      </c>
      <c r="J77" t="n">
        <v>0</v>
      </c>
      <c r="K77" t="n">
        <v>0</v>
      </c>
      <c r="L77" t="n">
        <v>0</v>
      </c>
      <c r="M77" t="n">
        <v>12</v>
      </c>
      <c r="N77" t="n">
        <v>-0.25</v>
      </c>
      <c r="O77" t="n">
        <v>0</v>
      </c>
      <c r="P77" t="n">
        <v>86</v>
      </c>
      <c r="Q77" t="n">
        <v>12</v>
      </c>
      <c r="R77" t="s">
        <v>293</v>
      </c>
      <c r="S77" t="s">
        <v>293</v>
      </c>
      <c r="T77" t="n">
        <v>-0.25</v>
      </c>
    </row>
    <row r="78">
      <c r="A78" t="s">
        <v>30</v>
      </c>
      <c r="B78" t="n">
        <v>0.99</v>
      </c>
      <c r="C78" t="n">
        <v>1.01</v>
      </c>
      <c r="D78" t="n">
        <v>1</v>
      </c>
      <c r="E78" t="n">
        <v>-4</v>
      </c>
      <c r="F78" t="n">
        <v>-0.25</v>
      </c>
      <c r="G78" t="n">
        <v>89</v>
      </c>
      <c r="H78" t="n">
        <v>12</v>
      </c>
      <c r="I78" t="s">
        <v>289</v>
      </c>
      <c r="J78" t="n">
        <v>0</v>
      </c>
      <c r="K78" t="n">
        <v>0</v>
      </c>
      <c r="L78" t="n">
        <v>0</v>
      </c>
      <c r="M78" t="n">
        <v>12</v>
      </c>
      <c r="N78" t="n">
        <v>0</v>
      </c>
      <c r="O78" t="n">
        <v>-0.25</v>
      </c>
      <c r="P78" t="n">
        <v>106</v>
      </c>
      <c r="Q78" t="n">
        <v>12</v>
      </c>
      <c r="R78" t="s">
        <v>289</v>
      </c>
      <c r="S78" t="s">
        <v>289</v>
      </c>
      <c r="T78" t="n">
        <v>0</v>
      </c>
    </row>
    <row r="79">
      <c r="A79" t="s">
        <v>30</v>
      </c>
      <c r="B79" t="n">
        <v>1.1</v>
      </c>
      <c r="C79" t="n">
        <v>1.13</v>
      </c>
      <c r="D79" t="n">
        <v>1.14</v>
      </c>
      <c r="E79" t="n">
        <v>-5.25</v>
      </c>
      <c r="F79" t="n">
        <v>-1.5</v>
      </c>
      <c r="G79" t="n">
        <v>96</v>
      </c>
      <c r="H79" t="n">
        <v>12</v>
      </c>
      <c r="I79" t="s">
        <v>293</v>
      </c>
      <c r="J79" t="n">
        <v>0</v>
      </c>
      <c r="K79" t="n">
        <v>0</v>
      </c>
      <c r="L79" t="n">
        <v>0</v>
      </c>
      <c r="M79" t="n">
        <v>12</v>
      </c>
      <c r="N79" t="n">
        <v>-0.5</v>
      </c>
      <c r="O79" t="n">
        <v>0</v>
      </c>
      <c r="P79" t="n">
        <v>21</v>
      </c>
      <c r="Q79" t="n">
        <v>12</v>
      </c>
      <c r="R79" t="s">
        <v>297</v>
      </c>
      <c r="S79" t="s">
        <v>297</v>
      </c>
      <c r="T79" t="n">
        <v>-0.5</v>
      </c>
    </row>
    <row r="80">
      <c r="A80" t="s">
        <v>30</v>
      </c>
      <c r="B80" t="n">
        <v>1.07</v>
      </c>
      <c r="C80" t="n">
        <v>0.94</v>
      </c>
      <c r="D80" t="n">
        <v>1.05</v>
      </c>
      <c r="E80" t="n">
        <v>-5.5</v>
      </c>
      <c r="F80" t="n">
        <v>-0.25</v>
      </c>
      <c r="G80" t="n">
        <v>11</v>
      </c>
      <c r="H80" t="n">
        <v>12</v>
      </c>
      <c r="I80" t="s">
        <v>288</v>
      </c>
      <c r="J80" t="n">
        <v>0</v>
      </c>
      <c r="K80" t="n">
        <v>0</v>
      </c>
      <c r="L80" t="n">
        <v>0</v>
      </c>
      <c r="M80" t="n">
        <v>12</v>
      </c>
      <c r="N80" t="n">
        <v>0</v>
      </c>
      <c r="O80" t="n">
        <v>-0.25</v>
      </c>
      <c r="P80" t="n">
        <v>18</v>
      </c>
      <c r="Q80" t="n">
        <v>12</v>
      </c>
      <c r="R80" t="s">
        <v>288</v>
      </c>
      <c r="S80" t="s">
        <v>290</v>
      </c>
      <c r="T80" t="n">
        <v>-0.25</v>
      </c>
    </row>
    <row r="81">
      <c r="A81" t="s">
        <v>30</v>
      </c>
      <c r="B81" t="n">
        <v>0.92</v>
      </c>
      <c r="C81" t="n">
        <v>0.84</v>
      </c>
      <c r="D81" t="n">
        <v>0.87</v>
      </c>
      <c r="E81" t="n">
        <v>-2</v>
      </c>
      <c r="F81" t="n">
        <v>-0.75</v>
      </c>
      <c r="G81" t="n">
        <v>180</v>
      </c>
      <c r="H81" t="n">
        <v>12</v>
      </c>
      <c r="I81" t="s">
        <v>291</v>
      </c>
      <c r="J81" t="n">
        <v>0</v>
      </c>
      <c r="K81" t="n">
        <v>0</v>
      </c>
      <c r="L81" t="n">
        <v>0</v>
      </c>
      <c r="M81" t="n">
        <v>12</v>
      </c>
      <c r="N81" t="n">
        <v>0</v>
      </c>
      <c r="O81" t="n">
        <v>-0.5</v>
      </c>
      <c r="P81" t="n">
        <v>10</v>
      </c>
      <c r="Q81" t="n">
        <v>12</v>
      </c>
      <c r="R81" t="s">
        <v>300</v>
      </c>
      <c r="S81" t="s">
        <v>298</v>
      </c>
      <c r="T81" t="n">
        <v>-0.25</v>
      </c>
    </row>
    <row r="82">
      <c r="A82" t="s">
        <v>30</v>
      </c>
      <c r="B82" t="n">
        <v>1.18</v>
      </c>
      <c r="C82" t="n">
        <v>1.24</v>
      </c>
      <c r="D82" t="n">
        <v>1.2</v>
      </c>
      <c r="E82" t="n">
        <v>-5</v>
      </c>
      <c r="F82" t="n">
        <v>-0.25</v>
      </c>
      <c r="G82" t="n">
        <v>155</v>
      </c>
      <c r="H82" t="n">
        <v>12</v>
      </c>
      <c r="I82" t="s">
        <v>294</v>
      </c>
      <c r="J82" t="n">
        <v>0</v>
      </c>
      <c r="K82" t="n">
        <v>0</v>
      </c>
      <c r="L82" t="n">
        <v>0</v>
      </c>
      <c r="M82" t="n">
        <v>12</v>
      </c>
      <c r="N82" t="n">
        <v>0</v>
      </c>
      <c r="O82" t="n">
        <v>-0.25</v>
      </c>
      <c r="P82" t="n">
        <v>160</v>
      </c>
      <c r="Q82" t="n">
        <v>12</v>
      </c>
      <c r="R82" t="s">
        <v>294</v>
      </c>
      <c r="S82" t="s">
        <v>296</v>
      </c>
      <c r="T82" t="n">
        <v>-0.25</v>
      </c>
    </row>
    <row r="83">
      <c r="A83" t="s">
        <v>30</v>
      </c>
      <c r="B83" t="n">
        <v>1.04</v>
      </c>
      <c r="C83" t="n">
        <v>1.07</v>
      </c>
      <c r="D83" t="n">
        <v>1.02</v>
      </c>
      <c r="E83" t="n">
        <v>-3</v>
      </c>
      <c r="F83" t="n">
        <v>-0.5</v>
      </c>
      <c r="G83" t="n">
        <v>84</v>
      </c>
      <c r="H83" t="n">
        <v>12</v>
      </c>
      <c r="I83" t="s">
        <v>288</v>
      </c>
      <c r="J83" t="n">
        <v>0</v>
      </c>
      <c r="K83" t="n">
        <v>0</v>
      </c>
      <c r="L83" t="n">
        <v>0</v>
      </c>
      <c r="M83" t="n">
        <v>12</v>
      </c>
      <c r="N83" t="n">
        <v>0.5</v>
      </c>
      <c r="O83" t="n">
        <v>-0.25</v>
      </c>
      <c r="P83" t="n">
        <v>101</v>
      </c>
      <c r="Q83" t="n">
        <v>12</v>
      </c>
      <c r="R83" t="s">
        <v>289</v>
      </c>
      <c r="S83" t="s">
        <v>288</v>
      </c>
      <c r="T83" t="n">
        <v>0.25</v>
      </c>
    </row>
    <row r="84">
      <c r="A84" t="s">
        <v>30</v>
      </c>
      <c r="B84" t="n">
        <v>1.02</v>
      </c>
      <c r="C84" t="n">
        <v>0.91</v>
      </c>
      <c r="D84" t="n">
        <v>1.01</v>
      </c>
      <c r="E84" t="n">
        <v>-1.5</v>
      </c>
      <c r="F84" t="n">
        <v>-0.75</v>
      </c>
      <c r="G84" t="n">
        <v>168</v>
      </c>
      <c r="H84" t="n">
        <v>12</v>
      </c>
      <c r="I84" t="s">
        <v>289</v>
      </c>
      <c r="J84" t="n">
        <v>0</v>
      </c>
      <c r="K84" t="n">
        <v>0</v>
      </c>
      <c r="L84" t="n">
        <v>0</v>
      </c>
      <c r="M84" t="n">
        <v>12</v>
      </c>
      <c r="N84" t="n">
        <v>0.5</v>
      </c>
      <c r="O84" t="n">
        <v>-0.75</v>
      </c>
      <c r="P84" t="n">
        <v>163</v>
      </c>
      <c r="Q84" t="n">
        <v>12</v>
      </c>
      <c r="R84" t="s">
        <v>289</v>
      </c>
      <c r="S84" t="s">
        <v>291</v>
      </c>
      <c r="T84" t="n">
        <v>0.25</v>
      </c>
    </row>
    <row r="85">
      <c r="A85" t="s">
        <v>30</v>
      </c>
      <c r="B85" t="n">
        <v>0.93</v>
      </c>
      <c r="C85" t="n">
        <v>0.85</v>
      </c>
      <c r="D85" t="n">
        <v>0.9</v>
      </c>
      <c r="E85" t="n">
        <v>-1.25</v>
      </c>
      <c r="F85" t="n">
        <v>-1.75</v>
      </c>
      <c r="G85" t="n">
        <v>178</v>
      </c>
      <c r="H85" t="n">
        <v>12</v>
      </c>
      <c r="I85" t="s">
        <v>291</v>
      </c>
      <c r="J85" t="n">
        <v>0</v>
      </c>
      <c r="K85" t="n">
        <v>0</v>
      </c>
      <c r="L85" t="n">
        <v>0</v>
      </c>
      <c r="M85" t="n">
        <v>12</v>
      </c>
      <c r="N85" t="n">
        <v>0</v>
      </c>
      <c r="O85" t="n">
        <v>0</v>
      </c>
      <c r="P85" t="n">
        <v>16</v>
      </c>
      <c r="Q85" t="n">
        <v>12</v>
      </c>
      <c r="R85" t="s">
        <v>291</v>
      </c>
      <c r="S85" t="s">
        <v>298</v>
      </c>
      <c r="T85" t="n">
        <v>0</v>
      </c>
    </row>
    <row r="86">
      <c r="A86" t="s">
        <v>30</v>
      </c>
      <c r="B86" t="n">
        <v>1</v>
      </c>
      <c r="C86" t="n">
        <v>0.99</v>
      </c>
      <c r="D86" t="n">
        <v>1.05</v>
      </c>
      <c r="E86" t="n">
        <v>-1.5</v>
      </c>
      <c r="F86" t="n">
        <v>-1.25</v>
      </c>
      <c r="G86" t="n">
        <v>99</v>
      </c>
      <c r="H86" t="n">
        <v>12</v>
      </c>
      <c r="I86" t="s">
        <v>289</v>
      </c>
      <c r="J86" t="n">
        <v>0</v>
      </c>
      <c r="K86" t="n">
        <v>0</v>
      </c>
      <c r="L86" t="n">
        <v>0</v>
      </c>
      <c r="M86" t="n">
        <v>12</v>
      </c>
      <c r="N86" t="n">
        <v>-0.25</v>
      </c>
      <c r="O86" t="n">
        <v>0</v>
      </c>
      <c r="P86" t="n">
        <v>79</v>
      </c>
      <c r="Q86" t="n">
        <v>12</v>
      </c>
      <c r="R86" t="s">
        <v>288</v>
      </c>
      <c r="S86" t="s">
        <v>289</v>
      </c>
      <c r="T86" t="n">
        <v>-0.25</v>
      </c>
    </row>
    <row r="87">
      <c r="A87" t="s">
        <v>30</v>
      </c>
      <c r="B87" t="n">
        <v>1.03</v>
      </c>
      <c r="C87" t="n">
        <v>1.03</v>
      </c>
      <c r="D87" t="n">
        <v>1.01</v>
      </c>
      <c r="E87" t="n">
        <v>-3.5</v>
      </c>
      <c r="F87" t="n">
        <v>-0.75</v>
      </c>
      <c r="G87" t="n">
        <v>96</v>
      </c>
      <c r="H87" t="n">
        <v>12</v>
      </c>
      <c r="I87" t="s">
        <v>288</v>
      </c>
      <c r="J87" t="n">
        <v>0</v>
      </c>
      <c r="K87" t="n">
        <v>0</v>
      </c>
      <c r="L87" t="n">
        <v>0</v>
      </c>
      <c r="M87" t="n">
        <v>12</v>
      </c>
      <c r="N87" t="n">
        <v>-0.5</v>
      </c>
      <c r="O87" t="n">
        <v>0</v>
      </c>
      <c r="P87" t="n">
        <v>6</v>
      </c>
      <c r="Q87" t="n">
        <v>12</v>
      </c>
      <c r="R87" t="s">
        <v>289</v>
      </c>
      <c r="S87" t="s">
        <v>288</v>
      </c>
      <c r="T87" t="n">
        <v>-0.5</v>
      </c>
    </row>
    <row r="88">
      <c r="A88" t="s">
        <v>30</v>
      </c>
      <c r="B88" t="n">
        <v>1.12</v>
      </c>
      <c r="C88" t="n">
        <v>1.22</v>
      </c>
      <c r="D88" t="n">
        <v>1.14</v>
      </c>
      <c r="E88" t="n">
        <v>-6</v>
      </c>
      <c r="F88" t="n">
        <v>0</v>
      </c>
      <c r="G88" t="n">
        <v>93</v>
      </c>
      <c r="H88" t="n">
        <v>12</v>
      </c>
      <c r="I88" t="s">
        <v>293</v>
      </c>
      <c r="J88" t="n">
        <v>0</v>
      </c>
      <c r="K88" t="n">
        <v>0</v>
      </c>
      <c r="L88" t="n">
        <v>0</v>
      </c>
      <c r="M88" t="n">
        <v>12</v>
      </c>
      <c r="N88" t="n">
        <v>0</v>
      </c>
      <c r="O88" t="n">
        <v>-0.5</v>
      </c>
      <c r="P88" t="n">
        <v>70</v>
      </c>
      <c r="Q88" t="n">
        <v>12</v>
      </c>
      <c r="R88" t="s">
        <v>297</v>
      </c>
      <c r="S88" t="s">
        <v>294</v>
      </c>
      <c r="T88" t="n">
        <v>-0.25</v>
      </c>
    </row>
    <row r="89">
      <c r="A89" t="s">
        <v>30</v>
      </c>
      <c r="B89" t="n">
        <v>0.98</v>
      </c>
      <c r="C89" t="n">
        <v>0.98</v>
      </c>
      <c r="D89" t="n">
        <v>0.97</v>
      </c>
      <c r="E89" t="n">
        <v>-6.25</v>
      </c>
      <c r="F89" t="n">
        <v>-0.25</v>
      </c>
      <c r="G89" t="n">
        <v>40</v>
      </c>
      <c r="H89" t="n">
        <v>12</v>
      </c>
      <c r="I89" t="s">
        <v>289</v>
      </c>
      <c r="J89" t="n">
        <v>0</v>
      </c>
      <c r="K89" t="n">
        <v>0</v>
      </c>
      <c r="L89" t="n">
        <v>0</v>
      </c>
      <c r="M89" t="n">
        <v>12</v>
      </c>
      <c r="N89" t="n">
        <v>0.25</v>
      </c>
      <c r="O89" t="n">
        <v>0</v>
      </c>
      <c r="P89" t="n">
        <v>139</v>
      </c>
      <c r="Q89" t="n">
        <v>12</v>
      </c>
      <c r="R89" t="s">
        <v>290</v>
      </c>
      <c r="S89" t="s">
        <v>289</v>
      </c>
      <c r="T89" t="n">
        <v>0.25</v>
      </c>
    </row>
    <row r="90">
      <c r="A90" t="s">
        <v>30</v>
      </c>
      <c r="B90" t="n">
        <v>0.96</v>
      </c>
      <c r="C90" t="n">
        <v>0.94</v>
      </c>
      <c r="D90" t="n">
        <v>1.01</v>
      </c>
      <c r="E90" t="n">
        <v>-6.5</v>
      </c>
      <c r="F90" t="n">
        <v>-0.25</v>
      </c>
      <c r="G90" t="n">
        <v>138</v>
      </c>
      <c r="H90" t="n">
        <v>12</v>
      </c>
      <c r="I90" t="s">
        <v>290</v>
      </c>
      <c r="J90" t="n">
        <v>0</v>
      </c>
      <c r="K90" t="n">
        <v>0</v>
      </c>
      <c r="L90" t="n">
        <v>0</v>
      </c>
      <c r="M90" t="n">
        <v>12</v>
      </c>
      <c r="N90" t="n">
        <v>0.25</v>
      </c>
      <c r="O90" t="n">
        <v>0</v>
      </c>
      <c r="P90" t="n">
        <v>131</v>
      </c>
      <c r="Q90" t="n">
        <v>12</v>
      </c>
      <c r="R90" t="s">
        <v>289</v>
      </c>
      <c r="S90" t="s">
        <v>290</v>
      </c>
      <c r="T90" t="n">
        <v>0.25</v>
      </c>
    </row>
    <row r="91">
      <c r="A91" t="s">
        <v>30</v>
      </c>
      <c r="B91" t="n">
        <v>0.92</v>
      </c>
      <c r="C91" t="n">
        <v>0.89</v>
      </c>
      <c r="D91" t="n">
        <v>0.9</v>
      </c>
      <c r="E91" t="n">
        <v>-7</v>
      </c>
      <c r="F91" t="n">
        <v>-0.25</v>
      </c>
      <c r="G91" t="n">
        <v>80</v>
      </c>
      <c r="H91" t="n">
        <v>12</v>
      </c>
      <c r="I91" t="s">
        <v>291</v>
      </c>
      <c r="J91" t="n">
        <v>0</v>
      </c>
      <c r="K91" t="n">
        <v>0</v>
      </c>
      <c r="L91" t="n">
        <v>0</v>
      </c>
      <c r="M91" t="n">
        <v>12</v>
      </c>
      <c r="N91" t="n">
        <v>0.5</v>
      </c>
      <c r="O91" t="n">
        <v>-0.25</v>
      </c>
      <c r="P91" t="n">
        <v>56</v>
      </c>
      <c r="Q91" t="n">
        <v>12</v>
      </c>
      <c r="R91" t="s">
        <v>291</v>
      </c>
      <c r="S91" t="s">
        <v>300</v>
      </c>
      <c r="T91" t="n">
        <v>0.5</v>
      </c>
    </row>
    <row r="92">
      <c r="A92" t="s">
        <v>30</v>
      </c>
      <c r="B92" t="n">
        <v>1</v>
      </c>
      <c r="C92" t="n">
        <v>0.89</v>
      </c>
      <c r="D92" t="n">
        <v>0.98</v>
      </c>
      <c r="E92" t="n">
        <v>-5.75</v>
      </c>
      <c r="F92" t="n">
        <v>-0.25</v>
      </c>
      <c r="G92" t="n">
        <v>20</v>
      </c>
      <c r="H92" t="n">
        <v>12</v>
      </c>
      <c r="I92" t="s">
        <v>289</v>
      </c>
      <c r="J92" t="n">
        <v>0</v>
      </c>
      <c r="K92" t="n">
        <v>0</v>
      </c>
      <c r="L92" t="n">
        <v>0</v>
      </c>
      <c r="M92" t="n">
        <v>12</v>
      </c>
      <c r="N92" t="n">
        <v>0.5</v>
      </c>
      <c r="O92" t="n">
        <v>-0.25</v>
      </c>
      <c r="P92" t="n">
        <v>25</v>
      </c>
      <c r="Q92" t="n">
        <v>12</v>
      </c>
      <c r="R92" t="s">
        <v>289</v>
      </c>
      <c r="S92" t="s">
        <v>300</v>
      </c>
      <c r="T92" t="n">
        <v>0.25</v>
      </c>
    </row>
    <row r="93">
      <c r="A93" t="s">
        <v>30</v>
      </c>
      <c r="B93" t="n">
        <v>0.97</v>
      </c>
      <c r="C93" t="n">
        <v>0.96</v>
      </c>
      <c r="D93" t="n">
        <v>1.02</v>
      </c>
      <c r="E93" t="n">
        <v>-3.75</v>
      </c>
      <c r="F93" t="n">
        <v>-0.5</v>
      </c>
      <c r="G93" t="n">
        <v>85</v>
      </c>
      <c r="H93" t="n">
        <v>12</v>
      </c>
      <c r="I93" t="s">
        <v>290</v>
      </c>
      <c r="J93" t="n">
        <v>0</v>
      </c>
      <c r="K93" t="n">
        <v>0</v>
      </c>
      <c r="L93" t="n">
        <v>0</v>
      </c>
      <c r="M93" t="n">
        <v>12</v>
      </c>
      <c r="N93" t="n">
        <v>0.5</v>
      </c>
      <c r="O93" t="n">
        <v>-0.25</v>
      </c>
      <c r="P93" t="n">
        <v>78</v>
      </c>
      <c r="Q93" t="n">
        <v>12</v>
      </c>
      <c r="R93" t="s">
        <v>289</v>
      </c>
      <c r="S93" t="s">
        <v>290</v>
      </c>
      <c r="T93" t="n">
        <v>0.25</v>
      </c>
    </row>
    <row r="94">
      <c r="A94" t="s">
        <v>30</v>
      </c>
      <c r="B94" t="n">
        <v>1.02</v>
      </c>
      <c r="C94" t="n">
        <v>0.94</v>
      </c>
      <c r="D94" t="n">
        <v>1.03</v>
      </c>
      <c r="E94" t="n">
        <v>-6.5</v>
      </c>
      <c r="F94" t="n">
        <v>-0.25</v>
      </c>
      <c r="G94" t="n">
        <v>87</v>
      </c>
      <c r="H94" t="n">
        <v>12</v>
      </c>
      <c r="I94" t="s">
        <v>289</v>
      </c>
      <c r="J94" t="n">
        <v>0</v>
      </c>
      <c r="K94" t="n">
        <v>0</v>
      </c>
      <c r="L94" t="n">
        <v>0</v>
      </c>
      <c r="M94" t="n">
        <v>12</v>
      </c>
      <c r="N94" t="n">
        <v>-0.25</v>
      </c>
      <c r="O94" t="n">
        <v>0</v>
      </c>
      <c r="P94" t="n">
        <v>149</v>
      </c>
      <c r="Q94" t="n">
        <v>12</v>
      </c>
      <c r="R94" t="s">
        <v>288</v>
      </c>
      <c r="S94" t="s">
        <v>290</v>
      </c>
      <c r="T94" t="n">
        <v>-0.25</v>
      </c>
    </row>
    <row r="95">
      <c r="A95" t="s">
        <v>30</v>
      </c>
      <c r="B95" t="n">
        <v>1.05</v>
      </c>
      <c r="C95" t="n">
        <v>1.08</v>
      </c>
      <c r="D95" t="n">
        <v>1.07</v>
      </c>
      <c r="E95" t="n">
        <v>-7</v>
      </c>
      <c r="F95" t="n">
        <v>-0.25</v>
      </c>
      <c r="G95" t="n">
        <v>100</v>
      </c>
      <c r="H95" t="n">
        <v>12</v>
      </c>
      <c r="I95" t="s">
        <v>288</v>
      </c>
      <c r="J95" t="n">
        <v>0</v>
      </c>
      <c r="K95" t="n">
        <v>0</v>
      </c>
      <c r="L95" t="n">
        <v>0</v>
      </c>
      <c r="M95" t="n">
        <v>12</v>
      </c>
      <c r="N95" t="n">
        <v>0.5</v>
      </c>
      <c r="O95" t="n">
        <v>-0.25</v>
      </c>
      <c r="P95" t="n">
        <v>122</v>
      </c>
      <c r="Q95" t="n">
        <v>12</v>
      </c>
      <c r="R95" t="s">
        <v>288</v>
      </c>
      <c r="S95" t="s">
        <v>293</v>
      </c>
      <c r="T95" t="n">
        <v>0.25</v>
      </c>
    </row>
    <row r="96">
      <c r="A96" t="s">
        <v>30</v>
      </c>
      <c r="B96" t="n">
        <v>1.1</v>
      </c>
      <c r="C96" t="n">
        <v>1.09</v>
      </c>
      <c r="D96" t="n">
        <v>1.12</v>
      </c>
      <c r="E96" t="n">
        <v>-4</v>
      </c>
      <c r="F96" t="n">
        <v>-0.25</v>
      </c>
      <c r="G96" t="n">
        <v>94</v>
      </c>
      <c r="H96" t="n">
        <v>12</v>
      </c>
      <c r="I96" t="s">
        <v>293</v>
      </c>
      <c r="J96" t="n">
        <v>0</v>
      </c>
      <c r="K96" t="n">
        <v>0</v>
      </c>
      <c r="L96" t="n">
        <v>0</v>
      </c>
      <c r="M96" t="n">
        <v>12</v>
      </c>
      <c r="N96" t="n">
        <v>-0.25</v>
      </c>
      <c r="O96" t="n">
        <v>0</v>
      </c>
      <c r="P96" t="n">
        <v>78</v>
      </c>
      <c r="Q96" t="n">
        <v>12</v>
      </c>
      <c r="R96" t="s">
        <v>293</v>
      </c>
      <c r="S96" t="s">
        <v>293</v>
      </c>
      <c r="T96" t="n">
        <v>-0.25</v>
      </c>
    </row>
    <row r="97">
      <c r="A97" t="s">
        <v>30</v>
      </c>
      <c r="B97" t="n">
        <v>1.08</v>
      </c>
      <c r="C97" t="n">
        <v>1.12</v>
      </c>
      <c r="D97" t="n">
        <v>1.11</v>
      </c>
      <c r="E97" t="n">
        <v>-1.25</v>
      </c>
      <c r="F97" t="n">
        <v>-0.75</v>
      </c>
      <c r="G97" t="n">
        <v>102</v>
      </c>
      <c r="H97" t="n">
        <v>12</v>
      </c>
      <c r="I97" t="s">
        <v>293</v>
      </c>
      <c r="J97" t="n">
        <v>0</v>
      </c>
      <c r="K97" t="n">
        <v>0</v>
      </c>
      <c r="L97" t="n">
        <v>0</v>
      </c>
      <c r="M97" t="n">
        <v>12</v>
      </c>
      <c r="N97" t="n">
        <v>0</v>
      </c>
      <c r="O97" t="n">
        <v>0</v>
      </c>
      <c r="P97" t="n">
        <v>0</v>
      </c>
      <c r="Q97" t="n">
        <v>12</v>
      </c>
      <c r="R97" t="s">
        <v>293</v>
      </c>
      <c r="S97" t="s">
        <v>293</v>
      </c>
      <c r="T97" t="n">
        <v>0</v>
      </c>
    </row>
    <row r="98">
      <c r="A98" t="s">
        <v>30</v>
      </c>
      <c r="B98" t="n">
        <v>0.97</v>
      </c>
      <c r="C98" t="n">
        <v>1.02</v>
      </c>
      <c r="D98" t="n">
        <v>0.99</v>
      </c>
      <c r="E98" t="n">
        <v>-5.75</v>
      </c>
      <c r="F98" t="n">
        <v>-0.5</v>
      </c>
      <c r="G98" t="n">
        <v>95</v>
      </c>
      <c r="H98" t="n">
        <v>12</v>
      </c>
      <c r="I98" t="s">
        <v>290</v>
      </c>
      <c r="J98" t="n">
        <v>0</v>
      </c>
      <c r="K98" t="n">
        <v>0</v>
      </c>
      <c r="L98" t="n">
        <v>0</v>
      </c>
      <c r="M98" t="n">
        <v>12</v>
      </c>
      <c r="N98" t="n">
        <v>0</v>
      </c>
      <c r="O98" t="n">
        <v>-0.25</v>
      </c>
      <c r="P98" t="n">
        <v>89</v>
      </c>
      <c r="Q98" t="n">
        <v>12</v>
      </c>
      <c r="R98" t="s">
        <v>289</v>
      </c>
      <c r="S98" t="s">
        <v>289</v>
      </c>
      <c r="T98" t="n">
        <v>-0.25</v>
      </c>
    </row>
    <row r="99">
      <c r="A99" t="s">
        <v>30</v>
      </c>
      <c r="B99" t="n">
        <v>0.93</v>
      </c>
      <c r="C99" t="n">
        <v>0.92</v>
      </c>
      <c r="D99" t="n">
        <v>0.99</v>
      </c>
      <c r="E99" t="n">
        <v>-6</v>
      </c>
      <c r="F99" t="n">
        <v>-0.25</v>
      </c>
      <c r="G99" t="n">
        <v>156</v>
      </c>
      <c r="H99" t="n">
        <v>12</v>
      </c>
      <c r="I99" t="s">
        <v>291</v>
      </c>
      <c r="J99" t="n">
        <v>0</v>
      </c>
      <c r="K99" t="n">
        <v>0</v>
      </c>
      <c r="L99" t="n">
        <v>0</v>
      </c>
      <c r="M99" t="n">
        <v>12</v>
      </c>
      <c r="N99" t="n">
        <v>0.25</v>
      </c>
      <c r="O99" t="n">
        <v>0</v>
      </c>
      <c r="P99" t="n">
        <v>91</v>
      </c>
      <c r="Q99" t="n">
        <v>12</v>
      </c>
      <c r="R99" t="s">
        <v>289</v>
      </c>
      <c r="S99" t="s">
        <v>291</v>
      </c>
      <c r="T99" t="n">
        <v>0.25</v>
      </c>
    </row>
    <row r="100">
      <c r="A100" t="s">
        <v>30</v>
      </c>
      <c r="B100" t="n">
        <v>0.88</v>
      </c>
      <c r="C100" t="n">
        <v>0.71</v>
      </c>
      <c r="D100" t="n">
        <v>0.86</v>
      </c>
      <c r="E100" t="n">
        <v>-7.5</v>
      </c>
      <c r="F100" t="n">
        <v>-0.25</v>
      </c>
      <c r="G100" t="n">
        <v>79</v>
      </c>
      <c r="H100" t="n">
        <v>12</v>
      </c>
      <c r="I100" t="s">
        <v>300</v>
      </c>
      <c r="J100" t="n">
        <v>0</v>
      </c>
      <c r="K100" t="n">
        <v>0</v>
      </c>
      <c r="L100" t="n">
        <v>0</v>
      </c>
      <c r="M100" t="n">
        <v>12</v>
      </c>
      <c r="N100" t="n">
        <v>0.5</v>
      </c>
      <c r="O100" t="n">
        <v>0</v>
      </c>
      <c r="P100" t="n">
        <v>65</v>
      </c>
      <c r="Q100" t="n">
        <v>12</v>
      </c>
      <c r="R100" t="s">
        <v>300</v>
      </c>
      <c r="S100" t="s">
        <v>302</v>
      </c>
      <c r="T100" t="n">
        <v>0.5</v>
      </c>
    </row>
    <row r="101">
      <c r="A101" t="s">
        <v>30</v>
      </c>
      <c r="B101" t="n">
        <v>0.98</v>
      </c>
      <c r="C101" t="n">
        <v>1</v>
      </c>
      <c r="D101" t="n">
        <v>0.95</v>
      </c>
      <c r="E101" t="n">
        <v>-2</v>
      </c>
      <c r="F101" t="n">
        <v>-0.25</v>
      </c>
      <c r="G101" t="n">
        <v>92</v>
      </c>
      <c r="H101" t="n">
        <v>12</v>
      </c>
      <c r="I101" t="s">
        <v>289</v>
      </c>
      <c r="J101" t="n">
        <v>0</v>
      </c>
      <c r="K101" t="n">
        <v>0</v>
      </c>
      <c r="L101" t="n">
        <v>0</v>
      </c>
      <c r="M101" t="n">
        <v>12</v>
      </c>
      <c r="N101" t="n">
        <v>0</v>
      </c>
      <c r="O101" t="n">
        <v>-0.25</v>
      </c>
      <c r="P101" t="n">
        <v>69</v>
      </c>
      <c r="Q101" t="n">
        <v>12</v>
      </c>
      <c r="R101" t="s">
        <v>290</v>
      </c>
      <c r="S101" t="s">
        <v>289</v>
      </c>
      <c r="T101" t="n">
        <v>-0.25</v>
      </c>
    </row>
    <row r="102">
      <c r="A102" t="s">
        <v>30</v>
      </c>
      <c r="B102" t="n">
        <v>1.1</v>
      </c>
      <c r="C102" t="n">
        <v>1.11</v>
      </c>
      <c r="D102" t="n">
        <v>1.12</v>
      </c>
      <c r="E102" t="n">
        <v>-5</v>
      </c>
      <c r="F102" t="n">
        <v>0</v>
      </c>
      <c r="G102" t="n">
        <v>3</v>
      </c>
      <c r="H102" t="n">
        <v>12</v>
      </c>
      <c r="I102" t="s">
        <v>293</v>
      </c>
      <c r="J102" t="n">
        <v>0</v>
      </c>
      <c r="K102" t="n">
        <v>0</v>
      </c>
      <c r="L102" t="n">
        <v>0</v>
      </c>
      <c r="M102" t="n">
        <v>12</v>
      </c>
      <c r="N102" t="n">
        <v>0.25</v>
      </c>
      <c r="O102" t="n">
        <v>0</v>
      </c>
      <c r="P102" t="n">
        <v>28</v>
      </c>
      <c r="Q102" t="n">
        <v>12</v>
      </c>
      <c r="R102" t="s">
        <v>293</v>
      </c>
      <c r="S102" t="s">
        <v>293</v>
      </c>
      <c r="T102" t="n">
        <v>0.25</v>
      </c>
    </row>
    <row r="103">
      <c r="A103" t="s">
        <v>30</v>
      </c>
      <c r="B103" t="n">
        <v>1.03</v>
      </c>
      <c r="C103" t="n">
        <v>1.05</v>
      </c>
      <c r="D103" t="n">
        <v>1.02</v>
      </c>
      <c r="E103" t="n">
        <v>-1.5</v>
      </c>
      <c r="F103" t="n">
        <v>-0.75</v>
      </c>
      <c r="G103" t="n">
        <v>104</v>
      </c>
      <c r="H103" t="n">
        <v>12</v>
      </c>
      <c r="I103" t="s">
        <v>288</v>
      </c>
      <c r="J103" t="n">
        <v>0</v>
      </c>
      <c r="K103" t="n">
        <v>0</v>
      </c>
      <c r="L103" t="n">
        <v>0</v>
      </c>
      <c r="M103" t="n">
        <v>12</v>
      </c>
      <c r="N103" t="n">
        <v>0</v>
      </c>
      <c r="O103" t="n">
        <v>-0.25</v>
      </c>
      <c r="P103" t="n">
        <v>103</v>
      </c>
      <c r="Q103" t="n">
        <v>12</v>
      </c>
      <c r="R103" t="s">
        <v>289</v>
      </c>
      <c r="S103" t="s">
        <v>288</v>
      </c>
      <c r="T103" t="n">
        <v>0</v>
      </c>
    </row>
    <row r="104">
      <c r="A104" t="s">
        <v>30</v>
      </c>
      <c r="B104" t="n">
        <v>1.07</v>
      </c>
      <c r="C104" t="n">
        <v>1.25</v>
      </c>
      <c r="D104" t="n">
        <v>1.12</v>
      </c>
      <c r="E104" t="n">
        <v>-4.25</v>
      </c>
      <c r="F104" t="n">
        <v>-0.75</v>
      </c>
      <c r="G104" t="n">
        <v>174</v>
      </c>
      <c r="H104" t="n">
        <v>12</v>
      </c>
      <c r="I104" t="s">
        <v>288</v>
      </c>
      <c r="J104" t="n">
        <v>0</v>
      </c>
      <c r="K104" t="n">
        <v>0</v>
      </c>
      <c r="L104" t="n">
        <v>0</v>
      </c>
      <c r="M104" t="n">
        <v>12</v>
      </c>
      <c r="N104" t="n">
        <v>0</v>
      </c>
      <c r="O104" t="n">
        <v>-0.25</v>
      </c>
      <c r="P104" t="n">
        <v>32</v>
      </c>
      <c r="Q104" t="n">
        <v>12</v>
      </c>
      <c r="R104" t="s">
        <v>293</v>
      </c>
      <c r="S104" t="s">
        <v>296</v>
      </c>
      <c r="T104" t="n">
        <v>0</v>
      </c>
    </row>
    <row r="105">
      <c r="A105" t="s">
        <v>30</v>
      </c>
      <c r="B105" t="n">
        <v>1.07</v>
      </c>
      <c r="C105" t="n">
        <v>1.07</v>
      </c>
      <c r="D105" t="n">
        <v>1.07</v>
      </c>
      <c r="E105" t="n">
        <v>-1.75</v>
      </c>
      <c r="F105" t="n">
        <v>-1</v>
      </c>
      <c r="G105" t="n">
        <v>162</v>
      </c>
      <c r="H105" t="n">
        <v>12</v>
      </c>
      <c r="I105" t="s">
        <v>288</v>
      </c>
      <c r="J105" t="n">
        <v>0</v>
      </c>
      <c r="K105" t="n">
        <v>0</v>
      </c>
      <c r="L105" t="n">
        <v>0</v>
      </c>
      <c r="M105" t="n">
        <v>12</v>
      </c>
      <c r="N105" t="n">
        <v>-0.25</v>
      </c>
      <c r="O105" t="n">
        <v>0</v>
      </c>
      <c r="P105" t="n">
        <v>78</v>
      </c>
      <c r="Q105" t="n">
        <v>12</v>
      </c>
      <c r="R105" t="s">
        <v>288</v>
      </c>
      <c r="S105" t="s">
        <v>288</v>
      </c>
      <c r="T105" t="n">
        <v>-0.25</v>
      </c>
    </row>
    <row r="106">
      <c r="A106" t="s">
        <v>30</v>
      </c>
      <c r="B106" t="n">
        <v>1</v>
      </c>
      <c r="C106" t="n">
        <v>0.91</v>
      </c>
      <c r="D106" t="n">
        <v>1</v>
      </c>
      <c r="E106" t="n">
        <v>-5</v>
      </c>
      <c r="F106" t="n">
        <v>-1</v>
      </c>
      <c r="G106" t="n">
        <v>177</v>
      </c>
      <c r="H106" t="n">
        <v>12</v>
      </c>
      <c r="I106" t="s">
        <v>289</v>
      </c>
      <c r="J106" t="n">
        <v>0</v>
      </c>
      <c r="K106" t="n">
        <v>0</v>
      </c>
      <c r="L106" t="n">
        <v>0</v>
      </c>
      <c r="M106" t="n">
        <v>12</v>
      </c>
      <c r="N106" t="n">
        <v>0</v>
      </c>
      <c r="O106" t="n">
        <v>-0.25</v>
      </c>
      <c r="P106" t="n">
        <v>177</v>
      </c>
      <c r="Q106" t="n">
        <v>12</v>
      </c>
      <c r="R106" t="s">
        <v>289</v>
      </c>
      <c r="S106" t="s">
        <v>291</v>
      </c>
      <c r="T106" t="n">
        <v>0</v>
      </c>
    </row>
    <row r="107">
      <c r="A107" t="s">
        <v>30</v>
      </c>
      <c r="B107" t="n">
        <v>1.04</v>
      </c>
      <c r="C107" t="n">
        <v>1.05</v>
      </c>
      <c r="D107" t="n">
        <v>1.05</v>
      </c>
      <c r="E107" t="n">
        <v>-6.75</v>
      </c>
      <c r="F107" t="n">
        <v>-0.75</v>
      </c>
      <c r="G107" t="n">
        <v>83</v>
      </c>
      <c r="H107" t="n">
        <v>12</v>
      </c>
      <c r="I107" t="s">
        <v>288</v>
      </c>
      <c r="J107" t="n">
        <v>0</v>
      </c>
      <c r="K107" t="n">
        <v>0</v>
      </c>
      <c r="L107" t="n">
        <v>0</v>
      </c>
      <c r="M107" t="n">
        <v>12</v>
      </c>
      <c r="N107" t="n">
        <v>0.5</v>
      </c>
      <c r="O107" t="n">
        <v>-0.25</v>
      </c>
      <c r="P107" t="n">
        <v>100</v>
      </c>
      <c r="Q107" t="n">
        <v>12</v>
      </c>
      <c r="R107" t="s">
        <v>288</v>
      </c>
      <c r="S107" t="s">
        <v>288</v>
      </c>
      <c r="T107" t="n">
        <v>0.25</v>
      </c>
    </row>
    <row r="108">
      <c r="A108" t="s">
        <v>30</v>
      </c>
      <c r="B108" t="n">
        <v>1</v>
      </c>
      <c r="C108" t="n">
        <v>0.93</v>
      </c>
      <c r="D108" t="n">
        <v>0.93</v>
      </c>
      <c r="E108" t="n">
        <v>-1</v>
      </c>
      <c r="F108" t="n">
        <v>0</v>
      </c>
      <c r="G108" t="n">
        <v>9</v>
      </c>
      <c r="H108" t="n">
        <v>12</v>
      </c>
      <c r="I108" t="s">
        <v>289</v>
      </c>
      <c r="J108" t="n">
        <v>0</v>
      </c>
      <c r="K108" t="n">
        <v>0</v>
      </c>
      <c r="L108" t="n">
        <v>0</v>
      </c>
      <c r="M108" t="n">
        <v>12</v>
      </c>
      <c r="N108" t="n">
        <v>0.5</v>
      </c>
      <c r="O108" t="n">
        <v>-0.25</v>
      </c>
      <c r="P108" t="n">
        <v>159</v>
      </c>
      <c r="Q108" t="n">
        <v>12</v>
      </c>
      <c r="R108" t="s">
        <v>291</v>
      </c>
      <c r="S108" t="s">
        <v>291</v>
      </c>
      <c r="T108" t="n">
        <v>0.25</v>
      </c>
    </row>
    <row r="109">
      <c r="A109" t="s">
        <v>30</v>
      </c>
      <c r="B109" t="n">
        <v>0.95</v>
      </c>
      <c r="C109" t="n">
        <v>0.88</v>
      </c>
      <c r="D109" t="n">
        <v>0.94</v>
      </c>
      <c r="E109" t="n">
        <v>-3.75</v>
      </c>
      <c r="F109" t="n">
        <v>-0.25</v>
      </c>
      <c r="G109" t="n">
        <v>96</v>
      </c>
      <c r="H109" t="n">
        <v>12</v>
      </c>
      <c r="I109" t="s">
        <v>290</v>
      </c>
      <c r="J109" t="n">
        <v>0</v>
      </c>
      <c r="K109" t="n">
        <v>0</v>
      </c>
      <c r="L109" t="n">
        <v>0</v>
      </c>
      <c r="M109" t="n">
        <v>12</v>
      </c>
      <c r="N109" t="n">
        <v>-0.25</v>
      </c>
      <c r="O109" t="n">
        <v>0</v>
      </c>
      <c r="P109" t="n">
        <v>86</v>
      </c>
      <c r="Q109" t="n">
        <v>12</v>
      </c>
      <c r="R109" t="s">
        <v>290</v>
      </c>
      <c r="S109" t="s">
        <v>300</v>
      </c>
      <c r="T109" t="n">
        <v>-0.25</v>
      </c>
    </row>
    <row r="110">
      <c r="A110" t="s">
        <v>30</v>
      </c>
      <c r="B110" t="n">
        <v>1.07</v>
      </c>
      <c r="C110" t="n">
        <v>0.98</v>
      </c>
      <c r="D110" t="n">
        <v>1.1</v>
      </c>
      <c r="E110" t="n">
        <v>-5.25</v>
      </c>
      <c r="F110" t="n">
        <v>-1.25</v>
      </c>
      <c r="G110" t="n">
        <v>98</v>
      </c>
      <c r="H110" t="n">
        <v>12</v>
      </c>
      <c r="I110" t="s">
        <v>288</v>
      </c>
      <c r="J110" t="n">
        <v>0</v>
      </c>
      <c r="K110" t="n">
        <v>0</v>
      </c>
      <c r="L110" t="n">
        <v>0</v>
      </c>
      <c r="M110" t="n">
        <v>12</v>
      </c>
      <c r="N110" t="n">
        <v>-0.5</v>
      </c>
      <c r="O110" t="n">
        <v>-0.25</v>
      </c>
      <c r="P110" t="n">
        <v>98</v>
      </c>
      <c r="Q110" t="n">
        <v>12</v>
      </c>
      <c r="R110" t="s">
        <v>293</v>
      </c>
      <c r="S110" t="s">
        <v>289</v>
      </c>
      <c r="T110" t="n">
        <v>-0.5</v>
      </c>
    </row>
    <row r="111">
      <c r="A111" t="s">
        <v>30</v>
      </c>
      <c r="B111" t="n">
        <v>1.01</v>
      </c>
      <c r="C111" t="n">
        <v>0.86</v>
      </c>
      <c r="D111" t="n">
        <v>1.03</v>
      </c>
      <c r="E111" t="n">
        <v>-5</v>
      </c>
      <c r="F111" t="n">
        <v>-0.5</v>
      </c>
      <c r="G111" t="n">
        <v>86</v>
      </c>
      <c r="H111" t="n">
        <v>12</v>
      </c>
      <c r="I111" t="s">
        <v>289</v>
      </c>
      <c r="J111" t="n">
        <v>0</v>
      </c>
      <c r="K111" t="n">
        <v>0</v>
      </c>
      <c r="L111" t="n">
        <v>0</v>
      </c>
      <c r="M111" t="n">
        <v>12</v>
      </c>
      <c r="N111" t="n">
        <v>-0.5</v>
      </c>
      <c r="O111" t="n">
        <v>0</v>
      </c>
      <c r="P111" t="n">
        <v>85</v>
      </c>
      <c r="Q111" t="n">
        <v>12</v>
      </c>
      <c r="R111" t="s">
        <v>288</v>
      </c>
      <c r="S111" t="s">
        <v>300</v>
      </c>
      <c r="T111" t="n">
        <v>-0.5</v>
      </c>
    </row>
    <row r="112">
      <c r="A112" t="s">
        <v>30</v>
      </c>
      <c r="B112" t="n">
        <v>1.1</v>
      </c>
      <c r="C112" t="n">
        <v>1.19</v>
      </c>
      <c r="D112" t="n">
        <v>1.16</v>
      </c>
      <c r="E112" t="n">
        <v>-4</v>
      </c>
      <c r="F112" t="n">
        <v>0</v>
      </c>
      <c r="G112" t="n">
        <v>99</v>
      </c>
      <c r="H112" t="n">
        <v>12</v>
      </c>
      <c r="I112" t="s">
        <v>293</v>
      </c>
      <c r="J112" t="n">
        <v>0</v>
      </c>
      <c r="K112" t="n">
        <v>0</v>
      </c>
      <c r="L112" t="n">
        <v>0</v>
      </c>
      <c r="M112" t="n">
        <v>12</v>
      </c>
      <c r="N112" t="n">
        <v>0</v>
      </c>
      <c r="O112" t="n">
        <v>-0.25</v>
      </c>
      <c r="P112" t="n">
        <v>111</v>
      </c>
      <c r="Q112" t="n">
        <v>12</v>
      </c>
      <c r="R112" t="s">
        <v>297</v>
      </c>
      <c r="S112" t="s">
        <v>294</v>
      </c>
      <c r="T112" t="n">
        <v>0</v>
      </c>
    </row>
    <row r="113">
      <c r="A113" t="s">
        <v>30</v>
      </c>
      <c r="B113" t="n">
        <v>1.08</v>
      </c>
      <c r="C113" t="n">
        <v>1.05</v>
      </c>
      <c r="D113" t="n">
        <v>1.13</v>
      </c>
      <c r="E113" t="n">
        <v>-1.5</v>
      </c>
      <c r="F113" t="n">
        <v>-1</v>
      </c>
      <c r="G113" t="n">
        <v>58</v>
      </c>
      <c r="H113" t="n">
        <v>12</v>
      </c>
      <c r="I113" t="s">
        <v>293</v>
      </c>
      <c r="J113" t="n">
        <v>0</v>
      </c>
      <c r="K113" t="n">
        <v>0</v>
      </c>
      <c r="L113" t="n">
        <v>0</v>
      </c>
      <c r="M113" t="n">
        <v>12</v>
      </c>
      <c r="N113" t="n">
        <v>-0.25</v>
      </c>
      <c r="O113" t="n">
        <v>0</v>
      </c>
      <c r="P113" t="n">
        <v>65</v>
      </c>
      <c r="Q113" t="n">
        <v>12</v>
      </c>
      <c r="R113" t="s">
        <v>297</v>
      </c>
      <c r="S113" t="s">
        <v>288</v>
      </c>
      <c r="T113" t="n">
        <v>-0.25</v>
      </c>
    </row>
    <row r="114">
      <c r="A114" t="s">
        <v>30</v>
      </c>
      <c r="B114" t="n">
        <v>1.11</v>
      </c>
      <c r="C114" t="n">
        <v>1.14</v>
      </c>
      <c r="D114" t="n">
        <v>1.17</v>
      </c>
      <c r="E114" t="n">
        <v>-3</v>
      </c>
      <c r="F114" t="n">
        <v>-0.25</v>
      </c>
      <c r="G114" t="n">
        <v>99</v>
      </c>
      <c r="H114" t="n">
        <v>12</v>
      </c>
      <c r="I114" t="s">
        <v>293</v>
      </c>
      <c r="J114" t="n">
        <v>0</v>
      </c>
      <c r="K114" t="n">
        <v>0</v>
      </c>
      <c r="L114" t="n">
        <v>0</v>
      </c>
      <c r="M114" t="n">
        <v>12</v>
      </c>
      <c r="N114" t="n">
        <v>0.25</v>
      </c>
      <c r="O114" t="n">
        <v>0</v>
      </c>
      <c r="P114" t="n">
        <v>64</v>
      </c>
      <c r="Q114" t="n">
        <v>12</v>
      </c>
      <c r="R114" t="s">
        <v>297</v>
      </c>
      <c r="S114" t="s">
        <v>297</v>
      </c>
      <c r="T114" t="n">
        <v>0.25</v>
      </c>
    </row>
    <row r="115">
      <c r="A115" t="s">
        <v>30</v>
      </c>
      <c r="B115" t="n">
        <v>1.05</v>
      </c>
      <c r="C115" t="n">
        <v>0.97</v>
      </c>
      <c r="D115" t="n">
        <v>1.02</v>
      </c>
      <c r="E115" t="n">
        <v>-5</v>
      </c>
      <c r="F115" t="n">
        <v>-0.25</v>
      </c>
      <c r="G115" t="n">
        <v>96</v>
      </c>
      <c r="H115" t="n">
        <v>12</v>
      </c>
      <c r="I115" t="s">
        <v>288</v>
      </c>
      <c r="J115" t="n">
        <v>0</v>
      </c>
      <c r="K115" t="n">
        <v>0</v>
      </c>
      <c r="L115" t="n">
        <v>0</v>
      </c>
      <c r="M115" t="n">
        <v>12</v>
      </c>
      <c r="N115" t="n">
        <v>0.25</v>
      </c>
      <c r="O115" t="n">
        <v>0</v>
      </c>
      <c r="P115" t="n">
        <v>43</v>
      </c>
      <c r="Q115" t="n">
        <v>12</v>
      </c>
      <c r="R115" t="s">
        <v>289</v>
      </c>
      <c r="S115" t="s">
        <v>290</v>
      </c>
      <c r="T115" t="n">
        <v>0.25</v>
      </c>
    </row>
    <row r="116">
      <c r="A116" t="s">
        <v>30</v>
      </c>
      <c r="B116" t="n">
        <v>1.04</v>
      </c>
      <c r="C116" t="n">
        <v>0.88</v>
      </c>
      <c r="D116" t="n">
        <v>0.99</v>
      </c>
      <c r="E116" t="n">
        <v>-3.75</v>
      </c>
      <c r="F116" t="n">
        <v>-0.5</v>
      </c>
      <c r="G116" t="n">
        <v>95</v>
      </c>
      <c r="H116" t="n">
        <v>12</v>
      </c>
      <c r="I116" t="s">
        <v>288</v>
      </c>
      <c r="J116" t="n">
        <v>0</v>
      </c>
      <c r="K116" t="n">
        <v>0</v>
      </c>
      <c r="L116" t="n">
        <v>0</v>
      </c>
      <c r="M116" t="n">
        <v>12</v>
      </c>
      <c r="N116" t="n">
        <v>0</v>
      </c>
      <c r="O116" t="n">
        <v>-0.25</v>
      </c>
      <c r="P116" t="n">
        <v>90</v>
      </c>
      <c r="Q116" t="n">
        <v>12</v>
      </c>
      <c r="R116" t="s">
        <v>289</v>
      </c>
      <c r="S116" t="s">
        <v>300</v>
      </c>
      <c r="T116" t="n">
        <v>-0.25</v>
      </c>
    </row>
    <row r="117">
      <c r="A117" t="s">
        <v>30</v>
      </c>
      <c r="B117" t="n">
        <v>1.03</v>
      </c>
      <c r="C117" t="n">
        <v>0.88</v>
      </c>
      <c r="D117" t="n">
        <v>1</v>
      </c>
      <c r="E117" t="n">
        <v>-4.75</v>
      </c>
      <c r="F117" t="n">
        <v>-0.75</v>
      </c>
      <c r="G117" t="n">
        <v>23</v>
      </c>
      <c r="H117" t="n">
        <v>12</v>
      </c>
      <c r="I117" t="s">
        <v>288</v>
      </c>
      <c r="J117" t="n">
        <v>0</v>
      </c>
      <c r="K117" t="n">
        <v>0</v>
      </c>
      <c r="L117" t="n">
        <v>0</v>
      </c>
      <c r="M117" t="n">
        <v>12</v>
      </c>
      <c r="N117" t="n">
        <v>0</v>
      </c>
      <c r="O117" t="n">
        <v>-0.25</v>
      </c>
      <c r="P117" t="n">
        <v>5</v>
      </c>
      <c r="Q117" t="n">
        <v>12</v>
      </c>
      <c r="R117" t="s">
        <v>289</v>
      </c>
      <c r="S117" t="s">
        <v>300</v>
      </c>
      <c r="T117" t="n">
        <v>-0.25</v>
      </c>
    </row>
    <row r="118">
      <c r="A118" t="s">
        <v>30</v>
      </c>
      <c r="B118" t="n">
        <v>1.06</v>
      </c>
      <c r="C118" t="n">
        <v>1.07</v>
      </c>
      <c r="D118" t="n">
        <v>1.05</v>
      </c>
      <c r="E118" t="n">
        <v>-5</v>
      </c>
      <c r="F118" t="n">
        <v>-0.75</v>
      </c>
      <c r="G118" t="n">
        <v>6</v>
      </c>
      <c r="H118" t="n">
        <v>12</v>
      </c>
      <c r="I118" t="s">
        <v>288</v>
      </c>
      <c r="J118" t="n">
        <v>0</v>
      </c>
      <c r="K118" t="n">
        <v>0</v>
      </c>
      <c r="L118" t="n">
        <v>0</v>
      </c>
      <c r="M118" t="n">
        <v>12</v>
      </c>
      <c r="N118" t="n">
        <v>0.5</v>
      </c>
      <c r="O118" t="n">
        <v>0</v>
      </c>
      <c r="P118" t="n">
        <v>26</v>
      </c>
      <c r="Q118" t="n">
        <v>12</v>
      </c>
      <c r="R118" t="s">
        <v>288</v>
      </c>
      <c r="S118" t="s">
        <v>288</v>
      </c>
      <c r="T118" t="n">
        <v>0.5</v>
      </c>
    </row>
    <row r="119">
      <c r="A119" t="s">
        <v>30</v>
      </c>
      <c r="B119" t="n">
        <v>1.1</v>
      </c>
      <c r="C119" t="n">
        <v>1.08</v>
      </c>
      <c r="D119" t="n">
        <v>1.09</v>
      </c>
      <c r="E119" t="n">
        <v>-2.5</v>
      </c>
      <c r="F119" t="n">
        <v>-0.75</v>
      </c>
      <c r="G119" t="n">
        <v>178</v>
      </c>
      <c r="H119" t="n">
        <v>12</v>
      </c>
      <c r="I119" t="s">
        <v>293</v>
      </c>
      <c r="J119" t="n">
        <v>0</v>
      </c>
      <c r="K119" t="n">
        <v>0</v>
      </c>
      <c r="L119" t="n">
        <v>0</v>
      </c>
      <c r="M119" t="n">
        <v>12</v>
      </c>
      <c r="N119" t="n">
        <v>0</v>
      </c>
      <c r="O119" t="n">
        <v>-0.25</v>
      </c>
      <c r="P119" t="n">
        <v>4</v>
      </c>
      <c r="Q119" t="n">
        <v>12</v>
      </c>
      <c r="R119" t="s">
        <v>293</v>
      </c>
      <c r="S119" t="s">
        <v>293</v>
      </c>
      <c r="T119" t="n">
        <v>-0.25</v>
      </c>
    </row>
    <row r="120">
      <c r="A120" t="s">
        <v>30</v>
      </c>
      <c r="B120" t="n">
        <v>1.04</v>
      </c>
      <c r="C120" t="n">
        <v>0.98</v>
      </c>
      <c r="D120" t="n">
        <v>1</v>
      </c>
      <c r="E120" t="n">
        <v>-1.25</v>
      </c>
      <c r="F120" t="n">
        <v>-0.5</v>
      </c>
      <c r="G120" t="n">
        <v>84</v>
      </c>
      <c r="H120" t="n">
        <v>12</v>
      </c>
      <c r="I120" t="s">
        <v>288</v>
      </c>
      <c r="J120" t="n">
        <v>0</v>
      </c>
      <c r="K120" t="n">
        <v>0</v>
      </c>
      <c r="L120" t="n">
        <v>0</v>
      </c>
      <c r="M120" t="n">
        <v>12</v>
      </c>
      <c r="N120" t="n">
        <v>0.75</v>
      </c>
      <c r="O120" t="n">
        <v>0</v>
      </c>
      <c r="P120" t="n">
        <v>138</v>
      </c>
      <c r="Q120" t="n">
        <v>12</v>
      </c>
      <c r="R120" t="s">
        <v>289</v>
      </c>
      <c r="S120" t="s">
        <v>289</v>
      </c>
      <c r="T120" t="n">
        <v>0.75</v>
      </c>
    </row>
    <row r="121">
      <c r="A121" t="s">
        <v>30</v>
      </c>
      <c r="B121" t="n">
        <v>0.94</v>
      </c>
      <c r="C121" t="n">
        <v>0.93</v>
      </c>
      <c r="D121" t="n">
        <v>0.94</v>
      </c>
      <c r="E121" t="n">
        <v>-1.5</v>
      </c>
      <c r="F121" t="n">
        <v>-0.5</v>
      </c>
      <c r="G121" t="n">
        <v>94</v>
      </c>
      <c r="H121" t="n">
        <v>12</v>
      </c>
      <c r="I121" t="s">
        <v>290</v>
      </c>
      <c r="J121" t="n">
        <v>0</v>
      </c>
      <c r="K121" t="n">
        <v>0</v>
      </c>
      <c r="L121" t="n">
        <v>0</v>
      </c>
      <c r="M121" t="n">
        <v>12</v>
      </c>
      <c r="N121" t="n">
        <v>0.5</v>
      </c>
      <c r="O121" t="n">
        <v>-0.25</v>
      </c>
      <c r="P121" t="n">
        <v>96</v>
      </c>
      <c r="Q121" t="n">
        <v>12</v>
      </c>
      <c r="R121" t="s">
        <v>290</v>
      </c>
      <c r="S121" t="s">
        <v>291</v>
      </c>
      <c r="T121" t="n">
        <v>0.5</v>
      </c>
    </row>
    <row r="122">
      <c r="A122" t="s">
        <v>30</v>
      </c>
      <c r="B122" t="n">
        <v>1.06</v>
      </c>
      <c r="C122" t="n">
        <v>1.04</v>
      </c>
      <c r="D122" t="n">
        <v>1.02</v>
      </c>
      <c r="E122" t="n">
        <v>-5</v>
      </c>
      <c r="F122" t="n">
        <v>0</v>
      </c>
      <c r="G122" t="n">
        <v>7</v>
      </c>
      <c r="H122" t="n">
        <v>12</v>
      </c>
      <c r="I122" t="s">
        <v>288</v>
      </c>
      <c r="J122" t="n">
        <v>0</v>
      </c>
      <c r="K122" t="n">
        <v>0</v>
      </c>
      <c r="L122" t="n">
        <v>0</v>
      </c>
      <c r="M122" t="n">
        <v>12</v>
      </c>
      <c r="N122" t="n">
        <v>0.25</v>
      </c>
      <c r="O122" t="n">
        <v>-0.5</v>
      </c>
      <c r="P122" t="n">
        <v>3</v>
      </c>
      <c r="Q122" t="n">
        <v>12</v>
      </c>
      <c r="R122" t="s">
        <v>289</v>
      </c>
      <c r="S122" t="s">
        <v>288</v>
      </c>
      <c r="T122" t="n">
        <v>0</v>
      </c>
    </row>
    <row r="123">
      <c r="A123" t="s">
        <v>30</v>
      </c>
      <c r="B123" t="n">
        <v>1.03</v>
      </c>
      <c r="C123" t="n">
        <v>1.04</v>
      </c>
      <c r="D123" t="n">
        <v>1.07</v>
      </c>
      <c r="E123" t="n">
        <v>-5.25</v>
      </c>
      <c r="F123" t="n">
        <v>-0.25</v>
      </c>
      <c r="G123" t="n">
        <v>85</v>
      </c>
      <c r="H123" t="n">
        <v>12</v>
      </c>
      <c r="I123" t="s">
        <v>288</v>
      </c>
      <c r="J123" t="n">
        <v>0</v>
      </c>
      <c r="K123" t="n">
        <v>0</v>
      </c>
      <c r="L123" t="n">
        <v>0</v>
      </c>
      <c r="M123" t="n">
        <v>12</v>
      </c>
      <c r="N123" t="n">
        <v>0.25</v>
      </c>
      <c r="O123" t="n">
        <v>-0.5</v>
      </c>
      <c r="P123" t="n">
        <v>133</v>
      </c>
      <c r="Q123" t="n">
        <v>12</v>
      </c>
      <c r="R123" t="s">
        <v>288</v>
      </c>
      <c r="S123" t="s">
        <v>288</v>
      </c>
      <c r="T123" t="n">
        <v>0</v>
      </c>
    </row>
    <row r="124">
      <c r="A124" t="s">
        <v>30</v>
      </c>
      <c r="B124" t="n">
        <v>0.99</v>
      </c>
      <c r="C124" t="n">
        <v>1.03</v>
      </c>
      <c r="D124" t="n">
        <v>1</v>
      </c>
      <c r="E124" t="n">
        <v>-3.25</v>
      </c>
      <c r="F124" t="n">
        <v>-1.75</v>
      </c>
      <c r="G124" t="n">
        <v>16</v>
      </c>
      <c r="H124" t="n">
        <v>12</v>
      </c>
      <c r="I124" t="s">
        <v>289</v>
      </c>
      <c r="J124" t="n">
        <v>0</v>
      </c>
      <c r="K124" t="n">
        <v>0</v>
      </c>
      <c r="L124" t="n">
        <v>0</v>
      </c>
      <c r="M124" t="n">
        <v>12</v>
      </c>
      <c r="N124" t="n">
        <v>0.25</v>
      </c>
      <c r="O124" t="n">
        <v>-0.5</v>
      </c>
      <c r="P124" t="n">
        <v>16</v>
      </c>
      <c r="Q124" t="n">
        <v>12</v>
      </c>
      <c r="R124" t="s">
        <v>289</v>
      </c>
      <c r="S124" t="s">
        <v>288</v>
      </c>
      <c r="T124" t="n">
        <v>0</v>
      </c>
    </row>
    <row r="125">
      <c r="A125" t="s">
        <v>30</v>
      </c>
      <c r="B125" t="n">
        <v>0.94</v>
      </c>
      <c r="C125" t="n">
        <v>0.93</v>
      </c>
      <c r="D125" t="n">
        <v>1</v>
      </c>
      <c r="E125" t="n">
        <v>-5.5</v>
      </c>
      <c r="F125" t="n">
        <v>-0.75</v>
      </c>
      <c r="G125" t="n">
        <v>170</v>
      </c>
      <c r="H125" t="n">
        <v>12</v>
      </c>
      <c r="I125" t="s">
        <v>290</v>
      </c>
      <c r="J125" t="n">
        <v>0</v>
      </c>
      <c r="K125" t="n">
        <v>0</v>
      </c>
      <c r="L125" t="n">
        <v>0</v>
      </c>
      <c r="M125" t="n">
        <v>12</v>
      </c>
      <c r="N125" t="n">
        <v>0</v>
      </c>
      <c r="O125" t="n">
        <v>-0.25</v>
      </c>
      <c r="P125" t="n">
        <v>170</v>
      </c>
      <c r="Q125" t="n">
        <v>12</v>
      </c>
      <c r="R125" t="s">
        <v>289</v>
      </c>
      <c r="S125" t="s">
        <v>291</v>
      </c>
      <c r="T125" t="n">
        <v>0</v>
      </c>
    </row>
    <row r="126">
      <c r="A126" t="s">
        <v>30</v>
      </c>
      <c r="B126" t="n">
        <v>1.03</v>
      </c>
      <c r="C126" t="n">
        <v>0.94</v>
      </c>
      <c r="D126" t="n">
        <v>1.01</v>
      </c>
      <c r="E126" t="n">
        <v>-2.5</v>
      </c>
      <c r="F126" t="n">
        <v>0</v>
      </c>
      <c r="G126" t="n">
        <v>80</v>
      </c>
      <c r="H126" t="n">
        <v>12</v>
      </c>
      <c r="I126" t="s">
        <v>288</v>
      </c>
      <c r="J126" t="n">
        <v>0</v>
      </c>
      <c r="K126" t="n">
        <v>0</v>
      </c>
      <c r="L126" t="n">
        <v>0</v>
      </c>
      <c r="M126" t="n">
        <v>12</v>
      </c>
      <c r="N126" t="n">
        <v>0.25</v>
      </c>
      <c r="O126" t="n">
        <v>0</v>
      </c>
      <c r="P126" t="n">
        <v>68</v>
      </c>
      <c r="Q126" t="n">
        <v>12</v>
      </c>
      <c r="R126" t="s">
        <v>289</v>
      </c>
      <c r="S126" t="s">
        <v>290</v>
      </c>
      <c r="T126" t="n">
        <v>0.25</v>
      </c>
    </row>
    <row r="127">
      <c r="A127" t="s">
        <v>30</v>
      </c>
      <c r="B127" t="n">
        <v>1.01</v>
      </c>
      <c r="C127" t="n">
        <v>0.89</v>
      </c>
      <c r="D127" t="n">
        <v>1.02</v>
      </c>
      <c r="E127" t="n">
        <v>-2.75</v>
      </c>
      <c r="F127" t="n">
        <v>-0.5</v>
      </c>
      <c r="G127" t="n">
        <v>167</v>
      </c>
      <c r="H127" t="n">
        <v>12</v>
      </c>
      <c r="I127" t="s">
        <v>289</v>
      </c>
      <c r="J127" t="n">
        <v>0</v>
      </c>
      <c r="K127" t="n">
        <v>0</v>
      </c>
      <c r="L127" t="n">
        <v>0</v>
      </c>
      <c r="M127" t="n">
        <v>12</v>
      </c>
      <c r="N127" t="n">
        <v>0.25</v>
      </c>
      <c r="O127" t="n">
        <v>0</v>
      </c>
      <c r="P127" t="n">
        <v>24</v>
      </c>
      <c r="Q127" t="n">
        <v>12</v>
      </c>
      <c r="R127" t="s">
        <v>289</v>
      </c>
      <c r="S127" t="s">
        <v>300</v>
      </c>
      <c r="T127" t="n">
        <v>0.25</v>
      </c>
    </row>
    <row r="128">
      <c r="A128" t="s">
        <v>30</v>
      </c>
      <c r="B128" t="n">
        <v>1.04</v>
      </c>
      <c r="C128" t="n">
        <v>1.01</v>
      </c>
      <c r="D128" t="n">
        <v>1.01</v>
      </c>
      <c r="E128" t="n">
        <v>-4.25</v>
      </c>
      <c r="F128" t="n">
        <v>-1.5</v>
      </c>
      <c r="G128" t="n">
        <v>175</v>
      </c>
      <c r="H128" t="n">
        <v>12</v>
      </c>
      <c r="I128" t="s">
        <v>288</v>
      </c>
      <c r="J128" t="n">
        <v>0</v>
      </c>
      <c r="K128" t="n">
        <v>0</v>
      </c>
      <c r="L128" t="n">
        <v>0</v>
      </c>
      <c r="M128" t="n">
        <v>12</v>
      </c>
      <c r="N128" t="n">
        <v>0</v>
      </c>
      <c r="O128" t="n">
        <v>0</v>
      </c>
      <c r="P128" t="n">
        <v>99</v>
      </c>
      <c r="Q128" t="n">
        <v>12</v>
      </c>
      <c r="R128" t="s">
        <v>289</v>
      </c>
      <c r="S128" t="s">
        <v>289</v>
      </c>
      <c r="T128" t="n">
        <v>0</v>
      </c>
    </row>
    <row r="129">
      <c r="A129" t="s">
        <v>30</v>
      </c>
      <c r="B129" t="n">
        <v>1.12</v>
      </c>
      <c r="C129" t="n">
        <v>1.04</v>
      </c>
      <c r="D129" t="n">
        <v>1.09</v>
      </c>
      <c r="E129" t="n">
        <v>-5.25</v>
      </c>
      <c r="F129" t="n">
        <v>-0.75</v>
      </c>
      <c r="G129" t="n">
        <v>173</v>
      </c>
      <c r="H129" t="n">
        <v>12</v>
      </c>
      <c r="I129" t="s">
        <v>293</v>
      </c>
      <c r="J129" t="n">
        <v>0</v>
      </c>
      <c r="K129" t="n">
        <v>0</v>
      </c>
      <c r="L129" t="n">
        <v>0</v>
      </c>
      <c r="M129" t="n">
        <v>12</v>
      </c>
      <c r="N129" t="n">
        <v>1</v>
      </c>
      <c r="O129" t="n">
        <v>-0.25</v>
      </c>
      <c r="P129" t="n">
        <v>162</v>
      </c>
      <c r="Q129" t="n">
        <v>12</v>
      </c>
      <c r="R129" t="s">
        <v>293</v>
      </c>
      <c r="S129" t="s">
        <v>288</v>
      </c>
      <c r="T129" t="n">
        <v>0.75</v>
      </c>
    </row>
    <row r="130">
      <c r="A130" t="s">
        <v>30</v>
      </c>
      <c r="B130" t="n">
        <v>1.11</v>
      </c>
      <c r="C130" t="n">
        <v>1.14</v>
      </c>
      <c r="D130" t="n">
        <v>1.12</v>
      </c>
      <c r="E130" t="n">
        <v>-3.25</v>
      </c>
      <c r="F130" t="n">
        <v>-0.5</v>
      </c>
      <c r="G130" t="n">
        <v>11</v>
      </c>
      <c r="H130" t="n">
        <v>12</v>
      </c>
      <c r="I130" t="s">
        <v>293</v>
      </c>
      <c r="J130" t="n">
        <v>0</v>
      </c>
      <c r="K130" t="n">
        <v>0</v>
      </c>
      <c r="L130" t="n">
        <v>0</v>
      </c>
      <c r="M130" t="n">
        <v>12</v>
      </c>
      <c r="N130" t="n">
        <v>0</v>
      </c>
      <c r="O130" t="n">
        <v>-0.25</v>
      </c>
      <c r="P130" t="n">
        <v>2</v>
      </c>
      <c r="Q130" t="n">
        <v>12</v>
      </c>
      <c r="R130" t="s">
        <v>293</v>
      </c>
      <c r="S130" t="s">
        <v>297</v>
      </c>
      <c r="T130" t="n">
        <v>0</v>
      </c>
    </row>
    <row r="131">
      <c r="A131" t="s">
        <v>30</v>
      </c>
      <c r="B131" t="n">
        <v>1.05</v>
      </c>
      <c r="C131" t="n">
        <v>1.07</v>
      </c>
      <c r="D131" t="n">
        <v>1.08</v>
      </c>
      <c r="E131" t="n">
        <v>-4</v>
      </c>
      <c r="F131" t="n">
        <v>-0.25</v>
      </c>
      <c r="G131" t="n">
        <v>166</v>
      </c>
      <c r="H131" t="n">
        <v>12</v>
      </c>
      <c r="I131" t="s">
        <v>288</v>
      </c>
      <c r="J131" t="n">
        <v>0</v>
      </c>
      <c r="K131" t="n">
        <v>0</v>
      </c>
      <c r="L131" t="n">
        <v>0</v>
      </c>
      <c r="M131" t="n">
        <v>12</v>
      </c>
      <c r="N131" t="n">
        <v>0</v>
      </c>
      <c r="O131" t="n">
        <v>-0.5</v>
      </c>
      <c r="P131" t="n">
        <v>1</v>
      </c>
      <c r="Q131" t="n">
        <v>12</v>
      </c>
      <c r="R131" t="s">
        <v>293</v>
      </c>
      <c r="S131" t="s">
        <v>288</v>
      </c>
      <c r="T131" t="n">
        <v>-0.25</v>
      </c>
    </row>
    <row r="132">
      <c r="A132" t="s">
        <v>30</v>
      </c>
      <c r="B132" t="n">
        <v>1</v>
      </c>
      <c r="C132" t="n">
        <v>0.76</v>
      </c>
      <c r="D132" t="n">
        <v>0.9</v>
      </c>
      <c r="E132" t="n">
        <v>-5</v>
      </c>
      <c r="F132" t="n">
        <v>-0.5</v>
      </c>
      <c r="G132" t="n">
        <v>98</v>
      </c>
      <c r="H132" t="n">
        <v>12</v>
      </c>
      <c r="I132" t="s">
        <v>289</v>
      </c>
      <c r="J132" t="n">
        <v>0</v>
      </c>
      <c r="K132" t="n">
        <v>0</v>
      </c>
      <c r="L132" t="n">
        <v>0</v>
      </c>
      <c r="M132" t="n">
        <v>12</v>
      </c>
      <c r="N132" t="n">
        <v>0</v>
      </c>
      <c r="O132" t="n">
        <v>-0.5</v>
      </c>
      <c r="P132" t="n">
        <v>125</v>
      </c>
      <c r="Q132" t="n">
        <v>12</v>
      </c>
      <c r="R132" t="s">
        <v>291</v>
      </c>
      <c r="S132" t="s">
        <v>301</v>
      </c>
      <c r="T132" t="n">
        <v>-0.25</v>
      </c>
    </row>
    <row r="133">
      <c r="A133" t="s">
        <v>30</v>
      </c>
      <c r="B133" t="n">
        <v>1.13</v>
      </c>
      <c r="C133" t="n">
        <v>1.17</v>
      </c>
      <c r="D133" t="n">
        <v>1.15</v>
      </c>
      <c r="E133" t="n">
        <v>0</v>
      </c>
      <c r="F133" t="n">
        <v>-1.5</v>
      </c>
      <c r="G133" t="n">
        <v>6</v>
      </c>
      <c r="H133" t="n">
        <v>12</v>
      </c>
      <c r="I133" t="s">
        <v>297</v>
      </c>
      <c r="J133" t="n">
        <v>0</v>
      </c>
      <c r="K133" t="n">
        <v>0</v>
      </c>
      <c r="L133" t="n">
        <v>0</v>
      </c>
      <c r="M133" t="n">
        <v>12</v>
      </c>
      <c r="N133" t="n">
        <v>0.5</v>
      </c>
      <c r="O133" t="n">
        <v>-0.25</v>
      </c>
      <c r="P133" t="n">
        <v>18</v>
      </c>
      <c r="Q133" t="n">
        <v>12</v>
      </c>
      <c r="R133" t="s">
        <v>297</v>
      </c>
      <c r="S133" t="s">
        <v>297</v>
      </c>
      <c r="T133" t="n">
        <v>0.25</v>
      </c>
    </row>
    <row r="134">
      <c r="A134" t="s">
        <v>30</v>
      </c>
      <c r="B134" t="n">
        <v>1</v>
      </c>
      <c r="C134" t="n">
        <v>1</v>
      </c>
      <c r="D134" t="n">
        <v>1.05</v>
      </c>
      <c r="E134" t="n">
        <v>-1.75</v>
      </c>
      <c r="F134" t="n">
        <v>-0.5</v>
      </c>
      <c r="G134" t="n">
        <v>76</v>
      </c>
      <c r="H134" t="n">
        <v>12</v>
      </c>
      <c r="I134" t="s">
        <v>289</v>
      </c>
      <c r="J134" t="n">
        <v>0</v>
      </c>
      <c r="K134" t="n">
        <v>0</v>
      </c>
      <c r="L134" t="n">
        <v>0</v>
      </c>
      <c r="M134" t="n">
        <v>12</v>
      </c>
      <c r="N134" t="n">
        <v>0.25</v>
      </c>
      <c r="O134" t="n">
        <v>0</v>
      </c>
      <c r="P134" t="n">
        <v>34</v>
      </c>
      <c r="Q134" t="n">
        <v>12</v>
      </c>
      <c r="R134" t="s">
        <v>288</v>
      </c>
      <c r="S134" t="s">
        <v>289</v>
      </c>
      <c r="T134" t="n">
        <v>0.25</v>
      </c>
    </row>
    <row r="135">
      <c r="A135" t="s">
        <v>30</v>
      </c>
      <c r="B135" t="n">
        <v>1.1</v>
      </c>
      <c r="C135" t="n">
        <v>1.01</v>
      </c>
      <c r="D135" t="n">
        <v>1.05</v>
      </c>
      <c r="E135" t="n">
        <v>-3.75</v>
      </c>
      <c r="F135" t="n">
        <v>-1</v>
      </c>
      <c r="G135" t="n">
        <v>13</v>
      </c>
      <c r="H135" t="n">
        <v>12</v>
      </c>
      <c r="I135" t="s">
        <v>293</v>
      </c>
      <c r="J135" t="n">
        <v>0</v>
      </c>
      <c r="K135" t="n">
        <v>0</v>
      </c>
      <c r="L135" t="n">
        <v>0</v>
      </c>
      <c r="M135" t="n">
        <v>12</v>
      </c>
      <c r="N135" t="n">
        <v>0</v>
      </c>
      <c r="O135" t="n">
        <v>-0.25</v>
      </c>
      <c r="P135" t="n">
        <v>16</v>
      </c>
      <c r="Q135" t="n">
        <v>12</v>
      </c>
      <c r="R135" t="s">
        <v>288</v>
      </c>
      <c r="S135" t="s">
        <v>289</v>
      </c>
      <c r="T135" t="n">
        <v>0</v>
      </c>
    </row>
    <row r="136">
      <c r="A136" t="s">
        <v>30</v>
      </c>
      <c r="B136" t="n">
        <v>1</v>
      </c>
      <c r="C136" t="n">
        <v>0.99</v>
      </c>
      <c r="D136" t="n">
        <v>0.99</v>
      </c>
      <c r="E136" t="n">
        <v>-4.25</v>
      </c>
      <c r="F136" t="n">
        <v>0</v>
      </c>
      <c r="G136" t="n">
        <v>95</v>
      </c>
      <c r="H136" t="n">
        <v>12</v>
      </c>
      <c r="I136" t="s">
        <v>289</v>
      </c>
      <c r="J136" t="n">
        <v>0</v>
      </c>
      <c r="K136" t="n">
        <v>0</v>
      </c>
      <c r="L136" t="n">
        <v>0</v>
      </c>
      <c r="M136" t="n">
        <v>12</v>
      </c>
      <c r="N136" t="n">
        <v>0.25</v>
      </c>
      <c r="O136" t="n">
        <v>0</v>
      </c>
      <c r="P136" t="n">
        <v>114</v>
      </c>
      <c r="Q136" t="n">
        <v>12</v>
      </c>
      <c r="R136" t="s">
        <v>289</v>
      </c>
      <c r="S136" t="s">
        <v>289</v>
      </c>
      <c r="T136" t="n">
        <v>0.25</v>
      </c>
    </row>
    <row r="137">
      <c r="A137" t="s">
        <v>30</v>
      </c>
      <c r="B137" t="n">
        <v>1.07</v>
      </c>
      <c r="C137" t="n">
        <v>1.1</v>
      </c>
      <c r="D137" t="n">
        <v>1.05</v>
      </c>
      <c r="E137" t="n">
        <v>-4</v>
      </c>
      <c r="F137" t="n">
        <v>-1.25</v>
      </c>
      <c r="G137" t="n">
        <v>169</v>
      </c>
      <c r="H137" t="n">
        <v>12</v>
      </c>
      <c r="I137" t="s">
        <v>288</v>
      </c>
      <c r="J137" t="n">
        <v>0</v>
      </c>
      <c r="K137" t="n">
        <v>0</v>
      </c>
      <c r="L137" t="n">
        <v>0</v>
      </c>
      <c r="M137" t="n">
        <v>12</v>
      </c>
      <c r="N137" t="n">
        <v>0</v>
      </c>
      <c r="O137" t="n">
        <v>-0.25</v>
      </c>
      <c r="P137" t="n">
        <v>176</v>
      </c>
      <c r="Q137" t="n">
        <v>12</v>
      </c>
      <c r="R137" t="s">
        <v>288</v>
      </c>
      <c r="S137" t="s">
        <v>293</v>
      </c>
      <c r="T137" t="n">
        <v>0</v>
      </c>
    </row>
    <row r="138">
      <c r="A138" t="s">
        <v>30</v>
      </c>
      <c r="B138" t="n">
        <v>1.1</v>
      </c>
      <c r="C138" t="n">
        <v>0.97</v>
      </c>
      <c r="D138" t="n">
        <v>1.13</v>
      </c>
      <c r="E138" t="n">
        <v>-0.75</v>
      </c>
      <c r="F138" t="n">
        <v>-1.25</v>
      </c>
      <c r="G138" t="n">
        <v>22</v>
      </c>
      <c r="H138" t="n">
        <v>12</v>
      </c>
      <c r="I138" t="s">
        <v>293</v>
      </c>
      <c r="J138" t="n">
        <v>0</v>
      </c>
      <c r="K138" t="n">
        <v>0</v>
      </c>
      <c r="L138" t="n">
        <v>0</v>
      </c>
      <c r="M138" t="n">
        <v>12</v>
      </c>
      <c r="N138" t="n">
        <v>0.5</v>
      </c>
      <c r="O138" t="n">
        <v>-0.25</v>
      </c>
      <c r="P138" t="n">
        <v>33</v>
      </c>
      <c r="Q138" t="n">
        <v>12</v>
      </c>
      <c r="R138" t="s">
        <v>297</v>
      </c>
      <c r="S138" t="s">
        <v>290</v>
      </c>
      <c r="T138" t="n">
        <v>0.25</v>
      </c>
    </row>
    <row r="139">
      <c r="A139" t="s">
        <v>30</v>
      </c>
      <c r="B139" t="n">
        <v>0.94</v>
      </c>
      <c r="C139" t="n">
        <v>0.96</v>
      </c>
      <c r="D139" t="n">
        <v>0.95</v>
      </c>
      <c r="E139" t="n">
        <v>-3</v>
      </c>
      <c r="F139" t="n">
        <v>-2.75</v>
      </c>
      <c r="G139" t="n">
        <v>0</v>
      </c>
      <c r="H139" t="n">
        <v>12</v>
      </c>
      <c r="I139" t="s">
        <v>290</v>
      </c>
      <c r="J139" t="n">
        <v>0</v>
      </c>
      <c r="K139" t="n">
        <v>0</v>
      </c>
      <c r="L139" t="n">
        <v>0</v>
      </c>
      <c r="M139" t="n">
        <v>12</v>
      </c>
      <c r="N139" t="n">
        <v>0</v>
      </c>
      <c r="O139" t="n">
        <v>-0.5</v>
      </c>
      <c r="P139" t="n">
        <v>155</v>
      </c>
      <c r="Q139" t="n">
        <v>12</v>
      </c>
      <c r="R139" t="s">
        <v>290</v>
      </c>
      <c r="S139" t="s">
        <v>290</v>
      </c>
      <c r="T139" t="n">
        <v>-0.25</v>
      </c>
    </row>
    <row r="140">
      <c r="A140" t="s">
        <v>30</v>
      </c>
      <c r="B140" t="n">
        <v>1.02</v>
      </c>
      <c r="C140" t="n">
        <v>1.04</v>
      </c>
      <c r="D140" t="n">
        <v>1.03</v>
      </c>
      <c r="E140" t="n">
        <v>-2.25</v>
      </c>
      <c r="F140" t="n">
        <v>-0.5</v>
      </c>
      <c r="G140" t="n">
        <v>86</v>
      </c>
      <c r="H140" t="n">
        <v>12</v>
      </c>
      <c r="I140" t="s">
        <v>289</v>
      </c>
      <c r="J140" t="n">
        <v>0</v>
      </c>
      <c r="K140" t="n">
        <v>0</v>
      </c>
      <c r="L140" t="n">
        <v>0</v>
      </c>
      <c r="M140" t="n">
        <v>12</v>
      </c>
      <c r="N140" t="n">
        <v>0</v>
      </c>
      <c r="O140" t="n">
        <v>-0.25</v>
      </c>
      <c r="P140" t="n">
        <v>118</v>
      </c>
      <c r="Q140" t="n">
        <v>12</v>
      </c>
      <c r="R140" t="s">
        <v>288</v>
      </c>
      <c r="S140" t="s">
        <v>288</v>
      </c>
      <c r="T140" t="n">
        <v>0</v>
      </c>
    </row>
    <row r="141">
      <c r="A141" t="s">
        <v>30</v>
      </c>
      <c r="B141" t="n">
        <v>0.98</v>
      </c>
      <c r="C141" t="n">
        <v>0.9</v>
      </c>
      <c r="D141" t="n">
        <v>0.95</v>
      </c>
      <c r="E141" t="n">
        <v>-5.5</v>
      </c>
      <c r="F141" t="n">
        <v>-0.25</v>
      </c>
      <c r="G141" t="n">
        <v>157</v>
      </c>
      <c r="H141" t="n">
        <v>12</v>
      </c>
      <c r="I141" t="s">
        <v>289</v>
      </c>
      <c r="J141" t="n">
        <v>0</v>
      </c>
      <c r="K141" t="n">
        <v>0</v>
      </c>
      <c r="L141" t="n">
        <v>0</v>
      </c>
      <c r="M141" t="n">
        <v>12</v>
      </c>
      <c r="N141" t="n">
        <v>0.25</v>
      </c>
      <c r="O141" t="n">
        <v>0</v>
      </c>
      <c r="P141" t="n">
        <v>156</v>
      </c>
      <c r="Q141" t="n">
        <v>12</v>
      </c>
      <c r="R141" t="s">
        <v>290</v>
      </c>
      <c r="S141" t="s">
        <v>291</v>
      </c>
      <c r="T141" t="n">
        <v>0.25</v>
      </c>
    </row>
    <row r="142">
      <c r="A142" t="s">
        <v>30</v>
      </c>
      <c r="B142" t="n">
        <v>1.09</v>
      </c>
      <c r="C142" t="n">
        <v>1.19</v>
      </c>
      <c r="D142" t="n">
        <v>1.17</v>
      </c>
      <c r="E142" t="n">
        <v>-3</v>
      </c>
      <c r="F142" t="n">
        <v>-1.5</v>
      </c>
      <c r="G142" t="n">
        <v>171</v>
      </c>
      <c r="H142" t="n">
        <v>12</v>
      </c>
      <c r="I142" t="s">
        <v>293</v>
      </c>
      <c r="J142" t="n">
        <v>0</v>
      </c>
      <c r="K142" t="n">
        <v>0</v>
      </c>
      <c r="L142" t="n">
        <v>0</v>
      </c>
      <c r="M142" t="n">
        <v>12</v>
      </c>
      <c r="N142" t="n">
        <v>0.5</v>
      </c>
      <c r="O142" t="n">
        <v>0</v>
      </c>
      <c r="P142" t="n">
        <v>9</v>
      </c>
      <c r="Q142" t="n">
        <v>12</v>
      </c>
      <c r="R142" t="s">
        <v>297</v>
      </c>
      <c r="S142" t="s">
        <v>294</v>
      </c>
      <c r="T142" t="n">
        <v>0.5</v>
      </c>
    </row>
    <row r="143">
      <c r="A143" t="s">
        <v>30</v>
      </c>
      <c r="B143" t="n">
        <v>0.95</v>
      </c>
      <c r="C143" t="n">
        <v>1.01</v>
      </c>
      <c r="D143" t="n">
        <v>0.97</v>
      </c>
      <c r="E143" t="n">
        <v>-2.25</v>
      </c>
      <c r="F143" t="n">
        <v>-2.25</v>
      </c>
      <c r="G143" t="n">
        <v>170</v>
      </c>
      <c r="H143" t="n">
        <v>12</v>
      </c>
      <c r="I143" t="s">
        <v>290</v>
      </c>
      <c r="J143" t="n">
        <v>0</v>
      </c>
      <c r="K143" t="n">
        <v>0</v>
      </c>
      <c r="L143" t="n">
        <v>0</v>
      </c>
      <c r="M143" t="n">
        <v>12</v>
      </c>
      <c r="N143" t="n">
        <v>0</v>
      </c>
      <c r="O143" t="n">
        <v>-0.25</v>
      </c>
      <c r="P143" t="n">
        <v>175</v>
      </c>
      <c r="Q143" t="n">
        <v>12</v>
      </c>
      <c r="R143" t="s">
        <v>290</v>
      </c>
      <c r="S143" t="s">
        <v>289</v>
      </c>
      <c r="T143" t="n">
        <v>0</v>
      </c>
    </row>
    <row r="144">
      <c r="A144" t="s">
        <v>30</v>
      </c>
      <c r="B144" t="n">
        <v>0.99</v>
      </c>
      <c r="C144" t="n">
        <v>0.84</v>
      </c>
      <c r="D144" t="n">
        <v>0.95</v>
      </c>
      <c r="E144" t="n">
        <v>-1.25</v>
      </c>
      <c r="F144" t="n">
        <v>-0.5</v>
      </c>
      <c r="G144" t="n">
        <v>109</v>
      </c>
      <c r="H144" t="n">
        <v>12</v>
      </c>
      <c r="I144" t="s">
        <v>289</v>
      </c>
      <c r="J144" t="n">
        <v>0</v>
      </c>
      <c r="K144" t="n">
        <v>0</v>
      </c>
      <c r="L144" t="n">
        <v>0</v>
      </c>
      <c r="M144" t="n">
        <v>12</v>
      </c>
      <c r="N144" t="n">
        <v>0</v>
      </c>
      <c r="O144" t="n">
        <v>-0.25</v>
      </c>
      <c r="P144" t="n">
        <v>120</v>
      </c>
      <c r="Q144" t="n">
        <v>12</v>
      </c>
      <c r="R144" t="s">
        <v>290</v>
      </c>
      <c r="S144" t="s">
        <v>298</v>
      </c>
      <c r="T144" t="n">
        <v>-0.25</v>
      </c>
    </row>
    <row r="145">
      <c r="A145" t="s">
        <v>30</v>
      </c>
      <c r="B145" t="n">
        <v>1</v>
      </c>
      <c r="C145" t="n">
        <v>1.03</v>
      </c>
      <c r="D145" t="n">
        <v>1.06</v>
      </c>
      <c r="E145" t="n">
        <v>-7.5</v>
      </c>
      <c r="F145" t="n">
        <v>-0.25</v>
      </c>
      <c r="G145" t="n">
        <v>172</v>
      </c>
      <c r="H145" t="n">
        <v>12</v>
      </c>
      <c r="I145" t="s">
        <v>289</v>
      </c>
      <c r="J145" t="n">
        <v>0</v>
      </c>
      <c r="K145" t="n">
        <v>0</v>
      </c>
      <c r="L145" t="n">
        <v>0</v>
      </c>
      <c r="M145" t="n">
        <v>12</v>
      </c>
      <c r="N145" t="n">
        <v>-0.5</v>
      </c>
      <c r="O145" t="n">
        <v>-0.25</v>
      </c>
      <c r="P145" t="n">
        <v>165</v>
      </c>
      <c r="Q145" t="n">
        <v>12</v>
      </c>
      <c r="R145" t="s">
        <v>288</v>
      </c>
      <c r="S145" t="s">
        <v>288</v>
      </c>
      <c r="T145" t="n">
        <v>-0.5</v>
      </c>
    </row>
    <row r="146">
      <c r="A146" t="s">
        <v>30</v>
      </c>
      <c r="B146" t="n">
        <v>1</v>
      </c>
      <c r="C146" t="n">
        <v>1.02</v>
      </c>
      <c r="D146" t="n">
        <v>1.02</v>
      </c>
      <c r="E146" t="n">
        <v>-4</v>
      </c>
      <c r="F146" t="n">
        <v>-0.25</v>
      </c>
      <c r="G146" t="n">
        <v>85</v>
      </c>
      <c r="H146" t="n">
        <v>12</v>
      </c>
      <c r="I146" t="s">
        <v>289</v>
      </c>
      <c r="J146" t="n">
        <v>0</v>
      </c>
      <c r="K146" t="n">
        <v>0</v>
      </c>
      <c r="L146" t="n">
        <v>0</v>
      </c>
      <c r="M146" t="n">
        <v>12</v>
      </c>
      <c r="N146" t="n">
        <v>-0.5</v>
      </c>
      <c r="O146" t="n">
        <v>0</v>
      </c>
      <c r="P146" t="n">
        <v>63</v>
      </c>
      <c r="Q146" t="n">
        <v>12</v>
      </c>
      <c r="R146" t="s">
        <v>289</v>
      </c>
      <c r="S146" t="s">
        <v>289</v>
      </c>
      <c r="T146" t="n">
        <v>-0.5</v>
      </c>
    </row>
    <row r="147">
      <c r="A147" t="s">
        <v>30</v>
      </c>
      <c r="B147" t="n">
        <v>0.98</v>
      </c>
      <c r="C147" t="n">
        <v>1.01</v>
      </c>
      <c r="D147" t="n">
        <v>0.99</v>
      </c>
      <c r="E147" t="n">
        <v>-4</v>
      </c>
      <c r="F147" t="n">
        <v>-0.25</v>
      </c>
      <c r="G147" t="n">
        <v>170</v>
      </c>
      <c r="H147" t="n">
        <v>12</v>
      </c>
      <c r="I147" t="s">
        <v>289</v>
      </c>
      <c r="J147" t="n">
        <v>0</v>
      </c>
      <c r="K147" t="n">
        <v>0</v>
      </c>
      <c r="L147" t="n">
        <v>0</v>
      </c>
      <c r="M147" t="n">
        <v>12</v>
      </c>
      <c r="N147" t="n">
        <v>0</v>
      </c>
      <c r="O147" t="n">
        <v>0</v>
      </c>
      <c r="P147" t="n">
        <v>157</v>
      </c>
      <c r="Q147" t="n">
        <v>12</v>
      </c>
      <c r="R147" t="s">
        <v>289</v>
      </c>
      <c r="S147" t="s">
        <v>289</v>
      </c>
      <c r="T147" t="n">
        <v>0</v>
      </c>
    </row>
    <row r="148">
      <c r="A148" t="s">
        <v>30</v>
      </c>
      <c r="B148" t="n">
        <v>0.88</v>
      </c>
      <c r="C148" t="n">
        <v>0.84</v>
      </c>
      <c r="D148" t="n">
        <v>0.86</v>
      </c>
      <c r="E148" t="n">
        <v>-0.5</v>
      </c>
      <c r="F148" t="n">
        <v>-0.5</v>
      </c>
      <c r="G148" t="n">
        <v>18</v>
      </c>
      <c r="H148" t="n">
        <v>12</v>
      </c>
      <c r="I148" t="s">
        <v>300</v>
      </c>
      <c r="J148" t="n">
        <v>0</v>
      </c>
      <c r="K148" t="n">
        <v>0</v>
      </c>
      <c r="L148" t="n">
        <v>0</v>
      </c>
      <c r="M148" t="n">
        <v>12</v>
      </c>
      <c r="N148" t="n">
        <v>0</v>
      </c>
      <c r="O148" t="n">
        <v>-0.5</v>
      </c>
      <c r="P148" t="n">
        <v>43</v>
      </c>
      <c r="Q148" t="n">
        <v>12</v>
      </c>
      <c r="R148" t="s">
        <v>300</v>
      </c>
      <c r="S148" t="s">
        <v>298</v>
      </c>
      <c r="T148" t="n">
        <v>-0.25</v>
      </c>
    </row>
    <row r="149">
      <c r="A149" t="s">
        <v>30</v>
      </c>
      <c r="B149" t="n">
        <v>1.11</v>
      </c>
      <c r="C149" t="n">
        <v>1.03</v>
      </c>
      <c r="D149" t="n">
        <v>1.06</v>
      </c>
      <c r="E149" t="n">
        <v>-5.25</v>
      </c>
      <c r="F149" t="n">
        <v>-2.25</v>
      </c>
      <c r="G149" t="n">
        <v>82</v>
      </c>
      <c r="H149" t="n">
        <v>12</v>
      </c>
      <c r="I149" t="s">
        <v>293</v>
      </c>
      <c r="J149" t="n">
        <v>0</v>
      </c>
      <c r="K149" t="n">
        <v>0</v>
      </c>
      <c r="L149" t="n">
        <v>0</v>
      </c>
      <c r="M149" t="n">
        <v>12</v>
      </c>
      <c r="N149" t="n">
        <v>0</v>
      </c>
      <c r="O149" t="n">
        <v>-0.5</v>
      </c>
      <c r="P149" t="n">
        <v>54</v>
      </c>
      <c r="Q149" t="n">
        <v>12</v>
      </c>
      <c r="R149" t="s">
        <v>288</v>
      </c>
      <c r="S149" t="s">
        <v>288</v>
      </c>
      <c r="T149" t="n">
        <v>-0.25</v>
      </c>
    </row>
    <row r="150">
      <c r="A150" t="s">
        <v>30</v>
      </c>
      <c r="B150" t="n">
        <v>1.11</v>
      </c>
      <c r="C150" t="n">
        <v>1.17</v>
      </c>
      <c r="D150" t="n">
        <v>1.16</v>
      </c>
      <c r="E150" t="n">
        <v>-6</v>
      </c>
      <c r="F150" t="n">
        <v>-0.25</v>
      </c>
      <c r="G150" t="n">
        <v>94</v>
      </c>
      <c r="H150" t="n">
        <v>12</v>
      </c>
      <c r="I150" t="s">
        <v>293</v>
      </c>
      <c r="J150" t="n">
        <v>0</v>
      </c>
      <c r="K150" t="n">
        <v>0</v>
      </c>
      <c r="L150" t="n">
        <v>0</v>
      </c>
      <c r="M150" t="n">
        <v>12</v>
      </c>
      <c r="N150" t="n">
        <v>0</v>
      </c>
      <c r="O150" t="n">
        <v>0</v>
      </c>
      <c r="P150" t="n">
        <v>59</v>
      </c>
      <c r="Q150" t="n">
        <v>12</v>
      </c>
      <c r="R150" t="s">
        <v>297</v>
      </c>
      <c r="S150" t="s">
        <v>297</v>
      </c>
      <c r="T150" t="n">
        <v>0</v>
      </c>
    </row>
    <row r="151">
      <c r="A151" t="s">
        <v>30</v>
      </c>
      <c r="B151" t="n">
        <v>1.13</v>
      </c>
      <c r="C151" t="n">
        <v>1.13</v>
      </c>
      <c r="D151" t="n">
        <v>1.13</v>
      </c>
      <c r="E151" t="n">
        <v>-5.25</v>
      </c>
      <c r="F151" t="n">
        <v>-0.75</v>
      </c>
      <c r="G151" t="n">
        <v>54</v>
      </c>
      <c r="H151" t="n">
        <v>12</v>
      </c>
      <c r="I151" t="s">
        <v>297</v>
      </c>
      <c r="J151" t="n">
        <v>0</v>
      </c>
      <c r="K151" t="n">
        <v>0</v>
      </c>
      <c r="L151" t="n">
        <v>0</v>
      </c>
      <c r="M151" t="n">
        <v>12</v>
      </c>
      <c r="N151" t="n">
        <v>-0.25</v>
      </c>
      <c r="O151" t="n">
        <v>0</v>
      </c>
      <c r="P151" t="n">
        <v>167</v>
      </c>
      <c r="Q151" t="n">
        <v>12</v>
      </c>
      <c r="R151" t="s">
        <v>297</v>
      </c>
      <c r="S151" t="s">
        <v>297</v>
      </c>
      <c r="T151" t="n">
        <v>-0.25</v>
      </c>
    </row>
    <row r="152">
      <c r="A152" t="s">
        <v>30</v>
      </c>
      <c r="B152" t="n">
        <v>1.02</v>
      </c>
      <c r="C152" t="n">
        <v>1.2</v>
      </c>
      <c r="D152" t="n">
        <v>1.03</v>
      </c>
      <c r="E152" t="n">
        <v>-4.25</v>
      </c>
      <c r="F152" t="n">
        <v>-0.5</v>
      </c>
      <c r="G152" t="n">
        <v>177</v>
      </c>
      <c r="H152" t="n">
        <v>12</v>
      </c>
      <c r="I152" t="s">
        <v>289</v>
      </c>
      <c r="J152" t="n">
        <v>0</v>
      </c>
      <c r="K152" t="n">
        <v>0</v>
      </c>
      <c r="L152" t="n">
        <v>0</v>
      </c>
      <c r="M152" t="n">
        <v>12</v>
      </c>
      <c r="N152" t="n">
        <v>0.5</v>
      </c>
      <c r="O152" t="n">
        <v>-0.25</v>
      </c>
      <c r="P152" t="n">
        <v>3</v>
      </c>
      <c r="Q152" t="n">
        <v>12</v>
      </c>
      <c r="R152" t="s">
        <v>288</v>
      </c>
      <c r="S152" t="s">
        <v>294</v>
      </c>
      <c r="T152" t="n">
        <v>0.25</v>
      </c>
    </row>
    <row r="153">
      <c r="A153" t="s">
        <v>30</v>
      </c>
      <c r="B153" t="n">
        <v>1</v>
      </c>
      <c r="C153" t="n">
        <v>1.08</v>
      </c>
      <c r="D153" t="n">
        <v>0.99</v>
      </c>
      <c r="E153" t="n">
        <v>-0.5</v>
      </c>
      <c r="F153" t="n">
        <v>-1</v>
      </c>
      <c r="G153" t="n">
        <v>1</v>
      </c>
      <c r="H153" t="n">
        <v>12</v>
      </c>
      <c r="I153" t="s">
        <v>289</v>
      </c>
      <c r="J153" t="n">
        <v>0</v>
      </c>
      <c r="K153" t="n">
        <v>0</v>
      </c>
      <c r="L153" t="n">
        <v>0</v>
      </c>
      <c r="M153" t="n">
        <v>12</v>
      </c>
      <c r="N153" t="n">
        <v>0.25</v>
      </c>
      <c r="O153" t="n">
        <v>0</v>
      </c>
      <c r="P153" t="n">
        <v>110</v>
      </c>
      <c r="Q153" t="n">
        <v>12</v>
      </c>
      <c r="R153" t="s">
        <v>289</v>
      </c>
      <c r="S153" t="s">
        <v>293</v>
      </c>
      <c r="T153" t="n">
        <v>0.25</v>
      </c>
    </row>
    <row r="154">
      <c r="A154" t="s">
        <v>30</v>
      </c>
      <c r="B154" t="n">
        <v>0.93</v>
      </c>
      <c r="C154" t="n">
        <v>0.95</v>
      </c>
      <c r="D154" t="n">
        <v>0.92</v>
      </c>
      <c r="E154" t="n">
        <v>-2</v>
      </c>
      <c r="F154" t="n">
        <v>-0.25</v>
      </c>
      <c r="G154" t="n">
        <v>40</v>
      </c>
      <c r="H154" t="n">
        <v>12</v>
      </c>
      <c r="I154" t="s">
        <v>291</v>
      </c>
      <c r="J154" t="n">
        <v>0</v>
      </c>
      <c r="K154" t="n">
        <v>0</v>
      </c>
      <c r="L154" t="n">
        <v>0</v>
      </c>
      <c r="M154" t="n">
        <v>12</v>
      </c>
      <c r="N154" t="n">
        <v>-0.25</v>
      </c>
      <c r="O154" t="n">
        <v>0</v>
      </c>
      <c r="P154" t="n">
        <v>17</v>
      </c>
      <c r="Q154" t="n">
        <v>12</v>
      </c>
      <c r="R154" t="s">
        <v>291</v>
      </c>
      <c r="S154" t="s">
        <v>290</v>
      </c>
      <c r="T154" t="n">
        <v>-0.25</v>
      </c>
    </row>
    <row r="155">
      <c r="A155" t="s">
        <v>30</v>
      </c>
      <c r="B155" t="n">
        <v>0.94</v>
      </c>
      <c r="C155" t="n">
        <v>0.79</v>
      </c>
      <c r="D155" t="n">
        <v>0.84</v>
      </c>
      <c r="E155" t="n">
        <v>-1.5</v>
      </c>
      <c r="F155" t="n">
        <v>-0.25</v>
      </c>
      <c r="G155" t="n">
        <v>8</v>
      </c>
      <c r="H155" t="n">
        <v>12</v>
      </c>
      <c r="I155" t="s">
        <v>290</v>
      </c>
      <c r="J155" t="n">
        <v>0</v>
      </c>
      <c r="K155" t="n">
        <v>0</v>
      </c>
      <c r="L155" t="n">
        <v>0</v>
      </c>
      <c r="M155" t="n">
        <v>12</v>
      </c>
      <c r="N155" t="n">
        <v>0</v>
      </c>
      <c r="O155" t="n">
        <v>-0.25</v>
      </c>
      <c r="P155" t="n">
        <v>33</v>
      </c>
      <c r="Q155" t="n">
        <v>12</v>
      </c>
      <c r="R155" t="s">
        <v>298</v>
      </c>
      <c r="S155" t="s">
        <v>292</v>
      </c>
      <c r="T155" t="n">
        <v>-0.25</v>
      </c>
    </row>
    <row r="156">
      <c r="A156" t="s">
        <v>30</v>
      </c>
      <c r="B156" t="n">
        <v>1.02</v>
      </c>
      <c r="C156" t="n">
        <v>1.01</v>
      </c>
      <c r="D156" t="n">
        <v>1.06</v>
      </c>
      <c r="E156" t="n">
        <v>-3.25</v>
      </c>
      <c r="F156" t="n">
        <v>-0.75</v>
      </c>
      <c r="G156" t="n">
        <v>91</v>
      </c>
      <c r="H156" t="n">
        <v>12</v>
      </c>
      <c r="I156" t="s">
        <v>289</v>
      </c>
      <c r="J156" t="n">
        <v>0</v>
      </c>
      <c r="K156" t="n">
        <v>0</v>
      </c>
      <c r="L156" t="n">
        <v>0</v>
      </c>
      <c r="M156" t="n">
        <v>12</v>
      </c>
      <c r="N156" t="n">
        <v>0.5</v>
      </c>
      <c r="O156" t="n">
        <v>-0.25</v>
      </c>
      <c r="P156" t="n">
        <v>94</v>
      </c>
      <c r="Q156" t="n">
        <v>12</v>
      </c>
      <c r="R156" t="s">
        <v>288</v>
      </c>
      <c r="S156" t="s">
        <v>289</v>
      </c>
      <c r="T156" t="n">
        <v>0.25</v>
      </c>
    </row>
    <row r="157">
      <c r="A157" t="s">
        <v>30</v>
      </c>
      <c r="B157" t="n">
        <v>1.23</v>
      </c>
      <c r="C157" t="n">
        <v>1.18</v>
      </c>
      <c r="D157" t="n">
        <v>1.18</v>
      </c>
      <c r="E157" t="n">
        <v>-0.75</v>
      </c>
      <c r="F157" t="n">
        <v>0</v>
      </c>
      <c r="G157" t="n">
        <v>169</v>
      </c>
      <c r="H157" t="n">
        <v>12</v>
      </c>
      <c r="I157" t="s">
        <v>294</v>
      </c>
      <c r="J157" t="n">
        <v>0</v>
      </c>
      <c r="K157" t="n">
        <v>0</v>
      </c>
      <c r="L157" t="n">
        <v>0</v>
      </c>
      <c r="M157" t="n">
        <v>12</v>
      </c>
      <c r="N157" t="n">
        <v>-0.25</v>
      </c>
      <c r="O157" t="n">
        <v>0</v>
      </c>
      <c r="P157" t="n">
        <v>145</v>
      </c>
      <c r="Q157" t="n">
        <v>12</v>
      </c>
      <c r="R157" t="s">
        <v>294</v>
      </c>
      <c r="S157" t="s">
        <v>294</v>
      </c>
      <c r="T157" t="n">
        <v>-0.25</v>
      </c>
    </row>
    <row r="158">
      <c r="A158" t="s">
        <v>30</v>
      </c>
      <c r="B158" t="n">
        <v>1.05</v>
      </c>
      <c r="C158" t="n">
        <v>0.95</v>
      </c>
      <c r="D158" t="n">
        <v>0.97</v>
      </c>
      <c r="E158" t="n">
        <v>-2.25</v>
      </c>
      <c r="F158" t="n">
        <v>-0.5</v>
      </c>
      <c r="G158" t="n">
        <v>177</v>
      </c>
      <c r="H158" t="n">
        <v>12</v>
      </c>
      <c r="I158" t="s">
        <v>288</v>
      </c>
      <c r="J158" t="n">
        <v>0</v>
      </c>
      <c r="K158" t="n">
        <v>0</v>
      </c>
      <c r="L158" t="n">
        <v>0</v>
      </c>
      <c r="M158" t="n">
        <v>12</v>
      </c>
      <c r="N158" t="n">
        <v>0.5</v>
      </c>
      <c r="O158" t="n">
        <v>-0.25</v>
      </c>
      <c r="P158" t="n">
        <v>9</v>
      </c>
      <c r="Q158" t="n">
        <v>12</v>
      </c>
      <c r="R158" t="s">
        <v>290</v>
      </c>
      <c r="S158" t="s">
        <v>290</v>
      </c>
      <c r="T158" t="n">
        <v>0.25</v>
      </c>
    </row>
    <row r="159">
      <c r="A159" t="s">
        <v>30</v>
      </c>
      <c r="B159" t="n">
        <v>1.07</v>
      </c>
      <c r="C159" t="n">
        <v>1</v>
      </c>
      <c r="D159" t="n">
        <v>1.03</v>
      </c>
      <c r="E159" t="n">
        <v>-0.5</v>
      </c>
      <c r="F159" t="n">
        <v>-0.25</v>
      </c>
      <c r="G159" t="n">
        <v>17</v>
      </c>
      <c r="H159" t="n">
        <v>12</v>
      </c>
      <c r="I159" t="s">
        <v>288</v>
      </c>
      <c r="J159" t="n">
        <v>0</v>
      </c>
      <c r="K159" t="n">
        <v>0</v>
      </c>
      <c r="L159" t="n">
        <v>0</v>
      </c>
      <c r="M159" t="n">
        <v>12</v>
      </c>
      <c r="N159" t="n">
        <v>0.5</v>
      </c>
      <c r="O159" t="n">
        <v>-0.5</v>
      </c>
      <c r="P159" t="n">
        <v>178</v>
      </c>
      <c r="Q159" t="n">
        <v>12</v>
      </c>
      <c r="R159" t="s">
        <v>288</v>
      </c>
      <c r="S159" t="s">
        <v>289</v>
      </c>
      <c r="T159" t="n">
        <v>0.25</v>
      </c>
    </row>
    <row r="160">
      <c r="A160" t="s">
        <v>30</v>
      </c>
      <c r="B160" t="n">
        <v>1.03</v>
      </c>
      <c r="C160" t="n">
        <v>0.98</v>
      </c>
      <c r="D160" t="n">
        <v>1.05</v>
      </c>
      <c r="E160" t="n">
        <v>-2</v>
      </c>
      <c r="F160" t="n">
        <v>-1.5</v>
      </c>
      <c r="G160" t="n">
        <v>16</v>
      </c>
      <c r="H160" t="n">
        <v>12</v>
      </c>
      <c r="I160" t="s">
        <v>288</v>
      </c>
      <c r="J160" t="n">
        <v>0</v>
      </c>
      <c r="K160" t="n">
        <v>0</v>
      </c>
      <c r="L160" t="n">
        <v>0</v>
      </c>
      <c r="M160" t="n">
        <v>12</v>
      </c>
      <c r="N160" t="n">
        <v>0</v>
      </c>
      <c r="O160" t="n">
        <v>0</v>
      </c>
      <c r="P160" t="n">
        <v>7</v>
      </c>
      <c r="Q160" t="n">
        <v>12</v>
      </c>
      <c r="R160" t="s">
        <v>288</v>
      </c>
      <c r="S160" t="s">
        <v>289</v>
      </c>
      <c r="T160" t="n">
        <v>0</v>
      </c>
    </row>
    <row r="161">
      <c r="A161" t="s">
        <v>30</v>
      </c>
      <c r="B161" t="n">
        <v>1.02</v>
      </c>
      <c r="C161" t="n">
        <v>1.1</v>
      </c>
      <c r="D161" t="n">
        <v>1.06</v>
      </c>
      <c r="E161" t="n">
        <v>-7</v>
      </c>
      <c r="F161" t="n">
        <v>-0.25</v>
      </c>
      <c r="G161" t="n">
        <v>5</v>
      </c>
      <c r="H161" t="n">
        <v>12</v>
      </c>
      <c r="I161" t="s">
        <v>289</v>
      </c>
      <c r="J161" t="n">
        <v>0</v>
      </c>
      <c r="K161" t="n">
        <v>0</v>
      </c>
      <c r="L161" t="n">
        <v>0</v>
      </c>
      <c r="M161" t="n">
        <v>12</v>
      </c>
      <c r="N161" t="n">
        <v>0</v>
      </c>
      <c r="O161" t="n">
        <v>0</v>
      </c>
      <c r="P161" t="n">
        <v>149</v>
      </c>
      <c r="Q161" t="n">
        <v>12</v>
      </c>
      <c r="R161" t="s">
        <v>288</v>
      </c>
      <c r="S161" t="s">
        <v>293</v>
      </c>
      <c r="T161" t="n">
        <v>0</v>
      </c>
    </row>
    <row r="162">
      <c r="A162" t="s">
        <v>30</v>
      </c>
      <c r="B162" t="n">
        <v>1.05</v>
      </c>
      <c r="C162" t="n">
        <v>0.97</v>
      </c>
      <c r="D162" t="n">
        <v>1.01</v>
      </c>
      <c r="E162" t="n">
        <v>-4.25</v>
      </c>
      <c r="F162" t="n">
        <v>-0.5</v>
      </c>
      <c r="G162" t="n">
        <v>9</v>
      </c>
      <c r="H162" t="n">
        <v>12</v>
      </c>
      <c r="I162" t="s">
        <v>288</v>
      </c>
      <c r="J162" t="n">
        <v>0</v>
      </c>
      <c r="K162" t="n">
        <v>0</v>
      </c>
      <c r="L162" t="n">
        <v>0</v>
      </c>
      <c r="M162" t="n">
        <v>12</v>
      </c>
      <c r="N162" t="n">
        <v>0.5</v>
      </c>
      <c r="O162" t="n">
        <v>-0.25</v>
      </c>
      <c r="P162" t="n">
        <v>15</v>
      </c>
      <c r="Q162" t="n">
        <v>12</v>
      </c>
      <c r="R162" t="s">
        <v>289</v>
      </c>
      <c r="S162" t="s">
        <v>290</v>
      </c>
      <c r="T162" t="n">
        <v>0.25</v>
      </c>
    </row>
    <row r="163">
      <c r="A163" t="s">
        <v>30</v>
      </c>
      <c r="B163" t="n">
        <v>0.96</v>
      </c>
      <c r="C163" t="n">
        <v>0.93</v>
      </c>
      <c r="D163" t="n">
        <v>0.92</v>
      </c>
      <c r="E163" t="n">
        <v>-6.5</v>
      </c>
      <c r="F163" t="n">
        <v>0</v>
      </c>
      <c r="G163" t="n">
        <v>68</v>
      </c>
      <c r="H163" t="n">
        <v>12</v>
      </c>
      <c r="I163" t="s">
        <v>290</v>
      </c>
      <c r="J163" t="n">
        <v>0</v>
      </c>
      <c r="K163" t="n">
        <v>0</v>
      </c>
      <c r="L163" t="n">
        <v>0</v>
      </c>
      <c r="M163" t="n">
        <v>12</v>
      </c>
      <c r="N163" t="n">
        <v>0</v>
      </c>
      <c r="O163" t="n">
        <v>-0.25</v>
      </c>
      <c r="P163" t="n">
        <v>174</v>
      </c>
      <c r="Q163" t="n">
        <v>12</v>
      </c>
      <c r="R163" t="s">
        <v>291</v>
      </c>
      <c r="S163" t="s">
        <v>291</v>
      </c>
      <c r="T163" t="n">
        <v>0</v>
      </c>
    </row>
    <row r="164">
      <c r="A164" t="s">
        <v>30</v>
      </c>
      <c r="B164" t="n">
        <v>0.96</v>
      </c>
      <c r="C164" t="n">
        <v>0.95</v>
      </c>
      <c r="D164" t="n">
        <v>0.96</v>
      </c>
      <c r="E164" t="n">
        <v>-2</v>
      </c>
      <c r="F164" t="n">
        <v>-0.5</v>
      </c>
      <c r="G164" t="n">
        <v>98</v>
      </c>
      <c r="H164" t="n">
        <v>12</v>
      </c>
      <c r="I164" t="s">
        <v>290</v>
      </c>
      <c r="J164" t="n">
        <v>0</v>
      </c>
      <c r="K164" t="n">
        <v>0</v>
      </c>
      <c r="L164" t="n">
        <v>0</v>
      </c>
      <c r="M164" t="n">
        <v>12</v>
      </c>
      <c r="N164" t="n">
        <v>0</v>
      </c>
      <c r="O164" t="n">
        <v>-0.25</v>
      </c>
      <c r="P164" t="n">
        <v>77</v>
      </c>
      <c r="Q164" t="n">
        <v>12</v>
      </c>
      <c r="R164" t="s">
        <v>290</v>
      </c>
      <c r="S164" t="s">
        <v>290</v>
      </c>
      <c r="T164" t="n">
        <v>-0.25</v>
      </c>
    </row>
    <row r="165">
      <c r="A165" t="s">
        <v>30</v>
      </c>
      <c r="B165" t="n">
        <v>1.02</v>
      </c>
      <c r="C165" t="n">
        <v>1.07</v>
      </c>
      <c r="D165" t="n">
        <v>1.08</v>
      </c>
      <c r="E165" t="n">
        <v>-3.25</v>
      </c>
      <c r="F165" t="n">
        <v>-1.25</v>
      </c>
      <c r="G165" t="n">
        <v>162</v>
      </c>
      <c r="H165" t="n">
        <v>12</v>
      </c>
      <c r="I165" t="s">
        <v>289</v>
      </c>
      <c r="J165" t="n">
        <v>0</v>
      </c>
      <c r="K165" t="n">
        <v>0</v>
      </c>
      <c r="L165" t="n">
        <v>0</v>
      </c>
      <c r="M165" t="n">
        <v>12</v>
      </c>
      <c r="N165" t="n">
        <v>0.5</v>
      </c>
      <c r="O165" t="n">
        <v>-0.25</v>
      </c>
      <c r="P165" t="n">
        <v>148</v>
      </c>
      <c r="Q165" t="n">
        <v>12</v>
      </c>
      <c r="R165" t="s">
        <v>293</v>
      </c>
      <c r="S165" t="s">
        <v>288</v>
      </c>
      <c r="T165" t="n">
        <v>0.25</v>
      </c>
    </row>
    <row r="166">
      <c r="A166" t="s">
        <v>30</v>
      </c>
      <c r="B166" t="n">
        <v>1.14</v>
      </c>
      <c r="C166" t="n">
        <v>1.15</v>
      </c>
      <c r="D166" t="n">
        <v>1.13</v>
      </c>
      <c r="E166" t="n">
        <v>-4.75</v>
      </c>
      <c r="F166" t="n">
        <v>-0.5</v>
      </c>
      <c r="G166" t="n">
        <v>95</v>
      </c>
      <c r="H166" t="n">
        <v>12</v>
      </c>
      <c r="I166" t="s">
        <v>297</v>
      </c>
      <c r="J166" t="n">
        <v>0</v>
      </c>
      <c r="K166" t="n">
        <v>0</v>
      </c>
      <c r="L166" t="n">
        <v>0</v>
      </c>
      <c r="M166" t="n">
        <v>12</v>
      </c>
      <c r="N166" t="n">
        <v>0</v>
      </c>
      <c r="O166" t="n">
        <v>-0.25</v>
      </c>
      <c r="P166" t="n">
        <v>95</v>
      </c>
      <c r="Q166" t="n">
        <v>12</v>
      </c>
      <c r="R166" t="s">
        <v>297</v>
      </c>
      <c r="S166" t="s">
        <v>297</v>
      </c>
      <c r="T166" t="n">
        <v>0</v>
      </c>
    </row>
    <row r="167">
      <c r="A167" t="s">
        <v>30</v>
      </c>
      <c r="B167" t="n">
        <v>0.97</v>
      </c>
      <c r="C167" t="n">
        <v>0.93</v>
      </c>
      <c r="D167" t="n">
        <v>0.98</v>
      </c>
      <c r="E167" t="n">
        <v>-2</v>
      </c>
      <c r="F167" t="n">
        <v>-0.25</v>
      </c>
      <c r="G167" t="n">
        <v>27</v>
      </c>
      <c r="H167" t="n">
        <v>12</v>
      </c>
      <c r="I167" t="s">
        <v>290</v>
      </c>
      <c r="J167" t="n">
        <v>0</v>
      </c>
      <c r="K167" t="n">
        <v>0</v>
      </c>
      <c r="L167" t="n">
        <v>0</v>
      </c>
      <c r="M167" t="n">
        <v>12</v>
      </c>
      <c r="N167" t="n">
        <v>0.5</v>
      </c>
      <c r="O167" t="n">
        <v>-0.25</v>
      </c>
      <c r="P167" t="n">
        <v>38</v>
      </c>
      <c r="Q167" t="n">
        <v>12</v>
      </c>
      <c r="R167" t="s">
        <v>289</v>
      </c>
      <c r="S167" t="s">
        <v>291</v>
      </c>
      <c r="T167" t="n">
        <v>0.25</v>
      </c>
    </row>
    <row r="168">
      <c r="A168" t="s">
        <v>30</v>
      </c>
      <c r="B168" t="n">
        <v>1.06</v>
      </c>
      <c r="C168" t="n">
        <v>0.94</v>
      </c>
      <c r="D168" t="n">
        <v>1.05</v>
      </c>
      <c r="E168" t="n">
        <v>-6.25</v>
      </c>
      <c r="F168" t="n">
        <v>-1.25</v>
      </c>
      <c r="G168" t="n">
        <v>4</v>
      </c>
      <c r="H168" t="n">
        <v>12</v>
      </c>
      <c r="I168" t="s">
        <v>288</v>
      </c>
      <c r="J168" t="n">
        <v>0</v>
      </c>
      <c r="K168" t="n">
        <v>0</v>
      </c>
      <c r="L168" t="n">
        <v>0</v>
      </c>
      <c r="M168" t="n">
        <v>12</v>
      </c>
      <c r="N168" t="n">
        <v>0</v>
      </c>
      <c r="O168" t="n">
        <v>-0.25</v>
      </c>
      <c r="P168" t="n">
        <v>46</v>
      </c>
      <c r="Q168" t="n">
        <v>12</v>
      </c>
      <c r="R168" t="s">
        <v>288</v>
      </c>
      <c r="S168" t="s">
        <v>290</v>
      </c>
      <c r="T168" t="n">
        <v>0</v>
      </c>
    </row>
    <row r="169">
      <c r="A169" t="s">
        <v>30</v>
      </c>
      <c r="B169" t="n">
        <v>1.15</v>
      </c>
      <c r="C169" t="n">
        <v>1.25</v>
      </c>
      <c r="D169" t="n">
        <v>1.16</v>
      </c>
      <c r="E169" t="n">
        <v>-4.75</v>
      </c>
      <c r="F169" t="n">
        <v>-0.5</v>
      </c>
      <c r="G169" t="n">
        <v>82</v>
      </c>
      <c r="H169" t="n">
        <v>12</v>
      </c>
      <c r="I169" t="s">
        <v>297</v>
      </c>
      <c r="J169" t="n">
        <v>0</v>
      </c>
      <c r="K169" t="n">
        <v>0</v>
      </c>
      <c r="L169" t="n">
        <v>0</v>
      </c>
      <c r="M169" t="n">
        <v>12</v>
      </c>
      <c r="N169" t="n">
        <v>0</v>
      </c>
      <c r="O169" t="n">
        <v>-0.25</v>
      </c>
      <c r="P169" t="n">
        <v>61</v>
      </c>
      <c r="Q169" t="n">
        <v>12</v>
      </c>
      <c r="R169" t="s">
        <v>297</v>
      </c>
      <c r="S169" t="s">
        <v>296</v>
      </c>
      <c r="T169" t="n">
        <v>0</v>
      </c>
    </row>
    <row r="170">
      <c r="A170" t="s">
        <v>30</v>
      </c>
      <c r="B170" t="n">
        <v>1.18</v>
      </c>
      <c r="C170" t="n">
        <v>1.17</v>
      </c>
      <c r="D170" t="n">
        <v>1.14</v>
      </c>
      <c r="E170" t="n">
        <v>-2.25</v>
      </c>
      <c r="F170" t="n">
        <v>-0.25</v>
      </c>
      <c r="G170" t="n">
        <v>94</v>
      </c>
      <c r="H170" t="n">
        <v>12</v>
      </c>
      <c r="I170" t="s">
        <v>294</v>
      </c>
      <c r="J170" t="n">
        <v>0</v>
      </c>
      <c r="K170" t="n">
        <v>0</v>
      </c>
      <c r="L170" t="n">
        <v>0</v>
      </c>
      <c r="M170" t="n">
        <v>12</v>
      </c>
      <c r="N170" t="n">
        <v>0.5</v>
      </c>
      <c r="O170" t="n">
        <v>0</v>
      </c>
      <c r="P170" t="n">
        <v>18</v>
      </c>
      <c r="Q170" t="n">
        <v>12</v>
      </c>
      <c r="R170" t="s">
        <v>297</v>
      </c>
      <c r="S170" t="s">
        <v>297</v>
      </c>
      <c r="T170" t="n">
        <v>0.5</v>
      </c>
    </row>
    <row r="171">
      <c r="A171" t="s">
        <v>30</v>
      </c>
      <c r="B171" t="n">
        <v>1.08</v>
      </c>
      <c r="C171" t="n">
        <v>1.04</v>
      </c>
      <c r="D171" t="n">
        <v>1.11</v>
      </c>
      <c r="E171" t="n">
        <v>-4</v>
      </c>
      <c r="F171" t="n">
        <v>-0.25</v>
      </c>
      <c r="G171" t="n">
        <v>24</v>
      </c>
      <c r="H171" t="n">
        <v>12</v>
      </c>
      <c r="I171" t="s">
        <v>293</v>
      </c>
      <c r="J171" t="n">
        <v>0</v>
      </c>
      <c r="K171" t="n">
        <v>0</v>
      </c>
      <c r="L171" t="n">
        <v>0</v>
      </c>
      <c r="M171" t="n">
        <v>12</v>
      </c>
      <c r="N171" t="n">
        <v>0</v>
      </c>
      <c r="O171" t="n">
        <v>-0.25</v>
      </c>
      <c r="P171" t="n">
        <v>152</v>
      </c>
      <c r="Q171" t="n">
        <v>12</v>
      </c>
      <c r="R171" t="s">
        <v>293</v>
      </c>
      <c r="S171" t="s">
        <v>288</v>
      </c>
      <c r="T171" t="n">
        <v>0</v>
      </c>
    </row>
    <row r="172">
      <c r="A172" t="s">
        <v>30</v>
      </c>
      <c r="B172" t="n">
        <v>1.05</v>
      </c>
      <c r="C172" t="n">
        <v>0.92</v>
      </c>
      <c r="D172" t="n">
        <v>1.04</v>
      </c>
      <c r="E172" t="n">
        <v>-3.5</v>
      </c>
      <c r="F172" t="n">
        <v>-1.25</v>
      </c>
      <c r="G172" t="n">
        <v>102</v>
      </c>
      <c r="H172" t="n">
        <v>12</v>
      </c>
      <c r="I172" t="s">
        <v>288</v>
      </c>
      <c r="J172" t="n">
        <v>0</v>
      </c>
      <c r="K172" t="n">
        <v>0</v>
      </c>
      <c r="L172" t="n">
        <v>0</v>
      </c>
      <c r="M172" t="n">
        <v>12</v>
      </c>
      <c r="N172" t="n">
        <v>0</v>
      </c>
      <c r="O172" t="n">
        <v>-0.25</v>
      </c>
      <c r="P172" t="n">
        <v>93</v>
      </c>
      <c r="Q172" t="n">
        <v>12</v>
      </c>
      <c r="R172" t="s">
        <v>288</v>
      </c>
      <c r="S172" t="s">
        <v>291</v>
      </c>
      <c r="T172" t="n">
        <v>0</v>
      </c>
    </row>
    <row r="173">
      <c r="A173" t="s">
        <v>30</v>
      </c>
      <c r="B173" t="n">
        <v>0.96</v>
      </c>
      <c r="C173" t="n">
        <v>0.82</v>
      </c>
      <c r="D173" t="n">
        <v>0.93</v>
      </c>
      <c r="E173" t="n">
        <v>-4</v>
      </c>
      <c r="F173" t="n">
        <v>-0.25</v>
      </c>
      <c r="G173" t="n">
        <v>97</v>
      </c>
      <c r="H173" t="n">
        <v>12</v>
      </c>
      <c r="I173" t="s">
        <v>290</v>
      </c>
      <c r="J173" t="n">
        <v>0</v>
      </c>
      <c r="K173" t="n">
        <v>0</v>
      </c>
      <c r="L173" t="n">
        <v>0</v>
      </c>
      <c r="M173" t="n">
        <v>12</v>
      </c>
      <c r="N173" t="n">
        <v>0.5</v>
      </c>
      <c r="O173" t="n">
        <v>0</v>
      </c>
      <c r="P173" t="n">
        <v>119</v>
      </c>
      <c r="Q173" t="n">
        <v>12</v>
      </c>
      <c r="R173" t="s">
        <v>291</v>
      </c>
      <c r="S173" t="s">
        <v>298</v>
      </c>
      <c r="T173" t="n">
        <v>0.5</v>
      </c>
    </row>
    <row r="174">
      <c r="A174" t="s">
        <v>30</v>
      </c>
      <c r="B174" t="n">
        <v>1.03</v>
      </c>
      <c r="C174" t="n">
        <v>1.08</v>
      </c>
      <c r="D174" t="n">
        <v>1.06</v>
      </c>
      <c r="E174" t="n">
        <v>-1.25</v>
      </c>
      <c r="F174" t="n">
        <v>-0.5</v>
      </c>
      <c r="G174" t="n">
        <v>71</v>
      </c>
      <c r="H174" t="n">
        <v>12</v>
      </c>
      <c r="I174" t="s">
        <v>288</v>
      </c>
      <c r="J174" t="n">
        <v>0</v>
      </c>
      <c r="K174" t="n">
        <v>0</v>
      </c>
      <c r="L174" t="n">
        <v>0</v>
      </c>
      <c r="M174" t="n">
        <v>12</v>
      </c>
      <c r="N174" t="n">
        <v>0.25</v>
      </c>
      <c r="O174" t="n">
        <v>-0.5</v>
      </c>
      <c r="P174" t="n">
        <v>96</v>
      </c>
      <c r="Q174" t="n">
        <v>12</v>
      </c>
      <c r="R174" t="s">
        <v>288</v>
      </c>
      <c r="S174" t="s">
        <v>293</v>
      </c>
      <c r="T174" t="n">
        <v>0</v>
      </c>
    </row>
    <row r="175">
      <c r="A175" t="s">
        <v>30</v>
      </c>
      <c r="B175" t="n">
        <v>1.11</v>
      </c>
      <c r="C175" t="n">
        <v>1.17</v>
      </c>
      <c r="D175" t="n">
        <v>1.14</v>
      </c>
      <c r="E175" t="n">
        <v>-4</v>
      </c>
      <c r="F175" t="n">
        <v>0</v>
      </c>
      <c r="G175" t="n">
        <v>80</v>
      </c>
      <c r="H175" t="n">
        <v>12</v>
      </c>
      <c r="I175" t="s">
        <v>293</v>
      </c>
      <c r="J175" t="n">
        <v>0</v>
      </c>
      <c r="K175" t="n">
        <v>0</v>
      </c>
      <c r="L175" t="n">
        <v>0</v>
      </c>
      <c r="M175" t="n">
        <v>12</v>
      </c>
      <c r="N175" t="n">
        <v>0</v>
      </c>
      <c r="O175" t="n">
        <v>-0.25</v>
      </c>
      <c r="P175" t="n">
        <v>130</v>
      </c>
      <c r="Q175" t="n">
        <v>12</v>
      </c>
      <c r="R175" t="s">
        <v>297</v>
      </c>
      <c r="S175" t="s">
        <v>297</v>
      </c>
      <c r="T175" t="n">
        <v>-0.25</v>
      </c>
    </row>
    <row r="176">
      <c r="A176" t="s">
        <v>30</v>
      </c>
      <c r="B176" t="n">
        <v>1.1</v>
      </c>
      <c r="C176" t="n">
        <v>0.99</v>
      </c>
      <c r="D176" t="n">
        <v>1.07</v>
      </c>
      <c r="E176" t="n">
        <v>-3.5</v>
      </c>
      <c r="F176" t="n">
        <v>-1</v>
      </c>
      <c r="G176" t="n">
        <v>161</v>
      </c>
      <c r="H176" t="n">
        <v>12</v>
      </c>
      <c r="I176" t="s">
        <v>293</v>
      </c>
      <c r="J176" t="n">
        <v>0</v>
      </c>
      <c r="K176" t="n">
        <v>0</v>
      </c>
      <c r="L176" t="n">
        <v>0</v>
      </c>
      <c r="M176" t="n">
        <v>12</v>
      </c>
      <c r="N176" t="n">
        <v>0.5</v>
      </c>
      <c r="O176" t="n">
        <v>-0.25</v>
      </c>
      <c r="P176" t="n">
        <v>147</v>
      </c>
      <c r="Q176" t="n">
        <v>12</v>
      </c>
      <c r="R176" t="s">
        <v>288</v>
      </c>
      <c r="S176" t="s">
        <v>289</v>
      </c>
      <c r="T176" t="n">
        <v>0.25</v>
      </c>
    </row>
    <row r="177">
      <c r="A177" t="s">
        <v>30</v>
      </c>
      <c r="B177" t="n">
        <v>0.97</v>
      </c>
      <c r="C177" t="n">
        <v>0.9</v>
      </c>
      <c r="D177" t="n">
        <v>1.02</v>
      </c>
      <c r="E177" t="n">
        <v>-2.75</v>
      </c>
      <c r="F177" t="n">
        <v>-0.5</v>
      </c>
      <c r="G177" t="n">
        <v>62</v>
      </c>
      <c r="H177" t="n">
        <v>12</v>
      </c>
      <c r="I177" t="s">
        <v>290</v>
      </c>
      <c r="J177" t="n">
        <v>0</v>
      </c>
      <c r="K177" t="n">
        <v>0</v>
      </c>
      <c r="L177" t="n">
        <v>0</v>
      </c>
      <c r="M177" t="n">
        <v>12</v>
      </c>
      <c r="N177" t="n">
        <v>0</v>
      </c>
      <c r="O177" t="n">
        <v>-0.25</v>
      </c>
      <c r="P177" t="n">
        <v>92</v>
      </c>
      <c r="Q177" t="n">
        <v>12</v>
      </c>
      <c r="R177" t="s">
        <v>289</v>
      </c>
      <c r="S177" t="s">
        <v>291</v>
      </c>
      <c r="T177" t="n">
        <v>-0.25</v>
      </c>
    </row>
    <row r="178">
      <c r="A178" t="s">
        <v>30</v>
      </c>
      <c r="B178" t="n">
        <v>1.14</v>
      </c>
      <c r="C178" t="n">
        <v>1.14</v>
      </c>
      <c r="D178" t="n">
        <v>1.17</v>
      </c>
      <c r="E178" t="n">
        <v>-4</v>
      </c>
      <c r="F178" t="n">
        <v>-0.75</v>
      </c>
      <c r="G178" t="n">
        <v>103</v>
      </c>
      <c r="H178" t="n">
        <v>12</v>
      </c>
      <c r="I178" t="s">
        <v>297</v>
      </c>
      <c r="J178" t="n">
        <v>0</v>
      </c>
      <c r="K178" t="n">
        <v>0</v>
      </c>
      <c r="L178" t="n">
        <v>0</v>
      </c>
      <c r="M178" t="n">
        <v>12</v>
      </c>
      <c r="N178" t="n">
        <v>0.5</v>
      </c>
      <c r="O178" t="n">
        <v>0</v>
      </c>
      <c r="P178" t="n">
        <v>8</v>
      </c>
      <c r="Q178" t="n">
        <v>12</v>
      </c>
      <c r="R178" t="s">
        <v>297</v>
      </c>
      <c r="S178" t="s">
        <v>297</v>
      </c>
      <c r="T178" t="n">
        <v>0.5</v>
      </c>
    </row>
    <row r="179">
      <c r="A179" t="s">
        <v>30</v>
      </c>
      <c r="B179" t="n">
        <v>1.08</v>
      </c>
      <c r="C179" t="n">
        <v>1.2</v>
      </c>
      <c r="D179" t="n">
        <v>1.12</v>
      </c>
      <c r="E179" t="n">
        <v>-3.5</v>
      </c>
      <c r="F179" t="n">
        <v>-1.25</v>
      </c>
      <c r="G179" t="n">
        <v>10</v>
      </c>
      <c r="H179" t="n">
        <v>12</v>
      </c>
      <c r="I179" t="s">
        <v>293</v>
      </c>
      <c r="J179" t="n">
        <v>0</v>
      </c>
      <c r="K179" t="n">
        <v>0</v>
      </c>
      <c r="L179" t="n">
        <v>0</v>
      </c>
      <c r="M179" t="n">
        <v>12</v>
      </c>
      <c r="N179" t="n">
        <v>0</v>
      </c>
      <c r="O179" t="n">
        <v>-0.25</v>
      </c>
      <c r="P179" t="n">
        <v>21</v>
      </c>
      <c r="Q179" t="n">
        <v>12</v>
      </c>
      <c r="R179" t="s">
        <v>293</v>
      </c>
      <c r="S179" t="s">
        <v>294</v>
      </c>
      <c r="T179" t="n">
        <v>0</v>
      </c>
    </row>
    <row r="180">
      <c r="A180" t="s">
        <v>30</v>
      </c>
      <c r="B180" t="n">
        <v>1.13</v>
      </c>
      <c r="C180" t="n">
        <v>1.07</v>
      </c>
      <c r="D180" t="n">
        <v>1.09</v>
      </c>
      <c r="E180" t="n">
        <v>-6</v>
      </c>
      <c r="F180" t="n">
        <v>-0.5</v>
      </c>
      <c r="G180" t="n">
        <v>82</v>
      </c>
      <c r="H180" t="n">
        <v>12</v>
      </c>
      <c r="I180" t="s">
        <v>297</v>
      </c>
      <c r="J180" t="n">
        <v>0</v>
      </c>
      <c r="K180" t="n">
        <v>0</v>
      </c>
      <c r="L180" t="n">
        <v>0</v>
      </c>
      <c r="M180" t="n">
        <v>12</v>
      </c>
      <c r="N180" t="n">
        <v>0.25</v>
      </c>
      <c r="O180" t="n">
        <v>-0.5</v>
      </c>
      <c r="P180" t="n">
        <v>106</v>
      </c>
      <c r="Q180" t="n">
        <v>12</v>
      </c>
      <c r="R180" t="s">
        <v>293</v>
      </c>
      <c r="S180" t="s">
        <v>288</v>
      </c>
      <c r="T180" t="n">
        <v>0</v>
      </c>
    </row>
    <row r="181">
      <c r="A181" t="s">
        <v>30</v>
      </c>
      <c r="B181" t="n">
        <v>0.99</v>
      </c>
      <c r="C181" t="n">
        <v>1.03</v>
      </c>
      <c r="D181" t="n">
        <v>1.03</v>
      </c>
      <c r="E181" t="n">
        <v>-6</v>
      </c>
      <c r="F181" t="n">
        <v>-1.25</v>
      </c>
      <c r="G181" t="n">
        <v>165</v>
      </c>
      <c r="H181" t="n">
        <v>12</v>
      </c>
      <c r="I181" t="s">
        <v>289</v>
      </c>
      <c r="J181" t="n">
        <v>0</v>
      </c>
      <c r="K181" t="n">
        <v>0</v>
      </c>
      <c r="L181" t="n">
        <v>0</v>
      </c>
      <c r="M181" t="n">
        <v>12</v>
      </c>
      <c r="N181" t="n">
        <v>-0.75</v>
      </c>
      <c r="O181" t="n">
        <v>0</v>
      </c>
      <c r="P181" t="n">
        <v>14</v>
      </c>
      <c r="Q181" t="n">
        <v>12</v>
      </c>
      <c r="R181" t="s">
        <v>288</v>
      </c>
      <c r="S181" t="s">
        <v>288</v>
      </c>
      <c r="T181" t="n">
        <v>-0.75</v>
      </c>
    </row>
    <row r="182">
      <c r="A182" t="s">
        <v>30</v>
      </c>
      <c r="B182" t="n">
        <v>0.94</v>
      </c>
      <c r="C182" t="n">
        <v>0.96</v>
      </c>
      <c r="D182" t="n">
        <v>0.93</v>
      </c>
      <c r="E182" t="n">
        <v>-3.75</v>
      </c>
      <c r="F182" t="n">
        <v>0</v>
      </c>
      <c r="G182" t="n">
        <v>149</v>
      </c>
      <c r="H182" t="n">
        <v>12</v>
      </c>
      <c r="I182" t="s">
        <v>290</v>
      </c>
      <c r="J182" t="n">
        <v>0</v>
      </c>
      <c r="K182" t="n">
        <v>0</v>
      </c>
      <c r="L182" t="n">
        <v>0</v>
      </c>
      <c r="M182" t="n">
        <v>12</v>
      </c>
      <c r="N182" t="n">
        <v>0</v>
      </c>
      <c r="O182" t="n">
        <v>-0.5</v>
      </c>
      <c r="P182" t="n">
        <v>143</v>
      </c>
      <c r="Q182" t="n">
        <v>12</v>
      </c>
      <c r="R182" t="s">
        <v>291</v>
      </c>
      <c r="S182" t="s">
        <v>290</v>
      </c>
      <c r="T182" t="n">
        <v>-0.25</v>
      </c>
    </row>
    <row r="183">
      <c r="A183" t="s">
        <v>30</v>
      </c>
      <c r="B183" t="n">
        <v>0.96</v>
      </c>
      <c r="C183" t="n">
        <v>1.08</v>
      </c>
      <c r="D183" t="n">
        <v>0.97</v>
      </c>
      <c r="E183" t="n">
        <v>-3.5</v>
      </c>
      <c r="F183" t="n">
        <v>-0.5</v>
      </c>
      <c r="G183" t="n">
        <v>2</v>
      </c>
      <c r="H183" t="n">
        <v>12</v>
      </c>
      <c r="I183" t="s">
        <v>290</v>
      </c>
      <c r="J183" t="n">
        <v>0</v>
      </c>
      <c r="K183" t="n">
        <v>0</v>
      </c>
      <c r="L183" t="n">
        <v>0</v>
      </c>
      <c r="M183" t="n">
        <v>12</v>
      </c>
      <c r="N183" t="n">
        <v>0.5</v>
      </c>
      <c r="O183" t="n">
        <v>-0.25</v>
      </c>
      <c r="P183" t="n">
        <v>175</v>
      </c>
      <c r="Q183" t="n">
        <v>12</v>
      </c>
      <c r="R183" t="s">
        <v>290</v>
      </c>
      <c r="S183" t="s">
        <v>293</v>
      </c>
      <c r="T183" t="n">
        <v>0.25</v>
      </c>
    </row>
    <row r="184">
      <c r="A184" t="s">
        <v>30</v>
      </c>
      <c r="B184" t="n">
        <v>1.07</v>
      </c>
      <c r="C184" t="n">
        <v>1.09</v>
      </c>
      <c r="D184" t="n">
        <v>1.17</v>
      </c>
      <c r="E184" t="n">
        <v>-2.75</v>
      </c>
      <c r="F184" t="n">
        <v>-1</v>
      </c>
      <c r="G184" t="n">
        <v>152</v>
      </c>
      <c r="H184" t="n">
        <v>12</v>
      </c>
      <c r="I184" t="s">
        <v>288</v>
      </c>
      <c r="J184" t="n">
        <v>0</v>
      </c>
      <c r="K184" t="n">
        <v>0</v>
      </c>
      <c r="L184" t="n">
        <v>0</v>
      </c>
      <c r="M184" t="n">
        <v>12</v>
      </c>
      <c r="N184" t="n">
        <v>0.25</v>
      </c>
      <c r="O184" t="n">
        <v>0</v>
      </c>
      <c r="P184" t="n">
        <v>156</v>
      </c>
      <c r="Q184" t="n">
        <v>12</v>
      </c>
      <c r="R184" t="s">
        <v>297</v>
      </c>
      <c r="S184" t="s">
        <v>293</v>
      </c>
      <c r="T184" t="n">
        <v>0.25</v>
      </c>
    </row>
    <row r="185">
      <c r="A185" t="s">
        <v>30</v>
      </c>
      <c r="B185" t="n">
        <v>0.93</v>
      </c>
      <c r="C185" t="n">
        <v>0.9</v>
      </c>
      <c r="D185" t="n">
        <v>0.92</v>
      </c>
      <c r="E185" t="n">
        <v>-2.5</v>
      </c>
      <c r="F185" t="n">
        <v>-1</v>
      </c>
      <c r="G185" t="n">
        <v>24</v>
      </c>
      <c r="H185" t="n">
        <v>12</v>
      </c>
      <c r="I185" t="s">
        <v>291</v>
      </c>
      <c r="J185" t="n">
        <v>0</v>
      </c>
      <c r="K185" t="n">
        <v>0</v>
      </c>
      <c r="L185" t="n">
        <v>0</v>
      </c>
      <c r="M185" t="n">
        <v>12</v>
      </c>
      <c r="N185" t="n">
        <v>0</v>
      </c>
      <c r="O185" t="n">
        <v>-0.25</v>
      </c>
      <c r="P185" t="n">
        <v>15</v>
      </c>
      <c r="Q185" t="n">
        <v>12</v>
      </c>
      <c r="R185" t="s">
        <v>291</v>
      </c>
      <c r="S185" t="s">
        <v>291</v>
      </c>
      <c r="T185" t="n">
        <v>-0.25</v>
      </c>
    </row>
    <row r="186">
      <c r="A186" t="s">
        <v>30</v>
      </c>
      <c r="B186" t="n">
        <v>1.05</v>
      </c>
      <c r="C186" t="n">
        <v>0.89</v>
      </c>
      <c r="D186" t="n">
        <v>1.04</v>
      </c>
      <c r="E186" t="n">
        <v>-4.25</v>
      </c>
      <c r="F186" t="n">
        <v>-1.5</v>
      </c>
      <c r="G186" t="n">
        <v>5</v>
      </c>
      <c r="H186" t="n">
        <v>12</v>
      </c>
      <c r="I186" t="s">
        <v>288</v>
      </c>
      <c r="J186" t="n">
        <v>0</v>
      </c>
      <c r="K186" t="n">
        <v>0</v>
      </c>
      <c r="L186" t="n">
        <v>0</v>
      </c>
      <c r="M186" t="n">
        <v>12</v>
      </c>
      <c r="N186" t="n">
        <v>0.5</v>
      </c>
      <c r="O186" t="n">
        <v>-0.25</v>
      </c>
      <c r="P186" t="n">
        <v>172</v>
      </c>
      <c r="Q186" t="n">
        <v>12</v>
      </c>
      <c r="R186" t="s">
        <v>288</v>
      </c>
      <c r="S186" t="s">
        <v>300</v>
      </c>
      <c r="T186" t="n">
        <v>0.5</v>
      </c>
    </row>
    <row r="187">
      <c r="A187" t="s">
        <v>30</v>
      </c>
      <c r="B187" t="n">
        <v>1.11</v>
      </c>
      <c r="C187" t="n">
        <v>0.99</v>
      </c>
      <c r="D187" t="n">
        <v>1.08</v>
      </c>
      <c r="E187" t="n">
        <v>-4</v>
      </c>
      <c r="F187" t="n">
        <v>-0.75</v>
      </c>
      <c r="G187" t="n">
        <v>88</v>
      </c>
      <c r="H187" t="n">
        <v>12</v>
      </c>
      <c r="I187" t="s">
        <v>293</v>
      </c>
      <c r="J187" t="n">
        <v>0</v>
      </c>
      <c r="K187" t="n">
        <v>0</v>
      </c>
      <c r="L187" t="n">
        <v>0</v>
      </c>
      <c r="M187" t="n">
        <v>12</v>
      </c>
      <c r="N187" t="n">
        <v>0.5</v>
      </c>
      <c r="O187" t="n">
        <v>-0.25</v>
      </c>
      <c r="P187" t="n">
        <v>81</v>
      </c>
      <c r="Q187" t="n">
        <v>12</v>
      </c>
      <c r="R187" t="s">
        <v>293</v>
      </c>
      <c r="S187" t="s">
        <v>289</v>
      </c>
      <c r="T187" t="n">
        <v>0.25</v>
      </c>
    </row>
    <row r="188">
      <c r="A188" t="s">
        <v>30</v>
      </c>
      <c r="B188" t="n">
        <v>1.03</v>
      </c>
      <c r="C188" t="n">
        <v>0.9</v>
      </c>
      <c r="D188" t="n">
        <v>1.09</v>
      </c>
      <c r="E188" t="n">
        <v>-3.25</v>
      </c>
      <c r="F188" t="n">
        <v>-0.5</v>
      </c>
      <c r="G188" t="n">
        <v>180</v>
      </c>
      <c r="H188" t="n">
        <v>12</v>
      </c>
      <c r="I188" t="s">
        <v>288</v>
      </c>
      <c r="J188" t="n">
        <v>0</v>
      </c>
      <c r="K188" t="n">
        <v>0</v>
      </c>
      <c r="L188" t="n">
        <v>0</v>
      </c>
      <c r="M188" t="n">
        <v>12</v>
      </c>
      <c r="N188" t="n">
        <v>0</v>
      </c>
      <c r="O188" t="n">
        <v>-0.25</v>
      </c>
      <c r="P188" t="n">
        <v>152</v>
      </c>
      <c r="Q188" t="n">
        <v>12</v>
      </c>
      <c r="R188" t="s">
        <v>293</v>
      </c>
      <c r="S188" t="s">
        <v>291</v>
      </c>
      <c r="T188" t="n">
        <v>-0.25</v>
      </c>
    </row>
    <row r="189">
      <c r="A189" t="s">
        <v>30</v>
      </c>
      <c r="B189" t="n">
        <v>1.18</v>
      </c>
      <c r="C189" t="n">
        <v>1.19</v>
      </c>
      <c r="D189" t="n">
        <v>1.13</v>
      </c>
      <c r="E189" t="n">
        <v>-6.25</v>
      </c>
      <c r="F189" t="n">
        <v>-0.25</v>
      </c>
      <c r="G189" t="n">
        <v>89</v>
      </c>
      <c r="H189" t="n">
        <v>12</v>
      </c>
      <c r="I189" t="s">
        <v>294</v>
      </c>
      <c r="J189" t="n">
        <v>0</v>
      </c>
      <c r="K189" t="n">
        <v>0</v>
      </c>
      <c r="L189" t="n">
        <v>0</v>
      </c>
      <c r="M189" t="n">
        <v>12</v>
      </c>
      <c r="N189" t="n">
        <v>0</v>
      </c>
      <c r="O189" t="n">
        <v>-0.25</v>
      </c>
      <c r="P189" t="n">
        <v>103</v>
      </c>
      <c r="Q189" t="n">
        <v>12</v>
      </c>
      <c r="R189" t="s">
        <v>297</v>
      </c>
      <c r="S189" t="s">
        <v>294</v>
      </c>
      <c r="T189" t="n">
        <v>0</v>
      </c>
    </row>
    <row r="190">
      <c r="A190" t="s">
        <v>30</v>
      </c>
      <c r="B190" t="n">
        <v>1.11</v>
      </c>
      <c r="C190" t="n">
        <v>0.97</v>
      </c>
      <c r="D190" t="n">
        <v>1.11</v>
      </c>
      <c r="E190" t="n">
        <v>-5.25</v>
      </c>
      <c r="F190" t="n">
        <v>-1</v>
      </c>
      <c r="G190" t="n">
        <v>22</v>
      </c>
      <c r="H190" t="n">
        <v>12</v>
      </c>
      <c r="I190" t="s">
        <v>293</v>
      </c>
      <c r="J190" t="n">
        <v>0</v>
      </c>
      <c r="K190" t="n">
        <v>0</v>
      </c>
      <c r="L190" t="n">
        <v>0</v>
      </c>
      <c r="M190" t="n">
        <v>12</v>
      </c>
      <c r="N190" t="n">
        <v>0.75</v>
      </c>
      <c r="O190" t="n">
        <v>-0.5</v>
      </c>
      <c r="P190" t="n">
        <v>14</v>
      </c>
      <c r="Q190" t="n">
        <v>12</v>
      </c>
      <c r="R190" t="s">
        <v>293</v>
      </c>
      <c r="S190" t="s">
        <v>290</v>
      </c>
      <c r="T190" t="n">
        <v>0.5</v>
      </c>
    </row>
    <row r="191">
      <c r="A191" t="s">
        <v>30</v>
      </c>
      <c r="B191" t="n">
        <v>1.04</v>
      </c>
      <c r="C191" t="n">
        <v>1.08</v>
      </c>
      <c r="D191" t="n">
        <v>1.07</v>
      </c>
      <c r="E191" t="n">
        <v>-3.25</v>
      </c>
      <c r="F191" t="n">
        <v>-0.5</v>
      </c>
      <c r="G191" t="n">
        <v>101</v>
      </c>
      <c r="H191" t="n">
        <v>12</v>
      </c>
      <c r="I191" t="s">
        <v>288</v>
      </c>
      <c r="J191" t="n">
        <v>0</v>
      </c>
      <c r="K191" t="n">
        <v>0</v>
      </c>
      <c r="L191" t="n">
        <v>0</v>
      </c>
      <c r="M191" t="n">
        <v>12</v>
      </c>
      <c r="N191" t="n">
        <v>0</v>
      </c>
      <c r="O191" t="n">
        <v>-0.25</v>
      </c>
      <c r="P191" t="n">
        <v>98</v>
      </c>
      <c r="Q191" t="n">
        <v>12</v>
      </c>
      <c r="R191" t="s">
        <v>288</v>
      </c>
      <c r="S191" t="s">
        <v>293</v>
      </c>
      <c r="T191" t="n">
        <v>-0.25</v>
      </c>
    </row>
    <row r="192">
      <c r="A192" t="s">
        <v>30</v>
      </c>
      <c r="B192" t="n">
        <v>1</v>
      </c>
      <c r="C192" t="n">
        <v>0.94</v>
      </c>
      <c r="D192" t="n">
        <v>1.02</v>
      </c>
      <c r="E192" t="n">
        <v>-5.5</v>
      </c>
      <c r="F192" t="n">
        <v>-0.5</v>
      </c>
      <c r="G192" t="n">
        <v>173</v>
      </c>
      <c r="H192" t="n">
        <v>12</v>
      </c>
      <c r="I192" t="s">
        <v>289</v>
      </c>
      <c r="J192" t="n">
        <v>0</v>
      </c>
      <c r="K192" t="n">
        <v>0</v>
      </c>
      <c r="L192" t="n">
        <v>0</v>
      </c>
      <c r="M192" t="n">
        <v>12</v>
      </c>
      <c r="N192" t="n">
        <v>0</v>
      </c>
      <c r="O192" t="n">
        <v>-0.5</v>
      </c>
      <c r="P192" t="n">
        <v>24</v>
      </c>
      <c r="Q192" t="n">
        <v>12</v>
      </c>
      <c r="R192" t="s">
        <v>289</v>
      </c>
      <c r="S192" t="s">
        <v>290</v>
      </c>
      <c r="T192" t="n">
        <v>-0.25</v>
      </c>
    </row>
    <row r="193">
      <c r="A193" t="s">
        <v>30</v>
      </c>
      <c r="B193" t="n">
        <v>1.1</v>
      </c>
      <c r="C193" t="n">
        <v>1.14</v>
      </c>
      <c r="D193" t="n">
        <v>1.13</v>
      </c>
      <c r="E193" t="n">
        <v>-7.25</v>
      </c>
      <c r="F193" t="n">
        <v>-1</v>
      </c>
      <c r="G193" t="n">
        <v>156</v>
      </c>
      <c r="H193" t="n">
        <v>12</v>
      </c>
      <c r="I193" t="s">
        <v>293</v>
      </c>
      <c r="J193" t="n">
        <v>0</v>
      </c>
      <c r="K193" t="n">
        <v>0</v>
      </c>
      <c r="L193" t="n">
        <v>0</v>
      </c>
      <c r="M193" t="n">
        <v>12</v>
      </c>
      <c r="N193" t="n">
        <v>0.25</v>
      </c>
      <c r="O193" t="n">
        <v>-0.5</v>
      </c>
      <c r="P193" t="n">
        <v>40</v>
      </c>
      <c r="Q193" t="n">
        <v>12</v>
      </c>
      <c r="R193" t="s">
        <v>297</v>
      </c>
      <c r="S193" t="s">
        <v>297</v>
      </c>
      <c r="T193" t="n">
        <v>0</v>
      </c>
    </row>
    <row r="194">
      <c r="A194" t="s">
        <v>30</v>
      </c>
      <c r="B194" t="n">
        <v>1.11</v>
      </c>
      <c r="C194" t="n">
        <v>1.07</v>
      </c>
      <c r="D194" t="n">
        <v>1.14</v>
      </c>
      <c r="E194" t="n">
        <v>-5.5</v>
      </c>
      <c r="F194" t="n">
        <v>-0.5</v>
      </c>
      <c r="G194" t="n">
        <v>21</v>
      </c>
      <c r="H194" t="n">
        <v>12</v>
      </c>
      <c r="I194" t="s">
        <v>293</v>
      </c>
      <c r="J194" t="n">
        <v>0</v>
      </c>
      <c r="K194" t="n">
        <v>0</v>
      </c>
      <c r="L194" t="n">
        <v>0</v>
      </c>
      <c r="M194" t="n">
        <v>12</v>
      </c>
      <c r="N194" t="n">
        <v>0</v>
      </c>
      <c r="O194" t="n">
        <v>-0.25</v>
      </c>
      <c r="P194" t="n">
        <v>8</v>
      </c>
      <c r="Q194" t="n">
        <v>12</v>
      </c>
      <c r="R194" t="s">
        <v>297</v>
      </c>
      <c r="S194" t="s">
        <v>288</v>
      </c>
      <c r="T194" t="n">
        <v>0</v>
      </c>
    </row>
    <row r="195">
      <c r="A195" t="s">
        <v>30</v>
      </c>
      <c r="B195" t="n">
        <v>1.03</v>
      </c>
      <c r="C195" t="n">
        <v>1.01</v>
      </c>
      <c r="D195" t="n">
        <v>1.03</v>
      </c>
      <c r="E195" t="n">
        <v>-0.5</v>
      </c>
      <c r="F195" t="n">
        <v>-0.25</v>
      </c>
      <c r="G195" t="n">
        <v>6</v>
      </c>
      <c r="H195" t="n">
        <v>12</v>
      </c>
      <c r="I195" t="s">
        <v>288</v>
      </c>
      <c r="J195" t="n">
        <v>0</v>
      </c>
      <c r="K195" t="n">
        <v>0</v>
      </c>
      <c r="L195" t="n">
        <v>0</v>
      </c>
      <c r="M195" t="n">
        <v>12</v>
      </c>
      <c r="N195" t="n">
        <v>0</v>
      </c>
      <c r="O195" t="n">
        <v>-0.25</v>
      </c>
      <c r="P195" t="n">
        <v>179</v>
      </c>
      <c r="Q195" t="n">
        <v>12</v>
      </c>
      <c r="R195" t="s">
        <v>288</v>
      </c>
      <c r="S195" t="s">
        <v>289</v>
      </c>
      <c r="T195" t="n">
        <v>-0.25</v>
      </c>
    </row>
    <row r="196">
      <c r="A196" t="s">
        <v>30</v>
      </c>
      <c r="B196" t="n">
        <v>1.02</v>
      </c>
      <c r="C196" t="n">
        <v>1.12</v>
      </c>
      <c r="D196" t="n">
        <v>1.05</v>
      </c>
      <c r="E196" t="n">
        <v>-3.5</v>
      </c>
      <c r="F196" t="n">
        <v>-0.75</v>
      </c>
      <c r="G196" t="n">
        <v>167</v>
      </c>
      <c r="H196" t="n">
        <v>12</v>
      </c>
      <c r="I196" t="s">
        <v>289</v>
      </c>
      <c r="J196" t="n">
        <v>0</v>
      </c>
      <c r="K196" t="n">
        <v>0</v>
      </c>
      <c r="L196" t="n">
        <v>0</v>
      </c>
      <c r="M196" t="n">
        <v>12</v>
      </c>
      <c r="N196" t="n">
        <v>0</v>
      </c>
      <c r="O196" t="n">
        <v>-0.25</v>
      </c>
      <c r="P196" t="n">
        <v>168</v>
      </c>
      <c r="Q196" t="n">
        <v>12</v>
      </c>
      <c r="R196" t="s">
        <v>288</v>
      </c>
      <c r="S196" t="s">
        <v>293</v>
      </c>
      <c r="T196" t="n">
        <v>0</v>
      </c>
    </row>
    <row r="197">
      <c r="A197" t="s">
        <v>30</v>
      </c>
      <c r="B197" t="n">
        <v>1.04</v>
      </c>
      <c r="C197" t="n">
        <v>0.87</v>
      </c>
      <c r="D197" t="n">
        <v>1.04</v>
      </c>
      <c r="E197" t="n">
        <v>-4.75</v>
      </c>
      <c r="F197" t="n">
        <v>-0.5</v>
      </c>
      <c r="G197" t="n">
        <v>2</v>
      </c>
      <c r="H197" t="n">
        <v>12</v>
      </c>
      <c r="I197" t="s">
        <v>288</v>
      </c>
      <c r="J197" t="n">
        <v>0</v>
      </c>
      <c r="K197" t="n">
        <v>0</v>
      </c>
      <c r="L197" t="n">
        <v>0</v>
      </c>
      <c r="M197" t="n">
        <v>12</v>
      </c>
      <c r="N197" t="n">
        <v>-0.5</v>
      </c>
      <c r="O197" t="n">
        <v>-0.5</v>
      </c>
      <c r="P197" t="n">
        <v>19</v>
      </c>
      <c r="Q197" t="n">
        <v>12</v>
      </c>
      <c r="R197" t="s">
        <v>288</v>
      </c>
      <c r="S197" t="s">
        <v>300</v>
      </c>
      <c r="T197" t="n">
        <v>-0.75</v>
      </c>
    </row>
    <row r="198">
      <c r="A198" t="s">
        <v>30</v>
      </c>
      <c r="B198" t="n">
        <v>1.05</v>
      </c>
      <c r="C198" t="n">
        <v>1.02</v>
      </c>
      <c r="D198" t="n">
        <v>1</v>
      </c>
      <c r="E198" t="n">
        <v>-5.5</v>
      </c>
      <c r="F198" t="n">
        <v>-0.25</v>
      </c>
      <c r="G198" t="n">
        <v>11</v>
      </c>
      <c r="H198" t="n">
        <v>12</v>
      </c>
      <c r="I198" t="s">
        <v>288</v>
      </c>
      <c r="J198" t="n">
        <v>0</v>
      </c>
      <c r="K198" t="n">
        <v>0</v>
      </c>
      <c r="L198" t="n">
        <v>0</v>
      </c>
      <c r="M198" t="n">
        <v>12</v>
      </c>
      <c r="N198" t="n">
        <v>-0.25</v>
      </c>
      <c r="O198" t="n">
        <v>0</v>
      </c>
      <c r="P198" t="n">
        <v>160</v>
      </c>
      <c r="Q198" t="n">
        <v>12</v>
      </c>
      <c r="R198" t="s">
        <v>289</v>
      </c>
      <c r="S198" t="s">
        <v>289</v>
      </c>
      <c r="T198" t="n">
        <v>-0.25</v>
      </c>
    </row>
    <row r="199">
      <c r="A199" t="s">
        <v>30</v>
      </c>
      <c r="B199" t="n">
        <v>1.12</v>
      </c>
      <c r="C199" t="n">
        <v>1.18</v>
      </c>
      <c r="D199" t="n">
        <v>1.16</v>
      </c>
      <c r="E199" t="n">
        <v>-6.5</v>
      </c>
      <c r="F199" t="n">
        <v>-1</v>
      </c>
      <c r="G199" t="n">
        <v>159</v>
      </c>
      <c r="H199" t="n">
        <v>12</v>
      </c>
      <c r="I199" t="s">
        <v>293</v>
      </c>
      <c r="J199" t="n">
        <v>0</v>
      </c>
      <c r="K199" t="n">
        <v>0</v>
      </c>
      <c r="L199" t="n">
        <v>0</v>
      </c>
      <c r="M199" t="n">
        <v>12</v>
      </c>
      <c r="N199" t="n">
        <v>0</v>
      </c>
      <c r="O199" t="n">
        <v>0</v>
      </c>
      <c r="P199" t="n">
        <v>13</v>
      </c>
      <c r="Q199" t="n">
        <v>12</v>
      </c>
      <c r="R199" t="s">
        <v>297</v>
      </c>
      <c r="S199" t="s">
        <v>294</v>
      </c>
      <c r="T199" t="n">
        <v>0</v>
      </c>
    </row>
    <row r="200">
      <c r="A200" t="s">
        <v>30</v>
      </c>
      <c r="B200" t="n">
        <v>1.06</v>
      </c>
      <c r="C200" t="n">
        <v>1.07</v>
      </c>
      <c r="D200" t="n">
        <v>1.09</v>
      </c>
      <c r="E200" t="n">
        <v>-4.25</v>
      </c>
      <c r="F200" t="n">
        <v>0</v>
      </c>
      <c r="G200" t="n">
        <v>1</v>
      </c>
      <c r="H200" t="n">
        <v>12</v>
      </c>
      <c r="I200" t="s">
        <v>288</v>
      </c>
      <c r="J200" t="n">
        <v>0</v>
      </c>
      <c r="K200" t="n">
        <v>0</v>
      </c>
      <c r="L200" t="n">
        <v>0</v>
      </c>
      <c r="M200" t="n">
        <v>12</v>
      </c>
      <c r="N200" t="n">
        <v>0.5</v>
      </c>
      <c r="O200" t="n">
        <v>-0.25</v>
      </c>
      <c r="P200" t="n">
        <v>13</v>
      </c>
      <c r="Q200" t="n">
        <v>12</v>
      </c>
      <c r="R200" t="s">
        <v>293</v>
      </c>
      <c r="S200" t="s">
        <v>288</v>
      </c>
      <c r="T200" t="n">
        <v>0.25</v>
      </c>
    </row>
    <row r="201">
      <c r="A201" t="s">
        <v>30</v>
      </c>
      <c r="B201" t="n">
        <v>1.04</v>
      </c>
      <c r="C201" t="n">
        <v>1.07</v>
      </c>
      <c r="D201" t="n">
        <v>1.01</v>
      </c>
      <c r="E201" t="n">
        <v>-5</v>
      </c>
      <c r="F201" t="n">
        <v>-0.25</v>
      </c>
      <c r="G201" t="n">
        <v>89</v>
      </c>
      <c r="H201" t="n">
        <v>12</v>
      </c>
      <c r="I201" t="s">
        <v>288</v>
      </c>
      <c r="J201" t="n">
        <v>0</v>
      </c>
      <c r="K201" t="n">
        <v>0</v>
      </c>
      <c r="L201" t="n">
        <v>0</v>
      </c>
      <c r="M201" t="n">
        <v>12</v>
      </c>
      <c r="N201" t="n">
        <v>0</v>
      </c>
      <c r="O201" t="n">
        <v>-0.25</v>
      </c>
      <c r="P201" t="n">
        <v>60</v>
      </c>
      <c r="Q201" t="n">
        <v>12</v>
      </c>
      <c r="R201" t="s">
        <v>289</v>
      </c>
      <c r="S201" t="s">
        <v>288</v>
      </c>
      <c r="T201" t="n">
        <v>0</v>
      </c>
    </row>
    <row r="202">
      <c r="A202" t="s">
        <v>30</v>
      </c>
      <c r="B202" t="n">
        <v>0.91</v>
      </c>
      <c r="C202" t="n">
        <v>0.94</v>
      </c>
      <c r="D202" t="n">
        <v>0.94</v>
      </c>
      <c r="E202" t="n">
        <v>-3.5</v>
      </c>
      <c r="F202" t="n">
        <v>-1</v>
      </c>
      <c r="G202" t="n">
        <v>110</v>
      </c>
      <c r="H202" t="n">
        <v>12</v>
      </c>
      <c r="I202" t="s">
        <v>291</v>
      </c>
      <c r="J202" t="n">
        <v>0</v>
      </c>
      <c r="K202" t="n">
        <v>0</v>
      </c>
      <c r="L202" t="n">
        <v>0</v>
      </c>
      <c r="M202" t="n">
        <v>12</v>
      </c>
      <c r="N202" t="n">
        <v>0</v>
      </c>
      <c r="O202" t="n">
        <v>-0.25</v>
      </c>
      <c r="P202" t="n">
        <v>121</v>
      </c>
      <c r="Q202" t="n">
        <v>12</v>
      </c>
      <c r="R202" t="s">
        <v>290</v>
      </c>
      <c r="S202" t="s">
        <v>290</v>
      </c>
      <c r="T202" t="n">
        <v>-0.25</v>
      </c>
    </row>
    <row r="203">
      <c r="A203" t="s">
        <v>30</v>
      </c>
      <c r="B203" t="n">
        <v>1.04</v>
      </c>
      <c r="C203" t="n">
        <v>0.89</v>
      </c>
      <c r="D203" t="n">
        <v>1.05</v>
      </c>
      <c r="E203" t="n">
        <v>-2.5</v>
      </c>
      <c r="F203" t="n">
        <v>-0.25</v>
      </c>
      <c r="G203" t="n">
        <v>105</v>
      </c>
      <c r="H203" t="n">
        <v>12</v>
      </c>
      <c r="I203" t="s">
        <v>288</v>
      </c>
      <c r="J203" t="n">
        <v>0</v>
      </c>
      <c r="K203" t="n">
        <v>0</v>
      </c>
      <c r="L203" t="n">
        <v>0</v>
      </c>
      <c r="M203" t="n">
        <v>12</v>
      </c>
      <c r="N203" t="n">
        <v>0.25</v>
      </c>
      <c r="O203" t="n">
        <v>-0.5</v>
      </c>
      <c r="P203" t="n">
        <v>132</v>
      </c>
      <c r="Q203" t="n">
        <v>12</v>
      </c>
      <c r="R203" t="s">
        <v>288</v>
      </c>
      <c r="S203" t="s">
        <v>300</v>
      </c>
      <c r="T203" t="n">
        <v>0</v>
      </c>
    </row>
    <row r="204">
      <c r="A204" t="s">
        <v>30</v>
      </c>
      <c r="B204" t="n">
        <v>1.01</v>
      </c>
      <c r="C204" t="n">
        <v>1.09</v>
      </c>
      <c r="D204" t="n">
        <v>1.01</v>
      </c>
      <c r="E204" t="n">
        <v>-6.75</v>
      </c>
      <c r="F204" t="n">
        <v>-1.25</v>
      </c>
      <c r="G204" t="n">
        <v>14</v>
      </c>
      <c r="H204" t="n">
        <v>12</v>
      </c>
      <c r="I204" t="s">
        <v>289</v>
      </c>
      <c r="J204" t="n">
        <v>0</v>
      </c>
      <c r="K204" t="n">
        <v>0</v>
      </c>
      <c r="L204" t="n">
        <v>0</v>
      </c>
      <c r="M204" t="n">
        <v>12</v>
      </c>
      <c r="N204" t="n">
        <v>0</v>
      </c>
      <c r="O204" t="n">
        <v>-0.25</v>
      </c>
      <c r="P204" t="n">
        <v>13</v>
      </c>
      <c r="Q204" t="n">
        <v>12</v>
      </c>
      <c r="R204" t="s">
        <v>289</v>
      </c>
      <c r="S204" t="s">
        <v>293</v>
      </c>
      <c r="T204" t="n">
        <v>-0.25</v>
      </c>
    </row>
    <row r="205">
      <c r="A205" t="s">
        <v>30</v>
      </c>
      <c r="B205" t="n">
        <v>0.94</v>
      </c>
      <c r="C205" t="n">
        <v>0.92</v>
      </c>
      <c r="D205" t="n">
        <v>0.95</v>
      </c>
      <c r="E205" t="n">
        <v>-3</v>
      </c>
      <c r="F205" t="n">
        <v>-1.25</v>
      </c>
      <c r="G205" t="n">
        <v>163</v>
      </c>
      <c r="H205" t="n">
        <v>12</v>
      </c>
      <c r="I205" t="s">
        <v>290</v>
      </c>
      <c r="J205" t="n">
        <v>0</v>
      </c>
      <c r="K205" t="n">
        <v>0</v>
      </c>
      <c r="L205" t="n">
        <v>0</v>
      </c>
      <c r="M205" t="n">
        <v>12</v>
      </c>
      <c r="N205" t="n">
        <v>0</v>
      </c>
      <c r="O205" t="n">
        <v>0</v>
      </c>
      <c r="P205" t="n">
        <v>5</v>
      </c>
      <c r="Q205" t="n">
        <v>12</v>
      </c>
      <c r="R205" t="s">
        <v>290</v>
      </c>
      <c r="S205" t="s">
        <v>291</v>
      </c>
      <c r="T205" t="n">
        <v>0</v>
      </c>
    </row>
    <row r="206">
      <c r="A206" t="s">
        <v>30</v>
      </c>
      <c r="B206" t="n">
        <v>1.03</v>
      </c>
      <c r="C206" t="n">
        <v>0.87</v>
      </c>
      <c r="D206" t="n">
        <v>1</v>
      </c>
      <c r="E206" t="n">
        <v>-2</v>
      </c>
      <c r="F206" t="n">
        <v>-1</v>
      </c>
      <c r="G206" t="n">
        <v>94</v>
      </c>
      <c r="H206" t="n">
        <v>12</v>
      </c>
      <c r="I206" t="s">
        <v>288</v>
      </c>
      <c r="J206" t="n">
        <v>0</v>
      </c>
      <c r="K206" t="n">
        <v>0</v>
      </c>
      <c r="L206" t="n">
        <v>0</v>
      </c>
      <c r="M206" t="n">
        <v>12</v>
      </c>
      <c r="N206" t="n">
        <v>0.5</v>
      </c>
      <c r="O206" t="n">
        <v>0</v>
      </c>
      <c r="P206" t="n">
        <v>104</v>
      </c>
      <c r="Q206" t="n">
        <v>12</v>
      </c>
      <c r="R206" t="s">
        <v>289</v>
      </c>
      <c r="S206" t="s">
        <v>300</v>
      </c>
      <c r="T206" t="n">
        <v>0.5</v>
      </c>
    </row>
    <row r="207">
      <c r="A207" t="s">
        <v>30</v>
      </c>
      <c r="B207" t="n">
        <v>0.94</v>
      </c>
      <c r="C207" t="n">
        <v>0.91</v>
      </c>
      <c r="D207" t="n">
        <v>0.93</v>
      </c>
      <c r="E207" t="n">
        <v>-6</v>
      </c>
      <c r="F207" t="n">
        <v>-0.5</v>
      </c>
      <c r="G207" t="n">
        <v>85</v>
      </c>
      <c r="H207" t="n">
        <v>12</v>
      </c>
      <c r="I207" t="s">
        <v>290</v>
      </c>
      <c r="J207" t="n">
        <v>0</v>
      </c>
      <c r="K207" t="n">
        <v>0</v>
      </c>
      <c r="L207" t="n">
        <v>0</v>
      </c>
      <c r="M207" t="n">
        <v>12</v>
      </c>
      <c r="N207" t="n">
        <v>0</v>
      </c>
      <c r="O207" t="n">
        <v>-0.25</v>
      </c>
      <c r="P207" t="n">
        <v>110</v>
      </c>
      <c r="Q207" t="n">
        <v>12</v>
      </c>
      <c r="R207" t="s">
        <v>291</v>
      </c>
      <c r="S207" t="s">
        <v>291</v>
      </c>
      <c r="T207" t="n">
        <v>0</v>
      </c>
    </row>
    <row r="208">
      <c r="A208" t="s">
        <v>30</v>
      </c>
      <c r="B208" t="n">
        <v>1.12</v>
      </c>
      <c r="C208" t="n">
        <v>1.08</v>
      </c>
      <c r="D208" t="n">
        <v>1.12</v>
      </c>
      <c r="E208" t="n">
        <v>-7</v>
      </c>
      <c r="F208" t="n">
        <v>-0.5</v>
      </c>
      <c r="G208" t="n">
        <v>127</v>
      </c>
      <c r="H208" t="n">
        <v>12</v>
      </c>
      <c r="I208" t="s">
        <v>293</v>
      </c>
      <c r="J208" t="n">
        <v>0</v>
      </c>
      <c r="K208" t="n">
        <v>0</v>
      </c>
      <c r="L208" t="n">
        <v>0</v>
      </c>
      <c r="M208" t="n">
        <v>12</v>
      </c>
      <c r="N208" t="n">
        <v>0.75</v>
      </c>
      <c r="O208" t="n">
        <v>-0.5</v>
      </c>
      <c r="P208" t="n">
        <v>132</v>
      </c>
      <c r="Q208" t="n">
        <v>12</v>
      </c>
      <c r="R208" t="s">
        <v>293</v>
      </c>
      <c r="S208" t="s">
        <v>293</v>
      </c>
      <c r="T208" t="n">
        <v>0.5</v>
      </c>
    </row>
    <row r="209">
      <c r="A209" t="s">
        <v>30</v>
      </c>
      <c r="B209" t="n">
        <v>0.95</v>
      </c>
      <c r="C209" t="n">
        <v>1.02</v>
      </c>
      <c r="D209" t="n">
        <v>0.99</v>
      </c>
      <c r="E209" t="n">
        <v>-3.75</v>
      </c>
      <c r="F209" t="n">
        <v>-0.25</v>
      </c>
      <c r="G209" t="n">
        <v>173</v>
      </c>
      <c r="H209" t="n">
        <v>12</v>
      </c>
      <c r="I209" t="s">
        <v>290</v>
      </c>
      <c r="J209" t="n">
        <v>0</v>
      </c>
      <c r="K209" t="n">
        <v>0</v>
      </c>
      <c r="L209" t="n">
        <v>0</v>
      </c>
      <c r="M209" t="n">
        <v>12</v>
      </c>
      <c r="N209" t="n">
        <v>0.25</v>
      </c>
      <c r="O209" t="n">
        <v>0</v>
      </c>
      <c r="P209" t="n">
        <v>11</v>
      </c>
      <c r="Q209" t="n">
        <v>12</v>
      </c>
      <c r="R209" t="s">
        <v>289</v>
      </c>
      <c r="S209" t="s">
        <v>289</v>
      </c>
      <c r="T209" t="n">
        <v>0.25</v>
      </c>
    </row>
    <row r="210">
      <c r="A210" t="s">
        <v>30</v>
      </c>
      <c r="B210" t="n">
        <v>1.04</v>
      </c>
      <c r="C210" t="n">
        <v>1.15</v>
      </c>
      <c r="D210" t="n">
        <v>1.07</v>
      </c>
      <c r="E210" t="n">
        <v>-1</v>
      </c>
      <c r="F210" t="n">
        <v>-1</v>
      </c>
      <c r="G210" t="n">
        <v>87</v>
      </c>
      <c r="H210" t="n">
        <v>12</v>
      </c>
      <c r="I210" t="s">
        <v>288</v>
      </c>
      <c r="J210" t="n">
        <v>0</v>
      </c>
      <c r="K210" t="n">
        <v>0</v>
      </c>
      <c r="L210" t="n">
        <v>0</v>
      </c>
      <c r="M210" t="n">
        <v>12</v>
      </c>
      <c r="N210" t="n">
        <v>0</v>
      </c>
      <c r="O210" t="n">
        <v>-0.25</v>
      </c>
      <c r="P210" t="n">
        <v>102</v>
      </c>
      <c r="Q210" t="n">
        <v>12</v>
      </c>
      <c r="R210" t="s">
        <v>288</v>
      </c>
      <c r="S210" t="s">
        <v>297</v>
      </c>
      <c r="T210" t="n">
        <v>-0.25</v>
      </c>
    </row>
    <row r="211">
      <c r="A211" t="s">
        <v>30</v>
      </c>
      <c r="B211" t="n">
        <v>0.99</v>
      </c>
      <c r="C211" t="n">
        <v>0.89</v>
      </c>
      <c r="D211" t="n">
        <v>0.99</v>
      </c>
      <c r="E211" t="n">
        <v>-0.5</v>
      </c>
      <c r="F211" t="n">
        <v>-0.75</v>
      </c>
      <c r="G211" t="n">
        <v>89</v>
      </c>
      <c r="H211" t="n">
        <v>12</v>
      </c>
      <c r="I211" t="s">
        <v>289</v>
      </c>
      <c r="J211" t="n">
        <v>0</v>
      </c>
      <c r="K211" t="n">
        <v>0</v>
      </c>
      <c r="L211" t="n">
        <v>0</v>
      </c>
      <c r="M211" t="n">
        <v>12</v>
      </c>
      <c r="N211" t="n">
        <v>0.5</v>
      </c>
      <c r="O211" t="n">
        <v>-0.25</v>
      </c>
      <c r="P211" t="n">
        <v>74</v>
      </c>
      <c r="Q211" t="n">
        <v>12</v>
      </c>
      <c r="R211" t="s">
        <v>289</v>
      </c>
      <c r="S211" t="s">
        <v>300</v>
      </c>
      <c r="T211" t="n">
        <v>0.5</v>
      </c>
    </row>
    <row r="212">
      <c r="A212" t="s">
        <v>30</v>
      </c>
      <c r="B212" t="n">
        <v>1.06</v>
      </c>
      <c r="C212" t="n">
        <v>1.02</v>
      </c>
      <c r="D212" t="n">
        <v>1.07</v>
      </c>
      <c r="E212" t="n">
        <v>-1.75</v>
      </c>
      <c r="F212" t="n">
        <v>-2.5</v>
      </c>
      <c r="G212" t="n">
        <v>20</v>
      </c>
      <c r="H212" t="n">
        <v>12</v>
      </c>
      <c r="I212" t="s">
        <v>288</v>
      </c>
      <c r="J212" t="n">
        <v>0</v>
      </c>
      <c r="K212" t="n">
        <v>0</v>
      </c>
      <c r="L212" t="n">
        <v>0</v>
      </c>
      <c r="M212" t="n">
        <v>12</v>
      </c>
      <c r="N212" t="n">
        <v>0.25</v>
      </c>
      <c r="O212" t="n">
        <v>0</v>
      </c>
      <c r="P212" t="n">
        <v>33</v>
      </c>
      <c r="Q212" t="n">
        <v>12</v>
      </c>
      <c r="R212" t="s">
        <v>288</v>
      </c>
      <c r="S212" t="s">
        <v>289</v>
      </c>
      <c r="T212" t="n">
        <v>0.25</v>
      </c>
    </row>
    <row r="213">
      <c r="A213" t="s">
        <v>30</v>
      </c>
      <c r="B213" t="n">
        <v>1.05</v>
      </c>
      <c r="C213" t="n">
        <v>0.83</v>
      </c>
      <c r="D213" t="n">
        <v>1.05</v>
      </c>
      <c r="E213" t="n">
        <v>-3.5</v>
      </c>
      <c r="F213" t="n">
        <v>-0.75</v>
      </c>
      <c r="G213" t="n">
        <v>15</v>
      </c>
      <c r="H213" t="n">
        <v>12</v>
      </c>
      <c r="I213" t="s">
        <v>288</v>
      </c>
      <c r="J213" t="n">
        <v>0</v>
      </c>
      <c r="K213" t="n">
        <v>0</v>
      </c>
      <c r="L213" t="n">
        <v>0</v>
      </c>
      <c r="M213" t="n">
        <v>12</v>
      </c>
      <c r="N213" t="n">
        <v>-0.25</v>
      </c>
      <c r="O213" t="n">
        <v>0</v>
      </c>
      <c r="P213" t="n">
        <v>108</v>
      </c>
      <c r="Q213" t="n">
        <v>12</v>
      </c>
      <c r="R213" t="s">
        <v>288</v>
      </c>
      <c r="S213" t="s">
        <v>298</v>
      </c>
      <c r="T213" t="n">
        <v>-0.25</v>
      </c>
    </row>
    <row r="214">
      <c r="A214" t="s">
        <v>30</v>
      </c>
      <c r="B214" t="n">
        <v>1.06</v>
      </c>
      <c r="C214" t="n">
        <v>1.08</v>
      </c>
      <c r="D214" t="n">
        <v>1.07</v>
      </c>
      <c r="E214" t="n">
        <v>-4</v>
      </c>
      <c r="F214" t="n">
        <v>-1</v>
      </c>
      <c r="G214" t="n">
        <v>60</v>
      </c>
      <c r="H214" t="n">
        <v>12</v>
      </c>
      <c r="I214" t="s">
        <v>288</v>
      </c>
      <c r="J214" t="n">
        <v>0</v>
      </c>
      <c r="K214" t="n">
        <v>0</v>
      </c>
      <c r="L214" t="n">
        <v>0</v>
      </c>
      <c r="M214" t="n">
        <v>12</v>
      </c>
      <c r="N214" t="n">
        <v>-0.25</v>
      </c>
      <c r="O214" t="n">
        <v>0</v>
      </c>
      <c r="P214" t="n">
        <v>130</v>
      </c>
      <c r="Q214" t="n">
        <v>12</v>
      </c>
      <c r="R214" t="s">
        <v>288</v>
      </c>
      <c r="S214" t="s">
        <v>293</v>
      </c>
      <c r="T214" t="n">
        <v>-0.25</v>
      </c>
    </row>
    <row r="215">
      <c r="A215" t="s">
        <v>30</v>
      </c>
      <c r="B215" t="n">
        <v>1</v>
      </c>
      <c r="C215" t="n">
        <v>0.81</v>
      </c>
      <c r="D215" t="n">
        <v>0.85</v>
      </c>
      <c r="E215" t="n">
        <v>-5.5</v>
      </c>
      <c r="F215" t="n">
        <v>-0.25</v>
      </c>
      <c r="G215" t="n">
        <v>99</v>
      </c>
      <c r="H215" t="n">
        <v>12</v>
      </c>
      <c r="I215" t="s">
        <v>289</v>
      </c>
      <c r="J215" t="n">
        <v>0</v>
      </c>
      <c r="K215" t="n">
        <v>0</v>
      </c>
      <c r="L215" t="n">
        <v>0</v>
      </c>
      <c r="M215" t="n">
        <v>12</v>
      </c>
      <c r="N215" t="n">
        <v>0</v>
      </c>
      <c r="O215" t="n">
        <v>-0.25</v>
      </c>
      <c r="P215" t="n">
        <v>110</v>
      </c>
      <c r="Q215" t="n">
        <v>12</v>
      </c>
      <c r="R215" t="s">
        <v>298</v>
      </c>
      <c r="S215" t="s">
        <v>292</v>
      </c>
      <c r="T215" t="n">
        <v>0</v>
      </c>
    </row>
    <row r="216">
      <c r="A216" t="s">
        <v>30</v>
      </c>
      <c r="B216" t="n">
        <v>0.98</v>
      </c>
      <c r="C216" t="n">
        <v>0.83</v>
      </c>
      <c r="D216" t="n">
        <v>0.93</v>
      </c>
      <c r="E216" t="n">
        <v>-8.75</v>
      </c>
      <c r="F216" t="n">
        <v>-1</v>
      </c>
      <c r="G216" t="n">
        <v>87</v>
      </c>
      <c r="H216" t="n">
        <v>12</v>
      </c>
      <c r="I216" t="s">
        <v>289</v>
      </c>
      <c r="J216" t="n">
        <v>0</v>
      </c>
      <c r="K216" t="n">
        <v>0</v>
      </c>
      <c r="L216" t="n">
        <v>0</v>
      </c>
      <c r="M216" t="n">
        <v>12</v>
      </c>
      <c r="N216" t="n">
        <v>-0.5</v>
      </c>
      <c r="O216" t="n">
        <v>-0.25</v>
      </c>
      <c r="P216" t="n">
        <v>104</v>
      </c>
      <c r="Q216" t="n">
        <v>12</v>
      </c>
      <c r="R216" t="s">
        <v>291</v>
      </c>
      <c r="S216" t="s">
        <v>298</v>
      </c>
      <c r="T216" t="n">
        <v>-0.5</v>
      </c>
    </row>
    <row r="217">
      <c r="A217" t="s">
        <v>30</v>
      </c>
      <c r="B217" t="n">
        <v>0.91</v>
      </c>
      <c r="C217" t="n">
        <v>0.81</v>
      </c>
      <c r="D217" t="n">
        <v>0.9</v>
      </c>
      <c r="E217" t="n">
        <v>-7.25</v>
      </c>
      <c r="F217" t="n">
        <v>-0.25</v>
      </c>
      <c r="G217" t="n">
        <v>12</v>
      </c>
      <c r="H217" t="n">
        <v>12</v>
      </c>
      <c r="I217" t="s">
        <v>291</v>
      </c>
      <c r="J217" t="n">
        <v>0</v>
      </c>
      <c r="K217" t="n">
        <v>0</v>
      </c>
      <c r="L217" t="n">
        <v>0</v>
      </c>
      <c r="M217" t="n">
        <v>12</v>
      </c>
      <c r="N217" t="n">
        <v>0</v>
      </c>
      <c r="O217" t="n">
        <v>-0.25</v>
      </c>
      <c r="P217" t="n">
        <v>34</v>
      </c>
      <c r="Q217" t="n">
        <v>12</v>
      </c>
      <c r="R217" t="s">
        <v>291</v>
      </c>
      <c r="S217" t="s">
        <v>292</v>
      </c>
      <c r="T217" t="n">
        <v>-0.25</v>
      </c>
    </row>
    <row r="218">
      <c r="A218" t="s">
        <v>30</v>
      </c>
      <c r="B218" t="n">
        <v>1</v>
      </c>
      <c r="C218" t="n">
        <v>0.8</v>
      </c>
      <c r="D218" t="n">
        <v>0.97</v>
      </c>
      <c r="E218" t="n">
        <v>-3.5</v>
      </c>
      <c r="F218" t="n">
        <v>-0.5</v>
      </c>
      <c r="G218" t="n">
        <v>158</v>
      </c>
      <c r="H218" t="n">
        <v>12</v>
      </c>
      <c r="I218" t="s">
        <v>289</v>
      </c>
      <c r="J218" t="n">
        <v>0</v>
      </c>
      <c r="K218" t="n">
        <v>0</v>
      </c>
      <c r="L218" t="n">
        <v>0</v>
      </c>
      <c r="M218" t="n">
        <v>12</v>
      </c>
      <c r="N218" t="n">
        <v>-0.25</v>
      </c>
      <c r="O218" t="n">
        <v>-0.5</v>
      </c>
      <c r="P218" t="n">
        <v>158</v>
      </c>
      <c r="Q218" t="n">
        <v>12</v>
      </c>
      <c r="R218" t="s">
        <v>290</v>
      </c>
      <c r="S218" t="s">
        <v>292</v>
      </c>
      <c r="T218" t="n">
        <v>-0.5</v>
      </c>
    </row>
    <row r="219">
      <c r="A219" t="s">
        <v>30</v>
      </c>
      <c r="B219" t="n">
        <v>1.12</v>
      </c>
      <c r="C219" t="n">
        <v>1.18</v>
      </c>
      <c r="D219" t="n">
        <v>1.14</v>
      </c>
      <c r="E219" t="n">
        <v>-0.5</v>
      </c>
      <c r="F219" t="n">
        <v>-0.5</v>
      </c>
      <c r="G219" t="n">
        <v>177</v>
      </c>
      <c r="H219" t="n">
        <v>12</v>
      </c>
      <c r="I219" t="s">
        <v>293</v>
      </c>
      <c r="J219" t="n">
        <v>0</v>
      </c>
      <c r="K219" t="n">
        <v>0</v>
      </c>
      <c r="L219" t="n">
        <v>0</v>
      </c>
      <c r="M219" t="n">
        <v>12</v>
      </c>
      <c r="N219" t="n">
        <v>0</v>
      </c>
      <c r="O219" t="n">
        <v>-0.25</v>
      </c>
      <c r="P219" t="n">
        <v>14</v>
      </c>
      <c r="Q219" t="n">
        <v>12</v>
      </c>
      <c r="R219" t="s">
        <v>297</v>
      </c>
      <c r="S219" t="s">
        <v>294</v>
      </c>
      <c r="T219" t="n">
        <v>-0.25</v>
      </c>
    </row>
    <row r="220">
      <c r="A220" t="s">
        <v>30</v>
      </c>
      <c r="B220" t="n">
        <v>1.02</v>
      </c>
      <c r="C220" t="n">
        <v>0.89</v>
      </c>
      <c r="D220" t="n">
        <v>1.08</v>
      </c>
      <c r="E220" t="n">
        <v>-5.25</v>
      </c>
      <c r="F220" t="n">
        <v>-0.25</v>
      </c>
      <c r="G220" t="n">
        <v>81</v>
      </c>
      <c r="H220" t="n">
        <v>12</v>
      </c>
      <c r="I220" t="s">
        <v>289</v>
      </c>
      <c r="J220" t="n">
        <v>0</v>
      </c>
      <c r="K220" t="n">
        <v>0</v>
      </c>
      <c r="L220" t="n">
        <v>0</v>
      </c>
      <c r="M220" t="n">
        <v>12</v>
      </c>
      <c r="N220" t="n">
        <v>-0.5</v>
      </c>
      <c r="O220" t="n">
        <v>-0.25</v>
      </c>
      <c r="P220" t="n">
        <v>104</v>
      </c>
      <c r="Q220" t="n">
        <v>12</v>
      </c>
      <c r="R220" t="s">
        <v>293</v>
      </c>
      <c r="S220" t="s">
        <v>300</v>
      </c>
      <c r="T220" t="n">
        <v>-0.5</v>
      </c>
    </row>
    <row r="221">
      <c r="A221" t="s">
        <v>30</v>
      </c>
      <c r="B221" t="n">
        <v>1.11</v>
      </c>
      <c r="C221" t="n">
        <v>1.11</v>
      </c>
      <c r="D221" t="n">
        <v>1.15</v>
      </c>
      <c r="E221" t="n">
        <v>-2.25</v>
      </c>
      <c r="F221" t="n">
        <v>-0.5</v>
      </c>
      <c r="G221" t="n">
        <v>17</v>
      </c>
      <c r="H221" t="n">
        <v>12</v>
      </c>
      <c r="I221" t="s">
        <v>293</v>
      </c>
      <c r="J221" t="n">
        <v>0</v>
      </c>
      <c r="K221" t="n">
        <v>0</v>
      </c>
      <c r="L221" t="n">
        <v>0</v>
      </c>
      <c r="M221" t="n">
        <v>12</v>
      </c>
      <c r="N221" t="n">
        <v>0.25</v>
      </c>
      <c r="O221" t="n">
        <v>0</v>
      </c>
      <c r="P221" t="n">
        <v>10</v>
      </c>
      <c r="Q221" t="n">
        <v>12</v>
      </c>
      <c r="R221" t="s">
        <v>297</v>
      </c>
      <c r="S221" t="s">
        <v>293</v>
      </c>
      <c r="T221" t="n">
        <v>0.25</v>
      </c>
    </row>
    <row r="222">
      <c r="A222" t="s">
        <v>30</v>
      </c>
      <c r="B222" t="n">
        <v>1</v>
      </c>
      <c r="C222" t="n">
        <v>1.1</v>
      </c>
      <c r="D222" t="n">
        <v>1.05</v>
      </c>
      <c r="E222" t="n">
        <v>-3.75</v>
      </c>
      <c r="F222" t="n">
        <v>-0.5</v>
      </c>
      <c r="G222" t="n">
        <v>91</v>
      </c>
      <c r="H222" t="n">
        <v>12</v>
      </c>
      <c r="I222" t="s">
        <v>289</v>
      </c>
      <c r="J222" t="n">
        <v>0</v>
      </c>
      <c r="K222" t="n">
        <v>0</v>
      </c>
      <c r="L222" t="n">
        <v>0</v>
      </c>
      <c r="M222" t="n">
        <v>12</v>
      </c>
      <c r="N222" t="n">
        <v>0.25</v>
      </c>
      <c r="O222" t="n">
        <v>0</v>
      </c>
      <c r="P222" t="n">
        <v>93</v>
      </c>
      <c r="Q222" t="n">
        <v>12</v>
      </c>
      <c r="R222" t="s">
        <v>288</v>
      </c>
      <c r="S222" t="s">
        <v>293</v>
      </c>
      <c r="T222" t="n">
        <v>0.25</v>
      </c>
    </row>
    <row r="223">
      <c r="A223" t="s">
        <v>30</v>
      </c>
      <c r="B223" t="n">
        <v>0.94</v>
      </c>
      <c r="C223" t="n">
        <v>0.99</v>
      </c>
      <c r="D223" t="n">
        <v>0.98</v>
      </c>
      <c r="E223" t="n">
        <v>-6</v>
      </c>
      <c r="F223" t="n">
        <v>0</v>
      </c>
      <c r="G223" t="n">
        <v>166</v>
      </c>
      <c r="H223" t="n">
        <v>12</v>
      </c>
      <c r="I223" t="s">
        <v>290</v>
      </c>
      <c r="J223" t="n">
        <v>0</v>
      </c>
      <c r="K223" t="n">
        <v>0</v>
      </c>
      <c r="L223" t="n">
        <v>0</v>
      </c>
      <c r="M223" t="n">
        <v>12</v>
      </c>
      <c r="N223" t="n">
        <v>0.25</v>
      </c>
      <c r="O223" t="n">
        <v>0</v>
      </c>
      <c r="P223" t="n">
        <v>5</v>
      </c>
      <c r="Q223" t="n">
        <v>12</v>
      </c>
      <c r="R223" t="s">
        <v>289</v>
      </c>
      <c r="S223" t="s">
        <v>289</v>
      </c>
      <c r="T223" t="n">
        <v>0.25</v>
      </c>
    </row>
    <row r="224">
      <c r="A224" t="s">
        <v>30</v>
      </c>
      <c r="B224" t="n">
        <v>1.07</v>
      </c>
      <c r="C224" t="n">
        <v>1.01</v>
      </c>
      <c r="D224" t="n">
        <v>1.1</v>
      </c>
      <c r="E224" t="n">
        <v>-3.75</v>
      </c>
      <c r="F224" t="n">
        <v>-0.25</v>
      </c>
      <c r="G224" t="n">
        <v>100</v>
      </c>
      <c r="H224" t="n">
        <v>12</v>
      </c>
      <c r="I224" t="s">
        <v>288</v>
      </c>
      <c r="J224" t="n">
        <v>0</v>
      </c>
      <c r="K224" t="n">
        <v>0</v>
      </c>
      <c r="L224" t="n">
        <v>0</v>
      </c>
      <c r="M224" t="n">
        <v>12</v>
      </c>
      <c r="N224" t="n">
        <v>0</v>
      </c>
      <c r="O224" t="n">
        <v>0</v>
      </c>
      <c r="P224" t="n">
        <v>114</v>
      </c>
      <c r="Q224" t="n">
        <v>12</v>
      </c>
      <c r="R224" t="s">
        <v>293</v>
      </c>
      <c r="S224" t="s">
        <v>289</v>
      </c>
      <c r="T224" t="n">
        <v>0</v>
      </c>
    </row>
    <row r="225">
      <c r="A225" t="s">
        <v>30</v>
      </c>
      <c r="B225" t="n">
        <v>0.98</v>
      </c>
      <c r="C225" t="n">
        <v>0.76</v>
      </c>
      <c r="D225" t="n">
        <v>1</v>
      </c>
      <c r="E225" t="n">
        <v>-4</v>
      </c>
      <c r="F225" t="n">
        <v>0</v>
      </c>
      <c r="G225" t="n">
        <v>87</v>
      </c>
      <c r="H225" t="n">
        <v>12</v>
      </c>
      <c r="I225" t="s">
        <v>289</v>
      </c>
      <c r="J225" t="n">
        <v>0</v>
      </c>
      <c r="K225" t="n">
        <v>0</v>
      </c>
      <c r="L225" t="n">
        <v>0</v>
      </c>
      <c r="M225" t="n">
        <v>12</v>
      </c>
      <c r="N225" t="n">
        <v>-0.5</v>
      </c>
      <c r="O225" t="n">
        <v>0</v>
      </c>
      <c r="P225" t="n">
        <v>97</v>
      </c>
      <c r="Q225" t="n">
        <v>12</v>
      </c>
      <c r="R225" t="s">
        <v>289</v>
      </c>
      <c r="S225" t="s">
        <v>301</v>
      </c>
      <c r="T225" t="n">
        <v>-0.5</v>
      </c>
    </row>
    <row r="226">
      <c r="A226" t="s">
        <v>30</v>
      </c>
      <c r="B226" t="n">
        <v>1.13</v>
      </c>
      <c r="C226" t="n">
        <v>1.11</v>
      </c>
      <c r="D226" t="n">
        <v>1.19</v>
      </c>
      <c r="E226" t="n">
        <v>-5.25</v>
      </c>
      <c r="F226" t="n">
        <v>-0.75</v>
      </c>
      <c r="G226" t="n">
        <v>117</v>
      </c>
      <c r="H226" t="n">
        <v>12</v>
      </c>
      <c r="I226" t="s">
        <v>297</v>
      </c>
      <c r="J226" t="n">
        <v>0</v>
      </c>
      <c r="K226" t="n">
        <v>0</v>
      </c>
      <c r="L226" t="n">
        <v>0</v>
      </c>
      <c r="M226" t="n">
        <v>12</v>
      </c>
      <c r="N226" t="n">
        <v>-0.25</v>
      </c>
      <c r="O226" t="n">
        <v>-0.5</v>
      </c>
      <c r="P226" t="n">
        <v>103</v>
      </c>
      <c r="Q226" t="n">
        <v>12</v>
      </c>
      <c r="R226" t="s">
        <v>294</v>
      </c>
      <c r="S226" t="s">
        <v>293</v>
      </c>
      <c r="T226" t="n">
        <v>-0.5</v>
      </c>
    </row>
    <row r="227">
      <c r="A227" t="s">
        <v>30</v>
      </c>
      <c r="B227" t="n">
        <v>0.98</v>
      </c>
      <c r="C227" t="n">
        <v>0.96</v>
      </c>
      <c r="D227" t="n">
        <v>0.97</v>
      </c>
      <c r="E227" t="n">
        <v>-6.75</v>
      </c>
      <c r="F227" t="n">
        <v>0</v>
      </c>
      <c r="G227" t="n">
        <v>146</v>
      </c>
      <c r="H227" t="n">
        <v>12</v>
      </c>
      <c r="I227" t="s">
        <v>289</v>
      </c>
      <c r="J227" t="n">
        <v>0</v>
      </c>
      <c r="K227" t="n">
        <v>0</v>
      </c>
      <c r="L227" t="n">
        <v>0</v>
      </c>
      <c r="M227" t="n">
        <v>12</v>
      </c>
      <c r="N227" t="n">
        <v>0</v>
      </c>
      <c r="O227" t="n">
        <v>-0.25</v>
      </c>
      <c r="P227" t="n">
        <v>116</v>
      </c>
      <c r="Q227" t="n">
        <v>12</v>
      </c>
      <c r="R227" t="s">
        <v>290</v>
      </c>
      <c r="S227" t="s">
        <v>290</v>
      </c>
      <c r="T227" t="n">
        <v>-0.25</v>
      </c>
    </row>
    <row r="228">
      <c r="A228" t="s">
        <v>30</v>
      </c>
      <c r="B228" t="n">
        <v>1.14</v>
      </c>
      <c r="C228" t="n">
        <v>1.25</v>
      </c>
      <c r="D228" t="n">
        <v>1.19</v>
      </c>
      <c r="E228" t="n">
        <v>-6.5</v>
      </c>
      <c r="F228" t="n">
        <v>-0.25</v>
      </c>
      <c r="G228" t="n">
        <v>1</v>
      </c>
      <c r="H228" t="n">
        <v>12</v>
      </c>
      <c r="I228" t="s">
        <v>297</v>
      </c>
      <c r="J228" t="n">
        <v>0</v>
      </c>
      <c r="K228" t="n">
        <v>0</v>
      </c>
      <c r="L228" t="n">
        <v>0</v>
      </c>
      <c r="M228" t="n">
        <v>12</v>
      </c>
      <c r="N228" t="n">
        <v>-0.25</v>
      </c>
      <c r="O228" t="n">
        <v>0</v>
      </c>
      <c r="P228" t="n">
        <v>97</v>
      </c>
      <c r="Q228" t="n">
        <v>12</v>
      </c>
      <c r="R228" t="s">
        <v>294</v>
      </c>
      <c r="S228" t="s">
        <v>296</v>
      </c>
      <c r="T228" t="n">
        <v>-0.25</v>
      </c>
    </row>
    <row r="229">
      <c r="A229" t="s">
        <v>30</v>
      </c>
      <c r="B229" t="n">
        <v>1</v>
      </c>
      <c r="C229" t="n">
        <v>0.99</v>
      </c>
      <c r="D229" t="n">
        <v>1.06</v>
      </c>
      <c r="E229" t="n">
        <v>-4.25</v>
      </c>
      <c r="F229" t="n">
        <v>-1.25</v>
      </c>
      <c r="G229" t="n">
        <v>75</v>
      </c>
      <c r="H229" t="n">
        <v>12</v>
      </c>
      <c r="I229" t="s">
        <v>289</v>
      </c>
      <c r="J229" t="n">
        <v>0</v>
      </c>
      <c r="K229" t="n">
        <v>0</v>
      </c>
      <c r="L229" t="n">
        <v>0</v>
      </c>
      <c r="M229" t="n">
        <v>12</v>
      </c>
      <c r="N229" t="n">
        <v>1</v>
      </c>
      <c r="O229" t="n">
        <v>-0.25</v>
      </c>
      <c r="P229" t="n">
        <v>50</v>
      </c>
      <c r="Q229" t="n">
        <v>12</v>
      </c>
      <c r="R229" t="s">
        <v>288</v>
      </c>
      <c r="S229" t="s">
        <v>289</v>
      </c>
      <c r="T229" t="n">
        <v>0.75</v>
      </c>
    </row>
    <row r="230">
      <c r="A230" t="s">
        <v>30</v>
      </c>
      <c r="B230" t="n">
        <v>1.07</v>
      </c>
      <c r="C230" t="n">
        <v>1.21</v>
      </c>
      <c r="D230" t="n">
        <v>1.04</v>
      </c>
      <c r="E230" t="n">
        <v>-3.75</v>
      </c>
      <c r="F230" t="n">
        <v>-0.5</v>
      </c>
      <c r="G230" t="n">
        <v>10</v>
      </c>
      <c r="H230" t="n">
        <v>12</v>
      </c>
      <c r="I230" t="s">
        <v>288</v>
      </c>
      <c r="J230" t="n">
        <v>0</v>
      </c>
      <c r="K230" t="n">
        <v>0</v>
      </c>
      <c r="L230" t="n">
        <v>0</v>
      </c>
      <c r="M230" t="n">
        <v>12</v>
      </c>
      <c r="N230" t="n">
        <v>0.5</v>
      </c>
      <c r="O230" t="n">
        <v>-0.25</v>
      </c>
      <c r="P230" t="n">
        <v>176</v>
      </c>
      <c r="Q230" t="n">
        <v>12</v>
      </c>
      <c r="R230" t="s">
        <v>288</v>
      </c>
      <c r="S230" t="s">
        <v>294</v>
      </c>
      <c r="T230" t="n">
        <v>0.5</v>
      </c>
    </row>
    <row r="231">
      <c r="A231" t="s">
        <v>30</v>
      </c>
      <c r="B231" t="n">
        <v>1.03</v>
      </c>
      <c r="C231" t="n">
        <v>0.98</v>
      </c>
      <c r="D231" t="n">
        <v>1.03</v>
      </c>
      <c r="E231" t="n">
        <v>-6</v>
      </c>
      <c r="F231" t="n">
        <v>-0.25</v>
      </c>
      <c r="G231" t="n">
        <v>152</v>
      </c>
      <c r="H231" t="n">
        <v>12</v>
      </c>
      <c r="I231" t="s">
        <v>288</v>
      </c>
      <c r="J231" t="n">
        <v>0</v>
      </c>
      <c r="K231" t="n">
        <v>0</v>
      </c>
      <c r="L231" t="n">
        <v>0</v>
      </c>
      <c r="M231" t="n">
        <v>12</v>
      </c>
      <c r="N231" t="n">
        <v>0</v>
      </c>
      <c r="O231" t="n">
        <v>0</v>
      </c>
      <c r="P231" t="n">
        <v>57</v>
      </c>
      <c r="Q231" t="n">
        <v>12</v>
      </c>
      <c r="R231" t="s">
        <v>288</v>
      </c>
      <c r="S231" t="s">
        <v>289</v>
      </c>
      <c r="T231" t="n">
        <v>0</v>
      </c>
    </row>
    <row r="232">
      <c r="A232" t="s">
        <v>30</v>
      </c>
      <c r="B232" t="n">
        <v>1.09</v>
      </c>
      <c r="C232" t="n">
        <v>1.14</v>
      </c>
      <c r="D232" t="n">
        <v>1.05</v>
      </c>
      <c r="E232" t="n">
        <v>-5.5</v>
      </c>
      <c r="F232" t="n">
        <v>-1.25</v>
      </c>
      <c r="G232" t="n">
        <v>105</v>
      </c>
      <c r="H232" t="n">
        <v>12</v>
      </c>
      <c r="I232" t="s">
        <v>293</v>
      </c>
      <c r="J232" t="n">
        <v>0</v>
      </c>
      <c r="K232" t="n">
        <v>0</v>
      </c>
      <c r="L232" t="n">
        <v>0</v>
      </c>
      <c r="M232" t="n">
        <v>12</v>
      </c>
      <c r="N232" t="n">
        <v>0.75</v>
      </c>
      <c r="O232" t="n">
        <v>-0.5</v>
      </c>
      <c r="P232" t="n">
        <v>107</v>
      </c>
      <c r="Q232" t="n">
        <v>12</v>
      </c>
      <c r="R232" t="s">
        <v>288</v>
      </c>
      <c r="S232" t="s">
        <v>297</v>
      </c>
      <c r="T232" t="n">
        <v>0.5</v>
      </c>
    </row>
    <row r="233">
      <c r="A233" t="s">
        <v>30</v>
      </c>
      <c r="B233" t="n">
        <v>0.98</v>
      </c>
      <c r="C233" t="n">
        <v>1.05</v>
      </c>
      <c r="D233" t="n">
        <v>0.99</v>
      </c>
      <c r="E233" t="n">
        <v>-1</v>
      </c>
      <c r="F233" t="n">
        <v>-0.5</v>
      </c>
      <c r="G233" t="n">
        <v>78</v>
      </c>
      <c r="H233" t="n">
        <v>12</v>
      </c>
      <c r="I233" t="s">
        <v>289</v>
      </c>
      <c r="J233" t="n">
        <v>0</v>
      </c>
      <c r="K233" t="n">
        <v>0</v>
      </c>
      <c r="L233" t="n">
        <v>0</v>
      </c>
      <c r="M233" t="n">
        <v>12</v>
      </c>
      <c r="N233" t="n">
        <v>0</v>
      </c>
      <c r="O233" t="n">
        <v>-0.25</v>
      </c>
      <c r="P233" t="n">
        <v>65</v>
      </c>
      <c r="Q233" t="n">
        <v>12</v>
      </c>
      <c r="R233" t="s">
        <v>289</v>
      </c>
      <c r="S233" t="s">
        <v>288</v>
      </c>
      <c r="T233" t="n">
        <v>0</v>
      </c>
    </row>
    <row r="234">
      <c r="A234" t="s">
        <v>30</v>
      </c>
      <c r="B234" t="n">
        <v>1.18</v>
      </c>
      <c r="C234" t="n">
        <v>1.13</v>
      </c>
      <c r="D234" t="n">
        <v>1.23</v>
      </c>
      <c r="E234" t="n">
        <v>-2.75</v>
      </c>
      <c r="F234" t="n">
        <v>-0.25</v>
      </c>
      <c r="G234" t="n">
        <v>179</v>
      </c>
      <c r="H234" t="n">
        <v>12</v>
      </c>
      <c r="I234" t="s">
        <v>294</v>
      </c>
      <c r="J234" t="n">
        <v>0</v>
      </c>
      <c r="K234" t="n">
        <v>0</v>
      </c>
      <c r="L234" t="n">
        <v>0</v>
      </c>
      <c r="M234" t="n">
        <v>12</v>
      </c>
      <c r="N234" t="n">
        <v>0</v>
      </c>
      <c r="O234" t="n">
        <v>-0.25</v>
      </c>
      <c r="P234" t="n">
        <v>24</v>
      </c>
      <c r="Q234" t="n">
        <v>12</v>
      </c>
      <c r="R234" t="s">
        <v>294</v>
      </c>
      <c r="S234" t="s">
        <v>297</v>
      </c>
      <c r="T234" t="n">
        <v>-0.25</v>
      </c>
    </row>
    <row r="235">
      <c r="A235" t="s">
        <v>30</v>
      </c>
      <c r="B235" t="n">
        <v>0.99</v>
      </c>
      <c r="C235" t="n">
        <v>1.01</v>
      </c>
      <c r="D235" t="n">
        <v>1.03</v>
      </c>
      <c r="E235" t="n">
        <v>-2.75</v>
      </c>
      <c r="F235" t="n">
        <v>-0.25</v>
      </c>
      <c r="G235" t="n">
        <v>102</v>
      </c>
      <c r="H235" t="n">
        <v>12</v>
      </c>
      <c r="I235" t="s">
        <v>289</v>
      </c>
      <c r="J235" t="n">
        <v>0</v>
      </c>
      <c r="K235" t="n">
        <v>0</v>
      </c>
      <c r="L235" t="n">
        <v>0</v>
      </c>
      <c r="M235" t="n">
        <v>12</v>
      </c>
      <c r="N235" t="n">
        <v>1</v>
      </c>
      <c r="O235" t="n">
        <v>-0.25</v>
      </c>
      <c r="P235" t="n">
        <v>81</v>
      </c>
      <c r="Q235" t="n">
        <v>12</v>
      </c>
      <c r="R235" t="s">
        <v>288</v>
      </c>
      <c r="S235" t="s">
        <v>289</v>
      </c>
      <c r="T235" t="n">
        <v>0.75</v>
      </c>
    </row>
    <row r="236">
      <c r="A236" t="s">
        <v>30</v>
      </c>
      <c r="B236" t="n">
        <v>0.98</v>
      </c>
      <c r="C236" t="n">
        <v>1.03</v>
      </c>
      <c r="D236" t="n">
        <v>1.03</v>
      </c>
      <c r="E236" t="n">
        <v>-1.5</v>
      </c>
      <c r="F236" t="n">
        <v>-2.75</v>
      </c>
      <c r="G236" t="n">
        <v>43</v>
      </c>
      <c r="H236" t="n">
        <v>12</v>
      </c>
      <c r="I236" t="s">
        <v>289</v>
      </c>
      <c r="J236" t="n">
        <v>0</v>
      </c>
      <c r="K236" t="n">
        <v>0</v>
      </c>
      <c r="L236" t="n">
        <v>0</v>
      </c>
      <c r="M236" t="n">
        <v>12</v>
      </c>
      <c r="N236" t="n">
        <v>0</v>
      </c>
      <c r="O236" t="n">
        <v>-0.25</v>
      </c>
      <c r="P236" t="n">
        <v>47</v>
      </c>
      <c r="Q236" t="n">
        <v>12</v>
      </c>
      <c r="R236" t="s">
        <v>288</v>
      </c>
      <c r="S236" t="s">
        <v>288</v>
      </c>
      <c r="T236" t="n">
        <v>0</v>
      </c>
    </row>
    <row r="237">
      <c r="A237" t="s">
        <v>30</v>
      </c>
      <c r="B237" t="n">
        <v>1.07</v>
      </c>
      <c r="C237" t="n">
        <v>0.87</v>
      </c>
      <c r="D237" t="n">
        <v>1.06</v>
      </c>
      <c r="E237" t="n">
        <v>-2.75</v>
      </c>
      <c r="F237" t="n">
        <v>-0.25</v>
      </c>
      <c r="G237" t="n">
        <v>85</v>
      </c>
      <c r="H237" t="n">
        <v>12</v>
      </c>
      <c r="I237" t="s">
        <v>288</v>
      </c>
      <c r="J237" t="n">
        <v>0</v>
      </c>
      <c r="K237" t="n">
        <v>0</v>
      </c>
      <c r="L237" t="n">
        <v>0</v>
      </c>
      <c r="M237" t="n">
        <v>12</v>
      </c>
      <c r="N237" t="n">
        <v>-0.75</v>
      </c>
      <c r="O237" t="n">
        <v>0</v>
      </c>
      <c r="P237" t="n">
        <v>83</v>
      </c>
      <c r="Q237" t="n">
        <v>12</v>
      </c>
      <c r="R237" t="s">
        <v>288</v>
      </c>
      <c r="S237" t="s">
        <v>300</v>
      </c>
      <c r="T237" t="n">
        <v>-0.75</v>
      </c>
    </row>
    <row r="238">
      <c r="A238" t="s">
        <v>30</v>
      </c>
      <c r="B238" t="n">
        <v>1.06</v>
      </c>
      <c r="C238" t="n">
        <v>1.22</v>
      </c>
      <c r="D238" t="n">
        <v>1.14</v>
      </c>
      <c r="E238" t="n">
        <v>-5.5</v>
      </c>
      <c r="F238" t="n">
        <v>-0.25</v>
      </c>
      <c r="G238" t="n">
        <v>76</v>
      </c>
      <c r="H238" t="n">
        <v>12</v>
      </c>
      <c r="I238" t="s">
        <v>288</v>
      </c>
      <c r="J238" t="n">
        <v>0</v>
      </c>
      <c r="K238" t="n">
        <v>0</v>
      </c>
      <c r="L238" t="n">
        <v>0</v>
      </c>
      <c r="M238" t="n">
        <v>12</v>
      </c>
      <c r="N238" t="n">
        <v>0.25</v>
      </c>
      <c r="O238" t="n">
        <v>-0.5</v>
      </c>
      <c r="P238" t="n">
        <v>66</v>
      </c>
      <c r="Q238" t="n">
        <v>12</v>
      </c>
      <c r="R238" t="s">
        <v>297</v>
      </c>
      <c r="S238" t="s">
        <v>294</v>
      </c>
      <c r="T238" t="n">
        <v>0</v>
      </c>
    </row>
    <row r="239">
      <c r="A239" t="s">
        <v>30</v>
      </c>
      <c r="B239" t="n">
        <v>1.18</v>
      </c>
      <c r="C239" t="n">
        <v>1.25</v>
      </c>
      <c r="D239" t="n">
        <v>1.25</v>
      </c>
      <c r="E239" t="n">
        <v>-2</v>
      </c>
      <c r="F239" t="n">
        <v>-0.5</v>
      </c>
      <c r="G239" t="n">
        <v>176</v>
      </c>
      <c r="H239" t="n">
        <v>12</v>
      </c>
      <c r="I239" t="s">
        <v>294</v>
      </c>
      <c r="J239" t="n">
        <v>0</v>
      </c>
      <c r="K239" t="n">
        <v>0</v>
      </c>
      <c r="L239" t="n">
        <v>0</v>
      </c>
      <c r="M239" t="n">
        <v>12</v>
      </c>
      <c r="N239" t="n">
        <v>0.5</v>
      </c>
      <c r="O239" t="n">
        <v>-0.25</v>
      </c>
      <c r="P239" t="n">
        <v>137</v>
      </c>
      <c r="Q239" t="n">
        <v>12</v>
      </c>
      <c r="R239" t="s">
        <v>296</v>
      </c>
      <c r="S239" t="s">
        <v>296</v>
      </c>
      <c r="T239" t="n">
        <v>0.25</v>
      </c>
    </row>
    <row r="240">
      <c r="A240" t="s">
        <v>30</v>
      </c>
      <c r="B240" t="n">
        <v>1.08</v>
      </c>
      <c r="C240" t="n">
        <v>0.97</v>
      </c>
      <c r="D240" t="n">
        <v>1.14</v>
      </c>
      <c r="E240" t="n">
        <v>-2.25</v>
      </c>
      <c r="F240" t="n">
        <v>-1.5</v>
      </c>
      <c r="G240" t="n">
        <v>3</v>
      </c>
      <c r="H240" t="n">
        <v>12</v>
      </c>
      <c r="I240" t="s">
        <v>293</v>
      </c>
      <c r="J240" t="n">
        <v>0</v>
      </c>
      <c r="K240" t="n">
        <v>0</v>
      </c>
      <c r="L240" t="n">
        <v>0</v>
      </c>
      <c r="M240" t="n">
        <v>12</v>
      </c>
      <c r="N240" t="n">
        <v>0.5</v>
      </c>
      <c r="O240" t="n">
        <v>-0.25</v>
      </c>
      <c r="P240" t="n">
        <v>2</v>
      </c>
      <c r="Q240" t="n">
        <v>12</v>
      </c>
      <c r="R240" t="s">
        <v>297</v>
      </c>
      <c r="S240" t="s">
        <v>290</v>
      </c>
      <c r="T240" t="n">
        <v>0.5</v>
      </c>
    </row>
    <row r="241">
      <c r="A241" t="s">
        <v>30</v>
      </c>
      <c r="B241" t="n">
        <v>0.92</v>
      </c>
      <c r="C241" t="n">
        <v>0.91</v>
      </c>
      <c r="D241" t="n">
        <v>0.93</v>
      </c>
      <c r="E241" t="n">
        <v>-0.5</v>
      </c>
      <c r="F241" t="n">
        <v>-0.75</v>
      </c>
      <c r="G241" t="n">
        <v>32</v>
      </c>
      <c r="H241" t="n">
        <v>12</v>
      </c>
      <c r="I241" t="s">
        <v>291</v>
      </c>
      <c r="J241" t="n">
        <v>0</v>
      </c>
      <c r="K241" t="n">
        <v>0</v>
      </c>
      <c r="L241" t="n">
        <v>0</v>
      </c>
      <c r="M241" t="n">
        <v>12</v>
      </c>
      <c r="N241" t="n">
        <v>0</v>
      </c>
      <c r="O241" t="n">
        <v>-0.25</v>
      </c>
      <c r="P241" t="n">
        <v>23</v>
      </c>
      <c r="Q241" t="n">
        <v>12</v>
      </c>
      <c r="R241" t="s">
        <v>291</v>
      </c>
      <c r="S241" t="s">
        <v>291</v>
      </c>
      <c r="T241" t="n">
        <v>-0.25</v>
      </c>
    </row>
    <row r="242">
      <c r="A242" t="s">
        <v>30</v>
      </c>
      <c r="B242" t="n">
        <v>1</v>
      </c>
      <c r="C242" t="n">
        <v>0.94</v>
      </c>
      <c r="D242" t="n">
        <v>1.02</v>
      </c>
      <c r="E242" t="n">
        <v>-4.75</v>
      </c>
      <c r="F242" t="n">
        <v>-0.5</v>
      </c>
      <c r="G242" t="n">
        <v>93</v>
      </c>
      <c r="H242" t="n">
        <v>12</v>
      </c>
      <c r="I242" t="s">
        <v>289</v>
      </c>
      <c r="J242" t="n">
        <v>0</v>
      </c>
      <c r="K242" t="n">
        <v>0</v>
      </c>
      <c r="L242" t="n">
        <v>0</v>
      </c>
      <c r="M242" t="n">
        <v>12</v>
      </c>
      <c r="N242" t="n">
        <v>0</v>
      </c>
      <c r="O242" t="n">
        <v>0</v>
      </c>
      <c r="P242" t="n">
        <v>83</v>
      </c>
      <c r="Q242" t="n">
        <v>12</v>
      </c>
      <c r="R242" t="s">
        <v>289</v>
      </c>
      <c r="S242" t="s">
        <v>290</v>
      </c>
      <c r="T242" t="n">
        <v>0</v>
      </c>
    </row>
    <row r="243">
      <c r="A243" t="s">
        <v>30</v>
      </c>
      <c r="B243" t="n">
        <v>1.08</v>
      </c>
      <c r="C243" t="n">
        <v>1.02</v>
      </c>
      <c r="D243" t="n">
        <v>1.05</v>
      </c>
      <c r="E243" t="n">
        <v>-2.5</v>
      </c>
      <c r="F243" t="n">
        <v>-0.5</v>
      </c>
      <c r="G243" t="n">
        <v>40</v>
      </c>
      <c r="H243" t="n">
        <v>12</v>
      </c>
      <c r="I243" t="s">
        <v>293</v>
      </c>
      <c r="J243" t="n">
        <v>0</v>
      </c>
      <c r="K243" t="n">
        <v>0</v>
      </c>
      <c r="L243" t="n">
        <v>0</v>
      </c>
      <c r="M243" t="n">
        <v>12</v>
      </c>
      <c r="N243" t="n">
        <v>0.25</v>
      </c>
      <c r="O243" t="n">
        <v>0</v>
      </c>
      <c r="P243" t="n">
        <v>109</v>
      </c>
      <c r="Q243" t="n">
        <v>12</v>
      </c>
      <c r="R243" t="s">
        <v>288</v>
      </c>
      <c r="S243" t="s">
        <v>289</v>
      </c>
      <c r="T243" t="n">
        <v>0.25</v>
      </c>
    </row>
    <row r="244">
      <c r="A244" t="s">
        <v>30</v>
      </c>
      <c r="B244" t="n">
        <v>1.06</v>
      </c>
      <c r="C244" t="n">
        <v>1.03</v>
      </c>
      <c r="D244" t="n">
        <v>1.07</v>
      </c>
      <c r="E244" t="n">
        <v>-4</v>
      </c>
      <c r="F244" t="n">
        <v>-0.5</v>
      </c>
      <c r="G244" t="n">
        <v>2</v>
      </c>
      <c r="H244" t="n">
        <v>12</v>
      </c>
      <c r="I244" t="s">
        <v>288</v>
      </c>
      <c r="J244" t="n">
        <v>0</v>
      </c>
      <c r="K244" t="n">
        <v>0</v>
      </c>
      <c r="L244" t="n">
        <v>0</v>
      </c>
      <c r="M244" t="n">
        <v>12</v>
      </c>
      <c r="N244" t="n">
        <v>0.5</v>
      </c>
      <c r="O244" t="n">
        <v>-0.25</v>
      </c>
      <c r="P244" t="n">
        <v>171</v>
      </c>
      <c r="Q244" t="n">
        <v>12</v>
      </c>
      <c r="R244" t="s">
        <v>288</v>
      </c>
      <c r="S244" t="s">
        <v>288</v>
      </c>
      <c r="T244" t="n">
        <v>0.25</v>
      </c>
    </row>
    <row r="245">
      <c r="A245" t="s">
        <v>30</v>
      </c>
      <c r="B245" t="n">
        <v>1.11</v>
      </c>
      <c r="C245" t="n">
        <v>1.05</v>
      </c>
      <c r="D245" t="n">
        <v>1.11</v>
      </c>
      <c r="E245" t="n">
        <v>-6</v>
      </c>
      <c r="F245" t="n">
        <v>-1</v>
      </c>
      <c r="G245" t="n">
        <v>155</v>
      </c>
      <c r="H245" t="n">
        <v>12</v>
      </c>
      <c r="I245" t="s">
        <v>293</v>
      </c>
      <c r="J245" t="n">
        <v>0</v>
      </c>
      <c r="K245" t="n">
        <v>0</v>
      </c>
      <c r="L245" t="n">
        <v>0</v>
      </c>
      <c r="M245" t="n">
        <v>12</v>
      </c>
      <c r="N245" t="n">
        <v>0.25</v>
      </c>
      <c r="O245" t="n">
        <v>0</v>
      </c>
      <c r="P245" t="n">
        <v>108</v>
      </c>
      <c r="Q245" t="n">
        <v>12</v>
      </c>
      <c r="R245" t="s">
        <v>293</v>
      </c>
      <c r="S245" t="s">
        <v>288</v>
      </c>
      <c r="T245" t="n">
        <v>0.25</v>
      </c>
    </row>
    <row r="246">
      <c r="A246" t="s">
        <v>30</v>
      </c>
      <c r="B246" t="n">
        <v>1.05</v>
      </c>
      <c r="C246" t="n">
        <v>0.95</v>
      </c>
      <c r="D246" t="n">
        <v>1.07</v>
      </c>
      <c r="E246" t="n">
        <v>-3.75</v>
      </c>
      <c r="F246" t="n">
        <v>-0.5</v>
      </c>
      <c r="G246" t="n">
        <v>180</v>
      </c>
      <c r="H246" t="n">
        <v>12</v>
      </c>
      <c r="I246" t="s">
        <v>288</v>
      </c>
      <c r="J246" t="n">
        <v>0</v>
      </c>
      <c r="K246" t="n">
        <v>0</v>
      </c>
      <c r="L246" t="n">
        <v>0</v>
      </c>
      <c r="M246" t="n">
        <v>12</v>
      </c>
      <c r="N246" t="n">
        <v>0.5</v>
      </c>
      <c r="O246" t="n">
        <v>-0.5</v>
      </c>
      <c r="P246" t="n">
        <v>13</v>
      </c>
      <c r="Q246" t="n">
        <v>12</v>
      </c>
      <c r="R246" t="s">
        <v>288</v>
      </c>
      <c r="S246" t="s">
        <v>290</v>
      </c>
      <c r="T246" t="n">
        <v>0.25</v>
      </c>
    </row>
    <row r="247">
      <c r="A247" t="s">
        <v>30</v>
      </c>
      <c r="B247" t="n">
        <v>1.01</v>
      </c>
      <c r="C247" t="n">
        <v>0.87</v>
      </c>
      <c r="D247" t="n">
        <v>0.98</v>
      </c>
      <c r="E247" t="n">
        <v>-4.75</v>
      </c>
      <c r="F247" t="n">
        <v>-1</v>
      </c>
      <c r="G247" t="n">
        <v>11</v>
      </c>
      <c r="H247" t="n">
        <v>12</v>
      </c>
      <c r="I247" t="s">
        <v>289</v>
      </c>
      <c r="J247" t="n">
        <v>0</v>
      </c>
      <c r="K247" t="n">
        <v>0</v>
      </c>
      <c r="L247" t="n">
        <v>0</v>
      </c>
      <c r="M247" t="n">
        <v>12</v>
      </c>
      <c r="N247" t="n">
        <v>-0.5</v>
      </c>
      <c r="O247" t="n">
        <v>0</v>
      </c>
      <c r="P247" t="n">
        <v>167</v>
      </c>
      <c r="Q247" t="n">
        <v>12</v>
      </c>
      <c r="R247" t="s">
        <v>289</v>
      </c>
      <c r="S247" t="s">
        <v>300</v>
      </c>
      <c r="T247" t="n">
        <v>-0.5</v>
      </c>
    </row>
    <row r="248">
      <c r="A248" t="s">
        <v>30</v>
      </c>
      <c r="B248" t="n">
        <v>1.07</v>
      </c>
      <c r="C248" t="n">
        <v>1.07</v>
      </c>
      <c r="D248" t="n">
        <v>1.1</v>
      </c>
      <c r="E248" t="n">
        <v>-3.75</v>
      </c>
      <c r="F248" t="n">
        <v>-0.25</v>
      </c>
      <c r="G248" t="n">
        <v>8</v>
      </c>
      <c r="H248" t="n">
        <v>12</v>
      </c>
      <c r="I248" t="s">
        <v>288</v>
      </c>
      <c r="J248" t="n">
        <v>0</v>
      </c>
      <c r="K248" t="n">
        <v>0</v>
      </c>
      <c r="L248" t="n">
        <v>0</v>
      </c>
      <c r="M248" t="n">
        <v>12</v>
      </c>
      <c r="N248" t="n">
        <v>0.5</v>
      </c>
      <c r="O248" t="n">
        <v>-0.25</v>
      </c>
      <c r="P248" t="n">
        <v>179</v>
      </c>
      <c r="Q248" t="n">
        <v>12</v>
      </c>
      <c r="R248" t="s">
        <v>293</v>
      </c>
      <c r="S248" t="s">
        <v>288</v>
      </c>
      <c r="T248" t="n">
        <v>0.5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5" t="s">
        <v>29</v>
      </c>
      <c r="B1" s="5" t="s">
        <v>272</v>
      </c>
      <c r="C1" s="5" t="s">
        <v>273</v>
      </c>
      <c r="D1" s="5" t="s">
        <v>274</v>
      </c>
      <c r="E1" s="6" t="s">
        <v>275</v>
      </c>
      <c r="F1" s="6" t="s">
        <v>276</v>
      </c>
      <c r="G1" s="6" t="s">
        <v>277</v>
      </c>
      <c r="H1" s="6" t="s">
        <v>278</v>
      </c>
      <c r="I1" s="6" t="s">
        <v>84</v>
      </c>
      <c r="J1" s="7" t="s">
        <v>279</v>
      </c>
      <c r="K1" s="7" t="s">
        <v>280</v>
      </c>
      <c r="L1" s="7" t="s">
        <v>281</v>
      </c>
      <c r="M1" s="7" t="s">
        <v>282</v>
      </c>
      <c r="N1" s="8" t="s">
        <v>283</v>
      </c>
      <c r="O1" s="8" t="s">
        <v>284</v>
      </c>
      <c r="P1" s="8" t="s">
        <v>285</v>
      </c>
      <c r="Q1" s="8" t="s">
        <v>286</v>
      </c>
      <c r="R1" s="8" t="s">
        <v>197</v>
      </c>
      <c r="S1" s="8" t="s">
        <v>190</v>
      </c>
      <c r="T1" s="9" t="s">
        <v>287</v>
      </c>
    </row>
    <row r="2">
      <c r="A2" t="s">
        <v>31</v>
      </c>
      <c r="B2" t="n">
        <v>1.09</v>
      </c>
      <c r="C2" t="n">
        <v>0.9</v>
      </c>
      <c r="D2" t="n">
        <v>1.05</v>
      </c>
      <c r="E2" t="n">
        <v>-1.5</v>
      </c>
      <c r="F2" t="n">
        <v>-0.25</v>
      </c>
      <c r="G2" t="n">
        <v>48</v>
      </c>
      <c r="H2" t="n">
        <v>12</v>
      </c>
      <c r="I2" t="s">
        <v>293</v>
      </c>
      <c r="J2" t="n">
        <v>0</v>
      </c>
      <c r="K2" t="n">
        <v>0</v>
      </c>
      <c r="L2" t="n">
        <v>0</v>
      </c>
      <c r="M2" t="n">
        <v>12</v>
      </c>
      <c r="N2" t="n">
        <v>0.25</v>
      </c>
      <c r="O2" t="n">
        <v>0</v>
      </c>
      <c r="P2" t="n">
        <v>108</v>
      </c>
      <c r="Q2" t="n">
        <v>12</v>
      </c>
      <c r="R2" t="s">
        <v>288</v>
      </c>
      <c r="S2" t="s">
        <v>291</v>
      </c>
      <c r="T2" t="n">
        <v>0.25</v>
      </c>
    </row>
    <row r="3">
      <c r="A3" t="s">
        <v>31</v>
      </c>
      <c r="B3" t="n">
        <v>1.07</v>
      </c>
      <c r="C3" t="n">
        <v>1.12</v>
      </c>
      <c r="D3" t="n">
        <v>1.11</v>
      </c>
      <c r="E3" t="n">
        <v>-2.5</v>
      </c>
      <c r="F3" t="n">
        <v>-1.25</v>
      </c>
      <c r="G3" t="n">
        <v>12</v>
      </c>
      <c r="H3" t="n">
        <v>12</v>
      </c>
      <c r="I3" t="s">
        <v>288</v>
      </c>
      <c r="J3" t="n">
        <v>0</v>
      </c>
      <c r="K3" t="n">
        <v>0</v>
      </c>
      <c r="L3" t="n">
        <v>0</v>
      </c>
      <c r="M3" t="n">
        <v>12</v>
      </c>
      <c r="N3" t="n">
        <v>0</v>
      </c>
      <c r="O3" t="n">
        <v>-0.25</v>
      </c>
      <c r="P3" t="n">
        <v>8</v>
      </c>
      <c r="Q3" t="n">
        <v>12</v>
      </c>
      <c r="R3" t="s">
        <v>293</v>
      </c>
      <c r="S3" t="s">
        <v>293</v>
      </c>
      <c r="T3" t="n">
        <v>0</v>
      </c>
    </row>
    <row r="4">
      <c r="A4" t="s">
        <v>31</v>
      </c>
      <c r="B4" t="n">
        <v>1.13</v>
      </c>
      <c r="C4" t="n">
        <v>0.89</v>
      </c>
      <c r="D4" t="n">
        <v>1.18</v>
      </c>
      <c r="E4" t="n">
        <v>-1.25</v>
      </c>
      <c r="F4" t="n">
        <v>-1.25</v>
      </c>
      <c r="G4" t="n">
        <v>174</v>
      </c>
      <c r="H4" t="n">
        <v>12</v>
      </c>
      <c r="I4" t="s">
        <v>297</v>
      </c>
      <c r="J4" t="n">
        <v>0</v>
      </c>
      <c r="K4" t="n">
        <v>0</v>
      </c>
      <c r="L4" t="n">
        <v>0</v>
      </c>
      <c r="M4" t="n">
        <v>12</v>
      </c>
      <c r="N4" t="n">
        <v>-0.5</v>
      </c>
      <c r="O4" t="n">
        <v>-0.25</v>
      </c>
      <c r="P4" t="n">
        <v>162</v>
      </c>
      <c r="Q4" t="n">
        <v>12</v>
      </c>
      <c r="R4" t="s">
        <v>294</v>
      </c>
      <c r="S4" t="s">
        <v>300</v>
      </c>
      <c r="T4" t="n">
        <v>-0.5</v>
      </c>
    </row>
    <row r="5">
      <c r="A5" t="s">
        <v>31</v>
      </c>
      <c r="B5" t="n">
        <v>1.02</v>
      </c>
      <c r="C5" t="n">
        <v>1.04</v>
      </c>
      <c r="D5" t="n">
        <v>1.03</v>
      </c>
      <c r="E5" t="n">
        <v>-3</v>
      </c>
      <c r="F5" t="n">
        <v>-0.25</v>
      </c>
      <c r="G5" t="n">
        <v>99</v>
      </c>
      <c r="H5" t="n">
        <v>12</v>
      </c>
      <c r="I5" t="s">
        <v>289</v>
      </c>
      <c r="J5" t="n">
        <v>0</v>
      </c>
      <c r="K5" t="n">
        <v>0</v>
      </c>
      <c r="L5" t="n">
        <v>0</v>
      </c>
      <c r="M5" t="n">
        <v>12</v>
      </c>
      <c r="N5" t="n">
        <v>0.5</v>
      </c>
      <c r="O5" t="n">
        <v>-0.25</v>
      </c>
      <c r="P5" t="n">
        <v>87</v>
      </c>
      <c r="Q5" t="n">
        <v>12</v>
      </c>
      <c r="R5" t="s">
        <v>288</v>
      </c>
      <c r="S5" t="s">
        <v>288</v>
      </c>
      <c r="T5" t="n">
        <v>0.25</v>
      </c>
    </row>
    <row r="6">
      <c r="A6" t="s">
        <v>31</v>
      </c>
      <c r="B6" t="n">
        <v>0.97</v>
      </c>
      <c r="C6" t="n">
        <v>0.83</v>
      </c>
      <c r="D6" t="n">
        <v>0.99</v>
      </c>
      <c r="E6" t="n">
        <v>-1.75</v>
      </c>
      <c r="F6" t="n">
        <v>-0.25</v>
      </c>
      <c r="G6" t="n">
        <v>94</v>
      </c>
      <c r="H6" t="n">
        <v>12</v>
      </c>
      <c r="I6" t="s">
        <v>290</v>
      </c>
      <c r="J6" t="n">
        <v>0</v>
      </c>
      <c r="K6" t="n">
        <v>0</v>
      </c>
      <c r="L6" t="n">
        <v>0</v>
      </c>
      <c r="M6" t="n">
        <v>12</v>
      </c>
      <c r="N6" t="n">
        <v>0.25</v>
      </c>
      <c r="O6" t="n">
        <v>0</v>
      </c>
      <c r="P6" t="n">
        <v>154</v>
      </c>
      <c r="Q6" t="n">
        <v>12</v>
      </c>
      <c r="R6" t="s">
        <v>289</v>
      </c>
      <c r="S6" t="s">
        <v>298</v>
      </c>
      <c r="T6" t="n">
        <v>0.25</v>
      </c>
    </row>
    <row r="7">
      <c r="A7" t="s">
        <v>31</v>
      </c>
      <c r="B7" t="n">
        <v>0.87</v>
      </c>
      <c r="C7" t="n">
        <v>0.85</v>
      </c>
      <c r="D7" t="n">
        <v>0.9</v>
      </c>
      <c r="E7" t="n">
        <v>-6.5</v>
      </c>
      <c r="F7" t="n">
        <v>0</v>
      </c>
      <c r="G7" t="n">
        <v>96</v>
      </c>
      <c r="H7" t="n">
        <v>12</v>
      </c>
      <c r="I7" t="s">
        <v>300</v>
      </c>
      <c r="J7" t="n">
        <v>0</v>
      </c>
      <c r="K7" t="n">
        <v>0</v>
      </c>
      <c r="L7" t="n">
        <v>0</v>
      </c>
      <c r="M7" t="n">
        <v>12</v>
      </c>
      <c r="N7" t="n">
        <v>-0.25</v>
      </c>
      <c r="O7" t="n">
        <v>0</v>
      </c>
      <c r="P7" t="n">
        <v>82</v>
      </c>
      <c r="Q7" t="n">
        <v>12</v>
      </c>
      <c r="R7" t="s">
        <v>291</v>
      </c>
      <c r="S7" t="s">
        <v>298</v>
      </c>
      <c r="T7" t="n">
        <v>-0.25</v>
      </c>
    </row>
    <row r="8">
      <c r="A8" t="s">
        <v>31</v>
      </c>
      <c r="B8" t="n">
        <v>1.02</v>
      </c>
      <c r="C8" t="n">
        <v>0.86</v>
      </c>
      <c r="D8" t="n">
        <v>0.98</v>
      </c>
      <c r="E8" t="n">
        <v>-3.25</v>
      </c>
      <c r="F8" t="n">
        <v>-0.5</v>
      </c>
      <c r="G8" t="n">
        <v>18</v>
      </c>
      <c r="H8" t="n">
        <v>12</v>
      </c>
      <c r="I8" t="s">
        <v>289</v>
      </c>
      <c r="J8" t="n">
        <v>0</v>
      </c>
      <c r="K8" t="n">
        <v>0</v>
      </c>
      <c r="L8" t="n">
        <v>0</v>
      </c>
      <c r="M8" t="n">
        <v>12</v>
      </c>
      <c r="N8" t="n">
        <v>0</v>
      </c>
      <c r="O8" t="n">
        <v>-0.25</v>
      </c>
      <c r="P8" t="n">
        <v>154</v>
      </c>
      <c r="Q8" t="n">
        <v>12</v>
      </c>
      <c r="R8" t="s">
        <v>289</v>
      </c>
      <c r="S8" t="s">
        <v>300</v>
      </c>
      <c r="T8" t="n">
        <v>-0.25</v>
      </c>
    </row>
    <row r="9">
      <c r="A9" t="s">
        <v>31</v>
      </c>
      <c r="B9" t="n">
        <v>0.93</v>
      </c>
      <c r="C9" t="n">
        <v>0.8</v>
      </c>
      <c r="D9" t="n">
        <v>0.92</v>
      </c>
      <c r="E9" t="n">
        <v>-5.25</v>
      </c>
      <c r="F9" t="n">
        <v>-0.5</v>
      </c>
      <c r="G9" t="n">
        <v>159</v>
      </c>
      <c r="H9" t="n">
        <v>12</v>
      </c>
      <c r="I9" t="s">
        <v>291</v>
      </c>
      <c r="J9" t="n">
        <v>0</v>
      </c>
      <c r="K9" t="n">
        <v>0</v>
      </c>
      <c r="L9" t="n">
        <v>0</v>
      </c>
      <c r="M9" t="n">
        <v>12</v>
      </c>
      <c r="N9" t="n">
        <v>0.25</v>
      </c>
      <c r="O9" t="n">
        <v>-0.5</v>
      </c>
      <c r="P9" t="n">
        <v>128</v>
      </c>
      <c r="Q9" t="n">
        <v>12</v>
      </c>
      <c r="R9" t="s">
        <v>291</v>
      </c>
      <c r="S9" t="s">
        <v>292</v>
      </c>
      <c r="T9" t="n">
        <v>0</v>
      </c>
    </row>
    <row r="10">
      <c r="A10" t="s">
        <v>31</v>
      </c>
      <c r="B10" t="n">
        <v>0.9</v>
      </c>
      <c r="C10" t="n">
        <v>0.69</v>
      </c>
      <c r="D10" t="n">
        <v>0.93</v>
      </c>
      <c r="E10" t="n">
        <v>-5</v>
      </c>
      <c r="F10" t="n">
        <v>-0.25</v>
      </c>
      <c r="G10" t="n">
        <v>94</v>
      </c>
      <c r="H10" t="n">
        <v>12</v>
      </c>
      <c r="I10" t="s">
        <v>291</v>
      </c>
      <c r="J10" t="n">
        <v>0</v>
      </c>
      <c r="K10" t="n">
        <v>0</v>
      </c>
      <c r="L10" t="n">
        <v>0</v>
      </c>
      <c r="M10" t="n">
        <v>12</v>
      </c>
      <c r="N10" t="n">
        <v>-1</v>
      </c>
      <c r="O10" t="n">
        <v>0</v>
      </c>
      <c r="P10" t="n">
        <v>70</v>
      </c>
      <c r="Q10" t="n">
        <v>12</v>
      </c>
      <c r="R10" t="s">
        <v>291</v>
      </c>
      <c r="S10" t="s">
        <v>299</v>
      </c>
      <c r="T10" t="n">
        <v>-1</v>
      </c>
    </row>
    <row r="11">
      <c r="A11" t="s">
        <v>31</v>
      </c>
      <c r="B11" t="n">
        <v>1.06</v>
      </c>
      <c r="C11" t="n">
        <v>0.92</v>
      </c>
      <c r="D11" t="n">
        <v>1.07</v>
      </c>
      <c r="E11" t="n">
        <v>-2</v>
      </c>
      <c r="F11" t="n">
        <v>-1.25</v>
      </c>
      <c r="G11" t="n">
        <v>96</v>
      </c>
      <c r="H11" t="n">
        <v>12</v>
      </c>
      <c r="I11" t="s">
        <v>288</v>
      </c>
      <c r="J11" t="n">
        <v>0</v>
      </c>
      <c r="K11" t="n">
        <v>0</v>
      </c>
      <c r="L11" t="n">
        <v>0</v>
      </c>
      <c r="M11" t="n">
        <v>12</v>
      </c>
      <c r="N11" t="n">
        <v>0.25</v>
      </c>
      <c r="O11" t="n">
        <v>0</v>
      </c>
      <c r="P11" t="n">
        <v>99</v>
      </c>
      <c r="Q11" t="n">
        <v>12</v>
      </c>
      <c r="R11" t="s">
        <v>288</v>
      </c>
      <c r="S11" t="s">
        <v>291</v>
      </c>
      <c r="T11" t="n">
        <v>0.25</v>
      </c>
    </row>
    <row r="12">
      <c r="A12" t="s">
        <v>31</v>
      </c>
      <c r="B12" t="n">
        <v>1.12</v>
      </c>
      <c r="C12" t="n">
        <v>0.88</v>
      </c>
      <c r="D12" t="n">
        <v>1.17</v>
      </c>
      <c r="E12" t="n">
        <v>-7.25</v>
      </c>
      <c r="F12" t="n">
        <v>-1</v>
      </c>
      <c r="G12" t="n">
        <v>11</v>
      </c>
      <c r="H12" t="n">
        <v>12</v>
      </c>
      <c r="I12" t="s">
        <v>293</v>
      </c>
      <c r="J12" t="n">
        <v>0</v>
      </c>
      <c r="K12" t="n">
        <v>0</v>
      </c>
      <c r="L12" t="n">
        <v>0</v>
      </c>
      <c r="M12" t="n">
        <v>12</v>
      </c>
      <c r="N12" t="n">
        <v>-0.5</v>
      </c>
      <c r="O12" t="n">
        <v>-0.25</v>
      </c>
      <c r="P12" t="n">
        <v>44</v>
      </c>
      <c r="Q12" t="n">
        <v>12</v>
      </c>
      <c r="R12" t="s">
        <v>297</v>
      </c>
      <c r="S12" t="s">
        <v>300</v>
      </c>
      <c r="T12" t="n">
        <v>-0.75</v>
      </c>
    </row>
    <row r="13">
      <c r="A13" t="s">
        <v>31</v>
      </c>
      <c r="B13" t="n">
        <v>0.93</v>
      </c>
      <c r="C13" t="n">
        <v>0.85</v>
      </c>
      <c r="D13" t="n">
        <v>0.98</v>
      </c>
      <c r="E13" t="n">
        <v>-4.5</v>
      </c>
      <c r="F13" t="n">
        <v>-1.25</v>
      </c>
      <c r="G13" t="n">
        <v>32</v>
      </c>
      <c r="H13" t="n">
        <v>12</v>
      </c>
      <c r="I13" t="s">
        <v>291</v>
      </c>
      <c r="J13" t="n">
        <v>0</v>
      </c>
      <c r="K13" t="n">
        <v>0</v>
      </c>
      <c r="L13" t="n">
        <v>0</v>
      </c>
      <c r="M13" t="n">
        <v>12</v>
      </c>
      <c r="N13" t="n">
        <v>0</v>
      </c>
      <c r="O13" t="n">
        <v>0</v>
      </c>
      <c r="P13" t="n">
        <v>43</v>
      </c>
      <c r="Q13" t="n">
        <v>12</v>
      </c>
      <c r="R13" t="s">
        <v>289</v>
      </c>
      <c r="S13" t="s">
        <v>298</v>
      </c>
      <c r="T13" t="n">
        <v>0</v>
      </c>
    </row>
    <row r="14">
      <c r="A14" t="s">
        <v>31</v>
      </c>
      <c r="B14" t="n">
        <v>0.97</v>
      </c>
      <c r="C14" t="n">
        <v>0.78</v>
      </c>
      <c r="D14" t="n">
        <v>0.92</v>
      </c>
      <c r="E14" t="n">
        <v>-0.5</v>
      </c>
      <c r="F14" t="n">
        <v>-0.5</v>
      </c>
      <c r="G14" t="n">
        <v>24</v>
      </c>
      <c r="H14" t="n">
        <v>12</v>
      </c>
      <c r="I14" t="s">
        <v>290</v>
      </c>
      <c r="J14" t="n">
        <v>0</v>
      </c>
      <c r="K14" t="n">
        <v>0</v>
      </c>
      <c r="L14" t="n">
        <v>0</v>
      </c>
      <c r="M14" t="n">
        <v>12</v>
      </c>
      <c r="N14" t="n">
        <v>0</v>
      </c>
      <c r="O14" t="n">
        <v>0</v>
      </c>
      <c r="P14" t="n">
        <v>17</v>
      </c>
      <c r="Q14" t="n">
        <v>12</v>
      </c>
      <c r="R14" t="s">
        <v>291</v>
      </c>
      <c r="S14" t="s">
        <v>292</v>
      </c>
      <c r="T14" t="n">
        <v>0</v>
      </c>
    </row>
    <row r="15">
      <c r="A15" t="s">
        <v>31</v>
      </c>
      <c r="B15" t="n">
        <v>0.92</v>
      </c>
      <c r="C15" t="n">
        <v>0.8</v>
      </c>
      <c r="D15" t="n">
        <v>0.98</v>
      </c>
      <c r="E15" t="n">
        <v>-1.25</v>
      </c>
      <c r="F15" t="n">
        <v>-0.25</v>
      </c>
      <c r="G15" t="n">
        <v>68</v>
      </c>
      <c r="H15" t="n">
        <v>12</v>
      </c>
      <c r="I15" t="s">
        <v>291</v>
      </c>
      <c r="J15" t="n">
        <v>0</v>
      </c>
      <c r="K15" t="n">
        <v>0</v>
      </c>
      <c r="L15" t="n">
        <v>0</v>
      </c>
      <c r="M15" t="n">
        <v>12</v>
      </c>
      <c r="N15" t="n">
        <v>0</v>
      </c>
      <c r="O15" t="n">
        <v>0</v>
      </c>
      <c r="P15" t="n">
        <v>71</v>
      </c>
      <c r="Q15" t="n">
        <v>12</v>
      </c>
      <c r="R15" t="s">
        <v>289</v>
      </c>
      <c r="S15" t="s">
        <v>292</v>
      </c>
      <c r="T15" t="n">
        <v>0</v>
      </c>
    </row>
    <row r="16">
      <c r="A16" t="s">
        <v>31</v>
      </c>
      <c r="B16" t="n">
        <v>0.89</v>
      </c>
      <c r="C16" t="n">
        <v>0.78</v>
      </c>
      <c r="D16" t="n">
        <v>0.93</v>
      </c>
      <c r="E16" t="n">
        <v>-6.25</v>
      </c>
      <c r="F16" t="n">
        <v>-0.75</v>
      </c>
      <c r="G16" t="n">
        <v>85</v>
      </c>
      <c r="H16" t="n">
        <v>12</v>
      </c>
      <c r="I16" t="s">
        <v>300</v>
      </c>
      <c r="J16" t="n">
        <v>0</v>
      </c>
      <c r="K16" t="n">
        <v>0</v>
      </c>
      <c r="L16" t="n">
        <v>0</v>
      </c>
      <c r="M16" t="n">
        <v>12</v>
      </c>
      <c r="N16" t="n">
        <v>-0.5</v>
      </c>
      <c r="O16" t="n">
        <v>-0.25</v>
      </c>
      <c r="P16" t="n">
        <v>117</v>
      </c>
      <c r="Q16" t="n">
        <v>12</v>
      </c>
      <c r="R16" t="s">
        <v>291</v>
      </c>
      <c r="S16" t="s">
        <v>292</v>
      </c>
      <c r="T16" t="n">
        <v>-0.5</v>
      </c>
    </row>
    <row r="17">
      <c r="A17" t="s">
        <v>31</v>
      </c>
      <c r="B17" t="n">
        <v>1.07</v>
      </c>
      <c r="C17" t="n">
        <v>1.02</v>
      </c>
      <c r="D17" t="n">
        <v>1.08</v>
      </c>
      <c r="E17" t="n">
        <v>-3</v>
      </c>
      <c r="F17" t="n">
        <v>-2</v>
      </c>
      <c r="G17" t="n">
        <v>173</v>
      </c>
      <c r="H17" t="n">
        <v>12</v>
      </c>
      <c r="I17" t="s">
        <v>288</v>
      </c>
      <c r="J17" t="n">
        <v>0</v>
      </c>
      <c r="K17" t="n">
        <v>0</v>
      </c>
      <c r="L17" t="n">
        <v>0</v>
      </c>
      <c r="M17" t="n">
        <v>12</v>
      </c>
      <c r="N17" t="n">
        <v>-0.5</v>
      </c>
      <c r="O17" t="n">
        <v>-0.25</v>
      </c>
      <c r="P17" t="n">
        <v>157</v>
      </c>
      <c r="Q17" t="n">
        <v>12</v>
      </c>
      <c r="R17" t="s">
        <v>293</v>
      </c>
      <c r="S17" t="s">
        <v>289</v>
      </c>
      <c r="T17" t="n">
        <v>-0.5</v>
      </c>
    </row>
    <row r="18">
      <c r="A18" t="s">
        <v>31</v>
      </c>
      <c r="B18" t="n">
        <v>1.02</v>
      </c>
      <c r="C18" t="n">
        <v>0.91</v>
      </c>
      <c r="D18" t="n">
        <v>1.06</v>
      </c>
      <c r="E18" t="n">
        <v>-6</v>
      </c>
      <c r="F18" t="n">
        <v>-0.25</v>
      </c>
      <c r="G18" t="n">
        <v>18</v>
      </c>
      <c r="H18" t="n">
        <v>12</v>
      </c>
      <c r="I18" t="s">
        <v>289</v>
      </c>
      <c r="J18" t="n">
        <v>0</v>
      </c>
      <c r="K18" t="n">
        <v>0</v>
      </c>
      <c r="L18" t="n">
        <v>0</v>
      </c>
      <c r="M18" t="n">
        <v>12</v>
      </c>
      <c r="N18" t="n">
        <v>-1</v>
      </c>
      <c r="O18" t="n">
        <v>0</v>
      </c>
      <c r="P18" t="n">
        <v>170</v>
      </c>
      <c r="Q18" t="n">
        <v>12</v>
      </c>
      <c r="R18" t="s">
        <v>288</v>
      </c>
      <c r="S18" t="s">
        <v>291</v>
      </c>
      <c r="T18" t="n">
        <v>-1</v>
      </c>
    </row>
    <row r="19">
      <c r="A19" t="s">
        <v>31</v>
      </c>
      <c r="B19" t="n">
        <v>0.94</v>
      </c>
      <c r="C19" t="n">
        <v>0.82</v>
      </c>
      <c r="D19" t="n">
        <v>0.87</v>
      </c>
      <c r="E19" t="n">
        <v>-1.5</v>
      </c>
      <c r="F19" t="n">
        <v>-0.25</v>
      </c>
      <c r="G19" t="n">
        <v>164</v>
      </c>
      <c r="H19" t="n">
        <v>12</v>
      </c>
      <c r="I19" t="s">
        <v>290</v>
      </c>
      <c r="J19" t="n">
        <v>0</v>
      </c>
      <c r="K19" t="n">
        <v>0</v>
      </c>
      <c r="L19" t="n">
        <v>0</v>
      </c>
      <c r="M19" t="n">
        <v>12</v>
      </c>
      <c r="N19" t="n">
        <v>0.5</v>
      </c>
      <c r="O19" t="n">
        <v>-0.25</v>
      </c>
      <c r="P19" t="n">
        <v>159</v>
      </c>
      <c r="Q19" t="n">
        <v>12</v>
      </c>
      <c r="R19" t="s">
        <v>300</v>
      </c>
      <c r="S19" t="s">
        <v>298</v>
      </c>
      <c r="T19" t="n">
        <v>0.25</v>
      </c>
    </row>
    <row r="20">
      <c r="A20" t="s">
        <v>31</v>
      </c>
      <c r="B20" t="n">
        <v>1.02</v>
      </c>
      <c r="C20" t="n">
        <v>0.85</v>
      </c>
      <c r="D20" t="n">
        <v>0.99</v>
      </c>
      <c r="E20" t="n">
        <v>-3</v>
      </c>
      <c r="F20" t="n">
        <v>-0.5</v>
      </c>
      <c r="G20" t="n">
        <v>172</v>
      </c>
      <c r="H20" t="n">
        <v>12</v>
      </c>
      <c r="I20" t="s">
        <v>289</v>
      </c>
      <c r="J20" t="n">
        <v>0</v>
      </c>
      <c r="K20" t="n">
        <v>0</v>
      </c>
      <c r="L20" t="n">
        <v>0</v>
      </c>
      <c r="M20" t="n">
        <v>12</v>
      </c>
      <c r="N20" t="n">
        <v>0.5</v>
      </c>
      <c r="O20" t="n">
        <v>-0.25</v>
      </c>
      <c r="P20" t="n">
        <v>142</v>
      </c>
      <c r="Q20" t="n">
        <v>12</v>
      </c>
      <c r="R20" t="s">
        <v>289</v>
      </c>
      <c r="S20" t="s">
        <v>298</v>
      </c>
      <c r="T20" t="n">
        <v>0.5</v>
      </c>
    </row>
    <row r="21">
      <c r="A21" t="s">
        <v>31</v>
      </c>
      <c r="B21" t="n">
        <v>1</v>
      </c>
      <c r="C21" t="n">
        <v>0.94</v>
      </c>
      <c r="D21" t="n">
        <v>1.04</v>
      </c>
      <c r="E21" t="n">
        <v>-1.75</v>
      </c>
      <c r="F21" t="n">
        <v>-1.25</v>
      </c>
      <c r="G21" t="n">
        <v>179</v>
      </c>
      <c r="H21" t="n">
        <v>12</v>
      </c>
      <c r="I21" t="s">
        <v>289</v>
      </c>
      <c r="J21" t="n">
        <v>0</v>
      </c>
      <c r="K21" t="n">
        <v>0</v>
      </c>
      <c r="L21" t="n">
        <v>0</v>
      </c>
      <c r="M21" t="n">
        <v>12</v>
      </c>
      <c r="N21" t="n">
        <v>0.25</v>
      </c>
      <c r="O21" t="n">
        <v>0</v>
      </c>
      <c r="P21" t="n">
        <v>155</v>
      </c>
      <c r="Q21" t="n">
        <v>12</v>
      </c>
      <c r="R21" t="s">
        <v>288</v>
      </c>
      <c r="S21" t="s">
        <v>290</v>
      </c>
      <c r="T21" t="n">
        <v>0.25</v>
      </c>
    </row>
    <row r="22">
      <c r="A22" t="s">
        <v>31</v>
      </c>
      <c r="B22" t="n">
        <v>0.93</v>
      </c>
      <c r="C22" t="n">
        <v>0.91</v>
      </c>
      <c r="D22" t="n">
        <v>0.92</v>
      </c>
      <c r="E22" t="n">
        <v>-3.25</v>
      </c>
      <c r="F22" t="n">
        <v>-0.25</v>
      </c>
      <c r="G22" t="n">
        <v>11</v>
      </c>
      <c r="H22" t="n">
        <v>12</v>
      </c>
      <c r="I22" t="s">
        <v>291</v>
      </c>
      <c r="J22" t="n">
        <v>0</v>
      </c>
      <c r="K22" t="n">
        <v>0</v>
      </c>
      <c r="L22" t="n">
        <v>0</v>
      </c>
      <c r="M22" t="n">
        <v>12</v>
      </c>
      <c r="N22" t="n">
        <v>0.5</v>
      </c>
      <c r="O22" t="n">
        <v>-0.25</v>
      </c>
      <c r="P22" t="n">
        <v>169</v>
      </c>
      <c r="Q22" t="n">
        <v>12</v>
      </c>
      <c r="R22" t="s">
        <v>291</v>
      </c>
      <c r="S22" t="s">
        <v>291</v>
      </c>
      <c r="T22" t="n">
        <v>0.25</v>
      </c>
    </row>
    <row r="23">
      <c r="A23" t="s">
        <v>31</v>
      </c>
      <c r="B23" t="n">
        <v>0.96</v>
      </c>
      <c r="C23" t="n">
        <v>0.98</v>
      </c>
      <c r="D23" t="n">
        <v>1</v>
      </c>
      <c r="E23" t="n">
        <v>-5.25</v>
      </c>
      <c r="F23" t="n">
        <v>-0.5</v>
      </c>
      <c r="G23" t="n">
        <v>167</v>
      </c>
      <c r="H23" t="n">
        <v>12</v>
      </c>
      <c r="I23" t="s">
        <v>290</v>
      </c>
      <c r="J23" t="n">
        <v>0</v>
      </c>
      <c r="K23" t="n">
        <v>0</v>
      </c>
      <c r="L23" t="n">
        <v>0</v>
      </c>
      <c r="M23" t="n">
        <v>12</v>
      </c>
      <c r="N23" t="n">
        <v>0</v>
      </c>
      <c r="O23" t="n">
        <v>-0.75</v>
      </c>
      <c r="P23" t="n">
        <v>3</v>
      </c>
      <c r="Q23" t="n">
        <v>12</v>
      </c>
      <c r="R23" t="s">
        <v>289</v>
      </c>
      <c r="S23" t="s">
        <v>289</v>
      </c>
      <c r="T23" t="n">
        <v>-0.25</v>
      </c>
    </row>
    <row r="24">
      <c r="A24" t="s">
        <v>31</v>
      </c>
      <c r="B24" t="n">
        <v>1.05</v>
      </c>
      <c r="C24" t="n">
        <v>0.89</v>
      </c>
      <c r="D24" t="n">
        <v>1.04</v>
      </c>
      <c r="E24" t="n">
        <v>-3.75</v>
      </c>
      <c r="F24" t="n">
        <v>-0.75</v>
      </c>
      <c r="G24" t="n">
        <v>94</v>
      </c>
      <c r="H24" t="n">
        <v>12</v>
      </c>
      <c r="I24" t="s">
        <v>288</v>
      </c>
      <c r="J24" t="n">
        <v>0</v>
      </c>
      <c r="K24" t="n">
        <v>0</v>
      </c>
      <c r="L24" t="n">
        <v>0</v>
      </c>
      <c r="M24" t="n">
        <v>12</v>
      </c>
      <c r="N24" t="n">
        <v>-0.5</v>
      </c>
      <c r="O24" t="n">
        <v>-0.25</v>
      </c>
      <c r="P24" t="n">
        <v>63</v>
      </c>
      <c r="Q24" t="n">
        <v>12</v>
      </c>
      <c r="R24" t="s">
        <v>288</v>
      </c>
      <c r="S24" t="s">
        <v>300</v>
      </c>
      <c r="T24" t="n">
        <v>-0.75</v>
      </c>
    </row>
    <row r="25">
      <c r="A25" t="s">
        <v>31</v>
      </c>
      <c r="B25" t="n">
        <v>1.09</v>
      </c>
      <c r="C25" t="n">
        <v>1</v>
      </c>
      <c r="D25" t="n">
        <v>1.11</v>
      </c>
      <c r="E25" t="n">
        <v>-4.75</v>
      </c>
      <c r="F25" t="n">
        <v>-1.5</v>
      </c>
      <c r="G25" t="n">
        <v>174</v>
      </c>
      <c r="H25" t="n">
        <v>12</v>
      </c>
      <c r="I25" t="s">
        <v>293</v>
      </c>
      <c r="J25" t="n">
        <v>0</v>
      </c>
      <c r="K25" t="n">
        <v>0</v>
      </c>
      <c r="L25" t="n">
        <v>0</v>
      </c>
      <c r="M25" t="n">
        <v>12</v>
      </c>
      <c r="N25" t="n">
        <v>0</v>
      </c>
      <c r="O25" t="n">
        <v>-0.25</v>
      </c>
      <c r="P25" t="n">
        <v>1</v>
      </c>
      <c r="Q25" t="n">
        <v>12</v>
      </c>
      <c r="R25" t="s">
        <v>293</v>
      </c>
      <c r="S25" t="s">
        <v>289</v>
      </c>
      <c r="T25" t="n">
        <v>0</v>
      </c>
    </row>
    <row r="26">
      <c r="A26" t="s">
        <v>31</v>
      </c>
      <c r="B26" t="n">
        <v>1.01</v>
      </c>
      <c r="C26" t="n">
        <v>0.92</v>
      </c>
      <c r="D26" t="n">
        <v>1</v>
      </c>
      <c r="E26" t="n">
        <v>-4.25</v>
      </c>
      <c r="F26" t="n">
        <v>-0.5</v>
      </c>
      <c r="G26" t="n">
        <v>9</v>
      </c>
      <c r="H26" t="n">
        <v>12</v>
      </c>
      <c r="I26" t="s">
        <v>289</v>
      </c>
      <c r="J26" t="n">
        <v>0</v>
      </c>
      <c r="K26" t="n">
        <v>0</v>
      </c>
      <c r="L26" t="n">
        <v>0</v>
      </c>
      <c r="M26" t="n">
        <v>12</v>
      </c>
      <c r="N26" t="n">
        <v>1</v>
      </c>
      <c r="O26" t="n">
        <v>-0.25</v>
      </c>
      <c r="P26" t="n">
        <v>175</v>
      </c>
      <c r="Q26" t="n">
        <v>12</v>
      </c>
      <c r="R26" t="s">
        <v>289</v>
      </c>
      <c r="S26" t="s">
        <v>291</v>
      </c>
      <c r="T26" t="n">
        <v>0.75</v>
      </c>
    </row>
    <row r="27">
      <c r="A27" t="s">
        <v>31</v>
      </c>
      <c r="B27" t="n">
        <v>1.07</v>
      </c>
      <c r="C27" t="n">
        <v>1.09</v>
      </c>
      <c r="D27" t="n">
        <v>1.14</v>
      </c>
      <c r="E27" t="n">
        <v>-8</v>
      </c>
      <c r="F27" t="n">
        <v>-0.5</v>
      </c>
      <c r="G27" t="n">
        <v>89</v>
      </c>
      <c r="H27" t="n">
        <v>12</v>
      </c>
      <c r="I27" t="s">
        <v>288</v>
      </c>
      <c r="J27" t="n">
        <v>0</v>
      </c>
      <c r="K27" t="n">
        <v>0</v>
      </c>
      <c r="L27" t="n">
        <v>0</v>
      </c>
      <c r="M27" t="n">
        <v>12</v>
      </c>
      <c r="N27" t="n">
        <v>0</v>
      </c>
      <c r="O27" t="n">
        <v>-0.5</v>
      </c>
      <c r="P27" t="n">
        <v>109</v>
      </c>
      <c r="Q27" t="n">
        <v>12</v>
      </c>
      <c r="R27" t="s">
        <v>297</v>
      </c>
      <c r="S27" t="s">
        <v>293</v>
      </c>
      <c r="T27" t="n">
        <v>-0.25</v>
      </c>
    </row>
    <row r="28">
      <c r="A28" t="s">
        <v>31</v>
      </c>
      <c r="B28" t="n">
        <v>0.96</v>
      </c>
      <c r="C28" t="n">
        <v>0.9</v>
      </c>
      <c r="D28" t="n">
        <v>0.97</v>
      </c>
      <c r="E28" t="n">
        <v>-6</v>
      </c>
      <c r="F28" t="n">
        <v>-1.5</v>
      </c>
      <c r="G28" t="n">
        <v>100</v>
      </c>
      <c r="H28" t="n">
        <v>12</v>
      </c>
      <c r="I28" t="s">
        <v>290</v>
      </c>
      <c r="J28" t="n">
        <v>0</v>
      </c>
      <c r="K28" t="n">
        <v>0</v>
      </c>
      <c r="L28" t="n">
        <v>0</v>
      </c>
      <c r="M28" t="n">
        <v>12</v>
      </c>
      <c r="N28" t="n">
        <v>0</v>
      </c>
      <c r="O28" t="n">
        <v>-0.5</v>
      </c>
      <c r="P28" t="n">
        <v>95</v>
      </c>
      <c r="Q28" t="n">
        <v>12</v>
      </c>
      <c r="R28" t="s">
        <v>290</v>
      </c>
      <c r="S28" t="s">
        <v>291</v>
      </c>
      <c r="T28" t="n">
        <v>-0.25</v>
      </c>
    </row>
    <row r="29">
      <c r="A29" t="s">
        <v>31</v>
      </c>
      <c r="B29" t="n">
        <v>0.91</v>
      </c>
      <c r="C29" t="n">
        <v>0.68</v>
      </c>
      <c r="D29" t="n">
        <v>0.91</v>
      </c>
      <c r="E29" t="n">
        <v>-1.25</v>
      </c>
      <c r="F29" t="n">
        <v>-0.25</v>
      </c>
      <c r="G29" t="n">
        <v>100</v>
      </c>
      <c r="H29" t="n">
        <v>12</v>
      </c>
      <c r="I29" t="s">
        <v>291</v>
      </c>
      <c r="J29" t="n">
        <v>0</v>
      </c>
      <c r="K29" t="n">
        <v>0</v>
      </c>
      <c r="L29" t="n">
        <v>0</v>
      </c>
      <c r="M29" t="n">
        <v>12</v>
      </c>
      <c r="N29" t="n">
        <v>-0.5</v>
      </c>
      <c r="O29" t="n">
        <v>-0.5</v>
      </c>
      <c r="P29" t="n">
        <v>74</v>
      </c>
      <c r="Q29" t="n">
        <v>12</v>
      </c>
      <c r="R29" t="s">
        <v>291</v>
      </c>
      <c r="S29" t="s">
        <v>299</v>
      </c>
      <c r="T29" t="n">
        <v>-0.75</v>
      </c>
    </row>
    <row r="30">
      <c r="A30" t="s">
        <v>31</v>
      </c>
      <c r="B30" t="n">
        <v>1.12</v>
      </c>
      <c r="C30" t="n">
        <v>0.91</v>
      </c>
      <c r="D30" t="n">
        <v>1.08</v>
      </c>
      <c r="E30" t="n">
        <v>-6</v>
      </c>
      <c r="F30" t="n">
        <v>-0.5</v>
      </c>
      <c r="G30" t="n">
        <v>4</v>
      </c>
      <c r="H30" t="n">
        <v>12</v>
      </c>
      <c r="I30" t="s">
        <v>293</v>
      </c>
      <c r="J30" t="n">
        <v>0</v>
      </c>
      <c r="K30" t="n">
        <v>0</v>
      </c>
      <c r="L30" t="n">
        <v>0</v>
      </c>
      <c r="M30" t="n">
        <v>12</v>
      </c>
      <c r="N30" t="n">
        <v>0</v>
      </c>
      <c r="O30" t="n">
        <v>-0.25</v>
      </c>
      <c r="P30" t="n">
        <v>179</v>
      </c>
      <c r="Q30" t="n">
        <v>12</v>
      </c>
      <c r="R30" t="s">
        <v>293</v>
      </c>
      <c r="S30" t="s">
        <v>291</v>
      </c>
      <c r="T30" t="n">
        <v>-0.25</v>
      </c>
    </row>
    <row r="31">
      <c r="A31" t="s">
        <v>31</v>
      </c>
      <c r="B31" t="n">
        <v>1.09</v>
      </c>
      <c r="C31" t="n">
        <v>0.91</v>
      </c>
      <c r="D31" t="n">
        <v>1.13</v>
      </c>
      <c r="E31" t="n">
        <v>-4.25</v>
      </c>
      <c r="F31" t="n">
        <v>-0.75</v>
      </c>
      <c r="G31" t="n">
        <v>159</v>
      </c>
      <c r="H31" t="n">
        <v>12</v>
      </c>
      <c r="I31" t="s">
        <v>293</v>
      </c>
      <c r="J31" t="n">
        <v>0</v>
      </c>
      <c r="K31" t="n">
        <v>0</v>
      </c>
      <c r="L31" t="n">
        <v>0</v>
      </c>
      <c r="M31" t="n">
        <v>12</v>
      </c>
      <c r="N31" t="n">
        <v>-0.5</v>
      </c>
      <c r="O31" t="n">
        <v>-0.25</v>
      </c>
      <c r="P31" t="n">
        <v>175</v>
      </c>
      <c r="Q31" t="n">
        <v>12</v>
      </c>
      <c r="R31" t="s">
        <v>297</v>
      </c>
      <c r="S31" t="s">
        <v>291</v>
      </c>
      <c r="T31" t="n">
        <v>-0.75</v>
      </c>
    </row>
    <row r="32">
      <c r="A32" t="s">
        <v>31</v>
      </c>
      <c r="B32" t="n">
        <v>0.94</v>
      </c>
      <c r="C32" t="n">
        <v>0.87</v>
      </c>
      <c r="D32" t="n">
        <v>0.93</v>
      </c>
      <c r="E32" t="n">
        <v>-4.75</v>
      </c>
      <c r="F32" t="n">
        <v>-1</v>
      </c>
      <c r="G32" t="n">
        <v>180</v>
      </c>
      <c r="H32" t="n">
        <v>12</v>
      </c>
      <c r="I32" t="s">
        <v>290</v>
      </c>
      <c r="J32" t="n">
        <v>0</v>
      </c>
      <c r="K32" t="n">
        <v>0</v>
      </c>
      <c r="L32" t="n">
        <v>0</v>
      </c>
      <c r="M32" t="n">
        <v>12</v>
      </c>
      <c r="N32" t="n">
        <v>0</v>
      </c>
      <c r="O32" t="n">
        <v>-0.25</v>
      </c>
      <c r="P32" t="n">
        <v>13</v>
      </c>
      <c r="Q32" t="n">
        <v>12</v>
      </c>
      <c r="R32" t="s">
        <v>291</v>
      </c>
      <c r="S32" t="s">
        <v>300</v>
      </c>
      <c r="T32" t="n">
        <v>0</v>
      </c>
    </row>
    <row r="33">
      <c r="A33" t="s">
        <v>31</v>
      </c>
      <c r="B33" t="n">
        <v>0.94</v>
      </c>
      <c r="C33" t="n">
        <v>0.8</v>
      </c>
      <c r="D33" t="n">
        <v>0.97</v>
      </c>
      <c r="E33" t="n">
        <v>-6</v>
      </c>
      <c r="F33" t="n">
        <v>-1.25</v>
      </c>
      <c r="G33" t="n">
        <v>179</v>
      </c>
      <c r="H33" t="n">
        <v>12</v>
      </c>
      <c r="I33" t="s">
        <v>290</v>
      </c>
      <c r="J33" t="n">
        <v>0</v>
      </c>
      <c r="K33" t="n">
        <v>0</v>
      </c>
      <c r="L33" t="n">
        <v>0</v>
      </c>
      <c r="M33" t="n">
        <v>12</v>
      </c>
      <c r="N33" t="n">
        <v>-0.5</v>
      </c>
      <c r="O33" t="n">
        <v>0</v>
      </c>
      <c r="P33" t="n">
        <v>12</v>
      </c>
      <c r="Q33" t="n">
        <v>12</v>
      </c>
      <c r="R33" t="s">
        <v>290</v>
      </c>
      <c r="S33" t="s">
        <v>292</v>
      </c>
      <c r="T33" t="n">
        <v>-0.5</v>
      </c>
    </row>
    <row r="34">
      <c r="A34" t="s">
        <v>31</v>
      </c>
      <c r="B34" t="n">
        <v>1.03</v>
      </c>
      <c r="C34" t="n">
        <v>0.88</v>
      </c>
      <c r="D34" t="n">
        <v>1.04</v>
      </c>
      <c r="E34" t="n">
        <v>-4.75</v>
      </c>
      <c r="F34" t="n">
        <v>-0.75</v>
      </c>
      <c r="G34" t="n">
        <v>6</v>
      </c>
      <c r="H34" t="n">
        <v>12</v>
      </c>
      <c r="I34" t="s">
        <v>288</v>
      </c>
      <c r="J34" t="n">
        <v>0</v>
      </c>
      <c r="K34" t="n">
        <v>0</v>
      </c>
      <c r="L34" t="n">
        <v>0</v>
      </c>
      <c r="M34" t="n">
        <v>12</v>
      </c>
      <c r="N34" t="n">
        <v>0.75</v>
      </c>
      <c r="O34" t="n">
        <v>0</v>
      </c>
      <c r="P34" t="n">
        <v>23</v>
      </c>
      <c r="Q34" t="n">
        <v>12</v>
      </c>
      <c r="R34" t="s">
        <v>288</v>
      </c>
      <c r="S34" t="s">
        <v>300</v>
      </c>
      <c r="T34" t="n">
        <v>0.75</v>
      </c>
    </row>
    <row r="35">
      <c r="A35" t="s">
        <v>31</v>
      </c>
      <c r="B35" t="n">
        <v>1.09</v>
      </c>
      <c r="C35" t="n">
        <v>1.04</v>
      </c>
      <c r="D35" t="n">
        <v>1.16</v>
      </c>
      <c r="E35" t="n">
        <v>-5</v>
      </c>
      <c r="F35" t="n">
        <v>0</v>
      </c>
      <c r="G35" t="n">
        <v>19</v>
      </c>
      <c r="H35" t="n">
        <v>12</v>
      </c>
      <c r="I35" t="s">
        <v>293</v>
      </c>
      <c r="J35" t="n">
        <v>0</v>
      </c>
      <c r="K35" t="n">
        <v>0</v>
      </c>
      <c r="L35" t="n">
        <v>0</v>
      </c>
      <c r="M35" t="n">
        <v>12</v>
      </c>
      <c r="N35" t="n">
        <v>0</v>
      </c>
      <c r="O35" t="n">
        <v>0</v>
      </c>
      <c r="P35" t="n">
        <v>52</v>
      </c>
      <c r="Q35" t="n">
        <v>12</v>
      </c>
      <c r="R35" t="s">
        <v>297</v>
      </c>
      <c r="S35" t="s">
        <v>288</v>
      </c>
      <c r="T35" t="n">
        <v>0</v>
      </c>
    </row>
    <row r="36">
      <c r="A36" t="s">
        <v>31</v>
      </c>
      <c r="B36" t="n">
        <v>1.11</v>
      </c>
      <c r="C36" t="n">
        <v>0.99</v>
      </c>
      <c r="D36" t="n">
        <v>1.13</v>
      </c>
      <c r="E36" t="n">
        <v>-7</v>
      </c>
      <c r="F36" t="n">
        <v>-0.5</v>
      </c>
      <c r="G36" t="n">
        <v>17</v>
      </c>
      <c r="H36" t="n">
        <v>12</v>
      </c>
      <c r="I36" t="s">
        <v>293</v>
      </c>
      <c r="J36" t="n">
        <v>0</v>
      </c>
      <c r="K36" t="n">
        <v>0</v>
      </c>
      <c r="L36" t="n">
        <v>0</v>
      </c>
      <c r="M36" t="n">
        <v>12</v>
      </c>
      <c r="N36" t="n">
        <v>-0.75</v>
      </c>
      <c r="O36" t="n">
        <v>0</v>
      </c>
      <c r="P36" t="n">
        <v>171</v>
      </c>
      <c r="Q36" t="n">
        <v>12</v>
      </c>
      <c r="R36" t="s">
        <v>297</v>
      </c>
      <c r="S36" t="s">
        <v>289</v>
      </c>
      <c r="T36" t="n">
        <v>-0.75</v>
      </c>
    </row>
    <row r="37">
      <c r="A37" t="s">
        <v>31</v>
      </c>
      <c r="B37" t="n">
        <v>1.08</v>
      </c>
      <c r="C37" t="n">
        <v>0.88</v>
      </c>
      <c r="D37" t="n">
        <v>1.1</v>
      </c>
      <c r="E37" t="n">
        <v>-2.75</v>
      </c>
      <c r="F37" t="n">
        <v>-0.25</v>
      </c>
      <c r="G37" t="n">
        <v>157</v>
      </c>
      <c r="H37" t="n">
        <v>12</v>
      </c>
      <c r="I37" t="s">
        <v>293</v>
      </c>
      <c r="J37" t="n">
        <v>0</v>
      </c>
      <c r="K37" t="n">
        <v>0</v>
      </c>
      <c r="L37" t="n">
        <v>0</v>
      </c>
      <c r="M37" t="n">
        <v>12</v>
      </c>
      <c r="N37" t="n">
        <v>0.5</v>
      </c>
      <c r="O37" t="n">
        <v>-0.25</v>
      </c>
      <c r="P37" t="n">
        <v>128</v>
      </c>
      <c r="Q37" t="n">
        <v>12</v>
      </c>
      <c r="R37" t="s">
        <v>293</v>
      </c>
      <c r="S37" t="s">
        <v>300</v>
      </c>
      <c r="T37" t="n">
        <v>0.5</v>
      </c>
    </row>
    <row r="38">
      <c r="A38" t="s">
        <v>31</v>
      </c>
      <c r="B38" t="n">
        <v>1.05</v>
      </c>
      <c r="C38" t="n">
        <v>1.01</v>
      </c>
      <c r="D38" t="n">
        <v>1.07</v>
      </c>
      <c r="E38" t="n">
        <v>-5</v>
      </c>
      <c r="F38" t="n">
        <v>-1.5</v>
      </c>
      <c r="G38" t="n">
        <v>0</v>
      </c>
      <c r="H38" t="n">
        <v>12</v>
      </c>
      <c r="I38" t="s">
        <v>288</v>
      </c>
      <c r="J38" t="n">
        <v>0</v>
      </c>
      <c r="K38" t="n">
        <v>0</v>
      </c>
      <c r="L38" t="n">
        <v>0</v>
      </c>
      <c r="M38" t="n">
        <v>12</v>
      </c>
      <c r="N38" t="n">
        <v>0</v>
      </c>
      <c r="O38" t="n">
        <v>0</v>
      </c>
      <c r="P38" t="n">
        <v>5</v>
      </c>
      <c r="Q38" t="n">
        <v>12</v>
      </c>
      <c r="R38" t="s">
        <v>288</v>
      </c>
      <c r="S38" t="s">
        <v>289</v>
      </c>
      <c r="T38" t="n">
        <v>0</v>
      </c>
    </row>
    <row r="39">
      <c r="A39" t="s">
        <v>31</v>
      </c>
      <c r="B39" t="n">
        <v>1.07</v>
      </c>
      <c r="C39" t="n">
        <v>0.91</v>
      </c>
      <c r="D39" t="n">
        <v>1.02</v>
      </c>
      <c r="E39" t="n">
        <v>-2</v>
      </c>
      <c r="F39" t="n">
        <v>0</v>
      </c>
      <c r="G39" t="n">
        <v>100</v>
      </c>
      <c r="H39" t="n">
        <v>12</v>
      </c>
      <c r="I39" t="s">
        <v>288</v>
      </c>
      <c r="J39" t="n">
        <v>0</v>
      </c>
      <c r="K39" t="n">
        <v>0</v>
      </c>
      <c r="L39" t="n">
        <v>0</v>
      </c>
      <c r="M39" t="n">
        <v>12</v>
      </c>
      <c r="N39" t="n">
        <v>-0.5</v>
      </c>
      <c r="O39" t="n">
        <v>-0.5</v>
      </c>
      <c r="P39" t="n">
        <v>87</v>
      </c>
      <c r="Q39" t="n">
        <v>12</v>
      </c>
      <c r="R39" t="s">
        <v>289</v>
      </c>
      <c r="S39" t="s">
        <v>291</v>
      </c>
      <c r="T39" t="n">
        <v>-0.75</v>
      </c>
    </row>
    <row r="40">
      <c r="A40" t="s">
        <v>31</v>
      </c>
      <c r="B40" t="n">
        <v>0.94</v>
      </c>
      <c r="C40" t="n">
        <v>0.91</v>
      </c>
      <c r="D40" t="n">
        <v>0.94</v>
      </c>
      <c r="E40" t="n">
        <v>-6.25</v>
      </c>
      <c r="F40" t="n">
        <v>-0.75</v>
      </c>
      <c r="G40" t="n">
        <v>13</v>
      </c>
      <c r="H40" t="n">
        <v>12</v>
      </c>
      <c r="I40" t="s">
        <v>290</v>
      </c>
      <c r="J40" t="n">
        <v>0</v>
      </c>
      <c r="K40" t="n">
        <v>0</v>
      </c>
      <c r="L40" t="n">
        <v>0</v>
      </c>
      <c r="M40" t="n">
        <v>12</v>
      </c>
      <c r="N40" t="n">
        <v>0</v>
      </c>
      <c r="O40" t="n">
        <v>0</v>
      </c>
      <c r="P40" t="n">
        <v>9</v>
      </c>
      <c r="Q40" t="n">
        <v>12</v>
      </c>
      <c r="R40" t="s">
        <v>290</v>
      </c>
      <c r="S40" t="s">
        <v>291</v>
      </c>
      <c r="T40" t="n">
        <v>0</v>
      </c>
    </row>
    <row r="41">
      <c r="A41" t="s">
        <v>31</v>
      </c>
      <c r="B41" t="n">
        <v>1.01</v>
      </c>
      <c r="C41" t="n">
        <v>0.99</v>
      </c>
      <c r="D41" t="n">
        <v>1.05</v>
      </c>
      <c r="E41" t="n">
        <v>-4.75</v>
      </c>
      <c r="F41" t="n">
        <v>0</v>
      </c>
      <c r="G41" t="n">
        <v>158</v>
      </c>
      <c r="H41" t="n">
        <v>12</v>
      </c>
      <c r="I41" t="s">
        <v>289</v>
      </c>
      <c r="J41" t="n">
        <v>0</v>
      </c>
      <c r="K41" t="n">
        <v>0</v>
      </c>
      <c r="L41" t="n">
        <v>0</v>
      </c>
      <c r="M41" t="n">
        <v>12</v>
      </c>
      <c r="N41" t="n">
        <v>0</v>
      </c>
      <c r="O41" t="n">
        <v>-0.25</v>
      </c>
      <c r="P41" t="n">
        <v>5</v>
      </c>
      <c r="Q41" t="n">
        <v>12</v>
      </c>
      <c r="R41" t="s">
        <v>288</v>
      </c>
      <c r="S41" t="s">
        <v>289</v>
      </c>
      <c r="T41" t="n">
        <v>-0.25</v>
      </c>
    </row>
    <row r="42">
      <c r="A42" t="s">
        <v>31</v>
      </c>
      <c r="B42" t="n">
        <v>1.09</v>
      </c>
      <c r="C42" t="n">
        <v>0.85</v>
      </c>
      <c r="D42" t="n">
        <v>1.06</v>
      </c>
      <c r="E42" t="n">
        <v>-4.25</v>
      </c>
      <c r="F42" t="n">
        <v>-1.75</v>
      </c>
      <c r="G42" t="n">
        <v>104</v>
      </c>
      <c r="H42" t="n">
        <v>12</v>
      </c>
      <c r="I42" t="s">
        <v>293</v>
      </c>
      <c r="J42" t="n">
        <v>0</v>
      </c>
      <c r="K42" t="n">
        <v>0</v>
      </c>
      <c r="L42" t="n">
        <v>0</v>
      </c>
      <c r="M42" t="n">
        <v>12</v>
      </c>
      <c r="N42" t="n">
        <v>-0.5</v>
      </c>
      <c r="O42" t="n">
        <v>-0.25</v>
      </c>
      <c r="P42" t="n">
        <v>99</v>
      </c>
      <c r="Q42" t="n">
        <v>12</v>
      </c>
      <c r="R42" t="s">
        <v>288</v>
      </c>
      <c r="S42" t="s">
        <v>298</v>
      </c>
      <c r="T42" t="n">
        <v>-0.75</v>
      </c>
    </row>
    <row r="43">
      <c r="A43" t="s">
        <v>31</v>
      </c>
      <c r="B43" t="n">
        <v>1.01</v>
      </c>
      <c r="C43" t="n">
        <v>0.84</v>
      </c>
      <c r="D43" t="n">
        <v>0.98</v>
      </c>
      <c r="E43" t="n">
        <v>-5.25</v>
      </c>
      <c r="F43" t="n">
        <v>-0.5</v>
      </c>
      <c r="G43" t="n">
        <v>38</v>
      </c>
      <c r="H43" t="n">
        <v>12</v>
      </c>
      <c r="I43" t="s">
        <v>289</v>
      </c>
      <c r="J43" t="n">
        <v>0</v>
      </c>
      <c r="K43" t="n">
        <v>0</v>
      </c>
      <c r="L43" t="n">
        <v>0</v>
      </c>
      <c r="M43" t="n">
        <v>12</v>
      </c>
      <c r="N43" t="n">
        <v>0</v>
      </c>
      <c r="O43" t="n">
        <v>-0.5</v>
      </c>
      <c r="P43" t="n">
        <v>3</v>
      </c>
      <c r="Q43" t="n">
        <v>12</v>
      </c>
      <c r="R43" t="s">
        <v>289</v>
      </c>
      <c r="S43" t="s">
        <v>298</v>
      </c>
      <c r="T43" t="n">
        <v>-0.25</v>
      </c>
    </row>
    <row r="44">
      <c r="A44" t="s">
        <v>31</v>
      </c>
      <c r="B44" t="n">
        <v>0.97</v>
      </c>
      <c r="C44" t="n">
        <v>0.78</v>
      </c>
      <c r="D44" t="n">
        <v>0.93</v>
      </c>
      <c r="E44" t="n">
        <v>-5.5</v>
      </c>
      <c r="F44" t="n">
        <v>-0.5</v>
      </c>
      <c r="G44" t="n">
        <v>179</v>
      </c>
      <c r="H44" t="n">
        <v>12</v>
      </c>
      <c r="I44" t="s">
        <v>290</v>
      </c>
      <c r="J44" t="n">
        <v>0</v>
      </c>
      <c r="K44" t="n">
        <v>0</v>
      </c>
      <c r="L44" t="n">
        <v>0</v>
      </c>
      <c r="M44" t="n">
        <v>12</v>
      </c>
      <c r="N44" t="n">
        <v>-0.5</v>
      </c>
      <c r="O44" t="n">
        <v>-0.75</v>
      </c>
      <c r="P44" t="n">
        <v>0</v>
      </c>
      <c r="Q44" t="n">
        <v>12</v>
      </c>
      <c r="R44" t="s">
        <v>291</v>
      </c>
      <c r="S44" t="s">
        <v>292</v>
      </c>
      <c r="T44" t="n">
        <v>-1</v>
      </c>
    </row>
    <row r="45">
      <c r="A45" t="s">
        <v>31</v>
      </c>
      <c r="B45" t="n">
        <v>1.01</v>
      </c>
      <c r="C45" t="n">
        <v>1.12</v>
      </c>
      <c r="D45" t="n">
        <v>1.07</v>
      </c>
      <c r="E45" t="n">
        <v>-5.5</v>
      </c>
      <c r="F45" t="n">
        <v>-0.75</v>
      </c>
      <c r="G45" t="n">
        <v>21</v>
      </c>
      <c r="H45" t="n">
        <v>12</v>
      </c>
      <c r="I45" t="s">
        <v>289</v>
      </c>
      <c r="J45" t="n">
        <v>0</v>
      </c>
      <c r="K45" t="n">
        <v>0</v>
      </c>
      <c r="L45" t="n">
        <v>0</v>
      </c>
      <c r="M45" t="n">
        <v>12</v>
      </c>
      <c r="N45" t="n">
        <v>0.5</v>
      </c>
      <c r="O45" t="n">
        <v>-0.5</v>
      </c>
      <c r="P45" t="n">
        <v>28</v>
      </c>
      <c r="Q45" t="n">
        <v>12</v>
      </c>
      <c r="R45" t="s">
        <v>288</v>
      </c>
      <c r="S45" t="s">
        <v>293</v>
      </c>
      <c r="T45" t="n">
        <v>0.25</v>
      </c>
    </row>
    <row r="46">
      <c r="A46" t="s">
        <v>31</v>
      </c>
      <c r="B46" t="n">
        <v>1</v>
      </c>
      <c r="C46" t="n">
        <v>0.94</v>
      </c>
      <c r="D46" t="n">
        <v>0.96</v>
      </c>
      <c r="E46" t="n">
        <v>-2.75</v>
      </c>
      <c r="F46" t="n">
        <v>-1</v>
      </c>
      <c r="G46" t="n">
        <v>77</v>
      </c>
      <c r="H46" t="n">
        <v>12</v>
      </c>
      <c r="I46" t="s">
        <v>289</v>
      </c>
      <c r="J46" t="n">
        <v>0</v>
      </c>
      <c r="K46" t="n">
        <v>0</v>
      </c>
      <c r="L46" t="n">
        <v>0</v>
      </c>
      <c r="M46" t="n">
        <v>12</v>
      </c>
      <c r="N46" t="n">
        <v>0</v>
      </c>
      <c r="O46" t="n">
        <v>0</v>
      </c>
      <c r="P46" t="n">
        <v>72</v>
      </c>
      <c r="Q46" t="n">
        <v>12</v>
      </c>
      <c r="R46" t="s">
        <v>290</v>
      </c>
      <c r="S46" t="s">
        <v>290</v>
      </c>
      <c r="T46" t="n">
        <v>0</v>
      </c>
    </row>
    <row r="47">
      <c r="A47" t="s">
        <v>31</v>
      </c>
      <c r="B47" t="n">
        <v>1.02</v>
      </c>
      <c r="C47" t="n">
        <v>0.99</v>
      </c>
      <c r="D47" t="n">
        <v>1.01</v>
      </c>
      <c r="E47" t="n">
        <v>-3.25</v>
      </c>
      <c r="F47" t="n">
        <v>-0.25</v>
      </c>
      <c r="G47" t="n">
        <v>85</v>
      </c>
      <c r="H47" t="n">
        <v>12</v>
      </c>
      <c r="I47" t="s">
        <v>289</v>
      </c>
      <c r="J47" t="n">
        <v>0</v>
      </c>
      <c r="K47" t="n">
        <v>0</v>
      </c>
      <c r="L47" t="n">
        <v>0</v>
      </c>
      <c r="M47" t="n">
        <v>12</v>
      </c>
      <c r="N47" t="n">
        <v>0</v>
      </c>
      <c r="O47" t="n">
        <v>-0.25</v>
      </c>
      <c r="P47" t="n">
        <v>78</v>
      </c>
      <c r="Q47" t="n">
        <v>12</v>
      </c>
      <c r="R47" t="s">
        <v>289</v>
      </c>
      <c r="S47" t="s">
        <v>289</v>
      </c>
      <c r="T47" t="n">
        <v>0</v>
      </c>
    </row>
    <row r="48">
      <c r="A48" t="s">
        <v>31</v>
      </c>
      <c r="B48" t="n">
        <v>1.15</v>
      </c>
      <c r="C48" t="n">
        <v>0.83</v>
      </c>
      <c r="D48" t="n">
        <v>1.08</v>
      </c>
      <c r="E48" t="n">
        <v>-4.5</v>
      </c>
      <c r="F48" t="n">
        <v>-2.5</v>
      </c>
      <c r="G48" t="n">
        <v>104</v>
      </c>
      <c r="H48" t="n">
        <v>12</v>
      </c>
      <c r="I48" t="s">
        <v>297</v>
      </c>
      <c r="J48" t="n">
        <v>0</v>
      </c>
      <c r="K48" t="n">
        <v>0</v>
      </c>
      <c r="L48" t="n">
        <v>0</v>
      </c>
      <c r="M48" t="n">
        <v>12</v>
      </c>
      <c r="N48" t="n">
        <v>1</v>
      </c>
      <c r="O48" t="n">
        <v>-0.25</v>
      </c>
      <c r="P48" t="n">
        <v>105</v>
      </c>
      <c r="Q48" t="n">
        <v>12</v>
      </c>
      <c r="R48" t="s">
        <v>293</v>
      </c>
      <c r="S48" t="s">
        <v>298</v>
      </c>
      <c r="T48" t="n">
        <v>0.75</v>
      </c>
    </row>
    <row r="49">
      <c r="A49" t="s">
        <v>31</v>
      </c>
      <c r="B49" t="n">
        <v>0.89</v>
      </c>
      <c r="C49" t="n">
        <v>0.89</v>
      </c>
      <c r="D49" t="n">
        <v>0.92</v>
      </c>
      <c r="E49" t="n">
        <v>-4.25</v>
      </c>
      <c r="F49" t="n">
        <v>-0.25</v>
      </c>
      <c r="G49" t="n">
        <v>2</v>
      </c>
      <c r="H49" t="n">
        <v>12</v>
      </c>
      <c r="I49" t="s">
        <v>300</v>
      </c>
      <c r="J49" t="n">
        <v>0</v>
      </c>
      <c r="K49" t="n">
        <v>0</v>
      </c>
      <c r="L49" t="n">
        <v>0</v>
      </c>
      <c r="M49" t="n">
        <v>12</v>
      </c>
      <c r="N49" t="n">
        <v>0</v>
      </c>
      <c r="O49" t="n">
        <v>0</v>
      </c>
      <c r="P49" t="n">
        <v>82</v>
      </c>
      <c r="Q49" t="n">
        <v>12</v>
      </c>
      <c r="R49" t="s">
        <v>291</v>
      </c>
      <c r="S49" t="s">
        <v>300</v>
      </c>
      <c r="T49" t="n">
        <v>0</v>
      </c>
    </row>
    <row r="50">
      <c r="A50" t="s">
        <v>31</v>
      </c>
      <c r="B50" t="n">
        <v>0.94</v>
      </c>
      <c r="C50" t="n">
        <v>0.77</v>
      </c>
      <c r="D50" t="n">
        <v>0.94</v>
      </c>
      <c r="E50" t="n">
        <v>-4.25</v>
      </c>
      <c r="F50" t="n">
        <v>-0.25</v>
      </c>
      <c r="G50" t="n">
        <v>10</v>
      </c>
      <c r="H50" t="n">
        <v>12</v>
      </c>
      <c r="I50" t="s">
        <v>290</v>
      </c>
      <c r="J50" t="n">
        <v>0</v>
      </c>
      <c r="K50" t="n">
        <v>0</v>
      </c>
      <c r="L50" t="n">
        <v>0</v>
      </c>
      <c r="M50" t="n">
        <v>12</v>
      </c>
      <c r="N50" t="n">
        <v>-0.5</v>
      </c>
      <c r="O50" t="n">
        <v>-0.25</v>
      </c>
      <c r="P50" t="n">
        <v>172</v>
      </c>
      <c r="Q50" t="n">
        <v>12</v>
      </c>
      <c r="R50" t="s">
        <v>290</v>
      </c>
      <c r="S50" t="s">
        <v>301</v>
      </c>
      <c r="T50" t="n">
        <v>-0.5</v>
      </c>
    </row>
    <row r="51">
      <c r="A51" t="s">
        <v>31</v>
      </c>
      <c r="B51" t="n">
        <v>1.04</v>
      </c>
      <c r="C51" t="n">
        <v>0.94</v>
      </c>
      <c r="D51" t="n">
        <v>0.99</v>
      </c>
      <c r="E51" t="n">
        <v>-3.5</v>
      </c>
      <c r="F51" t="n">
        <v>0</v>
      </c>
      <c r="G51" t="n">
        <v>78</v>
      </c>
      <c r="H51" t="n">
        <v>12</v>
      </c>
      <c r="I51" t="s">
        <v>288</v>
      </c>
      <c r="J51" t="n">
        <v>0</v>
      </c>
      <c r="K51" t="n">
        <v>0</v>
      </c>
      <c r="L51" t="n">
        <v>0</v>
      </c>
      <c r="M51" t="n">
        <v>12</v>
      </c>
      <c r="N51" t="n">
        <v>0.5</v>
      </c>
      <c r="O51" t="n">
        <v>-0.25</v>
      </c>
      <c r="P51" t="n">
        <v>64</v>
      </c>
      <c r="Q51" t="n">
        <v>12</v>
      </c>
      <c r="R51" t="s">
        <v>289</v>
      </c>
      <c r="S51" t="s">
        <v>290</v>
      </c>
      <c r="T51" t="n">
        <v>0.25</v>
      </c>
    </row>
    <row r="52">
      <c r="A52" t="s">
        <v>31</v>
      </c>
      <c r="B52" t="n">
        <v>1.04</v>
      </c>
      <c r="C52" t="n">
        <v>0.85</v>
      </c>
      <c r="D52" t="n">
        <v>1.11</v>
      </c>
      <c r="E52" t="n">
        <v>-5.75</v>
      </c>
      <c r="F52" t="n">
        <v>-0.5</v>
      </c>
      <c r="G52" t="n">
        <v>87</v>
      </c>
      <c r="H52" t="n">
        <v>12</v>
      </c>
      <c r="I52" t="s">
        <v>288</v>
      </c>
      <c r="J52" t="n">
        <v>0</v>
      </c>
      <c r="K52" t="n">
        <v>0</v>
      </c>
      <c r="L52" t="n">
        <v>0</v>
      </c>
      <c r="M52" t="n">
        <v>12</v>
      </c>
      <c r="N52" t="n">
        <v>-0.5</v>
      </c>
      <c r="O52" t="n">
        <v>-0.25</v>
      </c>
      <c r="P52" t="n">
        <v>90</v>
      </c>
      <c r="Q52" t="n">
        <v>12</v>
      </c>
      <c r="R52" t="s">
        <v>293</v>
      </c>
      <c r="S52" t="s">
        <v>298</v>
      </c>
      <c r="T52" t="n">
        <v>-0.75</v>
      </c>
    </row>
    <row r="53">
      <c r="A53" t="s">
        <v>31</v>
      </c>
      <c r="B53" t="n">
        <v>1.13</v>
      </c>
      <c r="C53" t="n">
        <v>1.04</v>
      </c>
      <c r="D53" t="n">
        <v>1.08</v>
      </c>
      <c r="E53" t="n">
        <v>-3.5</v>
      </c>
      <c r="F53" t="n">
        <v>-1.25</v>
      </c>
      <c r="G53" t="n">
        <v>165</v>
      </c>
      <c r="H53" t="n">
        <v>12</v>
      </c>
      <c r="I53" t="s">
        <v>297</v>
      </c>
      <c r="J53" t="n">
        <v>0</v>
      </c>
      <c r="K53" t="n">
        <v>0</v>
      </c>
      <c r="L53" t="n">
        <v>0</v>
      </c>
      <c r="M53" t="n">
        <v>12</v>
      </c>
      <c r="N53" t="n">
        <v>0.5</v>
      </c>
      <c r="O53" t="n">
        <v>-0.25</v>
      </c>
      <c r="P53" t="n">
        <v>156</v>
      </c>
      <c r="Q53" t="n">
        <v>12</v>
      </c>
      <c r="R53" t="s">
        <v>293</v>
      </c>
      <c r="S53" t="s">
        <v>288</v>
      </c>
      <c r="T53" t="n">
        <v>0.25</v>
      </c>
    </row>
    <row r="54">
      <c r="A54" t="s">
        <v>31</v>
      </c>
      <c r="B54" t="n">
        <v>1.05</v>
      </c>
      <c r="C54" t="n">
        <v>0.87</v>
      </c>
      <c r="D54" t="n">
        <v>1.08</v>
      </c>
      <c r="E54" t="n">
        <v>0</v>
      </c>
      <c r="F54" t="n">
        <v>-1.25</v>
      </c>
      <c r="G54" t="n">
        <v>13</v>
      </c>
      <c r="H54" t="n">
        <v>12</v>
      </c>
      <c r="I54" t="s">
        <v>288</v>
      </c>
      <c r="J54" t="n">
        <v>0</v>
      </c>
      <c r="K54" t="n">
        <v>0</v>
      </c>
      <c r="L54" t="n">
        <v>0</v>
      </c>
      <c r="M54" t="n">
        <v>12</v>
      </c>
      <c r="N54" t="n">
        <v>0</v>
      </c>
      <c r="O54" t="n">
        <v>-0.5</v>
      </c>
      <c r="P54" t="n">
        <v>164</v>
      </c>
      <c r="Q54" t="n">
        <v>12</v>
      </c>
      <c r="R54" t="s">
        <v>293</v>
      </c>
      <c r="S54" t="s">
        <v>300</v>
      </c>
      <c r="T54" t="n">
        <v>-0.25</v>
      </c>
    </row>
    <row r="55">
      <c r="A55" t="s">
        <v>31</v>
      </c>
      <c r="B55" t="n">
        <v>0.91</v>
      </c>
      <c r="C55" t="n">
        <v>0.79</v>
      </c>
      <c r="D55" t="n">
        <v>0.88</v>
      </c>
      <c r="E55" t="n">
        <v>-6.75</v>
      </c>
      <c r="F55" t="n">
        <v>0</v>
      </c>
      <c r="G55" t="n">
        <v>84</v>
      </c>
      <c r="H55" t="n">
        <v>12</v>
      </c>
      <c r="I55" t="s">
        <v>291</v>
      </c>
      <c r="J55" t="n">
        <v>0</v>
      </c>
      <c r="K55" t="n">
        <v>0</v>
      </c>
      <c r="L55" t="n">
        <v>0</v>
      </c>
      <c r="M55" t="n">
        <v>12</v>
      </c>
      <c r="N55" t="n">
        <v>0</v>
      </c>
      <c r="O55" t="n">
        <v>-0.25</v>
      </c>
      <c r="P55" t="n">
        <v>161</v>
      </c>
      <c r="Q55" t="n">
        <v>12</v>
      </c>
      <c r="R55" t="s">
        <v>300</v>
      </c>
      <c r="S55" t="s">
        <v>292</v>
      </c>
      <c r="T55" t="n">
        <v>0</v>
      </c>
    </row>
    <row r="56">
      <c r="A56" t="s">
        <v>31</v>
      </c>
      <c r="B56" t="n">
        <v>0.98</v>
      </c>
      <c r="C56" t="n">
        <v>0.8</v>
      </c>
      <c r="D56" t="n">
        <v>0.95</v>
      </c>
      <c r="E56" t="n">
        <v>-3.25</v>
      </c>
      <c r="F56" t="n">
        <v>-1</v>
      </c>
      <c r="G56" t="n">
        <v>176</v>
      </c>
      <c r="H56" t="n">
        <v>12</v>
      </c>
      <c r="I56" t="s">
        <v>289</v>
      </c>
      <c r="J56" t="n">
        <v>0</v>
      </c>
      <c r="K56" t="n">
        <v>0</v>
      </c>
      <c r="L56" t="n">
        <v>0</v>
      </c>
      <c r="M56" t="n">
        <v>12</v>
      </c>
      <c r="N56" t="n">
        <v>-0.5</v>
      </c>
      <c r="O56" t="n">
        <v>-0.25</v>
      </c>
      <c r="P56" t="n">
        <v>31</v>
      </c>
      <c r="Q56" t="n">
        <v>12</v>
      </c>
      <c r="R56" t="s">
        <v>290</v>
      </c>
      <c r="S56" t="s">
        <v>292</v>
      </c>
      <c r="T56" t="n">
        <v>-0.5</v>
      </c>
    </row>
    <row r="57">
      <c r="A57" t="s">
        <v>31</v>
      </c>
      <c r="B57" t="n">
        <v>0.95</v>
      </c>
      <c r="C57" t="n">
        <v>0.89</v>
      </c>
      <c r="D57" t="n">
        <v>0.94</v>
      </c>
      <c r="E57" t="n">
        <v>-3.5</v>
      </c>
      <c r="F57" t="n">
        <v>-2.75</v>
      </c>
      <c r="G57" t="n">
        <v>8</v>
      </c>
      <c r="H57" t="n">
        <v>12</v>
      </c>
      <c r="I57" t="s">
        <v>290</v>
      </c>
      <c r="J57" t="n">
        <v>0</v>
      </c>
      <c r="K57" t="n">
        <v>0</v>
      </c>
      <c r="L57" t="n">
        <v>0</v>
      </c>
      <c r="M57" t="n">
        <v>12</v>
      </c>
      <c r="N57" t="n">
        <v>0</v>
      </c>
      <c r="O57" t="n">
        <v>-0.25</v>
      </c>
      <c r="P57" t="n">
        <v>177</v>
      </c>
      <c r="Q57" t="n">
        <v>12</v>
      </c>
      <c r="R57" t="s">
        <v>290</v>
      </c>
      <c r="S57" t="s">
        <v>300</v>
      </c>
      <c r="T57" t="n">
        <v>-0.25</v>
      </c>
    </row>
    <row r="58">
      <c r="A58" t="s">
        <v>31</v>
      </c>
      <c r="B58" t="n">
        <v>0.97</v>
      </c>
      <c r="C58" t="n">
        <v>0.77</v>
      </c>
      <c r="D58" t="n">
        <v>0.93</v>
      </c>
      <c r="E58" t="n">
        <v>-3.5</v>
      </c>
      <c r="F58" t="n">
        <v>0</v>
      </c>
      <c r="G58" t="n">
        <v>174</v>
      </c>
      <c r="H58" t="n">
        <v>12</v>
      </c>
      <c r="I58" t="s">
        <v>290</v>
      </c>
      <c r="J58" t="n">
        <v>0</v>
      </c>
      <c r="K58" t="n">
        <v>0</v>
      </c>
      <c r="L58" t="n">
        <v>0</v>
      </c>
      <c r="M58" t="n">
        <v>12</v>
      </c>
      <c r="N58" t="n">
        <v>0.5</v>
      </c>
      <c r="O58" t="n">
        <v>-0.25</v>
      </c>
      <c r="P58" t="n">
        <v>116</v>
      </c>
      <c r="Q58" t="n">
        <v>12</v>
      </c>
      <c r="R58" t="s">
        <v>291</v>
      </c>
      <c r="S58" t="s">
        <v>301</v>
      </c>
      <c r="T58" t="n">
        <v>0.25</v>
      </c>
    </row>
    <row r="59">
      <c r="A59" t="s">
        <v>31</v>
      </c>
      <c r="B59" t="n">
        <v>1.04</v>
      </c>
      <c r="C59" t="n">
        <v>0.87</v>
      </c>
      <c r="D59" t="n">
        <v>1</v>
      </c>
      <c r="E59" t="n">
        <v>-0.75</v>
      </c>
      <c r="F59" t="n">
        <v>-0.75</v>
      </c>
      <c r="G59" t="n">
        <v>103</v>
      </c>
      <c r="H59" t="n">
        <v>12</v>
      </c>
      <c r="I59" t="s">
        <v>288</v>
      </c>
      <c r="J59" t="n">
        <v>0</v>
      </c>
      <c r="K59" t="n">
        <v>0</v>
      </c>
      <c r="L59" t="n">
        <v>0</v>
      </c>
      <c r="M59" t="n">
        <v>12</v>
      </c>
      <c r="N59" t="n">
        <v>0</v>
      </c>
      <c r="O59" t="n">
        <v>0</v>
      </c>
      <c r="P59" t="n">
        <v>88</v>
      </c>
      <c r="Q59" t="n">
        <v>12</v>
      </c>
      <c r="R59" t="s">
        <v>289</v>
      </c>
      <c r="S59" t="s">
        <v>300</v>
      </c>
      <c r="T59" t="n">
        <v>0</v>
      </c>
    </row>
    <row r="60">
      <c r="A60" t="s">
        <v>31</v>
      </c>
      <c r="B60" t="n">
        <v>1.02</v>
      </c>
      <c r="C60" t="n">
        <v>1.02</v>
      </c>
      <c r="D60" t="n">
        <v>1.09</v>
      </c>
      <c r="E60" t="n">
        <v>-3.5</v>
      </c>
      <c r="F60" t="n">
        <v>0</v>
      </c>
      <c r="G60" t="n">
        <v>78</v>
      </c>
      <c r="H60" t="n">
        <v>12</v>
      </c>
      <c r="I60" t="s">
        <v>289</v>
      </c>
      <c r="J60" t="n">
        <v>0</v>
      </c>
      <c r="K60" t="n">
        <v>0</v>
      </c>
      <c r="L60" t="n">
        <v>0</v>
      </c>
      <c r="M60" t="n">
        <v>12</v>
      </c>
      <c r="N60" t="n">
        <v>-0.25</v>
      </c>
      <c r="O60" t="n">
        <v>0</v>
      </c>
      <c r="P60" t="n">
        <v>88</v>
      </c>
      <c r="Q60" t="n">
        <v>12</v>
      </c>
      <c r="R60" t="s">
        <v>293</v>
      </c>
      <c r="S60" t="s">
        <v>289</v>
      </c>
      <c r="T60" t="n">
        <v>-0.25</v>
      </c>
    </row>
    <row r="61">
      <c r="A61" t="s">
        <v>31</v>
      </c>
      <c r="B61" t="n">
        <v>1.01</v>
      </c>
      <c r="C61" t="n">
        <v>0.85</v>
      </c>
      <c r="D61" t="n">
        <v>0.99</v>
      </c>
      <c r="E61" t="n">
        <v>-6</v>
      </c>
      <c r="F61" t="n">
        <v>-0.5</v>
      </c>
      <c r="G61" t="n">
        <v>2</v>
      </c>
      <c r="H61" t="n">
        <v>12</v>
      </c>
      <c r="I61" t="s">
        <v>289</v>
      </c>
      <c r="J61" t="n">
        <v>0</v>
      </c>
      <c r="K61" t="n">
        <v>0</v>
      </c>
      <c r="L61" t="n">
        <v>0</v>
      </c>
      <c r="M61" t="n">
        <v>12</v>
      </c>
      <c r="N61" t="n">
        <v>-0.5</v>
      </c>
      <c r="O61" t="n">
        <v>-0.25</v>
      </c>
      <c r="P61" t="n">
        <v>0</v>
      </c>
      <c r="Q61" t="n">
        <v>12</v>
      </c>
      <c r="R61" t="s">
        <v>289</v>
      </c>
      <c r="S61" t="s">
        <v>298</v>
      </c>
      <c r="T61" t="n">
        <v>-0.5</v>
      </c>
    </row>
    <row r="62">
      <c r="A62" t="s">
        <v>31</v>
      </c>
      <c r="B62" t="n">
        <v>0.96</v>
      </c>
      <c r="C62" t="n">
        <v>0.81</v>
      </c>
      <c r="D62" t="n">
        <v>0.96</v>
      </c>
      <c r="E62" t="n">
        <v>-2.5</v>
      </c>
      <c r="F62" t="n">
        <v>-0.75</v>
      </c>
      <c r="G62" t="n">
        <v>81</v>
      </c>
      <c r="H62" t="n">
        <v>12</v>
      </c>
      <c r="I62" t="s">
        <v>290</v>
      </c>
      <c r="J62" t="n">
        <v>0</v>
      </c>
      <c r="K62" t="n">
        <v>0</v>
      </c>
      <c r="L62" t="n">
        <v>0</v>
      </c>
      <c r="M62" t="n">
        <v>12</v>
      </c>
      <c r="N62" t="n">
        <v>-0.25</v>
      </c>
      <c r="O62" t="n">
        <v>-0.5</v>
      </c>
      <c r="P62" t="n">
        <v>85</v>
      </c>
      <c r="Q62" t="n">
        <v>12</v>
      </c>
      <c r="R62" t="s">
        <v>290</v>
      </c>
      <c r="S62" t="s">
        <v>292</v>
      </c>
      <c r="T62" t="n">
        <v>-0.5</v>
      </c>
    </row>
    <row r="63">
      <c r="A63" t="s">
        <v>31</v>
      </c>
      <c r="B63" t="n">
        <v>1.06</v>
      </c>
      <c r="C63" t="n">
        <v>1</v>
      </c>
      <c r="D63" t="n">
        <v>1.14</v>
      </c>
      <c r="E63" t="n">
        <v>-1</v>
      </c>
      <c r="F63" t="n">
        <v>-1.5</v>
      </c>
      <c r="G63" t="n">
        <v>165</v>
      </c>
      <c r="H63" t="n">
        <v>12</v>
      </c>
      <c r="I63" t="s">
        <v>288</v>
      </c>
      <c r="J63" t="n">
        <v>0</v>
      </c>
      <c r="K63" t="n">
        <v>0</v>
      </c>
      <c r="L63" t="n">
        <v>0</v>
      </c>
      <c r="M63" t="n">
        <v>12</v>
      </c>
      <c r="N63" t="n">
        <v>0</v>
      </c>
      <c r="O63" t="n">
        <v>-0.5</v>
      </c>
      <c r="P63" t="n">
        <v>179</v>
      </c>
      <c r="Q63" t="n">
        <v>12</v>
      </c>
      <c r="R63" t="s">
        <v>297</v>
      </c>
      <c r="S63" t="s">
        <v>289</v>
      </c>
      <c r="T63" t="n">
        <v>-0.25</v>
      </c>
    </row>
    <row r="64">
      <c r="A64" t="s">
        <v>31</v>
      </c>
      <c r="B64" t="n">
        <v>1</v>
      </c>
      <c r="C64" t="n">
        <v>0.93</v>
      </c>
      <c r="D64" t="n">
        <v>1</v>
      </c>
      <c r="E64" t="n">
        <v>-2</v>
      </c>
      <c r="F64" t="n">
        <v>-1.25</v>
      </c>
      <c r="G64" t="n">
        <v>102</v>
      </c>
      <c r="H64" t="n">
        <v>12</v>
      </c>
      <c r="I64" t="s">
        <v>289</v>
      </c>
      <c r="J64" t="n">
        <v>0</v>
      </c>
      <c r="K64" t="n">
        <v>0</v>
      </c>
      <c r="L64" t="n">
        <v>0</v>
      </c>
      <c r="M64" t="n">
        <v>12</v>
      </c>
      <c r="N64" t="n">
        <v>0.25</v>
      </c>
      <c r="O64" t="n">
        <v>-0.5</v>
      </c>
      <c r="P64" t="n">
        <v>100</v>
      </c>
      <c r="Q64" t="n">
        <v>12</v>
      </c>
      <c r="R64" t="s">
        <v>289</v>
      </c>
      <c r="S64" t="s">
        <v>291</v>
      </c>
      <c r="T64" t="n">
        <v>0</v>
      </c>
    </row>
    <row r="65">
      <c r="A65" t="s">
        <v>31</v>
      </c>
      <c r="B65" t="n">
        <v>1.05</v>
      </c>
      <c r="C65" t="n">
        <v>0.94</v>
      </c>
      <c r="D65" t="n">
        <v>1</v>
      </c>
      <c r="E65" t="n">
        <v>-5.75</v>
      </c>
      <c r="F65" t="n">
        <v>-0.5</v>
      </c>
      <c r="G65" t="n">
        <v>18</v>
      </c>
      <c r="H65" t="n">
        <v>12</v>
      </c>
      <c r="I65" t="s">
        <v>288</v>
      </c>
      <c r="J65" t="n">
        <v>0</v>
      </c>
      <c r="K65" t="n">
        <v>0</v>
      </c>
      <c r="L65" t="n">
        <v>0</v>
      </c>
      <c r="M65" t="n">
        <v>12</v>
      </c>
      <c r="N65" t="n">
        <v>0</v>
      </c>
      <c r="O65" t="n">
        <v>-0.25</v>
      </c>
      <c r="P65" t="n">
        <v>166</v>
      </c>
      <c r="Q65" t="n">
        <v>12</v>
      </c>
      <c r="R65" t="s">
        <v>289</v>
      </c>
      <c r="S65" t="s">
        <v>290</v>
      </c>
      <c r="T65" t="n">
        <v>0</v>
      </c>
    </row>
    <row r="66">
      <c r="A66" t="s">
        <v>31</v>
      </c>
      <c r="B66" t="n">
        <v>1.11</v>
      </c>
      <c r="C66" t="n">
        <v>0.93</v>
      </c>
      <c r="D66" t="n">
        <v>1.09</v>
      </c>
      <c r="E66" t="n">
        <v>-2</v>
      </c>
      <c r="F66" t="n">
        <v>-1</v>
      </c>
      <c r="G66" t="n">
        <v>176</v>
      </c>
      <c r="H66" t="n">
        <v>12</v>
      </c>
      <c r="I66" t="s">
        <v>293</v>
      </c>
      <c r="J66" t="n">
        <v>0</v>
      </c>
      <c r="K66" t="n">
        <v>0</v>
      </c>
      <c r="L66" t="n">
        <v>0</v>
      </c>
      <c r="M66" t="n">
        <v>12</v>
      </c>
      <c r="N66" t="n">
        <v>-0.5</v>
      </c>
      <c r="O66" t="n">
        <v>-0.25</v>
      </c>
      <c r="P66" t="n">
        <v>21</v>
      </c>
      <c r="Q66" t="n">
        <v>12</v>
      </c>
      <c r="R66" t="s">
        <v>293</v>
      </c>
      <c r="S66" t="s">
        <v>291</v>
      </c>
      <c r="T66" t="n">
        <v>-0.75</v>
      </c>
    </row>
    <row r="67">
      <c r="A67" t="s">
        <v>31</v>
      </c>
      <c r="B67" t="n">
        <v>1.01</v>
      </c>
      <c r="C67" t="n">
        <v>0.96</v>
      </c>
      <c r="D67" t="n">
        <v>1</v>
      </c>
      <c r="E67" t="n">
        <v>-3.75</v>
      </c>
      <c r="F67" t="n">
        <v>-0.5</v>
      </c>
      <c r="G67" t="n">
        <v>167</v>
      </c>
      <c r="H67" t="n">
        <v>12</v>
      </c>
      <c r="I67" t="s">
        <v>289</v>
      </c>
      <c r="J67" t="n">
        <v>0</v>
      </c>
      <c r="K67" t="n">
        <v>0</v>
      </c>
      <c r="L67" t="n">
        <v>0</v>
      </c>
      <c r="M67" t="n">
        <v>12</v>
      </c>
      <c r="N67" t="n">
        <v>-0.25</v>
      </c>
      <c r="O67" t="n">
        <v>0</v>
      </c>
      <c r="P67" t="n">
        <v>64</v>
      </c>
      <c r="Q67" t="n">
        <v>12</v>
      </c>
      <c r="R67" t="s">
        <v>289</v>
      </c>
      <c r="S67" t="s">
        <v>290</v>
      </c>
      <c r="T67" t="n">
        <v>-0.25</v>
      </c>
    </row>
    <row r="68">
      <c r="A68" t="s">
        <v>31</v>
      </c>
      <c r="B68" t="n">
        <v>1.01</v>
      </c>
      <c r="C68" t="n">
        <v>0.73</v>
      </c>
      <c r="D68" t="n">
        <v>0.96</v>
      </c>
      <c r="E68" t="n">
        <v>-1.25</v>
      </c>
      <c r="F68" t="n">
        <v>0</v>
      </c>
      <c r="G68" t="n">
        <v>178</v>
      </c>
      <c r="H68" t="n">
        <v>12</v>
      </c>
      <c r="I68" t="s">
        <v>289</v>
      </c>
      <c r="J68" t="n">
        <v>0</v>
      </c>
      <c r="K68" t="n">
        <v>0</v>
      </c>
      <c r="L68" t="n">
        <v>0</v>
      </c>
      <c r="M68" t="n">
        <v>12</v>
      </c>
      <c r="N68" t="n">
        <v>0.5</v>
      </c>
      <c r="O68" t="n">
        <v>-0.25</v>
      </c>
      <c r="P68" t="n">
        <v>41</v>
      </c>
      <c r="Q68" t="n">
        <v>12</v>
      </c>
      <c r="R68" t="s">
        <v>290</v>
      </c>
      <c r="S68" t="s">
        <v>302</v>
      </c>
      <c r="T68" t="n">
        <v>0.5</v>
      </c>
    </row>
    <row r="69">
      <c r="A69" t="s">
        <v>31</v>
      </c>
      <c r="B69" t="n">
        <v>0.94</v>
      </c>
      <c r="C69" t="n">
        <v>0.79</v>
      </c>
      <c r="D69" t="n">
        <v>0.89</v>
      </c>
      <c r="E69" t="n">
        <v>-5</v>
      </c>
      <c r="F69" t="n">
        <v>-1</v>
      </c>
      <c r="G69" t="n">
        <v>18</v>
      </c>
      <c r="H69" t="n">
        <v>12</v>
      </c>
      <c r="I69" t="s">
        <v>290</v>
      </c>
      <c r="J69" t="n">
        <v>0</v>
      </c>
      <c r="K69" t="n">
        <v>0</v>
      </c>
      <c r="L69" t="n">
        <v>0</v>
      </c>
      <c r="M69" t="n">
        <v>12</v>
      </c>
      <c r="N69" t="n">
        <v>-0.5</v>
      </c>
      <c r="O69" t="n">
        <v>-0.25</v>
      </c>
      <c r="P69" t="n">
        <v>174</v>
      </c>
      <c r="Q69" t="n">
        <v>12</v>
      </c>
      <c r="R69" t="s">
        <v>300</v>
      </c>
      <c r="S69" t="s">
        <v>292</v>
      </c>
      <c r="T69" t="n">
        <v>-0.5</v>
      </c>
    </row>
    <row r="70">
      <c r="A70" t="s">
        <v>31</v>
      </c>
      <c r="B70" t="n">
        <v>0.92</v>
      </c>
      <c r="C70" t="n">
        <v>0.61</v>
      </c>
      <c r="D70" t="n">
        <v>0.91</v>
      </c>
      <c r="E70" t="n">
        <v>-4.75</v>
      </c>
      <c r="F70" t="n">
        <v>-1</v>
      </c>
      <c r="G70" t="n">
        <v>161</v>
      </c>
      <c r="H70" t="n">
        <v>12</v>
      </c>
      <c r="I70" t="s">
        <v>291</v>
      </c>
      <c r="J70" t="n">
        <v>0</v>
      </c>
      <c r="K70" t="n">
        <v>0</v>
      </c>
      <c r="L70" t="n">
        <v>0</v>
      </c>
      <c r="M70" t="n">
        <v>12</v>
      </c>
      <c r="N70" t="n">
        <v>-1</v>
      </c>
      <c r="O70" t="n">
        <v>-0.25</v>
      </c>
      <c r="P70" t="n">
        <v>100</v>
      </c>
      <c r="Q70" t="n">
        <v>12</v>
      </c>
      <c r="R70" t="s">
        <v>291</v>
      </c>
      <c r="S70" t="s">
        <v>303</v>
      </c>
      <c r="T70" t="n">
        <v>-1</v>
      </c>
    </row>
    <row r="71">
      <c r="A71" t="s">
        <v>31</v>
      </c>
      <c r="B71" t="n">
        <v>1.25</v>
      </c>
      <c r="C71" t="n">
        <v>1.24</v>
      </c>
      <c r="D71" t="n">
        <v>1.28</v>
      </c>
      <c r="E71" t="n">
        <v>-0.5</v>
      </c>
      <c r="F71" t="n">
        <v>-2.75</v>
      </c>
      <c r="G71" t="n">
        <v>20</v>
      </c>
      <c r="H71" t="n">
        <v>12</v>
      </c>
      <c r="I71" t="s">
        <v>296</v>
      </c>
      <c r="J71" t="n">
        <v>0</v>
      </c>
      <c r="K71" t="n">
        <v>0</v>
      </c>
      <c r="L71" t="n">
        <v>0</v>
      </c>
      <c r="M71" t="n">
        <v>12</v>
      </c>
      <c r="N71" t="n">
        <v>-0.25</v>
      </c>
      <c r="O71" t="n">
        <v>0</v>
      </c>
      <c r="P71" t="n">
        <v>26</v>
      </c>
      <c r="Q71" t="n">
        <v>12</v>
      </c>
      <c r="R71" t="s">
        <v>296</v>
      </c>
      <c r="S71" t="s">
        <v>296</v>
      </c>
      <c r="T71" t="n">
        <v>-0.25</v>
      </c>
    </row>
    <row r="72">
      <c r="A72" t="s">
        <v>31</v>
      </c>
      <c r="B72" t="n">
        <v>1</v>
      </c>
      <c r="C72" t="n">
        <v>0.95</v>
      </c>
      <c r="D72" t="n">
        <v>0.97</v>
      </c>
      <c r="E72" t="n">
        <v>-4.75</v>
      </c>
      <c r="F72" t="n">
        <v>-0.5</v>
      </c>
      <c r="G72" t="n">
        <v>12</v>
      </c>
      <c r="H72" t="n">
        <v>12</v>
      </c>
      <c r="I72" t="s">
        <v>289</v>
      </c>
      <c r="J72" t="n">
        <v>0</v>
      </c>
      <c r="K72" t="n">
        <v>0</v>
      </c>
      <c r="L72" t="n">
        <v>0</v>
      </c>
      <c r="M72" t="n">
        <v>12</v>
      </c>
      <c r="N72" t="n">
        <v>0</v>
      </c>
      <c r="O72" t="n">
        <v>-0.25</v>
      </c>
      <c r="P72" t="n">
        <v>54</v>
      </c>
      <c r="Q72" t="n">
        <v>12</v>
      </c>
      <c r="R72" t="s">
        <v>290</v>
      </c>
      <c r="S72" t="s">
        <v>290</v>
      </c>
      <c r="T72" t="n">
        <v>0</v>
      </c>
    </row>
    <row r="73">
      <c r="A73" t="s">
        <v>31</v>
      </c>
      <c r="B73" t="n">
        <v>0.91</v>
      </c>
      <c r="C73" t="n">
        <v>0.83</v>
      </c>
      <c r="D73" t="n">
        <v>0.95</v>
      </c>
      <c r="E73" t="n">
        <v>-2.5</v>
      </c>
      <c r="F73" t="n">
        <v>-0.25</v>
      </c>
      <c r="G73" t="n">
        <v>37</v>
      </c>
      <c r="H73" t="n">
        <v>12</v>
      </c>
      <c r="I73" t="s">
        <v>291</v>
      </c>
      <c r="J73" t="n">
        <v>0</v>
      </c>
      <c r="K73" t="n">
        <v>0</v>
      </c>
      <c r="L73" t="n">
        <v>0</v>
      </c>
      <c r="M73" t="n">
        <v>12</v>
      </c>
      <c r="N73" t="n">
        <v>0</v>
      </c>
      <c r="O73" t="n">
        <v>-0.25</v>
      </c>
      <c r="P73" t="n">
        <v>48</v>
      </c>
      <c r="Q73" t="n">
        <v>12</v>
      </c>
      <c r="R73" t="s">
        <v>290</v>
      </c>
      <c r="S73" t="s">
        <v>298</v>
      </c>
      <c r="T73" t="n">
        <v>-0.25</v>
      </c>
    </row>
    <row r="74">
      <c r="A74" t="s">
        <v>31</v>
      </c>
      <c r="B74" t="n">
        <v>1.14</v>
      </c>
      <c r="C74" t="n">
        <v>0.81</v>
      </c>
      <c r="D74" t="n">
        <v>1.1</v>
      </c>
      <c r="E74" t="n">
        <v>-4.75</v>
      </c>
      <c r="F74" t="n">
        <v>-1</v>
      </c>
      <c r="G74" t="n">
        <v>12</v>
      </c>
      <c r="H74" t="n">
        <v>12</v>
      </c>
      <c r="I74" t="s">
        <v>297</v>
      </c>
      <c r="J74" t="n">
        <v>0</v>
      </c>
      <c r="K74" t="n">
        <v>0</v>
      </c>
      <c r="L74" t="n">
        <v>0</v>
      </c>
      <c r="M74" t="n">
        <v>12</v>
      </c>
      <c r="N74" t="n">
        <v>-1</v>
      </c>
      <c r="O74" t="n">
        <v>-0.25</v>
      </c>
      <c r="P74" t="n">
        <v>32</v>
      </c>
      <c r="Q74" t="n">
        <v>12</v>
      </c>
      <c r="R74" t="s">
        <v>293</v>
      </c>
      <c r="S74" t="s">
        <v>292</v>
      </c>
      <c r="T74" t="n">
        <v>-1</v>
      </c>
    </row>
    <row r="75">
      <c r="A75" t="s">
        <v>31</v>
      </c>
      <c r="B75" t="n">
        <v>1</v>
      </c>
      <c r="C75" t="n">
        <v>0.92</v>
      </c>
      <c r="D75" t="n">
        <v>0.95</v>
      </c>
      <c r="E75" t="n">
        <v>-3.25</v>
      </c>
      <c r="F75" t="n">
        <v>-0.75</v>
      </c>
      <c r="G75" t="n">
        <v>180</v>
      </c>
      <c r="H75" t="n">
        <v>12</v>
      </c>
      <c r="I75" t="s">
        <v>289</v>
      </c>
      <c r="J75" t="n">
        <v>0</v>
      </c>
      <c r="K75" t="n">
        <v>0</v>
      </c>
      <c r="L75" t="n">
        <v>0</v>
      </c>
      <c r="M75" t="n">
        <v>12</v>
      </c>
      <c r="N75" t="n">
        <v>-0.25</v>
      </c>
      <c r="O75" t="n">
        <v>-0.5</v>
      </c>
      <c r="P75" t="n">
        <v>167</v>
      </c>
      <c r="Q75" t="n">
        <v>12</v>
      </c>
      <c r="R75" t="s">
        <v>290</v>
      </c>
      <c r="S75" t="s">
        <v>291</v>
      </c>
      <c r="T75" t="n">
        <v>-0.5</v>
      </c>
    </row>
    <row r="76">
      <c r="A76" t="s">
        <v>31</v>
      </c>
      <c r="B76" t="n">
        <v>1.09</v>
      </c>
      <c r="C76" t="n">
        <v>0.97</v>
      </c>
      <c r="D76" t="n">
        <v>1.15</v>
      </c>
      <c r="E76" t="n">
        <v>-8.5</v>
      </c>
      <c r="F76" t="n">
        <v>-0.5</v>
      </c>
      <c r="G76" t="n">
        <v>103</v>
      </c>
      <c r="H76" t="n">
        <v>12</v>
      </c>
      <c r="I76" t="s">
        <v>293</v>
      </c>
      <c r="J76" t="n">
        <v>0</v>
      </c>
      <c r="K76" t="n">
        <v>0</v>
      </c>
      <c r="L76" t="n">
        <v>0</v>
      </c>
      <c r="M76" t="n">
        <v>12</v>
      </c>
      <c r="N76" t="n">
        <v>0.5</v>
      </c>
      <c r="O76" t="n">
        <v>-0.25</v>
      </c>
      <c r="P76" t="n">
        <v>89</v>
      </c>
      <c r="Q76" t="n">
        <v>12</v>
      </c>
      <c r="R76" t="s">
        <v>297</v>
      </c>
      <c r="S76" t="s">
        <v>290</v>
      </c>
      <c r="T76" t="n">
        <v>0.5</v>
      </c>
    </row>
    <row r="77">
      <c r="A77" t="s">
        <v>31</v>
      </c>
      <c r="B77" t="n">
        <v>0.98</v>
      </c>
      <c r="C77" t="n">
        <v>0.82</v>
      </c>
      <c r="D77" t="n">
        <v>1.01</v>
      </c>
      <c r="E77" t="n">
        <v>-4</v>
      </c>
      <c r="F77" t="n">
        <v>-0.25</v>
      </c>
      <c r="G77" t="n">
        <v>78</v>
      </c>
      <c r="H77" t="n">
        <v>12</v>
      </c>
      <c r="I77" t="s">
        <v>289</v>
      </c>
      <c r="J77" t="n">
        <v>0</v>
      </c>
      <c r="K77" t="n">
        <v>0</v>
      </c>
      <c r="L77" t="n">
        <v>0</v>
      </c>
      <c r="M77" t="n">
        <v>12</v>
      </c>
      <c r="N77" t="n">
        <v>-1</v>
      </c>
      <c r="O77" t="n">
        <v>-0.25</v>
      </c>
      <c r="P77" t="n">
        <v>78</v>
      </c>
      <c r="Q77" t="n">
        <v>12</v>
      </c>
      <c r="R77" t="s">
        <v>289</v>
      </c>
      <c r="S77" t="s">
        <v>298</v>
      </c>
      <c r="T77" t="n">
        <v>-1</v>
      </c>
    </row>
    <row r="78">
      <c r="A78" t="s">
        <v>31</v>
      </c>
      <c r="B78" t="n">
        <v>1.04</v>
      </c>
      <c r="C78" t="n">
        <v>0.9</v>
      </c>
      <c r="D78" t="n">
        <v>1.06</v>
      </c>
      <c r="E78" t="n">
        <v>-6.5</v>
      </c>
      <c r="F78" t="n">
        <v>-0.5</v>
      </c>
      <c r="G78" t="n">
        <v>12</v>
      </c>
      <c r="H78" t="n">
        <v>12</v>
      </c>
      <c r="I78" t="s">
        <v>288</v>
      </c>
      <c r="J78" t="n">
        <v>0</v>
      </c>
      <c r="K78" t="n">
        <v>0</v>
      </c>
      <c r="L78" t="n">
        <v>0</v>
      </c>
      <c r="M78" t="n">
        <v>12</v>
      </c>
      <c r="N78" t="n">
        <v>0</v>
      </c>
      <c r="O78" t="n">
        <v>-0.25</v>
      </c>
      <c r="P78" t="n">
        <v>5</v>
      </c>
      <c r="Q78" t="n">
        <v>12</v>
      </c>
      <c r="R78" t="s">
        <v>288</v>
      </c>
      <c r="S78" t="s">
        <v>291</v>
      </c>
      <c r="T78" t="n">
        <v>-0.25</v>
      </c>
    </row>
    <row r="79">
      <c r="A79" t="s">
        <v>31</v>
      </c>
      <c r="B79" t="n">
        <v>1.1</v>
      </c>
      <c r="C79" t="n">
        <v>0.95</v>
      </c>
      <c r="D79" t="n">
        <v>1.11</v>
      </c>
      <c r="E79" t="n">
        <v>-6.75</v>
      </c>
      <c r="F79" t="n">
        <v>-0.25</v>
      </c>
      <c r="G79" t="n">
        <v>21</v>
      </c>
      <c r="H79" t="n">
        <v>12</v>
      </c>
      <c r="I79" t="s">
        <v>293</v>
      </c>
      <c r="J79" t="n">
        <v>0</v>
      </c>
      <c r="K79" t="n">
        <v>0</v>
      </c>
      <c r="L79" t="n">
        <v>0</v>
      </c>
      <c r="M79" t="n">
        <v>12</v>
      </c>
      <c r="N79" t="n">
        <v>0</v>
      </c>
      <c r="O79" t="n">
        <v>-0.25</v>
      </c>
      <c r="P79" t="n">
        <v>35</v>
      </c>
      <c r="Q79" t="n">
        <v>12</v>
      </c>
      <c r="R79" t="s">
        <v>293</v>
      </c>
      <c r="S79" t="s">
        <v>290</v>
      </c>
      <c r="T79" t="n">
        <v>-0.25</v>
      </c>
    </row>
    <row r="80">
      <c r="A80" t="s">
        <v>31</v>
      </c>
      <c r="B80" t="n">
        <v>0.97</v>
      </c>
      <c r="C80" t="n">
        <v>0.59</v>
      </c>
      <c r="D80" t="n">
        <v>0.93</v>
      </c>
      <c r="E80" t="n">
        <v>-3.25</v>
      </c>
      <c r="F80" t="n">
        <v>-0.25</v>
      </c>
      <c r="G80" t="n">
        <v>169</v>
      </c>
      <c r="H80" t="n">
        <v>12</v>
      </c>
      <c r="I80" t="s">
        <v>290</v>
      </c>
      <c r="J80" t="n">
        <v>0</v>
      </c>
      <c r="K80" t="n">
        <v>0</v>
      </c>
      <c r="L80" t="n">
        <v>0</v>
      </c>
      <c r="M80" t="n">
        <v>12</v>
      </c>
      <c r="N80" t="n">
        <v>-1</v>
      </c>
      <c r="O80" t="n">
        <v>0</v>
      </c>
      <c r="P80" t="n">
        <v>82</v>
      </c>
      <c r="Q80" t="n">
        <v>12</v>
      </c>
      <c r="R80" t="s">
        <v>291</v>
      </c>
      <c r="S80" t="s">
        <v>303</v>
      </c>
      <c r="T80" t="n">
        <v>-1</v>
      </c>
    </row>
    <row r="81">
      <c r="A81" t="s">
        <v>31</v>
      </c>
      <c r="B81" t="n">
        <v>1.04</v>
      </c>
      <c r="C81" t="n">
        <v>0.89</v>
      </c>
      <c r="D81" t="n">
        <v>1.04</v>
      </c>
      <c r="E81" t="n">
        <v>-4</v>
      </c>
      <c r="F81" t="n">
        <v>-0.25</v>
      </c>
      <c r="G81" t="n">
        <v>12</v>
      </c>
      <c r="H81" t="n">
        <v>12</v>
      </c>
      <c r="I81" t="s">
        <v>288</v>
      </c>
      <c r="J81" t="n">
        <v>0</v>
      </c>
      <c r="K81" t="n">
        <v>0</v>
      </c>
      <c r="L81" t="n">
        <v>0</v>
      </c>
      <c r="M81" t="n">
        <v>12</v>
      </c>
      <c r="N81" t="n">
        <v>0.5</v>
      </c>
      <c r="O81" t="n">
        <v>-0.25</v>
      </c>
      <c r="P81" t="n">
        <v>3</v>
      </c>
      <c r="Q81" t="n">
        <v>12</v>
      </c>
      <c r="R81" t="s">
        <v>288</v>
      </c>
      <c r="S81" t="s">
        <v>300</v>
      </c>
      <c r="T81" t="n">
        <v>0.25</v>
      </c>
    </row>
    <row r="82">
      <c r="A82" t="s">
        <v>31</v>
      </c>
      <c r="B82" t="n">
        <v>1.08</v>
      </c>
      <c r="C82" t="n">
        <v>1.06</v>
      </c>
      <c r="D82" t="n">
        <v>1.17</v>
      </c>
      <c r="E82" t="n">
        <v>-4.5</v>
      </c>
      <c r="F82" t="n">
        <v>-0.75</v>
      </c>
      <c r="G82" t="n">
        <v>77</v>
      </c>
      <c r="H82" t="n">
        <v>12</v>
      </c>
      <c r="I82" t="s">
        <v>293</v>
      </c>
      <c r="J82" t="n">
        <v>0</v>
      </c>
      <c r="K82" t="n">
        <v>0</v>
      </c>
      <c r="L82" t="n">
        <v>0</v>
      </c>
      <c r="M82" t="n">
        <v>12</v>
      </c>
      <c r="N82" t="n">
        <v>-1</v>
      </c>
      <c r="O82" t="n">
        <v>-0.25</v>
      </c>
      <c r="P82" t="n">
        <v>117</v>
      </c>
      <c r="Q82" t="n">
        <v>12</v>
      </c>
      <c r="R82" t="s">
        <v>297</v>
      </c>
      <c r="S82" t="s">
        <v>288</v>
      </c>
      <c r="T82" t="n">
        <v>-1</v>
      </c>
    </row>
    <row r="83">
      <c r="A83" t="s">
        <v>31</v>
      </c>
      <c r="B83" t="n">
        <v>1.05</v>
      </c>
      <c r="C83" t="n">
        <v>0.85</v>
      </c>
      <c r="D83" t="n">
        <v>1.06</v>
      </c>
      <c r="E83" t="n">
        <v>-3</v>
      </c>
      <c r="F83" t="n">
        <v>-0.75</v>
      </c>
      <c r="G83" t="n">
        <v>7</v>
      </c>
      <c r="H83" t="n">
        <v>12</v>
      </c>
      <c r="I83" t="s">
        <v>288</v>
      </c>
      <c r="J83" t="n">
        <v>0</v>
      </c>
      <c r="K83" t="n">
        <v>0</v>
      </c>
      <c r="L83" t="n">
        <v>0</v>
      </c>
      <c r="M83" t="n">
        <v>12</v>
      </c>
      <c r="N83" t="n">
        <v>-0.75</v>
      </c>
      <c r="O83" t="n">
        <v>0</v>
      </c>
      <c r="P83" t="n">
        <v>13</v>
      </c>
      <c r="Q83" t="n">
        <v>12</v>
      </c>
      <c r="R83" t="s">
        <v>288</v>
      </c>
      <c r="S83" t="s">
        <v>298</v>
      </c>
      <c r="T83" t="n">
        <v>-0.75</v>
      </c>
    </row>
    <row r="84">
      <c r="A84" t="s">
        <v>31</v>
      </c>
      <c r="B84" t="n">
        <v>1.15</v>
      </c>
      <c r="C84" t="n">
        <v>1.07</v>
      </c>
      <c r="D84" t="n">
        <v>1.13</v>
      </c>
      <c r="E84" t="n">
        <v>-3</v>
      </c>
      <c r="F84" t="n">
        <v>-0.5</v>
      </c>
      <c r="G84" t="n">
        <v>12</v>
      </c>
      <c r="H84" t="n">
        <v>12</v>
      </c>
      <c r="I84" t="s">
        <v>297</v>
      </c>
      <c r="J84" t="n">
        <v>0</v>
      </c>
      <c r="K84" t="n">
        <v>0</v>
      </c>
      <c r="L84" t="n">
        <v>0</v>
      </c>
      <c r="M84" t="n">
        <v>12</v>
      </c>
      <c r="N84" t="n">
        <v>-0.5</v>
      </c>
      <c r="O84" t="n">
        <v>-0.25</v>
      </c>
      <c r="P84" t="n">
        <v>17</v>
      </c>
      <c r="Q84" t="n">
        <v>12</v>
      </c>
      <c r="R84" t="s">
        <v>297</v>
      </c>
      <c r="S84" t="s">
        <v>288</v>
      </c>
      <c r="T84" t="n">
        <v>-0.5</v>
      </c>
    </row>
    <row r="85">
      <c r="A85" t="s">
        <v>31</v>
      </c>
      <c r="B85" t="n">
        <v>0.96</v>
      </c>
      <c r="C85" t="n">
        <v>0.92</v>
      </c>
      <c r="D85" t="n">
        <v>1</v>
      </c>
      <c r="E85" t="n">
        <v>-5.25</v>
      </c>
      <c r="F85" t="n">
        <v>-0.5</v>
      </c>
      <c r="G85" t="n">
        <v>156</v>
      </c>
      <c r="H85" t="n">
        <v>12</v>
      </c>
      <c r="I85" t="s">
        <v>290</v>
      </c>
      <c r="J85" t="n">
        <v>0</v>
      </c>
      <c r="K85" t="n">
        <v>0</v>
      </c>
      <c r="L85" t="n">
        <v>0</v>
      </c>
      <c r="M85" t="n">
        <v>12</v>
      </c>
      <c r="N85" t="n">
        <v>0.5</v>
      </c>
      <c r="O85" t="n">
        <v>-0.5</v>
      </c>
      <c r="P85" t="n">
        <v>1</v>
      </c>
      <c r="Q85" t="n">
        <v>12</v>
      </c>
      <c r="R85" t="s">
        <v>289</v>
      </c>
      <c r="S85" t="s">
        <v>291</v>
      </c>
      <c r="T85" t="n">
        <v>0.25</v>
      </c>
    </row>
    <row r="86">
      <c r="A86" t="s">
        <v>31</v>
      </c>
      <c r="B86" t="n">
        <v>0.97</v>
      </c>
      <c r="C86" t="n">
        <v>0.76</v>
      </c>
      <c r="D86" t="n">
        <v>0.96</v>
      </c>
      <c r="E86" t="n">
        <v>-3.75</v>
      </c>
      <c r="F86" t="n">
        <v>-0.5</v>
      </c>
      <c r="G86" t="n">
        <v>174</v>
      </c>
      <c r="H86" t="n">
        <v>12</v>
      </c>
      <c r="I86" t="s">
        <v>290</v>
      </c>
      <c r="J86" t="n">
        <v>0</v>
      </c>
      <c r="K86" t="n">
        <v>0</v>
      </c>
      <c r="L86" t="n">
        <v>0</v>
      </c>
      <c r="M86" t="n">
        <v>12</v>
      </c>
      <c r="N86" t="n">
        <v>1</v>
      </c>
      <c r="O86" t="n">
        <v>-0.25</v>
      </c>
      <c r="P86" t="n">
        <v>9</v>
      </c>
      <c r="Q86" t="n">
        <v>12</v>
      </c>
      <c r="R86" t="s">
        <v>290</v>
      </c>
      <c r="S86" t="s">
        <v>301</v>
      </c>
      <c r="T86" t="n">
        <v>0.75</v>
      </c>
    </row>
    <row r="87">
      <c r="A87" t="s">
        <v>31</v>
      </c>
      <c r="B87" t="n">
        <v>1.08</v>
      </c>
      <c r="C87" t="n">
        <v>1.01</v>
      </c>
      <c r="D87" t="n">
        <v>1.1</v>
      </c>
      <c r="E87" t="n">
        <v>-1.75</v>
      </c>
      <c r="F87" t="n">
        <v>-1</v>
      </c>
      <c r="G87" t="n">
        <v>59</v>
      </c>
      <c r="H87" t="n">
        <v>12</v>
      </c>
      <c r="I87" t="s">
        <v>293</v>
      </c>
      <c r="J87" t="n">
        <v>0</v>
      </c>
      <c r="K87" t="n">
        <v>0</v>
      </c>
      <c r="L87" t="n">
        <v>0</v>
      </c>
      <c r="M87" t="n">
        <v>12</v>
      </c>
      <c r="N87" t="n">
        <v>0.5</v>
      </c>
      <c r="O87" t="n">
        <v>-0.5</v>
      </c>
      <c r="P87" t="n">
        <v>84</v>
      </c>
      <c r="Q87" t="n">
        <v>12</v>
      </c>
      <c r="R87" t="s">
        <v>293</v>
      </c>
      <c r="S87" t="s">
        <v>289</v>
      </c>
      <c r="T87" t="n">
        <v>0.25</v>
      </c>
    </row>
    <row r="88">
      <c r="A88" t="s">
        <v>31</v>
      </c>
      <c r="B88" t="n">
        <v>1.09</v>
      </c>
      <c r="C88" t="n">
        <v>0.94</v>
      </c>
      <c r="D88" t="n">
        <v>1.11</v>
      </c>
      <c r="E88" t="n">
        <v>-7.5</v>
      </c>
      <c r="F88" t="n">
        <v>-0.5</v>
      </c>
      <c r="G88" t="n">
        <v>76</v>
      </c>
      <c r="H88" t="n">
        <v>12</v>
      </c>
      <c r="I88" t="s">
        <v>293</v>
      </c>
      <c r="J88" t="n">
        <v>0</v>
      </c>
      <c r="K88" t="n">
        <v>0</v>
      </c>
      <c r="L88" t="n">
        <v>0</v>
      </c>
      <c r="M88" t="n">
        <v>12</v>
      </c>
      <c r="N88" t="n">
        <v>0.5</v>
      </c>
      <c r="O88" t="n">
        <v>-0.25</v>
      </c>
      <c r="P88" t="n">
        <v>50</v>
      </c>
      <c r="Q88" t="n">
        <v>12</v>
      </c>
      <c r="R88" t="s">
        <v>293</v>
      </c>
      <c r="S88" t="s">
        <v>290</v>
      </c>
      <c r="T88" t="n">
        <v>0.25</v>
      </c>
    </row>
    <row r="89">
      <c r="A89" t="s">
        <v>31</v>
      </c>
      <c r="B89" t="n">
        <v>1.02</v>
      </c>
      <c r="C89" t="n">
        <v>0.8</v>
      </c>
      <c r="D89" t="n">
        <v>1.03</v>
      </c>
      <c r="E89" t="n">
        <v>-3.5</v>
      </c>
      <c r="F89" t="n">
        <v>0</v>
      </c>
      <c r="G89" t="n">
        <v>179</v>
      </c>
      <c r="H89" t="n">
        <v>12</v>
      </c>
      <c r="I89" t="s">
        <v>289</v>
      </c>
      <c r="J89" t="n">
        <v>0</v>
      </c>
      <c r="K89" t="n">
        <v>0</v>
      </c>
      <c r="L89" t="n">
        <v>0</v>
      </c>
      <c r="M89" t="n">
        <v>12</v>
      </c>
      <c r="N89" t="n">
        <v>-0.75</v>
      </c>
      <c r="O89" t="n">
        <v>0</v>
      </c>
      <c r="P89" t="n">
        <v>20</v>
      </c>
      <c r="Q89" t="n">
        <v>12</v>
      </c>
      <c r="R89" t="s">
        <v>288</v>
      </c>
      <c r="S89" t="s">
        <v>292</v>
      </c>
      <c r="T89" t="n">
        <v>-0.75</v>
      </c>
    </row>
    <row r="90">
      <c r="A90" t="s">
        <v>31</v>
      </c>
      <c r="B90" t="n">
        <v>1.01</v>
      </c>
      <c r="C90" t="n">
        <v>0.94</v>
      </c>
      <c r="D90" t="n">
        <v>1.02</v>
      </c>
      <c r="E90" t="n">
        <v>-4.25</v>
      </c>
      <c r="F90" t="n">
        <v>-0.25</v>
      </c>
      <c r="G90" t="n">
        <v>100</v>
      </c>
      <c r="H90" t="n">
        <v>12</v>
      </c>
      <c r="I90" t="s">
        <v>289</v>
      </c>
      <c r="J90" t="n">
        <v>0</v>
      </c>
      <c r="K90" t="n">
        <v>0</v>
      </c>
      <c r="L90" t="n">
        <v>0</v>
      </c>
      <c r="M90" t="n">
        <v>12</v>
      </c>
      <c r="N90" t="n">
        <v>0</v>
      </c>
      <c r="O90" t="n">
        <v>-0.25</v>
      </c>
      <c r="P90" t="n">
        <v>102</v>
      </c>
      <c r="Q90" t="n">
        <v>12</v>
      </c>
      <c r="R90" t="s">
        <v>289</v>
      </c>
      <c r="S90" t="s">
        <v>290</v>
      </c>
      <c r="T90" t="n">
        <v>0</v>
      </c>
    </row>
    <row r="91">
      <c r="A91" t="s">
        <v>31</v>
      </c>
      <c r="B91" t="n">
        <v>0.87</v>
      </c>
      <c r="C91" t="n">
        <v>0.64</v>
      </c>
      <c r="D91" t="n">
        <v>0.84</v>
      </c>
      <c r="E91" t="n">
        <v>-3.75</v>
      </c>
      <c r="F91" t="n">
        <v>-0.75</v>
      </c>
      <c r="G91" t="n">
        <v>172</v>
      </c>
      <c r="H91" t="n">
        <v>12</v>
      </c>
      <c r="I91" t="s">
        <v>300</v>
      </c>
      <c r="J91" t="n">
        <v>0</v>
      </c>
      <c r="K91" t="n">
        <v>0</v>
      </c>
      <c r="L91" t="n">
        <v>0</v>
      </c>
      <c r="M91" t="n">
        <v>12</v>
      </c>
      <c r="N91" t="n">
        <v>0</v>
      </c>
      <c r="O91" t="n">
        <v>-0.25</v>
      </c>
      <c r="P91" t="n">
        <v>159</v>
      </c>
      <c r="Q91" t="n">
        <v>12</v>
      </c>
      <c r="R91" t="s">
        <v>298</v>
      </c>
      <c r="S91" t="s">
        <v>304</v>
      </c>
      <c r="T91" t="n">
        <v>-0.25</v>
      </c>
    </row>
    <row r="92">
      <c r="A92" t="s">
        <v>31</v>
      </c>
      <c r="B92" t="n">
        <v>1.09</v>
      </c>
      <c r="C92" t="n">
        <v>1.05</v>
      </c>
      <c r="D92" t="n">
        <v>1.18</v>
      </c>
      <c r="E92" t="n">
        <v>-3.25</v>
      </c>
      <c r="F92" t="n">
        <v>-0.5</v>
      </c>
      <c r="G92" t="n">
        <v>1</v>
      </c>
      <c r="H92" t="n">
        <v>12</v>
      </c>
      <c r="I92" t="s">
        <v>293</v>
      </c>
      <c r="J92" t="n">
        <v>0</v>
      </c>
      <c r="K92" t="n">
        <v>0</v>
      </c>
      <c r="L92" t="n">
        <v>0</v>
      </c>
      <c r="M92" t="n">
        <v>12</v>
      </c>
      <c r="N92" t="n">
        <v>0</v>
      </c>
      <c r="O92" t="n">
        <v>-0.25</v>
      </c>
      <c r="P92" t="n">
        <v>148</v>
      </c>
      <c r="Q92" t="n">
        <v>12</v>
      </c>
      <c r="R92" t="s">
        <v>294</v>
      </c>
      <c r="S92" t="s">
        <v>288</v>
      </c>
      <c r="T92" t="n">
        <v>-0.25</v>
      </c>
    </row>
    <row r="93">
      <c r="A93" t="s">
        <v>31</v>
      </c>
      <c r="B93" t="n">
        <v>1.12</v>
      </c>
      <c r="C93" t="n">
        <v>0.78</v>
      </c>
      <c r="D93" t="n">
        <v>1.06</v>
      </c>
      <c r="E93" t="n">
        <v>-6.75</v>
      </c>
      <c r="F93" t="n">
        <v>0</v>
      </c>
      <c r="G93" t="n">
        <v>22</v>
      </c>
      <c r="H93" t="n">
        <v>12</v>
      </c>
      <c r="I93" t="s">
        <v>293</v>
      </c>
      <c r="J93" t="n">
        <v>0</v>
      </c>
      <c r="K93" t="n">
        <v>0</v>
      </c>
      <c r="L93" t="n">
        <v>0</v>
      </c>
      <c r="M93" t="n">
        <v>12</v>
      </c>
      <c r="N93" t="n">
        <v>0</v>
      </c>
      <c r="O93" t="n">
        <v>-0.25</v>
      </c>
      <c r="P93" t="n">
        <v>97</v>
      </c>
      <c r="Q93" t="n">
        <v>12</v>
      </c>
      <c r="R93" t="s">
        <v>288</v>
      </c>
      <c r="S93" t="s">
        <v>292</v>
      </c>
      <c r="T93" t="n">
        <v>-0.25</v>
      </c>
    </row>
    <row r="94">
      <c r="A94" t="s">
        <v>31</v>
      </c>
      <c r="B94" t="n">
        <v>1.01</v>
      </c>
      <c r="C94" t="n">
        <v>0.89</v>
      </c>
      <c r="D94" t="n">
        <v>0.99</v>
      </c>
      <c r="E94" t="n">
        <v>-6</v>
      </c>
      <c r="F94" t="n">
        <v>0</v>
      </c>
      <c r="G94" t="n">
        <v>87</v>
      </c>
      <c r="H94" t="n">
        <v>12</v>
      </c>
      <c r="I94" t="s">
        <v>289</v>
      </c>
      <c r="J94" t="n">
        <v>0</v>
      </c>
      <c r="K94" t="n">
        <v>0</v>
      </c>
      <c r="L94" t="n">
        <v>0</v>
      </c>
      <c r="M94" t="n">
        <v>12</v>
      </c>
      <c r="N94" t="n">
        <v>-0.5</v>
      </c>
      <c r="O94" t="n">
        <v>-0.25</v>
      </c>
      <c r="P94" t="n">
        <v>160</v>
      </c>
      <c r="Q94" t="n">
        <v>12</v>
      </c>
      <c r="R94" t="s">
        <v>289</v>
      </c>
      <c r="S94" t="s">
        <v>300</v>
      </c>
      <c r="T94" t="n">
        <v>-0.5</v>
      </c>
    </row>
    <row r="95">
      <c r="A95" t="s">
        <v>31</v>
      </c>
      <c r="B95" t="n">
        <v>1.02</v>
      </c>
      <c r="C95" t="n">
        <v>0.88</v>
      </c>
      <c r="D95" t="n">
        <v>1.03</v>
      </c>
      <c r="E95" t="n">
        <v>-2.5</v>
      </c>
      <c r="F95" t="n">
        <v>-0.25</v>
      </c>
      <c r="G95" t="n">
        <v>177</v>
      </c>
      <c r="H95" t="n">
        <v>12</v>
      </c>
      <c r="I95" t="s">
        <v>289</v>
      </c>
      <c r="J95" t="n">
        <v>0</v>
      </c>
      <c r="K95" t="n">
        <v>0</v>
      </c>
      <c r="L95" t="n">
        <v>0</v>
      </c>
      <c r="M95" t="n">
        <v>12</v>
      </c>
      <c r="N95" t="n">
        <v>1</v>
      </c>
      <c r="O95" t="n">
        <v>-0.25</v>
      </c>
      <c r="P95" t="n">
        <v>161</v>
      </c>
      <c r="Q95" t="n">
        <v>12</v>
      </c>
      <c r="R95" t="s">
        <v>288</v>
      </c>
      <c r="S95" t="s">
        <v>300</v>
      </c>
      <c r="T95" t="n">
        <v>0.75</v>
      </c>
    </row>
    <row r="96">
      <c r="A96" t="s">
        <v>31</v>
      </c>
      <c r="B96" t="n">
        <v>1</v>
      </c>
      <c r="C96" t="n">
        <v>0.65</v>
      </c>
      <c r="D96" t="n">
        <v>0.93</v>
      </c>
      <c r="E96" t="n">
        <v>-5</v>
      </c>
      <c r="F96" t="n">
        <v>0</v>
      </c>
      <c r="G96" t="n">
        <v>92</v>
      </c>
      <c r="H96" t="n">
        <v>12</v>
      </c>
      <c r="I96" t="s">
        <v>289</v>
      </c>
      <c r="J96" t="n">
        <v>0</v>
      </c>
      <c r="K96" t="n">
        <v>0</v>
      </c>
      <c r="L96" t="n">
        <v>0</v>
      </c>
      <c r="M96" t="n">
        <v>12</v>
      </c>
      <c r="N96" t="n">
        <v>-1</v>
      </c>
      <c r="O96" t="n">
        <v>0</v>
      </c>
      <c r="P96" t="n">
        <v>108</v>
      </c>
      <c r="Q96" t="n">
        <v>12</v>
      </c>
      <c r="R96" t="s">
        <v>291</v>
      </c>
      <c r="S96" t="s">
        <v>305</v>
      </c>
      <c r="T96" t="n">
        <v>-1</v>
      </c>
    </row>
    <row r="97">
      <c r="A97" t="s">
        <v>31</v>
      </c>
      <c r="B97" t="n">
        <v>0.95</v>
      </c>
      <c r="C97" t="n">
        <v>0.68</v>
      </c>
      <c r="D97" t="n">
        <v>0.89</v>
      </c>
      <c r="E97" t="n">
        <v>-6.25</v>
      </c>
      <c r="F97" t="n">
        <v>-0.25</v>
      </c>
      <c r="G97" t="n">
        <v>84</v>
      </c>
      <c r="H97" t="n">
        <v>12</v>
      </c>
      <c r="I97" t="s">
        <v>290</v>
      </c>
      <c r="J97" t="n">
        <v>0</v>
      </c>
      <c r="K97" t="n">
        <v>0</v>
      </c>
      <c r="L97" t="n">
        <v>0</v>
      </c>
      <c r="M97" t="n">
        <v>12</v>
      </c>
      <c r="N97" t="n">
        <v>0.5</v>
      </c>
      <c r="O97" t="n">
        <v>0</v>
      </c>
      <c r="P97" t="n">
        <v>66</v>
      </c>
      <c r="Q97" t="n">
        <v>12</v>
      </c>
      <c r="R97" t="s">
        <v>300</v>
      </c>
      <c r="S97" t="s">
        <v>299</v>
      </c>
      <c r="T97" t="n">
        <v>0.5</v>
      </c>
    </row>
    <row r="98">
      <c r="A98" t="s">
        <v>31</v>
      </c>
      <c r="B98" t="n">
        <v>1.07</v>
      </c>
      <c r="C98" t="n">
        <v>0.83</v>
      </c>
      <c r="D98" t="n">
        <v>0.99</v>
      </c>
      <c r="E98" t="n">
        <v>-4.25</v>
      </c>
      <c r="F98" t="n">
        <v>-2</v>
      </c>
      <c r="G98" t="n">
        <v>39</v>
      </c>
      <c r="H98" t="n">
        <v>12</v>
      </c>
      <c r="I98" t="s">
        <v>288</v>
      </c>
      <c r="J98" t="n">
        <v>0</v>
      </c>
      <c r="K98" t="n">
        <v>0</v>
      </c>
      <c r="L98" t="n">
        <v>0</v>
      </c>
      <c r="M98" t="n">
        <v>12</v>
      </c>
      <c r="N98" t="n">
        <v>0</v>
      </c>
      <c r="O98" t="n">
        <v>-0.25</v>
      </c>
      <c r="P98" t="n">
        <v>32</v>
      </c>
      <c r="Q98" t="n">
        <v>12</v>
      </c>
      <c r="R98" t="s">
        <v>289</v>
      </c>
      <c r="S98" t="s">
        <v>298</v>
      </c>
      <c r="T98" t="n">
        <v>0</v>
      </c>
    </row>
    <row r="99">
      <c r="A99" t="s">
        <v>31</v>
      </c>
      <c r="B99" t="n">
        <v>1.07</v>
      </c>
      <c r="C99" t="n">
        <v>0.97</v>
      </c>
      <c r="D99" t="n">
        <v>1.06</v>
      </c>
      <c r="E99" t="n">
        <v>-6</v>
      </c>
      <c r="F99" t="n">
        <v>-1.25</v>
      </c>
      <c r="G99" t="n">
        <v>33</v>
      </c>
      <c r="H99" t="n">
        <v>12</v>
      </c>
      <c r="I99" t="s">
        <v>288</v>
      </c>
      <c r="J99" t="n">
        <v>0</v>
      </c>
      <c r="K99" t="n">
        <v>0</v>
      </c>
      <c r="L99" t="n">
        <v>0</v>
      </c>
      <c r="M99" t="n">
        <v>12</v>
      </c>
      <c r="N99" t="n">
        <v>0.5</v>
      </c>
      <c r="O99" t="n">
        <v>0</v>
      </c>
      <c r="P99" t="n">
        <v>20</v>
      </c>
      <c r="Q99" t="n">
        <v>12</v>
      </c>
      <c r="R99" t="s">
        <v>288</v>
      </c>
      <c r="S99" t="s">
        <v>290</v>
      </c>
      <c r="T99" t="n">
        <v>0.5</v>
      </c>
    </row>
    <row r="100">
      <c r="A100" t="s">
        <v>31</v>
      </c>
      <c r="B100" t="n">
        <v>1</v>
      </c>
      <c r="C100" t="n">
        <v>0.97</v>
      </c>
      <c r="D100" t="n">
        <v>1.03</v>
      </c>
      <c r="E100" t="n">
        <v>-4.25</v>
      </c>
      <c r="F100" t="n">
        <v>-0.75</v>
      </c>
      <c r="G100" t="n">
        <v>171</v>
      </c>
      <c r="H100" t="n">
        <v>12</v>
      </c>
      <c r="I100" t="s">
        <v>289</v>
      </c>
      <c r="J100" t="n">
        <v>0</v>
      </c>
      <c r="K100" t="n">
        <v>0</v>
      </c>
      <c r="L100" t="n">
        <v>0</v>
      </c>
      <c r="M100" t="n">
        <v>12</v>
      </c>
      <c r="N100" t="n">
        <v>-0.5</v>
      </c>
      <c r="O100" t="n">
        <v>0</v>
      </c>
      <c r="P100" t="n">
        <v>11</v>
      </c>
      <c r="Q100" t="n">
        <v>12</v>
      </c>
      <c r="R100" t="s">
        <v>288</v>
      </c>
      <c r="S100" t="s">
        <v>290</v>
      </c>
      <c r="T100" t="n">
        <v>-0.5</v>
      </c>
    </row>
    <row r="101">
      <c r="A101" t="s">
        <v>31</v>
      </c>
      <c r="B101" t="n">
        <v>1.02</v>
      </c>
      <c r="C101" t="n">
        <v>0.9</v>
      </c>
      <c r="D101" t="n">
        <v>1.01</v>
      </c>
      <c r="E101" t="n">
        <v>-4.25</v>
      </c>
      <c r="F101" t="n">
        <v>-0.5</v>
      </c>
      <c r="G101" t="n">
        <v>77</v>
      </c>
      <c r="H101" t="n">
        <v>12</v>
      </c>
      <c r="I101" t="s">
        <v>289</v>
      </c>
      <c r="J101" t="n">
        <v>0</v>
      </c>
      <c r="K101" t="n">
        <v>0</v>
      </c>
      <c r="L101" t="n">
        <v>0</v>
      </c>
      <c r="M101" t="n">
        <v>12</v>
      </c>
      <c r="N101" t="n">
        <v>0</v>
      </c>
      <c r="O101" t="n">
        <v>-0.25</v>
      </c>
      <c r="P101" t="n">
        <v>67</v>
      </c>
      <c r="Q101" t="n">
        <v>12</v>
      </c>
      <c r="R101" t="s">
        <v>289</v>
      </c>
      <c r="S101" t="s">
        <v>291</v>
      </c>
      <c r="T101" t="n">
        <v>0</v>
      </c>
    </row>
    <row r="102">
      <c r="A102" t="s">
        <v>31</v>
      </c>
      <c r="B102" t="n">
        <v>1.03</v>
      </c>
      <c r="C102" t="n">
        <v>0.92</v>
      </c>
      <c r="D102" t="n">
        <v>1.02</v>
      </c>
      <c r="E102" t="n">
        <v>-3.75</v>
      </c>
      <c r="F102" t="n">
        <v>-0.25</v>
      </c>
      <c r="G102" t="n">
        <v>140</v>
      </c>
      <c r="H102" t="n">
        <v>12</v>
      </c>
      <c r="I102" t="s">
        <v>288</v>
      </c>
      <c r="J102" t="n">
        <v>0</v>
      </c>
      <c r="K102" t="n">
        <v>0</v>
      </c>
      <c r="L102" t="n">
        <v>0</v>
      </c>
      <c r="M102" t="n">
        <v>12</v>
      </c>
      <c r="N102" t="n">
        <v>-0.5</v>
      </c>
      <c r="O102" t="n">
        <v>-0.25</v>
      </c>
      <c r="P102" t="n">
        <v>142</v>
      </c>
      <c r="Q102" t="n">
        <v>12</v>
      </c>
      <c r="R102" t="s">
        <v>289</v>
      </c>
      <c r="S102" t="s">
        <v>291</v>
      </c>
      <c r="T102" t="n">
        <v>-0.5</v>
      </c>
    </row>
    <row r="103">
      <c r="A103" t="s">
        <v>31</v>
      </c>
      <c r="B103" t="n">
        <v>0.96</v>
      </c>
      <c r="C103" t="n">
        <v>0.85</v>
      </c>
      <c r="D103" t="n">
        <v>1</v>
      </c>
      <c r="E103" t="n">
        <v>-3.75</v>
      </c>
      <c r="F103" t="n">
        <v>-0.5</v>
      </c>
      <c r="G103" t="n">
        <v>170</v>
      </c>
      <c r="H103" t="n">
        <v>12</v>
      </c>
      <c r="I103" t="s">
        <v>290</v>
      </c>
      <c r="J103" t="n">
        <v>0</v>
      </c>
      <c r="K103" t="n">
        <v>0</v>
      </c>
      <c r="L103" t="n">
        <v>0</v>
      </c>
      <c r="M103" t="n">
        <v>12</v>
      </c>
      <c r="N103" t="n">
        <v>0</v>
      </c>
      <c r="O103" t="n">
        <v>-0.25</v>
      </c>
      <c r="P103" t="n">
        <v>172</v>
      </c>
      <c r="Q103" t="n">
        <v>12</v>
      </c>
      <c r="R103" t="s">
        <v>289</v>
      </c>
      <c r="S103" t="s">
        <v>298</v>
      </c>
      <c r="T103" t="n">
        <v>-0.25</v>
      </c>
    </row>
    <row r="104">
      <c r="A104" t="s">
        <v>31</v>
      </c>
      <c r="B104" t="n">
        <v>1.02</v>
      </c>
      <c r="C104" t="n">
        <v>0.92</v>
      </c>
      <c r="D104" t="n">
        <v>1</v>
      </c>
      <c r="E104" t="n">
        <v>-1.75</v>
      </c>
      <c r="F104" t="n">
        <v>-1</v>
      </c>
      <c r="G104" t="n">
        <v>56</v>
      </c>
      <c r="H104" t="n">
        <v>12</v>
      </c>
      <c r="I104" t="s">
        <v>289</v>
      </c>
      <c r="J104" t="n">
        <v>0</v>
      </c>
      <c r="K104" t="n">
        <v>0</v>
      </c>
      <c r="L104" t="n">
        <v>0</v>
      </c>
      <c r="M104" t="n">
        <v>12</v>
      </c>
      <c r="N104" t="n">
        <v>0</v>
      </c>
      <c r="O104" t="n">
        <v>0</v>
      </c>
      <c r="P104" t="n">
        <v>53</v>
      </c>
      <c r="Q104" t="n">
        <v>12</v>
      </c>
      <c r="R104" t="s">
        <v>289</v>
      </c>
      <c r="S104" t="s">
        <v>291</v>
      </c>
      <c r="T104" t="n">
        <v>0</v>
      </c>
    </row>
    <row r="105">
      <c r="A105" t="s">
        <v>31</v>
      </c>
      <c r="B105" t="n">
        <v>1</v>
      </c>
      <c r="C105" t="n">
        <v>0.85</v>
      </c>
      <c r="D105" t="n">
        <v>0.95</v>
      </c>
      <c r="E105" t="n">
        <v>-8.5</v>
      </c>
      <c r="F105" t="n">
        <v>-0.5</v>
      </c>
      <c r="G105" t="n">
        <v>103</v>
      </c>
      <c r="H105" t="n">
        <v>12</v>
      </c>
      <c r="I105" t="s">
        <v>289</v>
      </c>
      <c r="J105" t="n">
        <v>0</v>
      </c>
      <c r="K105" t="n">
        <v>0</v>
      </c>
      <c r="L105" t="n">
        <v>0</v>
      </c>
      <c r="M105" t="n">
        <v>12</v>
      </c>
      <c r="N105" t="n">
        <v>0</v>
      </c>
      <c r="O105" t="n">
        <v>0</v>
      </c>
      <c r="P105" t="n">
        <v>27</v>
      </c>
      <c r="Q105" t="n">
        <v>12</v>
      </c>
      <c r="R105" t="s">
        <v>290</v>
      </c>
      <c r="S105" t="s">
        <v>298</v>
      </c>
      <c r="T105" t="n">
        <v>0</v>
      </c>
    </row>
    <row r="106">
      <c r="A106" t="s">
        <v>31</v>
      </c>
      <c r="B106" t="n">
        <v>0.99</v>
      </c>
      <c r="C106" t="n">
        <v>0.94</v>
      </c>
      <c r="D106" t="n">
        <v>1.02</v>
      </c>
      <c r="E106" t="n">
        <v>-8.75</v>
      </c>
      <c r="F106" t="n">
        <v>-1</v>
      </c>
      <c r="G106" t="n">
        <v>101</v>
      </c>
      <c r="H106" t="n">
        <v>12</v>
      </c>
      <c r="I106" t="s">
        <v>289</v>
      </c>
      <c r="J106" t="n">
        <v>0</v>
      </c>
      <c r="K106" t="n">
        <v>0</v>
      </c>
      <c r="L106" t="n">
        <v>0</v>
      </c>
      <c r="M106" t="n">
        <v>12</v>
      </c>
      <c r="N106" t="n">
        <v>0</v>
      </c>
      <c r="O106" t="n">
        <v>0</v>
      </c>
      <c r="P106" t="n">
        <v>32</v>
      </c>
      <c r="Q106" t="n">
        <v>12</v>
      </c>
      <c r="R106" t="s">
        <v>289</v>
      </c>
      <c r="S106" t="s">
        <v>290</v>
      </c>
      <c r="T106" t="n">
        <v>0</v>
      </c>
    </row>
    <row r="107">
      <c r="A107" t="s">
        <v>31</v>
      </c>
      <c r="B107" t="n">
        <v>0.99</v>
      </c>
      <c r="C107" t="n">
        <v>0.88</v>
      </c>
      <c r="D107" t="n">
        <v>0.96</v>
      </c>
      <c r="E107" t="n">
        <v>-4.5</v>
      </c>
      <c r="F107" t="n">
        <v>0</v>
      </c>
      <c r="G107" t="n">
        <v>155</v>
      </c>
      <c r="H107" t="n">
        <v>12</v>
      </c>
      <c r="I107" t="s">
        <v>289</v>
      </c>
      <c r="J107" t="n">
        <v>0</v>
      </c>
      <c r="K107" t="n">
        <v>0</v>
      </c>
      <c r="L107" t="n">
        <v>0</v>
      </c>
      <c r="M107" t="n">
        <v>12</v>
      </c>
      <c r="N107" t="n">
        <v>0</v>
      </c>
      <c r="O107" t="n">
        <v>-0.25</v>
      </c>
      <c r="P107" t="n">
        <v>161</v>
      </c>
      <c r="Q107" t="n">
        <v>12</v>
      </c>
      <c r="R107" t="s">
        <v>290</v>
      </c>
      <c r="S107" t="s">
        <v>300</v>
      </c>
      <c r="T107" t="n">
        <v>-0.25</v>
      </c>
    </row>
    <row r="108">
      <c r="A108" t="s">
        <v>31</v>
      </c>
      <c r="B108" t="n">
        <v>1.04</v>
      </c>
      <c r="C108" t="n">
        <v>1.02</v>
      </c>
      <c r="D108" t="n">
        <v>1.06</v>
      </c>
      <c r="E108" t="n">
        <v>-3</v>
      </c>
      <c r="F108" t="n">
        <v>-2</v>
      </c>
      <c r="G108" t="n">
        <v>170</v>
      </c>
      <c r="H108" t="n">
        <v>12</v>
      </c>
      <c r="I108" t="s">
        <v>288</v>
      </c>
      <c r="J108" t="n">
        <v>0</v>
      </c>
      <c r="K108" t="n">
        <v>0</v>
      </c>
      <c r="L108" t="n">
        <v>0</v>
      </c>
      <c r="M108" t="n">
        <v>12</v>
      </c>
      <c r="N108" t="n">
        <v>-0.25</v>
      </c>
      <c r="O108" t="n">
        <v>0</v>
      </c>
      <c r="P108" t="n">
        <v>164</v>
      </c>
      <c r="Q108" t="n">
        <v>12</v>
      </c>
      <c r="R108" t="s">
        <v>288</v>
      </c>
      <c r="S108" t="s">
        <v>289</v>
      </c>
      <c r="T108" t="n">
        <v>-0.25</v>
      </c>
    </row>
    <row r="109">
      <c r="A109" t="s">
        <v>31</v>
      </c>
      <c r="B109" t="n">
        <v>1.08</v>
      </c>
      <c r="C109" t="n">
        <v>0.87</v>
      </c>
      <c r="D109" t="n">
        <v>1.07</v>
      </c>
      <c r="E109" t="n">
        <v>-8</v>
      </c>
      <c r="F109" t="n">
        <v>-0.5</v>
      </c>
      <c r="G109" t="n">
        <v>103</v>
      </c>
      <c r="H109" t="n">
        <v>12</v>
      </c>
      <c r="I109" t="s">
        <v>293</v>
      </c>
      <c r="J109" t="n">
        <v>0</v>
      </c>
      <c r="K109" t="n">
        <v>0</v>
      </c>
      <c r="L109" t="n">
        <v>0</v>
      </c>
      <c r="M109" t="n">
        <v>12</v>
      </c>
      <c r="N109" t="n">
        <v>0.5</v>
      </c>
      <c r="O109" t="n">
        <v>-0.25</v>
      </c>
      <c r="P109" t="n">
        <v>103</v>
      </c>
      <c r="Q109" t="n">
        <v>12</v>
      </c>
      <c r="R109" t="s">
        <v>288</v>
      </c>
      <c r="S109" t="s">
        <v>300</v>
      </c>
      <c r="T109" t="n">
        <v>0.5</v>
      </c>
    </row>
    <row r="110">
      <c r="A110" t="s">
        <v>31</v>
      </c>
      <c r="B110" t="n">
        <v>1.09</v>
      </c>
      <c r="C110" t="n">
        <v>0.99</v>
      </c>
      <c r="D110" t="n">
        <v>1.12</v>
      </c>
      <c r="E110" t="n">
        <v>-0.5</v>
      </c>
      <c r="F110" t="n">
        <v>-0.75</v>
      </c>
      <c r="G110" t="n">
        <v>97</v>
      </c>
      <c r="H110" t="n">
        <v>12</v>
      </c>
      <c r="I110" t="s">
        <v>293</v>
      </c>
      <c r="J110" t="n">
        <v>0</v>
      </c>
      <c r="K110" t="n">
        <v>0</v>
      </c>
      <c r="L110" t="n">
        <v>0</v>
      </c>
      <c r="M110" t="n">
        <v>12</v>
      </c>
      <c r="N110" t="n">
        <v>-0.25</v>
      </c>
      <c r="O110" t="n">
        <v>0</v>
      </c>
      <c r="P110" t="n">
        <v>71</v>
      </c>
      <c r="Q110" t="n">
        <v>12</v>
      </c>
      <c r="R110" t="s">
        <v>293</v>
      </c>
      <c r="S110" t="s">
        <v>289</v>
      </c>
      <c r="T110" t="n">
        <v>-0.25</v>
      </c>
    </row>
    <row r="111">
      <c r="A111" t="s">
        <v>31</v>
      </c>
      <c r="B111" t="n">
        <v>1.03</v>
      </c>
      <c r="C111" t="n">
        <v>0.84</v>
      </c>
      <c r="D111" t="n">
        <v>0.99</v>
      </c>
      <c r="E111" t="n">
        <v>-0.25</v>
      </c>
      <c r="F111" t="n">
        <v>-1.75</v>
      </c>
      <c r="G111" t="n">
        <v>178</v>
      </c>
      <c r="H111" t="n">
        <v>12</v>
      </c>
      <c r="I111" t="s">
        <v>288</v>
      </c>
      <c r="J111" t="n">
        <v>0</v>
      </c>
      <c r="K111" t="n">
        <v>0</v>
      </c>
      <c r="L111" t="n">
        <v>0</v>
      </c>
      <c r="M111" t="n">
        <v>12</v>
      </c>
      <c r="N111" t="n">
        <v>0</v>
      </c>
      <c r="O111" t="n">
        <v>-0.25</v>
      </c>
      <c r="P111" t="n">
        <v>147</v>
      </c>
      <c r="Q111" t="n">
        <v>12</v>
      </c>
      <c r="R111" t="s">
        <v>289</v>
      </c>
      <c r="S111" t="s">
        <v>298</v>
      </c>
      <c r="T111" t="n">
        <v>-0.25</v>
      </c>
    </row>
    <row r="112">
      <c r="A112" t="s">
        <v>31</v>
      </c>
      <c r="B112" t="n">
        <v>1.05</v>
      </c>
      <c r="C112" t="n">
        <v>1.07</v>
      </c>
      <c r="D112" t="n">
        <v>1.08</v>
      </c>
      <c r="E112" t="n">
        <v>-3.5</v>
      </c>
      <c r="F112" t="n">
        <v>-1</v>
      </c>
      <c r="G112" t="n">
        <v>162</v>
      </c>
      <c r="H112" t="n">
        <v>12</v>
      </c>
      <c r="I112" t="s">
        <v>288</v>
      </c>
      <c r="J112" t="n">
        <v>0</v>
      </c>
      <c r="K112" t="n">
        <v>0</v>
      </c>
      <c r="L112" t="n">
        <v>0</v>
      </c>
      <c r="M112" t="n">
        <v>12</v>
      </c>
      <c r="N112" t="n">
        <v>0</v>
      </c>
      <c r="O112" t="n">
        <v>-0.5</v>
      </c>
      <c r="P112" t="n">
        <v>12</v>
      </c>
      <c r="Q112" t="n">
        <v>12</v>
      </c>
      <c r="R112" t="s">
        <v>293</v>
      </c>
      <c r="S112" t="s">
        <v>288</v>
      </c>
      <c r="T112" t="n">
        <v>-0.25</v>
      </c>
    </row>
    <row r="113">
      <c r="A113" t="s">
        <v>31</v>
      </c>
      <c r="B113" t="n">
        <v>0.98</v>
      </c>
      <c r="C113" t="n">
        <v>0.89</v>
      </c>
      <c r="D113" t="n">
        <v>1.03</v>
      </c>
      <c r="E113" t="n">
        <v>-2.5</v>
      </c>
      <c r="F113" t="n">
        <v>-0.75</v>
      </c>
      <c r="G113" t="n">
        <v>172</v>
      </c>
      <c r="H113" t="n">
        <v>12</v>
      </c>
      <c r="I113" t="s">
        <v>289</v>
      </c>
      <c r="J113" t="n">
        <v>0</v>
      </c>
      <c r="K113" t="n">
        <v>0</v>
      </c>
      <c r="L113" t="n">
        <v>0</v>
      </c>
      <c r="M113" t="n">
        <v>12</v>
      </c>
      <c r="N113" t="n">
        <v>0</v>
      </c>
      <c r="O113" t="n">
        <v>-0.25</v>
      </c>
      <c r="P113" t="n">
        <v>168</v>
      </c>
      <c r="Q113" t="n">
        <v>12</v>
      </c>
      <c r="R113" t="s">
        <v>288</v>
      </c>
      <c r="S113" t="s">
        <v>300</v>
      </c>
      <c r="T113" t="n">
        <v>0</v>
      </c>
    </row>
    <row r="114">
      <c r="A114" t="s">
        <v>31</v>
      </c>
      <c r="B114" t="n">
        <v>1.03</v>
      </c>
      <c r="C114" t="n">
        <v>0.72</v>
      </c>
      <c r="D114" t="n">
        <v>1.02</v>
      </c>
      <c r="E114" t="n">
        <v>-2.25</v>
      </c>
      <c r="F114" t="n">
        <v>0</v>
      </c>
      <c r="G114" t="n">
        <v>10</v>
      </c>
      <c r="H114" t="n">
        <v>12</v>
      </c>
      <c r="I114" t="s">
        <v>288</v>
      </c>
      <c r="J114" t="n">
        <v>0</v>
      </c>
      <c r="K114" t="n">
        <v>0</v>
      </c>
      <c r="L114" t="n">
        <v>0</v>
      </c>
      <c r="M114" t="n">
        <v>12</v>
      </c>
      <c r="N114" t="n">
        <v>-1</v>
      </c>
      <c r="O114" t="n">
        <v>0</v>
      </c>
      <c r="P114" t="n">
        <v>141</v>
      </c>
      <c r="Q114" t="n">
        <v>12</v>
      </c>
      <c r="R114" t="s">
        <v>289</v>
      </c>
      <c r="S114" t="s">
        <v>302</v>
      </c>
      <c r="T114" t="n">
        <v>-1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5" t="s">
        <v>29</v>
      </c>
      <c r="B1" s="5" t="s">
        <v>272</v>
      </c>
      <c r="C1" s="5" t="s">
        <v>273</v>
      </c>
      <c r="D1" s="5" t="s">
        <v>274</v>
      </c>
      <c r="E1" s="6" t="s">
        <v>275</v>
      </c>
      <c r="F1" s="6" t="s">
        <v>276</v>
      </c>
      <c r="G1" s="6" t="s">
        <v>277</v>
      </c>
      <c r="H1" s="6" t="s">
        <v>278</v>
      </c>
      <c r="I1" s="6" t="s">
        <v>84</v>
      </c>
      <c r="J1" s="7" t="s">
        <v>279</v>
      </c>
      <c r="K1" s="7" t="s">
        <v>280</v>
      </c>
      <c r="L1" s="7" t="s">
        <v>281</v>
      </c>
      <c r="M1" s="7" t="s">
        <v>282</v>
      </c>
      <c r="N1" s="8" t="s">
        <v>283</v>
      </c>
      <c r="O1" s="8" t="s">
        <v>284</v>
      </c>
      <c r="P1" s="8" t="s">
        <v>285</v>
      </c>
      <c r="Q1" s="8" t="s">
        <v>286</v>
      </c>
      <c r="R1" s="8" t="s">
        <v>197</v>
      </c>
      <c r="S1" s="8" t="s">
        <v>190</v>
      </c>
      <c r="T1" s="9" t="s">
        <v>287</v>
      </c>
    </row>
    <row r="2">
      <c r="A2" t="s">
        <v>32</v>
      </c>
      <c r="B2" t="n">
        <v>1.04</v>
      </c>
      <c r="C2" t="n">
        <v>1.06</v>
      </c>
      <c r="D2" t="n">
        <v>1.03</v>
      </c>
      <c r="E2" t="n">
        <v>-6</v>
      </c>
      <c r="F2" t="n">
        <v>-0.5</v>
      </c>
      <c r="G2" t="n">
        <v>23</v>
      </c>
      <c r="H2" t="n">
        <v>12</v>
      </c>
      <c r="I2" t="s">
        <v>288</v>
      </c>
      <c r="J2" t="n">
        <v>0</v>
      </c>
      <c r="K2" t="n">
        <v>0</v>
      </c>
      <c r="L2" t="n">
        <v>0</v>
      </c>
      <c r="M2" t="n">
        <v>12</v>
      </c>
      <c r="N2" t="n">
        <v>0.5</v>
      </c>
      <c r="O2" t="n">
        <v>-0.25</v>
      </c>
      <c r="P2" t="n">
        <v>33</v>
      </c>
      <c r="Q2" t="n">
        <v>12</v>
      </c>
      <c r="R2" t="s">
        <v>288</v>
      </c>
      <c r="S2" t="s">
        <v>288</v>
      </c>
      <c r="T2" t="n">
        <v>0.25</v>
      </c>
    </row>
    <row r="3">
      <c r="A3" t="s">
        <v>32</v>
      </c>
      <c r="B3" t="n">
        <v>0.96</v>
      </c>
      <c r="C3" t="n">
        <v>0.95</v>
      </c>
      <c r="D3" t="n">
        <v>0.96</v>
      </c>
      <c r="E3" t="n">
        <v>-3.25</v>
      </c>
      <c r="F3" t="n">
        <v>0</v>
      </c>
      <c r="G3" t="n">
        <v>113</v>
      </c>
      <c r="H3" t="n">
        <v>12</v>
      </c>
      <c r="I3" t="s">
        <v>290</v>
      </c>
      <c r="J3" t="n">
        <v>0</v>
      </c>
      <c r="K3" t="n">
        <v>0</v>
      </c>
      <c r="L3" t="n">
        <v>0</v>
      </c>
      <c r="M3" t="n">
        <v>12</v>
      </c>
      <c r="N3" t="n">
        <v>0</v>
      </c>
      <c r="O3" t="n">
        <v>0</v>
      </c>
      <c r="P3" t="n">
        <v>81</v>
      </c>
      <c r="Q3" t="n">
        <v>12</v>
      </c>
      <c r="R3" t="s">
        <v>290</v>
      </c>
      <c r="S3" t="s">
        <v>290</v>
      </c>
      <c r="T3" t="n">
        <v>0</v>
      </c>
    </row>
    <row r="4">
      <c r="A4" t="s">
        <v>32</v>
      </c>
      <c r="B4" t="n">
        <v>1.11</v>
      </c>
      <c r="C4" t="n">
        <v>0.93</v>
      </c>
      <c r="D4" t="n">
        <v>1.08</v>
      </c>
      <c r="E4" t="n">
        <v>-3.25</v>
      </c>
      <c r="F4" t="n">
        <v>0</v>
      </c>
      <c r="G4" t="n">
        <v>59</v>
      </c>
      <c r="H4" t="n">
        <v>12</v>
      </c>
      <c r="I4" t="s">
        <v>293</v>
      </c>
      <c r="J4" t="n">
        <v>0</v>
      </c>
      <c r="K4" t="n">
        <v>0</v>
      </c>
      <c r="L4" t="n">
        <v>0</v>
      </c>
      <c r="M4" t="n">
        <v>12</v>
      </c>
      <c r="N4" t="n">
        <v>-0.25</v>
      </c>
      <c r="O4" t="n">
        <v>0</v>
      </c>
      <c r="P4" t="n">
        <v>96</v>
      </c>
      <c r="Q4" t="n">
        <v>12</v>
      </c>
      <c r="R4" t="s">
        <v>293</v>
      </c>
      <c r="S4" t="s">
        <v>291</v>
      </c>
      <c r="T4" t="n">
        <v>-0.25</v>
      </c>
    </row>
    <row r="5">
      <c r="A5" t="s">
        <v>32</v>
      </c>
      <c r="B5" t="n">
        <v>1.13</v>
      </c>
      <c r="C5" t="n">
        <v>1.25</v>
      </c>
      <c r="D5" t="n">
        <v>1.1</v>
      </c>
      <c r="E5" t="n">
        <v>-2.75</v>
      </c>
      <c r="F5" t="n">
        <v>-1.25</v>
      </c>
      <c r="G5" t="n">
        <v>85</v>
      </c>
      <c r="H5" t="n">
        <v>12</v>
      </c>
      <c r="I5" t="s">
        <v>297</v>
      </c>
      <c r="J5" t="n">
        <v>0</v>
      </c>
      <c r="K5" t="n">
        <v>0</v>
      </c>
      <c r="L5" t="n">
        <v>0</v>
      </c>
      <c r="M5" t="n">
        <v>12</v>
      </c>
      <c r="N5" t="n">
        <v>0.25</v>
      </c>
      <c r="O5" t="n">
        <v>-0.5</v>
      </c>
      <c r="P5" t="n">
        <v>46</v>
      </c>
      <c r="Q5" t="n">
        <v>12</v>
      </c>
      <c r="R5" t="s">
        <v>293</v>
      </c>
      <c r="S5" t="s">
        <v>296</v>
      </c>
      <c r="T5" t="n">
        <v>0</v>
      </c>
    </row>
    <row r="6">
      <c r="A6" t="s">
        <v>32</v>
      </c>
      <c r="B6" t="n">
        <v>1.15</v>
      </c>
      <c r="C6" t="n">
        <v>1.01</v>
      </c>
      <c r="D6" t="n">
        <v>1.18</v>
      </c>
      <c r="E6" t="n">
        <v>-6.75</v>
      </c>
      <c r="F6" t="n">
        <v>-0.25</v>
      </c>
      <c r="G6" t="n">
        <v>101</v>
      </c>
      <c r="H6" t="n">
        <v>12</v>
      </c>
      <c r="I6" t="s">
        <v>297</v>
      </c>
      <c r="J6" t="n">
        <v>0</v>
      </c>
      <c r="K6" t="n">
        <v>0</v>
      </c>
      <c r="L6" t="n">
        <v>0</v>
      </c>
      <c r="M6" t="n">
        <v>12</v>
      </c>
      <c r="N6" t="n">
        <v>0.25</v>
      </c>
      <c r="O6" t="n">
        <v>-0.5</v>
      </c>
      <c r="P6" t="n">
        <v>103</v>
      </c>
      <c r="Q6" t="n">
        <v>12</v>
      </c>
      <c r="R6" t="s">
        <v>294</v>
      </c>
      <c r="S6" t="s">
        <v>289</v>
      </c>
      <c r="T6" t="n">
        <v>0</v>
      </c>
    </row>
    <row r="7">
      <c r="A7" t="s">
        <v>32</v>
      </c>
      <c r="B7" t="n">
        <v>1.01</v>
      </c>
      <c r="C7" t="n">
        <v>0.87</v>
      </c>
      <c r="D7" t="n">
        <v>1.05</v>
      </c>
      <c r="E7" t="n">
        <v>-3.5</v>
      </c>
      <c r="F7" t="n">
        <v>-1</v>
      </c>
      <c r="G7" t="n">
        <v>88</v>
      </c>
      <c r="H7" t="n">
        <v>12</v>
      </c>
      <c r="I7" t="s">
        <v>289</v>
      </c>
      <c r="J7" t="n">
        <v>0</v>
      </c>
      <c r="K7" t="n">
        <v>0</v>
      </c>
      <c r="L7" t="n">
        <v>0</v>
      </c>
      <c r="M7" t="n">
        <v>12</v>
      </c>
      <c r="N7" t="n">
        <v>0</v>
      </c>
      <c r="O7" t="n">
        <v>-0.25</v>
      </c>
      <c r="P7" t="n">
        <v>90</v>
      </c>
      <c r="Q7" t="n">
        <v>12</v>
      </c>
      <c r="R7" t="s">
        <v>288</v>
      </c>
      <c r="S7" t="s">
        <v>300</v>
      </c>
      <c r="T7" t="n">
        <v>-0.25</v>
      </c>
    </row>
    <row r="8">
      <c r="A8" t="s">
        <v>32</v>
      </c>
      <c r="B8" t="n">
        <v>1.03</v>
      </c>
      <c r="C8" t="n">
        <v>0.86</v>
      </c>
      <c r="D8" t="n">
        <v>1.01</v>
      </c>
      <c r="E8" t="n">
        <v>-8</v>
      </c>
      <c r="F8" t="n">
        <v>-0.75</v>
      </c>
      <c r="G8" t="n">
        <v>1</v>
      </c>
      <c r="H8" t="n">
        <v>12</v>
      </c>
      <c r="I8" t="s">
        <v>288</v>
      </c>
      <c r="J8" t="n">
        <v>0</v>
      </c>
      <c r="K8" t="n">
        <v>0</v>
      </c>
      <c r="L8" t="n">
        <v>0</v>
      </c>
      <c r="M8" t="n">
        <v>12</v>
      </c>
      <c r="N8" t="n">
        <v>-0.75</v>
      </c>
      <c r="O8" t="n">
        <v>0</v>
      </c>
      <c r="P8" t="n">
        <v>168</v>
      </c>
      <c r="Q8" t="n">
        <v>12</v>
      </c>
      <c r="R8" t="s">
        <v>289</v>
      </c>
      <c r="S8" t="s">
        <v>300</v>
      </c>
      <c r="T8" t="n">
        <v>-0.75</v>
      </c>
    </row>
    <row r="9">
      <c r="A9" t="s">
        <v>32</v>
      </c>
      <c r="B9" t="n">
        <v>0.97</v>
      </c>
      <c r="C9" t="n">
        <v>0.9</v>
      </c>
      <c r="D9" t="n">
        <v>0.96</v>
      </c>
      <c r="E9" t="n">
        <v>-6</v>
      </c>
      <c r="F9" t="n">
        <v>0</v>
      </c>
      <c r="G9" t="n">
        <v>15</v>
      </c>
      <c r="H9" t="n">
        <v>12</v>
      </c>
      <c r="I9" t="s">
        <v>290</v>
      </c>
      <c r="J9" t="n">
        <v>0</v>
      </c>
      <c r="K9" t="n">
        <v>0</v>
      </c>
      <c r="L9" t="n">
        <v>0</v>
      </c>
      <c r="M9" t="n">
        <v>12</v>
      </c>
      <c r="N9" t="n">
        <v>0</v>
      </c>
      <c r="O9" t="n">
        <v>-0.25</v>
      </c>
      <c r="P9" t="n">
        <v>17</v>
      </c>
      <c r="Q9" t="n">
        <v>12</v>
      </c>
      <c r="R9" t="s">
        <v>290</v>
      </c>
      <c r="S9" t="s">
        <v>291</v>
      </c>
      <c r="T9" t="n">
        <v>-0.25</v>
      </c>
    </row>
    <row r="10">
      <c r="A10" t="s">
        <v>32</v>
      </c>
      <c r="B10" t="n">
        <v>1.08</v>
      </c>
      <c r="C10" t="n">
        <v>0.91</v>
      </c>
      <c r="D10" t="n">
        <v>1.06</v>
      </c>
      <c r="E10" t="n">
        <v>-4.5</v>
      </c>
      <c r="F10" t="n">
        <v>-0.5</v>
      </c>
      <c r="G10" t="n">
        <v>105</v>
      </c>
      <c r="H10" t="n">
        <v>12</v>
      </c>
      <c r="I10" t="s">
        <v>293</v>
      </c>
      <c r="J10" t="n">
        <v>0</v>
      </c>
      <c r="K10" t="n">
        <v>0</v>
      </c>
      <c r="L10" t="n">
        <v>0</v>
      </c>
      <c r="M10" t="n">
        <v>12</v>
      </c>
      <c r="N10" t="n">
        <v>-0.5</v>
      </c>
      <c r="O10" t="n">
        <v>-0.25</v>
      </c>
      <c r="P10" t="n">
        <v>108</v>
      </c>
      <c r="Q10" t="n">
        <v>12</v>
      </c>
      <c r="R10" t="s">
        <v>288</v>
      </c>
      <c r="S10" t="s">
        <v>291</v>
      </c>
      <c r="T10" t="n">
        <v>-0.75</v>
      </c>
    </row>
    <row r="11">
      <c r="A11" t="s">
        <v>32</v>
      </c>
      <c r="B11" t="n">
        <v>1.06</v>
      </c>
      <c r="C11" t="n">
        <v>0.87</v>
      </c>
      <c r="D11" t="n">
        <v>1.05</v>
      </c>
      <c r="E11" t="n">
        <v>-7.25</v>
      </c>
      <c r="F11" t="n">
        <v>-0.75</v>
      </c>
      <c r="G11" t="n">
        <v>94</v>
      </c>
      <c r="H11" t="n">
        <v>12</v>
      </c>
      <c r="I11" t="s">
        <v>288</v>
      </c>
      <c r="J11" t="n">
        <v>0</v>
      </c>
      <c r="K11" t="n">
        <v>0</v>
      </c>
      <c r="L11" t="n">
        <v>0</v>
      </c>
      <c r="M11" t="n">
        <v>12</v>
      </c>
      <c r="N11" t="n">
        <v>0.5</v>
      </c>
      <c r="O11" t="n">
        <v>0</v>
      </c>
      <c r="P11" t="n">
        <v>134</v>
      </c>
      <c r="Q11" t="n">
        <v>12</v>
      </c>
      <c r="R11" t="s">
        <v>288</v>
      </c>
      <c r="S11" t="s">
        <v>300</v>
      </c>
      <c r="T11" t="n">
        <v>0.5</v>
      </c>
    </row>
    <row r="12">
      <c r="A12" t="s">
        <v>32</v>
      </c>
      <c r="B12" t="n">
        <v>1.06</v>
      </c>
      <c r="C12" t="n">
        <v>0.82</v>
      </c>
      <c r="D12" t="n">
        <v>1.11</v>
      </c>
      <c r="E12" t="n">
        <v>-4.25</v>
      </c>
      <c r="F12" t="n">
        <v>-0.75</v>
      </c>
      <c r="G12" t="n">
        <v>14</v>
      </c>
      <c r="H12" t="n">
        <v>12</v>
      </c>
      <c r="I12" t="s">
        <v>288</v>
      </c>
      <c r="J12" t="n">
        <v>0</v>
      </c>
      <c r="K12" t="n">
        <v>0</v>
      </c>
      <c r="L12" t="n">
        <v>0</v>
      </c>
      <c r="M12" t="n">
        <v>12</v>
      </c>
      <c r="N12" t="n">
        <v>-1</v>
      </c>
      <c r="O12" t="n">
        <v>-0.25</v>
      </c>
      <c r="P12" t="n">
        <v>3</v>
      </c>
      <c r="Q12" t="n">
        <v>12</v>
      </c>
      <c r="R12" t="s">
        <v>293</v>
      </c>
      <c r="S12" t="s">
        <v>298</v>
      </c>
      <c r="T12" t="n">
        <v>-1</v>
      </c>
    </row>
    <row r="13">
      <c r="A13" t="s">
        <v>32</v>
      </c>
      <c r="B13" t="n">
        <v>1.1</v>
      </c>
      <c r="C13" t="n">
        <v>0.88</v>
      </c>
      <c r="D13" t="n">
        <v>1.1</v>
      </c>
      <c r="E13" t="n">
        <v>-5</v>
      </c>
      <c r="F13" t="n">
        <v>0</v>
      </c>
      <c r="G13" t="n">
        <v>103</v>
      </c>
      <c r="H13" t="n">
        <v>12</v>
      </c>
      <c r="I13" t="s">
        <v>293</v>
      </c>
      <c r="J13" t="n">
        <v>0</v>
      </c>
      <c r="K13" t="n">
        <v>0</v>
      </c>
      <c r="L13" t="n">
        <v>0</v>
      </c>
      <c r="M13" t="n">
        <v>12</v>
      </c>
      <c r="N13" t="n">
        <v>0.25</v>
      </c>
      <c r="O13" t="n">
        <v>0</v>
      </c>
      <c r="P13" t="n">
        <v>71</v>
      </c>
      <c r="Q13" t="n">
        <v>12</v>
      </c>
      <c r="R13" t="s">
        <v>293</v>
      </c>
      <c r="S13" t="s">
        <v>300</v>
      </c>
      <c r="T13" t="n">
        <v>0.25</v>
      </c>
    </row>
    <row r="14">
      <c r="A14" t="s">
        <v>32</v>
      </c>
      <c r="B14" t="n">
        <v>0.92</v>
      </c>
      <c r="C14" t="n">
        <v>0.8</v>
      </c>
      <c r="D14" t="n">
        <v>0.87</v>
      </c>
      <c r="E14" t="n">
        <v>-2.5</v>
      </c>
      <c r="F14" t="n">
        <v>0</v>
      </c>
      <c r="G14" t="n">
        <v>102</v>
      </c>
      <c r="H14" t="n">
        <v>12</v>
      </c>
      <c r="I14" t="s">
        <v>291</v>
      </c>
      <c r="J14" t="n">
        <v>0</v>
      </c>
      <c r="K14" t="n">
        <v>0</v>
      </c>
      <c r="L14" t="n">
        <v>0</v>
      </c>
      <c r="M14" t="n">
        <v>12</v>
      </c>
      <c r="N14" t="n">
        <v>-0.25</v>
      </c>
      <c r="O14" t="n">
        <v>0</v>
      </c>
      <c r="P14" t="n">
        <v>114</v>
      </c>
      <c r="Q14" t="n">
        <v>12</v>
      </c>
      <c r="R14" t="s">
        <v>300</v>
      </c>
      <c r="S14" t="s">
        <v>292</v>
      </c>
      <c r="T14" t="n">
        <v>-0.25</v>
      </c>
    </row>
    <row r="15">
      <c r="A15" t="s">
        <v>32</v>
      </c>
      <c r="B15" t="n">
        <v>1.11</v>
      </c>
      <c r="C15" t="n">
        <v>1.1</v>
      </c>
      <c r="D15" t="n">
        <v>1.14</v>
      </c>
      <c r="E15" t="n">
        <v>-2.75</v>
      </c>
      <c r="F15" t="n">
        <v>-0.25</v>
      </c>
      <c r="G15" t="n">
        <v>104</v>
      </c>
      <c r="H15" t="n">
        <v>12</v>
      </c>
      <c r="I15" t="s">
        <v>293</v>
      </c>
      <c r="J15" t="n">
        <v>0</v>
      </c>
      <c r="K15" t="n">
        <v>0</v>
      </c>
      <c r="L15" t="n">
        <v>0</v>
      </c>
      <c r="M15" t="n">
        <v>12</v>
      </c>
      <c r="N15" t="n">
        <v>0</v>
      </c>
      <c r="O15" t="n">
        <v>-0.25</v>
      </c>
      <c r="P15" t="n">
        <v>106</v>
      </c>
      <c r="Q15" t="n">
        <v>12</v>
      </c>
      <c r="R15" t="s">
        <v>297</v>
      </c>
      <c r="S15" t="s">
        <v>293</v>
      </c>
      <c r="T15" t="n">
        <v>0</v>
      </c>
    </row>
    <row r="16">
      <c r="A16" t="s">
        <v>32</v>
      </c>
      <c r="B16" t="n">
        <v>1</v>
      </c>
      <c r="C16" t="n">
        <v>1.04</v>
      </c>
      <c r="D16" t="n">
        <v>1.01</v>
      </c>
      <c r="E16" t="n">
        <v>-6.5</v>
      </c>
      <c r="F16" t="n">
        <v>-0.25</v>
      </c>
      <c r="G16" t="n">
        <v>22</v>
      </c>
      <c r="H16" t="n">
        <v>12</v>
      </c>
      <c r="I16" t="s">
        <v>289</v>
      </c>
      <c r="J16" t="n">
        <v>0</v>
      </c>
      <c r="K16" t="n">
        <v>0</v>
      </c>
      <c r="L16" t="n">
        <v>0</v>
      </c>
      <c r="M16" t="n">
        <v>12</v>
      </c>
      <c r="N16" t="n">
        <v>0</v>
      </c>
      <c r="O16" t="n">
        <v>-0.25</v>
      </c>
      <c r="P16" t="n">
        <v>41</v>
      </c>
      <c r="Q16" t="n">
        <v>12</v>
      </c>
      <c r="R16" t="s">
        <v>289</v>
      </c>
      <c r="S16" t="s">
        <v>288</v>
      </c>
      <c r="T16" t="n">
        <v>-0.25</v>
      </c>
    </row>
    <row r="17">
      <c r="A17" t="s">
        <v>32</v>
      </c>
      <c r="B17" t="n">
        <v>1.06</v>
      </c>
      <c r="C17" t="n">
        <v>1.04</v>
      </c>
      <c r="D17" t="n">
        <v>1.07</v>
      </c>
      <c r="E17" t="n">
        <v>-4</v>
      </c>
      <c r="F17" t="n">
        <v>-1.25</v>
      </c>
      <c r="G17" t="n">
        <v>139</v>
      </c>
      <c r="H17" t="n">
        <v>12</v>
      </c>
      <c r="I17" t="s">
        <v>288</v>
      </c>
      <c r="J17" t="n">
        <v>0</v>
      </c>
      <c r="K17" t="n">
        <v>0</v>
      </c>
      <c r="L17" t="n">
        <v>0</v>
      </c>
      <c r="M17" t="n">
        <v>12</v>
      </c>
      <c r="N17" t="n">
        <v>0</v>
      </c>
      <c r="O17" t="n">
        <v>-0.25</v>
      </c>
      <c r="P17" t="n">
        <v>157</v>
      </c>
      <c r="Q17" t="n">
        <v>12</v>
      </c>
      <c r="R17" t="s">
        <v>288</v>
      </c>
      <c r="S17" t="s">
        <v>288</v>
      </c>
      <c r="T17" t="n">
        <v>-0.25</v>
      </c>
    </row>
    <row r="18">
      <c r="A18" t="s">
        <v>32</v>
      </c>
      <c r="B18" t="n">
        <v>1.01</v>
      </c>
      <c r="C18" t="n">
        <v>0.91</v>
      </c>
      <c r="D18" t="n">
        <v>0.98</v>
      </c>
      <c r="E18" t="n">
        <v>-5</v>
      </c>
      <c r="F18" t="n">
        <v>-0.75</v>
      </c>
      <c r="G18" t="n">
        <v>98</v>
      </c>
      <c r="H18" t="n">
        <v>12</v>
      </c>
      <c r="I18" t="s">
        <v>289</v>
      </c>
      <c r="J18" t="n">
        <v>0</v>
      </c>
      <c r="K18" t="n">
        <v>0</v>
      </c>
      <c r="L18" t="n">
        <v>0</v>
      </c>
      <c r="M18" t="n">
        <v>12</v>
      </c>
      <c r="N18" t="n">
        <v>1</v>
      </c>
      <c r="O18" t="n">
        <v>-0.25</v>
      </c>
      <c r="P18" t="n">
        <v>87</v>
      </c>
      <c r="Q18" t="n">
        <v>12</v>
      </c>
      <c r="R18" t="s">
        <v>289</v>
      </c>
      <c r="S18" t="s">
        <v>291</v>
      </c>
      <c r="T18" t="n">
        <v>0.75</v>
      </c>
    </row>
    <row r="19">
      <c r="A19" t="s">
        <v>32</v>
      </c>
      <c r="B19" t="n">
        <v>0.98</v>
      </c>
      <c r="C19" t="n">
        <v>0.83</v>
      </c>
      <c r="D19" t="n">
        <v>1</v>
      </c>
      <c r="E19" t="n">
        <v>-4</v>
      </c>
      <c r="F19" t="n">
        <v>-0.25</v>
      </c>
      <c r="G19" t="n">
        <v>155</v>
      </c>
      <c r="H19" t="n">
        <v>12</v>
      </c>
      <c r="I19" t="s">
        <v>289</v>
      </c>
      <c r="J19" t="n">
        <v>0</v>
      </c>
      <c r="K19" t="n">
        <v>0</v>
      </c>
      <c r="L19" t="n">
        <v>0</v>
      </c>
      <c r="M19" t="n">
        <v>12</v>
      </c>
      <c r="N19" t="n">
        <v>-0.5</v>
      </c>
      <c r="O19" t="n">
        <v>-0.25</v>
      </c>
      <c r="P19" t="n">
        <v>160</v>
      </c>
      <c r="Q19" t="n">
        <v>12</v>
      </c>
      <c r="R19" t="s">
        <v>289</v>
      </c>
      <c r="S19" t="s">
        <v>298</v>
      </c>
      <c r="T19" t="n">
        <v>-0.5</v>
      </c>
    </row>
    <row r="20">
      <c r="A20" t="s">
        <v>32</v>
      </c>
      <c r="B20" t="n">
        <v>0.98</v>
      </c>
      <c r="C20" t="n">
        <v>0.84</v>
      </c>
      <c r="D20" t="n">
        <v>0.94</v>
      </c>
      <c r="E20" t="n">
        <v>-1.5</v>
      </c>
      <c r="F20" t="n">
        <v>-0.75</v>
      </c>
      <c r="G20" t="n">
        <v>157</v>
      </c>
      <c r="H20" t="n">
        <v>12</v>
      </c>
      <c r="I20" t="s">
        <v>289</v>
      </c>
      <c r="J20" t="n">
        <v>0</v>
      </c>
      <c r="K20" t="n">
        <v>0</v>
      </c>
      <c r="L20" t="n">
        <v>0</v>
      </c>
      <c r="M20" t="n">
        <v>12</v>
      </c>
      <c r="N20" t="n">
        <v>0.25</v>
      </c>
      <c r="O20" t="n">
        <v>0</v>
      </c>
      <c r="P20" t="n">
        <v>74</v>
      </c>
      <c r="Q20" t="n">
        <v>12</v>
      </c>
      <c r="R20" t="s">
        <v>290</v>
      </c>
      <c r="S20" t="s">
        <v>298</v>
      </c>
      <c r="T20" t="n">
        <v>0.25</v>
      </c>
    </row>
    <row r="21">
      <c r="A21" t="s">
        <v>32</v>
      </c>
      <c r="B21" t="n">
        <v>1.03</v>
      </c>
      <c r="C21" t="n">
        <v>0.99</v>
      </c>
      <c r="D21" t="n">
        <v>1.02</v>
      </c>
      <c r="E21" t="n">
        <v>-5.75</v>
      </c>
      <c r="F21" t="n">
        <v>-0.25</v>
      </c>
      <c r="G21" t="n">
        <v>42</v>
      </c>
      <c r="H21" t="n">
        <v>12</v>
      </c>
      <c r="I21" t="s">
        <v>288</v>
      </c>
      <c r="J21" t="n">
        <v>0</v>
      </c>
      <c r="K21" t="n">
        <v>0</v>
      </c>
      <c r="L21" t="n">
        <v>0</v>
      </c>
      <c r="M21" t="n">
        <v>12</v>
      </c>
      <c r="N21" t="n">
        <v>-0.25</v>
      </c>
      <c r="O21" t="n">
        <v>0</v>
      </c>
      <c r="P21" t="n">
        <v>46</v>
      </c>
      <c r="Q21" t="n">
        <v>12</v>
      </c>
      <c r="R21" t="s">
        <v>289</v>
      </c>
      <c r="S21" t="s">
        <v>289</v>
      </c>
      <c r="T21" t="n">
        <v>-0.25</v>
      </c>
    </row>
    <row r="22">
      <c r="A22" t="s">
        <v>32</v>
      </c>
      <c r="B22" t="n">
        <v>0.99</v>
      </c>
      <c r="C22" t="n">
        <v>0.81</v>
      </c>
      <c r="D22" t="n">
        <v>1.02</v>
      </c>
      <c r="E22" t="n">
        <v>-3.5</v>
      </c>
      <c r="F22" t="n">
        <v>-1</v>
      </c>
      <c r="G22" t="n">
        <v>86</v>
      </c>
      <c r="H22" t="n">
        <v>12</v>
      </c>
      <c r="I22" t="s">
        <v>289</v>
      </c>
      <c r="J22" t="n">
        <v>0</v>
      </c>
      <c r="K22" t="n">
        <v>0</v>
      </c>
      <c r="L22" t="n">
        <v>0</v>
      </c>
      <c r="M22" t="n">
        <v>12</v>
      </c>
      <c r="N22" t="n">
        <v>0.75</v>
      </c>
      <c r="O22" t="n">
        <v>0</v>
      </c>
      <c r="P22" t="n">
        <v>125</v>
      </c>
      <c r="Q22" t="n">
        <v>12</v>
      </c>
      <c r="R22" t="s">
        <v>289</v>
      </c>
      <c r="S22" t="s">
        <v>292</v>
      </c>
      <c r="T22" t="n">
        <v>0.75</v>
      </c>
    </row>
    <row r="23">
      <c r="A23" t="s">
        <v>32</v>
      </c>
      <c r="B23" t="n">
        <v>0.86</v>
      </c>
      <c r="C23" t="n">
        <v>0.79</v>
      </c>
      <c r="D23" t="n">
        <v>0.86</v>
      </c>
      <c r="E23" t="n">
        <v>-2.25</v>
      </c>
      <c r="F23" t="n">
        <v>-0.25</v>
      </c>
      <c r="G23" t="n">
        <v>4</v>
      </c>
      <c r="H23" t="n">
        <v>12</v>
      </c>
      <c r="I23" t="s">
        <v>300</v>
      </c>
      <c r="J23" t="n">
        <v>0</v>
      </c>
      <c r="K23" t="n">
        <v>0</v>
      </c>
      <c r="L23" t="n">
        <v>0</v>
      </c>
      <c r="M23" t="n">
        <v>12</v>
      </c>
      <c r="N23" t="n">
        <v>0</v>
      </c>
      <c r="O23" t="n">
        <v>-0.25</v>
      </c>
      <c r="P23" t="n">
        <v>21</v>
      </c>
      <c r="Q23" t="n">
        <v>12</v>
      </c>
      <c r="R23" t="s">
        <v>300</v>
      </c>
      <c r="S23" t="s">
        <v>292</v>
      </c>
      <c r="T23" t="n">
        <v>0</v>
      </c>
    </row>
    <row r="24">
      <c r="A24" t="s">
        <v>32</v>
      </c>
      <c r="B24" t="n">
        <v>1.08</v>
      </c>
      <c r="C24" t="n">
        <v>1.04</v>
      </c>
      <c r="D24" t="n">
        <v>1.1</v>
      </c>
      <c r="E24" t="n">
        <v>-5.75</v>
      </c>
      <c r="F24" t="n">
        <v>-0.25</v>
      </c>
      <c r="G24" t="n">
        <v>101</v>
      </c>
      <c r="H24" t="n">
        <v>12</v>
      </c>
      <c r="I24" t="s">
        <v>293</v>
      </c>
      <c r="J24" t="n">
        <v>0</v>
      </c>
      <c r="K24" t="n">
        <v>0</v>
      </c>
      <c r="L24" t="n">
        <v>0</v>
      </c>
      <c r="M24" t="n">
        <v>12</v>
      </c>
      <c r="N24" t="n">
        <v>0</v>
      </c>
      <c r="O24" t="n">
        <v>-0.25</v>
      </c>
      <c r="P24" t="n">
        <v>125</v>
      </c>
      <c r="Q24" t="n">
        <v>12</v>
      </c>
      <c r="R24" t="s">
        <v>293</v>
      </c>
      <c r="S24" t="s">
        <v>288</v>
      </c>
      <c r="T24" t="n">
        <v>-0.25</v>
      </c>
    </row>
    <row r="25">
      <c r="A25" t="s">
        <v>32</v>
      </c>
      <c r="B25" t="n">
        <v>1.08</v>
      </c>
      <c r="C25" t="n">
        <v>1.13</v>
      </c>
      <c r="D25" t="n">
        <v>1.14</v>
      </c>
      <c r="E25" t="n">
        <v>-6.75</v>
      </c>
      <c r="F25" t="n">
        <v>-0.75</v>
      </c>
      <c r="G25" t="n">
        <v>174</v>
      </c>
      <c r="H25" t="n">
        <v>12</v>
      </c>
      <c r="I25" t="s">
        <v>293</v>
      </c>
      <c r="J25" t="n">
        <v>0</v>
      </c>
      <c r="K25" t="n">
        <v>0</v>
      </c>
      <c r="L25" t="n">
        <v>0</v>
      </c>
      <c r="M25" t="n">
        <v>12</v>
      </c>
      <c r="N25" t="n">
        <v>-0.25</v>
      </c>
      <c r="O25" t="n">
        <v>-0.5</v>
      </c>
      <c r="P25" t="n">
        <v>17</v>
      </c>
      <c r="Q25" t="n">
        <v>12</v>
      </c>
      <c r="R25" t="s">
        <v>297</v>
      </c>
      <c r="S25" t="s">
        <v>297</v>
      </c>
      <c r="T25" t="n">
        <v>-0.5</v>
      </c>
    </row>
    <row r="26">
      <c r="A26" t="s">
        <v>32</v>
      </c>
      <c r="B26" t="n">
        <v>1.05</v>
      </c>
      <c r="C26" t="n">
        <v>1.06</v>
      </c>
      <c r="D26" t="n">
        <v>1.09</v>
      </c>
      <c r="E26" t="n">
        <v>-4</v>
      </c>
      <c r="F26" t="n">
        <v>-0.75</v>
      </c>
      <c r="G26" t="n">
        <v>87</v>
      </c>
      <c r="H26" t="n">
        <v>12</v>
      </c>
      <c r="I26" t="s">
        <v>288</v>
      </c>
      <c r="J26" t="n">
        <v>0</v>
      </c>
      <c r="K26" t="n">
        <v>0</v>
      </c>
      <c r="L26" t="n">
        <v>0</v>
      </c>
      <c r="M26" t="n">
        <v>12</v>
      </c>
      <c r="N26" t="n">
        <v>-0.5</v>
      </c>
      <c r="O26" t="n">
        <v>-0.25</v>
      </c>
      <c r="P26" t="n">
        <v>89</v>
      </c>
      <c r="Q26" t="n">
        <v>12</v>
      </c>
      <c r="R26" t="s">
        <v>293</v>
      </c>
      <c r="S26" t="s">
        <v>288</v>
      </c>
      <c r="T26" t="n">
        <v>-0.5</v>
      </c>
    </row>
    <row r="27">
      <c r="A27" t="s">
        <v>32</v>
      </c>
      <c r="B27" t="n">
        <v>1</v>
      </c>
      <c r="C27" t="n">
        <v>0.85</v>
      </c>
      <c r="D27" t="n">
        <v>1</v>
      </c>
      <c r="E27" t="n">
        <v>-3.5</v>
      </c>
      <c r="F27" t="n">
        <v>-0.5</v>
      </c>
      <c r="G27" t="n">
        <v>171</v>
      </c>
      <c r="H27" t="n">
        <v>12</v>
      </c>
      <c r="I27" t="s">
        <v>289</v>
      </c>
      <c r="J27" t="n">
        <v>0</v>
      </c>
      <c r="K27" t="n">
        <v>0</v>
      </c>
      <c r="L27" t="n">
        <v>0</v>
      </c>
      <c r="M27" t="n">
        <v>12</v>
      </c>
      <c r="N27" t="n">
        <v>0</v>
      </c>
      <c r="O27" t="n">
        <v>-0.25</v>
      </c>
      <c r="P27" t="n">
        <v>168</v>
      </c>
      <c r="Q27" t="n">
        <v>12</v>
      </c>
      <c r="R27" t="s">
        <v>289</v>
      </c>
      <c r="S27" t="s">
        <v>298</v>
      </c>
      <c r="T27" t="n">
        <v>0</v>
      </c>
    </row>
    <row r="28">
      <c r="A28" t="s">
        <v>32</v>
      </c>
      <c r="B28" t="n">
        <v>1.02</v>
      </c>
      <c r="C28" t="n">
        <v>0.95</v>
      </c>
      <c r="D28" t="n">
        <v>0.99</v>
      </c>
      <c r="E28" t="n">
        <v>-2.5</v>
      </c>
      <c r="F28" t="n">
        <v>-0.25</v>
      </c>
      <c r="G28" t="n">
        <v>81</v>
      </c>
      <c r="H28" t="n">
        <v>12</v>
      </c>
      <c r="I28" t="s">
        <v>289</v>
      </c>
      <c r="J28" t="n">
        <v>0</v>
      </c>
      <c r="K28" t="n">
        <v>0</v>
      </c>
      <c r="L28" t="n">
        <v>0</v>
      </c>
      <c r="M28" t="n">
        <v>12</v>
      </c>
      <c r="N28" t="n">
        <v>-0.25</v>
      </c>
      <c r="O28" t="n">
        <v>0</v>
      </c>
      <c r="P28" t="n">
        <v>173</v>
      </c>
      <c r="Q28" t="n">
        <v>12</v>
      </c>
      <c r="R28" t="s">
        <v>289</v>
      </c>
      <c r="S28" t="s">
        <v>290</v>
      </c>
      <c r="T28" t="n">
        <v>-0.25</v>
      </c>
    </row>
    <row r="29">
      <c r="A29" t="s">
        <v>32</v>
      </c>
      <c r="B29" t="n">
        <v>1.01</v>
      </c>
      <c r="C29" t="n">
        <v>1.07</v>
      </c>
      <c r="D29" t="n">
        <v>0.99</v>
      </c>
      <c r="E29" t="n">
        <v>-6.25</v>
      </c>
      <c r="F29" t="n">
        <v>-0.5</v>
      </c>
      <c r="G29" t="n">
        <v>32</v>
      </c>
      <c r="H29" t="n">
        <v>12</v>
      </c>
      <c r="I29" t="s">
        <v>289</v>
      </c>
      <c r="J29" t="n">
        <v>0</v>
      </c>
      <c r="K29" t="n">
        <v>0</v>
      </c>
      <c r="L29" t="n">
        <v>0</v>
      </c>
      <c r="M29" t="n">
        <v>12</v>
      </c>
      <c r="N29" t="n">
        <v>0</v>
      </c>
      <c r="O29" t="n">
        <v>0</v>
      </c>
      <c r="P29" t="n">
        <v>36</v>
      </c>
      <c r="Q29" t="n">
        <v>12</v>
      </c>
      <c r="R29" t="s">
        <v>289</v>
      </c>
      <c r="S29" t="s">
        <v>288</v>
      </c>
      <c r="T29" t="n">
        <v>0</v>
      </c>
    </row>
    <row r="30">
      <c r="A30" t="s">
        <v>32</v>
      </c>
      <c r="B30" t="n">
        <v>0.87</v>
      </c>
      <c r="C30" t="n">
        <v>0.87</v>
      </c>
      <c r="D30" t="n">
        <v>0.89</v>
      </c>
      <c r="E30" t="n">
        <v>-7</v>
      </c>
      <c r="F30" t="n">
        <v>-0.5</v>
      </c>
      <c r="G30" t="n">
        <v>97</v>
      </c>
      <c r="H30" t="n">
        <v>12</v>
      </c>
      <c r="I30" t="s">
        <v>300</v>
      </c>
      <c r="J30" t="n">
        <v>0</v>
      </c>
      <c r="K30" t="n">
        <v>0</v>
      </c>
      <c r="L30" t="n">
        <v>0</v>
      </c>
      <c r="M30" t="n">
        <v>12</v>
      </c>
      <c r="N30" t="n">
        <v>0.5</v>
      </c>
      <c r="O30" t="n">
        <v>-0.25</v>
      </c>
      <c r="P30" t="n">
        <v>81</v>
      </c>
      <c r="Q30" t="n">
        <v>12</v>
      </c>
      <c r="R30" t="s">
        <v>300</v>
      </c>
      <c r="S30" t="s">
        <v>300</v>
      </c>
      <c r="T30" t="n">
        <v>0.5</v>
      </c>
    </row>
    <row r="31">
      <c r="A31" t="s">
        <v>32</v>
      </c>
      <c r="B31" t="n">
        <v>1</v>
      </c>
      <c r="C31" t="n">
        <v>0.86</v>
      </c>
      <c r="D31" t="n">
        <v>1.01</v>
      </c>
      <c r="E31" t="n">
        <v>-3.5</v>
      </c>
      <c r="F31" t="n">
        <v>-0.5</v>
      </c>
      <c r="G31" t="n">
        <v>108</v>
      </c>
      <c r="H31" t="n">
        <v>12</v>
      </c>
      <c r="I31" t="s">
        <v>289</v>
      </c>
      <c r="J31" t="n">
        <v>0</v>
      </c>
      <c r="K31" t="n">
        <v>0</v>
      </c>
      <c r="L31" t="n">
        <v>0</v>
      </c>
      <c r="M31" t="n">
        <v>12</v>
      </c>
      <c r="N31" t="n">
        <v>0</v>
      </c>
      <c r="O31" t="n">
        <v>-0.25</v>
      </c>
      <c r="P31" t="n">
        <v>123</v>
      </c>
      <c r="Q31" t="n">
        <v>12</v>
      </c>
      <c r="R31" t="s">
        <v>289</v>
      </c>
      <c r="S31" t="s">
        <v>300</v>
      </c>
      <c r="T31" t="n">
        <v>0</v>
      </c>
    </row>
    <row r="32">
      <c r="A32" t="s">
        <v>32</v>
      </c>
      <c r="B32" t="n">
        <v>1.07</v>
      </c>
      <c r="C32" t="n">
        <v>1.13</v>
      </c>
      <c r="D32" t="n">
        <v>1.11</v>
      </c>
      <c r="E32" t="n">
        <v>-4.25</v>
      </c>
      <c r="F32" t="n">
        <v>-0.5</v>
      </c>
      <c r="G32" t="n">
        <v>105</v>
      </c>
      <c r="H32" t="n">
        <v>12</v>
      </c>
      <c r="I32" t="s">
        <v>288</v>
      </c>
      <c r="J32" t="n">
        <v>0</v>
      </c>
      <c r="K32" t="n">
        <v>0</v>
      </c>
      <c r="L32" t="n">
        <v>0</v>
      </c>
      <c r="M32" t="n">
        <v>12</v>
      </c>
      <c r="N32" t="n">
        <v>0.25</v>
      </c>
      <c r="O32" t="n">
        <v>-0.5</v>
      </c>
      <c r="P32" t="n">
        <v>57</v>
      </c>
      <c r="Q32" t="n">
        <v>12</v>
      </c>
      <c r="R32" t="s">
        <v>293</v>
      </c>
      <c r="S32" t="s">
        <v>297</v>
      </c>
      <c r="T32" t="n">
        <v>0</v>
      </c>
    </row>
    <row r="33">
      <c r="A33" t="s">
        <v>32</v>
      </c>
      <c r="B33" t="n">
        <v>1.12</v>
      </c>
      <c r="C33" t="n">
        <v>0.88</v>
      </c>
      <c r="D33" t="n">
        <v>1.05</v>
      </c>
      <c r="E33" t="n">
        <v>-0.25</v>
      </c>
      <c r="F33" t="n">
        <v>-1</v>
      </c>
      <c r="G33" t="n">
        <v>78</v>
      </c>
      <c r="H33" t="n">
        <v>12</v>
      </c>
      <c r="I33" t="s">
        <v>293</v>
      </c>
      <c r="J33" t="n">
        <v>0</v>
      </c>
      <c r="K33" t="n">
        <v>0</v>
      </c>
      <c r="L33" t="n">
        <v>0</v>
      </c>
      <c r="M33" t="n">
        <v>12</v>
      </c>
      <c r="N33" t="n">
        <v>-0.5</v>
      </c>
      <c r="O33" t="n">
        <v>-0.25</v>
      </c>
      <c r="P33" t="n">
        <v>94</v>
      </c>
      <c r="Q33" t="n">
        <v>12</v>
      </c>
      <c r="R33" t="s">
        <v>288</v>
      </c>
      <c r="S33" t="s">
        <v>300</v>
      </c>
      <c r="T33" t="n">
        <v>-0.5</v>
      </c>
    </row>
    <row r="34">
      <c r="A34" t="s">
        <v>32</v>
      </c>
      <c r="B34" t="n">
        <v>1.08</v>
      </c>
      <c r="C34" t="n">
        <v>1.01</v>
      </c>
      <c r="D34" t="n">
        <v>1.12</v>
      </c>
      <c r="E34" t="n">
        <v>-5.25</v>
      </c>
      <c r="F34" t="n">
        <v>-0.75</v>
      </c>
      <c r="G34" t="n">
        <v>82</v>
      </c>
      <c r="H34" t="n">
        <v>12</v>
      </c>
      <c r="I34" t="s">
        <v>293</v>
      </c>
      <c r="J34" t="n">
        <v>0</v>
      </c>
      <c r="K34" t="n">
        <v>0</v>
      </c>
      <c r="L34" t="n">
        <v>0</v>
      </c>
      <c r="M34" t="n">
        <v>12</v>
      </c>
      <c r="N34" t="n">
        <v>0.5</v>
      </c>
      <c r="O34" t="n">
        <v>-0.25</v>
      </c>
      <c r="P34" t="n">
        <v>88</v>
      </c>
      <c r="Q34" t="n">
        <v>12</v>
      </c>
      <c r="R34" t="s">
        <v>293</v>
      </c>
      <c r="S34" t="s">
        <v>289</v>
      </c>
      <c r="T34" t="n">
        <v>0.25</v>
      </c>
    </row>
    <row r="35">
      <c r="A35" t="s">
        <v>32</v>
      </c>
      <c r="B35" t="n">
        <v>1.07</v>
      </c>
      <c r="C35" t="n">
        <v>1.06</v>
      </c>
      <c r="D35" t="n">
        <v>1.09</v>
      </c>
      <c r="E35" t="n">
        <v>-5.25</v>
      </c>
      <c r="F35" t="n">
        <v>-0.25</v>
      </c>
      <c r="G35" t="n">
        <v>102</v>
      </c>
      <c r="H35" t="n">
        <v>12</v>
      </c>
      <c r="I35" t="s">
        <v>288</v>
      </c>
      <c r="J35" t="n">
        <v>0</v>
      </c>
      <c r="K35" t="n">
        <v>0</v>
      </c>
      <c r="L35" t="n">
        <v>0</v>
      </c>
      <c r="M35" t="n">
        <v>12</v>
      </c>
      <c r="N35" t="n">
        <v>0</v>
      </c>
      <c r="O35" t="n">
        <v>-0.25</v>
      </c>
      <c r="P35" t="n">
        <v>122</v>
      </c>
      <c r="Q35" t="n">
        <v>12</v>
      </c>
      <c r="R35" t="s">
        <v>293</v>
      </c>
      <c r="S35" t="s">
        <v>288</v>
      </c>
      <c r="T35" t="n">
        <v>-0.25</v>
      </c>
    </row>
    <row r="36">
      <c r="A36" t="s">
        <v>32</v>
      </c>
      <c r="B36" t="n">
        <v>1.04</v>
      </c>
      <c r="C36" t="n">
        <v>0.78</v>
      </c>
      <c r="D36" t="n">
        <v>1.03</v>
      </c>
      <c r="E36" t="n">
        <v>-4.25</v>
      </c>
      <c r="F36" t="n">
        <v>-0.25</v>
      </c>
      <c r="G36" t="n">
        <v>173</v>
      </c>
      <c r="H36" t="n">
        <v>12</v>
      </c>
      <c r="I36" t="s">
        <v>288</v>
      </c>
      <c r="J36" t="n">
        <v>0</v>
      </c>
      <c r="K36" t="n">
        <v>0</v>
      </c>
      <c r="L36" t="n">
        <v>0</v>
      </c>
      <c r="M36" t="n">
        <v>12</v>
      </c>
      <c r="N36" t="n">
        <v>-0.5</v>
      </c>
      <c r="O36" t="n">
        <v>-0.25</v>
      </c>
      <c r="P36" t="n">
        <v>4</v>
      </c>
      <c r="Q36" t="n">
        <v>12</v>
      </c>
      <c r="R36" t="s">
        <v>288</v>
      </c>
      <c r="S36" t="s">
        <v>292</v>
      </c>
      <c r="T36" t="n">
        <v>-0.75</v>
      </c>
    </row>
    <row r="37">
      <c r="A37" t="s">
        <v>32</v>
      </c>
      <c r="B37" t="n">
        <v>1</v>
      </c>
      <c r="C37" t="n">
        <v>0.97</v>
      </c>
      <c r="D37" t="n">
        <v>0.98</v>
      </c>
      <c r="E37" t="n">
        <v>-4.25</v>
      </c>
      <c r="F37" t="n">
        <v>-0.25</v>
      </c>
      <c r="G37" t="n">
        <v>171</v>
      </c>
      <c r="H37" t="n">
        <v>12</v>
      </c>
      <c r="I37" t="s">
        <v>289</v>
      </c>
      <c r="J37" t="n">
        <v>0</v>
      </c>
      <c r="K37" t="n">
        <v>0</v>
      </c>
      <c r="L37" t="n">
        <v>0</v>
      </c>
      <c r="M37" t="n">
        <v>12</v>
      </c>
      <c r="N37" t="n">
        <v>0</v>
      </c>
      <c r="O37" t="n">
        <v>-0.25</v>
      </c>
      <c r="P37" t="n">
        <v>167</v>
      </c>
      <c r="Q37" t="n">
        <v>12</v>
      </c>
      <c r="R37" t="s">
        <v>289</v>
      </c>
      <c r="S37" t="s">
        <v>290</v>
      </c>
      <c r="T37" t="n">
        <v>0</v>
      </c>
    </row>
    <row r="38">
      <c r="A38" t="s">
        <v>32</v>
      </c>
      <c r="B38" t="n">
        <v>1.07</v>
      </c>
      <c r="C38" t="n">
        <v>1.09</v>
      </c>
      <c r="D38" t="n">
        <v>1.07</v>
      </c>
      <c r="E38" t="n">
        <v>-6.25</v>
      </c>
      <c r="F38" t="n">
        <v>0</v>
      </c>
      <c r="G38" t="n">
        <v>0</v>
      </c>
      <c r="H38" t="n">
        <v>12</v>
      </c>
      <c r="I38" t="s">
        <v>288</v>
      </c>
      <c r="J38" t="n">
        <v>0</v>
      </c>
      <c r="K38" t="n">
        <v>0</v>
      </c>
      <c r="L38" t="n">
        <v>0</v>
      </c>
      <c r="M38" t="n">
        <v>12</v>
      </c>
      <c r="N38" t="n">
        <v>0.25</v>
      </c>
      <c r="O38" t="n">
        <v>-0.5</v>
      </c>
      <c r="P38" t="n">
        <v>148</v>
      </c>
      <c r="Q38" t="n">
        <v>12</v>
      </c>
      <c r="R38" t="s">
        <v>288</v>
      </c>
      <c r="S38" t="s">
        <v>293</v>
      </c>
      <c r="T38" t="n">
        <v>0</v>
      </c>
    </row>
    <row r="39">
      <c r="A39" t="s">
        <v>32</v>
      </c>
      <c r="B39" t="n">
        <v>1.02</v>
      </c>
      <c r="C39" t="n">
        <v>0.8</v>
      </c>
      <c r="D39" t="n">
        <v>1.01</v>
      </c>
      <c r="E39" t="n">
        <v>-7.5</v>
      </c>
      <c r="F39" t="n">
        <v>-0.25</v>
      </c>
      <c r="G39" t="n">
        <v>160</v>
      </c>
      <c r="H39" t="n">
        <v>12</v>
      </c>
      <c r="I39" t="s">
        <v>289</v>
      </c>
      <c r="J39" t="n">
        <v>0</v>
      </c>
      <c r="K39" t="n">
        <v>0</v>
      </c>
      <c r="L39" t="n">
        <v>0</v>
      </c>
      <c r="M39" t="n">
        <v>12</v>
      </c>
      <c r="N39" t="n">
        <v>-0.5</v>
      </c>
      <c r="O39" t="n">
        <v>-0.25</v>
      </c>
      <c r="P39" t="n">
        <v>157</v>
      </c>
      <c r="Q39" t="n">
        <v>12</v>
      </c>
      <c r="R39" t="s">
        <v>289</v>
      </c>
      <c r="S39" t="s">
        <v>292</v>
      </c>
      <c r="T39" t="n">
        <v>-0.5</v>
      </c>
    </row>
    <row r="40">
      <c r="A40" t="s">
        <v>32</v>
      </c>
      <c r="B40" t="n">
        <v>1.09</v>
      </c>
      <c r="C40" t="n">
        <v>1.05</v>
      </c>
      <c r="D40" t="n">
        <v>1.1</v>
      </c>
      <c r="E40" t="n">
        <v>-3.5</v>
      </c>
      <c r="F40" t="n">
        <v>0</v>
      </c>
      <c r="G40" t="n">
        <v>111</v>
      </c>
      <c r="H40" t="n">
        <v>12</v>
      </c>
      <c r="I40" t="s">
        <v>293</v>
      </c>
      <c r="J40" t="n">
        <v>0</v>
      </c>
      <c r="K40" t="n">
        <v>0</v>
      </c>
      <c r="L40" t="n">
        <v>0</v>
      </c>
      <c r="M40" t="n">
        <v>12</v>
      </c>
      <c r="N40" t="n">
        <v>0.5</v>
      </c>
      <c r="O40" t="n">
        <v>-0.25</v>
      </c>
      <c r="P40" t="n">
        <v>40</v>
      </c>
      <c r="Q40" t="n">
        <v>12</v>
      </c>
      <c r="R40" t="s">
        <v>293</v>
      </c>
      <c r="S40" t="s">
        <v>288</v>
      </c>
      <c r="T40" t="n">
        <v>0.5</v>
      </c>
    </row>
    <row r="41">
      <c r="A41" t="s">
        <v>32</v>
      </c>
      <c r="B41" t="n">
        <v>1.01</v>
      </c>
      <c r="C41" t="n">
        <v>0.9</v>
      </c>
      <c r="D41" t="n">
        <v>1.04</v>
      </c>
      <c r="E41" t="n">
        <v>-2.5</v>
      </c>
      <c r="F41" t="n">
        <v>-1.25</v>
      </c>
      <c r="G41" t="n">
        <v>94</v>
      </c>
      <c r="H41" t="n">
        <v>12</v>
      </c>
      <c r="I41" t="s">
        <v>289</v>
      </c>
      <c r="J41" t="n">
        <v>0</v>
      </c>
      <c r="K41" t="n">
        <v>0</v>
      </c>
      <c r="L41" t="n">
        <v>0</v>
      </c>
      <c r="M41" t="n">
        <v>12</v>
      </c>
      <c r="N41" t="n">
        <v>-0.25</v>
      </c>
      <c r="O41" t="n">
        <v>0</v>
      </c>
      <c r="P41" t="n">
        <v>97</v>
      </c>
      <c r="Q41" t="n">
        <v>12</v>
      </c>
      <c r="R41" t="s">
        <v>288</v>
      </c>
      <c r="S41" t="s">
        <v>291</v>
      </c>
      <c r="T41" t="n">
        <v>-0.25</v>
      </c>
    </row>
    <row r="42">
      <c r="A42" t="s">
        <v>32</v>
      </c>
      <c r="B42" t="n">
        <v>1.02</v>
      </c>
      <c r="C42" t="n">
        <v>0.86</v>
      </c>
      <c r="D42" t="n">
        <v>1.01</v>
      </c>
      <c r="E42" t="n">
        <v>-3.75</v>
      </c>
      <c r="F42" t="n">
        <v>0</v>
      </c>
      <c r="G42" t="n">
        <v>84</v>
      </c>
      <c r="H42" t="n">
        <v>12</v>
      </c>
      <c r="I42" t="s">
        <v>289</v>
      </c>
      <c r="J42" t="n">
        <v>0</v>
      </c>
      <c r="K42" t="n">
        <v>0</v>
      </c>
      <c r="L42" t="n">
        <v>0</v>
      </c>
      <c r="M42" t="n">
        <v>12</v>
      </c>
      <c r="N42" t="n">
        <v>-0.5</v>
      </c>
      <c r="O42" t="n">
        <v>0</v>
      </c>
      <c r="P42" t="n">
        <v>113</v>
      </c>
      <c r="Q42" t="n">
        <v>12</v>
      </c>
      <c r="R42" t="s">
        <v>289</v>
      </c>
      <c r="S42" t="s">
        <v>300</v>
      </c>
      <c r="T42" t="n">
        <v>-0.5</v>
      </c>
    </row>
    <row r="43">
      <c r="A43" t="s">
        <v>32</v>
      </c>
      <c r="B43" t="n">
        <v>0.97</v>
      </c>
      <c r="C43" t="n">
        <v>0.96</v>
      </c>
      <c r="D43" t="n">
        <v>1</v>
      </c>
      <c r="E43" t="n">
        <v>-2</v>
      </c>
      <c r="F43" t="n">
        <v>-2</v>
      </c>
      <c r="G43" t="n">
        <v>176</v>
      </c>
      <c r="H43" t="n">
        <v>12</v>
      </c>
      <c r="I43" t="s">
        <v>290</v>
      </c>
      <c r="J43" t="n">
        <v>0</v>
      </c>
      <c r="K43" t="n">
        <v>0</v>
      </c>
      <c r="L43" t="n">
        <v>0</v>
      </c>
      <c r="M43" t="n">
        <v>12</v>
      </c>
      <c r="N43" t="n">
        <v>-0.5</v>
      </c>
      <c r="O43" t="n">
        <v>0</v>
      </c>
      <c r="P43" t="n">
        <v>0</v>
      </c>
      <c r="Q43" t="n">
        <v>12</v>
      </c>
      <c r="R43" t="s">
        <v>289</v>
      </c>
      <c r="S43" t="s">
        <v>290</v>
      </c>
      <c r="T43" t="n">
        <v>-0.5</v>
      </c>
    </row>
    <row r="44">
      <c r="A44" t="s">
        <v>32</v>
      </c>
      <c r="B44" t="n">
        <v>1.07</v>
      </c>
      <c r="C44" t="n">
        <v>1.12</v>
      </c>
      <c r="D44" t="n">
        <v>1.12</v>
      </c>
      <c r="E44" t="n">
        <v>-4</v>
      </c>
      <c r="F44" t="n">
        <v>-0.25</v>
      </c>
      <c r="G44" t="n">
        <v>2</v>
      </c>
      <c r="H44" t="n">
        <v>12</v>
      </c>
      <c r="I44" t="s">
        <v>288</v>
      </c>
      <c r="J44" t="n">
        <v>0</v>
      </c>
      <c r="K44" t="n">
        <v>0</v>
      </c>
      <c r="L44" t="n">
        <v>0</v>
      </c>
      <c r="M44" t="n">
        <v>12</v>
      </c>
      <c r="N44" t="n">
        <v>0</v>
      </c>
      <c r="O44" t="n">
        <v>-0.25</v>
      </c>
      <c r="P44" t="n">
        <v>26</v>
      </c>
      <c r="Q44" t="n">
        <v>12</v>
      </c>
      <c r="R44" t="s">
        <v>293</v>
      </c>
      <c r="S44" t="s">
        <v>293</v>
      </c>
      <c r="T44" t="n">
        <v>-0.25</v>
      </c>
    </row>
    <row r="45">
      <c r="A45" t="s">
        <v>32</v>
      </c>
      <c r="B45" t="n">
        <v>0.97</v>
      </c>
      <c r="C45" t="n">
        <v>0.98</v>
      </c>
      <c r="D45" t="n">
        <v>0.98</v>
      </c>
      <c r="E45" t="n">
        <v>-3.25</v>
      </c>
      <c r="F45" t="n">
        <v>-0.5</v>
      </c>
      <c r="G45" t="n">
        <v>99</v>
      </c>
      <c r="H45" t="n">
        <v>12</v>
      </c>
      <c r="I45" t="s">
        <v>290</v>
      </c>
      <c r="J45" t="n">
        <v>0</v>
      </c>
      <c r="K45" t="n">
        <v>0</v>
      </c>
      <c r="L45" t="n">
        <v>0</v>
      </c>
      <c r="M45" t="n">
        <v>12</v>
      </c>
      <c r="N45" t="n">
        <v>0.25</v>
      </c>
      <c r="O45" t="n">
        <v>0</v>
      </c>
      <c r="P45" t="n">
        <v>110</v>
      </c>
      <c r="Q45" t="n">
        <v>12</v>
      </c>
      <c r="R45" t="s">
        <v>289</v>
      </c>
      <c r="S45" t="s">
        <v>289</v>
      </c>
      <c r="T45" t="n">
        <v>0.25</v>
      </c>
    </row>
    <row r="46">
      <c r="A46" t="s">
        <v>32</v>
      </c>
      <c r="B46" t="n">
        <v>0.89</v>
      </c>
      <c r="C46" t="n">
        <v>0.86</v>
      </c>
      <c r="D46" t="n">
        <v>0.86</v>
      </c>
      <c r="E46" t="n">
        <v>-3</v>
      </c>
      <c r="F46" t="n">
        <v>-0.5</v>
      </c>
      <c r="G46" t="n">
        <v>165</v>
      </c>
      <c r="H46" t="n">
        <v>12</v>
      </c>
      <c r="I46" t="s">
        <v>300</v>
      </c>
      <c r="J46" t="n">
        <v>0</v>
      </c>
      <c r="K46" t="n">
        <v>0</v>
      </c>
      <c r="L46" t="n">
        <v>0</v>
      </c>
      <c r="M46" t="n">
        <v>12</v>
      </c>
      <c r="N46" t="n">
        <v>0.25</v>
      </c>
      <c r="O46" t="n">
        <v>-0.5</v>
      </c>
      <c r="P46" t="n">
        <v>162</v>
      </c>
      <c r="Q46" t="n">
        <v>12</v>
      </c>
      <c r="R46" t="s">
        <v>300</v>
      </c>
      <c r="S46" t="s">
        <v>300</v>
      </c>
      <c r="T46" t="n">
        <v>0</v>
      </c>
    </row>
    <row r="47">
      <c r="A47" t="s">
        <v>32</v>
      </c>
      <c r="B47" t="n">
        <v>0.99</v>
      </c>
      <c r="C47" t="n">
        <v>0.79</v>
      </c>
      <c r="D47" t="n">
        <v>0.94</v>
      </c>
      <c r="E47" t="n">
        <v>-3.75</v>
      </c>
      <c r="F47" t="n">
        <v>-0.75</v>
      </c>
      <c r="G47" t="n">
        <v>112</v>
      </c>
      <c r="H47" t="n">
        <v>12</v>
      </c>
      <c r="I47" t="s">
        <v>289</v>
      </c>
      <c r="J47" t="n">
        <v>0</v>
      </c>
      <c r="K47" t="n">
        <v>0</v>
      </c>
      <c r="L47" t="n">
        <v>0</v>
      </c>
      <c r="M47" t="n">
        <v>12</v>
      </c>
      <c r="N47" t="n">
        <v>0</v>
      </c>
      <c r="O47" t="n">
        <v>-0.5</v>
      </c>
      <c r="P47" t="n">
        <v>108</v>
      </c>
      <c r="Q47" t="n">
        <v>12</v>
      </c>
      <c r="R47" t="s">
        <v>290</v>
      </c>
      <c r="S47" t="s">
        <v>292</v>
      </c>
      <c r="T47" t="n">
        <v>-0.25</v>
      </c>
    </row>
    <row r="48">
      <c r="A48" t="s">
        <v>32</v>
      </c>
      <c r="B48" t="n">
        <v>1.08</v>
      </c>
      <c r="C48" t="n">
        <v>0.98</v>
      </c>
      <c r="D48" t="n">
        <v>1.05</v>
      </c>
      <c r="E48" t="n">
        <v>-4.5</v>
      </c>
      <c r="F48" t="n">
        <v>-0.75</v>
      </c>
      <c r="G48" t="n">
        <v>166</v>
      </c>
      <c r="H48" t="n">
        <v>12</v>
      </c>
      <c r="I48" t="s">
        <v>293</v>
      </c>
      <c r="J48" t="n">
        <v>0</v>
      </c>
      <c r="K48" t="n">
        <v>0</v>
      </c>
      <c r="L48" t="n">
        <v>0</v>
      </c>
      <c r="M48" t="n">
        <v>12</v>
      </c>
      <c r="N48" t="n">
        <v>0.25</v>
      </c>
      <c r="O48" t="n">
        <v>0</v>
      </c>
      <c r="P48" t="n">
        <v>164</v>
      </c>
      <c r="Q48" t="n">
        <v>12</v>
      </c>
      <c r="R48" t="s">
        <v>288</v>
      </c>
      <c r="S48" t="s">
        <v>289</v>
      </c>
      <c r="T48" t="n">
        <v>0.25</v>
      </c>
    </row>
    <row r="49">
      <c r="A49" t="s">
        <v>32</v>
      </c>
      <c r="B49" t="n">
        <v>0.93</v>
      </c>
      <c r="C49" t="n">
        <v>0.94</v>
      </c>
      <c r="D49" t="n">
        <v>0.94</v>
      </c>
      <c r="E49" t="n">
        <v>-4.75</v>
      </c>
      <c r="F49" t="n">
        <v>-1.75</v>
      </c>
      <c r="G49" t="n">
        <v>179</v>
      </c>
      <c r="H49" t="n">
        <v>12</v>
      </c>
      <c r="I49" t="s">
        <v>291</v>
      </c>
      <c r="J49" t="n">
        <v>0</v>
      </c>
      <c r="K49" t="n">
        <v>0</v>
      </c>
      <c r="L49" t="n">
        <v>0</v>
      </c>
      <c r="M49" t="n">
        <v>12</v>
      </c>
      <c r="N49" t="n">
        <v>0</v>
      </c>
      <c r="O49" t="n">
        <v>-0.25</v>
      </c>
      <c r="P49" t="n">
        <v>12</v>
      </c>
      <c r="Q49" t="n">
        <v>12</v>
      </c>
      <c r="R49" t="s">
        <v>290</v>
      </c>
      <c r="S49" t="s">
        <v>290</v>
      </c>
      <c r="T49" t="n">
        <v>-0.25</v>
      </c>
    </row>
    <row r="50">
      <c r="A50" t="s">
        <v>32</v>
      </c>
      <c r="B50" t="n">
        <v>1</v>
      </c>
      <c r="C50" t="n">
        <v>0.91</v>
      </c>
      <c r="D50" t="n">
        <v>1.03</v>
      </c>
      <c r="E50" t="n">
        <v>-7.25</v>
      </c>
      <c r="F50" t="n">
        <v>-0.75</v>
      </c>
      <c r="G50" t="n">
        <v>178</v>
      </c>
      <c r="H50" t="n">
        <v>12</v>
      </c>
      <c r="I50" t="s">
        <v>289</v>
      </c>
      <c r="J50" t="n">
        <v>0</v>
      </c>
      <c r="K50" t="n">
        <v>0</v>
      </c>
      <c r="L50" t="n">
        <v>0</v>
      </c>
      <c r="M50" t="n">
        <v>12</v>
      </c>
      <c r="N50" t="n">
        <v>0</v>
      </c>
      <c r="O50" t="n">
        <v>-0.25</v>
      </c>
      <c r="P50" t="n">
        <v>6</v>
      </c>
      <c r="Q50" t="n">
        <v>12</v>
      </c>
      <c r="R50" t="s">
        <v>288</v>
      </c>
      <c r="S50" t="s">
        <v>291</v>
      </c>
      <c r="T50" t="n">
        <v>0</v>
      </c>
    </row>
    <row r="51">
      <c r="A51" t="s">
        <v>32</v>
      </c>
      <c r="B51" t="n">
        <v>1.12</v>
      </c>
      <c r="C51" t="n">
        <v>1.19</v>
      </c>
      <c r="D51" t="n">
        <v>1.14</v>
      </c>
      <c r="E51" t="n">
        <v>-3</v>
      </c>
      <c r="F51" t="n">
        <v>-2</v>
      </c>
      <c r="G51" t="n">
        <v>14</v>
      </c>
      <c r="H51" t="n">
        <v>12</v>
      </c>
      <c r="I51" t="s">
        <v>293</v>
      </c>
      <c r="J51" t="n">
        <v>0</v>
      </c>
      <c r="K51" t="n">
        <v>0</v>
      </c>
      <c r="L51" t="n">
        <v>0</v>
      </c>
      <c r="M51" t="n">
        <v>12</v>
      </c>
      <c r="N51" t="n">
        <v>0</v>
      </c>
      <c r="O51" t="n">
        <v>-0.25</v>
      </c>
      <c r="P51" t="n">
        <v>13</v>
      </c>
      <c r="Q51" t="n">
        <v>12</v>
      </c>
      <c r="R51" t="s">
        <v>297</v>
      </c>
      <c r="S51" t="s">
        <v>294</v>
      </c>
      <c r="T51" t="n">
        <v>0</v>
      </c>
    </row>
    <row r="52">
      <c r="A52" t="s">
        <v>32</v>
      </c>
      <c r="B52" t="n">
        <v>1.22</v>
      </c>
      <c r="C52" t="n">
        <v>0.92</v>
      </c>
      <c r="D52" t="n">
        <v>1.14</v>
      </c>
      <c r="E52" t="n">
        <v>-5</v>
      </c>
      <c r="F52" t="n">
        <v>-0.25</v>
      </c>
      <c r="G52" t="n">
        <v>6</v>
      </c>
      <c r="H52" t="n">
        <v>12</v>
      </c>
      <c r="I52" t="s">
        <v>294</v>
      </c>
      <c r="J52" t="n">
        <v>0</v>
      </c>
      <c r="K52" t="n">
        <v>0</v>
      </c>
      <c r="L52" t="n">
        <v>0</v>
      </c>
      <c r="M52" t="n">
        <v>12</v>
      </c>
      <c r="N52" t="n">
        <v>-0.5</v>
      </c>
      <c r="O52" t="n">
        <v>-0.5</v>
      </c>
      <c r="P52" t="n">
        <v>172</v>
      </c>
      <c r="Q52" t="n">
        <v>12</v>
      </c>
      <c r="R52" t="s">
        <v>297</v>
      </c>
      <c r="S52" t="s">
        <v>291</v>
      </c>
      <c r="T52" t="n">
        <v>-0.75</v>
      </c>
    </row>
    <row r="53">
      <c r="A53" t="s">
        <v>32</v>
      </c>
      <c r="B53" t="n">
        <v>1.15</v>
      </c>
      <c r="C53" t="n">
        <v>1.03</v>
      </c>
      <c r="D53" t="n">
        <v>1.12</v>
      </c>
      <c r="E53" t="n">
        <v>-4.5</v>
      </c>
      <c r="F53" t="n">
        <v>-1</v>
      </c>
      <c r="G53" t="n">
        <v>168</v>
      </c>
      <c r="H53" t="n">
        <v>12</v>
      </c>
      <c r="I53" t="s">
        <v>297</v>
      </c>
      <c r="J53" t="n">
        <v>0</v>
      </c>
      <c r="K53" t="n">
        <v>0</v>
      </c>
      <c r="L53" t="n">
        <v>0</v>
      </c>
      <c r="M53" t="n">
        <v>12</v>
      </c>
      <c r="N53" t="n">
        <v>-0.5</v>
      </c>
      <c r="O53" t="n">
        <v>0</v>
      </c>
      <c r="P53" t="n">
        <v>152</v>
      </c>
      <c r="Q53" t="n">
        <v>12</v>
      </c>
      <c r="R53" t="s">
        <v>293</v>
      </c>
      <c r="S53" t="s">
        <v>288</v>
      </c>
      <c r="T53" t="n">
        <v>-0.5</v>
      </c>
    </row>
    <row r="54">
      <c r="A54" t="s">
        <v>32</v>
      </c>
      <c r="B54" t="n">
        <v>1</v>
      </c>
      <c r="C54" t="n">
        <v>0.87</v>
      </c>
      <c r="D54" t="n">
        <v>0.98</v>
      </c>
      <c r="E54" t="n">
        <v>-3.75</v>
      </c>
      <c r="F54" t="n">
        <v>-1.25</v>
      </c>
      <c r="G54" t="n">
        <v>9</v>
      </c>
      <c r="H54" t="n">
        <v>12</v>
      </c>
      <c r="I54" t="s">
        <v>289</v>
      </c>
      <c r="J54" t="n">
        <v>0</v>
      </c>
      <c r="K54" t="n">
        <v>0</v>
      </c>
      <c r="L54" t="n">
        <v>0</v>
      </c>
      <c r="M54" t="n">
        <v>12</v>
      </c>
      <c r="N54" t="n">
        <v>0</v>
      </c>
      <c r="O54" t="n">
        <v>-0.25</v>
      </c>
      <c r="P54" t="n">
        <v>10</v>
      </c>
      <c r="Q54" t="n">
        <v>12</v>
      </c>
      <c r="R54" t="s">
        <v>289</v>
      </c>
      <c r="S54" t="s">
        <v>300</v>
      </c>
      <c r="T54" t="n">
        <v>-0.25</v>
      </c>
    </row>
    <row r="55">
      <c r="A55" t="s">
        <v>32</v>
      </c>
      <c r="B55" t="n">
        <v>1.1</v>
      </c>
      <c r="C55" t="n">
        <v>1.03</v>
      </c>
      <c r="D55" t="n">
        <v>1.15</v>
      </c>
      <c r="E55" t="n">
        <v>-2.5</v>
      </c>
      <c r="F55" t="n">
        <v>-0.25</v>
      </c>
      <c r="G55" t="n">
        <v>89</v>
      </c>
      <c r="H55" t="n">
        <v>12</v>
      </c>
      <c r="I55" t="s">
        <v>293</v>
      </c>
      <c r="J55" t="n">
        <v>0</v>
      </c>
      <c r="K55" t="n">
        <v>0</v>
      </c>
      <c r="L55" t="n">
        <v>0</v>
      </c>
      <c r="M55" t="n">
        <v>12</v>
      </c>
      <c r="N55" t="n">
        <v>-0.5</v>
      </c>
      <c r="O55" t="n">
        <v>-0.25</v>
      </c>
      <c r="P55" t="n">
        <v>86</v>
      </c>
      <c r="Q55" t="n">
        <v>12</v>
      </c>
      <c r="R55" t="s">
        <v>297</v>
      </c>
      <c r="S55" t="s">
        <v>288</v>
      </c>
      <c r="T55" t="n">
        <v>-0.5</v>
      </c>
    </row>
    <row r="56">
      <c r="A56" t="s">
        <v>32</v>
      </c>
      <c r="B56" t="n">
        <v>0.99</v>
      </c>
      <c r="C56" t="n">
        <v>0.96</v>
      </c>
      <c r="D56" t="n">
        <v>0.97</v>
      </c>
      <c r="E56" t="n">
        <v>-4.25</v>
      </c>
      <c r="F56" t="n">
        <v>-0.5</v>
      </c>
      <c r="G56" t="n">
        <v>96</v>
      </c>
      <c r="H56" t="n">
        <v>12</v>
      </c>
      <c r="I56" t="s">
        <v>289</v>
      </c>
      <c r="J56" t="n">
        <v>0</v>
      </c>
      <c r="K56" t="n">
        <v>0</v>
      </c>
      <c r="L56" t="n">
        <v>0</v>
      </c>
      <c r="M56" t="n">
        <v>12</v>
      </c>
      <c r="N56" t="n">
        <v>0</v>
      </c>
      <c r="O56" t="n">
        <v>-0.5</v>
      </c>
      <c r="P56" t="n">
        <v>99</v>
      </c>
      <c r="Q56" t="n">
        <v>12</v>
      </c>
      <c r="R56" t="s">
        <v>290</v>
      </c>
      <c r="S56" t="s">
        <v>290</v>
      </c>
      <c r="T56" t="n">
        <v>-0.25</v>
      </c>
    </row>
    <row r="57">
      <c r="A57" t="s">
        <v>32</v>
      </c>
      <c r="B57" t="n">
        <v>1.1</v>
      </c>
      <c r="C57" t="n">
        <v>0.89</v>
      </c>
      <c r="D57" t="n">
        <v>1.06</v>
      </c>
      <c r="E57" t="n">
        <v>-3.25</v>
      </c>
      <c r="F57" t="n">
        <v>-0.25</v>
      </c>
      <c r="G57" t="n">
        <v>163</v>
      </c>
      <c r="H57" t="n">
        <v>12</v>
      </c>
      <c r="I57" t="s">
        <v>293</v>
      </c>
      <c r="J57" t="n">
        <v>0</v>
      </c>
      <c r="K57" t="n">
        <v>0</v>
      </c>
      <c r="L57" t="n">
        <v>0</v>
      </c>
      <c r="M57" t="n">
        <v>12</v>
      </c>
      <c r="N57" t="n">
        <v>0.5</v>
      </c>
      <c r="O57" t="n">
        <v>-0.25</v>
      </c>
      <c r="P57" t="n">
        <v>162</v>
      </c>
      <c r="Q57" t="n">
        <v>12</v>
      </c>
      <c r="R57" t="s">
        <v>288</v>
      </c>
      <c r="S57" t="s">
        <v>300</v>
      </c>
      <c r="T57" t="n">
        <v>0.25</v>
      </c>
    </row>
    <row r="58">
      <c r="A58" t="s">
        <v>32</v>
      </c>
      <c r="B58" t="n">
        <v>0.99</v>
      </c>
      <c r="C58" t="n">
        <v>0.82</v>
      </c>
      <c r="D58" t="n">
        <v>0.95</v>
      </c>
      <c r="E58" t="n">
        <v>-6.75</v>
      </c>
      <c r="F58" t="n">
        <v>-0.5</v>
      </c>
      <c r="G58" t="n">
        <v>55</v>
      </c>
      <c r="H58" t="n">
        <v>12</v>
      </c>
      <c r="I58" t="s">
        <v>289</v>
      </c>
      <c r="J58" t="n">
        <v>0</v>
      </c>
      <c r="K58" t="n">
        <v>0</v>
      </c>
      <c r="L58" t="n">
        <v>0</v>
      </c>
      <c r="M58" t="n">
        <v>12</v>
      </c>
      <c r="N58" t="n">
        <v>0.5</v>
      </c>
      <c r="O58" t="n">
        <v>-0.5</v>
      </c>
      <c r="P58" t="n">
        <v>78</v>
      </c>
      <c r="Q58" t="n">
        <v>12</v>
      </c>
      <c r="R58" t="s">
        <v>290</v>
      </c>
      <c r="S58" t="s">
        <v>298</v>
      </c>
      <c r="T58" t="n">
        <v>0.25</v>
      </c>
    </row>
    <row r="59">
      <c r="A59" t="s">
        <v>32</v>
      </c>
      <c r="B59" t="n">
        <v>1.05</v>
      </c>
      <c r="C59" t="n">
        <v>0.85</v>
      </c>
      <c r="D59" t="n">
        <v>1.04</v>
      </c>
      <c r="E59" t="n">
        <v>-4.75</v>
      </c>
      <c r="F59" t="n">
        <v>-1.5</v>
      </c>
      <c r="G59" t="n">
        <v>95</v>
      </c>
      <c r="H59" t="n">
        <v>12</v>
      </c>
      <c r="I59" t="s">
        <v>288</v>
      </c>
      <c r="J59" t="n">
        <v>0</v>
      </c>
      <c r="K59" t="n">
        <v>0</v>
      </c>
      <c r="L59" t="n">
        <v>0</v>
      </c>
      <c r="M59" t="n">
        <v>12</v>
      </c>
      <c r="N59" t="n">
        <v>0</v>
      </c>
      <c r="O59" t="n">
        <v>-0.5</v>
      </c>
      <c r="P59" t="n">
        <v>91</v>
      </c>
      <c r="Q59" t="n">
        <v>12</v>
      </c>
      <c r="R59" t="s">
        <v>288</v>
      </c>
      <c r="S59" t="s">
        <v>298</v>
      </c>
      <c r="T59" t="n">
        <v>-0.25</v>
      </c>
    </row>
    <row r="60">
      <c r="A60" t="s">
        <v>32</v>
      </c>
      <c r="B60" t="n">
        <v>1.02</v>
      </c>
      <c r="C60" t="n">
        <v>1.03</v>
      </c>
      <c r="D60" t="n">
        <v>1.03</v>
      </c>
      <c r="E60" t="n">
        <v>-3.25</v>
      </c>
      <c r="F60" t="n">
        <v>-1</v>
      </c>
      <c r="G60" t="n">
        <v>169</v>
      </c>
      <c r="H60" t="n">
        <v>12</v>
      </c>
      <c r="I60" t="s">
        <v>289</v>
      </c>
      <c r="J60" t="n">
        <v>0</v>
      </c>
      <c r="K60" t="n">
        <v>0</v>
      </c>
      <c r="L60" t="n">
        <v>0</v>
      </c>
      <c r="M60" t="n">
        <v>12</v>
      </c>
      <c r="N60" t="n">
        <v>0</v>
      </c>
      <c r="O60" t="n">
        <v>0</v>
      </c>
      <c r="P60" t="n">
        <v>167</v>
      </c>
      <c r="Q60" t="n">
        <v>12</v>
      </c>
      <c r="R60" t="s">
        <v>288</v>
      </c>
      <c r="S60" t="s">
        <v>288</v>
      </c>
      <c r="T60" t="n">
        <v>0</v>
      </c>
    </row>
    <row r="61">
      <c r="A61" t="s">
        <v>32</v>
      </c>
      <c r="B61" t="n">
        <v>1.02</v>
      </c>
      <c r="C61" t="n">
        <v>0.88</v>
      </c>
      <c r="D61" t="n">
        <v>1.01</v>
      </c>
      <c r="E61" t="n">
        <v>-3</v>
      </c>
      <c r="F61" t="n">
        <v>-0.25</v>
      </c>
      <c r="G61" t="n">
        <v>20</v>
      </c>
      <c r="H61" t="n">
        <v>12</v>
      </c>
      <c r="I61" t="s">
        <v>289</v>
      </c>
      <c r="J61" t="n">
        <v>0</v>
      </c>
      <c r="K61" t="n">
        <v>0</v>
      </c>
      <c r="L61" t="n">
        <v>0</v>
      </c>
      <c r="M61" t="n">
        <v>12</v>
      </c>
      <c r="N61" t="n">
        <v>-0.5</v>
      </c>
      <c r="O61" t="n">
        <v>-0.25</v>
      </c>
      <c r="P61" t="n">
        <v>7</v>
      </c>
      <c r="Q61" t="n">
        <v>12</v>
      </c>
      <c r="R61" t="s">
        <v>289</v>
      </c>
      <c r="S61" t="s">
        <v>300</v>
      </c>
      <c r="T61" t="n">
        <v>-0.5</v>
      </c>
    </row>
    <row r="62">
      <c r="A62" t="s">
        <v>32</v>
      </c>
      <c r="B62" t="n">
        <v>0.92</v>
      </c>
      <c r="C62" t="n">
        <v>0.96</v>
      </c>
      <c r="D62" t="n">
        <v>0.93</v>
      </c>
      <c r="E62" t="n">
        <v>-6.25</v>
      </c>
      <c r="F62" t="n">
        <v>-0.5</v>
      </c>
      <c r="G62" t="n">
        <v>97</v>
      </c>
      <c r="H62" t="n">
        <v>12</v>
      </c>
      <c r="I62" t="s">
        <v>291</v>
      </c>
      <c r="J62" t="n">
        <v>0</v>
      </c>
      <c r="K62" t="n">
        <v>0</v>
      </c>
      <c r="L62" t="n">
        <v>0</v>
      </c>
      <c r="M62" t="n">
        <v>12</v>
      </c>
      <c r="N62" t="n">
        <v>0.25</v>
      </c>
      <c r="O62" t="n">
        <v>-0.5</v>
      </c>
      <c r="P62" t="n">
        <v>93</v>
      </c>
      <c r="Q62" t="n">
        <v>12</v>
      </c>
      <c r="R62" t="s">
        <v>291</v>
      </c>
      <c r="S62" t="s">
        <v>290</v>
      </c>
      <c r="T62" t="n">
        <v>0</v>
      </c>
    </row>
    <row r="63">
      <c r="A63" t="s">
        <v>32</v>
      </c>
      <c r="B63" t="n">
        <v>1.06</v>
      </c>
      <c r="C63" t="n">
        <v>0.98</v>
      </c>
      <c r="D63" t="n">
        <v>1.07</v>
      </c>
      <c r="E63" t="n">
        <v>-4.5</v>
      </c>
      <c r="F63" t="n">
        <v>-0.5</v>
      </c>
      <c r="G63" t="n">
        <v>179</v>
      </c>
      <c r="H63" t="n">
        <v>12</v>
      </c>
      <c r="I63" t="s">
        <v>288</v>
      </c>
      <c r="J63" t="n">
        <v>0</v>
      </c>
      <c r="K63" t="n">
        <v>0</v>
      </c>
      <c r="L63" t="n">
        <v>0</v>
      </c>
      <c r="M63" t="n">
        <v>12</v>
      </c>
      <c r="N63" t="n">
        <v>0.25</v>
      </c>
      <c r="O63" t="n">
        <v>0</v>
      </c>
      <c r="P63" t="n">
        <v>93</v>
      </c>
      <c r="Q63" t="n">
        <v>12</v>
      </c>
      <c r="R63" t="s">
        <v>288</v>
      </c>
      <c r="S63" t="s">
        <v>289</v>
      </c>
      <c r="T63" t="n">
        <v>0.25</v>
      </c>
    </row>
    <row r="64">
      <c r="A64" t="s">
        <v>32</v>
      </c>
      <c r="B64" t="n">
        <v>0.99</v>
      </c>
      <c r="C64" t="n">
        <v>0.8</v>
      </c>
      <c r="D64" t="n">
        <v>0.9</v>
      </c>
      <c r="E64" t="n">
        <v>-4.25</v>
      </c>
      <c r="F64" t="n">
        <v>-0.25</v>
      </c>
      <c r="G64" t="n">
        <v>14</v>
      </c>
      <c r="H64" t="n">
        <v>12</v>
      </c>
      <c r="I64" t="s">
        <v>289</v>
      </c>
      <c r="J64" t="n">
        <v>0</v>
      </c>
      <c r="K64" t="n">
        <v>0</v>
      </c>
      <c r="L64" t="n">
        <v>0</v>
      </c>
      <c r="M64" t="n">
        <v>12</v>
      </c>
      <c r="N64" t="n">
        <v>0</v>
      </c>
      <c r="O64" t="n">
        <v>-0.25</v>
      </c>
      <c r="P64" t="n">
        <v>162</v>
      </c>
      <c r="Q64" t="n">
        <v>12</v>
      </c>
      <c r="R64" t="s">
        <v>291</v>
      </c>
      <c r="S64" t="s">
        <v>292</v>
      </c>
      <c r="T64" t="n">
        <v>0</v>
      </c>
    </row>
    <row r="65">
      <c r="A65" t="s">
        <v>32</v>
      </c>
      <c r="B65" t="n">
        <v>1.05</v>
      </c>
      <c r="C65" t="n">
        <v>1</v>
      </c>
      <c r="D65" t="n">
        <v>1.07</v>
      </c>
      <c r="E65" t="n">
        <v>-7.5</v>
      </c>
      <c r="F65" t="n">
        <v>-0.25</v>
      </c>
      <c r="G65" t="n">
        <v>85</v>
      </c>
      <c r="H65" t="n">
        <v>12</v>
      </c>
      <c r="I65" t="s">
        <v>288</v>
      </c>
      <c r="J65" t="n">
        <v>0</v>
      </c>
      <c r="K65" t="n">
        <v>0</v>
      </c>
      <c r="L65" t="n">
        <v>0</v>
      </c>
      <c r="M65" t="n">
        <v>12</v>
      </c>
      <c r="N65" t="n">
        <v>-1</v>
      </c>
      <c r="O65" t="n">
        <v>-0.25</v>
      </c>
      <c r="P65" t="n">
        <v>59</v>
      </c>
      <c r="Q65" t="n">
        <v>12</v>
      </c>
      <c r="R65" t="s">
        <v>288</v>
      </c>
      <c r="S65" t="s">
        <v>289</v>
      </c>
      <c r="T65" t="n">
        <v>-1</v>
      </c>
    </row>
    <row r="66">
      <c r="A66" t="s">
        <v>32</v>
      </c>
      <c r="B66" t="n">
        <v>1.08</v>
      </c>
      <c r="C66" t="n">
        <v>0.97</v>
      </c>
      <c r="D66" t="n">
        <v>1.08</v>
      </c>
      <c r="E66" t="n">
        <v>-2.5</v>
      </c>
      <c r="F66" t="n">
        <v>-1</v>
      </c>
      <c r="G66" t="n">
        <v>21</v>
      </c>
      <c r="H66" t="n">
        <v>12</v>
      </c>
      <c r="I66" t="s">
        <v>293</v>
      </c>
      <c r="J66" t="n">
        <v>0</v>
      </c>
      <c r="K66" t="n">
        <v>0</v>
      </c>
      <c r="L66" t="n">
        <v>0</v>
      </c>
      <c r="M66" t="n">
        <v>12</v>
      </c>
      <c r="N66" t="n">
        <v>0.5</v>
      </c>
      <c r="O66" t="n">
        <v>-0.25</v>
      </c>
      <c r="P66" t="n">
        <v>28</v>
      </c>
      <c r="Q66" t="n">
        <v>12</v>
      </c>
      <c r="R66" t="s">
        <v>293</v>
      </c>
      <c r="S66" t="s">
        <v>290</v>
      </c>
      <c r="T66" t="n">
        <v>0.25</v>
      </c>
    </row>
    <row r="67">
      <c r="A67" t="s">
        <v>32</v>
      </c>
      <c r="B67" t="n">
        <v>1.01</v>
      </c>
      <c r="C67" t="n">
        <v>0.91</v>
      </c>
      <c r="D67" t="n">
        <v>1.08</v>
      </c>
      <c r="E67" t="n">
        <v>-0.75</v>
      </c>
      <c r="F67" t="n">
        <v>-1.5</v>
      </c>
      <c r="G67" t="n">
        <v>23</v>
      </c>
      <c r="H67" t="n">
        <v>12</v>
      </c>
      <c r="I67" t="s">
        <v>289</v>
      </c>
      <c r="J67" t="n">
        <v>0</v>
      </c>
      <c r="K67" t="n">
        <v>0</v>
      </c>
      <c r="L67" t="n">
        <v>0</v>
      </c>
      <c r="M67" t="n">
        <v>12</v>
      </c>
      <c r="N67" t="n">
        <v>-1.25</v>
      </c>
      <c r="O67" t="n">
        <v>0</v>
      </c>
      <c r="P67" t="n">
        <v>18</v>
      </c>
      <c r="Q67" t="n">
        <v>12</v>
      </c>
      <c r="R67" t="s">
        <v>293</v>
      </c>
      <c r="S67" t="s">
        <v>291</v>
      </c>
      <c r="T67" t="n">
        <v>-1.25</v>
      </c>
    </row>
    <row r="68">
      <c r="A68" t="s">
        <v>32</v>
      </c>
      <c r="B68" t="n">
        <v>1.04</v>
      </c>
      <c r="C68" t="n">
        <v>1.02</v>
      </c>
      <c r="D68" t="n">
        <v>1.02</v>
      </c>
      <c r="E68" t="n">
        <v>-4.5</v>
      </c>
      <c r="F68" t="n">
        <v>-0.5</v>
      </c>
      <c r="G68" t="n">
        <v>157</v>
      </c>
      <c r="H68" t="n">
        <v>12</v>
      </c>
      <c r="I68" t="s">
        <v>288</v>
      </c>
      <c r="J68" t="n">
        <v>0</v>
      </c>
      <c r="K68" t="n">
        <v>0</v>
      </c>
      <c r="L68" t="n">
        <v>0</v>
      </c>
      <c r="M68" t="n">
        <v>12</v>
      </c>
      <c r="N68" t="n">
        <v>-0.25</v>
      </c>
      <c r="O68" t="n">
        <v>0</v>
      </c>
      <c r="P68" t="n">
        <v>153</v>
      </c>
      <c r="Q68" t="n">
        <v>12</v>
      </c>
      <c r="R68" t="s">
        <v>289</v>
      </c>
      <c r="S68" t="s">
        <v>289</v>
      </c>
      <c r="T68" t="n">
        <v>-0.25</v>
      </c>
    </row>
    <row r="69">
      <c r="A69" t="s">
        <v>32</v>
      </c>
      <c r="B69" t="n">
        <v>0.95</v>
      </c>
      <c r="C69" t="n">
        <v>0.87</v>
      </c>
      <c r="D69" t="n">
        <v>0.96</v>
      </c>
      <c r="E69" t="n">
        <v>-6</v>
      </c>
      <c r="F69" t="n">
        <v>-0.75</v>
      </c>
      <c r="G69" t="n">
        <v>6</v>
      </c>
      <c r="H69" t="n">
        <v>12</v>
      </c>
      <c r="I69" t="s">
        <v>290</v>
      </c>
      <c r="J69" t="n">
        <v>0</v>
      </c>
      <c r="K69" t="n">
        <v>0</v>
      </c>
      <c r="L69" t="n">
        <v>0</v>
      </c>
      <c r="M69" t="n">
        <v>12</v>
      </c>
      <c r="N69" t="n">
        <v>0.5</v>
      </c>
      <c r="O69" t="n">
        <v>-0.5</v>
      </c>
      <c r="P69" t="n">
        <v>48</v>
      </c>
      <c r="Q69" t="n">
        <v>12</v>
      </c>
      <c r="R69" t="s">
        <v>290</v>
      </c>
      <c r="S69" t="s">
        <v>300</v>
      </c>
      <c r="T69" t="n">
        <v>0.25</v>
      </c>
    </row>
    <row r="70">
      <c r="A70" t="s">
        <v>32</v>
      </c>
      <c r="B70" t="n">
        <v>1.11</v>
      </c>
      <c r="C70" t="n">
        <v>1.09</v>
      </c>
      <c r="D70" t="n">
        <v>1.09</v>
      </c>
      <c r="E70" t="n">
        <v>-3</v>
      </c>
      <c r="F70" t="n">
        <v>-0.5</v>
      </c>
      <c r="G70" t="n">
        <v>23</v>
      </c>
      <c r="H70" t="n">
        <v>12</v>
      </c>
      <c r="I70" t="s">
        <v>293</v>
      </c>
      <c r="J70" t="n">
        <v>0</v>
      </c>
      <c r="K70" t="n">
        <v>0</v>
      </c>
      <c r="L70" t="n">
        <v>0</v>
      </c>
      <c r="M70" t="n">
        <v>12</v>
      </c>
      <c r="N70" t="n">
        <v>0.25</v>
      </c>
      <c r="O70" t="n">
        <v>0</v>
      </c>
      <c r="P70" t="n">
        <v>124</v>
      </c>
      <c r="Q70" t="n">
        <v>12</v>
      </c>
      <c r="R70" t="s">
        <v>293</v>
      </c>
      <c r="S70" t="s">
        <v>293</v>
      </c>
      <c r="T70" t="n">
        <v>0.25</v>
      </c>
    </row>
    <row r="71">
      <c r="A71" t="s">
        <v>32</v>
      </c>
      <c r="B71" t="n">
        <v>1.01</v>
      </c>
      <c r="C71" t="n">
        <v>0.99</v>
      </c>
      <c r="D71" t="n">
        <v>1.05</v>
      </c>
      <c r="E71" t="n">
        <v>-5</v>
      </c>
      <c r="F71" t="n">
        <v>-0.75</v>
      </c>
      <c r="G71" t="n">
        <v>88</v>
      </c>
      <c r="H71" t="n">
        <v>12</v>
      </c>
      <c r="I71" t="s">
        <v>289</v>
      </c>
      <c r="J71" t="n">
        <v>0</v>
      </c>
      <c r="K71" t="n">
        <v>0</v>
      </c>
      <c r="L71" t="n">
        <v>0</v>
      </c>
      <c r="M71" t="n">
        <v>12</v>
      </c>
      <c r="N71" t="n">
        <v>0</v>
      </c>
      <c r="O71" t="n">
        <v>-0.25</v>
      </c>
      <c r="P71" t="n">
        <v>97</v>
      </c>
      <c r="Q71" t="n">
        <v>12</v>
      </c>
      <c r="R71" t="s">
        <v>288</v>
      </c>
      <c r="S71" t="s">
        <v>289</v>
      </c>
      <c r="T71" t="n">
        <v>-0.25</v>
      </c>
    </row>
    <row r="72">
      <c r="A72" t="s">
        <v>32</v>
      </c>
      <c r="B72" t="n">
        <v>0.97</v>
      </c>
      <c r="C72" t="n">
        <v>1.01</v>
      </c>
      <c r="D72" t="n">
        <v>1.04</v>
      </c>
      <c r="E72" t="n">
        <v>-4</v>
      </c>
      <c r="F72" t="n">
        <v>-0.5</v>
      </c>
      <c r="G72" t="n">
        <v>164</v>
      </c>
      <c r="H72" t="n">
        <v>12</v>
      </c>
      <c r="I72" t="s">
        <v>290</v>
      </c>
      <c r="J72" t="n">
        <v>0</v>
      </c>
      <c r="K72" t="n">
        <v>0</v>
      </c>
      <c r="L72" t="n">
        <v>0</v>
      </c>
      <c r="M72" t="n">
        <v>12</v>
      </c>
      <c r="N72" t="n">
        <v>0</v>
      </c>
      <c r="O72" t="n">
        <v>-0.25</v>
      </c>
      <c r="P72" t="n">
        <v>133</v>
      </c>
      <c r="Q72" t="n">
        <v>12</v>
      </c>
      <c r="R72" t="s">
        <v>288</v>
      </c>
      <c r="S72" t="s">
        <v>289</v>
      </c>
      <c r="T72" t="n">
        <v>0</v>
      </c>
    </row>
    <row r="73">
      <c r="A73" t="s">
        <v>32</v>
      </c>
      <c r="B73" t="n">
        <v>1.05</v>
      </c>
      <c r="C73" t="n">
        <v>1.01</v>
      </c>
      <c r="D73" t="n">
        <v>1.02</v>
      </c>
      <c r="E73" t="n">
        <v>-5.5</v>
      </c>
      <c r="F73" t="n">
        <v>-1</v>
      </c>
      <c r="G73" t="n">
        <v>20</v>
      </c>
      <c r="H73" t="n">
        <v>12</v>
      </c>
      <c r="I73" t="s">
        <v>288</v>
      </c>
      <c r="J73" t="n">
        <v>0</v>
      </c>
      <c r="K73" t="n">
        <v>0</v>
      </c>
      <c r="L73" t="n">
        <v>0</v>
      </c>
      <c r="M73" t="n">
        <v>12</v>
      </c>
      <c r="N73" t="n">
        <v>-0.5</v>
      </c>
      <c r="O73" t="n">
        <v>-0.25</v>
      </c>
      <c r="P73" t="n">
        <v>16</v>
      </c>
      <c r="Q73" t="n">
        <v>12</v>
      </c>
      <c r="R73" t="s">
        <v>289</v>
      </c>
      <c r="S73" t="s">
        <v>289</v>
      </c>
      <c r="T73" t="n">
        <v>-0.5</v>
      </c>
    </row>
    <row r="74">
      <c r="A74" t="s">
        <v>32</v>
      </c>
      <c r="B74" t="n">
        <v>0.86</v>
      </c>
      <c r="C74" t="n">
        <v>0.85</v>
      </c>
      <c r="D74" t="n">
        <v>0.88</v>
      </c>
      <c r="E74" t="n">
        <v>-7.5</v>
      </c>
      <c r="F74" t="n">
        <v>-0.5</v>
      </c>
      <c r="G74" t="n">
        <v>23</v>
      </c>
      <c r="H74" t="n">
        <v>12</v>
      </c>
      <c r="I74" t="s">
        <v>300</v>
      </c>
      <c r="J74" t="n">
        <v>0</v>
      </c>
      <c r="K74" t="n">
        <v>0</v>
      </c>
      <c r="L74" t="n">
        <v>0</v>
      </c>
      <c r="M74" t="n">
        <v>12</v>
      </c>
      <c r="N74" t="n">
        <v>0</v>
      </c>
      <c r="O74" t="n">
        <v>-0.25</v>
      </c>
      <c r="P74" t="n">
        <v>33</v>
      </c>
      <c r="Q74" t="n">
        <v>12</v>
      </c>
      <c r="R74" t="s">
        <v>300</v>
      </c>
      <c r="S74" t="s">
        <v>298</v>
      </c>
      <c r="T74" t="n">
        <v>0</v>
      </c>
    </row>
    <row r="75">
      <c r="A75" t="s">
        <v>32</v>
      </c>
      <c r="B75" t="n">
        <v>0.97</v>
      </c>
      <c r="C75" t="n">
        <v>0.9</v>
      </c>
      <c r="D75" t="n">
        <v>0.98</v>
      </c>
      <c r="E75" t="n">
        <v>-3</v>
      </c>
      <c r="F75" t="n">
        <v>0</v>
      </c>
      <c r="G75" t="n">
        <v>92</v>
      </c>
      <c r="H75" t="n">
        <v>12</v>
      </c>
      <c r="I75" t="s">
        <v>290</v>
      </c>
      <c r="J75" t="n">
        <v>0</v>
      </c>
      <c r="K75" t="n">
        <v>0</v>
      </c>
      <c r="L75" t="n">
        <v>0</v>
      </c>
      <c r="M75" t="n">
        <v>12</v>
      </c>
      <c r="N75" t="n">
        <v>0.5</v>
      </c>
      <c r="O75" t="n">
        <v>-0.25</v>
      </c>
      <c r="P75" t="n">
        <v>70</v>
      </c>
      <c r="Q75" t="n">
        <v>12</v>
      </c>
      <c r="R75" t="s">
        <v>289</v>
      </c>
      <c r="S75" t="s">
        <v>291</v>
      </c>
      <c r="T75" t="n">
        <v>0.5</v>
      </c>
    </row>
    <row r="76">
      <c r="A76" t="s">
        <v>32</v>
      </c>
      <c r="B76" t="n">
        <v>0.94</v>
      </c>
      <c r="C76" t="n">
        <v>0.88</v>
      </c>
      <c r="D76" t="n">
        <v>0.94</v>
      </c>
      <c r="E76" t="n">
        <v>-6.5</v>
      </c>
      <c r="F76" t="n">
        <v>-0.5</v>
      </c>
      <c r="G76" t="n">
        <v>159</v>
      </c>
      <c r="H76" t="n">
        <v>12</v>
      </c>
      <c r="I76" t="s">
        <v>290</v>
      </c>
      <c r="J76" t="n">
        <v>0</v>
      </c>
      <c r="K76" t="n">
        <v>0</v>
      </c>
      <c r="L76" t="n">
        <v>0</v>
      </c>
      <c r="M76" t="n">
        <v>12</v>
      </c>
      <c r="N76" t="n">
        <v>-0.5</v>
      </c>
      <c r="O76" t="n">
        <v>-0.25</v>
      </c>
      <c r="P76" t="n">
        <v>6</v>
      </c>
      <c r="Q76" t="n">
        <v>12</v>
      </c>
      <c r="R76" t="s">
        <v>290</v>
      </c>
      <c r="S76" t="s">
        <v>300</v>
      </c>
      <c r="T76" t="n">
        <v>-0.5</v>
      </c>
    </row>
    <row r="77">
      <c r="A77" t="s">
        <v>32</v>
      </c>
      <c r="B77" t="n">
        <v>0.99</v>
      </c>
      <c r="C77" t="n">
        <v>0.98</v>
      </c>
      <c r="D77" t="n">
        <v>1.02</v>
      </c>
      <c r="E77" t="n">
        <v>-5.5</v>
      </c>
      <c r="F77" t="n">
        <v>-1</v>
      </c>
      <c r="G77" t="n">
        <v>101</v>
      </c>
      <c r="H77" t="n">
        <v>12</v>
      </c>
      <c r="I77" t="s">
        <v>289</v>
      </c>
      <c r="J77" t="n">
        <v>0</v>
      </c>
      <c r="K77" t="n">
        <v>0</v>
      </c>
      <c r="L77" t="n">
        <v>0</v>
      </c>
      <c r="M77" t="n">
        <v>12</v>
      </c>
      <c r="N77" t="n">
        <v>0.25</v>
      </c>
      <c r="O77" t="n">
        <v>-0.5</v>
      </c>
      <c r="P77" t="n">
        <v>74</v>
      </c>
      <c r="Q77" t="n">
        <v>12</v>
      </c>
      <c r="R77" t="s">
        <v>289</v>
      </c>
      <c r="S77" t="s">
        <v>289</v>
      </c>
      <c r="T77" t="n">
        <v>0</v>
      </c>
    </row>
    <row r="78">
      <c r="A78" t="s">
        <v>32</v>
      </c>
      <c r="B78" t="n">
        <v>1.02</v>
      </c>
      <c r="C78" t="n">
        <v>0.89</v>
      </c>
      <c r="D78" t="n">
        <v>0.97</v>
      </c>
      <c r="E78" t="n">
        <v>-6</v>
      </c>
      <c r="F78" t="n">
        <v>-0.75</v>
      </c>
      <c r="G78" t="n">
        <v>3</v>
      </c>
      <c r="H78" t="n">
        <v>12</v>
      </c>
      <c r="I78" t="s">
        <v>289</v>
      </c>
      <c r="J78" t="n">
        <v>0</v>
      </c>
      <c r="K78" t="n">
        <v>0</v>
      </c>
      <c r="L78" t="n">
        <v>0</v>
      </c>
      <c r="M78" t="n">
        <v>12</v>
      </c>
      <c r="N78" t="n">
        <v>0</v>
      </c>
      <c r="O78" t="n">
        <v>-0.25</v>
      </c>
      <c r="P78" t="n">
        <v>119</v>
      </c>
      <c r="Q78" t="n">
        <v>12</v>
      </c>
      <c r="R78" t="s">
        <v>290</v>
      </c>
      <c r="S78" t="s">
        <v>300</v>
      </c>
      <c r="T78" t="n">
        <v>0</v>
      </c>
    </row>
    <row r="79">
      <c r="A79" t="s">
        <v>32</v>
      </c>
      <c r="B79" t="n">
        <v>1.12</v>
      </c>
      <c r="C79" t="n">
        <v>1.02</v>
      </c>
      <c r="D79" t="n">
        <v>1.17</v>
      </c>
      <c r="E79" t="n">
        <v>-3.25</v>
      </c>
      <c r="F79" t="n">
        <v>-0.5</v>
      </c>
      <c r="G79" t="n">
        <v>81</v>
      </c>
      <c r="H79" t="n">
        <v>12</v>
      </c>
      <c r="I79" t="s">
        <v>293</v>
      </c>
      <c r="J79" t="n">
        <v>0</v>
      </c>
      <c r="K79" t="n">
        <v>0</v>
      </c>
      <c r="L79" t="n">
        <v>0</v>
      </c>
      <c r="M79" t="n">
        <v>12</v>
      </c>
      <c r="N79" t="n">
        <v>-0.75</v>
      </c>
      <c r="O79" t="n">
        <v>-0.5</v>
      </c>
      <c r="P79" t="n">
        <v>60</v>
      </c>
      <c r="Q79" t="n">
        <v>12</v>
      </c>
      <c r="R79" t="s">
        <v>297</v>
      </c>
      <c r="S79" t="s">
        <v>289</v>
      </c>
      <c r="T79" t="n">
        <v>-1</v>
      </c>
    </row>
    <row r="80">
      <c r="A80" t="s">
        <v>32</v>
      </c>
      <c r="B80" t="n">
        <v>1.15</v>
      </c>
      <c r="C80" t="n">
        <v>1.16</v>
      </c>
      <c r="D80" t="n">
        <v>1.16</v>
      </c>
      <c r="E80" t="n">
        <v>-5.25</v>
      </c>
      <c r="F80" t="n">
        <v>-0.5</v>
      </c>
      <c r="G80" t="n">
        <v>2</v>
      </c>
      <c r="H80" t="n">
        <v>12</v>
      </c>
      <c r="I80" t="s">
        <v>297</v>
      </c>
      <c r="J80" t="n">
        <v>0</v>
      </c>
      <c r="K80" t="n">
        <v>0</v>
      </c>
      <c r="L80" t="n">
        <v>0</v>
      </c>
      <c r="M80" t="n">
        <v>12</v>
      </c>
      <c r="N80" t="n">
        <v>0</v>
      </c>
      <c r="O80" t="n">
        <v>-0.25</v>
      </c>
      <c r="P80" t="n">
        <v>18</v>
      </c>
      <c r="Q80" t="n">
        <v>12</v>
      </c>
      <c r="R80" t="s">
        <v>297</v>
      </c>
      <c r="S80" t="s">
        <v>297</v>
      </c>
      <c r="T80" t="n">
        <v>0</v>
      </c>
    </row>
    <row r="81">
      <c r="A81" t="s">
        <v>32</v>
      </c>
      <c r="B81" t="n">
        <v>1.09</v>
      </c>
      <c r="C81" t="n">
        <v>1.1</v>
      </c>
      <c r="D81" t="n">
        <v>1.11</v>
      </c>
      <c r="E81" t="n">
        <v>-2.75</v>
      </c>
      <c r="F81" t="n">
        <v>-1.25</v>
      </c>
      <c r="G81" t="n">
        <v>175</v>
      </c>
      <c r="H81" t="n">
        <v>12</v>
      </c>
      <c r="I81" t="s">
        <v>293</v>
      </c>
      <c r="J81" t="n">
        <v>0</v>
      </c>
      <c r="K81" t="n">
        <v>0</v>
      </c>
      <c r="L81" t="n">
        <v>0</v>
      </c>
      <c r="M81" t="n">
        <v>12</v>
      </c>
      <c r="N81" t="n">
        <v>0</v>
      </c>
      <c r="O81" t="n">
        <v>-0.25</v>
      </c>
      <c r="P81" t="n">
        <v>3</v>
      </c>
      <c r="Q81" t="n">
        <v>12</v>
      </c>
      <c r="R81" t="s">
        <v>293</v>
      </c>
      <c r="S81" t="s">
        <v>293</v>
      </c>
      <c r="T81" t="n">
        <v>-0.25</v>
      </c>
    </row>
    <row r="82">
      <c r="A82" t="s">
        <v>32</v>
      </c>
      <c r="B82" t="n">
        <v>1.07</v>
      </c>
      <c r="C82" t="n">
        <v>1.11</v>
      </c>
      <c r="D82" t="n">
        <v>1.15</v>
      </c>
      <c r="E82" t="n">
        <v>-5</v>
      </c>
      <c r="F82" t="n">
        <v>-0.75</v>
      </c>
      <c r="G82" t="n">
        <v>8</v>
      </c>
      <c r="H82" t="n">
        <v>12</v>
      </c>
      <c r="I82" t="s">
        <v>288</v>
      </c>
      <c r="J82" t="n">
        <v>0</v>
      </c>
      <c r="K82" t="n">
        <v>0</v>
      </c>
      <c r="L82" t="n">
        <v>0</v>
      </c>
      <c r="M82" t="n">
        <v>12</v>
      </c>
      <c r="N82" t="n">
        <v>-0.5</v>
      </c>
      <c r="O82" t="n">
        <v>0</v>
      </c>
      <c r="P82" t="n">
        <v>17</v>
      </c>
      <c r="Q82" t="n">
        <v>12</v>
      </c>
      <c r="R82" t="s">
        <v>297</v>
      </c>
      <c r="S82" t="s">
        <v>293</v>
      </c>
      <c r="T82" t="n">
        <v>-0.5</v>
      </c>
    </row>
    <row r="83">
      <c r="A83" t="s">
        <v>32</v>
      </c>
      <c r="B83" t="n">
        <v>1.03</v>
      </c>
      <c r="C83" t="n">
        <v>1.1</v>
      </c>
      <c r="D83" t="n">
        <v>1.09</v>
      </c>
      <c r="E83" t="n">
        <v>-6</v>
      </c>
      <c r="F83" t="n">
        <v>-1</v>
      </c>
      <c r="G83" t="n">
        <v>3</v>
      </c>
      <c r="H83" t="n">
        <v>12</v>
      </c>
      <c r="I83" t="s">
        <v>288</v>
      </c>
      <c r="J83" t="n">
        <v>0</v>
      </c>
      <c r="K83" t="n">
        <v>0</v>
      </c>
      <c r="L83" t="n">
        <v>0</v>
      </c>
      <c r="M83" t="n">
        <v>12</v>
      </c>
      <c r="N83" t="n">
        <v>0</v>
      </c>
      <c r="O83" t="n">
        <v>0</v>
      </c>
      <c r="P83" t="n">
        <v>37</v>
      </c>
      <c r="Q83" t="n">
        <v>12</v>
      </c>
      <c r="R83" t="s">
        <v>293</v>
      </c>
      <c r="S83" t="s">
        <v>293</v>
      </c>
      <c r="T83" t="n">
        <v>0</v>
      </c>
    </row>
    <row r="84">
      <c r="A84" t="s">
        <v>32</v>
      </c>
      <c r="B84" t="n">
        <v>1.07</v>
      </c>
      <c r="C84" t="n">
        <v>0.98</v>
      </c>
      <c r="D84" t="n">
        <v>1.08</v>
      </c>
      <c r="E84" t="n">
        <v>-3.25</v>
      </c>
      <c r="F84" t="n">
        <v>-0.25</v>
      </c>
      <c r="G84" t="n">
        <v>167</v>
      </c>
      <c r="H84" t="n">
        <v>12</v>
      </c>
      <c r="I84" t="s">
        <v>288</v>
      </c>
      <c r="J84" t="n">
        <v>0</v>
      </c>
      <c r="K84" t="n">
        <v>0</v>
      </c>
      <c r="L84" t="n">
        <v>0</v>
      </c>
      <c r="M84" t="n">
        <v>12</v>
      </c>
      <c r="N84" t="n">
        <v>0</v>
      </c>
      <c r="O84" t="n">
        <v>-0.25</v>
      </c>
      <c r="P84" t="n">
        <v>13</v>
      </c>
      <c r="Q84" t="n">
        <v>12</v>
      </c>
      <c r="R84" t="s">
        <v>293</v>
      </c>
      <c r="S84" t="s">
        <v>289</v>
      </c>
      <c r="T84" t="n">
        <v>-0.25</v>
      </c>
    </row>
    <row r="85">
      <c r="A85" t="s">
        <v>32</v>
      </c>
      <c r="B85" t="n">
        <v>1.05</v>
      </c>
      <c r="C85" t="n">
        <v>0.91</v>
      </c>
      <c r="D85" t="n">
        <v>1.08</v>
      </c>
      <c r="E85" t="n">
        <v>-4</v>
      </c>
      <c r="F85" t="n">
        <v>-0.5</v>
      </c>
      <c r="G85" t="n">
        <v>4</v>
      </c>
      <c r="H85" t="n">
        <v>12</v>
      </c>
      <c r="I85" t="s">
        <v>288</v>
      </c>
      <c r="J85" t="n">
        <v>0</v>
      </c>
      <c r="K85" t="n">
        <v>0</v>
      </c>
      <c r="L85" t="n">
        <v>0</v>
      </c>
      <c r="M85" t="n">
        <v>12</v>
      </c>
      <c r="N85" t="n">
        <v>-0.5</v>
      </c>
      <c r="O85" t="n">
        <v>-0.5</v>
      </c>
      <c r="P85" t="n">
        <v>133</v>
      </c>
      <c r="Q85" t="n">
        <v>12</v>
      </c>
      <c r="R85" t="s">
        <v>293</v>
      </c>
      <c r="S85" t="s">
        <v>291</v>
      </c>
      <c r="T85" t="n">
        <v>-0.75</v>
      </c>
    </row>
    <row r="86">
      <c r="A86" t="s">
        <v>32</v>
      </c>
      <c r="B86" t="n">
        <v>1.09</v>
      </c>
      <c r="C86" t="n">
        <v>1.05</v>
      </c>
      <c r="D86" t="n">
        <v>1.11</v>
      </c>
      <c r="E86" t="n">
        <v>-4</v>
      </c>
      <c r="F86" t="n">
        <v>0</v>
      </c>
      <c r="G86" t="n">
        <v>100</v>
      </c>
      <c r="H86" t="n">
        <v>12</v>
      </c>
      <c r="I86" t="s">
        <v>293</v>
      </c>
      <c r="J86" t="n">
        <v>0</v>
      </c>
      <c r="K86" t="n">
        <v>0</v>
      </c>
      <c r="L86" t="n">
        <v>0</v>
      </c>
      <c r="M86" t="n">
        <v>12</v>
      </c>
      <c r="N86" t="n">
        <v>0</v>
      </c>
      <c r="O86" t="n">
        <v>-0.25</v>
      </c>
      <c r="P86" t="n">
        <v>73</v>
      </c>
      <c r="Q86" t="n">
        <v>12</v>
      </c>
      <c r="R86" t="s">
        <v>293</v>
      </c>
      <c r="S86" t="s">
        <v>288</v>
      </c>
      <c r="T86" t="n">
        <v>0</v>
      </c>
    </row>
    <row r="87">
      <c r="A87" t="s">
        <v>32</v>
      </c>
      <c r="B87" t="n">
        <v>1</v>
      </c>
      <c r="C87" t="n">
        <v>0.95</v>
      </c>
      <c r="D87" t="n">
        <v>1.01</v>
      </c>
      <c r="E87" t="n">
        <v>-5.25</v>
      </c>
      <c r="F87" t="n">
        <v>-0.25</v>
      </c>
      <c r="G87" t="n">
        <v>166</v>
      </c>
      <c r="H87" t="n">
        <v>12</v>
      </c>
      <c r="I87" t="s">
        <v>289</v>
      </c>
      <c r="J87" t="n">
        <v>0</v>
      </c>
      <c r="K87" t="n">
        <v>0</v>
      </c>
      <c r="L87" t="n">
        <v>0</v>
      </c>
      <c r="M87" t="n">
        <v>12</v>
      </c>
      <c r="N87" t="n">
        <v>0</v>
      </c>
      <c r="O87" t="n">
        <v>-0.75</v>
      </c>
      <c r="P87" t="n">
        <v>166</v>
      </c>
      <c r="Q87" t="n">
        <v>12</v>
      </c>
      <c r="R87" t="s">
        <v>289</v>
      </c>
      <c r="S87" t="s">
        <v>290</v>
      </c>
      <c r="T87" t="n">
        <v>-0.25</v>
      </c>
    </row>
    <row r="88">
      <c r="A88" t="s">
        <v>32</v>
      </c>
      <c r="B88" t="n">
        <v>1.08</v>
      </c>
      <c r="C88" t="n">
        <v>1.15</v>
      </c>
      <c r="D88" t="n">
        <v>1.11</v>
      </c>
      <c r="E88" t="n">
        <v>-4</v>
      </c>
      <c r="F88" t="n">
        <v>-0.75</v>
      </c>
      <c r="G88" t="n">
        <v>171</v>
      </c>
      <c r="H88" t="n">
        <v>12</v>
      </c>
      <c r="I88" t="s">
        <v>293</v>
      </c>
      <c r="J88" t="n">
        <v>0</v>
      </c>
      <c r="K88" t="n">
        <v>0</v>
      </c>
      <c r="L88" t="n">
        <v>0</v>
      </c>
      <c r="M88" t="n">
        <v>12</v>
      </c>
      <c r="N88" t="n">
        <v>0</v>
      </c>
      <c r="O88" t="n">
        <v>0</v>
      </c>
      <c r="P88" t="n">
        <v>147</v>
      </c>
      <c r="Q88" t="n">
        <v>12</v>
      </c>
      <c r="R88" t="s">
        <v>293</v>
      </c>
      <c r="S88" t="s">
        <v>297</v>
      </c>
      <c r="T88" t="n">
        <v>0</v>
      </c>
    </row>
    <row r="89">
      <c r="A89" t="s">
        <v>32</v>
      </c>
      <c r="B89" t="n">
        <v>0.87</v>
      </c>
      <c r="C89" t="n">
        <v>0.86</v>
      </c>
      <c r="D89" t="n">
        <v>0.88</v>
      </c>
      <c r="E89" t="n">
        <v>-5</v>
      </c>
      <c r="F89" t="n">
        <v>-0.5</v>
      </c>
      <c r="G89" t="n">
        <v>171</v>
      </c>
      <c r="H89" t="n">
        <v>12</v>
      </c>
      <c r="I89" t="s">
        <v>300</v>
      </c>
      <c r="J89" t="n">
        <v>0</v>
      </c>
      <c r="K89" t="n">
        <v>0</v>
      </c>
      <c r="L89" t="n">
        <v>0</v>
      </c>
      <c r="M89" t="n">
        <v>12</v>
      </c>
      <c r="N89" t="n">
        <v>0</v>
      </c>
      <c r="O89" t="n">
        <v>-0.25</v>
      </c>
      <c r="P89" t="n">
        <v>15</v>
      </c>
      <c r="Q89" t="n">
        <v>12</v>
      </c>
      <c r="R89" t="s">
        <v>300</v>
      </c>
      <c r="S89" t="s">
        <v>300</v>
      </c>
      <c r="T89" t="n">
        <v>0</v>
      </c>
    </row>
    <row r="90">
      <c r="A90" t="s">
        <v>32</v>
      </c>
      <c r="B90" t="n">
        <v>1.05</v>
      </c>
      <c r="C90" t="n">
        <v>0.94</v>
      </c>
      <c r="D90" t="n">
        <v>0.98</v>
      </c>
      <c r="E90" t="n">
        <v>-3.5</v>
      </c>
      <c r="F90" t="n">
        <v>-1</v>
      </c>
      <c r="G90" t="n">
        <v>108</v>
      </c>
      <c r="H90" t="n">
        <v>12</v>
      </c>
      <c r="I90" t="s">
        <v>288</v>
      </c>
      <c r="J90" t="n">
        <v>0</v>
      </c>
      <c r="K90" t="n">
        <v>0</v>
      </c>
      <c r="L90" t="n">
        <v>0</v>
      </c>
      <c r="M90" t="n">
        <v>12</v>
      </c>
      <c r="N90" t="n">
        <v>0.5</v>
      </c>
      <c r="O90" t="n">
        <v>-0.5</v>
      </c>
      <c r="P90" t="n">
        <v>121</v>
      </c>
      <c r="Q90" t="n">
        <v>12</v>
      </c>
      <c r="R90" t="s">
        <v>289</v>
      </c>
      <c r="S90" t="s">
        <v>290</v>
      </c>
      <c r="T90" t="n">
        <v>0.25</v>
      </c>
    </row>
    <row r="91">
      <c r="A91" t="s">
        <v>32</v>
      </c>
      <c r="B91" t="n">
        <v>1.03</v>
      </c>
      <c r="C91" t="n">
        <v>0.95</v>
      </c>
      <c r="D91" t="n">
        <v>1.05</v>
      </c>
      <c r="E91" t="n">
        <v>-4.5</v>
      </c>
      <c r="F91" t="n">
        <v>-0.25</v>
      </c>
      <c r="G91" t="n">
        <v>172</v>
      </c>
      <c r="H91" t="n">
        <v>12</v>
      </c>
      <c r="I91" t="s">
        <v>288</v>
      </c>
      <c r="J91" t="n">
        <v>0</v>
      </c>
      <c r="K91" t="n">
        <v>0</v>
      </c>
      <c r="L91" t="n">
        <v>0</v>
      </c>
      <c r="M91" t="n">
        <v>12</v>
      </c>
      <c r="N91" t="n">
        <v>-0.75</v>
      </c>
      <c r="O91" t="n">
        <v>0</v>
      </c>
      <c r="P91" t="n">
        <v>130</v>
      </c>
      <c r="Q91" t="n">
        <v>12</v>
      </c>
      <c r="R91" t="s">
        <v>288</v>
      </c>
      <c r="S91" t="s">
        <v>290</v>
      </c>
      <c r="T91" t="n">
        <v>-0.75</v>
      </c>
    </row>
    <row r="92">
      <c r="A92" t="s">
        <v>32</v>
      </c>
      <c r="B92" t="n">
        <v>1.03</v>
      </c>
      <c r="C92" t="n">
        <v>0.98</v>
      </c>
      <c r="D92" t="n">
        <v>1.07</v>
      </c>
      <c r="E92" t="n">
        <v>-8</v>
      </c>
      <c r="F92" t="n">
        <v>-0.25</v>
      </c>
      <c r="G92" t="n">
        <v>156</v>
      </c>
      <c r="H92" t="n">
        <v>12</v>
      </c>
      <c r="I92" t="s">
        <v>288</v>
      </c>
      <c r="J92" t="n">
        <v>0</v>
      </c>
      <c r="K92" t="n">
        <v>0</v>
      </c>
      <c r="L92" t="n">
        <v>0</v>
      </c>
      <c r="M92" t="n">
        <v>12</v>
      </c>
      <c r="N92" t="n">
        <v>0.5</v>
      </c>
      <c r="O92" t="n">
        <v>0</v>
      </c>
      <c r="P92" t="n">
        <v>133</v>
      </c>
      <c r="Q92" t="n">
        <v>12</v>
      </c>
      <c r="R92" t="s">
        <v>288</v>
      </c>
      <c r="S92" t="s">
        <v>289</v>
      </c>
      <c r="T92" t="n">
        <v>0.5</v>
      </c>
    </row>
    <row r="93">
      <c r="A93" t="s">
        <v>32</v>
      </c>
      <c r="B93" t="n">
        <v>1.05</v>
      </c>
      <c r="C93" t="n">
        <v>1.03</v>
      </c>
      <c r="D93" t="n">
        <v>1.07</v>
      </c>
      <c r="E93" t="n">
        <v>-6.75</v>
      </c>
      <c r="F93" t="n">
        <v>-1</v>
      </c>
      <c r="G93" t="n">
        <v>178</v>
      </c>
      <c r="H93" t="n">
        <v>12</v>
      </c>
      <c r="I93" t="s">
        <v>288</v>
      </c>
      <c r="J93" t="n">
        <v>0</v>
      </c>
      <c r="K93" t="n">
        <v>0</v>
      </c>
      <c r="L93" t="n">
        <v>0</v>
      </c>
      <c r="M93" t="n">
        <v>12</v>
      </c>
      <c r="N93" t="n">
        <v>0.25</v>
      </c>
      <c r="O93" t="n">
        <v>-0.5</v>
      </c>
      <c r="P93" t="n">
        <v>175</v>
      </c>
      <c r="Q93" t="n">
        <v>12</v>
      </c>
      <c r="R93" t="s">
        <v>288</v>
      </c>
      <c r="S93" t="s">
        <v>288</v>
      </c>
      <c r="T93" t="n">
        <v>0</v>
      </c>
    </row>
    <row r="94">
      <c r="A94" t="s">
        <v>32</v>
      </c>
      <c r="B94" t="n">
        <v>0.99</v>
      </c>
      <c r="C94" t="n">
        <v>0.83</v>
      </c>
      <c r="D94" t="n">
        <v>1.04</v>
      </c>
      <c r="E94" t="n">
        <v>-6.5</v>
      </c>
      <c r="F94" t="n">
        <v>-1.25</v>
      </c>
      <c r="G94" t="n">
        <v>81</v>
      </c>
      <c r="H94" t="n">
        <v>12</v>
      </c>
      <c r="I94" t="s">
        <v>289</v>
      </c>
      <c r="J94" t="n">
        <v>0</v>
      </c>
      <c r="K94" t="n">
        <v>0</v>
      </c>
      <c r="L94" t="n">
        <v>0</v>
      </c>
      <c r="M94" t="n">
        <v>12</v>
      </c>
      <c r="N94" t="n">
        <v>-0.5</v>
      </c>
      <c r="O94" t="n">
        <v>0</v>
      </c>
      <c r="P94" t="n">
        <v>80</v>
      </c>
      <c r="Q94" t="n">
        <v>12</v>
      </c>
      <c r="R94" t="s">
        <v>288</v>
      </c>
      <c r="S94" t="s">
        <v>298</v>
      </c>
      <c r="T94" t="n">
        <v>-0.5</v>
      </c>
    </row>
    <row r="95">
      <c r="A95" t="s">
        <v>32</v>
      </c>
      <c r="B95" t="n">
        <v>1.14</v>
      </c>
      <c r="C95" t="n">
        <v>1.05</v>
      </c>
      <c r="D95" t="n">
        <v>1.12</v>
      </c>
      <c r="E95" t="n">
        <v>-3.75</v>
      </c>
      <c r="F95" t="n">
        <v>-0.25</v>
      </c>
      <c r="G95" t="n">
        <v>84</v>
      </c>
      <c r="H95" t="n">
        <v>12</v>
      </c>
      <c r="I95" t="s">
        <v>297</v>
      </c>
      <c r="J95" t="n">
        <v>0</v>
      </c>
      <c r="K95" t="n">
        <v>0</v>
      </c>
      <c r="L95" t="n">
        <v>0</v>
      </c>
      <c r="M95" t="n">
        <v>12</v>
      </c>
      <c r="N95" t="n">
        <v>0.5</v>
      </c>
      <c r="O95" t="n">
        <v>-0.25</v>
      </c>
      <c r="P95" t="n">
        <v>61</v>
      </c>
      <c r="Q95" t="n">
        <v>12</v>
      </c>
      <c r="R95" t="s">
        <v>293</v>
      </c>
      <c r="S95" t="s">
        <v>288</v>
      </c>
      <c r="T95" t="n">
        <v>0.25</v>
      </c>
    </row>
    <row r="96">
      <c r="A96" t="s">
        <v>32</v>
      </c>
      <c r="B96" t="n">
        <v>1.07</v>
      </c>
      <c r="C96" t="n">
        <v>0.92</v>
      </c>
      <c r="D96" t="n">
        <v>1.07</v>
      </c>
      <c r="E96" t="n">
        <v>-2.75</v>
      </c>
      <c r="F96" t="n">
        <v>-1</v>
      </c>
      <c r="G96" t="n">
        <v>22</v>
      </c>
      <c r="H96" t="n">
        <v>12</v>
      </c>
      <c r="I96" t="s">
        <v>288</v>
      </c>
      <c r="J96" t="n">
        <v>0</v>
      </c>
      <c r="K96" t="n">
        <v>0</v>
      </c>
      <c r="L96" t="n">
        <v>0</v>
      </c>
      <c r="M96" t="n">
        <v>12</v>
      </c>
      <c r="N96" t="n">
        <v>-0.5</v>
      </c>
      <c r="O96" t="n">
        <v>-0.25</v>
      </c>
      <c r="P96" t="n">
        <v>50</v>
      </c>
      <c r="Q96" t="n">
        <v>12</v>
      </c>
      <c r="R96" t="s">
        <v>288</v>
      </c>
      <c r="S96" t="s">
        <v>291</v>
      </c>
      <c r="T96" t="n">
        <v>-0.75</v>
      </c>
    </row>
    <row r="97">
      <c r="A97" t="s">
        <v>32</v>
      </c>
      <c r="B97" t="n">
        <v>1.13</v>
      </c>
      <c r="C97" t="n">
        <v>1.05</v>
      </c>
      <c r="D97" t="n">
        <v>1.14</v>
      </c>
      <c r="E97" t="n">
        <v>-5</v>
      </c>
      <c r="F97" t="n">
        <v>0</v>
      </c>
      <c r="G97" t="n">
        <v>1</v>
      </c>
      <c r="H97" t="n">
        <v>12</v>
      </c>
      <c r="I97" t="s">
        <v>297</v>
      </c>
      <c r="J97" t="n">
        <v>0</v>
      </c>
      <c r="K97" t="n">
        <v>0</v>
      </c>
      <c r="L97" t="n">
        <v>0</v>
      </c>
      <c r="M97" t="n">
        <v>12</v>
      </c>
      <c r="N97" t="n">
        <v>0</v>
      </c>
      <c r="O97" t="n">
        <v>0</v>
      </c>
      <c r="P97" t="n">
        <v>158</v>
      </c>
      <c r="Q97" t="n">
        <v>12</v>
      </c>
      <c r="R97" t="s">
        <v>297</v>
      </c>
      <c r="S97" t="s">
        <v>288</v>
      </c>
      <c r="T97" t="n">
        <v>0</v>
      </c>
    </row>
    <row r="98">
      <c r="A98" t="s">
        <v>32</v>
      </c>
      <c r="B98" t="n">
        <v>0.99</v>
      </c>
      <c r="C98" t="n">
        <v>0.94</v>
      </c>
      <c r="D98" t="n">
        <v>0.99</v>
      </c>
      <c r="E98" t="n">
        <v>-3.5</v>
      </c>
      <c r="F98" t="n">
        <v>0</v>
      </c>
      <c r="G98" t="n">
        <v>155</v>
      </c>
      <c r="H98" t="n">
        <v>12</v>
      </c>
      <c r="I98" t="s">
        <v>289</v>
      </c>
      <c r="J98" t="n">
        <v>0</v>
      </c>
      <c r="K98" t="n">
        <v>0</v>
      </c>
      <c r="L98" t="n">
        <v>0</v>
      </c>
      <c r="M98" t="n">
        <v>12</v>
      </c>
      <c r="N98" t="n">
        <v>0</v>
      </c>
      <c r="O98" t="n">
        <v>-0.25</v>
      </c>
      <c r="P98" t="n">
        <v>145</v>
      </c>
      <c r="Q98" t="n">
        <v>12</v>
      </c>
      <c r="R98" t="s">
        <v>289</v>
      </c>
      <c r="S98" t="s">
        <v>290</v>
      </c>
      <c r="T98" t="n">
        <v>0</v>
      </c>
    </row>
    <row r="99">
      <c r="A99" t="s">
        <v>32</v>
      </c>
      <c r="B99" t="n">
        <v>1.11</v>
      </c>
      <c r="C99" t="n">
        <v>1.04</v>
      </c>
      <c r="D99" t="n">
        <v>1.15</v>
      </c>
      <c r="E99" t="n">
        <v>-0.5</v>
      </c>
      <c r="F99" t="n">
        <v>-0.5</v>
      </c>
      <c r="G99" t="n">
        <v>179</v>
      </c>
      <c r="H99" t="n">
        <v>12</v>
      </c>
      <c r="I99" t="s">
        <v>293</v>
      </c>
      <c r="J99" t="n">
        <v>0</v>
      </c>
      <c r="K99" t="n">
        <v>0</v>
      </c>
      <c r="L99" t="n">
        <v>0</v>
      </c>
      <c r="M99" t="n">
        <v>12</v>
      </c>
      <c r="N99" t="n">
        <v>0</v>
      </c>
      <c r="O99" t="n">
        <v>0</v>
      </c>
      <c r="P99" t="n">
        <v>177</v>
      </c>
      <c r="Q99" t="n">
        <v>12</v>
      </c>
      <c r="R99" t="s">
        <v>297</v>
      </c>
      <c r="S99" t="s">
        <v>288</v>
      </c>
      <c r="T99" t="n">
        <v>0</v>
      </c>
    </row>
    <row r="100">
      <c r="A100" t="s">
        <v>32</v>
      </c>
      <c r="B100" t="n">
        <v>1.05</v>
      </c>
      <c r="C100" t="n">
        <v>0.9</v>
      </c>
      <c r="D100" t="n">
        <v>1.04</v>
      </c>
      <c r="E100" t="n">
        <v>-2.5</v>
      </c>
      <c r="F100" t="n">
        <v>0</v>
      </c>
      <c r="G100" t="n">
        <v>110</v>
      </c>
      <c r="H100" t="n">
        <v>12</v>
      </c>
      <c r="I100" t="s">
        <v>288</v>
      </c>
      <c r="J100" t="n">
        <v>0</v>
      </c>
      <c r="K100" t="n">
        <v>0</v>
      </c>
      <c r="L100" t="n">
        <v>0</v>
      </c>
      <c r="M100" t="n">
        <v>12</v>
      </c>
      <c r="N100" t="n">
        <v>0.5</v>
      </c>
      <c r="O100" t="n">
        <v>-0.5</v>
      </c>
      <c r="P100" t="n">
        <v>172</v>
      </c>
      <c r="Q100" t="n">
        <v>12</v>
      </c>
      <c r="R100" t="s">
        <v>288</v>
      </c>
      <c r="S100" t="s">
        <v>291</v>
      </c>
      <c r="T100" t="n">
        <v>0.25</v>
      </c>
    </row>
    <row r="101">
      <c r="A101" t="s">
        <v>32</v>
      </c>
      <c r="B101" t="n">
        <v>1.16</v>
      </c>
      <c r="C101" t="n">
        <v>1.03</v>
      </c>
      <c r="D101" t="n">
        <v>1.08</v>
      </c>
      <c r="E101" t="n">
        <v>-2.5</v>
      </c>
      <c r="F101" t="n">
        <v>-1.25</v>
      </c>
      <c r="G101" t="n">
        <v>18</v>
      </c>
      <c r="H101" t="n">
        <v>12</v>
      </c>
      <c r="I101" t="s">
        <v>297</v>
      </c>
      <c r="J101" t="n">
        <v>0</v>
      </c>
      <c r="K101" t="n">
        <v>0</v>
      </c>
      <c r="L101" t="n">
        <v>0</v>
      </c>
      <c r="M101" t="n">
        <v>12</v>
      </c>
      <c r="N101" t="n">
        <v>0.5</v>
      </c>
      <c r="O101" t="n">
        <v>-0.5</v>
      </c>
      <c r="P101" t="n">
        <v>42</v>
      </c>
      <c r="Q101" t="n">
        <v>12</v>
      </c>
      <c r="R101" t="s">
        <v>293</v>
      </c>
      <c r="S101" t="s">
        <v>288</v>
      </c>
      <c r="T101" t="n">
        <v>0.25</v>
      </c>
    </row>
    <row r="102">
      <c r="A102" t="s">
        <v>32</v>
      </c>
      <c r="B102" t="n">
        <v>1.05</v>
      </c>
      <c r="C102" t="n">
        <v>0.82</v>
      </c>
      <c r="D102" t="n">
        <v>0.98</v>
      </c>
      <c r="E102" t="n">
        <v>-5.75</v>
      </c>
      <c r="F102" t="n">
        <v>-0.75</v>
      </c>
      <c r="G102" t="n">
        <v>158</v>
      </c>
      <c r="H102" t="n">
        <v>12</v>
      </c>
      <c r="I102" t="s">
        <v>288</v>
      </c>
      <c r="J102" t="n">
        <v>0</v>
      </c>
      <c r="K102" t="n">
        <v>0</v>
      </c>
      <c r="L102" t="n">
        <v>0</v>
      </c>
      <c r="M102" t="n">
        <v>12</v>
      </c>
      <c r="N102" t="n">
        <v>-0.5</v>
      </c>
      <c r="O102" t="n">
        <v>-0.25</v>
      </c>
      <c r="P102" t="n">
        <v>173</v>
      </c>
      <c r="Q102" t="n">
        <v>12</v>
      </c>
      <c r="R102" t="s">
        <v>289</v>
      </c>
      <c r="S102" t="s">
        <v>298</v>
      </c>
      <c r="T102" t="n">
        <v>-0.5</v>
      </c>
    </row>
    <row r="103">
      <c r="A103" t="s">
        <v>32</v>
      </c>
      <c r="B103" t="n">
        <v>1.11</v>
      </c>
      <c r="C103" t="n">
        <v>0.89</v>
      </c>
      <c r="D103" t="n">
        <v>1.09</v>
      </c>
      <c r="E103" t="n">
        <v>-2.5</v>
      </c>
      <c r="F103" t="n">
        <v>0</v>
      </c>
      <c r="G103" t="n">
        <v>10</v>
      </c>
      <c r="H103" t="n">
        <v>12</v>
      </c>
      <c r="I103" t="s">
        <v>293</v>
      </c>
      <c r="J103" t="n">
        <v>0</v>
      </c>
      <c r="K103" t="n">
        <v>0</v>
      </c>
      <c r="L103" t="n">
        <v>0</v>
      </c>
      <c r="M103" t="n">
        <v>12</v>
      </c>
      <c r="N103" t="n">
        <v>0.25</v>
      </c>
      <c r="O103" t="n">
        <v>0</v>
      </c>
      <c r="P103" t="n">
        <v>37</v>
      </c>
      <c r="Q103" t="n">
        <v>12</v>
      </c>
      <c r="R103" t="s">
        <v>293</v>
      </c>
      <c r="S103" t="s">
        <v>300</v>
      </c>
      <c r="T103" t="n">
        <v>0.25</v>
      </c>
    </row>
    <row r="104">
      <c r="A104" t="s">
        <v>32</v>
      </c>
      <c r="B104" t="n">
        <v>0.96</v>
      </c>
      <c r="C104" t="n">
        <v>0.92</v>
      </c>
      <c r="D104" t="n">
        <v>0.98</v>
      </c>
      <c r="E104" t="n">
        <v>-5.25</v>
      </c>
      <c r="F104" t="n">
        <v>-0.25</v>
      </c>
      <c r="G104" t="n">
        <v>10</v>
      </c>
      <c r="H104" t="n">
        <v>12</v>
      </c>
      <c r="I104" t="s">
        <v>290</v>
      </c>
      <c r="J104" t="n">
        <v>0</v>
      </c>
      <c r="K104" t="n">
        <v>0</v>
      </c>
      <c r="L104" t="n">
        <v>0</v>
      </c>
      <c r="M104" t="n">
        <v>12</v>
      </c>
      <c r="N104" t="n">
        <v>-0.5</v>
      </c>
      <c r="O104" t="n">
        <v>0</v>
      </c>
      <c r="P104" t="n">
        <v>64</v>
      </c>
      <c r="Q104" t="n">
        <v>12</v>
      </c>
      <c r="R104" t="s">
        <v>289</v>
      </c>
      <c r="S104" t="s">
        <v>291</v>
      </c>
      <c r="T104" t="n">
        <v>-0.5</v>
      </c>
    </row>
    <row r="105">
      <c r="A105" t="s">
        <v>32</v>
      </c>
      <c r="B105" t="n">
        <v>1.07</v>
      </c>
      <c r="C105" t="n">
        <v>1.12</v>
      </c>
      <c r="D105" t="n">
        <v>1.1</v>
      </c>
      <c r="E105" t="n">
        <v>-3.25</v>
      </c>
      <c r="F105" t="n">
        <v>-1</v>
      </c>
      <c r="G105" t="n">
        <v>106</v>
      </c>
      <c r="H105" t="n">
        <v>12</v>
      </c>
      <c r="I105" t="s">
        <v>288</v>
      </c>
      <c r="J105" t="n">
        <v>0</v>
      </c>
      <c r="K105" t="n">
        <v>0</v>
      </c>
      <c r="L105" t="n">
        <v>0</v>
      </c>
      <c r="M105" t="n">
        <v>12</v>
      </c>
      <c r="N105" t="n">
        <v>0.5</v>
      </c>
      <c r="O105" t="n">
        <v>-0.5</v>
      </c>
      <c r="P105" t="n">
        <v>123</v>
      </c>
      <c r="Q105" t="n">
        <v>12</v>
      </c>
      <c r="R105" t="s">
        <v>293</v>
      </c>
      <c r="S105" t="s">
        <v>293</v>
      </c>
      <c r="T105" t="n">
        <v>0.25</v>
      </c>
    </row>
    <row r="106">
      <c r="A106" t="s">
        <v>32</v>
      </c>
      <c r="B106" t="n">
        <v>1.05</v>
      </c>
      <c r="C106" t="n">
        <v>1.01</v>
      </c>
      <c r="D106" t="n">
        <v>1</v>
      </c>
      <c r="E106" t="n">
        <v>-4</v>
      </c>
      <c r="F106" t="n">
        <v>0</v>
      </c>
      <c r="G106" t="n">
        <v>0</v>
      </c>
      <c r="H106" t="n">
        <v>12</v>
      </c>
      <c r="I106" t="s">
        <v>288</v>
      </c>
      <c r="J106" t="n">
        <v>0</v>
      </c>
      <c r="K106" t="n">
        <v>0</v>
      </c>
      <c r="L106" t="n">
        <v>0</v>
      </c>
      <c r="M106" t="n">
        <v>12</v>
      </c>
      <c r="N106" t="n">
        <v>0</v>
      </c>
      <c r="O106" t="n">
        <v>-0.25</v>
      </c>
      <c r="P106" t="n">
        <v>100</v>
      </c>
      <c r="Q106" t="n">
        <v>12</v>
      </c>
      <c r="R106" t="s">
        <v>289</v>
      </c>
      <c r="S106" t="s">
        <v>289</v>
      </c>
      <c r="T106" t="n">
        <v>0</v>
      </c>
    </row>
    <row r="107">
      <c r="A107" t="s">
        <v>32</v>
      </c>
      <c r="B107" t="n">
        <v>0.99</v>
      </c>
      <c r="C107" t="n">
        <v>0.98</v>
      </c>
      <c r="D107" t="n">
        <v>0.98</v>
      </c>
      <c r="E107" t="n">
        <v>-6.75</v>
      </c>
      <c r="F107" t="n">
        <v>-1</v>
      </c>
      <c r="G107" t="n">
        <v>1</v>
      </c>
      <c r="H107" t="n">
        <v>12</v>
      </c>
      <c r="I107" t="s">
        <v>289</v>
      </c>
      <c r="J107" t="n">
        <v>0</v>
      </c>
      <c r="K107" t="n">
        <v>0</v>
      </c>
      <c r="L107" t="n">
        <v>0</v>
      </c>
      <c r="M107" t="n">
        <v>12</v>
      </c>
      <c r="N107" t="n">
        <v>0</v>
      </c>
      <c r="O107" t="n">
        <v>-0.25</v>
      </c>
      <c r="P107" t="n">
        <v>17</v>
      </c>
      <c r="Q107" t="n">
        <v>12</v>
      </c>
      <c r="R107" t="s">
        <v>289</v>
      </c>
      <c r="S107" t="s">
        <v>289</v>
      </c>
      <c r="T107" t="n">
        <v>-0.25</v>
      </c>
    </row>
    <row r="108">
      <c r="A108" t="s">
        <v>32</v>
      </c>
      <c r="B108" t="n">
        <v>1.07</v>
      </c>
      <c r="C108" t="n">
        <v>0.89</v>
      </c>
      <c r="D108" t="n">
        <v>1.09</v>
      </c>
      <c r="E108" t="n">
        <v>-4</v>
      </c>
      <c r="F108" t="n">
        <v>-0.5</v>
      </c>
      <c r="G108" t="n">
        <v>163</v>
      </c>
      <c r="H108" t="n">
        <v>12</v>
      </c>
      <c r="I108" t="s">
        <v>288</v>
      </c>
      <c r="J108" t="n">
        <v>0</v>
      </c>
      <c r="K108" t="n">
        <v>0</v>
      </c>
      <c r="L108" t="n">
        <v>0</v>
      </c>
      <c r="M108" t="n">
        <v>12</v>
      </c>
      <c r="N108" t="n">
        <v>0.5</v>
      </c>
      <c r="O108" t="n">
        <v>-0.25</v>
      </c>
      <c r="P108" t="n">
        <v>150</v>
      </c>
      <c r="Q108" t="n">
        <v>12</v>
      </c>
      <c r="R108" t="s">
        <v>293</v>
      </c>
      <c r="S108" t="s">
        <v>300</v>
      </c>
      <c r="T108" t="n">
        <v>0.25</v>
      </c>
    </row>
    <row r="109">
      <c r="A109" t="s">
        <v>32</v>
      </c>
      <c r="B109" t="n">
        <v>1.18</v>
      </c>
      <c r="C109" t="n">
        <v>1.09</v>
      </c>
      <c r="D109" t="n">
        <v>1.16</v>
      </c>
      <c r="E109" t="n">
        <v>-3.25</v>
      </c>
      <c r="F109" t="n">
        <v>-0.5</v>
      </c>
      <c r="G109" t="n">
        <v>10</v>
      </c>
      <c r="H109" t="n">
        <v>12</v>
      </c>
      <c r="I109" t="s">
        <v>294</v>
      </c>
      <c r="J109" t="n">
        <v>0</v>
      </c>
      <c r="K109" t="n">
        <v>0</v>
      </c>
      <c r="L109" t="n">
        <v>0</v>
      </c>
      <c r="M109" t="n">
        <v>12</v>
      </c>
      <c r="N109" t="n">
        <v>0</v>
      </c>
      <c r="O109" t="n">
        <v>0</v>
      </c>
      <c r="P109" t="n">
        <v>163</v>
      </c>
      <c r="Q109" t="n">
        <v>12</v>
      </c>
      <c r="R109" t="s">
        <v>297</v>
      </c>
      <c r="S109" t="s">
        <v>293</v>
      </c>
      <c r="T109" t="n">
        <v>0</v>
      </c>
    </row>
    <row r="110">
      <c r="A110" t="s">
        <v>32</v>
      </c>
      <c r="B110" t="n">
        <v>1.06</v>
      </c>
      <c r="C110" t="n">
        <v>0.93</v>
      </c>
      <c r="D110" t="n">
        <v>1.05</v>
      </c>
      <c r="E110" t="n">
        <v>-4.25</v>
      </c>
      <c r="F110" t="n">
        <v>-0.25</v>
      </c>
      <c r="G110" t="n">
        <v>136</v>
      </c>
      <c r="H110" t="n">
        <v>12</v>
      </c>
      <c r="I110" t="s">
        <v>288</v>
      </c>
      <c r="J110" t="n">
        <v>0</v>
      </c>
      <c r="K110" t="n">
        <v>0</v>
      </c>
      <c r="L110" t="n">
        <v>0</v>
      </c>
      <c r="M110" t="n">
        <v>12</v>
      </c>
      <c r="N110" t="n">
        <v>-0.5</v>
      </c>
      <c r="O110" t="n">
        <v>0</v>
      </c>
      <c r="P110" t="n">
        <v>144</v>
      </c>
      <c r="Q110" t="n">
        <v>12</v>
      </c>
      <c r="R110" t="s">
        <v>288</v>
      </c>
      <c r="S110" t="s">
        <v>291</v>
      </c>
      <c r="T110" t="n">
        <v>-0.5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306</v>
      </c>
      <c r="B1" t="s">
        <v>307</v>
      </c>
      <c r="C1" t="s">
        <v>308</v>
      </c>
      <c r="D1" t="s">
        <v>309</v>
      </c>
      <c r="E1" t="s">
        <v>310</v>
      </c>
    </row>
    <row r="2">
      <c r="A2" t="s">
        <v>311</v>
      </c>
      <c r="B2" t="n">
        <v>-1.5</v>
      </c>
      <c r="C2" t="n">
        <v>161</v>
      </c>
      <c r="D2" t="n">
        <v>-0.25</v>
      </c>
      <c r="E2" t="n">
        <v>167</v>
      </c>
    </row>
    <row r="3">
      <c r="A3" t="s">
        <v>311</v>
      </c>
      <c r="B3" t="n">
        <v>-2.25</v>
      </c>
      <c r="C3" t="n">
        <v>35</v>
      </c>
      <c r="D3" t="n">
        <v>0</v>
      </c>
      <c r="E3" t="n">
        <v>40</v>
      </c>
    </row>
    <row r="4">
      <c r="A4" t="s">
        <v>312</v>
      </c>
      <c r="B4" t="n">
        <v>-0.75</v>
      </c>
      <c r="C4" t="n">
        <v>78</v>
      </c>
      <c r="D4" t="n">
        <v>-0.25</v>
      </c>
      <c r="E4" t="n">
        <v>110</v>
      </c>
    </row>
    <row r="5">
      <c r="A5" t="s">
        <v>311</v>
      </c>
      <c r="B5" t="n">
        <v>0</v>
      </c>
      <c r="C5" t="n">
        <v>80</v>
      </c>
      <c r="D5" t="n">
        <v>0</v>
      </c>
      <c r="E5" t="n">
        <v>89</v>
      </c>
    </row>
    <row r="6">
      <c r="A6" t="s">
        <v>312</v>
      </c>
      <c r="B6" t="n">
        <v>-1</v>
      </c>
      <c r="C6" t="n">
        <v>103</v>
      </c>
      <c r="D6" t="n">
        <v>-0.5</v>
      </c>
      <c r="E6" t="n">
        <v>78</v>
      </c>
    </row>
    <row r="7">
      <c r="A7" t="s">
        <v>311</v>
      </c>
      <c r="B7" t="n">
        <v>-0.25</v>
      </c>
      <c r="C7" t="n">
        <v>3</v>
      </c>
      <c r="D7" t="n">
        <v>-0.25</v>
      </c>
      <c r="E7" t="n">
        <v>177</v>
      </c>
    </row>
    <row r="8">
      <c r="A8" t="s">
        <v>312</v>
      </c>
      <c r="B8" t="n">
        <v>-1.25</v>
      </c>
      <c r="C8" t="n">
        <v>103</v>
      </c>
      <c r="D8" t="n">
        <v>-0.5</v>
      </c>
      <c r="E8" t="n">
        <v>75</v>
      </c>
    </row>
    <row r="9">
      <c r="A9" t="s">
        <v>311</v>
      </c>
      <c r="B9" t="n">
        <v>-1</v>
      </c>
      <c r="C9" t="n">
        <v>24</v>
      </c>
      <c r="D9" t="n">
        <v>-0.5</v>
      </c>
      <c r="E9" t="n">
        <v>36</v>
      </c>
    </row>
    <row r="10">
      <c r="A10" t="s">
        <v>312</v>
      </c>
      <c r="B10" t="n">
        <v>-0.5</v>
      </c>
      <c r="C10" t="n">
        <v>101</v>
      </c>
      <c r="D10" t="n">
        <v>-0.25</v>
      </c>
      <c r="E10" t="n">
        <v>98</v>
      </c>
    </row>
    <row r="11">
      <c r="A11" t="s">
        <v>311</v>
      </c>
      <c r="B11" t="n">
        <v>-1.25</v>
      </c>
      <c r="C11" t="n">
        <v>79</v>
      </c>
      <c r="D11" t="n">
        <v>-0.75</v>
      </c>
      <c r="E11" t="n">
        <v>64</v>
      </c>
    </row>
    <row r="12">
      <c r="A12" t="s">
        <v>311</v>
      </c>
      <c r="B12" t="n">
        <v>-0.5</v>
      </c>
      <c r="C12" t="n">
        <v>162</v>
      </c>
      <c r="D12" t="n">
        <v>-0.25</v>
      </c>
      <c r="E12" t="n">
        <v>138</v>
      </c>
    </row>
    <row r="13">
      <c r="A13" t="s">
        <v>312</v>
      </c>
      <c r="B13" t="n">
        <v>-1.5</v>
      </c>
      <c r="C13" t="n">
        <v>20</v>
      </c>
      <c r="D13" t="n">
        <v>0</v>
      </c>
      <c r="E13" t="n">
        <v>24</v>
      </c>
    </row>
    <row r="14">
      <c r="A14" t="s">
        <v>311</v>
      </c>
      <c r="B14" t="n">
        <v>-1</v>
      </c>
      <c r="C14" t="n">
        <v>102</v>
      </c>
      <c r="D14" t="n">
        <v>0</v>
      </c>
      <c r="E14" t="n">
        <v>88</v>
      </c>
    </row>
    <row r="15">
      <c r="A15" t="s">
        <v>312</v>
      </c>
      <c r="B15" t="n">
        <v>-0.25</v>
      </c>
      <c r="C15" t="n">
        <v>3</v>
      </c>
      <c r="D15" t="n">
        <v>-0.25</v>
      </c>
      <c r="E15" t="n">
        <v>152</v>
      </c>
    </row>
    <row r="16">
      <c r="A16" t="s">
        <v>311</v>
      </c>
      <c r="B16" t="n">
        <v>0</v>
      </c>
      <c r="C16" t="n">
        <v>8</v>
      </c>
      <c r="D16" t="n">
        <v>-0.25</v>
      </c>
      <c r="E16" t="n">
        <v>75</v>
      </c>
    </row>
    <row r="17">
      <c r="A17" t="s">
        <v>312</v>
      </c>
      <c r="B17" t="n">
        <v>-1.5</v>
      </c>
      <c r="C17" t="n">
        <v>92</v>
      </c>
      <c r="D17" t="n">
        <v>-0.25</v>
      </c>
      <c r="E17" t="n">
        <v>97</v>
      </c>
    </row>
    <row r="18">
      <c r="A18" t="s">
        <v>311</v>
      </c>
      <c r="B18" t="n">
        <v>-0.75</v>
      </c>
      <c r="C18" t="n">
        <v>17</v>
      </c>
      <c r="D18" t="n">
        <v>-0.25</v>
      </c>
      <c r="E18" t="n">
        <v>20</v>
      </c>
    </row>
    <row r="19">
      <c r="A19" t="s">
        <v>312</v>
      </c>
      <c r="B19" t="n">
        <v>-0.25</v>
      </c>
      <c r="C19" t="n">
        <v>7</v>
      </c>
      <c r="D19" t="n">
        <v>0</v>
      </c>
      <c r="E19" t="n">
        <v>178</v>
      </c>
    </row>
    <row r="20">
      <c r="A20" t="s">
        <v>311</v>
      </c>
      <c r="B20" t="n">
        <v>0</v>
      </c>
      <c r="C20" t="n">
        <v>97</v>
      </c>
      <c r="D20" t="n">
        <v>-0.25</v>
      </c>
      <c r="E20" t="n">
        <v>122</v>
      </c>
    </row>
    <row r="21">
      <c r="A21" t="s">
        <v>312</v>
      </c>
      <c r="B21" t="n">
        <v>-1.5</v>
      </c>
      <c r="C21" t="n">
        <v>161</v>
      </c>
      <c r="D21" t="n">
        <v>-0.25</v>
      </c>
      <c r="E21" t="n">
        <v>12</v>
      </c>
    </row>
    <row r="22">
      <c r="A22" t="s">
        <v>311</v>
      </c>
      <c r="B22" t="n">
        <v>-2.5</v>
      </c>
      <c r="C22" t="n">
        <v>3</v>
      </c>
      <c r="D22" t="n">
        <v>0</v>
      </c>
      <c r="E22" t="n">
        <v>9</v>
      </c>
    </row>
    <row r="23">
      <c r="A23" t="s">
        <v>311</v>
      </c>
      <c r="B23" t="n">
        <v>-0.5</v>
      </c>
      <c r="C23" t="n">
        <v>13</v>
      </c>
      <c r="D23" t="n">
        <v>-0.25</v>
      </c>
      <c r="E23" t="n">
        <v>173</v>
      </c>
    </row>
    <row r="24">
      <c r="A24" t="s">
        <v>312</v>
      </c>
      <c r="B24" t="n">
        <v>-0.25</v>
      </c>
      <c r="C24" t="n">
        <v>178</v>
      </c>
      <c r="D24" t="n">
        <v>-0.25</v>
      </c>
      <c r="E24" t="n">
        <v>162</v>
      </c>
    </row>
    <row r="25">
      <c r="A25" t="s">
        <v>311</v>
      </c>
      <c r="B25" t="n">
        <v>0</v>
      </c>
      <c r="C25" t="n">
        <v>159</v>
      </c>
      <c r="D25" t="n">
        <v>0</v>
      </c>
      <c r="E25" t="n">
        <v>159</v>
      </c>
    </row>
    <row r="26">
      <c r="A26" t="s">
        <v>312</v>
      </c>
      <c r="B26" t="n">
        <v>0</v>
      </c>
      <c r="C26" t="n">
        <v>161</v>
      </c>
      <c r="D26" t="n">
        <v>-0.25</v>
      </c>
      <c r="E26" t="n">
        <v>7</v>
      </c>
    </row>
    <row r="27">
      <c r="A27" t="s">
        <v>311</v>
      </c>
      <c r="B27" t="n">
        <v>-1.75</v>
      </c>
      <c r="C27" t="n">
        <v>15</v>
      </c>
      <c r="D27" t="n">
        <v>-0.5</v>
      </c>
      <c r="E27" t="n">
        <v>24</v>
      </c>
    </row>
    <row r="28">
      <c r="A28" t="s">
        <v>312</v>
      </c>
      <c r="B28" t="n">
        <v>0</v>
      </c>
      <c r="C28" t="n">
        <v>3</v>
      </c>
      <c r="D28" t="n">
        <v>-0.5</v>
      </c>
      <c r="E28" t="n">
        <v>91</v>
      </c>
    </row>
    <row r="29">
      <c r="A29" t="s">
        <v>311</v>
      </c>
      <c r="B29" t="n">
        <v>-1.25</v>
      </c>
      <c r="C29" t="n">
        <v>100</v>
      </c>
      <c r="D29" t="n">
        <v>-0.25</v>
      </c>
      <c r="E29" t="n">
        <v>103</v>
      </c>
    </row>
    <row r="30">
      <c r="A30" t="s">
        <v>311</v>
      </c>
      <c r="B30" t="n">
        <v>0</v>
      </c>
      <c r="C30" t="n">
        <v>3</v>
      </c>
      <c r="D30" t="n">
        <v>-0.25</v>
      </c>
      <c r="E30" t="n">
        <v>140</v>
      </c>
    </row>
    <row r="31">
      <c r="A31" t="s">
        <v>312</v>
      </c>
      <c r="B31" t="n">
        <v>0</v>
      </c>
      <c r="C31" t="n">
        <v>1</v>
      </c>
      <c r="D31" t="n">
        <v>-0.5</v>
      </c>
      <c r="E31" t="n">
        <v>23</v>
      </c>
    </row>
    <row r="32">
      <c r="A32" t="s">
        <v>311</v>
      </c>
      <c r="B32" t="n">
        <v>0</v>
      </c>
      <c r="C32" t="n">
        <v>163</v>
      </c>
      <c r="D32" t="n">
        <v>-0.25</v>
      </c>
      <c r="E32" t="n">
        <v>149</v>
      </c>
    </row>
    <row r="33">
      <c r="A33" t="s">
        <v>312</v>
      </c>
      <c r="B33" t="n">
        <v>-1</v>
      </c>
      <c r="C33" t="n">
        <v>159</v>
      </c>
      <c r="D33" t="n">
        <v>-0.5</v>
      </c>
      <c r="E33" t="n">
        <v>169</v>
      </c>
    </row>
    <row r="34">
      <c r="A34" t="s">
        <v>311</v>
      </c>
      <c r="B34" t="n">
        <v>-0.5</v>
      </c>
      <c r="C34" t="n">
        <v>168</v>
      </c>
      <c r="D34" t="n">
        <v>-0.25</v>
      </c>
      <c r="E34" t="n">
        <v>4</v>
      </c>
    </row>
    <row r="35">
      <c r="A35" t="s">
        <v>312</v>
      </c>
      <c r="B35" t="n">
        <v>-0.5</v>
      </c>
      <c r="C35" t="n">
        <v>164</v>
      </c>
      <c r="D35" t="n">
        <v>-0.25</v>
      </c>
      <c r="E35" t="n">
        <v>170</v>
      </c>
    </row>
    <row r="36">
      <c r="A36" t="s">
        <v>311</v>
      </c>
      <c r="B36" t="n">
        <v>-0.25</v>
      </c>
      <c r="C36" t="n">
        <v>10</v>
      </c>
      <c r="D36" t="n">
        <v>-0.5</v>
      </c>
      <c r="E36" t="n">
        <v>28</v>
      </c>
    </row>
    <row r="37">
      <c r="A37" t="s">
        <v>312</v>
      </c>
      <c r="B37" t="n">
        <v>-0.25</v>
      </c>
      <c r="C37" t="n">
        <v>47</v>
      </c>
      <c r="D37" t="n">
        <v>-0.5</v>
      </c>
      <c r="E37" t="n">
        <v>48</v>
      </c>
    </row>
    <row r="38">
      <c r="A38" t="s">
        <v>311</v>
      </c>
      <c r="B38" t="n">
        <v>-0.5</v>
      </c>
      <c r="C38" t="n">
        <v>7</v>
      </c>
      <c r="D38" t="n">
        <v>-0.25</v>
      </c>
      <c r="E38" t="n">
        <v>21</v>
      </c>
    </row>
    <row r="39">
      <c r="A39" t="s">
        <v>312</v>
      </c>
      <c r="B39" t="n">
        <v>-0.5</v>
      </c>
      <c r="C39" t="n">
        <v>180</v>
      </c>
      <c r="D39" t="n">
        <v>-0.5</v>
      </c>
      <c r="E39" t="n">
        <v>16</v>
      </c>
    </row>
    <row r="40">
      <c r="A40" t="s">
        <v>311</v>
      </c>
      <c r="B40" t="n">
        <v>-0.75</v>
      </c>
      <c r="C40" t="n">
        <v>85</v>
      </c>
      <c r="D40" t="n">
        <v>0</v>
      </c>
      <c r="E40" t="n">
        <v>137</v>
      </c>
    </row>
    <row r="41">
      <c r="A41" t="s">
        <v>312</v>
      </c>
      <c r="B41" t="n">
        <v>-0.75</v>
      </c>
      <c r="C41" t="n">
        <v>14</v>
      </c>
      <c r="D41" t="n">
        <v>-0.5</v>
      </c>
      <c r="E41" t="n">
        <v>167</v>
      </c>
    </row>
    <row r="42">
      <c r="A42" t="s">
        <v>311</v>
      </c>
      <c r="B42" t="n">
        <v>-1.25</v>
      </c>
      <c r="C42" t="n">
        <v>75</v>
      </c>
      <c r="D42" t="n">
        <v>-0.5</v>
      </c>
      <c r="E42" t="n">
        <v>50</v>
      </c>
    </row>
    <row r="43">
      <c r="A43" t="s">
        <v>312</v>
      </c>
      <c r="B43" t="n">
        <v>-1.25</v>
      </c>
      <c r="C43" t="n">
        <v>17</v>
      </c>
      <c r="D43" t="n">
        <v>0</v>
      </c>
      <c r="E43" t="n">
        <v>18</v>
      </c>
    </row>
    <row r="44">
      <c r="A44" t="s">
        <v>311</v>
      </c>
      <c r="B44" t="n">
        <v>-2.75</v>
      </c>
      <c r="C44" t="n">
        <v>170</v>
      </c>
      <c r="D44" t="n">
        <v>-0.5</v>
      </c>
      <c r="E44" t="n">
        <v>13</v>
      </c>
    </row>
    <row r="45">
      <c r="A45" t="s">
        <v>311</v>
      </c>
      <c r="B45" t="n">
        <v>-0.5</v>
      </c>
      <c r="C45" t="n">
        <v>23</v>
      </c>
      <c r="D45" t="n">
        <v>-0.25</v>
      </c>
      <c r="E45" t="n">
        <v>49</v>
      </c>
    </row>
    <row r="46">
      <c r="A46" t="s">
        <v>312</v>
      </c>
      <c r="B46" t="n">
        <v>-0.25</v>
      </c>
      <c r="C46" t="n">
        <v>172</v>
      </c>
      <c r="D46" t="n">
        <v>-0.25</v>
      </c>
      <c r="E46" t="n">
        <v>15</v>
      </c>
    </row>
    <row r="47">
      <c r="A47" t="s">
        <v>311</v>
      </c>
      <c r="B47" t="n">
        <v>-0.25</v>
      </c>
      <c r="C47" t="n">
        <v>97</v>
      </c>
      <c r="D47" t="n">
        <v>-0.25</v>
      </c>
      <c r="E47" t="n">
        <v>122</v>
      </c>
    </row>
    <row r="48">
      <c r="A48" t="s">
        <v>312</v>
      </c>
      <c r="B48" t="n">
        <v>-2.25</v>
      </c>
      <c r="C48" t="n">
        <v>7</v>
      </c>
      <c r="D48" t="n">
        <v>-0.25</v>
      </c>
      <c r="E48" t="n">
        <v>153</v>
      </c>
    </row>
    <row r="49">
      <c r="A49" t="s">
        <v>311</v>
      </c>
      <c r="B49" t="n">
        <v>-0.75</v>
      </c>
      <c r="C49" t="n">
        <v>165</v>
      </c>
      <c r="D49" t="n">
        <v>-0.5</v>
      </c>
      <c r="E49" t="n">
        <v>12</v>
      </c>
    </row>
    <row r="50">
      <c r="A50" t="s">
        <v>311</v>
      </c>
      <c r="B50" t="n">
        <v>-0.5</v>
      </c>
      <c r="C50" t="n">
        <v>76</v>
      </c>
      <c r="D50" t="n">
        <v>-0.25</v>
      </c>
      <c r="E50" t="n">
        <v>62</v>
      </c>
    </row>
    <row r="51">
      <c r="A51" t="s">
        <v>311</v>
      </c>
      <c r="B51" t="n">
        <v>0</v>
      </c>
      <c r="C51" t="n">
        <v>170</v>
      </c>
      <c r="D51" t="n">
        <v>-0.25</v>
      </c>
      <c r="E51" t="n">
        <v>165</v>
      </c>
    </row>
    <row r="52">
      <c r="A52" t="s">
        <v>312</v>
      </c>
      <c r="B52" t="n">
        <v>-1.25</v>
      </c>
      <c r="C52" t="n">
        <v>84</v>
      </c>
      <c r="D52" t="n">
        <v>-0.25</v>
      </c>
      <c r="E52" t="n">
        <v>62</v>
      </c>
    </row>
    <row r="53">
      <c r="A53" t="s">
        <v>311</v>
      </c>
      <c r="B53" t="n">
        <v>-0.75</v>
      </c>
      <c r="C53" t="n">
        <v>81</v>
      </c>
      <c r="D53" t="n">
        <v>-0.25</v>
      </c>
      <c r="E53" t="n">
        <v>34</v>
      </c>
    </row>
    <row r="54">
      <c r="A54" t="s">
        <v>312</v>
      </c>
      <c r="B54" t="n">
        <v>-0.5</v>
      </c>
      <c r="C54" t="n">
        <v>149</v>
      </c>
      <c r="D54" t="n">
        <v>-0.25</v>
      </c>
      <c r="E54" t="n">
        <v>161</v>
      </c>
    </row>
    <row r="55">
      <c r="A55" t="s">
        <v>312</v>
      </c>
      <c r="B55" t="n">
        <v>-0.75</v>
      </c>
      <c r="C55" t="n">
        <v>172</v>
      </c>
      <c r="D55" t="n">
        <v>-0.25</v>
      </c>
      <c r="E55" t="n">
        <v>171</v>
      </c>
    </row>
    <row r="56">
      <c r="A56" t="s">
        <v>311</v>
      </c>
      <c r="B56" t="n">
        <v>-0.25</v>
      </c>
      <c r="C56" t="n">
        <v>161</v>
      </c>
      <c r="D56" t="n">
        <v>0</v>
      </c>
      <c r="E56" t="n">
        <v>80</v>
      </c>
    </row>
    <row r="57">
      <c r="A57" t="s">
        <v>312</v>
      </c>
      <c r="B57" t="n">
        <v>-0.25</v>
      </c>
      <c r="C57" t="n">
        <v>166</v>
      </c>
      <c r="D57" t="n">
        <v>0</v>
      </c>
      <c r="E57" t="n">
        <v>141</v>
      </c>
    </row>
    <row r="58">
      <c r="A58" t="s">
        <v>311</v>
      </c>
      <c r="B58" t="n">
        <v>0</v>
      </c>
      <c r="C58" t="n">
        <v>168</v>
      </c>
      <c r="D58" t="n">
        <v>0</v>
      </c>
      <c r="E58" t="n">
        <v>12</v>
      </c>
    </row>
    <row r="59">
      <c r="A59" t="s">
        <v>312</v>
      </c>
      <c r="B59" t="n">
        <v>-1</v>
      </c>
      <c r="C59" t="n">
        <v>83</v>
      </c>
      <c r="D59" t="n">
        <v>-0.25</v>
      </c>
      <c r="E59" t="n">
        <v>78</v>
      </c>
    </row>
    <row r="60">
      <c r="A60" t="s">
        <v>312</v>
      </c>
      <c r="B60" t="n">
        <v>0</v>
      </c>
      <c r="C60" t="n">
        <v>100</v>
      </c>
      <c r="D60" t="n">
        <v>0</v>
      </c>
      <c r="E60" t="n">
        <v>124</v>
      </c>
    </row>
    <row r="61">
      <c r="A61" t="s">
        <v>311</v>
      </c>
      <c r="B61" t="n">
        <v>-0.5</v>
      </c>
      <c r="C61" t="n">
        <v>82</v>
      </c>
      <c r="D61" t="n">
        <v>-0.5</v>
      </c>
      <c r="E61" t="n">
        <v>86</v>
      </c>
    </row>
    <row r="62">
      <c r="A62" t="s">
        <v>312</v>
      </c>
      <c r="B62" t="n">
        <v>-0.5</v>
      </c>
      <c r="C62" t="n">
        <v>80</v>
      </c>
      <c r="D62" t="n">
        <v>0</v>
      </c>
      <c r="E62" t="n">
        <v>11</v>
      </c>
    </row>
    <row r="63">
      <c r="A63" t="s">
        <v>312</v>
      </c>
      <c r="B63" t="n">
        <v>-1</v>
      </c>
      <c r="C63" t="n">
        <v>180</v>
      </c>
      <c r="D63" t="n">
        <v>0</v>
      </c>
      <c r="E63" t="n">
        <v>178</v>
      </c>
    </row>
    <row r="64">
      <c r="A64" t="s">
        <v>312</v>
      </c>
      <c r="B64" t="n">
        <v>-0.75</v>
      </c>
      <c r="C64" t="n">
        <v>7</v>
      </c>
      <c r="D64" t="n">
        <v>-0.25</v>
      </c>
      <c r="E64" t="n">
        <v>24</v>
      </c>
    </row>
    <row r="65">
      <c r="A65" t="s">
        <v>311</v>
      </c>
      <c r="B65" t="n">
        <v>0</v>
      </c>
      <c r="C65" t="n">
        <v>170</v>
      </c>
      <c r="D65" t="n">
        <v>-0.5</v>
      </c>
      <c r="E65" t="n">
        <v>23</v>
      </c>
    </row>
    <row r="66">
      <c r="A66" t="s">
        <v>312</v>
      </c>
      <c r="B66" t="n">
        <v>-0.25</v>
      </c>
      <c r="C66" t="n">
        <v>175</v>
      </c>
      <c r="D66" t="n">
        <v>-0.25</v>
      </c>
      <c r="E66" t="n">
        <v>23</v>
      </c>
    </row>
    <row r="67">
      <c r="A67" t="s">
        <v>311</v>
      </c>
      <c r="B67" t="n">
        <v>-0.25</v>
      </c>
      <c r="C67" t="n">
        <v>165</v>
      </c>
      <c r="D67" t="n">
        <v>-0.25</v>
      </c>
      <c r="E67" t="n">
        <v>164</v>
      </c>
    </row>
    <row r="68">
      <c r="A68" t="s">
        <v>312</v>
      </c>
      <c r="B68" t="n">
        <v>-0.5</v>
      </c>
      <c r="C68" t="n">
        <v>86</v>
      </c>
      <c r="D68" t="n">
        <v>-0.25</v>
      </c>
      <c r="E68" t="n">
        <v>106</v>
      </c>
    </row>
    <row r="69">
      <c r="A69" t="s">
        <v>311</v>
      </c>
      <c r="B69" t="n">
        <v>-0.75</v>
      </c>
      <c r="C69" t="n">
        <v>171</v>
      </c>
      <c r="D69" t="n">
        <v>-0.5</v>
      </c>
      <c r="E69" t="n">
        <v>129</v>
      </c>
    </row>
    <row r="70">
      <c r="A70" t="s">
        <v>312</v>
      </c>
      <c r="B70" t="n">
        <v>-0.25</v>
      </c>
      <c r="C70" t="n">
        <v>91</v>
      </c>
      <c r="D70" t="n">
        <v>0</v>
      </c>
      <c r="E70" t="n">
        <v>164</v>
      </c>
    </row>
    <row r="71">
      <c r="A71" t="s">
        <v>311</v>
      </c>
      <c r="B71" t="n">
        <v>-0.75</v>
      </c>
      <c r="C71" t="n">
        <v>88</v>
      </c>
      <c r="D71" t="n">
        <v>-0.5</v>
      </c>
      <c r="E71" t="n">
        <v>148</v>
      </c>
    </row>
    <row r="72">
      <c r="A72" t="s">
        <v>311</v>
      </c>
      <c r="B72" t="n">
        <v>-0.75</v>
      </c>
      <c r="C72" t="n">
        <v>99</v>
      </c>
      <c r="D72" t="n">
        <v>-0.25</v>
      </c>
      <c r="E72" t="n">
        <v>75</v>
      </c>
    </row>
    <row r="73">
      <c r="A73" t="s">
        <v>312</v>
      </c>
      <c r="B73" t="n">
        <v>-1.25</v>
      </c>
      <c r="C73" t="n">
        <v>23</v>
      </c>
      <c r="D73" t="n">
        <v>-0.75</v>
      </c>
      <c r="E73" t="n">
        <v>166</v>
      </c>
    </row>
    <row r="74">
      <c r="A74" t="s">
        <v>311</v>
      </c>
      <c r="B74" t="n">
        <v>0</v>
      </c>
      <c r="C74" t="n">
        <v>5</v>
      </c>
      <c r="D74" t="n">
        <v>0</v>
      </c>
      <c r="E74" t="n">
        <v>177</v>
      </c>
    </row>
    <row r="75">
      <c r="A75" t="s">
        <v>311</v>
      </c>
      <c r="B75" t="n">
        <v>-0.5</v>
      </c>
      <c r="C75" t="n">
        <v>16</v>
      </c>
      <c r="D75" t="n">
        <v>0</v>
      </c>
      <c r="E75" t="n">
        <v>128</v>
      </c>
    </row>
    <row r="76">
      <c r="A76" t="s">
        <v>312</v>
      </c>
      <c r="B76" t="n">
        <v>-0.25</v>
      </c>
      <c r="C76" t="n">
        <v>67</v>
      </c>
      <c r="D76" t="n">
        <v>-0.25</v>
      </c>
      <c r="E76" t="n">
        <v>8</v>
      </c>
    </row>
    <row r="77">
      <c r="A77" t="s">
        <v>312</v>
      </c>
      <c r="B77" t="n">
        <v>-0.75</v>
      </c>
      <c r="C77" t="n">
        <v>100</v>
      </c>
      <c r="D77" t="n">
        <v>0</v>
      </c>
      <c r="E77" t="n">
        <v>86</v>
      </c>
    </row>
    <row r="78">
      <c r="A78" t="s">
        <v>311</v>
      </c>
      <c r="B78" t="n">
        <v>-0.25</v>
      </c>
      <c r="C78" t="n">
        <v>89</v>
      </c>
      <c r="D78" t="n">
        <v>-0.25</v>
      </c>
      <c r="E78" t="n">
        <v>106</v>
      </c>
    </row>
    <row r="79">
      <c r="A79" t="s">
        <v>312</v>
      </c>
      <c r="B79" t="n">
        <v>-1.5</v>
      </c>
      <c r="C79" t="n">
        <v>96</v>
      </c>
      <c r="D79" t="n">
        <v>0</v>
      </c>
      <c r="E79" t="n">
        <v>21</v>
      </c>
    </row>
    <row r="80">
      <c r="A80" t="s">
        <v>312</v>
      </c>
      <c r="B80" t="n">
        <v>-0.25</v>
      </c>
      <c r="C80" t="n">
        <v>11</v>
      </c>
      <c r="D80" t="n">
        <v>-0.25</v>
      </c>
      <c r="E80" t="n">
        <v>18</v>
      </c>
    </row>
    <row r="81">
      <c r="A81" t="s">
        <v>311</v>
      </c>
      <c r="B81" t="n">
        <v>-0.75</v>
      </c>
      <c r="C81" t="n">
        <v>180</v>
      </c>
      <c r="D81" t="n">
        <v>-0.5</v>
      </c>
      <c r="E81" t="n">
        <v>10</v>
      </c>
    </row>
    <row r="82">
      <c r="A82" t="s">
        <v>311</v>
      </c>
      <c r="B82" t="n">
        <v>-0.25</v>
      </c>
      <c r="C82" t="n">
        <v>155</v>
      </c>
      <c r="D82" t="n">
        <v>-0.25</v>
      </c>
      <c r="E82" t="n">
        <v>160</v>
      </c>
    </row>
    <row r="83">
      <c r="A83" t="s">
        <v>312</v>
      </c>
      <c r="B83" t="n">
        <v>-0.5</v>
      </c>
      <c r="C83" t="n">
        <v>84</v>
      </c>
      <c r="D83" t="n">
        <v>-0.25</v>
      </c>
      <c r="E83" t="n">
        <v>101</v>
      </c>
    </row>
    <row r="84">
      <c r="A84" t="s">
        <v>311</v>
      </c>
      <c r="B84" t="n">
        <v>-0.75</v>
      </c>
      <c r="C84" t="n">
        <v>168</v>
      </c>
      <c r="D84" t="n">
        <v>-0.75</v>
      </c>
      <c r="E84" t="n">
        <v>163</v>
      </c>
    </row>
    <row r="85">
      <c r="A85" t="s">
        <v>312</v>
      </c>
      <c r="B85" t="n">
        <v>-1.75</v>
      </c>
      <c r="C85" t="n">
        <v>178</v>
      </c>
      <c r="D85" t="n">
        <v>0</v>
      </c>
      <c r="E85" t="n">
        <v>16</v>
      </c>
    </row>
    <row r="86">
      <c r="A86" t="s">
        <v>311</v>
      </c>
      <c r="B86" t="n">
        <v>-1.25</v>
      </c>
      <c r="C86" t="n">
        <v>99</v>
      </c>
      <c r="D86" t="n">
        <v>0</v>
      </c>
      <c r="E86" t="n">
        <v>79</v>
      </c>
    </row>
    <row r="87">
      <c r="A87" t="s">
        <v>312</v>
      </c>
      <c r="B87" t="n">
        <v>-0.75</v>
      </c>
      <c r="C87" t="n">
        <v>96</v>
      </c>
      <c r="D87" t="n">
        <v>0</v>
      </c>
      <c r="E87" t="n">
        <v>6</v>
      </c>
    </row>
    <row r="88">
      <c r="A88" t="s">
        <v>311</v>
      </c>
      <c r="B88" t="n">
        <v>0</v>
      </c>
      <c r="C88" t="n">
        <v>93</v>
      </c>
      <c r="D88" t="n">
        <v>-0.5</v>
      </c>
      <c r="E88" t="n">
        <v>70</v>
      </c>
    </row>
    <row r="89">
      <c r="A89" t="s">
        <v>312</v>
      </c>
      <c r="B89" t="n">
        <v>-0.25</v>
      </c>
      <c r="C89" t="n">
        <v>40</v>
      </c>
      <c r="D89" t="n">
        <v>0</v>
      </c>
      <c r="E89" t="n">
        <v>139</v>
      </c>
    </row>
    <row r="90">
      <c r="A90" t="s">
        <v>312</v>
      </c>
      <c r="B90" t="n">
        <v>-0.25</v>
      </c>
      <c r="C90" t="n">
        <v>138</v>
      </c>
      <c r="D90" t="n">
        <v>0</v>
      </c>
      <c r="E90" t="n">
        <v>131</v>
      </c>
    </row>
    <row r="91">
      <c r="A91" t="s">
        <v>311</v>
      </c>
      <c r="B91" t="n">
        <v>-0.25</v>
      </c>
      <c r="C91" t="n">
        <v>80</v>
      </c>
      <c r="D91" t="n">
        <v>-0.25</v>
      </c>
      <c r="E91" t="n">
        <v>56</v>
      </c>
    </row>
    <row r="92">
      <c r="A92" t="s">
        <v>312</v>
      </c>
      <c r="B92" t="n">
        <v>-0.25</v>
      </c>
      <c r="C92" t="n">
        <v>20</v>
      </c>
      <c r="D92" t="n">
        <v>-0.25</v>
      </c>
      <c r="E92" t="n">
        <v>25</v>
      </c>
    </row>
    <row r="93">
      <c r="A93" t="s">
        <v>311</v>
      </c>
      <c r="B93" t="n">
        <v>-0.5</v>
      </c>
      <c r="C93" t="n">
        <v>85</v>
      </c>
      <c r="D93" t="n">
        <v>-0.25</v>
      </c>
      <c r="E93" t="n">
        <v>78</v>
      </c>
    </row>
    <row r="94">
      <c r="A94" t="s">
        <v>312</v>
      </c>
      <c r="B94" t="n">
        <v>-0.25</v>
      </c>
      <c r="C94" t="n">
        <v>87</v>
      </c>
      <c r="D94" t="n">
        <v>0</v>
      </c>
      <c r="E94" t="n">
        <v>149</v>
      </c>
    </row>
    <row r="95">
      <c r="A95" t="s">
        <v>311</v>
      </c>
      <c r="B95" t="n">
        <v>-0.25</v>
      </c>
      <c r="C95" t="n">
        <v>100</v>
      </c>
      <c r="D95" t="n">
        <v>-0.25</v>
      </c>
      <c r="E95" t="n">
        <v>122</v>
      </c>
    </row>
    <row r="96">
      <c r="A96" t="s">
        <v>312</v>
      </c>
      <c r="B96" t="n">
        <v>-0.25</v>
      </c>
      <c r="C96" t="n">
        <v>94</v>
      </c>
      <c r="D96" t="n">
        <v>0</v>
      </c>
      <c r="E96" t="n">
        <v>78</v>
      </c>
    </row>
    <row r="97">
      <c r="A97" t="s">
        <v>312</v>
      </c>
      <c r="B97" t="n">
        <v>-0.75</v>
      </c>
      <c r="C97" t="n">
        <v>102</v>
      </c>
      <c r="D97" t="n">
        <v>0</v>
      </c>
      <c r="E97" t="n">
        <v>0</v>
      </c>
    </row>
    <row r="98">
      <c r="A98" t="s">
        <v>312</v>
      </c>
      <c r="B98" t="n">
        <v>-0.5</v>
      </c>
      <c r="C98" t="n">
        <v>95</v>
      </c>
      <c r="D98" t="n">
        <v>-0.25</v>
      </c>
      <c r="E98" t="n">
        <v>89</v>
      </c>
    </row>
    <row r="99">
      <c r="A99" t="s">
        <v>312</v>
      </c>
      <c r="B99" t="n">
        <v>-0.25</v>
      </c>
      <c r="C99" t="n">
        <v>156</v>
      </c>
      <c r="D99" t="n">
        <v>0</v>
      </c>
      <c r="E99" t="n">
        <v>91</v>
      </c>
    </row>
    <row r="100">
      <c r="A100" t="s">
        <v>311</v>
      </c>
      <c r="B100" t="n">
        <v>-0.25</v>
      </c>
      <c r="C100" t="n">
        <v>79</v>
      </c>
      <c r="D100" t="n">
        <v>0</v>
      </c>
      <c r="E100" t="n">
        <v>65</v>
      </c>
    </row>
    <row r="101">
      <c r="A101" t="s">
        <v>311</v>
      </c>
      <c r="B101" t="n">
        <v>-0.25</v>
      </c>
      <c r="C101" t="n">
        <v>92</v>
      </c>
      <c r="D101" t="n">
        <v>-0.25</v>
      </c>
      <c r="E101" t="n">
        <v>69</v>
      </c>
    </row>
    <row r="102">
      <c r="A102" t="s">
        <v>312</v>
      </c>
      <c r="B102" t="n">
        <v>0</v>
      </c>
      <c r="C102" t="n">
        <v>3</v>
      </c>
      <c r="D102" t="n">
        <v>0</v>
      </c>
      <c r="E102" t="n">
        <v>28</v>
      </c>
    </row>
    <row r="103">
      <c r="A103" t="s">
        <v>312</v>
      </c>
      <c r="B103" t="n">
        <v>-0.75</v>
      </c>
      <c r="C103" t="n">
        <v>104</v>
      </c>
      <c r="D103" t="n">
        <v>-0.25</v>
      </c>
      <c r="E103" t="n">
        <v>103</v>
      </c>
    </row>
    <row r="104">
      <c r="A104" t="s">
        <v>311</v>
      </c>
      <c r="B104" t="n">
        <v>-0.75</v>
      </c>
      <c r="C104" t="n">
        <v>174</v>
      </c>
      <c r="D104" t="n">
        <v>-0.25</v>
      </c>
      <c r="E104" t="n">
        <v>32</v>
      </c>
    </row>
    <row r="105">
      <c r="A105" t="s">
        <v>312</v>
      </c>
      <c r="B105" t="n">
        <v>-1</v>
      </c>
      <c r="C105" t="n">
        <v>162</v>
      </c>
      <c r="D105" t="n">
        <v>0</v>
      </c>
      <c r="E105" t="n">
        <v>78</v>
      </c>
    </row>
    <row r="106">
      <c r="A106" t="s">
        <v>311</v>
      </c>
      <c r="B106" t="n">
        <v>-1</v>
      </c>
      <c r="C106" t="n">
        <v>177</v>
      </c>
      <c r="D106" t="n">
        <v>-0.25</v>
      </c>
      <c r="E106" t="n">
        <v>177</v>
      </c>
    </row>
    <row r="107">
      <c r="A107" t="s">
        <v>312</v>
      </c>
      <c r="B107" t="n">
        <v>-0.75</v>
      </c>
      <c r="C107" t="n">
        <v>83</v>
      </c>
      <c r="D107" t="n">
        <v>-0.25</v>
      </c>
      <c r="E107" t="n">
        <v>100</v>
      </c>
    </row>
    <row r="108">
      <c r="A108" t="s">
        <v>311</v>
      </c>
      <c r="B108" t="n">
        <v>0</v>
      </c>
      <c r="C108" t="n">
        <v>9</v>
      </c>
      <c r="D108" t="n">
        <v>-0.25</v>
      </c>
      <c r="E108" t="n">
        <v>159</v>
      </c>
    </row>
    <row r="109">
      <c r="A109" t="s">
        <v>312</v>
      </c>
      <c r="B109" t="n">
        <v>-0.25</v>
      </c>
      <c r="C109" t="n">
        <v>96</v>
      </c>
      <c r="D109" t="n">
        <v>0</v>
      </c>
      <c r="E109" t="n">
        <v>86</v>
      </c>
    </row>
    <row r="110">
      <c r="A110" t="s">
        <v>311</v>
      </c>
      <c r="B110" t="n">
        <v>-1.25</v>
      </c>
      <c r="C110" t="n">
        <v>98</v>
      </c>
      <c r="D110" t="n">
        <v>-0.25</v>
      </c>
      <c r="E110" t="n">
        <v>98</v>
      </c>
    </row>
    <row r="111">
      <c r="A111" t="s">
        <v>312</v>
      </c>
      <c r="B111" t="n">
        <v>-0.5</v>
      </c>
      <c r="C111" t="n">
        <v>86</v>
      </c>
      <c r="D111" t="n">
        <v>0</v>
      </c>
      <c r="E111" t="n">
        <v>85</v>
      </c>
    </row>
    <row r="112">
      <c r="A112" t="s">
        <v>311</v>
      </c>
      <c r="B112" t="n">
        <v>0</v>
      </c>
      <c r="C112" t="n">
        <v>99</v>
      </c>
      <c r="D112" t="n">
        <v>-0.25</v>
      </c>
      <c r="E112" t="n">
        <v>111</v>
      </c>
    </row>
    <row r="113">
      <c r="A113" t="s">
        <v>312</v>
      </c>
      <c r="B113" t="n">
        <v>-1</v>
      </c>
      <c r="C113" t="n">
        <v>58</v>
      </c>
      <c r="D113" t="n">
        <v>0</v>
      </c>
      <c r="E113" t="n">
        <v>65</v>
      </c>
    </row>
    <row r="114">
      <c r="A114" t="s">
        <v>311</v>
      </c>
      <c r="B114" t="n">
        <v>-0.25</v>
      </c>
      <c r="C114" t="n">
        <v>99</v>
      </c>
      <c r="D114" t="n">
        <v>0</v>
      </c>
      <c r="E114" t="n">
        <v>64</v>
      </c>
    </row>
    <row r="115">
      <c r="A115" t="s">
        <v>312</v>
      </c>
      <c r="B115" t="n">
        <v>-0.25</v>
      </c>
      <c r="C115" t="n">
        <v>96</v>
      </c>
      <c r="D115" t="n">
        <v>0</v>
      </c>
      <c r="E115" t="n">
        <v>43</v>
      </c>
    </row>
    <row r="116">
      <c r="A116" t="s">
        <v>311</v>
      </c>
      <c r="B116" t="n">
        <v>-0.5</v>
      </c>
      <c r="C116" t="n">
        <v>95</v>
      </c>
      <c r="D116" t="n">
        <v>-0.25</v>
      </c>
      <c r="E116" t="n">
        <v>90</v>
      </c>
    </row>
    <row r="117">
      <c r="A117" t="s">
        <v>311</v>
      </c>
      <c r="B117" t="n">
        <v>-0.75</v>
      </c>
      <c r="C117" t="n">
        <v>23</v>
      </c>
      <c r="D117" t="n">
        <v>-0.25</v>
      </c>
      <c r="E117" t="n">
        <v>5</v>
      </c>
    </row>
    <row r="118">
      <c r="A118" t="s">
        <v>312</v>
      </c>
      <c r="B118" t="n">
        <v>-0.75</v>
      </c>
      <c r="C118" t="n">
        <v>6</v>
      </c>
      <c r="D118" t="n">
        <v>0</v>
      </c>
      <c r="E118" t="n">
        <v>26</v>
      </c>
    </row>
    <row r="119">
      <c r="A119" t="s">
        <v>311</v>
      </c>
      <c r="B119" t="n">
        <v>-0.75</v>
      </c>
      <c r="C119" t="n">
        <v>178</v>
      </c>
      <c r="D119" t="n">
        <v>-0.25</v>
      </c>
      <c r="E119" t="n">
        <v>4</v>
      </c>
    </row>
    <row r="120">
      <c r="A120" t="s">
        <v>312</v>
      </c>
      <c r="B120" t="n">
        <v>-0.5</v>
      </c>
      <c r="C120" t="n">
        <v>84</v>
      </c>
      <c r="D120" t="n">
        <v>0</v>
      </c>
      <c r="E120" t="n">
        <v>138</v>
      </c>
    </row>
    <row r="121">
      <c r="A121" t="s">
        <v>311</v>
      </c>
      <c r="B121" t="n">
        <v>-0.5</v>
      </c>
      <c r="C121" t="n">
        <v>94</v>
      </c>
      <c r="D121" t="n">
        <v>-0.25</v>
      </c>
      <c r="E121" t="n">
        <v>96</v>
      </c>
    </row>
    <row r="122">
      <c r="A122" t="s">
        <v>312</v>
      </c>
      <c r="B122" t="n">
        <v>0</v>
      </c>
      <c r="C122" t="n">
        <v>7</v>
      </c>
      <c r="D122" t="n">
        <v>-0.5</v>
      </c>
      <c r="E122" t="n">
        <v>3</v>
      </c>
    </row>
    <row r="123">
      <c r="A123" t="s">
        <v>312</v>
      </c>
      <c r="B123" t="n">
        <v>-0.25</v>
      </c>
      <c r="C123" t="n">
        <v>85</v>
      </c>
      <c r="D123" t="n">
        <v>-0.5</v>
      </c>
      <c r="E123" t="n">
        <v>133</v>
      </c>
    </row>
    <row r="124">
      <c r="A124" t="s">
        <v>311</v>
      </c>
      <c r="B124" t="n">
        <v>-1.75</v>
      </c>
      <c r="C124" t="n">
        <v>16</v>
      </c>
      <c r="D124" t="n">
        <v>-0.5</v>
      </c>
      <c r="E124" t="n">
        <v>16</v>
      </c>
    </row>
    <row r="125">
      <c r="A125" t="s">
        <v>312</v>
      </c>
      <c r="B125" t="n">
        <v>-0.75</v>
      </c>
      <c r="C125" t="n">
        <v>170</v>
      </c>
      <c r="D125" t="n">
        <v>-0.25</v>
      </c>
      <c r="E125" t="n">
        <v>170</v>
      </c>
    </row>
    <row r="126">
      <c r="A126" t="s">
        <v>311</v>
      </c>
      <c r="B126" t="n">
        <v>0</v>
      </c>
      <c r="C126" t="n">
        <v>80</v>
      </c>
      <c r="D126" t="n">
        <v>0</v>
      </c>
      <c r="E126" t="n">
        <v>68</v>
      </c>
    </row>
    <row r="127">
      <c r="A127" t="s">
        <v>312</v>
      </c>
      <c r="B127" t="n">
        <v>-0.5</v>
      </c>
      <c r="C127" t="n">
        <v>167</v>
      </c>
      <c r="D127" t="n">
        <v>0</v>
      </c>
      <c r="E127" t="n">
        <v>24</v>
      </c>
    </row>
    <row r="128">
      <c r="A128" t="s">
        <v>311</v>
      </c>
      <c r="B128" t="n">
        <v>-1.5</v>
      </c>
      <c r="C128" t="n">
        <v>175</v>
      </c>
      <c r="D128" t="n">
        <v>0</v>
      </c>
      <c r="E128" t="n">
        <v>99</v>
      </c>
    </row>
    <row r="129">
      <c r="A129" t="s">
        <v>312</v>
      </c>
      <c r="B129" t="n">
        <v>-0.75</v>
      </c>
      <c r="C129" t="n">
        <v>173</v>
      </c>
      <c r="D129" t="n">
        <v>-0.25</v>
      </c>
      <c r="E129" t="n">
        <v>162</v>
      </c>
    </row>
    <row r="130">
      <c r="A130" t="s">
        <v>312</v>
      </c>
      <c r="B130" t="n">
        <v>-0.5</v>
      </c>
      <c r="C130" t="n">
        <v>11</v>
      </c>
      <c r="D130" t="n">
        <v>-0.25</v>
      </c>
      <c r="E130" t="n">
        <v>2</v>
      </c>
    </row>
    <row r="131">
      <c r="A131" t="s">
        <v>311</v>
      </c>
      <c r="B131" t="n">
        <v>-0.25</v>
      </c>
      <c r="C131" t="n">
        <v>166</v>
      </c>
      <c r="D131" t="n">
        <v>-0.5</v>
      </c>
      <c r="E131" t="n">
        <v>1</v>
      </c>
    </row>
    <row r="132">
      <c r="A132" t="s">
        <v>312</v>
      </c>
      <c r="B132" t="n">
        <v>-0.5</v>
      </c>
      <c r="C132" t="n">
        <v>98</v>
      </c>
      <c r="D132" t="n">
        <v>-0.5</v>
      </c>
      <c r="E132" t="n">
        <v>125</v>
      </c>
    </row>
    <row r="133">
      <c r="A133" t="s">
        <v>311</v>
      </c>
      <c r="B133" t="n">
        <v>-1.5</v>
      </c>
      <c r="C133" t="n">
        <v>6</v>
      </c>
      <c r="D133" t="n">
        <v>-0.25</v>
      </c>
      <c r="E133" t="n">
        <v>18</v>
      </c>
    </row>
    <row r="134">
      <c r="A134" t="s">
        <v>311</v>
      </c>
      <c r="B134" t="n">
        <v>-0.5</v>
      </c>
      <c r="C134" t="n">
        <v>76</v>
      </c>
      <c r="D134" t="n">
        <v>0</v>
      </c>
      <c r="E134" t="n">
        <v>34</v>
      </c>
    </row>
    <row r="135">
      <c r="A135" t="s">
        <v>312</v>
      </c>
      <c r="B135" t="n">
        <v>-1</v>
      </c>
      <c r="C135" t="n">
        <v>13</v>
      </c>
      <c r="D135" t="n">
        <v>-0.25</v>
      </c>
      <c r="E135" t="n">
        <v>16</v>
      </c>
    </row>
    <row r="136">
      <c r="A136" t="s">
        <v>311</v>
      </c>
      <c r="B136" t="n">
        <v>0</v>
      </c>
      <c r="C136" t="n">
        <v>95</v>
      </c>
      <c r="D136" t="n">
        <v>0</v>
      </c>
      <c r="E136" t="n">
        <v>114</v>
      </c>
    </row>
    <row r="137">
      <c r="A137" t="s">
        <v>312</v>
      </c>
      <c r="B137" t="n">
        <v>-1.25</v>
      </c>
      <c r="C137" t="n">
        <v>169</v>
      </c>
      <c r="D137" t="n">
        <v>-0.25</v>
      </c>
      <c r="E137" t="n">
        <v>176</v>
      </c>
    </row>
    <row r="138">
      <c r="A138" t="s">
        <v>311</v>
      </c>
      <c r="B138" t="n">
        <v>-1.25</v>
      </c>
      <c r="C138" t="n">
        <v>22</v>
      </c>
      <c r="D138" t="n">
        <v>-0.25</v>
      </c>
      <c r="E138" t="n">
        <v>33</v>
      </c>
    </row>
    <row r="139">
      <c r="A139" t="s">
        <v>312</v>
      </c>
      <c r="B139" t="n">
        <v>-2.75</v>
      </c>
      <c r="C139" t="n">
        <v>0</v>
      </c>
      <c r="D139" t="n">
        <v>-0.5</v>
      </c>
      <c r="E139" t="n">
        <v>155</v>
      </c>
    </row>
    <row r="140">
      <c r="A140" t="s">
        <v>312</v>
      </c>
      <c r="B140" t="n">
        <v>-0.5</v>
      </c>
      <c r="C140" t="n">
        <v>86</v>
      </c>
      <c r="D140" t="n">
        <v>-0.25</v>
      </c>
      <c r="E140" t="n">
        <v>118</v>
      </c>
    </row>
    <row r="141">
      <c r="A141" t="s">
        <v>311</v>
      </c>
      <c r="B141" t="n">
        <v>-0.25</v>
      </c>
      <c r="C141" t="n">
        <v>157</v>
      </c>
      <c r="D141" t="n">
        <v>0</v>
      </c>
      <c r="E141" t="n">
        <v>156</v>
      </c>
    </row>
    <row r="142">
      <c r="A142" t="s">
        <v>311</v>
      </c>
      <c r="B142" t="n">
        <v>-1.5</v>
      </c>
      <c r="C142" t="n">
        <v>171</v>
      </c>
      <c r="D142" t="n">
        <v>0</v>
      </c>
      <c r="E142" t="n">
        <v>9</v>
      </c>
    </row>
    <row r="143">
      <c r="A143" t="s">
        <v>312</v>
      </c>
      <c r="B143" t="n">
        <v>-2.25</v>
      </c>
      <c r="C143" t="n">
        <v>170</v>
      </c>
      <c r="D143" t="n">
        <v>-0.25</v>
      </c>
      <c r="E143" t="n">
        <v>175</v>
      </c>
    </row>
    <row r="144">
      <c r="A144" t="s">
        <v>311</v>
      </c>
      <c r="B144" t="n">
        <v>-0.5</v>
      </c>
      <c r="C144" t="n">
        <v>109</v>
      </c>
      <c r="D144" t="n">
        <v>-0.25</v>
      </c>
      <c r="E144" t="n">
        <v>120</v>
      </c>
    </row>
    <row r="145">
      <c r="A145" t="s">
        <v>312</v>
      </c>
      <c r="B145" t="n">
        <v>-0.25</v>
      </c>
      <c r="C145" t="n">
        <v>172</v>
      </c>
      <c r="D145" t="n">
        <v>-0.25</v>
      </c>
      <c r="E145" t="n">
        <v>165</v>
      </c>
    </row>
    <row r="146">
      <c r="A146" t="s">
        <v>312</v>
      </c>
      <c r="B146" t="n">
        <v>-0.25</v>
      </c>
      <c r="C146" t="n">
        <v>85</v>
      </c>
      <c r="D146" t="n">
        <v>0</v>
      </c>
      <c r="E146" t="n">
        <v>63</v>
      </c>
    </row>
    <row r="147">
      <c r="A147" t="s">
        <v>312</v>
      </c>
      <c r="B147" t="n">
        <v>-0.25</v>
      </c>
      <c r="C147" t="n">
        <v>170</v>
      </c>
      <c r="D147" t="n">
        <v>0</v>
      </c>
      <c r="E147" t="n">
        <v>157</v>
      </c>
    </row>
    <row r="148">
      <c r="A148" t="s">
        <v>311</v>
      </c>
      <c r="B148" t="n">
        <v>-0.5</v>
      </c>
      <c r="C148" t="n">
        <v>18</v>
      </c>
      <c r="D148" t="n">
        <v>-0.5</v>
      </c>
      <c r="E148" t="n">
        <v>43</v>
      </c>
    </row>
    <row r="149">
      <c r="A149" t="s">
        <v>312</v>
      </c>
      <c r="B149" t="n">
        <v>-2.25</v>
      </c>
      <c r="C149" t="n">
        <v>82</v>
      </c>
      <c r="D149" t="n">
        <v>-0.5</v>
      </c>
      <c r="E149" t="n">
        <v>54</v>
      </c>
    </row>
    <row r="150">
      <c r="A150" t="s">
        <v>311</v>
      </c>
      <c r="B150" t="n">
        <v>-0.25</v>
      </c>
      <c r="C150" t="n">
        <v>94</v>
      </c>
      <c r="D150" t="n">
        <v>0</v>
      </c>
      <c r="E150" t="n">
        <v>59</v>
      </c>
    </row>
    <row r="151">
      <c r="A151" t="s">
        <v>312</v>
      </c>
      <c r="B151" t="n">
        <v>-0.75</v>
      </c>
      <c r="C151" t="n">
        <v>54</v>
      </c>
      <c r="D151" t="n">
        <v>0</v>
      </c>
      <c r="E151" t="n">
        <v>167</v>
      </c>
    </row>
    <row r="152">
      <c r="A152" t="s">
        <v>311</v>
      </c>
      <c r="B152" t="n">
        <v>-0.5</v>
      </c>
      <c r="C152" t="n">
        <v>177</v>
      </c>
      <c r="D152" t="n">
        <v>-0.25</v>
      </c>
      <c r="E152" t="n">
        <v>3</v>
      </c>
    </row>
    <row r="153">
      <c r="A153" t="s">
        <v>312</v>
      </c>
      <c r="B153" t="n">
        <v>-1</v>
      </c>
      <c r="C153" t="n">
        <v>1</v>
      </c>
      <c r="D153" t="n">
        <v>0</v>
      </c>
      <c r="E153" t="n">
        <v>110</v>
      </c>
    </row>
    <row r="154">
      <c r="A154" t="s">
        <v>311</v>
      </c>
      <c r="B154" t="n">
        <v>-0.25</v>
      </c>
      <c r="C154" t="n">
        <v>40</v>
      </c>
      <c r="D154" t="n">
        <v>0</v>
      </c>
      <c r="E154" t="n">
        <v>17</v>
      </c>
    </row>
    <row r="155">
      <c r="A155" t="s">
        <v>312</v>
      </c>
      <c r="B155" t="n">
        <v>-0.25</v>
      </c>
      <c r="C155" t="n">
        <v>8</v>
      </c>
      <c r="D155" t="n">
        <v>-0.25</v>
      </c>
      <c r="E155" t="n">
        <v>33</v>
      </c>
    </row>
    <row r="156">
      <c r="A156" t="s">
        <v>312</v>
      </c>
      <c r="B156" t="n">
        <v>-0.75</v>
      </c>
      <c r="C156" t="n">
        <v>91</v>
      </c>
      <c r="D156" t="n">
        <v>-0.25</v>
      </c>
      <c r="E156" t="n">
        <v>94</v>
      </c>
    </row>
    <row r="157">
      <c r="A157" t="s">
        <v>312</v>
      </c>
      <c r="B157" t="n">
        <v>0</v>
      </c>
      <c r="C157" t="n">
        <v>169</v>
      </c>
      <c r="D157" t="n">
        <v>0</v>
      </c>
      <c r="E157" t="n">
        <v>145</v>
      </c>
    </row>
    <row r="158">
      <c r="A158" t="s">
        <v>311</v>
      </c>
      <c r="B158" t="n">
        <v>-0.5</v>
      </c>
      <c r="C158" t="n">
        <v>177</v>
      </c>
      <c r="D158" t="n">
        <v>-0.25</v>
      </c>
      <c r="E158" t="n">
        <v>9</v>
      </c>
    </row>
    <row r="159">
      <c r="A159" t="s">
        <v>312</v>
      </c>
      <c r="B159" t="n">
        <v>-0.25</v>
      </c>
      <c r="C159" t="n">
        <v>17</v>
      </c>
      <c r="D159" t="n">
        <v>-0.5</v>
      </c>
      <c r="E159" t="n">
        <v>178</v>
      </c>
    </row>
    <row r="160">
      <c r="A160" t="s">
        <v>311</v>
      </c>
      <c r="B160" t="n">
        <v>-1.5</v>
      </c>
      <c r="C160" t="n">
        <v>16</v>
      </c>
      <c r="D160" t="n">
        <v>0</v>
      </c>
      <c r="E160" t="n">
        <v>7</v>
      </c>
    </row>
    <row r="161">
      <c r="A161" t="s">
        <v>312</v>
      </c>
      <c r="B161" t="n">
        <v>-0.25</v>
      </c>
      <c r="C161" t="n">
        <v>5</v>
      </c>
      <c r="D161" t="n">
        <v>0</v>
      </c>
      <c r="E161" t="n">
        <v>149</v>
      </c>
    </row>
    <row r="162">
      <c r="A162" t="s">
        <v>311</v>
      </c>
      <c r="B162" t="n">
        <v>-0.5</v>
      </c>
      <c r="C162" t="n">
        <v>9</v>
      </c>
      <c r="D162" t="n">
        <v>-0.25</v>
      </c>
      <c r="E162" t="n">
        <v>15</v>
      </c>
    </row>
    <row r="163">
      <c r="A163" t="s">
        <v>312</v>
      </c>
      <c r="B163" t="n">
        <v>0</v>
      </c>
      <c r="C163" t="n">
        <v>68</v>
      </c>
      <c r="D163" t="n">
        <v>-0.25</v>
      </c>
      <c r="E163" t="n">
        <v>174</v>
      </c>
    </row>
    <row r="164">
      <c r="A164" t="s">
        <v>311</v>
      </c>
      <c r="B164" t="n">
        <v>-0.5</v>
      </c>
      <c r="C164" t="n">
        <v>98</v>
      </c>
      <c r="D164" t="n">
        <v>-0.25</v>
      </c>
      <c r="E164" t="n">
        <v>77</v>
      </c>
    </row>
    <row r="165">
      <c r="A165" t="s">
        <v>312</v>
      </c>
      <c r="B165" t="n">
        <v>-1.25</v>
      </c>
      <c r="C165" t="n">
        <v>162</v>
      </c>
      <c r="D165" t="n">
        <v>-0.25</v>
      </c>
      <c r="E165" t="n">
        <v>148</v>
      </c>
    </row>
    <row r="166">
      <c r="A166" t="s">
        <v>312</v>
      </c>
      <c r="B166" t="n">
        <v>-0.5</v>
      </c>
      <c r="C166" t="n">
        <v>95</v>
      </c>
      <c r="D166" t="n">
        <v>-0.25</v>
      </c>
      <c r="E166" t="n">
        <v>95</v>
      </c>
    </row>
    <row r="167">
      <c r="A167" t="s">
        <v>311</v>
      </c>
      <c r="B167" t="n">
        <v>-0.25</v>
      </c>
      <c r="C167" t="n">
        <v>27</v>
      </c>
      <c r="D167" t="n">
        <v>-0.25</v>
      </c>
      <c r="E167" t="n">
        <v>38</v>
      </c>
    </row>
    <row r="168">
      <c r="A168" t="s">
        <v>311</v>
      </c>
      <c r="B168" t="n">
        <v>-1.25</v>
      </c>
      <c r="C168" t="n">
        <v>4</v>
      </c>
      <c r="D168" t="n">
        <v>-0.25</v>
      </c>
      <c r="E168" t="n">
        <v>46</v>
      </c>
    </row>
    <row r="169">
      <c r="A169" t="s">
        <v>312</v>
      </c>
      <c r="B169" t="n">
        <v>-0.5</v>
      </c>
      <c r="C169" t="n">
        <v>82</v>
      </c>
      <c r="D169" t="n">
        <v>-0.25</v>
      </c>
      <c r="E169" t="n">
        <v>61</v>
      </c>
    </row>
    <row r="170">
      <c r="A170" t="s">
        <v>312</v>
      </c>
      <c r="B170" t="n">
        <v>-0.25</v>
      </c>
      <c r="C170" t="n">
        <v>94</v>
      </c>
      <c r="D170" t="n">
        <v>0</v>
      </c>
      <c r="E170" t="n">
        <v>18</v>
      </c>
    </row>
    <row r="171">
      <c r="A171" t="s">
        <v>311</v>
      </c>
      <c r="B171" t="n">
        <v>-0.25</v>
      </c>
      <c r="C171" t="n">
        <v>24</v>
      </c>
      <c r="D171" t="n">
        <v>-0.25</v>
      </c>
      <c r="E171" t="n">
        <v>152</v>
      </c>
    </row>
    <row r="172">
      <c r="A172" t="s">
        <v>312</v>
      </c>
      <c r="B172" t="n">
        <v>-1.25</v>
      </c>
      <c r="C172" t="n">
        <v>102</v>
      </c>
      <c r="D172" t="n">
        <v>-0.25</v>
      </c>
      <c r="E172" t="n">
        <v>93</v>
      </c>
    </row>
    <row r="173">
      <c r="A173" t="s">
        <v>311</v>
      </c>
      <c r="B173" t="n">
        <v>-0.25</v>
      </c>
      <c r="C173" t="n">
        <v>97</v>
      </c>
      <c r="D173" t="n">
        <v>0</v>
      </c>
      <c r="E173" t="n">
        <v>119</v>
      </c>
    </row>
    <row r="174">
      <c r="A174" t="s">
        <v>312</v>
      </c>
      <c r="B174" t="n">
        <v>-0.5</v>
      </c>
      <c r="C174" t="n">
        <v>71</v>
      </c>
      <c r="D174" t="n">
        <v>-0.5</v>
      </c>
      <c r="E174" t="n">
        <v>96</v>
      </c>
    </row>
    <row r="175">
      <c r="A175" t="s">
        <v>311</v>
      </c>
      <c r="B175" t="n">
        <v>0</v>
      </c>
      <c r="C175" t="n">
        <v>80</v>
      </c>
      <c r="D175" t="n">
        <v>-0.25</v>
      </c>
      <c r="E175" t="n">
        <v>130</v>
      </c>
    </row>
    <row r="176">
      <c r="A176" t="s">
        <v>312</v>
      </c>
      <c r="B176" t="n">
        <v>-1</v>
      </c>
      <c r="C176" t="n">
        <v>161</v>
      </c>
      <c r="D176" t="n">
        <v>-0.25</v>
      </c>
      <c r="E176" t="n">
        <v>147</v>
      </c>
    </row>
    <row r="177">
      <c r="A177" t="s">
        <v>311</v>
      </c>
      <c r="B177" t="n">
        <v>-0.5</v>
      </c>
      <c r="C177" t="n">
        <v>62</v>
      </c>
      <c r="D177" t="n">
        <v>-0.25</v>
      </c>
      <c r="E177" t="n">
        <v>92</v>
      </c>
    </row>
    <row r="178">
      <c r="A178" t="s">
        <v>312</v>
      </c>
      <c r="B178" t="n">
        <v>-0.75</v>
      </c>
      <c r="C178" t="n">
        <v>103</v>
      </c>
      <c r="D178" t="n">
        <v>0</v>
      </c>
      <c r="E178" t="n">
        <v>8</v>
      </c>
    </row>
    <row r="179">
      <c r="A179" t="s">
        <v>311</v>
      </c>
      <c r="B179" t="n">
        <v>-1.25</v>
      </c>
      <c r="C179" t="n">
        <v>10</v>
      </c>
      <c r="D179" t="n">
        <v>-0.25</v>
      </c>
      <c r="E179" t="n">
        <v>21</v>
      </c>
    </row>
    <row r="180">
      <c r="A180" t="s">
        <v>311</v>
      </c>
      <c r="B180" t="n">
        <v>-0.5</v>
      </c>
      <c r="C180" t="n">
        <v>82</v>
      </c>
      <c r="D180" t="n">
        <v>-0.5</v>
      </c>
      <c r="E180" t="n">
        <v>106</v>
      </c>
    </row>
    <row r="181">
      <c r="A181" t="s">
        <v>312</v>
      </c>
      <c r="B181" t="n">
        <v>-1.25</v>
      </c>
      <c r="C181" t="n">
        <v>165</v>
      </c>
      <c r="D181" t="n">
        <v>0</v>
      </c>
      <c r="E181" t="n">
        <v>14</v>
      </c>
    </row>
    <row r="182">
      <c r="A182" t="s">
        <v>311</v>
      </c>
      <c r="B182" t="n">
        <v>0</v>
      </c>
      <c r="C182" t="n">
        <v>149</v>
      </c>
      <c r="D182" t="n">
        <v>-0.5</v>
      </c>
      <c r="E182" t="n">
        <v>143</v>
      </c>
    </row>
    <row r="183">
      <c r="A183" t="s">
        <v>312</v>
      </c>
      <c r="B183" t="n">
        <v>-0.5</v>
      </c>
      <c r="C183" t="n">
        <v>2</v>
      </c>
      <c r="D183" t="n">
        <v>-0.25</v>
      </c>
      <c r="E183" t="n">
        <v>175</v>
      </c>
    </row>
    <row r="184">
      <c r="A184" t="s">
        <v>312</v>
      </c>
      <c r="B184" t="n">
        <v>-1</v>
      </c>
      <c r="C184" t="n">
        <v>152</v>
      </c>
      <c r="D184" t="n">
        <v>0</v>
      </c>
      <c r="E184" t="n">
        <v>156</v>
      </c>
    </row>
    <row r="185">
      <c r="A185" t="s">
        <v>311</v>
      </c>
      <c r="B185" t="n">
        <v>-1</v>
      </c>
      <c r="C185" t="n">
        <v>24</v>
      </c>
      <c r="D185" t="n">
        <v>-0.25</v>
      </c>
      <c r="E185" t="n">
        <v>15</v>
      </c>
    </row>
    <row r="186">
      <c r="A186" t="s">
        <v>311</v>
      </c>
      <c r="B186" t="n">
        <v>-1.5</v>
      </c>
      <c r="C186" t="n">
        <v>5</v>
      </c>
      <c r="D186" t="n">
        <v>-0.25</v>
      </c>
      <c r="E186" t="n">
        <v>172</v>
      </c>
    </row>
    <row r="187">
      <c r="A187" t="s">
        <v>312</v>
      </c>
      <c r="B187" t="n">
        <v>-0.75</v>
      </c>
      <c r="C187" t="n">
        <v>88</v>
      </c>
      <c r="D187" t="n">
        <v>-0.25</v>
      </c>
      <c r="E187" t="n">
        <v>81</v>
      </c>
    </row>
    <row r="188">
      <c r="A188" t="s">
        <v>311</v>
      </c>
      <c r="B188" t="n">
        <v>-0.5</v>
      </c>
      <c r="C188" t="n">
        <v>180</v>
      </c>
      <c r="D188" t="n">
        <v>-0.25</v>
      </c>
      <c r="E188" t="n">
        <v>152</v>
      </c>
    </row>
    <row r="189">
      <c r="A189" t="s">
        <v>311</v>
      </c>
      <c r="B189" t="n">
        <v>-0.25</v>
      </c>
      <c r="C189" t="n">
        <v>89</v>
      </c>
      <c r="D189" t="n">
        <v>-0.25</v>
      </c>
      <c r="E189" t="n">
        <v>103</v>
      </c>
    </row>
    <row r="190">
      <c r="A190" t="s">
        <v>311</v>
      </c>
      <c r="B190" t="n">
        <v>-1</v>
      </c>
      <c r="C190" t="n">
        <v>22</v>
      </c>
      <c r="D190" t="n">
        <v>-0.5</v>
      </c>
      <c r="E190" t="n">
        <v>14</v>
      </c>
    </row>
    <row r="191">
      <c r="A191" t="s">
        <v>312</v>
      </c>
      <c r="B191" t="n">
        <v>-0.5</v>
      </c>
      <c r="C191" t="n">
        <v>101</v>
      </c>
      <c r="D191" t="n">
        <v>-0.25</v>
      </c>
      <c r="E191" t="n">
        <v>98</v>
      </c>
    </row>
    <row r="192">
      <c r="A192" t="s">
        <v>311</v>
      </c>
      <c r="B192" t="n">
        <v>-0.5</v>
      </c>
      <c r="C192" t="n">
        <v>173</v>
      </c>
      <c r="D192" t="n">
        <v>-0.5</v>
      </c>
      <c r="E192" t="n">
        <v>24</v>
      </c>
    </row>
    <row r="193">
      <c r="A193" t="s">
        <v>312</v>
      </c>
      <c r="B193" t="n">
        <v>-1</v>
      </c>
      <c r="C193" t="n">
        <v>156</v>
      </c>
      <c r="D193" t="n">
        <v>-0.5</v>
      </c>
      <c r="E193" t="n">
        <v>40</v>
      </c>
    </row>
    <row r="194">
      <c r="A194" t="s">
        <v>311</v>
      </c>
      <c r="B194" t="n">
        <v>-0.5</v>
      </c>
      <c r="C194" t="n">
        <v>21</v>
      </c>
      <c r="D194" t="n">
        <v>-0.25</v>
      </c>
      <c r="E194" t="n">
        <v>8</v>
      </c>
    </row>
    <row r="195">
      <c r="A195" t="s">
        <v>312</v>
      </c>
      <c r="B195" t="n">
        <v>-0.25</v>
      </c>
      <c r="C195" t="n">
        <v>6</v>
      </c>
      <c r="D195" t="n">
        <v>-0.25</v>
      </c>
      <c r="E195" t="n">
        <v>179</v>
      </c>
    </row>
    <row r="196">
      <c r="A196" t="s">
        <v>311</v>
      </c>
      <c r="B196" t="n">
        <v>-0.75</v>
      </c>
      <c r="C196" t="n">
        <v>167</v>
      </c>
      <c r="D196" t="n">
        <v>-0.25</v>
      </c>
      <c r="E196" t="n">
        <v>168</v>
      </c>
    </row>
    <row r="197">
      <c r="A197" t="s">
        <v>312</v>
      </c>
      <c r="B197" t="n">
        <v>-0.5</v>
      </c>
      <c r="C197" t="n">
        <v>2</v>
      </c>
      <c r="D197" t="n">
        <v>-0.5</v>
      </c>
      <c r="E197" t="n">
        <v>19</v>
      </c>
    </row>
    <row r="198">
      <c r="A198" t="s">
        <v>312</v>
      </c>
      <c r="B198" t="n">
        <v>-0.25</v>
      </c>
      <c r="C198" t="n">
        <v>11</v>
      </c>
      <c r="D198" t="n">
        <v>0</v>
      </c>
      <c r="E198" t="n">
        <v>160</v>
      </c>
    </row>
    <row r="199">
      <c r="A199" t="s">
        <v>311</v>
      </c>
      <c r="B199" t="n">
        <v>-1</v>
      </c>
      <c r="C199" t="n">
        <v>159</v>
      </c>
      <c r="D199" t="n">
        <v>0</v>
      </c>
      <c r="E199" t="n">
        <v>13</v>
      </c>
    </row>
    <row r="200">
      <c r="A200" t="s">
        <v>312</v>
      </c>
      <c r="B200" t="n">
        <v>0</v>
      </c>
      <c r="C200" t="n">
        <v>1</v>
      </c>
      <c r="D200" t="n">
        <v>-0.25</v>
      </c>
      <c r="E200" t="n">
        <v>13</v>
      </c>
    </row>
    <row r="201">
      <c r="A201" t="s">
        <v>311</v>
      </c>
      <c r="B201" t="n">
        <v>-0.25</v>
      </c>
      <c r="C201" t="n">
        <v>89</v>
      </c>
      <c r="D201" t="n">
        <v>-0.25</v>
      </c>
      <c r="E201" t="n">
        <v>60</v>
      </c>
    </row>
    <row r="202">
      <c r="A202" t="s">
        <v>312</v>
      </c>
      <c r="B202" t="n">
        <v>-1</v>
      </c>
      <c r="C202" t="n">
        <v>110</v>
      </c>
      <c r="D202" t="n">
        <v>-0.25</v>
      </c>
      <c r="E202" t="n">
        <v>121</v>
      </c>
    </row>
    <row r="203">
      <c r="A203" t="s">
        <v>311</v>
      </c>
      <c r="B203" t="n">
        <v>-0.25</v>
      </c>
      <c r="C203" t="n">
        <v>105</v>
      </c>
      <c r="D203" t="n">
        <v>-0.5</v>
      </c>
      <c r="E203" t="n">
        <v>132</v>
      </c>
    </row>
    <row r="204">
      <c r="A204" t="s">
        <v>312</v>
      </c>
      <c r="B204" t="n">
        <v>-1.25</v>
      </c>
      <c r="C204" t="n">
        <v>14</v>
      </c>
      <c r="D204" t="n">
        <v>-0.25</v>
      </c>
      <c r="E204" t="n">
        <v>13</v>
      </c>
    </row>
    <row r="205">
      <c r="A205" t="s">
        <v>312</v>
      </c>
      <c r="B205" t="n">
        <v>-1.25</v>
      </c>
      <c r="C205" t="n">
        <v>163</v>
      </c>
      <c r="D205" t="n">
        <v>0</v>
      </c>
      <c r="E205" t="n">
        <v>5</v>
      </c>
    </row>
    <row r="206">
      <c r="A206" t="s">
        <v>311</v>
      </c>
      <c r="B206" t="n">
        <v>-1</v>
      </c>
      <c r="C206" t="n">
        <v>94</v>
      </c>
      <c r="D206" t="n">
        <v>0</v>
      </c>
      <c r="E206" t="n">
        <v>104</v>
      </c>
    </row>
    <row r="207">
      <c r="A207" t="s">
        <v>312</v>
      </c>
      <c r="B207" t="n">
        <v>-0.5</v>
      </c>
      <c r="C207" t="n">
        <v>85</v>
      </c>
      <c r="D207" t="n">
        <v>-0.25</v>
      </c>
      <c r="E207" t="n">
        <v>110</v>
      </c>
    </row>
    <row r="208">
      <c r="A208" t="s">
        <v>312</v>
      </c>
      <c r="B208" t="n">
        <v>-0.5</v>
      </c>
      <c r="C208" t="n">
        <v>127</v>
      </c>
      <c r="D208" t="n">
        <v>-0.5</v>
      </c>
      <c r="E208" t="n">
        <v>132</v>
      </c>
    </row>
    <row r="209">
      <c r="A209" t="s">
        <v>311</v>
      </c>
      <c r="B209" t="n">
        <v>-0.25</v>
      </c>
      <c r="C209" t="n">
        <v>173</v>
      </c>
      <c r="D209" t="n">
        <v>0</v>
      </c>
      <c r="E209" t="n">
        <v>11</v>
      </c>
    </row>
    <row r="210">
      <c r="A210" t="s">
        <v>312</v>
      </c>
      <c r="B210" t="n">
        <v>-1</v>
      </c>
      <c r="C210" t="n">
        <v>87</v>
      </c>
      <c r="D210" t="n">
        <v>-0.25</v>
      </c>
      <c r="E210" t="n">
        <v>102</v>
      </c>
    </row>
    <row r="211">
      <c r="A211" t="s">
        <v>312</v>
      </c>
      <c r="B211" t="n">
        <v>-0.75</v>
      </c>
      <c r="C211" t="n">
        <v>89</v>
      </c>
      <c r="D211" t="n">
        <v>-0.25</v>
      </c>
      <c r="E211" t="n">
        <v>74</v>
      </c>
    </row>
    <row r="212">
      <c r="A212" t="s">
        <v>311</v>
      </c>
      <c r="B212" t="n">
        <v>-2.5</v>
      </c>
      <c r="C212" t="n">
        <v>20</v>
      </c>
      <c r="D212" t="n">
        <v>0</v>
      </c>
      <c r="E212" t="n">
        <v>33</v>
      </c>
    </row>
    <row r="213">
      <c r="A213" t="s">
        <v>311</v>
      </c>
      <c r="B213" t="n">
        <v>-0.75</v>
      </c>
      <c r="C213" t="n">
        <v>15</v>
      </c>
      <c r="D213" t="n">
        <v>0</v>
      </c>
      <c r="E213" t="n">
        <v>108</v>
      </c>
    </row>
    <row r="214">
      <c r="A214" t="s">
        <v>312</v>
      </c>
      <c r="B214" t="n">
        <v>-1</v>
      </c>
      <c r="C214" t="n">
        <v>60</v>
      </c>
      <c r="D214" t="n">
        <v>0</v>
      </c>
      <c r="E214" t="n">
        <v>130</v>
      </c>
    </row>
    <row r="215">
      <c r="A215" t="s">
        <v>311</v>
      </c>
      <c r="B215" t="n">
        <v>-0.25</v>
      </c>
      <c r="C215" t="n">
        <v>99</v>
      </c>
      <c r="D215" t="n">
        <v>-0.25</v>
      </c>
      <c r="E215" t="n">
        <v>110</v>
      </c>
    </row>
    <row r="216">
      <c r="A216" t="s">
        <v>312</v>
      </c>
      <c r="B216" t="n">
        <v>-1</v>
      </c>
      <c r="C216" t="n">
        <v>87</v>
      </c>
      <c r="D216" t="n">
        <v>-0.25</v>
      </c>
      <c r="E216" t="n">
        <v>104</v>
      </c>
    </row>
    <row r="217">
      <c r="A217" t="s">
        <v>311</v>
      </c>
      <c r="B217" t="n">
        <v>-0.25</v>
      </c>
      <c r="C217" t="n">
        <v>12</v>
      </c>
      <c r="D217" t="n">
        <v>-0.25</v>
      </c>
      <c r="E217" t="n">
        <v>34</v>
      </c>
    </row>
    <row r="218">
      <c r="A218" t="s">
        <v>312</v>
      </c>
      <c r="B218" t="n">
        <v>-0.5</v>
      </c>
      <c r="C218" t="n">
        <v>158</v>
      </c>
      <c r="D218" t="n">
        <v>-0.5</v>
      </c>
      <c r="E218" t="n">
        <v>158</v>
      </c>
    </row>
    <row r="219">
      <c r="A219" t="s">
        <v>312</v>
      </c>
      <c r="B219" t="n">
        <v>-0.5</v>
      </c>
      <c r="C219" t="n">
        <v>177</v>
      </c>
      <c r="D219" t="n">
        <v>-0.25</v>
      </c>
      <c r="E219" t="n">
        <v>14</v>
      </c>
    </row>
    <row r="220">
      <c r="A220" t="s">
        <v>311</v>
      </c>
      <c r="B220" t="n">
        <v>-0.25</v>
      </c>
      <c r="C220" t="n">
        <v>81</v>
      </c>
      <c r="D220" t="n">
        <v>-0.25</v>
      </c>
      <c r="E220" t="n">
        <v>104</v>
      </c>
    </row>
    <row r="221">
      <c r="A221" t="s">
        <v>312</v>
      </c>
      <c r="B221" t="n">
        <v>-0.5</v>
      </c>
      <c r="C221" t="n">
        <v>17</v>
      </c>
      <c r="D221" t="n">
        <v>0</v>
      </c>
      <c r="E221" t="n">
        <v>10</v>
      </c>
    </row>
    <row r="222">
      <c r="A222" t="s">
        <v>311</v>
      </c>
      <c r="B222" t="n">
        <v>-0.5</v>
      </c>
      <c r="C222" t="n">
        <v>91</v>
      </c>
      <c r="D222" t="n">
        <v>0</v>
      </c>
      <c r="E222" t="n">
        <v>93</v>
      </c>
    </row>
    <row r="223">
      <c r="A223" t="s">
        <v>311</v>
      </c>
      <c r="B223" t="n">
        <v>0</v>
      </c>
      <c r="C223" t="n">
        <v>166</v>
      </c>
      <c r="D223" t="n">
        <v>0</v>
      </c>
      <c r="E223" t="n">
        <v>5</v>
      </c>
    </row>
    <row r="224">
      <c r="A224" t="s">
        <v>312</v>
      </c>
      <c r="B224" t="n">
        <v>-0.25</v>
      </c>
      <c r="C224" t="n">
        <v>100</v>
      </c>
      <c r="D224" t="n">
        <v>0</v>
      </c>
      <c r="E224" t="n">
        <v>114</v>
      </c>
    </row>
    <row r="225">
      <c r="A225" t="s">
        <v>312</v>
      </c>
      <c r="B225" t="n">
        <v>0</v>
      </c>
      <c r="C225" t="n">
        <v>87</v>
      </c>
      <c r="D225" t="n">
        <v>0</v>
      </c>
      <c r="E225" t="n">
        <v>97</v>
      </c>
    </row>
    <row r="226">
      <c r="A226" t="s">
        <v>311</v>
      </c>
      <c r="B226" t="n">
        <v>-0.75</v>
      </c>
      <c r="C226" t="n">
        <v>117</v>
      </c>
      <c r="D226" t="n">
        <v>-0.5</v>
      </c>
      <c r="E226" t="n">
        <v>103</v>
      </c>
    </row>
    <row r="227">
      <c r="A227" t="s">
        <v>312</v>
      </c>
      <c r="B227" t="n">
        <v>0</v>
      </c>
      <c r="C227" t="n">
        <v>146</v>
      </c>
      <c r="D227" t="n">
        <v>-0.25</v>
      </c>
      <c r="E227" t="n">
        <v>116</v>
      </c>
    </row>
    <row r="228">
      <c r="A228" t="s">
        <v>311</v>
      </c>
      <c r="B228" t="n">
        <v>-0.25</v>
      </c>
      <c r="C228" t="n">
        <v>1</v>
      </c>
      <c r="D228" t="n">
        <v>0</v>
      </c>
      <c r="E228" t="n">
        <v>97</v>
      </c>
    </row>
    <row r="229">
      <c r="A229" t="s">
        <v>311</v>
      </c>
      <c r="B229" t="n">
        <v>-1.25</v>
      </c>
      <c r="C229" t="n">
        <v>75</v>
      </c>
      <c r="D229" t="n">
        <v>-0.25</v>
      </c>
      <c r="E229" t="n">
        <v>50</v>
      </c>
    </row>
    <row r="230">
      <c r="A230" t="s">
        <v>312</v>
      </c>
      <c r="B230" t="n">
        <v>-0.5</v>
      </c>
      <c r="C230" t="n">
        <v>10</v>
      </c>
      <c r="D230" t="n">
        <v>-0.25</v>
      </c>
      <c r="E230" t="n">
        <v>176</v>
      </c>
    </row>
    <row r="231">
      <c r="A231" t="s">
        <v>311</v>
      </c>
      <c r="B231" t="n">
        <v>-0.25</v>
      </c>
      <c r="C231" t="n">
        <v>152</v>
      </c>
      <c r="D231" t="n">
        <v>0</v>
      </c>
      <c r="E231" t="n">
        <v>57</v>
      </c>
    </row>
    <row r="232">
      <c r="A232" t="s">
        <v>311</v>
      </c>
      <c r="B232" t="n">
        <v>-1.25</v>
      </c>
      <c r="C232" t="n">
        <v>105</v>
      </c>
      <c r="D232" t="n">
        <v>-0.5</v>
      </c>
      <c r="E232" t="n">
        <v>107</v>
      </c>
    </row>
    <row r="233">
      <c r="A233" t="s">
        <v>312</v>
      </c>
      <c r="B233" t="n">
        <v>-0.5</v>
      </c>
      <c r="C233" t="n">
        <v>78</v>
      </c>
      <c r="D233" t="n">
        <v>-0.25</v>
      </c>
      <c r="E233" t="n">
        <v>65</v>
      </c>
    </row>
    <row r="234">
      <c r="A234" t="s">
        <v>311</v>
      </c>
      <c r="B234" t="n">
        <v>-0.25</v>
      </c>
      <c r="C234" t="n">
        <v>179</v>
      </c>
      <c r="D234" t="n">
        <v>-0.25</v>
      </c>
      <c r="E234" t="n">
        <v>24</v>
      </c>
    </row>
    <row r="235">
      <c r="A235" t="s">
        <v>312</v>
      </c>
      <c r="B235" t="n">
        <v>-0.25</v>
      </c>
      <c r="C235" t="n">
        <v>102</v>
      </c>
      <c r="D235" t="n">
        <v>-0.25</v>
      </c>
      <c r="E235" t="n">
        <v>81</v>
      </c>
    </row>
    <row r="236">
      <c r="A236" t="s">
        <v>311</v>
      </c>
      <c r="B236" t="n">
        <v>-2.75</v>
      </c>
      <c r="C236" t="n">
        <v>43</v>
      </c>
      <c r="D236" t="n">
        <v>-0.25</v>
      </c>
      <c r="E236" t="n">
        <v>47</v>
      </c>
    </row>
    <row r="237">
      <c r="A237" t="s">
        <v>312</v>
      </c>
      <c r="B237" t="n">
        <v>-0.25</v>
      </c>
      <c r="C237" t="n">
        <v>85</v>
      </c>
      <c r="D237" t="n">
        <v>0</v>
      </c>
      <c r="E237" t="n">
        <v>83</v>
      </c>
    </row>
    <row r="238">
      <c r="A238" t="s">
        <v>311</v>
      </c>
      <c r="B238" t="n">
        <v>-0.25</v>
      </c>
      <c r="C238" t="n">
        <v>76</v>
      </c>
      <c r="D238" t="n">
        <v>-0.5</v>
      </c>
      <c r="E238" t="n">
        <v>66</v>
      </c>
    </row>
    <row r="239">
      <c r="A239" t="s">
        <v>312</v>
      </c>
      <c r="B239" t="n">
        <v>-0.5</v>
      </c>
      <c r="C239" t="n">
        <v>176</v>
      </c>
      <c r="D239" t="n">
        <v>-0.25</v>
      </c>
      <c r="E239" t="n">
        <v>137</v>
      </c>
    </row>
    <row r="240">
      <c r="A240" t="s">
        <v>311</v>
      </c>
      <c r="B240" t="n">
        <v>-1.5</v>
      </c>
      <c r="C240" t="n">
        <v>3</v>
      </c>
      <c r="D240" t="n">
        <v>-0.25</v>
      </c>
      <c r="E240" t="n">
        <v>2</v>
      </c>
    </row>
    <row r="241">
      <c r="A241" t="s">
        <v>312</v>
      </c>
      <c r="B241" t="n">
        <v>-0.75</v>
      </c>
      <c r="C241" t="n">
        <v>32</v>
      </c>
      <c r="D241" t="n">
        <v>-0.25</v>
      </c>
      <c r="E241" t="n">
        <v>23</v>
      </c>
    </row>
    <row r="242">
      <c r="A242" t="s">
        <v>311</v>
      </c>
      <c r="B242" t="n">
        <v>-0.5</v>
      </c>
      <c r="C242" t="n">
        <v>93</v>
      </c>
      <c r="D242" t="n">
        <v>0</v>
      </c>
      <c r="E242" t="n">
        <v>83</v>
      </c>
    </row>
    <row r="243">
      <c r="A243" t="s">
        <v>312</v>
      </c>
      <c r="B243" t="n">
        <v>-0.5</v>
      </c>
      <c r="C243" t="n">
        <v>40</v>
      </c>
      <c r="D243" t="n">
        <v>0</v>
      </c>
      <c r="E243" t="n">
        <v>109</v>
      </c>
    </row>
    <row r="244">
      <c r="A244" t="s">
        <v>312</v>
      </c>
      <c r="B244" t="n">
        <v>-0.5</v>
      </c>
      <c r="C244" t="n">
        <v>2</v>
      </c>
      <c r="D244" t="n">
        <v>-0.25</v>
      </c>
      <c r="E244" t="n">
        <v>171</v>
      </c>
    </row>
    <row r="245">
      <c r="A245" t="s">
        <v>311</v>
      </c>
      <c r="B245" t="n">
        <v>-1</v>
      </c>
      <c r="C245" t="n">
        <v>155</v>
      </c>
      <c r="D245" t="n">
        <v>0</v>
      </c>
      <c r="E245" t="n">
        <v>108</v>
      </c>
    </row>
    <row r="246">
      <c r="A246" t="s">
        <v>312</v>
      </c>
      <c r="B246" t="n">
        <v>-0.5</v>
      </c>
      <c r="C246" t="n">
        <v>180</v>
      </c>
      <c r="D246" t="n">
        <v>-0.5</v>
      </c>
      <c r="E246" t="n">
        <v>13</v>
      </c>
    </row>
    <row r="247">
      <c r="A247" t="s">
        <v>312</v>
      </c>
      <c r="B247" t="n">
        <v>-1</v>
      </c>
      <c r="C247" t="n">
        <v>11</v>
      </c>
      <c r="D247" t="n">
        <v>0</v>
      </c>
      <c r="E247" t="n">
        <v>167</v>
      </c>
    </row>
    <row r="248">
      <c r="A248" t="s">
        <v>311</v>
      </c>
      <c r="B248" t="n">
        <v>-0.25</v>
      </c>
      <c r="C248" t="n">
        <v>8</v>
      </c>
      <c r="D248" t="n">
        <v>-0.25</v>
      </c>
      <c r="E248" t="n">
        <v>179</v>
      </c>
    </row>
  </sheetData>
  <pageMargins left="0.7" right="0.7" top="0.75" bottom="0.75" header="0.3" footer="0.3"/>
  <pageSetup paperSize="9" orientation="portrait" horizontalDpi="300" verticalDpi="300" r:id="rId2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306</v>
      </c>
      <c r="B1" t="s">
        <v>307</v>
      </c>
      <c r="C1" t="s">
        <v>308</v>
      </c>
      <c r="D1" t="s">
        <v>309</v>
      </c>
      <c r="E1" t="s">
        <v>310</v>
      </c>
    </row>
    <row r="2">
      <c r="A2" t="s">
        <v>312</v>
      </c>
      <c r="B2" t="n">
        <v>-0.25</v>
      </c>
      <c r="C2" t="n">
        <v>48</v>
      </c>
      <c r="D2" t="n">
        <v>0</v>
      </c>
      <c r="E2" t="n">
        <v>108</v>
      </c>
    </row>
    <row r="3">
      <c r="A3" t="s">
        <v>311</v>
      </c>
      <c r="B3" t="n">
        <v>-1.25</v>
      </c>
      <c r="C3" t="n">
        <v>12</v>
      </c>
      <c r="D3" t="n">
        <v>-0.25</v>
      </c>
      <c r="E3" t="n">
        <v>8</v>
      </c>
    </row>
    <row r="4">
      <c r="A4" t="s">
        <v>312</v>
      </c>
      <c r="B4" t="n">
        <v>-1.25</v>
      </c>
      <c r="C4" t="n">
        <v>174</v>
      </c>
      <c r="D4" t="n">
        <v>-0.25</v>
      </c>
      <c r="E4" t="n">
        <v>162</v>
      </c>
    </row>
    <row r="5">
      <c r="A5" t="s">
        <v>311</v>
      </c>
      <c r="B5" t="n">
        <v>-0.25</v>
      </c>
      <c r="C5" t="n">
        <v>99</v>
      </c>
      <c r="D5" t="n">
        <v>-0.25</v>
      </c>
      <c r="E5" t="n">
        <v>87</v>
      </c>
    </row>
    <row r="6">
      <c r="A6" t="s">
        <v>312</v>
      </c>
      <c r="B6" t="n">
        <v>-0.25</v>
      </c>
      <c r="C6" t="n">
        <v>94</v>
      </c>
      <c r="D6" t="n">
        <v>0</v>
      </c>
      <c r="E6" t="n">
        <v>154</v>
      </c>
    </row>
    <row r="7">
      <c r="A7" t="s">
        <v>311</v>
      </c>
      <c r="B7" t="n">
        <v>0</v>
      </c>
      <c r="C7" t="n">
        <v>96</v>
      </c>
      <c r="D7" t="n">
        <v>0</v>
      </c>
      <c r="E7" t="n">
        <v>82</v>
      </c>
    </row>
    <row r="8">
      <c r="A8" t="s">
        <v>312</v>
      </c>
      <c r="B8" t="n">
        <v>-0.5</v>
      </c>
      <c r="C8" t="n">
        <v>18</v>
      </c>
      <c r="D8" t="n">
        <v>-0.25</v>
      </c>
      <c r="E8" t="n">
        <v>154</v>
      </c>
    </row>
    <row r="9">
      <c r="A9" t="s">
        <v>311</v>
      </c>
      <c r="B9" t="n">
        <v>-0.5</v>
      </c>
      <c r="C9" t="n">
        <v>159</v>
      </c>
      <c r="D9" t="n">
        <v>-0.5</v>
      </c>
      <c r="E9" t="n">
        <v>128</v>
      </c>
    </row>
    <row r="10">
      <c r="A10" t="s">
        <v>312</v>
      </c>
      <c r="B10" t="n">
        <v>-0.25</v>
      </c>
      <c r="C10" t="n">
        <v>94</v>
      </c>
      <c r="D10" t="n">
        <v>0</v>
      </c>
      <c r="E10" t="n">
        <v>70</v>
      </c>
    </row>
    <row r="11">
      <c r="A11" t="s">
        <v>311</v>
      </c>
      <c r="B11" t="n">
        <v>-1.25</v>
      </c>
      <c r="C11" t="n">
        <v>96</v>
      </c>
      <c r="D11" t="n">
        <v>0</v>
      </c>
      <c r="E11" t="n">
        <v>99</v>
      </c>
    </row>
    <row r="12">
      <c r="A12" t="s">
        <v>312</v>
      </c>
      <c r="B12" t="n">
        <v>-1</v>
      </c>
      <c r="C12" t="n">
        <v>11</v>
      </c>
      <c r="D12" t="n">
        <v>-0.25</v>
      </c>
      <c r="E12" t="n">
        <v>44</v>
      </c>
    </row>
    <row r="13">
      <c r="A13" t="s">
        <v>311</v>
      </c>
      <c r="B13" t="n">
        <v>-1.25</v>
      </c>
      <c r="C13" t="n">
        <v>32</v>
      </c>
      <c r="D13" t="n">
        <v>0</v>
      </c>
      <c r="E13" t="n">
        <v>43</v>
      </c>
    </row>
    <row r="14">
      <c r="A14" t="s">
        <v>311</v>
      </c>
      <c r="B14" t="n">
        <v>-0.5</v>
      </c>
      <c r="C14" t="n">
        <v>24</v>
      </c>
      <c r="D14" t="n">
        <v>0</v>
      </c>
      <c r="E14" t="n">
        <v>17</v>
      </c>
    </row>
    <row r="15">
      <c r="A15" t="s">
        <v>312</v>
      </c>
      <c r="B15" t="n">
        <v>-0.25</v>
      </c>
      <c r="C15" t="n">
        <v>68</v>
      </c>
      <c r="D15" t="n">
        <v>0</v>
      </c>
      <c r="E15" t="n">
        <v>71</v>
      </c>
    </row>
    <row r="16">
      <c r="A16" t="s">
        <v>311</v>
      </c>
      <c r="B16" t="n">
        <v>-0.75</v>
      </c>
      <c r="C16" t="n">
        <v>85</v>
      </c>
      <c r="D16" t="n">
        <v>-0.25</v>
      </c>
      <c r="E16" t="n">
        <v>117</v>
      </c>
    </row>
    <row r="17">
      <c r="A17" t="s">
        <v>312</v>
      </c>
      <c r="B17" t="n">
        <v>-2</v>
      </c>
      <c r="C17" t="n">
        <v>173</v>
      </c>
      <c r="D17" t="n">
        <v>-0.25</v>
      </c>
      <c r="E17" t="n">
        <v>157</v>
      </c>
    </row>
    <row r="18">
      <c r="A18" t="s">
        <v>312</v>
      </c>
      <c r="B18" t="n">
        <v>-0.25</v>
      </c>
      <c r="C18" t="n">
        <v>18</v>
      </c>
      <c r="D18" t="n">
        <v>0</v>
      </c>
      <c r="E18" t="n">
        <v>170</v>
      </c>
    </row>
    <row r="19">
      <c r="A19" t="s">
        <v>312</v>
      </c>
      <c r="B19" t="n">
        <v>-0.25</v>
      </c>
      <c r="C19" t="n">
        <v>164</v>
      </c>
      <c r="D19" t="n">
        <v>-0.25</v>
      </c>
      <c r="E19" t="n">
        <v>159</v>
      </c>
    </row>
    <row r="20">
      <c r="A20" t="s">
        <v>311</v>
      </c>
      <c r="B20" t="n">
        <v>-0.5</v>
      </c>
      <c r="C20" t="n">
        <v>172</v>
      </c>
      <c r="D20" t="n">
        <v>-0.25</v>
      </c>
      <c r="E20" t="n">
        <v>142</v>
      </c>
    </row>
    <row r="21">
      <c r="A21" t="s">
        <v>312</v>
      </c>
      <c r="B21" t="n">
        <v>-1.25</v>
      </c>
      <c r="C21" t="n">
        <v>179</v>
      </c>
      <c r="D21" t="n">
        <v>0</v>
      </c>
      <c r="E21" t="n">
        <v>155</v>
      </c>
    </row>
    <row r="22">
      <c r="A22" t="s">
        <v>311</v>
      </c>
      <c r="B22" t="n">
        <v>-0.25</v>
      </c>
      <c r="C22" t="n">
        <v>11</v>
      </c>
      <c r="D22" t="n">
        <v>-0.25</v>
      </c>
      <c r="E22" t="n">
        <v>169</v>
      </c>
    </row>
    <row r="23">
      <c r="A23" t="s">
        <v>312</v>
      </c>
      <c r="B23" t="n">
        <v>-0.5</v>
      </c>
      <c r="C23" t="n">
        <v>167</v>
      </c>
      <c r="D23" t="n">
        <v>-0.75</v>
      </c>
      <c r="E23" t="n">
        <v>3</v>
      </c>
    </row>
    <row r="24">
      <c r="A24" t="s">
        <v>311</v>
      </c>
      <c r="B24" t="n">
        <v>-0.75</v>
      </c>
      <c r="C24" t="n">
        <v>94</v>
      </c>
      <c r="D24" t="n">
        <v>-0.25</v>
      </c>
      <c r="E24" t="n">
        <v>63</v>
      </c>
    </row>
    <row r="25">
      <c r="A25" t="s">
        <v>312</v>
      </c>
      <c r="B25" t="n">
        <v>-1.5</v>
      </c>
      <c r="C25" t="n">
        <v>174</v>
      </c>
      <c r="D25" t="n">
        <v>-0.25</v>
      </c>
      <c r="E25" t="n">
        <v>1</v>
      </c>
    </row>
    <row r="26">
      <c r="A26" t="s">
        <v>311</v>
      </c>
      <c r="B26" t="n">
        <v>-0.5</v>
      </c>
      <c r="C26" t="n">
        <v>9</v>
      </c>
      <c r="D26" t="n">
        <v>-0.25</v>
      </c>
      <c r="E26" t="n">
        <v>175</v>
      </c>
    </row>
    <row r="27">
      <c r="A27" t="s">
        <v>311</v>
      </c>
      <c r="B27" t="n">
        <v>-0.5</v>
      </c>
      <c r="C27" t="n">
        <v>89</v>
      </c>
      <c r="D27" t="n">
        <v>-0.5</v>
      </c>
      <c r="E27" t="n">
        <v>109</v>
      </c>
    </row>
    <row r="28">
      <c r="A28" t="s">
        <v>312</v>
      </c>
      <c r="B28" t="n">
        <v>-1.5</v>
      </c>
      <c r="C28" t="n">
        <v>100</v>
      </c>
      <c r="D28" t="n">
        <v>-0.5</v>
      </c>
      <c r="E28" t="n">
        <v>95</v>
      </c>
    </row>
    <row r="29">
      <c r="A29" t="s">
        <v>311</v>
      </c>
      <c r="B29" t="n">
        <v>-0.25</v>
      </c>
      <c r="C29" t="n">
        <v>100</v>
      </c>
      <c r="D29" t="n">
        <v>-0.5</v>
      </c>
      <c r="E29" t="n">
        <v>74</v>
      </c>
    </row>
    <row r="30">
      <c r="A30" t="s">
        <v>312</v>
      </c>
      <c r="B30" t="n">
        <v>-0.5</v>
      </c>
      <c r="C30" t="n">
        <v>4</v>
      </c>
      <c r="D30" t="n">
        <v>-0.25</v>
      </c>
      <c r="E30" t="n">
        <v>179</v>
      </c>
    </row>
    <row r="31">
      <c r="A31" t="s">
        <v>311</v>
      </c>
      <c r="B31" t="n">
        <v>-0.75</v>
      </c>
      <c r="C31" t="n">
        <v>159</v>
      </c>
      <c r="D31" t="n">
        <v>-0.25</v>
      </c>
      <c r="E31" t="n">
        <v>175</v>
      </c>
    </row>
    <row r="32">
      <c r="A32" t="s">
        <v>312</v>
      </c>
      <c r="B32" t="n">
        <v>-1</v>
      </c>
      <c r="C32" t="n">
        <v>180</v>
      </c>
      <c r="D32" t="n">
        <v>-0.25</v>
      </c>
      <c r="E32" t="n">
        <v>13</v>
      </c>
    </row>
    <row r="33">
      <c r="A33" t="s">
        <v>311</v>
      </c>
      <c r="B33" t="n">
        <v>-1.25</v>
      </c>
      <c r="C33" t="n">
        <v>179</v>
      </c>
      <c r="D33" t="n">
        <v>0</v>
      </c>
      <c r="E33" t="n">
        <v>12</v>
      </c>
    </row>
    <row r="34">
      <c r="A34" t="s">
        <v>312</v>
      </c>
      <c r="B34" t="n">
        <v>-0.75</v>
      </c>
      <c r="C34" t="n">
        <v>6</v>
      </c>
      <c r="D34" t="n">
        <v>0</v>
      </c>
      <c r="E34" t="n">
        <v>23</v>
      </c>
    </row>
    <row r="35">
      <c r="A35" t="s">
        <v>312</v>
      </c>
      <c r="B35" t="n">
        <v>0</v>
      </c>
      <c r="C35" t="n">
        <v>19</v>
      </c>
      <c r="D35" t="n">
        <v>0</v>
      </c>
      <c r="E35" t="n">
        <v>52</v>
      </c>
    </row>
    <row r="36">
      <c r="A36" t="s">
        <v>311</v>
      </c>
      <c r="B36" t="n">
        <v>-0.5</v>
      </c>
      <c r="C36" t="n">
        <v>17</v>
      </c>
      <c r="D36" t="n">
        <v>0</v>
      </c>
      <c r="E36" t="n">
        <v>171</v>
      </c>
    </row>
    <row r="37">
      <c r="A37" t="s">
        <v>312</v>
      </c>
      <c r="B37" t="n">
        <v>-0.25</v>
      </c>
      <c r="C37" t="n">
        <v>157</v>
      </c>
      <c r="D37" t="n">
        <v>-0.25</v>
      </c>
      <c r="E37" t="n">
        <v>128</v>
      </c>
    </row>
    <row r="38">
      <c r="A38" t="s">
        <v>311</v>
      </c>
      <c r="B38" t="n">
        <v>-1.5</v>
      </c>
      <c r="C38" t="n">
        <v>0</v>
      </c>
      <c r="D38" t="n">
        <v>0</v>
      </c>
      <c r="E38" t="n">
        <v>5</v>
      </c>
    </row>
    <row r="39">
      <c r="A39" t="s">
        <v>311</v>
      </c>
      <c r="B39" t="n">
        <v>0</v>
      </c>
      <c r="C39" t="n">
        <v>100</v>
      </c>
      <c r="D39" t="n">
        <v>-0.5</v>
      </c>
      <c r="E39" t="n">
        <v>87</v>
      </c>
    </row>
    <row r="40">
      <c r="A40" t="s">
        <v>312</v>
      </c>
      <c r="B40" t="n">
        <v>-0.75</v>
      </c>
      <c r="C40" t="n">
        <v>13</v>
      </c>
      <c r="D40" t="n">
        <v>0</v>
      </c>
      <c r="E40" t="n">
        <v>9</v>
      </c>
    </row>
    <row r="41">
      <c r="A41" t="s">
        <v>311</v>
      </c>
      <c r="B41" t="n">
        <v>0</v>
      </c>
      <c r="C41" t="n">
        <v>158</v>
      </c>
      <c r="D41" t="n">
        <v>-0.25</v>
      </c>
      <c r="E41" t="n">
        <v>5</v>
      </c>
    </row>
    <row r="42">
      <c r="A42" t="s">
        <v>312</v>
      </c>
      <c r="B42" t="n">
        <v>-1.75</v>
      </c>
      <c r="C42" t="n">
        <v>104</v>
      </c>
      <c r="D42" t="n">
        <v>-0.25</v>
      </c>
      <c r="E42" t="n">
        <v>99</v>
      </c>
    </row>
    <row r="43">
      <c r="A43" t="s">
        <v>311</v>
      </c>
      <c r="B43" t="n">
        <v>-0.5</v>
      </c>
      <c r="C43" t="n">
        <v>38</v>
      </c>
      <c r="D43" t="n">
        <v>-0.5</v>
      </c>
      <c r="E43" t="n">
        <v>3</v>
      </c>
    </row>
    <row r="44">
      <c r="A44" t="s">
        <v>312</v>
      </c>
      <c r="B44" t="n">
        <v>-0.5</v>
      </c>
      <c r="C44" t="n">
        <v>179</v>
      </c>
      <c r="D44" t="n">
        <v>-0.75</v>
      </c>
      <c r="E44" t="n">
        <v>0</v>
      </c>
    </row>
    <row r="45">
      <c r="A45" t="s">
        <v>311</v>
      </c>
      <c r="B45" t="n">
        <v>-0.75</v>
      </c>
      <c r="C45" t="n">
        <v>21</v>
      </c>
      <c r="D45" t="n">
        <v>-0.5</v>
      </c>
      <c r="E45" t="n">
        <v>28</v>
      </c>
    </row>
    <row r="46">
      <c r="A46" t="s">
        <v>312</v>
      </c>
      <c r="B46" t="n">
        <v>-1</v>
      </c>
      <c r="C46" t="n">
        <v>77</v>
      </c>
      <c r="D46" t="n">
        <v>0</v>
      </c>
      <c r="E46" t="n">
        <v>72</v>
      </c>
    </row>
    <row r="47">
      <c r="A47" t="s">
        <v>311</v>
      </c>
      <c r="B47" t="n">
        <v>-0.25</v>
      </c>
      <c r="C47" t="n">
        <v>85</v>
      </c>
      <c r="D47" t="n">
        <v>-0.25</v>
      </c>
      <c r="E47" t="n">
        <v>78</v>
      </c>
    </row>
    <row r="48">
      <c r="A48" t="s">
        <v>312</v>
      </c>
      <c r="B48" t="n">
        <v>-2.5</v>
      </c>
      <c r="C48" t="n">
        <v>104</v>
      </c>
      <c r="D48" t="n">
        <v>-0.25</v>
      </c>
      <c r="E48" t="n">
        <v>105</v>
      </c>
    </row>
    <row r="49">
      <c r="A49" t="s">
        <v>311</v>
      </c>
      <c r="B49" t="n">
        <v>-0.25</v>
      </c>
      <c r="C49" t="n">
        <v>2</v>
      </c>
      <c r="D49" t="n">
        <v>0</v>
      </c>
      <c r="E49" t="n">
        <v>82</v>
      </c>
    </row>
    <row r="50">
      <c r="A50" t="s">
        <v>312</v>
      </c>
      <c r="B50" t="n">
        <v>-0.25</v>
      </c>
      <c r="C50" t="n">
        <v>10</v>
      </c>
      <c r="D50" t="n">
        <v>-0.25</v>
      </c>
      <c r="E50" t="n">
        <v>172</v>
      </c>
    </row>
    <row r="51">
      <c r="A51" t="s">
        <v>311</v>
      </c>
      <c r="B51" t="n">
        <v>0</v>
      </c>
      <c r="C51" t="n">
        <v>78</v>
      </c>
      <c r="D51" t="n">
        <v>-0.25</v>
      </c>
      <c r="E51" t="n">
        <v>64</v>
      </c>
    </row>
    <row r="52">
      <c r="A52" t="s">
        <v>312</v>
      </c>
      <c r="B52" t="n">
        <v>-0.5</v>
      </c>
      <c r="C52" t="n">
        <v>87</v>
      </c>
      <c r="D52" t="n">
        <v>-0.25</v>
      </c>
      <c r="E52" t="n">
        <v>90</v>
      </c>
    </row>
    <row r="53">
      <c r="A53" t="s">
        <v>311</v>
      </c>
      <c r="B53" t="n">
        <v>-1.25</v>
      </c>
      <c r="C53" t="n">
        <v>165</v>
      </c>
      <c r="D53" t="n">
        <v>-0.25</v>
      </c>
      <c r="E53" t="n">
        <v>156</v>
      </c>
    </row>
    <row r="54">
      <c r="A54" t="s">
        <v>311</v>
      </c>
      <c r="B54" t="n">
        <v>-1.25</v>
      </c>
      <c r="C54" t="n">
        <v>13</v>
      </c>
      <c r="D54" t="n">
        <v>-0.5</v>
      </c>
      <c r="E54" t="n">
        <v>164</v>
      </c>
    </row>
    <row r="55">
      <c r="A55" t="s">
        <v>312</v>
      </c>
      <c r="B55" t="n">
        <v>0</v>
      </c>
      <c r="C55" t="n">
        <v>84</v>
      </c>
      <c r="D55" t="n">
        <v>-0.25</v>
      </c>
      <c r="E55" t="n">
        <v>161</v>
      </c>
    </row>
    <row r="56">
      <c r="A56" t="s">
        <v>311</v>
      </c>
      <c r="B56" t="n">
        <v>-1</v>
      </c>
      <c r="C56" t="n">
        <v>176</v>
      </c>
      <c r="D56" t="n">
        <v>-0.25</v>
      </c>
      <c r="E56" t="n">
        <v>31</v>
      </c>
    </row>
    <row r="57">
      <c r="A57" t="s">
        <v>312</v>
      </c>
      <c r="B57" t="n">
        <v>-2.75</v>
      </c>
      <c r="C57" t="n">
        <v>8</v>
      </c>
      <c r="D57" t="n">
        <v>-0.25</v>
      </c>
      <c r="E57" t="n">
        <v>177</v>
      </c>
    </row>
    <row r="58">
      <c r="A58" t="s">
        <v>311</v>
      </c>
      <c r="B58" t="n">
        <v>0</v>
      </c>
      <c r="C58" t="n">
        <v>174</v>
      </c>
      <c r="D58" t="n">
        <v>-0.25</v>
      </c>
      <c r="E58" t="n">
        <v>116</v>
      </c>
    </row>
    <row r="59">
      <c r="A59" t="s">
        <v>311</v>
      </c>
      <c r="B59" t="n">
        <v>-0.75</v>
      </c>
      <c r="C59" t="n">
        <v>103</v>
      </c>
      <c r="D59" t="n">
        <v>0</v>
      </c>
      <c r="E59" t="n">
        <v>88</v>
      </c>
    </row>
    <row r="60">
      <c r="A60" t="s">
        <v>312</v>
      </c>
      <c r="B60" t="n">
        <v>0</v>
      </c>
      <c r="C60" t="n">
        <v>78</v>
      </c>
      <c r="D60" t="n">
        <v>0</v>
      </c>
      <c r="E60" t="n">
        <v>88</v>
      </c>
    </row>
    <row r="61">
      <c r="A61" t="s">
        <v>312</v>
      </c>
      <c r="B61" t="n">
        <v>-0.5</v>
      </c>
      <c r="C61" t="n">
        <v>2</v>
      </c>
      <c r="D61" t="n">
        <v>-0.25</v>
      </c>
      <c r="E61" t="n">
        <v>0</v>
      </c>
    </row>
    <row r="62">
      <c r="A62" t="s">
        <v>311</v>
      </c>
      <c r="B62" t="n">
        <v>-0.75</v>
      </c>
      <c r="C62" t="n">
        <v>81</v>
      </c>
      <c r="D62" t="n">
        <v>-0.5</v>
      </c>
      <c r="E62" t="n">
        <v>85</v>
      </c>
    </row>
    <row r="63">
      <c r="A63" t="s">
        <v>312</v>
      </c>
      <c r="B63" t="n">
        <v>-1.5</v>
      </c>
      <c r="C63" t="n">
        <v>165</v>
      </c>
      <c r="D63" t="n">
        <v>-0.5</v>
      </c>
      <c r="E63" t="n">
        <v>179</v>
      </c>
    </row>
    <row r="64">
      <c r="A64" t="s">
        <v>312</v>
      </c>
      <c r="B64" t="n">
        <v>-1.25</v>
      </c>
      <c r="C64" t="n">
        <v>102</v>
      </c>
      <c r="D64" t="n">
        <v>-0.5</v>
      </c>
      <c r="E64" t="n">
        <v>100</v>
      </c>
    </row>
    <row r="65">
      <c r="A65" t="s">
        <v>311</v>
      </c>
      <c r="B65" t="n">
        <v>-0.5</v>
      </c>
      <c r="C65" t="n">
        <v>18</v>
      </c>
      <c r="D65" t="n">
        <v>-0.25</v>
      </c>
      <c r="E65" t="n">
        <v>166</v>
      </c>
    </row>
    <row r="66">
      <c r="A66" t="s">
        <v>312</v>
      </c>
      <c r="B66" t="n">
        <v>-1</v>
      </c>
      <c r="C66" t="n">
        <v>176</v>
      </c>
      <c r="D66" t="n">
        <v>-0.25</v>
      </c>
      <c r="E66" t="n">
        <v>21</v>
      </c>
    </row>
    <row r="67">
      <c r="A67" t="s">
        <v>311</v>
      </c>
      <c r="B67" t="n">
        <v>-0.5</v>
      </c>
      <c r="C67" t="n">
        <v>167</v>
      </c>
      <c r="D67" t="n">
        <v>0</v>
      </c>
      <c r="E67" t="n">
        <v>64</v>
      </c>
    </row>
    <row r="68">
      <c r="A68" t="s">
        <v>311</v>
      </c>
      <c r="B68" t="n">
        <v>0</v>
      </c>
      <c r="C68" t="n">
        <v>178</v>
      </c>
      <c r="D68" t="n">
        <v>-0.25</v>
      </c>
      <c r="E68" t="n">
        <v>41</v>
      </c>
    </row>
    <row r="69">
      <c r="A69" t="s">
        <v>312</v>
      </c>
      <c r="B69" t="n">
        <v>-1</v>
      </c>
      <c r="C69" t="n">
        <v>18</v>
      </c>
      <c r="D69" t="n">
        <v>-0.25</v>
      </c>
      <c r="E69" t="n">
        <v>174</v>
      </c>
    </row>
    <row r="70">
      <c r="A70" t="s">
        <v>311</v>
      </c>
      <c r="B70" t="n">
        <v>-1</v>
      </c>
      <c r="C70" t="n">
        <v>161</v>
      </c>
      <c r="D70" t="n">
        <v>-0.25</v>
      </c>
      <c r="E70" t="n">
        <v>100</v>
      </c>
    </row>
    <row r="71">
      <c r="A71" t="s">
        <v>312</v>
      </c>
      <c r="B71" t="n">
        <v>-2.75</v>
      </c>
      <c r="C71" t="n">
        <v>20</v>
      </c>
      <c r="D71" t="n">
        <v>0</v>
      </c>
      <c r="E71" t="n">
        <v>26</v>
      </c>
    </row>
    <row r="72">
      <c r="A72" t="s">
        <v>311</v>
      </c>
      <c r="B72" t="n">
        <v>-0.5</v>
      </c>
      <c r="C72" t="n">
        <v>12</v>
      </c>
      <c r="D72" t="n">
        <v>-0.25</v>
      </c>
      <c r="E72" t="n">
        <v>54</v>
      </c>
    </row>
    <row r="73">
      <c r="A73" t="s">
        <v>312</v>
      </c>
      <c r="B73" t="n">
        <v>-0.25</v>
      </c>
      <c r="C73" t="n">
        <v>37</v>
      </c>
      <c r="D73" t="n">
        <v>-0.25</v>
      </c>
      <c r="E73" t="n">
        <v>48</v>
      </c>
    </row>
    <row r="74">
      <c r="A74" t="s">
        <v>311</v>
      </c>
      <c r="B74" t="n">
        <v>-1</v>
      </c>
      <c r="C74" t="n">
        <v>12</v>
      </c>
      <c r="D74" t="n">
        <v>-0.25</v>
      </c>
      <c r="E74" t="n">
        <v>32</v>
      </c>
    </row>
    <row r="75">
      <c r="A75" t="s">
        <v>311</v>
      </c>
      <c r="B75" t="n">
        <v>-0.75</v>
      </c>
      <c r="C75" t="n">
        <v>180</v>
      </c>
      <c r="D75" t="n">
        <v>-0.5</v>
      </c>
      <c r="E75" t="n">
        <v>167</v>
      </c>
    </row>
    <row r="76">
      <c r="A76" t="s">
        <v>312</v>
      </c>
      <c r="B76" t="n">
        <v>-0.5</v>
      </c>
      <c r="C76" t="n">
        <v>103</v>
      </c>
      <c r="D76" t="n">
        <v>-0.25</v>
      </c>
      <c r="E76" t="n">
        <v>89</v>
      </c>
    </row>
    <row r="77">
      <c r="A77" t="s">
        <v>311</v>
      </c>
      <c r="B77" t="n">
        <v>-0.25</v>
      </c>
      <c r="C77" t="n">
        <v>78</v>
      </c>
      <c r="D77" t="n">
        <v>-0.25</v>
      </c>
      <c r="E77" t="n">
        <v>78</v>
      </c>
    </row>
    <row r="78">
      <c r="A78" t="s">
        <v>312</v>
      </c>
      <c r="B78" t="n">
        <v>-0.5</v>
      </c>
      <c r="C78" t="n">
        <v>12</v>
      </c>
      <c r="D78" t="n">
        <v>-0.25</v>
      </c>
      <c r="E78" t="n">
        <v>5</v>
      </c>
    </row>
    <row r="79">
      <c r="A79" t="s">
        <v>311</v>
      </c>
      <c r="B79" t="n">
        <v>-0.25</v>
      </c>
      <c r="C79" t="n">
        <v>21</v>
      </c>
      <c r="D79" t="n">
        <v>-0.25</v>
      </c>
      <c r="E79" t="n">
        <v>35</v>
      </c>
    </row>
    <row r="80">
      <c r="A80" t="s">
        <v>312</v>
      </c>
      <c r="B80" t="n">
        <v>-0.25</v>
      </c>
      <c r="C80" t="n">
        <v>169</v>
      </c>
      <c r="D80" t="n">
        <v>0</v>
      </c>
      <c r="E80" t="n">
        <v>82</v>
      </c>
    </row>
    <row r="81">
      <c r="A81" t="s">
        <v>311</v>
      </c>
      <c r="B81" t="n">
        <v>-0.25</v>
      </c>
      <c r="C81" t="n">
        <v>12</v>
      </c>
      <c r="D81" t="n">
        <v>-0.25</v>
      </c>
      <c r="E81" t="n">
        <v>3</v>
      </c>
    </row>
    <row r="82">
      <c r="A82" t="s">
        <v>312</v>
      </c>
      <c r="B82" t="n">
        <v>-0.75</v>
      </c>
      <c r="C82" t="n">
        <v>77</v>
      </c>
      <c r="D82" t="n">
        <v>-0.25</v>
      </c>
      <c r="E82" t="n">
        <v>117</v>
      </c>
    </row>
    <row r="83">
      <c r="A83" t="s">
        <v>311</v>
      </c>
      <c r="B83" t="n">
        <v>-0.75</v>
      </c>
      <c r="C83" t="n">
        <v>7</v>
      </c>
      <c r="D83" t="n">
        <v>0</v>
      </c>
      <c r="E83" t="n">
        <v>13</v>
      </c>
    </row>
    <row r="84">
      <c r="A84" t="s">
        <v>312</v>
      </c>
      <c r="B84" t="n">
        <v>-0.5</v>
      </c>
      <c r="C84" t="n">
        <v>12</v>
      </c>
      <c r="D84" t="n">
        <v>-0.25</v>
      </c>
      <c r="E84" t="n">
        <v>17</v>
      </c>
    </row>
    <row r="85">
      <c r="A85" t="s">
        <v>311</v>
      </c>
      <c r="B85" t="n">
        <v>-0.5</v>
      </c>
      <c r="C85" t="n">
        <v>156</v>
      </c>
      <c r="D85" t="n">
        <v>-0.5</v>
      </c>
      <c r="E85" t="n">
        <v>1</v>
      </c>
    </row>
    <row r="86">
      <c r="A86" t="s">
        <v>312</v>
      </c>
      <c r="B86" t="n">
        <v>-0.5</v>
      </c>
      <c r="C86" t="n">
        <v>174</v>
      </c>
      <c r="D86" t="n">
        <v>-0.25</v>
      </c>
      <c r="E86" t="n">
        <v>9</v>
      </c>
    </row>
    <row r="87">
      <c r="A87" t="s">
        <v>311</v>
      </c>
      <c r="B87" t="n">
        <v>-1</v>
      </c>
      <c r="C87" t="n">
        <v>59</v>
      </c>
      <c r="D87" t="n">
        <v>-0.5</v>
      </c>
      <c r="E87" t="n">
        <v>84</v>
      </c>
    </row>
    <row r="88">
      <c r="A88" t="s">
        <v>312</v>
      </c>
      <c r="B88" t="n">
        <v>-0.5</v>
      </c>
      <c r="C88" t="n">
        <v>76</v>
      </c>
      <c r="D88" t="n">
        <v>-0.25</v>
      </c>
      <c r="E88" t="n">
        <v>50</v>
      </c>
    </row>
    <row r="89">
      <c r="A89" t="s">
        <v>311</v>
      </c>
      <c r="B89" t="n">
        <v>0</v>
      </c>
      <c r="C89" t="n">
        <v>179</v>
      </c>
      <c r="D89" t="n">
        <v>0</v>
      </c>
      <c r="E89" t="n">
        <v>20</v>
      </c>
    </row>
    <row r="90">
      <c r="A90" t="s">
        <v>312</v>
      </c>
      <c r="B90" t="n">
        <v>-0.25</v>
      </c>
      <c r="C90" t="n">
        <v>100</v>
      </c>
      <c r="D90" t="n">
        <v>-0.25</v>
      </c>
      <c r="E90" t="n">
        <v>102</v>
      </c>
    </row>
    <row r="91">
      <c r="A91" t="s">
        <v>311</v>
      </c>
      <c r="B91" t="n">
        <v>-0.75</v>
      </c>
      <c r="C91" t="n">
        <v>172</v>
      </c>
      <c r="D91" t="n">
        <v>-0.25</v>
      </c>
      <c r="E91" t="n">
        <v>159</v>
      </c>
    </row>
    <row r="92">
      <c r="A92" t="s">
        <v>312</v>
      </c>
      <c r="B92" t="n">
        <v>-0.5</v>
      </c>
      <c r="C92" t="n">
        <v>1</v>
      </c>
      <c r="D92" t="n">
        <v>-0.25</v>
      </c>
      <c r="E92" t="n">
        <v>148</v>
      </c>
    </row>
    <row r="93">
      <c r="A93" t="s">
        <v>312</v>
      </c>
      <c r="B93" t="n">
        <v>0</v>
      </c>
      <c r="C93" t="n">
        <v>22</v>
      </c>
      <c r="D93" t="n">
        <v>-0.25</v>
      </c>
      <c r="E93" t="n">
        <v>97</v>
      </c>
    </row>
    <row r="94">
      <c r="A94" t="s">
        <v>311</v>
      </c>
      <c r="B94" t="n">
        <v>0</v>
      </c>
      <c r="C94" t="n">
        <v>87</v>
      </c>
      <c r="D94" t="n">
        <v>-0.25</v>
      </c>
      <c r="E94" t="n">
        <v>160</v>
      </c>
    </row>
    <row r="95">
      <c r="A95" t="s">
        <v>311</v>
      </c>
      <c r="B95" t="n">
        <v>-0.25</v>
      </c>
      <c r="C95" t="n">
        <v>177</v>
      </c>
      <c r="D95" t="n">
        <v>-0.25</v>
      </c>
      <c r="E95" t="n">
        <v>161</v>
      </c>
    </row>
    <row r="96">
      <c r="A96" t="s">
        <v>312</v>
      </c>
      <c r="B96" t="n">
        <v>0</v>
      </c>
      <c r="C96" t="n">
        <v>92</v>
      </c>
      <c r="D96" t="n">
        <v>0</v>
      </c>
      <c r="E96" t="n">
        <v>108</v>
      </c>
    </row>
    <row r="97">
      <c r="A97" t="s">
        <v>311</v>
      </c>
      <c r="B97" t="n">
        <v>-0.25</v>
      </c>
      <c r="C97" t="n">
        <v>84</v>
      </c>
      <c r="D97" t="n">
        <v>0</v>
      </c>
      <c r="E97" t="n">
        <v>66</v>
      </c>
    </row>
    <row r="98">
      <c r="A98" t="s">
        <v>311</v>
      </c>
      <c r="B98" t="n">
        <v>-2</v>
      </c>
      <c r="C98" t="n">
        <v>39</v>
      </c>
      <c r="D98" t="n">
        <v>-0.25</v>
      </c>
      <c r="E98" t="n">
        <v>32</v>
      </c>
    </row>
    <row r="99">
      <c r="A99" t="s">
        <v>312</v>
      </c>
      <c r="B99" t="n">
        <v>-1.25</v>
      </c>
      <c r="C99" t="n">
        <v>33</v>
      </c>
      <c r="D99" t="n">
        <v>0</v>
      </c>
      <c r="E99" t="n">
        <v>20</v>
      </c>
    </row>
    <row r="100">
      <c r="A100" t="s">
        <v>311</v>
      </c>
      <c r="B100" t="n">
        <v>-0.75</v>
      </c>
      <c r="C100" t="n">
        <v>171</v>
      </c>
      <c r="D100" t="n">
        <v>0</v>
      </c>
      <c r="E100" t="n">
        <v>11</v>
      </c>
    </row>
    <row r="101">
      <c r="A101" t="s">
        <v>311</v>
      </c>
      <c r="B101" t="n">
        <v>-0.5</v>
      </c>
      <c r="C101" t="n">
        <v>77</v>
      </c>
      <c r="D101" t="n">
        <v>-0.25</v>
      </c>
      <c r="E101" t="n">
        <v>67</v>
      </c>
    </row>
    <row r="102">
      <c r="A102" t="s">
        <v>312</v>
      </c>
      <c r="B102" t="n">
        <v>-0.25</v>
      </c>
      <c r="C102" t="n">
        <v>140</v>
      </c>
      <c r="D102" t="n">
        <v>-0.25</v>
      </c>
      <c r="E102" t="n">
        <v>142</v>
      </c>
    </row>
    <row r="103">
      <c r="A103" t="s">
        <v>311</v>
      </c>
      <c r="B103" t="n">
        <v>-0.5</v>
      </c>
      <c r="C103" t="n">
        <v>170</v>
      </c>
      <c r="D103" t="n">
        <v>-0.25</v>
      </c>
      <c r="E103" t="n">
        <v>172</v>
      </c>
    </row>
    <row r="104">
      <c r="A104" t="s">
        <v>312</v>
      </c>
      <c r="B104" t="n">
        <v>-1</v>
      </c>
      <c r="C104" t="n">
        <v>56</v>
      </c>
      <c r="D104" t="n">
        <v>0</v>
      </c>
      <c r="E104" t="n">
        <v>53</v>
      </c>
    </row>
    <row r="105">
      <c r="A105" t="s">
        <v>311</v>
      </c>
      <c r="B105" t="n">
        <v>-0.5</v>
      </c>
      <c r="C105" t="n">
        <v>103</v>
      </c>
      <c r="D105" t="n">
        <v>0</v>
      </c>
      <c r="E105" t="n">
        <v>27</v>
      </c>
    </row>
    <row r="106">
      <c r="A106" t="s">
        <v>312</v>
      </c>
      <c r="B106" t="n">
        <v>-1</v>
      </c>
      <c r="C106" t="n">
        <v>101</v>
      </c>
      <c r="D106" t="n">
        <v>0</v>
      </c>
      <c r="E106" t="n">
        <v>32</v>
      </c>
    </row>
    <row r="107">
      <c r="A107" t="s">
        <v>312</v>
      </c>
      <c r="B107" t="n">
        <v>0</v>
      </c>
      <c r="C107" t="n">
        <v>155</v>
      </c>
      <c r="D107" t="n">
        <v>-0.25</v>
      </c>
      <c r="E107" t="n">
        <v>161</v>
      </c>
    </row>
    <row r="108">
      <c r="A108" t="s">
        <v>312</v>
      </c>
      <c r="B108" t="n">
        <v>-2</v>
      </c>
      <c r="C108" t="n">
        <v>170</v>
      </c>
      <c r="D108" t="n">
        <v>0</v>
      </c>
      <c r="E108" t="n">
        <v>164</v>
      </c>
    </row>
    <row r="109">
      <c r="A109" t="s">
        <v>311</v>
      </c>
      <c r="B109" t="n">
        <v>-0.5</v>
      </c>
      <c r="C109" t="n">
        <v>103</v>
      </c>
      <c r="D109" t="n">
        <v>-0.25</v>
      </c>
      <c r="E109" t="n">
        <v>103</v>
      </c>
    </row>
    <row r="110">
      <c r="A110" t="s">
        <v>312</v>
      </c>
      <c r="B110" t="n">
        <v>-0.75</v>
      </c>
      <c r="C110" t="n">
        <v>97</v>
      </c>
      <c r="D110" t="n">
        <v>0</v>
      </c>
      <c r="E110" t="n">
        <v>71</v>
      </c>
    </row>
    <row r="111">
      <c r="A111" t="s">
        <v>311</v>
      </c>
      <c r="B111" t="n">
        <v>-1.75</v>
      </c>
      <c r="C111" t="n">
        <v>178</v>
      </c>
      <c r="D111" t="n">
        <v>-0.25</v>
      </c>
      <c r="E111" t="n">
        <v>147</v>
      </c>
    </row>
    <row r="112">
      <c r="A112" t="s">
        <v>312</v>
      </c>
      <c r="B112" t="n">
        <v>-1</v>
      </c>
      <c r="C112" t="n">
        <v>162</v>
      </c>
      <c r="D112" t="n">
        <v>-0.5</v>
      </c>
      <c r="E112" t="n">
        <v>12</v>
      </c>
    </row>
    <row r="113">
      <c r="A113" t="s">
        <v>311</v>
      </c>
      <c r="B113" t="n">
        <v>-0.75</v>
      </c>
      <c r="C113" t="n">
        <v>172</v>
      </c>
      <c r="D113" t="n">
        <v>-0.25</v>
      </c>
      <c r="E113" t="n">
        <v>168</v>
      </c>
    </row>
    <row r="114">
      <c r="A114" t="s">
        <v>311</v>
      </c>
      <c r="B114" t="n">
        <v>0</v>
      </c>
      <c r="C114" t="n">
        <v>10</v>
      </c>
      <c r="D114" t="n">
        <v>0</v>
      </c>
      <c r="E114" t="n">
        <v>141</v>
      </c>
    </row>
  </sheetData>
  <pageMargins left="0.7" right="0.7" top="0.75" bottom="0.75" header="0.3" footer="0.3"/>
  <pageSetup paperSize="9" orientation="portrait" horizontalDpi="300" verticalDpi="300" r:id="rId2"/>
  <tableParts count="1">
    <tablePart r:id="rId4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306</v>
      </c>
      <c r="B1" t="s">
        <v>307</v>
      </c>
      <c r="C1" t="s">
        <v>308</v>
      </c>
      <c r="D1" t="s">
        <v>309</v>
      </c>
      <c r="E1" t="s">
        <v>310</v>
      </c>
    </row>
    <row r="2">
      <c r="A2" t="s">
        <v>312</v>
      </c>
      <c r="B2" t="n">
        <v>-0.5</v>
      </c>
      <c r="C2" t="n">
        <v>23</v>
      </c>
      <c r="D2" t="n">
        <v>-0.25</v>
      </c>
      <c r="E2" t="n">
        <v>33</v>
      </c>
    </row>
    <row r="3">
      <c r="A3" t="s">
        <v>311</v>
      </c>
      <c r="B3" t="n">
        <v>0</v>
      </c>
      <c r="C3" t="n">
        <v>113</v>
      </c>
      <c r="D3" t="n">
        <v>0</v>
      </c>
      <c r="E3" t="n">
        <v>81</v>
      </c>
    </row>
    <row r="4">
      <c r="A4" t="s">
        <v>311</v>
      </c>
      <c r="B4" t="n">
        <v>0</v>
      </c>
      <c r="C4" t="n">
        <v>59</v>
      </c>
      <c r="D4" t="n">
        <v>0</v>
      </c>
      <c r="E4" t="n">
        <v>96</v>
      </c>
    </row>
    <row r="5">
      <c r="A5" t="s">
        <v>312</v>
      </c>
      <c r="B5" t="n">
        <v>-1.25</v>
      </c>
      <c r="C5" t="n">
        <v>85</v>
      </c>
      <c r="D5" t="n">
        <v>-0.5</v>
      </c>
      <c r="E5" t="n">
        <v>46</v>
      </c>
    </row>
    <row r="6">
      <c r="A6" t="s">
        <v>311</v>
      </c>
      <c r="B6" t="n">
        <v>-0.25</v>
      </c>
      <c r="C6" t="n">
        <v>101</v>
      </c>
      <c r="D6" t="n">
        <v>-0.5</v>
      </c>
      <c r="E6" t="n">
        <v>103</v>
      </c>
    </row>
    <row r="7">
      <c r="A7" t="s">
        <v>312</v>
      </c>
      <c r="B7" t="n">
        <v>-1</v>
      </c>
      <c r="C7" t="n">
        <v>88</v>
      </c>
      <c r="D7" t="n">
        <v>-0.25</v>
      </c>
      <c r="E7" t="n">
        <v>90</v>
      </c>
    </row>
    <row r="8">
      <c r="A8" t="s">
        <v>311</v>
      </c>
      <c r="B8" t="n">
        <v>-0.75</v>
      </c>
      <c r="C8" t="n">
        <v>1</v>
      </c>
      <c r="D8" t="n">
        <v>0</v>
      </c>
      <c r="E8" t="n">
        <v>168</v>
      </c>
    </row>
    <row r="9">
      <c r="A9" t="s">
        <v>312</v>
      </c>
      <c r="B9" t="n">
        <v>0</v>
      </c>
      <c r="C9" t="n">
        <v>15</v>
      </c>
      <c r="D9" t="n">
        <v>-0.25</v>
      </c>
      <c r="E9" t="n">
        <v>17</v>
      </c>
    </row>
    <row r="10">
      <c r="A10" t="s">
        <v>311</v>
      </c>
      <c r="B10" t="n">
        <v>-0.5</v>
      </c>
      <c r="C10" t="n">
        <v>105</v>
      </c>
      <c r="D10" t="n">
        <v>-0.25</v>
      </c>
      <c r="E10" t="n">
        <v>108</v>
      </c>
    </row>
    <row r="11">
      <c r="A11" t="s">
        <v>312</v>
      </c>
      <c r="B11" t="n">
        <v>-0.75</v>
      </c>
      <c r="C11" t="n">
        <v>94</v>
      </c>
      <c r="D11" t="n">
        <v>0</v>
      </c>
      <c r="E11" t="n">
        <v>134</v>
      </c>
    </row>
    <row r="12">
      <c r="A12" t="s">
        <v>311</v>
      </c>
      <c r="B12" t="n">
        <v>-0.75</v>
      </c>
      <c r="C12" t="n">
        <v>14</v>
      </c>
      <c r="D12" t="n">
        <v>-0.25</v>
      </c>
      <c r="E12" t="n">
        <v>3</v>
      </c>
    </row>
    <row r="13">
      <c r="A13" t="s">
        <v>312</v>
      </c>
      <c r="B13" t="n">
        <v>0</v>
      </c>
      <c r="C13" t="n">
        <v>103</v>
      </c>
      <c r="D13" t="n">
        <v>0</v>
      </c>
      <c r="E13" t="n">
        <v>71</v>
      </c>
    </row>
    <row r="14">
      <c r="A14" t="s">
        <v>311</v>
      </c>
      <c r="B14" t="n">
        <v>0</v>
      </c>
      <c r="C14" t="n">
        <v>102</v>
      </c>
      <c r="D14" t="n">
        <v>0</v>
      </c>
      <c r="E14" t="n">
        <v>114</v>
      </c>
    </row>
    <row r="15">
      <c r="A15" t="s">
        <v>312</v>
      </c>
      <c r="B15" t="n">
        <v>-0.25</v>
      </c>
      <c r="C15" t="n">
        <v>104</v>
      </c>
      <c r="D15" t="n">
        <v>-0.25</v>
      </c>
      <c r="E15" t="n">
        <v>106</v>
      </c>
    </row>
    <row r="16">
      <c r="A16" t="s">
        <v>311</v>
      </c>
      <c r="B16" t="n">
        <v>-0.25</v>
      </c>
      <c r="C16" t="n">
        <v>22</v>
      </c>
      <c r="D16" t="n">
        <v>-0.25</v>
      </c>
      <c r="E16" t="n">
        <v>41</v>
      </c>
    </row>
    <row r="17">
      <c r="A17" t="s">
        <v>312</v>
      </c>
      <c r="B17" t="n">
        <v>-1.25</v>
      </c>
      <c r="C17" t="n">
        <v>139</v>
      </c>
      <c r="D17" t="n">
        <v>-0.25</v>
      </c>
      <c r="E17" t="n">
        <v>157</v>
      </c>
    </row>
    <row r="18">
      <c r="A18" t="s">
        <v>311</v>
      </c>
      <c r="B18" t="n">
        <v>-0.75</v>
      </c>
      <c r="C18" t="n">
        <v>98</v>
      </c>
      <c r="D18" t="n">
        <v>-0.25</v>
      </c>
      <c r="E18" t="n">
        <v>87</v>
      </c>
    </row>
    <row r="19">
      <c r="A19" t="s">
        <v>312</v>
      </c>
      <c r="B19" t="n">
        <v>-0.25</v>
      </c>
      <c r="C19" t="n">
        <v>155</v>
      </c>
      <c r="D19" t="n">
        <v>-0.25</v>
      </c>
      <c r="E19" t="n">
        <v>160</v>
      </c>
    </row>
    <row r="20">
      <c r="A20" t="s">
        <v>311</v>
      </c>
      <c r="B20" t="n">
        <v>-0.75</v>
      </c>
      <c r="C20" t="n">
        <v>157</v>
      </c>
      <c r="D20" t="n">
        <v>0</v>
      </c>
      <c r="E20" t="n">
        <v>74</v>
      </c>
    </row>
    <row r="21">
      <c r="A21" t="s">
        <v>312</v>
      </c>
      <c r="B21" t="n">
        <v>-0.25</v>
      </c>
      <c r="C21" t="n">
        <v>42</v>
      </c>
      <c r="D21" t="n">
        <v>0</v>
      </c>
      <c r="E21" t="n">
        <v>46</v>
      </c>
    </row>
    <row r="22">
      <c r="A22" t="s">
        <v>311</v>
      </c>
      <c r="B22" t="n">
        <v>-1</v>
      </c>
      <c r="C22" t="n">
        <v>86</v>
      </c>
      <c r="D22" t="n">
        <v>0</v>
      </c>
      <c r="E22" t="n">
        <v>125</v>
      </c>
    </row>
    <row r="23">
      <c r="A23" t="s">
        <v>312</v>
      </c>
      <c r="B23" t="n">
        <v>-0.25</v>
      </c>
      <c r="C23" t="n">
        <v>4</v>
      </c>
      <c r="D23" t="n">
        <v>-0.25</v>
      </c>
      <c r="E23" t="n">
        <v>21</v>
      </c>
    </row>
    <row r="24">
      <c r="A24" t="s">
        <v>311</v>
      </c>
      <c r="B24" t="n">
        <v>-0.25</v>
      </c>
      <c r="C24" t="n">
        <v>101</v>
      </c>
      <c r="D24" t="n">
        <v>-0.25</v>
      </c>
      <c r="E24" t="n">
        <v>125</v>
      </c>
    </row>
    <row r="25">
      <c r="A25" t="s">
        <v>312</v>
      </c>
      <c r="B25" t="n">
        <v>-0.75</v>
      </c>
      <c r="C25" t="n">
        <v>174</v>
      </c>
      <c r="D25" t="n">
        <v>-0.5</v>
      </c>
      <c r="E25" t="n">
        <v>17</v>
      </c>
    </row>
    <row r="26">
      <c r="A26" t="s">
        <v>311</v>
      </c>
      <c r="B26" t="n">
        <v>-0.75</v>
      </c>
      <c r="C26" t="n">
        <v>87</v>
      </c>
      <c r="D26" t="n">
        <v>-0.25</v>
      </c>
      <c r="E26" t="n">
        <v>89</v>
      </c>
    </row>
    <row r="27">
      <c r="A27" t="s">
        <v>312</v>
      </c>
      <c r="B27" t="n">
        <v>-0.5</v>
      </c>
      <c r="C27" t="n">
        <v>171</v>
      </c>
      <c r="D27" t="n">
        <v>-0.25</v>
      </c>
      <c r="E27" t="n">
        <v>168</v>
      </c>
    </row>
    <row r="28">
      <c r="A28" t="s">
        <v>311</v>
      </c>
      <c r="B28" t="n">
        <v>-0.25</v>
      </c>
      <c r="C28" t="n">
        <v>81</v>
      </c>
      <c r="D28" t="n">
        <v>0</v>
      </c>
      <c r="E28" t="n">
        <v>173</v>
      </c>
    </row>
    <row r="29">
      <c r="A29" t="s">
        <v>311</v>
      </c>
      <c r="B29" t="n">
        <v>-0.5</v>
      </c>
      <c r="C29" t="n">
        <v>32</v>
      </c>
      <c r="D29" t="n">
        <v>0</v>
      </c>
      <c r="E29" t="n">
        <v>36</v>
      </c>
    </row>
    <row r="30">
      <c r="A30" t="s">
        <v>312</v>
      </c>
      <c r="B30" t="n">
        <v>-0.5</v>
      </c>
      <c r="C30" t="n">
        <v>97</v>
      </c>
      <c r="D30" t="n">
        <v>-0.25</v>
      </c>
      <c r="E30" t="n">
        <v>81</v>
      </c>
    </row>
    <row r="31">
      <c r="A31" t="s">
        <v>311</v>
      </c>
      <c r="B31" t="n">
        <v>-0.5</v>
      </c>
      <c r="C31" t="n">
        <v>108</v>
      </c>
      <c r="D31" t="n">
        <v>-0.25</v>
      </c>
      <c r="E31" t="n">
        <v>123</v>
      </c>
    </row>
    <row r="32">
      <c r="A32" t="s">
        <v>311</v>
      </c>
      <c r="B32" t="n">
        <v>-0.5</v>
      </c>
      <c r="C32" t="n">
        <v>105</v>
      </c>
      <c r="D32" t="n">
        <v>-0.5</v>
      </c>
      <c r="E32" t="n">
        <v>57</v>
      </c>
    </row>
    <row r="33">
      <c r="A33" t="s">
        <v>312</v>
      </c>
      <c r="B33" t="n">
        <v>-1</v>
      </c>
      <c r="C33" t="n">
        <v>78</v>
      </c>
      <c r="D33" t="n">
        <v>-0.25</v>
      </c>
      <c r="E33" t="n">
        <v>94</v>
      </c>
    </row>
    <row r="34">
      <c r="A34" t="s">
        <v>312</v>
      </c>
      <c r="B34" t="n">
        <v>-0.75</v>
      </c>
      <c r="C34" t="n">
        <v>82</v>
      </c>
      <c r="D34" t="n">
        <v>-0.25</v>
      </c>
      <c r="E34" t="n">
        <v>88</v>
      </c>
    </row>
    <row r="35">
      <c r="A35" t="s">
        <v>311</v>
      </c>
      <c r="B35" t="n">
        <v>-0.25</v>
      </c>
      <c r="C35" t="n">
        <v>102</v>
      </c>
      <c r="D35" t="n">
        <v>-0.25</v>
      </c>
      <c r="E35" t="n">
        <v>122</v>
      </c>
    </row>
    <row r="36">
      <c r="A36" t="s">
        <v>312</v>
      </c>
      <c r="B36" t="n">
        <v>-0.25</v>
      </c>
      <c r="C36" t="n">
        <v>173</v>
      </c>
      <c r="D36" t="n">
        <v>-0.25</v>
      </c>
      <c r="E36" t="n">
        <v>4</v>
      </c>
    </row>
    <row r="37">
      <c r="A37" t="s">
        <v>312</v>
      </c>
      <c r="B37" t="n">
        <v>-0.25</v>
      </c>
      <c r="C37" t="n">
        <v>171</v>
      </c>
      <c r="D37" t="n">
        <v>-0.25</v>
      </c>
      <c r="E37" t="n">
        <v>167</v>
      </c>
    </row>
    <row r="38">
      <c r="A38" t="s">
        <v>312</v>
      </c>
      <c r="B38" t="n">
        <v>0</v>
      </c>
      <c r="C38" t="n">
        <v>0</v>
      </c>
      <c r="D38" t="n">
        <v>-0.5</v>
      </c>
      <c r="E38" t="n">
        <v>148</v>
      </c>
    </row>
    <row r="39">
      <c r="A39" t="s">
        <v>311</v>
      </c>
      <c r="B39" t="n">
        <v>-0.25</v>
      </c>
      <c r="C39" t="n">
        <v>160</v>
      </c>
      <c r="D39" t="n">
        <v>-0.25</v>
      </c>
      <c r="E39" t="n">
        <v>157</v>
      </c>
    </row>
    <row r="40">
      <c r="A40" t="s">
        <v>312</v>
      </c>
      <c r="B40" t="n">
        <v>0</v>
      </c>
      <c r="C40" t="n">
        <v>111</v>
      </c>
      <c r="D40" t="n">
        <v>-0.25</v>
      </c>
      <c r="E40" t="n">
        <v>40</v>
      </c>
    </row>
    <row r="41">
      <c r="A41" t="s">
        <v>311</v>
      </c>
      <c r="B41" t="n">
        <v>-1.25</v>
      </c>
      <c r="C41" t="n">
        <v>94</v>
      </c>
      <c r="D41" t="n">
        <v>0</v>
      </c>
      <c r="E41" t="n">
        <v>97</v>
      </c>
    </row>
    <row r="42">
      <c r="A42" t="s">
        <v>312</v>
      </c>
      <c r="B42" t="n">
        <v>0</v>
      </c>
      <c r="C42" t="n">
        <v>84</v>
      </c>
      <c r="D42" t="n">
        <v>0</v>
      </c>
      <c r="E42" t="n">
        <v>113</v>
      </c>
    </row>
    <row r="43">
      <c r="A43" t="s">
        <v>311</v>
      </c>
      <c r="B43" t="n">
        <v>-2</v>
      </c>
      <c r="C43" t="n">
        <v>176</v>
      </c>
      <c r="D43" t="n">
        <v>0</v>
      </c>
      <c r="E43" t="n">
        <v>0</v>
      </c>
    </row>
    <row r="44">
      <c r="A44" t="s">
        <v>312</v>
      </c>
      <c r="B44" t="n">
        <v>-0.25</v>
      </c>
      <c r="C44" t="n">
        <v>2</v>
      </c>
      <c r="D44" t="n">
        <v>-0.25</v>
      </c>
      <c r="E44" t="n">
        <v>26</v>
      </c>
    </row>
    <row r="45">
      <c r="A45" t="s">
        <v>311</v>
      </c>
      <c r="B45" t="n">
        <v>-0.5</v>
      </c>
      <c r="C45" t="n">
        <v>99</v>
      </c>
      <c r="D45" t="n">
        <v>0</v>
      </c>
      <c r="E45" t="n">
        <v>110</v>
      </c>
    </row>
    <row r="46">
      <c r="A46" t="s">
        <v>312</v>
      </c>
      <c r="B46" t="n">
        <v>-0.5</v>
      </c>
      <c r="C46" t="n">
        <v>165</v>
      </c>
      <c r="D46" t="n">
        <v>-0.5</v>
      </c>
      <c r="E46" t="n">
        <v>162</v>
      </c>
    </row>
    <row r="47">
      <c r="A47" t="s">
        <v>311</v>
      </c>
      <c r="B47" t="n">
        <v>-0.75</v>
      </c>
      <c r="C47" t="n">
        <v>112</v>
      </c>
      <c r="D47" t="n">
        <v>-0.5</v>
      </c>
      <c r="E47" t="n">
        <v>108</v>
      </c>
    </row>
    <row r="48">
      <c r="A48" t="s">
        <v>312</v>
      </c>
      <c r="B48" t="n">
        <v>-0.75</v>
      </c>
      <c r="C48" t="n">
        <v>166</v>
      </c>
      <c r="D48" t="n">
        <v>0</v>
      </c>
      <c r="E48" t="n">
        <v>164</v>
      </c>
    </row>
    <row r="49">
      <c r="A49" t="s">
        <v>312</v>
      </c>
      <c r="B49" t="n">
        <v>-1.75</v>
      </c>
      <c r="C49" t="n">
        <v>179</v>
      </c>
      <c r="D49" t="n">
        <v>-0.25</v>
      </c>
      <c r="E49" t="n">
        <v>12</v>
      </c>
    </row>
    <row r="50">
      <c r="A50" t="s">
        <v>311</v>
      </c>
      <c r="B50" t="n">
        <v>-0.75</v>
      </c>
      <c r="C50" t="n">
        <v>178</v>
      </c>
      <c r="D50" t="n">
        <v>-0.25</v>
      </c>
      <c r="E50" t="n">
        <v>6</v>
      </c>
    </row>
    <row r="51">
      <c r="A51" t="s">
        <v>312</v>
      </c>
      <c r="B51" t="n">
        <v>-2</v>
      </c>
      <c r="C51" t="n">
        <v>14</v>
      </c>
      <c r="D51" t="n">
        <v>-0.25</v>
      </c>
      <c r="E51" t="n">
        <v>13</v>
      </c>
    </row>
    <row r="52">
      <c r="A52" t="s">
        <v>311</v>
      </c>
      <c r="B52" t="n">
        <v>-0.25</v>
      </c>
      <c r="C52" t="n">
        <v>6</v>
      </c>
      <c r="D52" t="n">
        <v>-0.5</v>
      </c>
      <c r="E52" t="n">
        <v>172</v>
      </c>
    </row>
    <row r="53">
      <c r="A53" t="s">
        <v>311</v>
      </c>
      <c r="B53" t="n">
        <v>-1</v>
      </c>
      <c r="C53" t="n">
        <v>168</v>
      </c>
      <c r="D53" t="n">
        <v>0</v>
      </c>
      <c r="E53" t="n">
        <v>152</v>
      </c>
    </row>
    <row r="54">
      <c r="A54" t="s">
        <v>312</v>
      </c>
      <c r="B54" t="n">
        <v>-1.25</v>
      </c>
      <c r="C54" t="n">
        <v>9</v>
      </c>
      <c r="D54" t="n">
        <v>-0.25</v>
      </c>
      <c r="E54" t="n">
        <v>10</v>
      </c>
    </row>
    <row r="55">
      <c r="A55" t="s">
        <v>311</v>
      </c>
      <c r="B55" t="n">
        <v>-0.25</v>
      </c>
      <c r="C55" t="n">
        <v>89</v>
      </c>
      <c r="D55" t="n">
        <v>-0.25</v>
      </c>
      <c r="E55" t="n">
        <v>86</v>
      </c>
    </row>
    <row r="56">
      <c r="A56" t="s">
        <v>312</v>
      </c>
      <c r="B56" t="n">
        <v>-0.5</v>
      </c>
      <c r="C56" t="n">
        <v>96</v>
      </c>
      <c r="D56" t="n">
        <v>-0.5</v>
      </c>
      <c r="E56" t="n">
        <v>99</v>
      </c>
    </row>
    <row r="57">
      <c r="A57" t="s">
        <v>311</v>
      </c>
      <c r="B57" t="n">
        <v>-0.25</v>
      </c>
      <c r="C57" t="n">
        <v>163</v>
      </c>
      <c r="D57" t="n">
        <v>-0.25</v>
      </c>
      <c r="E57" t="n">
        <v>162</v>
      </c>
    </row>
    <row r="58">
      <c r="A58" t="s">
        <v>312</v>
      </c>
      <c r="B58" t="n">
        <v>-0.5</v>
      </c>
      <c r="C58" t="n">
        <v>55</v>
      </c>
      <c r="D58" t="n">
        <v>-0.5</v>
      </c>
      <c r="E58" t="n">
        <v>78</v>
      </c>
    </row>
    <row r="59">
      <c r="A59" t="s">
        <v>311</v>
      </c>
      <c r="B59" t="n">
        <v>-1.5</v>
      </c>
      <c r="C59" t="n">
        <v>95</v>
      </c>
      <c r="D59" t="n">
        <v>-0.5</v>
      </c>
      <c r="E59" t="n">
        <v>91</v>
      </c>
    </row>
    <row r="60">
      <c r="A60" t="s">
        <v>312</v>
      </c>
      <c r="B60" t="n">
        <v>-1</v>
      </c>
      <c r="C60" t="n">
        <v>169</v>
      </c>
      <c r="D60" t="n">
        <v>0</v>
      </c>
      <c r="E60" t="n">
        <v>167</v>
      </c>
    </row>
    <row r="61">
      <c r="A61" t="s">
        <v>311</v>
      </c>
      <c r="B61" t="n">
        <v>-0.25</v>
      </c>
      <c r="C61" t="n">
        <v>20</v>
      </c>
      <c r="D61" t="n">
        <v>-0.25</v>
      </c>
      <c r="E61" t="n">
        <v>7</v>
      </c>
    </row>
    <row r="62">
      <c r="A62" t="s">
        <v>312</v>
      </c>
      <c r="B62" t="n">
        <v>-0.5</v>
      </c>
      <c r="C62" t="n">
        <v>97</v>
      </c>
      <c r="D62" t="n">
        <v>-0.5</v>
      </c>
      <c r="E62" t="n">
        <v>93</v>
      </c>
    </row>
    <row r="63">
      <c r="A63" t="s">
        <v>311</v>
      </c>
      <c r="B63" t="n">
        <v>-0.5</v>
      </c>
      <c r="C63" t="n">
        <v>179</v>
      </c>
      <c r="D63" t="n">
        <v>0</v>
      </c>
      <c r="E63" t="n">
        <v>93</v>
      </c>
    </row>
    <row r="64">
      <c r="A64" t="s">
        <v>312</v>
      </c>
      <c r="B64" t="n">
        <v>-0.25</v>
      </c>
      <c r="C64" t="n">
        <v>14</v>
      </c>
      <c r="D64" t="n">
        <v>-0.25</v>
      </c>
      <c r="E64" t="n">
        <v>162</v>
      </c>
    </row>
    <row r="65">
      <c r="A65" t="s">
        <v>312</v>
      </c>
      <c r="B65" t="n">
        <v>-0.25</v>
      </c>
      <c r="C65" t="n">
        <v>85</v>
      </c>
      <c r="D65" t="n">
        <v>-0.25</v>
      </c>
      <c r="E65" t="n">
        <v>59</v>
      </c>
    </row>
    <row r="66">
      <c r="A66" t="s">
        <v>312</v>
      </c>
      <c r="B66" t="n">
        <v>-1</v>
      </c>
      <c r="C66" t="n">
        <v>21</v>
      </c>
      <c r="D66" t="n">
        <v>-0.25</v>
      </c>
      <c r="E66" t="n">
        <v>28</v>
      </c>
    </row>
    <row r="67">
      <c r="A67" t="s">
        <v>312</v>
      </c>
      <c r="B67" t="n">
        <v>-1.5</v>
      </c>
      <c r="C67" t="n">
        <v>23</v>
      </c>
      <c r="D67" t="n">
        <v>0</v>
      </c>
      <c r="E67" t="n">
        <v>18</v>
      </c>
    </row>
    <row r="68">
      <c r="A68" t="s">
        <v>311</v>
      </c>
      <c r="B68" t="n">
        <v>-0.5</v>
      </c>
      <c r="C68" t="n">
        <v>157</v>
      </c>
      <c r="D68" t="n">
        <v>0</v>
      </c>
      <c r="E68" t="n">
        <v>153</v>
      </c>
    </row>
    <row r="69">
      <c r="A69" t="s">
        <v>312</v>
      </c>
      <c r="B69" t="n">
        <v>-0.75</v>
      </c>
      <c r="C69" t="n">
        <v>6</v>
      </c>
      <c r="D69" t="n">
        <v>-0.5</v>
      </c>
      <c r="E69" t="n">
        <v>48</v>
      </c>
    </row>
    <row r="70">
      <c r="A70" t="s">
        <v>311</v>
      </c>
      <c r="B70" t="n">
        <v>-0.5</v>
      </c>
      <c r="C70" t="n">
        <v>23</v>
      </c>
      <c r="D70" t="n">
        <v>0</v>
      </c>
      <c r="E70" t="n">
        <v>124</v>
      </c>
    </row>
    <row r="71">
      <c r="A71" t="s">
        <v>312</v>
      </c>
      <c r="B71" t="n">
        <v>-0.75</v>
      </c>
      <c r="C71" t="n">
        <v>88</v>
      </c>
      <c r="D71" t="n">
        <v>-0.25</v>
      </c>
      <c r="E71" t="n">
        <v>97</v>
      </c>
    </row>
    <row r="72">
      <c r="A72" t="s">
        <v>311</v>
      </c>
      <c r="B72" t="n">
        <v>-0.5</v>
      </c>
      <c r="C72" t="n">
        <v>164</v>
      </c>
      <c r="D72" t="n">
        <v>-0.25</v>
      </c>
      <c r="E72" t="n">
        <v>133</v>
      </c>
    </row>
    <row r="73">
      <c r="A73" t="s">
        <v>312</v>
      </c>
      <c r="B73" t="n">
        <v>-1</v>
      </c>
      <c r="C73" t="n">
        <v>20</v>
      </c>
      <c r="D73" t="n">
        <v>-0.25</v>
      </c>
      <c r="E73" t="n">
        <v>16</v>
      </c>
    </row>
    <row r="74">
      <c r="A74" t="s">
        <v>311</v>
      </c>
      <c r="B74" t="n">
        <v>-0.5</v>
      </c>
      <c r="C74" t="n">
        <v>23</v>
      </c>
      <c r="D74" t="n">
        <v>-0.25</v>
      </c>
      <c r="E74" t="n">
        <v>33</v>
      </c>
    </row>
    <row r="75">
      <c r="A75" t="s">
        <v>311</v>
      </c>
      <c r="B75" t="n">
        <v>0</v>
      </c>
      <c r="C75" t="n">
        <v>92</v>
      </c>
      <c r="D75" t="n">
        <v>-0.25</v>
      </c>
      <c r="E75" t="n">
        <v>70</v>
      </c>
    </row>
    <row r="76">
      <c r="A76" t="s">
        <v>312</v>
      </c>
      <c r="B76" t="n">
        <v>-0.5</v>
      </c>
      <c r="C76" t="n">
        <v>159</v>
      </c>
      <c r="D76" t="n">
        <v>-0.25</v>
      </c>
      <c r="E76" t="n">
        <v>6</v>
      </c>
    </row>
    <row r="77">
      <c r="A77" t="s">
        <v>311</v>
      </c>
      <c r="B77" t="n">
        <v>-1</v>
      </c>
      <c r="C77" t="n">
        <v>101</v>
      </c>
      <c r="D77" t="n">
        <v>-0.5</v>
      </c>
      <c r="E77" t="n">
        <v>74</v>
      </c>
    </row>
    <row r="78">
      <c r="A78" t="s">
        <v>312</v>
      </c>
      <c r="B78" t="n">
        <v>-0.75</v>
      </c>
      <c r="C78" t="n">
        <v>3</v>
      </c>
      <c r="D78" t="n">
        <v>-0.25</v>
      </c>
      <c r="E78" t="n">
        <v>119</v>
      </c>
    </row>
    <row r="79">
      <c r="A79" t="s">
        <v>311</v>
      </c>
      <c r="B79" t="n">
        <v>-0.5</v>
      </c>
      <c r="C79" t="n">
        <v>81</v>
      </c>
      <c r="D79" t="n">
        <v>-0.5</v>
      </c>
      <c r="E79" t="n">
        <v>60</v>
      </c>
    </row>
    <row r="80">
      <c r="A80" t="s">
        <v>312</v>
      </c>
      <c r="B80" t="n">
        <v>-0.5</v>
      </c>
      <c r="C80" t="n">
        <v>2</v>
      </c>
      <c r="D80" t="n">
        <v>-0.25</v>
      </c>
      <c r="E80" t="n">
        <v>18</v>
      </c>
    </row>
    <row r="81">
      <c r="A81" t="s">
        <v>311</v>
      </c>
      <c r="B81" t="n">
        <v>-1.25</v>
      </c>
      <c r="C81" t="n">
        <v>175</v>
      </c>
      <c r="D81" t="n">
        <v>-0.25</v>
      </c>
      <c r="E81" t="n">
        <v>3</v>
      </c>
    </row>
    <row r="82">
      <c r="A82" t="s">
        <v>312</v>
      </c>
      <c r="B82" t="n">
        <v>-0.75</v>
      </c>
      <c r="C82" t="n">
        <v>8</v>
      </c>
      <c r="D82" t="n">
        <v>0</v>
      </c>
      <c r="E82" t="n">
        <v>17</v>
      </c>
    </row>
    <row r="83">
      <c r="A83" t="s">
        <v>311</v>
      </c>
      <c r="B83" t="n">
        <v>-1</v>
      </c>
      <c r="C83" t="n">
        <v>3</v>
      </c>
      <c r="D83" t="n">
        <v>0</v>
      </c>
      <c r="E83" t="n">
        <v>37</v>
      </c>
    </row>
    <row r="84">
      <c r="A84" t="s">
        <v>312</v>
      </c>
      <c r="B84" t="n">
        <v>-0.25</v>
      </c>
      <c r="C84" t="n">
        <v>167</v>
      </c>
      <c r="D84" t="n">
        <v>-0.25</v>
      </c>
      <c r="E84" t="n">
        <v>13</v>
      </c>
    </row>
    <row r="85">
      <c r="A85" t="s">
        <v>311</v>
      </c>
      <c r="B85" t="n">
        <v>-0.5</v>
      </c>
      <c r="C85" t="n">
        <v>4</v>
      </c>
      <c r="D85" t="n">
        <v>-0.5</v>
      </c>
      <c r="E85" t="n">
        <v>133</v>
      </c>
    </row>
    <row r="86">
      <c r="A86" t="s">
        <v>312</v>
      </c>
      <c r="B86" t="n">
        <v>0</v>
      </c>
      <c r="C86" t="n">
        <v>100</v>
      </c>
      <c r="D86" t="n">
        <v>-0.25</v>
      </c>
      <c r="E86" t="n">
        <v>73</v>
      </c>
    </row>
    <row r="87">
      <c r="A87" t="s">
        <v>311</v>
      </c>
      <c r="B87" t="n">
        <v>-0.25</v>
      </c>
      <c r="C87" t="n">
        <v>166</v>
      </c>
      <c r="D87" t="n">
        <v>-0.75</v>
      </c>
      <c r="E87" t="n">
        <v>166</v>
      </c>
    </row>
    <row r="88">
      <c r="A88" t="s">
        <v>312</v>
      </c>
      <c r="B88" t="n">
        <v>-0.75</v>
      </c>
      <c r="C88" t="n">
        <v>171</v>
      </c>
      <c r="D88" t="n">
        <v>0</v>
      </c>
      <c r="E88" t="n">
        <v>147</v>
      </c>
    </row>
    <row r="89">
      <c r="A89" t="s">
        <v>311</v>
      </c>
      <c r="B89" t="n">
        <v>-0.5</v>
      </c>
      <c r="C89" t="n">
        <v>171</v>
      </c>
      <c r="D89" t="n">
        <v>-0.25</v>
      </c>
      <c r="E89" t="n">
        <v>15</v>
      </c>
    </row>
    <row r="90">
      <c r="A90" t="s">
        <v>312</v>
      </c>
      <c r="B90" t="n">
        <v>-1</v>
      </c>
      <c r="C90" t="n">
        <v>108</v>
      </c>
      <c r="D90" t="n">
        <v>-0.5</v>
      </c>
      <c r="E90" t="n">
        <v>121</v>
      </c>
    </row>
    <row r="91">
      <c r="A91" t="s">
        <v>312</v>
      </c>
      <c r="B91" t="n">
        <v>-0.25</v>
      </c>
      <c r="C91" t="n">
        <v>172</v>
      </c>
      <c r="D91" t="n">
        <v>0</v>
      </c>
      <c r="E91" t="n">
        <v>130</v>
      </c>
    </row>
    <row r="92">
      <c r="A92" t="s">
        <v>312</v>
      </c>
      <c r="B92" t="n">
        <v>-0.25</v>
      </c>
      <c r="C92" t="n">
        <v>156</v>
      </c>
      <c r="D92" t="n">
        <v>0</v>
      </c>
      <c r="E92" t="n">
        <v>133</v>
      </c>
    </row>
    <row r="93">
      <c r="A93" t="s">
        <v>311</v>
      </c>
      <c r="B93" t="n">
        <v>-1</v>
      </c>
      <c r="C93" t="n">
        <v>178</v>
      </c>
      <c r="D93" t="n">
        <v>-0.5</v>
      </c>
      <c r="E93" t="n">
        <v>175</v>
      </c>
    </row>
    <row r="94">
      <c r="A94" t="s">
        <v>312</v>
      </c>
      <c r="B94" t="n">
        <v>-1.25</v>
      </c>
      <c r="C94" t="n">
        <v>81</v>
      </c>
      <c r="D94" t="n">
        <v>0</v>
      </c>
      <c r="E94" t="n">
        <v>80</v>
      </c>
    </row>
    <row r="95">
      <c r="A95" t="s">
        <v>311</v>
      </c>
      <c r="B95" t="n">
        <v>-0.25</v>
      </c>
      <c r="C95" t="n">
        <v>84</v>
      </c>
      <c r="D95" t="n">
        <v>-0.25</v>
      </c>
      <c r="E95" t="n">
        <v>61</v>
      </c>
    </row>
    <row r="96">
      <c r="A96" t="s">
        <v>311</v>
      </c>
      <c r="B96" t="n">
        <v>-1</v>
      </c>
      <c r="C96" t="n">
        <v>22</v>
      </c>
      <c r="D96" t="n">
        <v>-0.25</v>
      </c>
      <c r="E96" t="n">
        <v>50</v>
      </c>
    </row>
    <row r="97">
      <c r="A97" t="s">
        <v>312</v>
      </c>
      <c r="B97" t="n">
        <v>0</v>
      </c>
      <c r="C97" t="n">
        <v>1</v>
      </c>
      <c r="D97" t="n">
        <v>0</v>
      </c>
      <c r="E97" t="n">
        <v>158</v>
      </c>
    </row>
    <row r="98">
      <c r="A98" t="s">
        <v>311</v>
      </c>
      <c r="B98" t="n">
        <v>0</v>
      </c>
      <c r="C98" t="n">
        <v>155</v>
      </c>
      <c r="D98" t="n">
        <v>-0.25</v>
      </c>
      <c r="E98" t="n">
        <v>145</v>
      </c>
    </row>
    <row r="99">
      <c r="A99" t="s">
        <v>312</v>
      </c>
      <c r="B99" t="n">
        <v>-0.5</v>
      </c>
      <c r="C99" t="n">
        <v>179</v>
      </c>
      <c r="D99" t="n">
        <v>0</v>
      </c>
      <c r="E99" t="n">
        <v>177</v>
      </c>
    </row>
    <row r="100">
      <c r="A100" t="s">
        <v>311</v>
      </c>
      <c r="B100" t="n">
        <v>0</v>
      </c>
      <c r="C100" t="n">
        <v>110</v>
      </c>
      <c r="D100" t="n">
        <v>-0.5</v>
      </c>
      <c r="E100" t="n">
        <v>172</v>
      </c>
    </row>
    <row r="101">
      <c r="A101" t="s">
        <v>311</v>
      </c>
      <c r="B101" t="n">
        <v>-1.25</v>
      </c>
      <c r="C101" t="n">
        <v>18</v>
      </c>
      <c r="D101" t="n">
        <v>-0.5</v>
      </c>
      <c r="E101" t="n">
        <v>42</v>
      </c>
    </row>
    <row r="102">
      <c r="A102" t="s">
        <v>312</v>
      </c>
      <c r="B102" t="n">
        <v>-0.75</v>
      </c>
      <c r="C102" t="n">
        <v>158</v>
      </c>
      <c r="D102" t="n">
        <v>-0.25</v>
      </c>
      <c r="E102" t="n">
        <v>173</v>
      </c>
    </row>
    <row r="103">
      <c r="A103" t="s">
        <v>311</v>
      </c>
      <c r="B103" t="n">
        <v>0</v>
      </c>
      <c r="C103" t="n">
        <v>10</v>
      </c>
      <c r="D103" t="n">
        <v>0</v>
      </c>
      <c r="E103" t="n">
        <v>37</v>
      </c>
    </row>
    <row r="104">
      <c r="A104" t="s">
        <v>312</v>
      </c>
      <c r="B104" t="n">
        <v>-0.25</v>
      </c>
      <c r="C104" t="n">
        <v>10</v>
      </c>
      <c r="D104" t="n">
        <v>0</v>
      </c>
      <c r="E104" t="n">
        <v>64</v>
      </c>
    </row>
    <row r="105">
      <c r="A105" t="s">
        <v>312</v>
      </c>
      <c r="B105" t="n">
        <v>-1</v>
      </c>
      <c r="C105" t="n">
        <v>106</v>
      </c>
      <c r="D105" t="n">
        <v>-0.5</v>
      </c>
      <c r="E105" t="n">
        <v>123</v>
      </c>
    </row>
    <row r="106">
      <c r="A106" t="s">
        <v>311</v>
      </c>
      <c r="B106" t="n">
        <v>0</v>
      </c>
      <c r="C106" t="n">
        <v>0</v>
      </c>
      <c r="D106" t="n">
        <v>-0.25</v>
      </c>
      <c r="E106" t="n">
        <v>100</v>
      </c>
    </row>
    <row r="107">
      <c r="A107" t="s">
        <v>312</v>
      </c>
      <c r="B107" t="n">
        <v>-1</v>
      </c>
      <c r="C107" t="n">
        <v>1</v>
      </c>
      <c r="D107" t="n">
        <v>-0.25</v>
      </c>
      <c r="E107" t="n">
        <v>17</v>
      </c>
    </row>
    <row r="108">
      <c r="A108" t="s">
        <v>311</v>
      </c>
      <c r="B108" t="n">
        <v>-0.5</v>
      </c>
      <c r="C108" t="n">
        <v>163</v>
      </c>
      <c r="D108" t="n">
        <v>-0.25</v>
      </c>
      <c r="E108" t="n">
        <v>150</v>
      </c>
    </row>
    <row r="109">
      <c r="A109" t="s">
        <v>312</v>
      </c>
      <c r="B109" t="n">
        <v>-0.5</v>
      </c>
      <c r="C109" t="n">
        <v>10</v>
      </c>
      <c r="D109" t="n">
        <v>0</v>
      </c>
      <c r="E109" t="n">
        <v>163</v>
      </c>
    </row>
    <row r="110">
      <c r="A110" t="s">
        <v>311</v>
      </c>
      <c r="B110" t="n">
        <v>-0.25</v>
      </c>
      <c r="C110" t="n">
        <v>136</v>
      </c>
      <c r="D110" t="n">
        <v>0</v>
      </c>
      <c r="E110" t="n">
        <v>144</v>
      </c>
    </row>
  </sheetData>
  <pageMargins left="0.7" right="0.7" top="0.75" bottom="0.75" header="0.3" footer="0.3"/>
  <pageSetup paperSize="9" orientation="portrait" horizontalDpi="300" verticalDpi="300" r:id="rId2"/>
  <tableParts count="1">
    <tablePart r:id="rId5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1" t="s">
        <v>313</v>
      </c>
    </row>
    <row r="2">
      <c r="A2" t="s">
        <v>314</v>
      </c>
      <c r="B2" t="s">
        <v>315</v>
      </c>
      <c r="C2" t="s">
        <v>316</v>
      </c>
      <c r="D2" t="s">
        <v>317</v>
      </c>
      <c r="E2" t="s">
        <v>318</v>
      </c>
      <c r="F2" t="s">
        <v>319</v>
      </c>
      <c r="G2" t="s">
        <v>320</v>
      </c>
      <c r="H2" t="s">
        <v>321</v>
      </c>
      <c r="I2" t="s">
        <v>322</v>
      </c>
      <c r="J2" t="s">
        <v>323</v>
      </c>
      <c r="K2" t="s">
        <v>324</v>
      </c>
      <c r="L2" t="s">
        <v>325</v>
      </c>
      <c r="M2" t="s">
        <v>326</v>
      </c>
      <c r="N2" t="s">
        <v>1</v>
      </c>
    </row>
    <row r="3">
      <c r="A3" t="s">
        <v>327</v>
      </c>
      <c r="B3" t="s">
        <v>328</v>
      </c>
      <c r="C3" t="n">
        <v>30.9345265862832</v>
      </c>
      <c r="D3" t="n">
        <v>0.494374342375965</v>
      </c>
      <c r="E3" t="n">
        <v>3915.39067251423</v>
      </c>
      <c r="F3" t="n">
        <v>0</v>
      </c>
      <c r="G3" t="s">
        <v>329</v>
      </c>
      <c r="H3" t="n">
        <v>30.9345265862832</v>
      </c>
      <c r="I3" t="n">
        <v>29.9655528752263</v>
      </c>
      <c r="J3" t="n">
        <v>31.90350029734</v>
      </c>
      <c r="K3" t="s">
        <v>330</v>
      </c>
      <c r="L3" t="s">
        <v>331</v>
      </c>
      <c r="M3" t="s">
        <v>332</v>
      </c>
      <c r="N3"/>
    </row>
    <row r="4">
      <c r="A4" t="s">
        <v>327</v>
      </c>
      <c r="B4" t="s">
        <v>333</v>
      </c>
      <c r="C4" t="n">
        <v>7.62789846195422</v>
      </c>
      <c r="D4" t="n">
        <v>0.935977322628997</v>
      </c>
      <c r="E4" t="n">
        <v>66.4169844949775</v>
      </c>
      <c r="F4" t="n">
        <v>0.000000000000000333066907387547</v>
      </c>
      <c r="G4" t="s">
        <v>329</v>
      </c>
      <c r="H4" t="n">
        <v>7.62789846195422</v>
      </c>
      <c r="I4" t="n">
        <v>5.79338290960139</v>
      </c>
      <c r="J4" t="n">
        <v>9.46241401430706</v>
      </c>
      <c r="K4" t="s">
        <v>334</v>
      </c>
      <c r="L4" t="s">
        <v>331</v>
      </c>
      <c r="M4" t="s">
        <v>332</v>
      </c>
      <c r="N4"/>
    </row>
    <row r="5">
      <c r="A5" t="s">
        <v>327</v>
      </c>
      <c r="B5" t="s">
        <v>335</v>
      </c>
      <c r="C5" t="n">
        <v>2.6250505791808</v>
      </c>
      <c r="D5" t="n">
        <v>0.843646566620352</v>
      </c>
      <c r="E5" t="n">
        <v>9.68175892851418</v>
      </c>
      <c r="F5" t="n">
        <v>0.00186106381824935</v>
      </c>
      <c r="G5" t="s">
        <v>329</v>
      </c>
      <c r="H5" t="n">
        <v>2.6250505791808</v>
      </c>
      <c r="I5" t="n">
        <v>0.971503308604911</v>
      </c>
      <c r="J5" t="n">
        <v>4.27859784975669</v>
      </c>
      <c r="K5" t="s">
        <v>336</v>
      </c>
      <c r="L5" t="s">
        <v>331</v>
      </c>
      <c r="M5" t="s">
        <v>332</v>
      </c>
      <c r="N5"/>
    </row>
    <row r="6">
      <c r="A6" t="s">
        <v>55</v>
      </c>
      <c r="B6" t="s">
        <v>328</v>
      </c>
      <c r="C6" t="n">
        <v>-4.15541394075463</v>
      </c>
      <c r="D6" t="n">
        <v>0.12842587766542</v>
      </c>
      <c r="E6" t="n">
        <v>1046.94411519162</v>
      </c>
      <c r="F6" t="n">
        <v>0</v>
      </c>
      <c r="G6" t="s">
        <v>329</v>
      </c>
      <c r="H6" t="n">
        <v>-4.15541394075463</v>
      </c>
      <c r="I6" t="n">
        <v>-4.40712866097886</v>
      </c>
      <c r="J6" t="n">
        <v>-3.90369922053041</v>
      </c>
      <c r="K6" t="s">
        <v>337</v>
      </c>
      <c r="L6" t="s">
        <v>331</v>
      </c>
      <c r="M6" t="s">
        <v>332</v>
      </c>
      <c r="N6"/>
    </row>
    <row r="7">
      <c r="A7" t="s">
        <v>55</v>
      </c>
      <c r="B7" t="s">
        <v>333</v>
      </c>
      <c r="C7" t="n">
        <v>-0.234664894271977</v>
      </c>
      <c r="D7" t="n">
        <v>0.218898972771797</v>
      </c>
      <c r="E7" t="n">
        <v>1.14923488736014</v>
      </c>
      <c r="F7" t="n">
        <v>0.283709371758506</v>
      </c>
      <c r="G7" t="s">
        <v>329</v>
      </c>
      <c r="H7" t="n">
        <v>-0.234664894271977</v>
      </c>
      <c r="I7" t="n">
        <v>-0.663706880904699</v>
      </c>
      <c r="J7" t="n">
        <v>0.194377092360745</v>
      </c>
      <c r="K7" t="s">
        <v>338</v>
      </c>
      <c r="L7" t="s">
        <v>331</v>
      </c>
      <c r="M7" t="s">
        <v>332</v>
      </c>
      <c r="N7"/>
    </row>
    <row r="8">
      <c r="A8" t="s">
        <v>55</v>
      </c>
      <c r="B8" t="s">
        <v>335</v>
      </c>
      <c r="C8" t="n">
        <v>-0.532967825315621</v>
      </c>
      <c r="D8" t="n">
        <v>0.203994337361653</v>
      </c>
      <c r="E8" t="n">
        <v>6.82599175982417</v>
      </c>
      <c r="F8" t="n">
        <v>0.00898406547551833</v>
      </c>
      <c r="G8" t="s">
        <v>329</v>
      </c>
      <c r="H8" t="n">
        <v>-0.532967825315621</v>
      </c>
      <c r="I8" t="n">
        <v>-0.932796726544462</v>
      </c>
      <c r="J8" t="n">
        <v>-0.133138924086781</v>
      </c>
      <c r="K8" t="s">
        <v>339</v>
      </c>
      <c r="L8" t="s">
        <v>331</v>
      </c>
      <c r="M8" t="s">
        <v>332</v>
      </c>
      <c r="N8"/>
    </row>
    <row r="9">
      <c r="A9" t="s">
        <v>62</v>
      </c>
      <c r="B9" t="s">
        <v>328</v>
      </c>
      <c r="C9" t="n">
        <v>-3.83150647661674</v>
      </c>
      <c r="D9" t="n">
        <v>0.129300661456154</v>
      </c>
      <c r="E9" t="n">
        <v>878.087176587783</v>
      </c>
      <c r="F9" t="n">
        <v>0</v>
      </c>
      <c r="G9" t="s">
        <v>329</v>
      </c>
      <c r="H9" t="n">
        <v>-3.83150647661674</v>
      </c>
      <c r="I9" t="n">
        <v>-4.0849357730708</v>
      </c>
      <c r="J9" t="n">
        <v>-3.57807718016268</v>
      </c>
      <c r="K9" t="s">
        <v>340</v>
      </c>
      <c r="L9" t="s">
        <v>331</v>
      </c>
      <c r="M9" t="s">
        <v>332</v>
      </c>
      <c r="N9"/>
    </row>
    <row r="10">
      <c r="A10" t="s">
        <v>62</v>
      </c>
      <c r="B10" t="s">
        <v>333</v>
      </c>
      <c r="C10" t="n">
        <v>-0.207416924645947</v>
      </c>
      <c r="D10" t="n">
        <v>0.222843488458798</v>
      </c>
      <c r="E10" t="n">
        <v>0.866340235059562</v>
      </c>
      <c r="F10" t="n">
        <v>0.351970482758757</v>
      </c>
      <c r="G10" t="s">
        <v>329</v>
      </c>
      <c r="H10" t="n">
        <v>-0.207416924645947</v>
      </c>
      <c r="I10" t="n">
        <v>-0.644190162025191</v>
      </c>
      <c r="J10" t="n">
        <v>0.229356312733298</v>
      </c>
      <c r="K10" t="s">
        <v>341</v>
      </c>
      <c r="L10" t="s">
        <v>331</v>
      </c>
      <c r="M10" t="s">
        <v>332</v>
      </c>
      <c r="N10"/>
    </row>
    <row r="11">
      <c r="A11" t="s">
        <v>62</v>
      </c>
      <c r="B11" t="s">
        <v>335</v>
      </c>
      <c r="C11" t="n">
        <v>-0.564300634493859</v>
      </c>
      <c r="D11" t="n">
        <v>0.204617489138499</v>
      </c>
      <c r="E11" t="n">
        <v>7.60563667139385</v>
      </c>
      <c r="F11" t="n">
        <v>0.00581861149777274</v>
      </c>
      <c r="G11" t="s">
        <v>329</v>
      </c>
      <c r="H11" t="n">
        <v>-0.564300634493859</v>
      </c>
      <c r="I11" t="n">
        <v>-0.965350913205316</v>
      </c>
      <c r="J11" t="n">
        <v>-0.163250355782402</v>
      </c>
      <c r="K11" t="s">
        <v>342</v>
      </c>
      <c r="L11" t="s">
        <v>331</v>
      </c>
      <c r="M11" t="s">
        <v>332</v>
      </c>
      <c r="N11"/>
    </row>
    <row r="12">
      <c r="A12" t="s">
        <v>69</v>
      </c>
      <c r="B12" t="s">
        <v>328</v>
      </c>
      <c r="C12" t="n">
        <v>-0.652750209811103</v>
      </c>
      <c r="D12" t="n">
        <v>0.0366795549300321</v>
      </c>
      <c r="E12" t="n">
        <v>316.698441065956</v>
      </c>
      <c r="F12" t="n">
        <v>0</v>
      </c>
      <c r="G12" t="s">
        <v>329</v>
      </c>
      <c r="H12" t="n">
        <v>-0.652750209811103</v>
      </c>
      <c r="I12" t="n">
        <v>-0.724642137473966</v>
      </c>
      <c r="J12" t="n">
        <v>-0.58085828214824</v>
      </c>
      <c r="K12" t="s">
        <v>343</v>
      </c>
      <c r="L12" t="s">
        <v>331</v>
      </c>
      <c r="M12" t="s">
        <v>332</v>
      </c>
      <c r="N12"/>
    </row>
    <row r="13">
      <c r="A13" t="s">
        <v>69</v>
      </c>
      <c r="B13" t="s">
        <v>333</v>
      </c>
      <c r="C13" t="n">
        <v>-0.0398199005170997</v>
      </c>
      <c r="D13" t="n">
        <v>0.0619024910415187</v>
      </c>
      <c r="E13" t="n">
        <v>0.413793904998857</v>
      </c>
      <c r="F13" t="n">
        <v>0.520050123105969</v>
      </c>
      <c r="G13" t="s">
        <v>329</v>
      </c>
      <c r="H13" t="n">
        <v>-0.0398199005170997</v>
      </c>
      <c r="I13" t="n">
        <v>-0.161148782958476</v>
      </c>
      <c r="J13" t="n">
        <v>0.0815089819242769</v>
      </c>
      <c r="K13" t="s">
        <v>344</v>
      </c>
      <c r="L13" t="s">
        <v>331</v>
      </c>
      <c r="M13" t="s">
        <v>332</v>
      </c>
      <c r="N13"/>
    </row>
    <row r="14">
      <c r="A14" t="s">
        <v>69</v>
      </c>
      <c r="B14" t="s">
        <v>335</v>
      </c>
      <c r="C14" t="n">
        <v>0.0726454167199136</v>
      </c>
      <c r="D14" t="n">
        <v>0.0548108913195125</v>
      </c>
      <c r="E14" t="n">
        <v>1.75663976541801</v>
      </c>
      <c r="F14" t="n">
        <v>0.18504419397445</v>
      </c>
      <c r="G14" t="s">
        <v>329</v>
      </c>
      <c r="H14" t="n">
        <v>0.0726454167199136</v>
      </c>
      <c r="I14" t="n">
        <v>-0.0347839302663309</v>
      </c>
      <c r="J14" t="n">
        <v>0.180074763706158</v>
      </c>
      <c r="K14" t="s">
        <v>345</v>
      </c>
      <c r="L14" t="s">
        <v>331</v>
      </c>
      <c r="M14" t="s">
        <v>332</v>
      </c>
      <c r="N14"/>
    </row>
    <row r="15">
      <c r="A15" t="s">
        <v>77</v>
      </c>
      <c r="B15" t="s">
        <v>328</v>
      </c>
      <c r="C15" t="n">
        <v>1.0753349249923</v>
      </c>
      <c r="D15" t="n">
        <v>0.0155316846606752</v>
      </c>
      <c r="E15" t="n">
        <v>4793.4739695033</v>
      </c>
      <c r="F15" t="n">
        <v>0</v>
      </c>
      <c r="G15" t="s">
        <v>329</v>
      </c>
      <c r="H15" t="n">
        <v>1.0753349249923</v>
      </c>
      <c r="I15" t="n">
        <v>1.04489282305737</v>
      </c>
      <c r="J15" t="n">
        <v>1.10577702692722</v>
      </c>
      <c r="K15" t="s">
        <v>346</v>
      </c>
      <c r="L15" t="s">
        <v>331</v>
      </c>
      <c r="M15" t="s">
        <v>332</v>
      </c>
      <c r="N15"/>
    </row>
    <row r="16">
      <c r="A16" t="s">
        <v>77</v>
      </c>
      <c r="B16" t="s">
        <v>333</v>
      </c>
      <c r="C16" t="n">
        <v>0.0274827675334957</v>
      </c>
      <c r="D16" t="n">
        <v>0.0261250175285249</v>
      </c>
      <c r="E16" t="n">
        <v>1.10664352594606</v>
      </c>
      <c r="F16" t="n">
        <v>0.292812737000488</v>
      </c>
      <c r="G16" t="s">
        <v>329</v>
      </c>
      <c r="H16" t="n">
        <v>0.0274827675334957</v>
      </c>
      <c r="I16" t="n">
        <v>-0.0237222668224131</v>
      </c>
      <c r="J16" t="n">
        <v>0.0786878018894045</v>
      </c>
      <c r="K16" t="s">
        <v>347</v>
      </c>
      <c r="L16" t="s">
        <v>331</v>
      </c>
      <c r="M16" t="s">
        <v>332</v>
      </c>
      <c r="N16"/>
    </row>
    <row r="17">
      <c r="A17" t="s">
        <v>77</v>
      </c>
      <c r="B17" t="s">
        <v>335</v>
      </c>
      <c r="C17" t="n">
        <v>0.0587305151112558</v>
      </c>
      <c r="D17" t="n">
        <v>0.0250290075404206</v>
      </c>
      <c r="E17" t="n">
        <v>5.50605267194051</v>
      </c>
      <c r="F17" t="n">
        <v>0.0189507699971952</v>
      </c>
      <c r="G17" t="s">
        <v>329</v>
      </c>
      <c r="H17" t="n">
        <v>0.0587305151112558</v>
      </c>
      <c r="I17" t="n">
        <v>0.00967366033203133</v>
      </c>
      <c r="J17" t="n">
        <v>0.10778736989048</v>
      </c>
      <c r="K17" t="s">
        <v>348</v>
      </c>
      <c r="L17" t="s">
        <v>331</v>
      </c>
      <c r="M17" t="s">
        <v>332</v>
      </c>
      <c r="N17"/>
    </row>
    <row r="18">
      <c r="A18" t="s">
        <v>84</v>
      </c>
      <c r="B18" t="s">
        <v>328</v>
      </c>
      <c r="C18" t="n">
        <v>-0.0126561827738556</v>
      </c>
      <c r="D18" t="n">
        <v>0.00199298502665895</v>
      </c>
      <c r="E18" t="n">
        <v>40.3271382781357</v>
      </c>
      <c r="F18" t="n">
        <v>0.000000000214804396492241</v>
      </c>
      <c r="G18" t="s">
        <v>329</v>
      </c>
      <c r="H18" t="n">
        <v>-0.0126561827738556</v>
      </c>
      <c r="I18" t="n">
        <v>-0.0165624334261071</v>
      </c>
      <c r="J18" t="n">
        <v>-0.00874993212160407</v>
      </c>
      <c r="K18" t="s">
        <v>349</v>
      </c>
      <c r="L18" t="s">
        <v>331</v>
      </c>
      <c r="M18" t="s">
        <v>332</v>
      </c>
      <c r="N18"/>
    </row>
    <row r="19">
      <c r="A19" t="s">
        <v>84</v>
      </c>
      <c r="B19" t="s">
        <v>333</v>
      </c>
      <c r="C19" t="n">
        <v>0.00562639456953727</v>
      </c>
      <c r="D19" t="n">
        <v>0.00335707898309855</v>
      </c>
      <c r="E19" t="n">
        <v>2.80890629990741</v>
      </c>
      <c r="F19" t="n">
        <v>0.0937422656472836</v>
      </c>
      <c r="G19" t="s">
        <v>329</v>
      </c>
      <c r="H19" t="n">
        <v>0.00562639456953727</v>
      </c>
      <c r="I19" t="n">
        <v>-0.000953480237335875</v>
      </c>
      <c r="J19" t="n">
        <v>0.0122062693764104</v>
      </c>
      <c r="K19" t="s">
        <v>350</v>
      </c>
      <c r="L19" t="s">
        <v>331</v>
      </c>
      <c r="M19" t="s">
        <v>332</v>
      </c>
      <c r="N19"/>
    </row>
    <row r="20">
      <c r="A20" t="s">
        <v>84</v>
      </c>
      <c r="B20" t="s">
        <v>335</v>
      </c>
      <c r="C20" t="n">
        <v>-0.00204647799410974</v>
      </c>
      <c r="D20" t="n">
        <v>0.00343330184181894</v>
      </c>
      <c r="E20" t="n">
        <v>0.355295891115072</v>
      </c>
      <c r="F20" t="n">
        <v>0.551130455901183</v>
      </c>
      <c r="G20" t="s">
        <v>329</v>
      </c>
      <c r="H20" t="n">
        <v>-0.00204647799410974</v>
      </c>
      <c r="I20" t="n">
        <v>-0.00877574960407486</v>
      </c>
      <c r="J20" t="n">
        <v>0.00468279361585539</v>
      </c>
      <c r="K20" t="s">
        <v>351</v>
      </c>
      <c r="L20" t="s">
        <v>331</v>
      </c>
      <c r="M20" t="s">
        <v>332</v>
      </c>
      <c r="N20"/>
    </row>
    <row r="21">
      <c r="A21" t="s">
        <v>89</v>
      </c>
      <c r="B21" t="s">
        <v>328</v>
      </c>
      <c r="C21" t="n">
        <v>546.26815458071</v>
      </c>
      <c r="D21" t="n">
        <v>1.70515497196023</v>
      </c>
      <c r="E21" t="n">
        <v>102632.29857191</v>
      </c>
      <c r="F21" t="n">
        <v>0</v>
      </c>
      <c r="G21" t="s">
        <v>329</v>
      </c>
      <c r="H21" t="n">
        <v>546.26815458071</v>
      </c>
      <c r="I21" t="n">
        <v>542.926050835667</v>
      </c>
      <c r="J21" t="n">
        <v>549.610258325752</v>
      </c>
      <c r="K21" t="s">
        <v>352</v>
      </c>
      <c r="L21" t="s">
        <v>331</v>
      </c>
      <c r="M21" t="s">
        <v>332</v>
      </c>
      <c r="N21"/>
    </row>
    <row r="22">
      <c r="A22" t="s">
        <v>89</v>
      </c>
      <c r="B22" t="s">
        <v>333</v>
      </c>
      <c r="C22" t="n">
        <v>-12.4520444819594</v>
      </c>
      <c r="D22" t="n">
        <v>3.09877577833462</v>
      </c>
      <c r="E22" t="n">
        <v>16.1473411773988</v>
      </c>
      <c r="F22" t="n">
        <v>0.0000586007733746063</v>
      </c>
      <c r="G22" t="s">
        <v>329</v>
      </c>
      <c r="H22" t="n">
        <v>-12.4520444819594</v>
      </c>
      <c r="I22" t="n">
        <v>-18.5256450074953</v>
      </c>
      <c r="J22" t="n">
        <v>-6.37844395642358</v>
      </c>
      <c r="K22" t="s">
        <v>353</v>
      </c>
      <c r="L22" t="s">
        <v>331</v>
      </c>
      <c r="M22" t="s">
        <v>332</v>
      </c>
      <c r="N22"/>
    </row>
    <row r="23">
      <c r="A23" t="s">
        <v>89</v>
      </c>
      <c r="B23" t="s">
        <v>335</v>
      </c>
      <c r="C23" t="n">
        <v>-8.45266848484772</v>
      </c>
      <c r="D23" t="n">
        <v>3.0114470890435</v>
      </c>
      <c r="E23" t="n">
        <v>7.87838496870571</v>
      </c>
      <c r="F23" t="n">
        <v>0.00500291388243679</v>
      </c>
      <c r="G23" t="s">
        <v>329</v>
      </c>
      <c r="H23" t="n">
        <v>-8.45266848484772</v>
      </c>
      <c r="I23" t="n">
        <v>-14.355104779373</v>
      </c>
      <c r="J23" t="n">
        <v>-2.55023219032245</v>
      </c>
      <c r="K23" t="s">
        <v>354</v>
      </c>
      <c r="L23" t="s">
        <v>331</v>
      </c>
      <c r="M23" t="s">
        <v>332</v>
      </c>
      <c r="N23"/>
    </row>
    <row r="24">
      <c r="A24" t="s">
        <v>95</v>
      </c>
      <c r="B24" t="s">
        <v>328</v>
      </c>
      <c r="C24" t="n">
        <v>43.5886441412471</v>
      </c>
      <c r="D24" t="n">
        <v>0.0890257138096483</v>
      </c>
      <c r="E24" t="n">
        <v>239726.360066016</v>
      </c>
      <c r="F24" t="n">
        <v>0</v>
      </c>
      <c r="G24" t="s">
        <v>329</v>
      </c>
      <c r="H24" t="n">
        <v>43.5886441412471</v>
      </c>
      <c r="I24" t="n">
        <v>43.4141537421802</v>
      </c>
      <c r="J24" t="n">
        <v>43.763134540314</v>
      </c>
      <c r="K24" t="s">
        <v>355</v>
      </c>
      <c r="L24" t="s">
        <v>331</v>
      </c>
      <c r="M24" t="s">
        <v>332</v>
      </c>
      <c r="N24"/>
    </row>
    <row r="25">
      <c r="A25" t="s">
        <v>95</v>
      </c>
      <c r="B25" t="s">
        <v>333</v>
      </c>
      <c r="C25" t="n">
        <v>-0.013455966008095</v>
      </c>
      <c r="D25" t="n">
        <v>0.160800243007368</v>
      </c>
      <c r="E25" t="n">
        <v>0.00700255230195965</v>
      </c>
      <c r="F25" t="n">
        <v>0.933309861854536</v>
      </c>
      <c r="G25" t="s">
        <v>329</v>
      </c>
      <c r="H25" t="n">
        <v>-0.013455966008095</v>
      </c>
      <c r="I25" t="n">
        <v>-0.328624442302537</v>
      </c>
      <c r="J25" t="n">
        <v>0.301712510286347</v>
      </c>
      <c r="K25" t="s">
        <v>356</v>
      </c>
      <c r="L25" t="s">
        <v>331</v>
      </c>
      <c r="M25" t="s">
        <v>332</v>
      </c>
      <c r="N25"/>
    </row>
    <row r="26">
      <c r="A26" t="s">
        <v>95</v>
      </c>
      <c r="B26" t="s">
        <v>335</v>
      </c>
      <c r="C26" t="n">
        <v>0.189762686380365</v>
      </c>
      <c r="D26" t="n">
        <v>0.155998786883099</v>
      </c>
      <c r="E26" t="n">
        <v>1.47971881996017</v>
      </c>
      <c r="F26" t="n">
        <v>0.223818520707877</v>
      </c>
      <c r="G26" t="s">
        <v>329</v>
      </c>
      <c r="H26" t="n">
        <v>0.189762686380365</v>
      </c>
      <c r="I26" t="n">
        <v>-0.11599493591051</v>
      </c>
      <c r="J26" t="n">
        <v>0.495520308671239</v>
      </c>
      <c r="K26" t="s">
        <v>357</v>
      </c>
      <c r="L26" t="s">
        <v>331</v>
      </c>
      <c r="M26" t="s">
        <v>332</v>
      </c>
      <c r="N26"/>
    </row>
    <row r="27">
      <c r="A27" t="s">
        <v>102</v>
      </c>
      <c r="B27"/>
      <c r="C27"/>
      <c r="D27"/>
      <c r="E27"/>
      <c r="F27"/>
      <c r="G27"/>
      <c r="H27"/>
      <c r="I27"/>
      <c r="J27"/>
      <c r="K27"/>
      <c r="L27" t="s">
        <v>358</v>
      </c>
      <c r="M27"/>
      <c r="N27"/>
    </row>
    <row r="28">
      <c r="A28" t="s">
        <v>23</v>
      </c>
      <c r="B28" t="s">
        <v>328</v>
      </c>
      <c r="C28" t="n">
        <v>0.359725859739766</v>
      </c>
      <c r="D28" t="n">
        <v>0.159192518359073</v>
      </c>
      <c r="E28" t="n">
        <v>5.10620224403268</v>
      </c>
      <c r="F28" t="n">
        <v>0.0238404513672795</v>
      </c>
      <c r="G28" t="s">
        <v>359</v>
      </c>
      <c r="H28" t="n">
        <v>1.43293653511613</v>
      </c>
      <c r="I28" t="n">
        <v>1.04886489156612</v>
      </c>
      <c r="J28" t="n">
        <v>1.95764690970321</v>
      </c>
      <c r="K28" t="s">
        <v>360</v>
      </c>
      <c r="L28" t="s">
        <v>361</v>
      </c>
      <c r="M28" t="s">
        <v>332</v>
      </c>
      <c r="N28"/>
    </row>
    <row r="29">
      <c r="A29" t="s">
        <v>23</v>
      </c>
      <c r="B29" t="s">
        <v>333</v>
      </c>
      <c r="C29" t="n">
        <v>-0.0219390162889196</v>
      </c>
      <c r="D29" t="n">
        <v>0.287202996121879</v>
      </c>
      <c r="E29" t="n">
        <v>0.00583520836857866</v>
      </c>
      <c r="F29" t="n">
        <v>0.939109990235065</v>
      </c>
      <c r="G29" t="s">
        <v>359</v>
      </c>
      <c r="H29" t="n">
        <v>0.978299893590153</v>
      </c>
      <c r="I29" t="n">
        <v>0.557185595668363</v>
      </c>
      <c r="J29" t="n">
        <v>1.71768740835891</v>
      </c>
      <c r="K29" t="s">
        <v>362</v>
      </c>
      <c r="L29" t="s">
        <v>361</v>
      </c>
      <c r="M29" t="s">
        <v>332</v>
      </c>
      <c r="N29"/>
    </row>
    <row r="30">
      <c r="A30" t="s">
        <v>23</v>
      </c>
      <c r="B30" t="s">
        <v>335</v>
      </c>
      <c r="C30" t="n">
        <v>-0.36024417915865</v>
      </c>
      <c r="D30" t="n">
        <v>0.290114234954109</v>
      </c>
      <c r="E30" t="n">
        <v>1.54189878750172</v>
      </c>
      <c r="F30" t="n">
        <v>0.214335395602404</v>
      </c>
      <c r="G30" t="s">
        <v>359</v>
      </c>
      <c r="H30" t="n">
        <v>0.697505988849967</v>
      </c>
      <c r="I30" t="n">
        <v>0.395000566593269</v>
      </c>
      <c r="J30" t="n">
        <v>1.23168077625198</v>
      </c>
      <c r="K30" t="s">
        <v>363</v>
      </c>
      <c r="L30" t="s">
        <v>361</v>
      </c>
      <c r="M30" t="s">
        <v>332</v>
      </c>
      <c r="N30"/>
    </row>
    <row r="31">
      <c r="A31" t="s">
        <v>364</v>
      </c>
      <c r="B31" t="s">
        <v>328</v>
      </c>
      <c r="C31" t="n">
        <v>-1.19201479595547</v>
      </c>
      <c r="D31" t="n">
        <v>0.185245882136951</v>
      </c>
      <c r="E31" t="n">
        <v>41.4062754403034</v>
      </c>
      <c r="F31" t="n">
        <v>0.000000000123659749107219</v>
      </c>
      <c r="G31" t="s">
        <v>359</v>
      </c>
      <c r="H31" t="n">
        <v>0.303608937358123</v>
      </c>
      <c r="I31" t="n">
        <v>0.211168956347667</v>
      </c>
      <c r="J31" t="n">
        <v>0.436514857287864</v>
      </c>
      <c r="K31" t="s">
        <v>365</v>
      </c>
      <c r="L31" t="s">
        <v>361</v>
      </c>
      <c r="M31" t="s">
        <v>332</v>
      </c>
      <c r="N31"/>
    </row>
    <row r="32">
      <c r="A32" t="s">
        <v>364</v>
      </c>
      <c r="B32" t="s">
        <v>333</v>
      </c>
      <c r="C32" t="n">
        <v>-0.319255427196014</v>
      </c>
      <c r="D32" t="n">
        <v>0.358035020978313</v>
      </c>
      <c r="E32" t="n">
        <v>0.795106968379774</v>
      </c>
      <c r="F32" t="n">
        <v>0.372560343912112</v>
      </c>
      <c r="G32" t="s">
        <v>359</v>
      </c>
      <c r="H32" t="n">
        <v>0.726689909232699</v>
      </c>
      <c r="I32" t="n">
        <v>0.360233059926286</v>
      </c>
      <c r="J32" t="n">
        <v>1.4659349263743</v>
      </c>
      <c r="K32" t="s">
        <v>366</v>
      </c>
      <c r="L32" t="s">
        <v>361</v>
      </c>
      <c r="M32" t="s">
        <v>332</v>
      </c>
      <c r="N32"/>
    </row>
    <row r="33">
      <c r="A33" t="s">
        <v>364</v>
      </c>
      <c r="B33" t="s">
        <v>335</v>
      </c>
      <c r="C33" t="n">
        <v>-0.56513769893322</v>
      </c>
      <c r="D33" t="n">
        <v>0.389305081743523</v>
      </c>
      <c r="E33" t="n">
        <v>2.10730992412546</v>
      </c>
      <c r="F33" t="n">
        <v>0.146596821195682</v>
      </c>
      <c r="G33" t="s">
        <v>359</v>
      </c>
      <c r="H33" t="n">
        <v>0.568281889559737</v>
      </c>
      <c r="I33" t="n">
        <v>0.264960198358329</v>
      </c>
      <c r="J33" t="n">
        <v>1.21884082214054</v>
      </c>
      <c r="K33" t="s">
        <v>367</v>
      </c>
      <c r="L33" t="s">
        <v>361</v>
      </c>
      <c r="M33" t="s">
        <v>332</v>
      </c>
      <c r="N33"/>
    </row>
    <row r="34">
      <c r="A34" t="s">
        <v>368</v>
      </c>
      <c r="B34"/>
      <c r="C34"/>
      <c r="D34"/>
      <c r="E34"/>
      <c r="F34"/>
      <c r="G34"/>
      <c r="H34"/>
      <c r="I34"/>
      <c r="J34"/>
      <c r="K34"/>
      <c r="L34" t="s">
        <v>369</v>
      </c>
      <c r="M34"/>
      <c r="N34"/>
    </row>
  </sheetData>
  <pageMargins left="0.7" right="0.7" top="0.75" bottom="0.75" header="0.3" footer="0.3"/>
  <pageSetup paperSize="9" orientation="portrait" horizontalDpi="300" verticalDpi="300"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1" t="s">
        <v>313</v>
      </c>
    </row>
    <row r="2">
      <c r="A2" t="s">
        <v>314</v>
      </c>
      <c r="B2" t="s">
        <v>315</v>
      </c>
      <c r="C2" t="s">
        <v>316</v>
      </c>
      <c r="D2" t="s">
        <v>317</v>
      </c>
      <c r="E2" t="s">
        <v>318</v>
      </c>
      <c r="F2" t="s">
        <v>319</v>
      </c>
      <c r="G2" t="s">
        <v>320</v>
      </c>
      <c r="H2" t="s">
        <v>321</v>
      </c>
      <c r="I2" t="s">
        <v>322</v>
      </c>
      <c r="J2" t="s">
        <v>323</v>
      </c>
      <c r="K2" t="s">
        <v>324</v>
      </c>
      <c r="L2" t="s">
        <v>325</v>
      </c>
      <c r="M2" t="s">
        <v>326</v>
      </c>
      <c r="N2" t="s">
        <v>1</v>
      </c>
    </row>
    <row r="3">
      <c r="A3" t="s">
        <v>137</v>
      </c>
      <c r="B3" t="s">
        <v>328</v>
      </c>
      <c r="C3" t="n">
        <v>6.51376974413076</v>
      </c>
      <c r="D3" t="n">
        <v>0.0183161335035096</v>
      </c>
      <c r="E3" t="n">
        <v>126472.820630938</v>
      </c>
      <c r="F3" t="n">
        <v>0</v>
      </c>
      <c r="G3" t="s">
        <v>329</v>
      </c>
      <c r="H3" t="n">
        <v>6.51376974413076</v>
      </c>
      <c r="I3" t="n">
        <v>6.47787012246388</v>
      </c>
      <c r="J3" t="n">
        <v>6.54966936579764</v>
      </c>
      <c r="K3" t="s">
        <v>370</v>
      </c>
      <c r="L3" t="s">
        <v>331</v>
      </c>
      <c r="M3" t="s">
        <v>332</v>
      </c>
      <c r="N3"/>
    </row>
    <row r="4">
      <c r="A4" t="s">
        <v>137</v>
      </c>
      <c r="B4" t="s">
        <v>333</v>
      </c>
      <c r="C4" t="n">
        <v>-0.0259981682763624</v>
      </c>
      <c r="D4" t="n">
        <v>0.033054351129345</v>
      </c>
      <c r="E4" t="n">
        <v>0.618626084974105</v>
      </c>
      <c r="F4" t="n">
        <v>0.4315582999747</v>
      </c>
      <c r="G4" t="s">
        <v>329</v>
      </c>
      <c r="H4" t="n">
        <v>-0.0259981682763624</v>
      </c>
      <c r="I4" t="n">
        <v>-0.0907846964898787</v>
      </c>
      <c r="J4" t="n">
        <v>0.0387883599371538</v>
      </c>
      <c r="K4" t="s">
        <v>371</v>
      </c>
      <c r="L4" t="s">
        <v>331</v>
      </c>
      <c r="M4" t="s">
        <v>332</v>
      </c>
      <c r="N4"/>
    </row>
    <row r="5">
      <c r="A5" t="s">
        <v>137</v>
      </c>
      <c r="B5" t="s">
        <v>335</v>
      </c>
      <c r="C5" t="n">
        <v>-0.00458237614742176</v>
      </c>
      <c r="D5" t="n">
        <v>0.0301290653582064</v>
      </c>
      <c r="E5" t="n">
        <v>0.0231318385419268</v>
      </c>
      <c r="F5" t="n">
        <v>0.879114731493684</v>
      </c>
      <c r="G5" t="s">
        <v>329</v>
      </c>
      <c r="H5" t="n">
        <v>-0.00458237614742176</v>
      </c>
      <c r="I5" t="n">
        <v>-0.0636353442495062</v>
      </c>
      <c r="J5" t="n">
        <v>0.0544705919546627</v>
      </c>
      <c r="K5" t="s">
        <v>372</v>
      </c>
      <c r="L5" t="s">
        <v>331</v>
      </c>
      <c r="M5" t="s">
        <v>332</v>
      </c>
      <c r="N5"/>
    </row>
    <row r="6">
      <c r="A6" t="s">
        <v>143</v>
      </c>
      <c r="B6" t="s">
        <v>328</v>
      </c>
      <c r="C6" t="n">
        <v>64.0320847274548</v>
      </c>
      <c r="D6" t="n">
        <v>1.78714499170254</v>
      </c>
      <c r="E6" t="n">
        <v>1283.73595883842</v>
      </c>
      <c r="F6" t="n">
        <v>0</v>
      </c>
      <c r="G6" t="s">
        <v>329</v>
      </c>
      <c r="H6" t="n">
        <v>64.0320847274548</v>
      </c>
      <c r="I6" t="n">
        <v>60.5292805437178</v>
      </c>
      <c r="J6" t="n">
        <v>67.5348889111918</v>
      </c>
      <c r="K6" t="s">
        <v>373</v>
      </c>
      <c r="L6" t="s">
        <v>331</v>
      </c>
      <c r="M6" t="s">
        <v>332</v>
      </c>
      <c r="N6"/>
    </row>
    <row r="7">
      <c r="A7" t="s">
        <v>143</v>
      </c>
      <c r="B7" t="s">
        <v>333</v>
      </c>
      <c r="C7" t="n">
        <v>2.9625388977738</v>
      </c>
      <c r="D7" t="n">
        <v>3.14233371439468</v>
      </c>
      <c r="E7" t="n">
        <v>0.888839840003216</v>
      </c>
      <c r="F7" t="n">
        <v>0.345791893974261</v>
      </c>
      <c r="G7" t="s">
        <v>329</v>
      </c>
      <c r="H7" t="n">
        <v>2.9625388977738</v>
      </c>
      <c r="I7" t="n">
        <v>-3.19643518243977</v>
      </c>
      <c r="J7" t="n">
        <v>9.12151297798737</v>
      </c>
      <c r="K7" t="s">
        <v>374</v>
      </c>
      <c r="L7" t="s">
        <v>331</v>
      </c>
      <c r="M7" t="s">
        <v>332</v>
      </c>
      <c r="N7"/>
    </row>
    <row r="8">
      <c r="A8" t="s">
        <v>143</v>
      </c>
      <c r="B8" t="s">
        <v>335</v>
      </c>
      <c r="C8" t="n">
        <v>6.59552816700962</v>
      </c>
      <c r="D8" t="n">
        <v>2.86521106335143</v>
      </c>
      <c r="E8" t="n">
        <v>5.29890239488801</v>
      </c>
      <c r="F8" t="n">
        <v>0.0213388668403729</v>
      </c>
      <c r="G8" t="s">
        <v>329</v>
      </c>
      <c r="H8" t="n">
        <v>6.59552816700962</v>
      </c>
      <c r="I8" t="n">
        <v>0.979714482840823</v>
      </c>
      <c r="J8" t="n">
        <v>12.2113418511784</v>
      </c>
      <c r="K8" t="s">
        <v>375</v>
      </c>
      <c r="L8" t="s">
        <v>331</v>
      </c>
      <c r="M8" t="s">
        <v>332</v>
      </c>
      <c r="N8"/>
    </row>
    <row r="9">
      <c r="A9" t="s">
        <v>376</v>
      </c>
      <c r="B9"/>
      <c r="C9"/>
      <c r="D9"/>
      <c r="E9"/>
      <c r="F9"/>
      <c r="G9"/>
      <c r="H9"/>
      <c r="I9"/>
      <c r="J9"/>
      <c r="K9"/>
      <c r="L9" t="s">
        <v>369</v>
      </c>
      <c r="M9"/>
      <c r="N9"/>
    </row>
  </sheetData>
  <pageMargins left="0.7" right="0.7" top="0.75" bottom="0.75" header="0.3" footer="0.3"/>
  <pageSetup paperSize="9" orientation="portrait" horizontalDpi="300" verticalDpi="300"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1" t="s">
        <v>313</v>
      </c>
    </row>
    <row r="2">
      <c r="A2" t="s">
        <v>314</v>
      </c>
      <c r="B2" t="s">
        <v>315</v>
      </c>
      <c r="C2" t="s">
        <v>316</v>
      </c>
      <c r="D2" t="s">
        <v>317</v>
      </c>
      <c r="E2" t="s">
        <v>318</v>
      </c>
      <c r="F2" t="s">
        <v>319</v>
      </c>
      <c r="G2" t="s">
        <v>320</v>
      </c>
      <c r="H2" t="s">
        <v>321</v>
      </c>
      <c r="I2" t="s">
        <v>322</v>
      </c>
      <c r="J2" t="s">
        <v>323</v>
      </c>
      <c r="K2" t="s">
        <v>324</v>
      </c>
      <c r="L2" t="s">
        <v>325</v>
      </c>
      <c r="M2" t="s">
        <v>326</v>
      </c>
      <c r="N2" t="s">
        <v>1</v>
      </c>
    </row>
    <row r="3">
      <c r="A3" t="s">
        <v>165</v>
      </c>
      <c r="B3" t="s">
        <v>328</v>
      </c>
      <c r="C3" t="n">
        <v>184.626591975561</v>
      </c>
      <c r="D3" t="n">
        <v>5.59609209628957</v>
      </c>
      <c r="E3" t="n">
        <v>1088.47585524731</v>
      </c>
      <c r="F3" t="n">
        <v>0</v>
      </c>
      <c r="G3" t="s">
        <v>329</v>
      </c>
      <c r="H3" t="n">
        <v>184.626591975561</v>
      </c>
      <c r="I3" t="n">
        <v>173.658251466833</v>
      </c>
      <c r="J3" t="n">
        <v>195.594932484288</v>
      </c>
      <c r="K3" t="s">
        <v>377</v>
      </c>
      <c r="L3" t="s">
        <v>331</v>
      </c>
      <c r="M3" t="s">
        <v>332</v>
      </c>
      <c r="N3"/>
    </row>
    <row r="4">
      <c r="A4" t="s">
        <v>165</v>
      </c>
      <c r="B4" t="s">
        <v>333</v>
      </c>
      <c r="C4" t="n">
        <v>-9.95372694177568</v>
      </c>
      <c r="D4" t="n">
        <v>9.7252224336842</v>
      </c>
      <c r="E4" t="n">
        <v>1.04754420552099</v>
      </c>
      <c r="F4" t="n">
        <v>0.30607335705987</v>
      </c>
      <c r="G4" t="s">
        <v>329</v>
      </c>
      <c r="H4" t="n">
        <v>-9.95372694177568</v>
      </c>
      <c r="I4" t="n">
        <v>-29.0151629117967</v>
      </c>
      <c r="J4" t="n">
        <v>9.10770902824535</v>
      </c>
      <c r="K4" t="s">
        <v>378</v>
      </c>
      <c r="L4" t="s">
        <v>331</v>
      </c>
      <c r="M4" t="s">
        <v>332</v>
      </c>
      <c r="N4"/>
    </row>
    <row r="5">
      <c r="A5" t="s">
        <v>165</v>
      </c>
      <c r="B5" t="s">
        <v>335</v>
      </c>
      <c r="C5" t="n">
        <v>-1.15715869594071</v>
      </c>
      <c r="D5" t="n">
        <v>9.94210794608798</v>
      </c>
      <c r="E5" t="n">
        <v>0.0135465560551466</v>
      </c>
      <c r="F5" t="n">
        <v>0.907343719269687</v>
      </c>
      <c r="G5" t="s">
        <v>329</v>
      </c>
      <c r="H5" t="n">
        <v>-1.15715869594071</v>
      </c>
      <c r="I5" t="n">
        <v>-20.6436902702732</v>
      </c>
      <c r="J5" t="n">
        <v>18.3293728783917</v>
      </c>
      <c r="K5" t="s">
        <v>379</v>
      </c>
      <c r="L5" t="s">
        <v>331</v>
      </c>
      <c r="M5" t="s">
        <v>332</v>
      </c>
      <c r="N5"/>
    </row>
    <row r="6">
      <c r="A6" t="s">
        <v>174</v>
      </c>
      <c r="B6" t="s">
        <v>328</v>
      </c>
      <c r="C6" t="n">
        <v>0.0214191277120863</v>
      </c>
      <c r="D6" t="n">
        <v>0.0205523588841824</v>
      </c>
      <c r="E6" t="n">
        <v>1.08612600170562</v>
      </c>
      <c r="F6" t="n">
        <v>0.297331158383062</v>
      </c>
      <c r="G6" t="s">
        <v>329</v>
      </c>
      <c r="H6" t="n">
        <v>0.0214191277120863</v>
      </c>
      <c r="I6" t="n">
        <v>-0.0188634957009112</v>
      </c>
      <c r="J6" t="n">
        <v>0.0617017511250839</v>
      </c>
      <c r="K6" t="s">
        <v>380</v>
      </c>
      <c r="L6" t="s">
        <v>331</v>
      </c>
      <c r="M6" t="s">
        <v>332</v>
      </c>
      <c r="N6"/>
    </row>
    <row r="7">
      <c r="A7" t="s">
        <v>174</v>
      </c>
      <c r="B7" t="s">
        <v>333</v>
      </c>
      <c r="C7" t="n">
        <v>-0.204856874320337</v>
      </c>
      <c r="D7" t="n">
        <v>0.0459194441760463</v>
      </c>
      <c r="E7" t="n">
        <v>19.9025094539324</v>
      </c>
      <c r="F7" t="n">
        <v>0.00000814932849357852</v>
      </c>
      <c r="G7" t="s">
        <v>329</v>
      </c>
      <c r="H7" t="n">
        <v>-0.204856874320337</v>
      </c>
      <c r="I7" t="n">
        <v>-0.294858984905388</v>
      </c>
      <c r="J7" t="n">
        <v>-0.114854763735286</v>
      </c>
      <c r="K7" t="s">
        <v>381</v>
      </c>
      <c r="L7" t="s">
        <v>331</v>
      </c>
      <c r="M7" t="s">
        <v>332</v>
      </c>
      <c r="N7"/>
    </row>
    <row r="8">
      <c r="A8" t="s">
        <v>174</v>
      </c>
      <c r="B8" t="s">
        <v>335</v>
      </c>
      <c r="C8" t="n">
        <v>-0.158934344768432</v>
      </c>
      <c r="D8" t="n">
        <v>0.0403327615433173</v>
      </c>
      <c r="E8" t="n">
        <v>15.528145585266</v>
      </c>
      <c r="F8" t="n">
        <v>0.0000812859178122016</v>
      </c>
      <c r="G8" t="s">
        <v>329</v>
      </c>
      <c r="H8" t="n">
        <v>-0.158934344768432</v>
      </c>
      <c r="I8" t="n">
        <v>-0.237986557393334</v>
      </c>
      <c r="J8" t="n">
        <v>-0.0798821321435303</v>
      </c>
      <c r="K8" t="s">
        <v>382</v>
      </c>
      <c r="L8" t="s">
        <v>331</v>
      </c>
      <c r="M8" t="s">
        <v>332</v>
      </c>
      <c r="N8"/>
    </row>
    <row r="9">
      <c r="A9" t="s">
        <v>182</v>
      </c>
      <c r="B9" t="s">
        <v>328</v>
      </c>
      <c r="C9" t="n">
        <v>-0.21884265212364</v>
      </c>
      <c r="D9" t="n">
        <v>0.0115111602626418</v>
      </c>
      <c r="E9" t="n">
        <v>361.431281716465</v>
      </c>
      <c r="F9" t="n">
        <v>0</v>
      </c>
      <c r="G9" t="s">
        <v>329</v>
      </c>
      <c r="H9" t="n">
        <v>-0.21884265212364</v>
      </c>
      <c r="I9" t="n">
        <v>-0.241404526238418</v>
      </c>
      <c r="J9" t="n">
        <v>-0.196280778008862</v>
      </c>
      <c r="K9" t="s">
        <v>383</v>
      </c>
      <c r="L9" t="s">
        <v>331</v>
      </c>
      <c r="M9" t="s">
        <v>332</v>
      </c>
      <c r="N9"/>
    </row>
    <row r="10">
      <c r="A10" t="s">
        <v>182</v>
      </c>
      <c r="B10" t="s">
        <v>333</v>
      </c>
      <c r="C10" t="n">
        <v>0.0046458955784399</v>
      </c>
      <c r="D10" t="n">
        <v>0.0217637490540393</v>
      </c>
      <c r="E10" t="n">
        <v>0.0455692068274942</v>
      </c>
      <c r="F10" t="n">
        <v>0.83096081394986</v>
      </c>
      <c r="G10" t="s">
        <v>329</v>
      </c>
      <c r="H10" t="n">
        <v>0.0046458955784399</v>
      </c>
      <c r="I10" t="n">
        <v>-0.0380110525674772</v>
      </c>
      <c r="J10" t="n">
        <v>0.047302843724357</v>
      </c>
      <c r="K10" t="s">
        <v>384</v>
      </c>
      <c r="L10" t="s">
        <v>331</v>
      </c>
      <c r="M10" t="s">
        <v>332</v>
      </c>
      <c r="N10"/>
    </row>
    <row r="11">
      <c r="A11" t="s">
        <v>182</v>
      </c>
      <c r="B11" t="s">
        <v>335</v>
      </c>
      <c r="C11" t="n">
        <v>-0.00664047360005537</v>
      </c>
      <c r="D11" t="n">
        <v>0.0216937907160078</v>
      </c>
      <c r="E11" t="n">
        <v>0.0936973302706849</v>
      </c>
      <c r="F11" t="n">
        <v>0.759528358350571</v>
      </c>
      <c r="G11" t="s">
        <v>329</v>
      </c>
      <c r="H11" t="n">
        <v>-0.00664047360005537</v>
      </c>
      <c r="I11" t="n">
        <v>-0.0491603034034306</v>
      </c>
      <c r="J11" t="n">
        <v>0.0358793562033199</v>
      </c>
      <c r="K11" t="s">
        <v>385</v>
      </c>
      <c r="L11" t="s">
        <v>331</v>
      </c>
      <c r="M11" t="s">
        <v>332</v>
      </c>
      <c r="N11"/>
    </row>
    <row r="12">
      <c r="A12" t="s">
        <v>190</v>
      </c>
      <c r="B12" t="s">
        <v>328</v>
      </c>
      <c r="C12" t="n">
        <v>-0.00131970291638407</v>
      </c>
      <c r="D12" t="n">
        <v>0.00331360228642033</v>
      </c>
      <c r="E12" t="n">
        <v>0.158617678903842</v>
      </c>
      <c r="F12" t="n">
        <v>0.690432387669879</v>
      </c>
      <c r="G12" t="s">
        <v>329</v>
      </c>
      <c r="H12" t="n">
        <v>-0.00131970291638407</v>
      </c>
      <c r="I12" t="n">
        <v>-0.00781436339776792</v>
      </c>
      <c r="J12" t="n">
        <v>0.00517495756499978</v>
      </c>
      <c r="K12" t="s">
        <v>386</v>
      </c>
      <c r="L12" t="s">
        <v>331</v>
      </c>
      <c r="M12" t="s">
        <v>332</v>
      </c>
      <c r="N12"/>
    </row>
    <row r="13">
      <c r="A13" t="s">
        <v>190</v>
      </c>
      <c r="B13" t="s">
        <v>333</v>
      </c>
      <c r="C13" t="n">
        <v>0.0553608923970402</v>
      </c>
      <c r="D13" t="n">
        <v>0.0062167446516355</v>
      </c>
      <c r="E13" t="n">
        <v>79.3012632441182</v>
      </c>
      <c r="F13" t="n">
        <v>0</v>
      </c>
      <c r="G13" t="s">
        <v>329</v>
      </c>
      <c r="H13" t="n">
        <v>0.0553608923970402</v>
      </c>
      <c r="I13" t="n">
        <v>0.0431760728798346</v>
      </c>
      <c r="J13" t="n">
        <v>0.0675457119142458</v>
      </c>
      <c r="K13" t="s">
        <v>387</v>
      </c>
      <c r="L13" t="s">
        <v>331</v>
      </c>
      <c r="M13" t="s">
        <v>332</v>
      </c>
      <c r="N13"/>
    </row>
    <row r="14">
      <c r="A14" t="s">
        <v>190</v>
      </c>
      <c r="B14" t="s">
        <v>335</v>
      </c>
      <c r="C14" t="n">
        <v>0.0214839594148739</v>
      </c>
      <c r="D14" t="n">
        <v>0.0056480926153232</v>
      </c>
      <c r="E14" t="n">
        <v>14.4685506034325</v>
      </c>
      <c r="F14" t="n">
        <v>0.000142519253181428</v>
      </c>
      <c r="G14" t="s">
        <v>329</v>
      </c>
      <c r="H14" t="n">
        <v>0.0214839594148739</v>
      </c>
      <c r="I14" t="n">
        <v>0.0104136978888404</v>
      </c>
      <c r="J14" t="n">
        <v>0.0325542209409074</v>
      </c>
      <c r="K14" t="s">
        <v>388</v>
      </c>
      <c r="L14" t="s">
        <v>331</v>
      </c>
      <c r="M14" t="s">
        <v>332</v>
      </c>
      <c r="N14"/>
    </row>
    <row r="15">
      <c r="A15" t="s">
        <v>197</v>
      </c>
      <c r="B15" t="s">
        <v>328</v>
      </c>
      <c r="C15" t="n">
        <v>-0.0143072927980018</v>
      </c>
      <c r="D15" t="n">
        <v>0.00233275718836695</v>
      </c>
      <c r="E15" t="n">
        <v>37.616281114171</v>
      </c>
      <c r="F15" t="n">
        <v>0.000000000861226201465115</v>
      </c>
      <c r="G15" t="s">
        <v>329</v>
      </c>
      <c r="H15" t="n">
        <v>-0.0143072927980018</v>
      </c>
      <c r="I15" t="n">
        <v>-0.018879496887201</v>
      </c>
      <c r="J15" t="n">
        <v>-0.00973508870880256</v>
      </c>
      <c r="K15" t="s">
        <v>389</v>
      </c>
      <c r="L15" t="s">
        <v>331</v>
      </c>
      <c r="M15" t="s">
        <v>332</v>
      </c>
      <c r="N15"/>
    </row>
    <row r="16">
      <c r="A16" t="s">
        <v>197</v>
      </c>
      <c r="B16" t="s">
        <v>333</v>
      </c>
      <c r="C16" t="n">
        <v>0.00698579951176065</v>
      </c>
      <c r="D16" t="n">
        <v>0.00405381420030128</v>
      </c>
      <c r="E16" t="n">
        <v>2.9696451371801</v>
      </c>
      <c r="F16" t="n">
        <v>0.0848404631274265</v>
      </c>
      <c r="G16" t="s">
        <v>329</v>
      </c>
      <c r="H16" t="n">
        <v>0.00698579951176065</v>
      </c>
      <c r="I16" t="n">
        <v>-0.000959676320829867</v>
      </c>
      <c r="J16" t="n">
        <v>0.0149312753443512</v>
      </c>
      <c r="K16" t="s">
        <v>390</v>
      </c>
      <c r="L16" t="s">
        <v>331</v>
      </c>
      <c r="M16" t="s">
        <v>332</v>
      </c>
      <c r="N16"/>
    </row>
    <row r="17">
      <c r="A17" t="s">
        <v>197</v>
      </c>
      <c r="B17" t="s">
        <v>335</v>
      </c>
      <c r="C17" t="n">
        <v>-0.000998576152306916</v>
      </c>
      <c r="D17" t="n">
        <v>0.00379880139427363</v>
      </c>
      <c r="E17" t="n">
        <v>0.0690985927735087</v>
      </c>
      <c r="F17" t="n">
        <v>0.792653776787107</v>
      </c>
      <c r="G17" t="s">
        <v>329</v>
      </c>
      <c r="H17" t="n">
        <v>-0.000998576152306916</v>
      </c>
      <c r="I17" t="n">
        <v>-0.00844422688508323</v>
      </c>
      <c r="J17" t="n">
        <v>0.0064470745804694</v>
      </c>
      <c r="K17" t="s">
        <v>391</v>
      </c>
      <c r="L17" t="s">
        <v>331</v>
      </c>
      <c r="M17" t="s">
        <v>332</v>
      </c>
      <c r="N17"/>
    </row>
    <row r="18">
      <c r="A18" t="s">
        <v>205</v>
      </c>
      <c r="B18"/>
      <c r="C18"/>
      <c r="D18"/>
      <c r="E18"/>
      <c r="F18"/>
      <c r="G18"/>
      <c r="H18"/>
      <c r="I18"/>
      <c r="J18"/>
      <c r="K18"/>
      <c r="L18" t="s">
        <v>358</v>
      </c>
      <c r="M18"/>
      <c r="N18"/>
    </row>
    <row r="19">
      <c r="A19" t="s">
        <v>208</v>
      </c>
      <c r="B19"/>
      <c r="C19"/>
      <c r="D19"/>
      <c r="E19"/>
      <c r="F19"/>
      <c r="G19"/>
      <c r="H19"/>
      <c r="I19"/>
      <c r="J19"/>
      <c r="K19"/>
      <c r="L19" t="s">
        <v>358</v>
      </c>
      <c r="M19"/>
      <c r="N19"/>
    </row>
    <row r="20">
      <c r="A20" t="s">
        <v>392</v>
      </c>
      <c r="B20" t="s">
        <v>328</v>
      </c>
      <c r="C20" t="n">
        <v>-1.65298703705795</v>
      </c>
      <c r="D20" t="n">
        <v>0.16329856513392</v>
      </c>
      <c r="E20" t="n">
        <v>102.464672941229</v>
      </c>
      <c r="F20" t="n">
        <v>0</v>
      </c>
      <c r="G20" t="s">
        <v>359</v>
      </c>
      <c r="H20" t="n">
        <v>0.191477104346425</v>
      </c>
      <c r="I20" t="n">
        <v>0.139031851485996</v>
      </c>
      <c r="J20" t="n">
        <v>0.263705626423198</v>
      </c>
      <c r="K20" t="s">
        <v>393</v>
      </c>
      <c r="L20" t="s">
        <v>361</v>
      </c>
      <c r="M20" t="s">
        <v>332</v>
      </c>
      <c r="N20"/>
    </row>
    <row r="21">
      <c r="A21" t="s">
        <v>392</v>
      </c>
      <c r="B21" t="s">
        <v>333</v>
      </c>
      <c r="C21" t="n">
        <v>0.974683448166593</v>
      </c>
      <c r="D21" t="n">
        <v>0.245970685600912</v>
      </c>
      <c r="E21" t="n">
        <v>15.7021990630114</v>
      </c>
      <c r="F21" t="n">
        <v>0.000074137925576756</v>
      </c>
      <c r="G21" t="s">
        <v>359</v>
      </c>
      <c r="H21" t="n">
        <v>2.65032811195748</v>
      </c>
      <c r="I21" t="n">
        <v>1.63653451321565</v>
      </c>
      <c r="J21" t="n">
        <v>4.29214235587984</v>
      </c>
      <c r="K21" t="s">
        <v>394</v>
      </c>
      <c r="L21" t="s">
        <v>361</v>
      </c>
      <c r="M21" t="s">
        <v>332</v>
      </c>
      <c r="N21"/>
    </row>
    <row r="22">
      <c r="A22" t="s">
        <v>392</v>
      </c>
      <c r="B22" t="s">
        <v>335</v>
      </c>
      <c r="C22" t="n">
        <v>1.70064601722766</v>
      </c>
      <c r="D22" t="n">
        <v>0.25890657065995</v>
      </c>
      <c r="E22" t="n">
        <v>43.1461161268108</v>
      </c>
      <c r="F22" t="n">
        <v>0.0000000000508005859600758</v>
      </c>
      <c r="G22" t="s">
        <v>359</v>
      </c>
      <c r="H22" t="n">
        <v>5.47748479853542</v>
      </c>
      <c r="I22" t="n">
        <v>3.29758089897147</v>
      </c>
      <c r="J22" t="n">
        <v>9.09843932185093</v>
      </c>
      <c r="K22" t="s">
        <v>395</v>
      </c>
      <c r="L22" t="s">
        <v>361</v>
      </c>
      <c r="M22" t="s">
        <v>332</v>
      </c>
      <c r="N22"/>
    </row>
    <row r="23">
      <c r="A23" t="s">
        <v>396</v>
      </c>
      <c r="B23" t="s">
        <v>328</v>
      </c>
      <c r="C23" t="n">
        <v>-3.4027935035491</v>
      </c>
      <c r="D23" t="n">
        <v>0.353007569747406</v>
      </c>
      <c r="E23" t="n">
        <v>92.9187060521389</v>
      </c>
      <c r="F23" t="n">
        <v>0</v>
      </c>
      <c r="G23" t="s">
        <v>359</v>
      </c>
      <c r="H23" t="n">
        <v>0.0332801717079383</v>
      </c>
      <c r="I23" t="n">
        <v>0.0166609380175497</v>
      </c>
      <c r="J23" t="n">
        <v>0.0664770391524897</v>
      </c>
      <c r="K23" t="s">
        <v>397</v>
      </c>
      <c r="L23" t="s">
        <v>361</v>
      </c>
      <c r="M23" t="s">
        <v>332</v>
      </c>
      <c r="N23"/>
    </row>
    <row r="24">
      <c r="A24" t="s">
        <v>396</v>
      </c>
      <c r="B24" t="s">
        <v>333</v>
      </c>
      <c r="C24" t="n">
        <v>0.954005352842756</v>
      </c>
      <c r="D24" t="n">
        <v>0.515338755588826</v>
      </c>
      <c r="E24" t="n">
        <v>3.42701506970019</v>
      </c>
      <c r="F24" t="n">
        <v>0.064137925888225</v>
      </c>
      <c r="G24" t="s">
        <v>359</v>
      </c>
      <c r="H24" t="n">
        <v>2.59608710764777</v>
      </c>
      <c r="I24" t="n">
        <v>0.94548372125133</v>
      </c>
      <c r="J24" t="n">
        <v>7.12827531453965</v>
      </c>
      <c r="K24" t="s">
        <v>398</v>
      </c>
      <c r="L24" t="s">
        <v>361</v>
      </c>
      <c r="M24" t="s">
        <v>332</v>
      </c>
      <c r="N24"/>
    </row>
    <row r="25">
      <c r="A25" t="s">
        <v>396</v>
      </c>
      <c r="B25" t="s">
        <v>335</v>
      </c>
      <c r="C25" t="n">
        <v>0.733597518798117</v>
      </c>
      <c r="D25" t="n">
        <v>0.525644398539888</v>
      </c>
      <c r="E25" t="n">
        <v>1.94774288248349</v>
      </c>
      <c r="F25" t="n">
        <v>0.162830284398115</v>
      </c>
      <c r="G25" t="s">
        <v>359</v>
      </c>
      <c r="H25" t="n">
        <v>2.08255919327824</v>
      </c>
      <c r="I25" t="n">
        <v>0.743292600419049</v>
      </c>
      <c r="J25" t="n">
        <v>5.83491991049368</v>
      </c>
      <c r="K25" t="s">
        <v>399</v>
      </c>
      <c r="L25" t="s">
        <v>361</v>
      </c>
      <c r="M25" t="s">
        <v>332</v>
      </c>
      <c r="N25"/>
    </row>
    <row r="26">
      <c r="A26" t="s">
        <v>400</v>
      </c>
      <c r="B26"/>
      <c r="C26"/>
      <c r="D26"/>
      <c r="E26"/>
      <c r="F26"/>
      <c r="G26"/>
      <c r="H26"/>
      <c r="I26"/>
      <c r="J26"/>
      <c r="K26"/>
      <c r="L26" t="s">
        <v>369</v>
      </c>
      <c r="M26"/>
      <c r="N26"/>
    </row>
  </sheetData>
  <pageMargins left="0.7" right="0.7" top="0.75" bottom="0.75" header="0.3" footer="0.3"/>
  <pageSetup paperSize="9" orientation="portrait" horizontalDpi="300" verticalDpi="300"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1" t="s">
        <v>313</v>
      </c>
    </row>
    <row r="2">
      <c r="A2" t="s">
        <v>314</v>
      </c>
      <c r="B2" t="s">
        <v>315</v>
      </c>
      <c r="C2" t="s">
        <v>316</v>
      </c>
      <c r="D2" t="s">
        <v>317</v>
      </c>
      <c r="E2" t="s">
        <v>318</v>
      </c>
      <c r="F2" t="s">
        <v>319</v>
      </c>
      <c r="G2" t="s">
        <v>320</v>
      </c>
      <c r="H2" t="s">
        <v>321</v>
      </c>
      <c r="I2" t="s">
        <v>322</v>
      </c>
      <c r="J2" t="s">
        <v>323</v>
      </c>
      <c r="K2" t="s">
        <v>324</v>
      </c>
      <c r="L2" t="s">
        <v>325</v>
      </c>
      <c r="M2" t="s">
        <v>326</v>
      </c>
      <c r="N2" t="s">
        <v>1</v>
      </c>
    </row>
    <row r="3">
      <c r="A3" t="s">
        <v>327</v>
      </c>
      <c r="B3" t="s">
        <v>328</v>
      </c>
      <c r="C3" t="n">
        <v>30.9040517245487</v>
      </c>
      <c r="D3" t="n">
        <v>0.507515578061508</v>
      </c>
      <c r="E3" t="n">
        <v>3707.93480344883</v>
      </c>
      <c r="F3" t="n">
        <v>0</v>
      </c>
      <c r="G3" t="s">
        <v>329</v>
      </c>
      <c r="H3" t="n">
        <v>30.9040517245487</v>
      </c>
      <c r="I3" t="n">
        <v>29.9093211915481</v>
      </c>
      <c r="J3" t="n">
        <v>31.8987822575492</v>
      </c>
      <c r="K3" t="s">
        <v>401</v>
      </c>
      <c r="L3" t="s">
        <v>402</v>
      </c>
      <c r="M3" t="s">
        <v>55</v>
      </c>
      <c r="N3"/>
    </row>
    <row r="4">
      <c r="A4" t="s">
        <v>327</v>
      </c>
      <c r="B4" t="s">
        <v>333</v>
      </c>
      <c r="C4" t="n">
        <v>7.6266200274469</v>
      </c>
      <c r="D4" t="n">
        <v>0.936082446131098</v>
      </c>
      <c r="E4" t="n">
        <v>66.3798117873221</v>
      </c>
      <c r="F4" t="n">
        <v>0.000000000000000333066907387547</v>
      </c>
      <c r="G4" t="s">
        <v>329</v>
      </c>
      <c r="H4" t="n">
        <v>7.6266200274469</v>
      </c>
      <c r="I4" t="n">
        <v>5.79189843302995</v>
      </c>
      <c r="J4" t="n">
        <v>9.46134162186386</v>
      </c>
      <c r="K4" t="s">
        <v>403</v>
      </c>
      <c r="L4" t="s">
        <v>402</v>
      </c>
      <c r="M4" t="s">
        <v>55</v>
      </c>
      <c r="N4"/>
    </row>
    <row r="5">
      <c r="A5" t="s">
        <v>327</v>
      </c>
      <c r="B5" t="s">
        <v>335</v>
      </c>
      <c r="C5" t="n">
        <v>2.62127991694828</v>
      </c>
      <c r="D5" t="n">
        <v>0.843489156268821</v>
      </c>
      <c r="E5" t="n">
        <v>9.65756840130908</v>
      </c>
      <c r="F5" t="n">
        <v>0.00188573058397046</v>
      </c>
      <c r="G5" t="s">
        <v>329</v>
      </c>
      <c r="H5" t="n">
        <v>2.62127991694828</v>
      </c>
      <c r="I5" t="n">
        <v>0.968041170661393</v>
      </c>
      <c r="J5" t="n">
        <v>4.27451866323517</v>
      </c>
      <c r="K5" t="s">
        <v>404</v>
      </c>
      <c r="L5" t="s">
        <v>402</v>
      </c>
      <c r="M5" t="s">
        <v>55</v>
      </c>
      <c r="N5"/>
    </row>
    <row r="6">
      <c r="A6" t="s">
        <v>327</v>
      </c>
      <c r="B6" t="s">
        <v>55</v>
      </c>
      <c r="C6" t="n">
        <v>-0.00734604921603618</v>
      </c>
      <c r="D6" t="n">
        <v>0.0295455066619123</v>
      </c>
      <c r="E6" t="n">
        <v>0.0618193996995699</v>
      </c>
      <c r="F6" t="n">
        <v>0.803643075654827</v>
      </c>
      <c r="G6" t="s">
        <v>329</v>
      </c>
      <c r="H6" t="n">
        <v>-0.00734604921603618</v>
      </c>
      <c r="I6" t="n">
        <v>-0.0652552422733842</v>
      </c>
      <c r="J6" t="n">
        <v>0.0505631438413119</v>
      </c>
      <c r="K6" t="s">
        <v>405</v>
      </c>
      <c r="L6" t="s">
        <v>402</v>
      </c>
      <c r="M6" t="s">
        <v>55</v>
      </c>
      <c r="N6"/>
    </row>
    <row r="7">
      <c r="A7" t="s">
        <v>55</v>
      </c>
      <c r="B7" t="s">
        <v>328</v>
      </c>
      <c r="C7" t="n">
        <v>-4.1388537973545</v>
      </c>
      <c r="D7" t="n">
        <v>0.453441917093829</v>
      </c>
      <c r="E7" t="n">
        <v>83.3137804550689</v>
      </c>
      <c r="F7" t="n">
        <v>0</v>
      </c>
      <c r="G7" t="s">
        <v>329</v>
      </c>
      <c r="H7" t="n">
        <v>-4.1388537973545</v>
      </c>
      <c r="I7" t="n">
        <v>-5.02759995485841</v>
      </c>
      <c r="J7" t="n">
        <v>-3.2501076398506</v>
      </c>
      <c r="K7" t="s">
        <v>406</v>
      </c>
      <c r="L7" t="s">
        <v>402</v>
      </c>
      <c r="M7" t="s">
        <v>327</v>
      </c>
      <c r="N7"/>
    </row>
    <row r="8">
      <c r="A8" t="s">
        <v>55</v>
      </c>
      <c r="B8" t="s">
        <v>333</v>
      </c>
      <c r="C8" t="n">
        <v>-0.230615913160939</v>
      </c>
      <c r="D8" t="n">
        <v>0.240892673248439</v>
      </c>
      <c r="E8" t="n">
        <v>0.916497660841968</v>
      </c>
      <c r="F8" t="n">
        <v>0.338396255669442</v>
      </c>
      <c r="G8" t="s">
        <v>329</v>
      </c>
      <c r="H8" t="n">
        <v>-0.230615913160939</v>
      </c>
      <c r="I8" t="n">
        <v>-0.702765552727878</v>
      </c>
      <c r="J8" t="n">
        <v>0.241533726406001</v>
      </c>
      <c r="K8" t="s">
        <v>407</v>
      </c>
      <c r="L8" t="s">
        <v>402</v>
      </c>
      <c r="M8" t="s">
        <v>327</v>
      </c>
      <c r="N8"/>
    </row>
    <row r="9">
      <c r="A9" t="s">
        <v>55</v>
      </c>
      <c r="B9" t="s">
        <v>335</v>
      </c>
      <c r="C9" t="n">
        <v>-0.531491906325653</v>
      </c>
      <c r="D9" t="n">
        <v>0.209399553593977</v>
      </c>
      <c r="E9" t="n">
        <v>6.4423128005236</v>
      </c>
      <c r="F9" t="n">
        <v>0.0111433472988933</v>
      </c>
      <c r="G9" t="s">
        <v>329</v>
      </c>
      <c r="H9" t="n">
        <v>-0.531491906325653</v>
      </c>
      <c r="I9" t="n">
        <v>-0.941915031369849</v>
      </c>
      <c r="J9" t="n">
        <v>-0.121068781281458</v>
      </c>
      <c r="K9" t="s">
        <v>408</v>
      </c>
      <c r="L9" t="s">
        <v>402</v>
      </c>
      <c r="M9" t="s">
        <v>327</v>
      </c>
      <c r="N9"/>
    </row>
    <row r="10">
      <c r="A10" t="s">
        <v>55</v>
      </c>
      <c r="B10" t="s">
        <v>327</v>
      </c>
      <c r="C10" t="n">
        <v>-0.000537196338884139</v>
      </c>
      <c r="D10" t="n">
        <v>0.0142995647300191</v>
      </c>
      <c r="E10" t="n">
        <v>0.00141130360980324</v>
      </c>
      <c r="F10" t="n">
        <v>0.970032663555605</v>
      </c>
      <c r="G10" t="s">
        <v>329</v>
      </c>
      <c r="H10" t="n">
        <v>-0.000537196338884139</v>
      </c>
      <c r="I10" t="n">
        <v>-0.0285643432097215</v>
      </c>
      <c r="J10" t="n">
        <v>0.0274899505319532</v>
      </c>
      <c r="K10" t="s">
        <v>409</v>
      </c>
      <c r="L10" t="s">
        <v>402</v>
      </c>
      <c r="M10" t="s">
        <v>327</v>
      </c>
      <c r="N10"/>
    </row>
    <row r="11">
      <c r="A11" t="s">
        <v>62</v>
      </c>
      <c r="B11" t="s">
        <v>328</v>
      </c>
      <c r="C11" t="n">
        <v>0.259838050062335</v>
      </c>
      <c r="D11" t="n">
        <v>0.0664240963482051</v>
      </c>
      <c r="E11" t="n">
        <v>15.3022110374706</v>
      </c>
      <c r="F11" t="n">
        <v>0.0000916092230811572</v>
      </c>
      <c r="G11" t="s">
        <v>329</v>
      </c>
      <c r="H11" t="n">
        <v>0.259838050062335</v>
      </c>
      <c r="I11" t="n">
        <v>0.129646821219853</v>
      </c>
      <c r="J11" t="n">
        <v>0.390029278904817</v>
      </c>
      <c r="K11" t="s">
        <v>410</v>
      </c>
      <c r="L11" t="s">
        <v>331</v>
      </c>
      <c r="M11" t="s">
        <v>411</v>
      </c>
      <c r="N11"/>
    </row>
    <row r="12">
      <c r="A12" t="s">
        <v>62</v>
      </c>
      <c r="B12" t="s">
        <v>333</v>
      </c>
      <c r="C12" t="n">
        <v>0.0133193894709583</v>
      </c>
      <c r="D12" t="n">
        <v>0.0339687398813794</v>
      </c>
      <c r="E12" t="n">
        <v>0.153748102200037</v>
      </c>
      <c r="F12" t="n">
        <v>0.694978964563391</v>
      </c>
      <c r="G12" t="s">
        <v>329</v>
      </c>
      <c r="H12" t="n">
        <v>0.0133193894709583</v>
      </c>
      <c r="I12" t="n">
        <v>-0.0532593406965454</v>
      </c>
      <c r="J12" t="n">
        <v>0.079898119638462</v>
      </c>
      <c r="K12" t="s">
        <v>412</v>
      </c>
      <c r="L12" t="s">
        <v>331</v>
      </c>
      <c r="M12" t="s">
        <v>411</v>
      </c>
      <c r="N12"/>
    </row>
    <row r="13">
      <c r="A13" t="s">
        <v>62</v>
      </c>
      <c r="B13" t="s">
        <v>335</v>
      </c>
      <c r="C13" t="n">
        <v>-0.0369868431008786</v>
      </c>
      <c r="D13" t="n">
        <v>0.0297249143752381</v>
      </c>
      <c r="E13" t="n">
        <v>1.5482935532303</v>
      </c>
      <c r="F13" t="n">
        <v>0.213387535522083</v>
      </c>
      <c r="G13" t="s">
        <v>329</v>
      </c>
      <c r="H13" t="n">
        <v>-0.0369868431008786</v>
      </c>
      <c r="I13" t="n">
        <v>-0.0952476752763452</v>
      </c>
      <c r="J13" t="n">
        <v>0.021273989074588</v>
      </c>
      <c r="K13" t="s">
        <v>413</v>
      </c>
      <c r="L13" t="s">
        <v>331</v>
      </c>
      <c r="M13" t="s">
        <v>411</v>
      </c>
      <c r="N13"/>
    </row>
    <row r="14">
      <c r="A14" t="s">
        <v>62</v>
      </c>
      <c r="B14" t="s">
        <v>327</v>
      </c>
      <c r="C14" t="n">
        <v>0.00175432378773107</v>
      </c>
      <c r="D14" t="n">
        <v>0.00190536149779173</v>
      </c>
      <c r="E14" t="n">
        <v>0.847744018846529</v>
      </c>
      <c r="F14" t="n">
        <v>0.357191328242552</v>
      </c>
      <c r="G14" t="s">
        <v>329</v>
      </c>
      <c r="H14" t="n">
        <v>0.00175432378773107</v>
      </c>
      <c r="I14" t="n">
        <v>-0.00198018474794072</v>
      </c>
      <c r="J14" t="n">
        <v>0.00548883232340285</v>
      </c>
      <c r="K14" t="s">
        <v>414</v>
      </c>
      <c r="L14" t="s">
        <v>331</v>
      </c>
      <c r="M14" t="s">
        <v>411</v>
      </c>
      <c r="N14"/>
    </row>
    <row r="15">
      <c r="A15" t="s">
        <v>62</v>
      </c>
      <c r="B15" t="s">
        <v>55</v>
      </c>
      <c r="C15" t="n">
        <v>0.997685104573834</v>
      </c>
      <c r="D15" t="n">
        <v>0.00623706434190802</v>
      </c>
      <c r="E15" t="n">
        <v>25587.4217742673</v>
      </c>
      <c r="F15" t="n">
        <v>0</v>
      </c>
      <c r="G15" t="s">
        <v>329</v>
      </c>
      <c r="H15" t="n">
        <v>0.997685104573834</v>
      </c>
      <c r="I15" t="n">
        <v>0.985460458463694</v>
      </c>
      <c r="J15" t="n">
        <v>1.00990975068397</v>
      </c>
      <c r="K15" t="s">
        <v>415</v>
      </c>
      <c r="L15" t="s">
        <v>331</v>
      </c>
      <c r="M15" t="s">
        <v>411</v>
      </c>
      <c r="N15"/>
    </row>
    <row r="16">
      <c r="A16" t="s">
        <v>69</v>
      </c>
      <c r="B16" t="s">
        <v>328</v>
      </c>
      <c r="C16" t="n">
        <v>-0.568482481979025</v>
      </c>
      <c r="D16" t="n">
        <v>0.127983588170948</v>
      </c>
      <c r="E16" t="n">
        <v>19.7299329162652</v>
      </c>
      <c r="F16" t="n">
        <v>0.00000891933251268018</v>
      </c>
      <c r="G16" t="s">
        <v>329</v>
      </c>
      <c r="H16" t="n">
        <v>-0.568482481979025</v>
      </c>
      <c r="I16" t="n">
        <v>-0.819330314794082</v>
      </c>
      <c r="J16" t="n">
        <v>-0.317634649163968</v>
      </c>
      <c r="K16" t="s">
        <v>416</v>
      </c>
      <c r="L16" t="s">
        <v>331</v>
      </c>
      <c r="M16" t="s">
        <v>411</v>
      </c>
      <c r="N16"/>
    </row>
    <row r="17">
      <c r="A17" t="s">
        <v>69</v>
      </c>
      <c r="B17" t="s">
        <v>333</v>
      </c>
      <c r="C17" t="n">
        <v>-0.0254965131035992</v>
      </c>
      <c r="D17" t="n">
        <v>0.0647025062373414</v>
      </c>
      <c r="E17" t="n">
        <v>0.155281377278472</v>
      </c>
      <c r="F17" t="n">
        <v>0.693538527722172</v>
      </c>
      <c r="G17" t="s">
        <v>329</v>
      </c>
      <c r="H17" t="n">
        <v>-0.0254965131035992</v>
      </c>
      <c r="I17" t="n">
        <v>-0.152313425328788</v>
      </c>
      <c r="J17" t="n">
        <v>0.10132039912159</v>
      </c>
      <c r="K17" t="s">
        <v>417</v>
      </c>
      <c r="L17" t="s">
        <v>331</v>
      </c>
      <c r="M17" t="s">
        <v>411</v>
      </c>
      <c r="N17"/>
    </row>
    <row r="18">
      <c r="A18" t="s">
        <v>69</v>
      </c>
      <c r="B18" t="s">
        <v>335</v>
      </c>
      <c r="C18" t="n">
        <v>0.0815562256487074</v>
      </c>
      <c r="D18" t="n">
        <v>0.0565048186209409</v>
      </c>
      <c r="E18" t="n">
        <v>2.08325900242309</v>
      </c>
      <c r="F18" t="n">
        <v>0.148921922911471</v>
      </c>
      <c r="G18" t="s">
        <v>329</v>
      </c>
      <c r="H18" t="n">
        <v>0.0815562256487074</v>
      </c>
      <c r="I18" t="n">
        <v>-0.0291932188483367</v>
      </c>
      <c r="J18" t="n">
        <v>0.192305670145752</v>
      </c>
      <c r="K18" t="s">
        <v>418</v>
      </c>
      <c r="L18" t="s">
        <v>331</v>
      </c>
      <c r="M18" t="s">
        <v>411</v>
      </c>
      <c r="N18"/>
    </row>
    <row r="19">
      <c r="A19" t="s">
        <v>69</v>
      </c>
      <c r="B19" t="s">
        <v>327</v>
      </c>
      <c r="C19" t="n">
        <v>-0.00163869433343887</v>
      </c>
      <c r="D19" t="n">
        <v>0.00373964705518507</v>
      </c>
      <c r="E19" t="n">
        <v>0.192014785866472</v>
      </c>
      <c r="F19" t="n">
        <v>0.661244992486273</v>
      </c>
      <c r="G19" t="s">
        <v>329</v>
      </c>
      <c r="H19" t="n">
        <v>-0.00163869433343887</v>
      </c>
      <c r="I19" t="n">
        <v>-0.0089684025616016</v>
      </c>
      <c r="J19" t="n">
        <v>0.00569101389472387</v>
      </c>
      <c r="K19" t="s">
        <v>419</v>
      </c>
      <c r="L19" t="s">
        <v>331</v>
      </c>
      <c r="M19" t="s">
        <v>411</v>
      </c>
      <c r="N19"/>
    </row>
    <row r="20">
      <c r="A20" t="s">
        <v>69</v>
      </c>
      <c r="B20" t="s">
        <v>55</v>
      </c>
      <c r="C20" t="n">
        <v>0.00813292286979228</v>
      </c>
      <c r="D20" t="n">
        <v>0.0125466294733279</v>
      </c>
      <c r="E20" t="n">
        <v>0.420183662243824</v>
      </c>
      <c r="F20" t="n">
        <v>0.516845414608773</v>
      </c>
      <c r="G20" t="s">
        <v>329</v>
      </c>
      <c r="H20" t="n">
        <v>0.00813292286979228</v>
      </c>
      <c r="I20" t="n">
        <v>-0.0164584708979305</v>
      </c>
      <c r="J20" t="n">
        <v>0.032724316637515</v>
      </c>
      <c r="K20" t="s">
        <v>420</v>
      </c>
      <c r="L20" t="s">
        <v>331</v>
      </c>
      <c r="M20" t="s">
        <v>411</v>
      </c>
      <c r="N20"/>
    </row>
    <row r="21">
      <c r="A21" t="s">
        <v>77</v>
      </c>
      <c r="B21" t="s">
        <v>328</v>
      </c>
      <c r="C21" t="n">
        <v>0.625778677087141</v>
      </c>
      <c r="D21" t="n">
        <v>0.024328393250536</v>
      </c>
      <c r="E21" t="n">
        <v>661.629204970884</v>
      </c>
      <c r="F21" t="n">
        <v>0</v>
      </c>
      <c r="G21" t="s">
        <v>329</v>
      </c>
      <c r="H21" t="n">
        <v>0.625778677087141</v>
      </c>
      <c r="I21" t="n">
        <v>0.578095026316091</v>
      </c>
      <c r="J21" t="n">
        <v>0.673462327858192</v>
      </c>
      <c r="K21" t="s">
        <v>421</v>
      </c>
      <c r="L21" t="s">
        <v>331</v>
      </c>
      <c r="M21" t="s">
        <v>411</v>
      </c>
      <c r="N21"/>
    </row>
    <row r="22">
      <c r="A22" t="s">
        <v>77</v>
      </c>
      <c r="B22" t="s">
        <v>333</v>
      </c>
      <c r="C22" t="n">
        <v>0.00390785453465508</v>
      </c>
      <c r="D22" t="n">
        <v>0.0121554587093003</v>
      </c>
      <c r="E22" t="n">
        <v>0.103355614555386</v>
      </c>
      <c r="F22" t="n">
        <v>0.74783933145333</v>
      </c>
      <c r="G22" t="s">
        <v>329</v>
      </c>
      <c r="H22" t="n">
        <v>0.00390785453465508</v>
      </c>
      <c r="I22" t="n">
        <v>-0.0199168445355735</v>
      </c>
      <c r="J22" t="n">
        <v>0.0277325536048836</v>
      </c>
      <c r="K22" t="s">
        <v>422</v>
      </c>
      <c r="L22" t="s">
        <v>331</v>
      </c>
      <c r="M22" t="s">
        <v>411</v>
      </c>
      <c r="N22"/>
    </row>
    <row r="23">
      <c r="A23" t="s">
        <v>77</v>
      </c>
      <c r="B23" t="s">
        <v>335</v>
      </c>
      <c r="C23" t="n">
        <v>0.00050877741905977</v>
      </c>
      <c r="D23" t="n">
        <v>0.0111624883610356</v>
      </c>
      <c r="E23" t="n">
        <v>0.00207746453064587</v>
      </c>
      <c r="F23" t="n">
        <v>0.963645638684111</v>
      </c>
      <c r="G23" t="s">
        <v>329</v>
      </c>
      <c r="H23" t="n">
        <v>0.00050877741905977</v>
      </c>
      <c r="I23" t="n">
        <v>-0.0213696997685701</v>
      </c>
      <c r="J23" t="n">
        <v>0.0223872546066896</v>
      </c>
      <c r="K23" t="s">
        <v>423</v>
      </c>
      <c r="L23" t="s">
        <v>331</v>
      </c>
      <c r="M23" t="s">
        <v>411</v>
      </c>
      <c r="N23"/>
    </row>
    <row r="24">
      <c r="A24" t="s">
        <v>77</v>
      </c>
      <c r="B24" t="s">
        <v>327</v>
      </c>
      <c r="C24" t="n">
        <v>-0.000357289945351278</v>
      </c>
      <c r="D24" t="n">
        <v>0.000692222045927932</v>
      </c>
      <c r="E24" t="n">
        <v>0.266410131059799</v>
      </c>
      <c r="F24" t="n">
        <v>0.605750116449147</v>
      </c>
      <c r="G24" t="s">
        <v>329</v>
      </c>
      <c r="H24" t="n">
        <v>-0.000357289945351278</v>
      </c>
      <c r="I24" t="n">
        <v>-0.00171404515537002</v>
      </c>
      <c r="J24" t="n">
        <v>0.000999465264667467</v>
      </c>
      <c r="K24" t="s">
        <v>424</v>
      </c>
      <c r="L24" t="s">
        <v>331</v>
      </c>
      <c r="M24" t="s">
        <v>411</v>
      </c>
      <c r="N24"/>
    </row>
    <row r="25">
      <c r="A25" t="s">
        <v>77</v>
      </c>
      <c r="B25" t="s">
        <v>55</v>
      </c>
      <c r="C25" t="n">
        <v>-0.110844211615505</v>
      </c>
      <c r="D25" t="n">
        <v>0.00248707285933416</v>
      </c>
      <c r="E25" t="n">
        <v>1986.31911132067</v>
      </c>
      <c r="F25" t="n">
        <v>0</v>
      </c>
      <c r="G25" t="s">
        <v>329</v>
      </c>
      <c r="H25" t="n">
        <v>-0.110844211615505</v>
      </c>
      <c r="I25" t="n">
        <v>-0.1157188744198</v>
      </c>
      <c r="J25" t="n">
        <v>-0.10596954881121</v>
      </c>
      <c r="K25" t="s">
        <v>425</v>
      </c>
      <c r="L25" t="s">
        <v>331</v>
      </c>
      <c r="M25" t="s">
        <v>411</v>
      </c>
      <c r="N25"/>
    </row>
    <row r="26">
      <c r="A26" t="s">
        <v>84</v>
      </c>
      <c r="B26" t="s">
        <v>328</v>
      </c>
      <c r="C26" t="n">
        <v>-0.0228479811187657</v>
      </c>
      <c r="D26" t="n">
        <v>0.00804664803140056</v>
      </c>
      <c r="E26" t="n">
        <v>8.06242433559194</v>
      </c>
      <c r="F26" t="n">
        <v>0.00451926729379615</v>
      </c>
      <c r="G26" t="s">
        <v>329</v>
      </c>
      <c r="H26" t="n">
        <v>-0.0228479811187657</v>
      </c>
      <c r="I26" t="n">
        <v>-0.0386194112603108</v>
      </c>
      <c r="J26" t="n">
        <v>-0.00707655097722058</v>
      </c>
      <c r="K26" t="s">
        <v>426</v>
      </c>
      <c r="L26" t="s">
        <v>331</v>
      </c>
      <c r="M26" t="s">
        <v>411</v>
      </c>
      <c r="N26"/>
    </row>
    <row r="27">
      <c r="A27" t="s">
        <v>84</v>
      </c>
      <c r="B27" t="s">
        <v>333</v>
      </c>
      <c r="C27" t="n">
        <v>0.00387646939538857</v>
      </c>
      <c r="D27" t="n">
        <v>0.00380770323938649</v>
      </c>
      <c r="E27" t="n">
        <v>1.03644564784551</v>
      </c>
      <c r="F27" t="n">
        <v>0.308649563431308</v>
      </c>
      <c r="G27" t="s">
        <v>329</v>
      </c>
      <c r="H27" t="n">
        <v>0.00387646939538857</v>
      </c>
      <c r="I27" t="n">
        <v>-0.00358662895380895</v>
      </c>
      <c r="J27" t="n">
        <v>0.0113395677445861</v>
      </c>
      <c r="K27" t="s">
        <v>427</v>
      </c>
      <c r="L27" t="s">
        <v>331</v>
      </c>
      <c r="M27" t="s">
        <v>411</v>
      </c>
      <c r="N27"/>
    </row>
    <row r="28">
      <c r="A28" t="s">
        <v>84</v>
      </c>
      <c r="B28" t="s">
        <v>335</v>
      </c>
      <c r="C28" t="n">
        <v>-0.00311204281162426</v>
      </c>
      <c r="D28" t="n">
        <v>0.00349342026682232</v>
      </c>
      <c r="E28" t="n">
        <v>0.793577698915393</v>
      </c>
      <c r="F28" t="n">
        <v>0.373020495653456</v>
      </c>
      <c r="G28" t="s">
        <v>329</v>
      </c>
      <c r="H28" t="n">
        <v>-0.00311204281162426</v>
      </c>
      <c r="I28" t="n">
        <v>-0.00995914653459601</v>
      </c>
      <c r="J28" t="n">
        <v>0.00373506091134749</v>
      </c>
      <c r="K28" t="s">
        <v>428</v>
      </c>
      <c r="L28" t="s">
        <v>331</v>
      </c>
      <c r="M28" t="s">
        <v>411</v>
      </c>
      <c r="N28"/>
    </row>
    <row r="29">
      <c r="A29" t="s">
        <v>84</v>
      </c>
      <c r="B29" t="s">
        <v>327</v>
      </c>
      <c r="C29" t="n">
        <v>0.000202569264095101</v>
      </c>
      <c r="D29" t="n">
        <v>0.000226614066890859</v>
      </c>
      <c r="E29" t="n">
        <v>0.799048924022604</v>
      </c>
      <c r="F29" t="n">
        <v>0.371377877797833</v>
      </c>
      <c r="G29" t="s">
        <v>329</v>
      </c>
      <c r="H29" t="n">
        <v>0.000202569264095101</v>
      </c>
      <c r="I29" t="n">
        <v>-0.000241594307010982</v>
      </c>
      <c r="J29" t="n">
        <v>0.000646732835201184</v>
      </c>
      <c r="K29" t="s">
        <v>429</v>
      </c>
      <c r="L29" t="s">
        <v>331</v>
      </c>
      <c r="M29" t="s">
        <v>411</v>
      </c>
      <c r="N29"/>
    </row>
    <row r="30">
      <c r="A30" t="s">
        <v>84</v>
      </c>
      <c r="B30" t="s">
        <v>55</v>
      </c>
      <c r="C30" t="n">
        <v>-0.000950369101141921</v>
      </c>
      <c r="D30" t="n">
        <v>0.000831965318323063</v>
      </c>
      <c r="E30" t="n">
        <v>1.30489080483943</v>
      </c>
      <c r="F30" t="n">
        <v>0.253321790668668</v>
      </c>
      <c r="G30" t="s">
        <v>329</v>
      </c>
      <c r="H30" t="n">
        <v>-0.000950369101141921</v>
      </c>
      <c r="I30" t="n">
        <v>-0.00258102112505512</v>
      </c>
      <c r="J30" t="n">
        <v>0.000680282922771284</v>
      </c>
      <c r="K30" t="s">
        <v>430</v>
      </c>
      <c r="L30" t="s">
        <v>331</v>
      </c>
      <c r="M30" t="s">
        <v>411</v>
      </c>
      <c r="N30"/>
    </row>
    <row r="31">
      <c r="A31" t="s">
        <v>89</v>
      </c>
      <c r="B31" t="s">
        <v>328</v>
      </c>
      <c r="C31" t="n">
        <v>552.018686995583</v>
      </c>
      <c r="D31" t="n">
        <v>7.31367466648866</v>
      </c>
      <c r="E31" t="n">
        <v>5696.86967016686</v>
      </c>
      <c r="F31" t="n">
        <v>0</v>
      </c>
      <c r="G31" t="s">
        <v>329</v>
      </c>
      <c r="H31" t="n">
        <v>552.018686995583</v>
      </c>
      <c r="I31" t="n">
        <v>537.683884649265</v>
      </c>
      <c r="J31" t="n">
        <v>566.353489341901</v>
      </c>
      <c r="K31" t="s">
        <v>431</v>
      </c>
      <c r="L31" t="s">
        <v>331</v>
      </c>
      <c r="M31" t="s">
        <v>411</v>
      </c>
      <c r="N31"/>
    </row>
    <row r="32">
      <c r="A32" t="s">
        <v>89</v>
      </c>
      <c r="B32" t="s">
        <v>333</v>
      </c>
      <c r="C32" t="n">
        <v>-11.6914183911581</v>
      </c>
      <c r="D32" t="n">
        <v>3.36070098137297</v>
      </c>
      <c r="E32" t="n">
        <v>12.1024879653005</v>
      </c>
      <c r="F32" t="n">
        <v>0.000503545891435753</v>
      </c>
      <c r="G32" t="s">
        <v>329</v>
      </c>
      <c r="H32" t="n">
        <v>-11.6914183911581</v>
      </c>
      <c r="I32" t="n">
        <v>-18.2783923146491</v>
      </c>
      <c r="J32" t="n">
        <v>-5.10444446766709</v>
      </c>
      <c r="K32" t="s">
        <v>432</v>
      </c>
      <c r="L32" t="s">
        <v>331</v>
      </c>
      <c r="M32" t="s">
        <v>411</v>
      </c>
      <c r="N32"/>
    </row>
    <row r="33">
      <c r="A33" t="s">
        <v>89</v>
      </c>
      <c r="B33" t="s">
        <v>335</v>
      </c>
      <c r="C33" t="n">
        <v>-7.73283198532371</v>
      </c>
      <c r="D33" t="n">
        <v>3.09490553158938</v>
      </c>
      <c r="E33" t="n">
        <v>6.24284214923204</v>
      </c>
      <c r="F33" t="n">
        <v>0.0124696209599264</v>
      </c>
      <c r="G33" t="s">
        <v>329</v>
      </c>
      <c r="H33" t="n">
        <v>-7.73283198532371</v>
      </c>
      <c r="I33" t="n">
        <v>-13.7988468272389</v>
      </c>
      <c r="J33" t="n">
        <v>-1.66681714340852</v>
      </c>
      <c r="K33" t="s">
        <v>433</v>
      </c>
      <c r="L33" t="s">
        <v>331</v>
      </c>
      <c r="M33" t="s">
        <v>411</v>
      </c>
      <c r="N33"/>
    </row>
    <row r="34">
      <c r="A34" t="s">
        <v>89</v>
      </c>
      <c r="B34" t="s">
        <v>327</v>
      </c>
      <c r="C34" t="n">
        <v>-0.0571832818616774</v>
      </c>
      <c r="D34" t="n">
        <v>0.207175963022302</v>
      </c>
      <c r="E34" t="n">
        <v>0.0761832368669503</v>
      </c>
      <c r="F34" t="n">
        <v>0.782537996938158</v>
      </c>
      <c r="G34" t="s">
        <v>329</v>
      </c>
      <c r="H34" t="n">
        <v>-0.0571832818616774</v>
      </c>
      <c r="I34" t="n">
        <v>-0.463248169385389</v>
      </c>
      <c r="J34" t="n">
        <v>0.348881605662034</v>
      </c>
      <c r="K34" t="s">
        <v>434</v>
      </c>
      <c r="L34" t="s">
        <v>331</v>
      </c>
      <c r="M34" t="s">
        <v>411</v>
      </c>
      <c r="N34"/>
    </row>
    <row r="35">
      <c r="A35" t="s">
        <v>89</v>
      </c>
      <c r="B35" t="s">
        <v>55</v>
      </c>
      <c r="C35" t="n">
        <v>0.970317046045677</v>
      </c>
      <c r="D35" t="n">
        <v>0.696752807419283</v>
      </c>
      <c r="E35" t="n">
        <v>1.93941105686898</v>
      </c>
      <c r="F35" t="n">
        <v>0.163732494894341</v>
      </c>
      <c r="G35" t="s">
        <v>329</v>
      </c>
      <c r="H35" t="n">
        <v>0.970317046045677</v>
      </c>
      <c r="I35" t="n">
        <v>-0.395318456496117</v>
      </c>
      <c r="J35" t="n">
        <v>2.33595254858747</v>
      </c>
      <c r="K35" t="s">
        <v>435</v>
      </c>
      <c r="L35" t="s">
        <v>331</v>
      </c>
      <c r="M35" t="s">
        <v>411</v>
      </c>
      <c r="N35"/>
    </row>
    <row r="36">
      <c r="A36" t="s">
        <v>95</v>
      </c>
      <c r="B36" t="s">
        <v>328</v>
      </c>
      <c r="C36" t="n">
        <v>42.978789574517</v>
      </c>
      <c r="D36" t="n">
        <v>0.367186904922643</v>
      </c>
      <c r="E36" t="n">
        <v>13700.4234797941</v>
      </c>
      <c r="F36" t="n">
        <v>0</v>
      </c>
      <c r="G36" t="s">
        <v>329</v>
      </c>
      <c r="H36" t="n">
        <v>42.978789574517</v>
      </c>
      <c r="I36" t="n">
        <v>42.2591032408686</v>
      </c>
      <c r="J36" t="n">
        <v>43.6984759081653</v>
      </c>
      <c r="K36" t="s">
        <v>436</v>
      </c>
      <c r="L36" t="s">
        <v>331</v>
      </c>
      <c r="M36" t="s">
        <v>411</v>
      </c>
      <c r="N36"/>
    </row>
    <row r="37">
      <c r="A37" t="s">
        <v>95</v>
      </c>
      <c r="B37" t="s">
        <v>333</v>
      </c>
      <c r="C37" t="n">
        <v>-0.151262160184271</v>
      </c>
      <c r="D37" t="n">
        <v>0.179245567957325</v>
      </c>
      <c r="E37" t="n">
        <v>0.712137317719316</v>
      </c>
      <c r="F37" t="n">
        <v>0.398735186050724</v>
      </c>
      <c r="G37" t="s">
        <v>329</v>
      </c>
      <c r="H37" t="n">
        <v>-0.151262160184271</v>
      </c>
      <c r="I37" t="n">
        <v>-0.502583473380629</v>
      </c>
      <c r="J37" t="n">
        <v>0.200059153012086</v>
      </c>
      <c r="K37" t="s">
        <v>437</v>
      </c>
      <c r="L37" t="s">
        <v>331</v>
      </c>
      <c r="M37" t="s">
        <v>411</v>
      </c>
      <c r="N37"/>
    </row>
    <row r="38">
      <c r="A38" t="s">
        <v>95</v>
      </c>
      <c r="B38" t="s">
        <v>335</v>
      </c>
      <c r="C38" t="n">
        <v>0.132990576923873</v>
      </c>
      <c r="D38" t="n">
        <v>0.159365775503866</v>
      </c>
      <c r="E38" t="n">
        <v>0.696388545725344</v>
      </c>
      <c r="F38" t="n">
        <v>0.403999862539007</v>
      </c>
      <c r="G38" t="s">
        <v>329</v>
      </c>
      <c r="H38" t="n">
        <v>0.132990576923873</v>
      </c>
      <c r="I38" t="n">
        <v>-0.179366343063704</v>
      </c>
      <c r="J38" t="n">
        <v>0.445347496911449</v>
      </c>
      <c r="K38" t="s">
        <v>438</v>
      </c>
      <c r="L38" t="s">
        <v>331</v>
      </c>
      <c r="M38" t="s">
        <v>411</v>
      </c>
      <c r="N38"/>
    </row>
    <row r="39">
      <c r="A39" t="s">
        <v>95</v>
      </c>
      <c r="B39" t="s">
        <v>327</v>
      </c>
      <c r="C39" t="n">
        <v>0.0185840985456027</v>
      </c>
      <c r="D39" t="n">
        <v>0.0105302327201045</v>
      </c>
      <c r="E39" t="n">
        <v>3.11463429224808</v>
      </c>
      <c r="F39" t="n">
        <v>0.0775918950982714</v>
      </c>
      <c r="G39" t="s">
        <v>329</v>
      </c>
      <c r="H39" t="n">
        <v>0.0185840985456027</v>
      </c>
      <c r="I39" t="n">
        <v>-0.0020551575858021</v>
      </c>
      <c r="J39" t="n">
        <v>0.0392233546770075</v>
      </c>
      <c r="K39" t="s">
        <v>439</v>
      </c>
      <c r="L39" t="s">
        <v>331</v>
      </c>
      <c r="M39" t="s">
        <v>411</v>
      </c>
      <c r="N39"/>
    </row>
    <row r="40">
      <c r="A40" t="s">
        <v>95</v>
      </c>
      <c r="B40" t="s">
        <v>55</v>
      </c>
      <c r="C40" t="n">
        <v>-0.00896017193846277</v>
      </c>
      <c r="D40" t="n">
        <v>0.0361898546806109</v>
      </c>
      <c r="E40" t="n">
        <v>0.0612997930849827</v>
      </c>
      <c r="F40" t="n">
        <v>0.804453234851349</v>
      </c>
      <c r="G40" t="s">
        <v>329</v>
      </c>
      <c r="H40" t="n">
        <v>-0.00896017193846277</v>
      </c>
      <c r="I40" t="n">
        <v>-0.0798922871124601</v>
      </c>
      <c r="J40" t="n">
        <v>0.0619719432355345</v>
      </c>
      <c r="K40" t="s">
        <v>440</v>
      </c>
      <c r="L40" t="s">
        <v>331</v>
      </c>
      <c r="M40" t="s">
        <v>411</v>
      </c>
      <c r="N40"/>
    </row>
    <row r="41">
      <c r="A41" t="s">
        <v>102</v>
      </c>
      <c r="B41"/>
      <c r="C41"/>
      <c r="D41"/>
      <c r="E41"/>
      <c r="F41"/>
      <c r="G41"/>
      <c r="H41"/>
      <c r="I41"/>
      <c r="J41"/>
      <c r="K41"/>
      <c r="L41" t="s">
        <v>358</v>
      </c>
      <c r="M41"/>
      <c r="N41"/>
    </row>
    <row r="42">
      <c r="A42" t="s">
        <v>23</v>
      </c>
      <c r="B42" t="s">
        <v>328</v>
      </c>
      <c r="C42" t="n">
        <v>-0.139136978570578</v>
      </c>
      <c r="D42" t="n">
        <v>0.586596085109318</v>
      </c>
      <c r="E42" t="n">
        <v>0.0562609182309257</v>
      </c>
      <c r="F42" t="n">
        <v>0.812506414133116</v>
      </c>
      <c r="G42" t="s">
        <v>359</v>
      </c>
      <c r="H42" t="n">
        <v>0.870108834030564</v>
      </c>
      <c r="I42" t="n">
        <v>0.275583308642033</v>
      </c>
      <c r="J42" t="n">
        <v>2.74722510150802</v>
      </c>
      <c r="K42" t="s">
        <v>441</v>
      </c>
      <c r="L42" t="s">
        <v>361</v>
      </c>
      <c r="M42" t="s">
        <v>411</v>
      </c>
      <c r="N42"/>
    </row>
    <row r="43">
      <c r="A43" t="s">
        <v>23</v>
      </c>
      <c r="B43" t="s">
        <v>333</v>
      </c>
      <c r="C43" t="n">
        <v>-0.144705718653203</v>
      </c>
      <c r="D43" t="n">
        <v>0.318604956633891</v>
      </c>
      <c r="E43" t="n">
        <v>0.206284374672054</v>
      </c>
      <c r="F43" t="n">
        <v>0.649695392793012</v>
      </c>
      <c r="G43" t="s">
        <v>359</v>
      </c>
      <c r="H43" t="n">
        <v>0.865276890495961</v>
      </c>
      <c r="I43" t="n">
        <v>0.463396864334912</v>
      </c>
      <c r="J43" t="n">
        <v>1.61568658497708</v>
      </c>
      <c r="K43" t="s">
        <v>442</v>
      </c>
      <c r="L43" t="s">
        <v>361</v>
      </c>
      <c r="M43" t="s">
        <v>411</v>
      </c>
      <c r="N43"/>
    </row>
    <row r="44">
      <c r="A44" t="s">
        <v>23</v>
      </c>
      <c r="B44" t="s">
        <v>335</v>
      </c>
      <c r="C44" t="n">
        <v>-0.403367805281384</v>
      </c>
      <c r="D44" t="n">
        <v>0.293687086067237</v>
      </c>
      <c r="E44" t="n">
        <v>1.88639555217771</v>
      </c>
      <c r="F44" t="n">
        <v>0.16960902840717</v>
      </c>
      <c r="G44" t="s">
        <v>359</v>
      </c>
      <c r="H44" t="n">
        <v>0.668066335803147</v>
      </c>
      <c r="I44" t="n">
        <v>0.37568866621455</v>
      </c>
      <c r="J44" t="n">
        <v>1.18798534310471</v>
      </c>
      <c r="K44" t="s">
        <v>443</v>
      </c>
      <c r="L44" t="s">
        <v>361</v>
      </c>
      <c r="M44" t="s">
        <v>411</v>
      </c>
      <c r="N44"/>
    </row>
    <row r="45">
      <c r="A45" t="s">
        <v>23</v>
      </c>
      <c r="B45" t="s">
        <v>327</v>
      </c>
      <c r="C45" t="n">
        <v>0.0160140510877698</v>
      </c>
      <c r="D45" t="n">
        <v>0.0182704373598298</v>
      </c>
      <c r="E45" t="n">
        <v>0.768253472549974</v>
      </c>
      <c r="F45" t="n">
        <v>0.380757897423362</v>
      </c>
      <c r="G45" t="s">
        <v>359</v>
      </c>
      <c r="H45" t="n">
        <v>1.01614296321975</v>
      </c>
      <c r="I45" t="n">
        <v>0.980398648216278</v>
      </c>
      <c r="J45" t="n">
        <v>1.05319047877066</v>
      </c>
      <c r="K45" t="s">
        <v>444</v>
      </c>
      <c r="L45" t="s">
        <v>361</v>
      </c>
      <c r="M45" t="s">
        <v>411</v>
      </c>
      <c r="N45"/>
    </row>
    <row r="46">
      <c r="A46" t="s">
        <v>23</v>
      </c>
      <c r="B46" t="s">
        <v>55</v>
      </c>
      <c r="C46" t="n">
        <v>-0.00100681004943944</v>
      </c>
      <c r="D46" t="n">
        <v>0.000970172612900244</v>
      </c>
      <c r="E46" t="n">
        <v>1.07695377309238</v>
      </c>
      <c r="F46" t="n">
        <v>0.299380018573335</v>
      </c>
      <c r="G46" t="s">
        <v>359</v>
      </c>
      <c r="H46" t="n">
        <v>0.998993696613746</v>
      </c>
      <c r="I46" t="n">
        <v>0.997095876777339</v>
      </c>
      <c r="J46" t="n">
        <v>1.00089512866059</v>
      </c>
      <c r="K46" t="s">
        <v>445</v>
      </c>
      <c r="L46" t="s">
        <v>361</v>
      </c>
      <c r="M46" t="s">
        <v>411</v>
      </c>
      <c r="N46"/>
    </row>
    <row r="47">
      <c r="A47" t="s">
        <v>364</v>
      </c>
      <c r="B47" t="s">
        <v>328</v>
      </c>
      <c r="C47" t="n">
        <v>-2.97166155881615</v>
      </c>
      <c r="D47" t="n">
        <v>0.789108147770447</v>
      </c>
      <c r="E47" t="n">
        <v>14.1816132469888</v>
      </c>
      <c r="F47" t="n">
        <v>0.000165984569834743</v>
      </c>
      <c r="G47" t="s">
        <v>359</v>
      </c>
      <c r="H47" t="n">
        <v>0.05121813764365</v>
      </c>
      <c r="I47" t="n">
        <v>0.0109074031911345</v>
      </c>
      <c r="J47" t="n">
        <v>0.240506156938993</v>
      </c>
      <c r="K47" t="s">
        <v>446</v>
      </c>
      <c r="L47" t="s">
        <v>361</v>
      </c>
      <c r="M47" t="s">
        <v>411</v>
      </c>
      <c r="N47"/>
    </row>
    <row r="48">
      <c r="A48" t="s">
        <v>364</v>
      </c>
      <c r="B48" t="s">
        <v>333</v>
      </c>
      <c r="C48" t="n">
        <v>-0.758333354962017</v>
      </c>
      <c r="D48" t="n">
        <v>0.399592167491669</v>
      </c>
      <c r="E48" t="n">
        <v>3.60152458287156</v>
      </c>
      <c r="F48" t="n">
        <v>0.0577266086454266</v>
      </c>
      <c r="G48" t="s">
        <v>359</v>
      </c>
      <c r="H48" t="n">
        <v>0.468446510820753</v>
      </c>
      <c r="I48" t="n">
        <v>0.214052492229802</v>
      </c>
      <c r="J48" t="n">
        <v>1.02517906338857</v>
      </c>
      <c r="K48" t="s">
        <v>447</v>
      </c>
      <c r="L48" t="s">
        <v>361</v>
      </c>
      <c r="M48" t="s">
        <v>411</v>
      </c>
      <c r="N48"/>
    </row>
    <row r="49">
      <c r="A49" t="s">
        <v>364</v>
      </c>
      <c r="B49" t="s">
        <v>335</v>
      </c>
      <c r="C49" t="n">
        <v>-0.710514375192082</v>
      </c>
      <c r="D49" t="n">
        <v>0.405383026485673</v>
      </c>
      <c r="E49" t="n">
        <v>3.07195335270881</v>
      </c>
      <c r="F49" t="n">
        <v>0.0796537086219775</v>
      </c>
      <c r="G49" t="s">
        <v>359</v>
      </c>
      <c r="H49" t="n">
        <v>0.491391372911373</v>
      </c>
      <c r="I49" t="n">
        <v>0.222002839399458</v>
      </c>
      <c r="J49" t="n">
        <v>1.08766843714663</v>
      </c>
      <c r="K49" t="s">
        <v>448</v>
      </c>
      <c r="L49" t="s">
        <v>361</v>
      </c>
      <c r="M49" t="s">
        <v>411</v>
      </c>
      <c r="N49"/>
    </row>
    <row r="50">
      <c r="A50" t="s">
        <v>364</v>
      </c>
      <c r="B50" t="s">
        <v>327</v>
      </c>
      <c r="C50" t="n">
        <v>0.0562705426294491</v>
      </c>
      <c r="D50" t="n">
        <v>0.0239226552629572</v>
      </c>
      <c r="E50" t="n">
        <v>5.53278051975486</v>
      </c>
      <c r="F50" t="n">
        <v>0.0186634233700925</v>
      </c>
      <c r="G50" t="s">
        <v>359</v>
      </c>
      <c r="H50" t="n">
        <v>1.0578838477029</v>
      </c>
      <c r="I50" t="n">
        <v>1.00942628854021</v>
      </c>
      <c r="J50" t="n">
        <v>1.10866761440215</v>
      </c>
      <c r="K50" t="s">
        <v>449</v>
      </c>
      <c r="L50" t="s">
        <v>361</v>
      </c>
      <c r="M50" t="s">
        <v>411</v>
      </c>
      <c r="N50"/>
    </row>
    <row r="51">
      <c r="A51" t="s">
        <v>364</v>
      </c>
      <c r="B51" t="s">
        <v>55</v>
      </c>
      <c r="C51" t="n">
        <v>-0.000714041462305084</v>
      </c>
      <c r="D51" t="n">
        <v>0.00416775964765869</v>
      </c>
      <c r="E51" t="n">
        <v>0.0293522589686577</v>
      </c>
      <c r="F51" t="n">
        <v>0.863968216243356</v>
      </c>
      <c r="G51" t="s">
        <v>359</v>
      </c>
      <c r="H51" t="n">
        <v>0.999286213404634</v>
      </c>
      <c r="I51" t="n">
        <v>0.991156485585673</v>
      </c>
      <c r="J51" t="n">
        <v>1.00748262340282</v>
      </c>
      <c r="K51" t="s">
        <v>450</v>
      </c>
      <c r="L51" t="s">
        <v>361</v>
      </c>
      <c r="M51" t="s">
        <v>411</v>
      </c>
      <c r="N51"/>
    </row>
    <row r="52">
      <c r="A52" t="s">
        <v>368</v>
      </c>
      <c r="B52"/>
      <c r="C52"/>
      <c r="D52"/>
      <c r="E52"/>
      <c r="F52"/>
      <c r="G52"/>
      <c r="H52"/>
      <c r="I52"/>
      <c r="J52"/>
      <c r="K52"/>
      <c r="L52" t="s">
        <v>369</v>
      </c>
      <c r="M52"/>
      <c r="N52"/>
    </row>
  </sheetData>
  <pageMargins left="0.7" right="0.7" top="0.75" bottom="0.75" header="0.3" footer="0.3"/>
  <pageSetup paperSize="9" orientation="portrait" horizontalDpi="300" verticalDpi="300"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1" t="s">
        <v>313</v>
      </c>
    </row>
    <row r="2">
      <c r="A2" t="s">
        <v>314</v>
      </c>
      <c r="B2" t="s">
        <v>315</v>
      </c>
      <c r="C2" t="s">
        <v>316</v>
      </c>
      <c r="D2" t="s">
        <v>317</v>
      </c>
      <c r="E2" t="s">
        <v>318</v>
      </c>
      <c r="F2" t="s">
        <v>319</v>
      </c>
      <c r="G2" t="s">
        <v>320</v>
      </c>
      <c r="H2" t="s">
        <v>321</v>
      </c>
      <c r="I2" t="s">
        <v>322</v>
      </c>
      <c r="J2" t="s">
        <v>323</v>
      </c>
      <c r="K2" t="s">
        <v>324</v>
      </c>
      <c r="L2" t="s">
        <v>325</v>
      </c>
      <c r="M2" t="s">
        <v>326</v>
      </c>
      <c r="N2" t="s">
        <v>1</v>
      </c>
    </row>
    <row r="3">
      <c r="A3" t="s">
        <v>137</v>
      </c>
      <c r="B3" t="s">
        <v>328</v>
      </c>
      <c r="C3" t="n">
        <v>6.51044643611916</v>
      </c>
      <c r="D3" t="n">
        <v>0.0768436998829621</v>
      </c>
      <c r="E3" t="n">
        <v>7178.02565066026</v>
      </c>
      <c r="F3" t="n">
        <v>0</v>
      </c>
      <c r="G3" t="s">
        <v>329</v>
      </c>
      <c r="H3" t="n">
        <v>6.51044643611916</v>
      </c>
      <c r="I3" t="n">
        <v>6.35983278434855</v>
      </c>
      <c r="J3" t="n">
        <v>6.66106008788976</v>
      </c>
      <c r="K3" t="s">
        <v>451</v>
      </c>
      <c r="L3" t="s">
        <v>331</v>
      </c>
      <c r="M3" t="s">
        <v>411</v>
      </c>
      <c r="N3"/>
    </row>
    <row r="4">
      <c r="A4" t="s">
        <v>137</v>
      </c>
      <c r="B4" t="s">
        <v>333</v>
      </c>
      <c r="C4" t="n">
        <v>-0.0294727043492145</v>
      </c>
      <c r="D4" t="n">
        <v>0.0362228772473188</v>
      </c>
      <c r="E4" t="n">
        <v>0.662024537956436</v>
      </c>
      <c r="F4" t="n">
        <v>0.415846113861094</v>
      </c>
      <c r="G4" t="s">
        <v>329</v>
      </c>
      <c r="H4" t="n">
        <v>-0.0294727043492145</v>
      </c>
      <c r="I4" t="n">
        <v>-0.100469543753959</v>
      </c>
      <c r="J4" t="n">
        <v>0.0415241350555304</v>
      </c>
      <c r="K4" t="s">
        <v>452</v>
      </c>
      <c r="L4" t="s">
        <v>331</v>
      </c>
      <c r="M4" t="s">
        <v>411</v>
      </c>
      <c r="N4"/>
    </row>
    <row r="5">
      <c r="A5" t="s">
        <v>137</v>
      </c>
      <c r="B5" t="s">
        <v>335</v>
      </c>
      <c r="C5" t="n">
        <v>-0.0043428312284249</v>
      </c>
      <c r="D5" t="n">
        <v>0.0306964612048491</v>
      </c>
      <c r="E5" t="n">
        <v>0.0200156307914787</v>
      </c>
      <c r="F5" t="n">
        <v>0.887493437768899</v>
      </c>
      <c r="G5" t="s">
        <v>329</v>
      </c>
      <c r="H5" t="n">
        <v>-0.0043428312284249</v>
      </c>
      <c r="I5" t="n">
        <v>-0.0645078951899291</v>
      </c>
      <c r="J5" t="n">
        <v>0.0558222327330793</v>
      </c>
      <c r="K5" t="s">
        <v>453</v>
      </c>
      <c r="L5" t="s">
        <v>331</v>
      </c>
      <c r="M5" t="s">
        <v>411</v>
      </c>
      <c r="N5"/>
    </row>
    <row r="6">
      <c r="A6" t="s">
        <v>137</v>
      </c>
      <c r="B6" t="s">
        <v>327</v>
      </c>
      <c r="C6" t="n">
        <v>0.000589844574362522</v>
      </c>
      <c r="D6" t="n">
        <v>0.00213635175945565</v>
      </c>
      <c r="E6" t="n">
        <v>0.0762306551977675</v>
      </c>
      <c r="F6" t="n">
        <v>0.782472032339171</v>
      </c>
      <c r="G6" t="s">
        <v>329</v>
      </c>
      <c r="H6" t="n">
        <v>0.000589844574362522</v>
      </c>
      <c r="I6" t="n">
        <v>-0.00359740487417055</v>
      </c>
      <c r="J6" t="n">
        <v>0.0047770940228956</v>
      </c>
      <c r="K6" t="s">
        <v>454</v>
      </c>
      <c r="L6" t="s">
        <v>331</v>
      </c>
      <c r="M6" t="s">
        <v>411</v>
      </c>
      <c r="N6"/>
    </row>
    <row r="7">
      <c r="A7" t="s">
        <v>137</v>
      </c>
      <c r="B7" t="s">
        <v>55</v>
      </c>
      <c r="C7" t="n">
        <v>0.00356430648261599</v>
      </c>
      <c r="D7" t="n">
        <v>0.00750831859727775</v>
      </c>
      <c r="E7" t="n">
        <v>0.225353701465613</v>
      </c>
      <c r="F7" t="n">
        <v>0.634990597828011</v>
      </c>
      <c r="G7" t="s">
        <v>329</v>
      </c>
      <c r="H7" t="n">
        <v>0.00356430648261599</v>
      </c>
      <c r="I7" t="n">
        <v>-0.0111519979680484</v>
      </c>
      <c r="J7" t="n">
        <v>0.0182806109332804</v>
      </c>
      <c r="K7" t="s">
        <v>455</v>
      </c>
      <c r="L7" t="s">
        <v>331</v>
      </c>
      <c r="M7" t="s">
        <v>411</v>
      </c>
      <c r="N7"/>
    </row>
    <row r="8">
      <c r="A8" t="s">
        <v>143</v>
      </c>
      <c r="B8" t="s">
        <v>328</v>
      </c>
      <c r="C8" t="n">
        <v>5.44510365983987</v>
      </c>
      <c r="D8" t="n">
        <v>1.89708409645912</v>
      </c>
      <c r="E8" t="n">
        <v>8.23832910734612</v>
      </c>
      <c r="F8" t="n">
        <v>0.00410148727283066</v>
      </c>
      <c r="G8" t="s">
        <v>329</v>
      </c>
      <c r="H8" t="n">
        <v>5.44510365983987</v>
      </c>
      <c r="I8" t="n">
        <v>1.72681883078</v>
      </c>
      <c r="J8" t="n">
        <v>9.16338848889973</v>
      </c>
      <c r="K8" t="s">
        <v>456</v>
      </c>
      <c r="L8" t="s">
        <v>331</v>
      </c>
      <c r="M8" t="s">
        <v>411</v>
      </c>
      <c r="N8"/>
    </row>
    <row r="9">
      <c r="A9" t="s">
        <v>143</v>
      </c>
      <c r="B9" t="s">
        <v>333</v>
      </c>
      <c r="C9" t="n">
        <v>-0.726906622402194</v>
      </c>
      <c r="D9" t="n">
        <v>0.889455848599079</v>
      </c>
      <c r="E9" t="n">
        <v>0.667895412709803</v>
      </c>
      <c r="F9" t="n">
        <v>0.413786325559025</v>
      </c>
      <c r="G9" t="s">
        <v>329</v>
      </c>
      <c r="H9" t="n">
        <v>-0.726906622402194</v>
      </c>
      <c r="I9" t="n">
        <v>-2.47024008565639</v>
      </c>
      <c r="J9" t="n">
        <v>1.016426840852</v>
      </c>
      <c r="K9" t="s">
        <v>457</v>
      </c>
      <c r="L9" t="s">
        <v>331</v>
      </c>
      <c r="M9" t="s">
        <v>411</v>
      </c>
      <c r="N9"/>
    </row>
    <row r="10">
      <c r="A10" t="s">
        <v>143</v>
      </c>
      <c r="B10" t="s">
        <v>335</v>
      </c>
      <c r="C10" t="n">
        <v>-0.933613091864046</v>
      </c>
      <c r="D10" t="n">
        <v>0.840046088195874</v>
      </c>
      <c r="E10" t="n">
        <v>1.23517257018947</v>
      </c>
      <c r="F10" t="n">
        <v>0.266403449658664</v>
      </c>
      <c r="G10" t="s">
        <v>329</v>
      </c>
      <c r="H10" t="n">
        <v>-0.933613091864046</v>
      </c>
      <c r="I10" t="n">
        <v>-2.58010342472796</v>
      </c>
      <c r="J10" t="n">
        <v>0.712877240999867</v>
      </c>
      <c r="K10" t="s">
        <v>458</v>
      </c>
      <c r="L10" t="s">
        <v>331</v>
      </c>
      <c r="M10" t="s">
        <v>411</v>
      </c>
      <c r="N10"/>
    </row>
    <row r="11">
      <c r="A11" t="s">
        <v>143</v>
      </c>
      <c r="B11" t="s">
        <v>327</v>
      </c>
      <c r="C11" t="n">
        <v>0.0500060238049121</v>
      </c>
      <c r="D11" t="n">
        <v>0.0542358103756293</v>
      </c>
      <c r="E11" t="n">
        <v>0.850104625640561</v>
      </c>
      <c r="F11" t="n">
        <v>0.356522741369521</v>
      </c>
      <c r="G11" t="s">
        <v>329</v>
      </c>
      <c r="H11" t="n">
        <v>0.0500060238049121</v>
      </c>
      <c r="I11" t="n">
        <v>-0.0562961645313214</v>
      </c>
      <c r="J11" t="n">
        <v>0.156308212141146</v>
      </c>
      <c r="K11" t="s">
        <v>459</v>
      </c>
      <c r="L11" t="s">
        <v>331</v>
      </c>
      <c r="M11" t="s">
        <v>411</v>
      </c>
      <c r="N11"/>
    </row>
    <row r="12">
      <c r="A12" t="s">
        <v>143</v>
      </c>
      <c r="B12" t="s">
        <v>55</v>
      </c>
      <c r="C12" t="n">
        <v>-13.7320768575484</v>
      </c>
      <c r="D12" t="n">
        <v>0.177375605736225</v>
      </c>
      <c r="E12" t="n">
        <v>5993.55738476963</v>
      </c>
      <c r="F12" t="n">
        <v>0</v>
      </c>
      <c r="G12" t="s">
        <v>329</v>
      </c>
      <c r="H12" t="n">
        <v>-13.7320768575484</v>
      </c>
      <c r="I12" t="n">
        <v>-14.0797330447914</v>
      </c>
      <c r="J12" t="n">
        <v>-13.3844206703054</v>
      </c>
      <c r="K12" t="s">
        <v>460</v>
      </c>
      <c r="L12" t="s">
        <v>331</v>
      </c>
      <c r="M12" t="s">
        <v>411</v>
      </c>
      <c r="N12"/>
    </row>
    <row r="13">
      <c r="A13" t="s">
        <v>376</v>
      </c>
      <c r="B13"/>
      <c r="C13"/>
      <c r="D13"/>
      <c r="E13"/>
      <c r="F13"/>
      <c r="G13"/>
      <c r="H13"/>
      <c r="I13"/>
      <c r="J13"/>
      <c r="K13"/>
      <c r="L13" t="s">
        <v>369</v>
      </c>
      <c r="M13"/>
      <c r="N13"/>
    </row>
  </sheetData>
  <pageMargins left="0.7" right="0.7" top="0.75" bottom="0.75" header="0.3" footer="0.3"/>
  <pageSetup paperSize="9" orientation="portrait" horizontalDpi="300" verticalDpi="300"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1" t="s">
        <v>313</v>
      </c>
    </row>
    <row r="2">
      <c r="A2" t="s">
        <v>314</v>
      </c>
      <c r="B2" t="s">
        <v>315</v>
      </c>
      <c r="C2" t="s">
        <v>316</v>
      </c>
      <c r="D2" t="s">
        <v>317</v>
      </c>
      <c r="E2" t="s">
        <v>318</v>
      </c>
      <c r="F2" t="s">
        <v>319</v>
      </c>
      <c r="G2" t="s">
        <v>320</v>
      </c>
      <c r="H2" t="s">
        <v>321</v>
      </c>
      <c r="I2" t="s">
        <v>322</v>
      </c>
      <c r="J2" t="s">
        <v>323</v>
      </c>
      <c r="K2" t="s">
        <v>324</v>
      </c>
      <c r="L2" t="s">
        <v>325</v>
      </c>
      <c r="M2" t="s">
        <v>326</v>
      </c>
      <c r="N2" t="s">
        <v>1</v>
      </c>
    </row>
    <row r="3">
      <c r="A3" t="s">
        <v>165</v>
      </c>
      <c r="B3" t="s">
        <v>328</v>
      </c>
      <c r="C3" t="n">
        <v>165.039675259454</v>
      </c>
      <c r="D3" t="n">
        <v>24.7369250362793</v>
      </c>
      <c r="E3" t="n">
        <v>44.5128390751814</v>
      </c>
      <c r="F3" t="n">
        <v>0.0000000000252694531965858</v>
      </c>
      <c r="G3" t="s">
        <v>329</v>
      </c>
      <c r="H3" t="n">
        <v>165.039675259454</v>
      </c>
      <c r="I3" t="n">
        <v>116.555302188347</v>
      </c>
      <c r="J3" t="n">
        <v>213.524048330562</v>
      </c>
      <c r="K3" t="s">
        <v>461</v>
      </c>
      <c r="L3" t="s">
        <v>331</v>
      </c>
      <c r="M3" t="s">
        <v>411</v>
      </c>
      <c r="N3"/>
    </row>
    <row r="4">
      <c r="A4" t="s">
        <v>165</v>
      </c>
      <c r="B4" t="s">
        <v>333</v>
      </c>
      <c r="C4" t="n">
        <v>-12.6996447476488</v>
      </c>
      <c r="D4" t="n">
        <v>10.6318496269521</v>
      </c>
      <c r="E4" t="n">
        <v>1.42680786261544</v>
      </c>
      <c r="F4" t="n">
        <v>0.232286104237661</v>
      </c>
      <c r="G4" t="s">
        <v>329</v>
      </c>
      <c r="H4" t="n">
        <v>-12.6996447476488</v>
      </c>
      <c r="I4" t="n">
        <v>-33.5380700164749</v>
      </c>
      <c r="J4" t="n">
        <v>8.13878052117726</v>
      </c>
      <c r="K4" t="s">
        <v>462</v>
      </c>
      <c r="L4" t="s">
        <v>331</v>
      </c>
      <c r="M4" t="s">
        <v>411</v>
      </c>
      <c r="N4"/>
    </row>
    <row r="5">
      <c r="A5" t="s">
        <v>165</v>
      </c>
      <c r="B5" t="s">
        <v>335</v>
      </c>
      <c r="C5" t="n">
        <v>-3.38592330399914</v>
      </c>
      <c r="D5" t="n">
        <v>10.5492441727579</v>
      </c>
      <c r="E5" t="n">
        <v>0.103017627476297</v>
      </c>
      <c r="F5" t="n">
        <v>0.748237981605575</v>
      </c>
      <c r="G5" t="s">
        <v>329</v>
      </c>
      <c r="H5" t="n">
        <v>-3.38592330399914</v>
      </c>
      <c r="I5" t="n">
        <v>-24.0624418826046</v>
      </c>
      <c r="J5" t="n">
        <v>17.2905952746063</v>
      </c>
      <c r="K5" t="s">
        <v>463</v>
      </c>
      <c r="L5" t="s">
        <v>331</v>
      </c>
      <c r="M5" t="s">
        <v>411</v>
      </c>
      <c r="N5"/>
    </row>
    <row r="6">
      <c r="A6" t="s">
        <v>165</v>
      </c>
      <c r="B6" t="s">
        <v>327</v>
      </c>
      <c r="C6" t="n">
        <v>0.273654130254362</v>
      </c>
      <c r="D6" t="n">
        <v>0.736247502563877</v>
      </c>
      <c r="E6" t="n">
        <v>0.138151735624276</v>
      </c>
      <c r="F6" t="n">
        <v>0.710125394664025</v>
      </c>
      <c r="G6" t="s">
        <v>329</v>
      </c>
      <c r="H6" t="n">
        <v>0.273654130254362</v>
      </c>
      <c r="I6" t="n">
        <v>-1.16939097477084</v>
      </c>
      <c r="J6" t="n">
        <v>1.71669923527956</v>
      </c>
      <c r="K6" t="s">
        <v>464</v>
      </c>
      <c r="L6" t="s">
        <v>331</v>
      </c>
      <c r="M6" t="s">
        <v>411</v>
      </c>
      <c r="N6"/>
    </row>
    <row r="7">
      <c r="A7" t="s">
        <v>165</v>
      </c>
      <c r="B7" t="s">
        <v>55</v>
      </c>
      <c r="C7" t="n">
        <v>-2.68987282043167</v>
      </c>
      <c r="D7" t="n">
        <v>2.19577612569345</v>
      </c>
      <c r="E7" t="n">
        <v>1.50067751620493</v>
      </c>
      <c r="F7" t="n">
        <v>0.220567144414187</v>
      </c>
      <c r="G7" t="s">
        <v>329</v>
      </c>
      <c r="H7" t="n">
        <v>-2.68987282043167</v>
      </c>
      <c r="I7" t="n">
        <v>-6.99359402679083</v>
      </c>
      <c r="J7" t="n">
        <v>1.61384838592749</v>
      </c>
      <c r="K7" t="s">
        <v>465</v>
      </c>
      <c r="L7" t="s">
        <v>331</v>
      </c>
      <c r="M7" t="s">
        <v>411</v>
      </c>
      <c r="N7"/>
    </row>
    <row r="8">
      <c r="A8" t="s">
        <v>174</v>
      </c>
      <c r="B8" t="s">
        <v>328</v>
      </c>
      <c r="C8" t="n">
        <v>0.214001795697618</v>
      </c>
      <c r="D8" t="n">
        <v>0.100623910995303</v>
      </c>
      <c r="E8" t="n">
        <v>4.52306103898367</v>
      </c>
      <c r="F8" t="n">
        <v>0.0334409491084753</v>
      </c>
      <c r="G8" t="s">
        <v>329</v>
      </c>
      <c r="H8" t="n">
        <v>0.214001795697618</v>
      </c>
      <c r="I8" t="n">
        <v>0.016778930146825</v>
      </c>
      <c r="J8" t="n">
        <v>0.411224661248412</v>
      </c>
      <c r="K8" t="s">
        <v>466</v>
      </c>
      <c r="L8" t="s">
        <v>331</v>
      </c>
      <c r="M8" t="s">
        <v>411</v>
      </c>
      <c r="N8"/>
    </row>
    <row r="9">
      <c r="A9" t="s">
        <v>174</v>
      </c>
      <c r="B9" t="s">
        <v>333</v>
      </c>
      <c r="C9" t="n">
        <v>-0.168114814145291</v>
      </c>
      <c r="D9" t="n">
        <v>0.051068463295796</v>
      </c>
      <c r="E9" t="n">
        <v>10.8369330489789</v>
      </c>
      <c r="F9" t="n">
        <v>0.000994953933390663</v>
      </c>
      <c r="G9" t="s">
        <v>329</v>
      </c>
      <c r="H9" t="n">
        <v>-0.168114814145291</v>
      </c>
      <c r="I9" t="n">
        <v>-0.268209002205051</v>
      </c>
      <c r="J9" t="n">
        <v>-0.0680206260855306</v>
      </c>
      <c r="K9" t="s">
        <v>467</v>
      </c>
      <c r="L9" t="s">
        <v>331</v>
      </c>
      <c r="M9" t="s">
        <v>411</v>
      </c>
      <c r="N9"/>
    </row>
    <row r="10">
      <c r="A10" t="s">
        <v>174</v>
      </c>
      <c r="B10" t="s">
        <v>335</v>
      </c>
      <c r="C10" t="n">
        <v>-0.139462595005213</v>
      </c>
      <c r="D10" t="n">
        <v>0.0421045080908382</v>
      </c>
      <c r="E10" t="n">
        <v>10.9713049920572</v>
      </c>
      <c r="F10" t="n">
        <v>0.000925335742588351</v>
      </c>
      <c r="G10" t="s">
        <v>329</v>
      </c>
      <c r="H10" t="n">
        <v>-0.139462595005213</v>
      </c>
      <c r="I10" t="n">
        <v>-0.221987430863256</v>
      </c>
      <c r="J10" t="n">
        <v>-0.0569377591471702</v>
      </c>
      <c r="K10" t="s">
        <v>468</v>
      </c>
      <c r="L10" t="s">
        <v>331</v>
      </c>
      <c r="M10" t="s">
        <v>411</v>
      </c>
      <c r="N10"/>
    </row>
    <row r="11">
      <c r="A11" t="s">
        <v>174</v>
      </c>
      <c r="B11" t="s">
        <v>327</v>
      </c>
      <c r="C11" t="n">
        <v>-0.00445903429504484</v>
      </c>
      <c r="D11" t="n">
        <v>0.00291348434757676</v>
      </c>
      <c r="E11" t="n">
        <v>2.34237404265633</v>
      </c>
      <c r="F11" t="n">
        <v>0.125897555252268</v>
      </c>
      <c r="G11" t="s">
        <v>329</v>
      </c>
      <c r="H11" t="n">
        <v>-0.00445903429504484</v>
      </c>
      <c r="I11" t="n">
        <v>-0.0101694636162953</v>
      </c>
      <c r="J11" t="n">
        <v>0.00125139502620561</v>
      </c>
      <c r="K11" t="s">
        <v>469</v>
      </c>
      <c r="L11" t="s">
        <v>331</v>
      </c>
      <c r="M11" t="s">
        <v>411</v>
      </c>
      <c r="N11"/>
    </row>
    <row r="12">
      <c r="A12" t="s">
        <v>174</v>
      </c>
      <c r="B12" t="s">
        <v>55</v>
      </c>
      <c r="C12" t="n">
        <v>0.0132753559388147</v>
      </c>
      <c r="D12" t="n">
        <v>0.00962337682723298</v>
      </c>
      <c r="E12" t="n">
        <v>1.90299376084365</v>
      </c>
      <c r="F12" t="n">
        <v>0.167743604419394</v>
      </c>
      <c r="G12" t="s">
        <v>329</v>
      </c>
      <c r="H12" t="n">
        <v>0.0132753559388147</v>
      </c>
      <c r="I12" t="n">
        <v>-0.00558646264256195</v>
      </c>
      <c r="J12" t="n">
        <v>0.0321371745201913</v>
      </c>
      <c r="K12" t="s">
        <v>470</v>
      </c>
      <c r="L12" t="s">
        <v>331</v>
      </c>
      <c r="M12" t="s">
        <v>411</v>
      </c>
      <c r="N12"/>
    </row>
    <row r="13">
      <c r="A13" t="s">
        <v>182</v>
      </c>
      <c r="B13" t="s">
        <v>328</v>
      </c>
      <c r="C13" t="n">
        <v>-0.238449892505751</v>
      </c>
      <c r="D13" t="n">
        <v>0.0473051675001846</v>
      </c>
      <c r="E13" t="n">
        <v>25.4083868347475</v>
      </c>
      <c r="F13" t="n">
        <v>0.000000463896936309105</v>
      </c>
      <c r="G13" t="s">
        <v>329</v>
      </c>
      <c r="H13" t="n">
        <v>-0.238449892505751</v>
      </c>
      <c r="I13" t="n">
        <v>-0.331168020806113</v>
      </c>
      <c r="J13" t="n">
        <v>-0.145731764205389</v>
      </c>
      <c r="K13" t="s">
        <v>471</v>
      </c>
      <c r="L13" t="s">
        <v>331</v>
      </c>
      <c r="M13" t="s">
        <v>411</v>
      </c>
      <c r="N13"/>
    </row>
    <row r="14">
      <c r="A14" t="s">
        <v>182</v>
      </c>
      <c r="B14" t="s">
        <v>333</v>
      </c>
      <c r="C14" t="n">
        <v>-0.00556978800761226</v>
      </c>
      <c r="D14" t="n">
        <v>0.0240469682132022</v>
      </c>
      <c r="E14" t="n">
        <v>0.0536483874885858</v>
      </c>
      <c r="F14" t="n">
        <v>0.816832227949985</v>
      </c>
      <c r="G14" t="s">
        <v>329</v>
      </c>
      <c r="H14" t="n">
        <v>-0.00556978800761226</v>
      </c>
      <c r="I14" t="n">
        <v>-0.0527018457054886</v>
      </c>
      <c r="J14" t="n">
        <v>0.0415622696902641</v>
      </c>
      <c r="K14" t="s">
        <v>472</v>
      </c>
      <c r="L14" t="s">
        <v>331</v>
      </c>
      <c r="M14" t="s">
        <v>411</v>
      </c>
      <c r="N14"/>
    </row>
    <row r="15">
      <c r="A15" t="s">
        <v>182</v>
      </c>
      <c r="B15" t="s">
        <v>335</v>
      </c>
      <c r="C15" t="n">
        <v>-0.00726911566606737</v>
      </c>
      <c r="D15" t="n">
        <v>0.0222539184708484</v>
      </c>
      <c r="E15" t="n">
        <v>0.106696500040581</v>
      </c>
      <c r="F15" t="n">
        <v>0.743936931730487</v>
      </c>
      <c r="G15" t="s">
        <v>329</v>
      </c>
      <c r="H15" t="n">
        <v>-0.00726911566606737</v>
      </c>
      <c r="I15" t="n">
        <v>-0.0508867958689302</v>
      </c>
      <c r="J15" t="n">
        <v>0.0363485645367954</v>
      </c>
      <c r="K15" t="s">
        <v>473</v>
      </c>
      <c r="L15" t="s">
        <v>331</v>
      </c>
      <c r="M15" t="s">
        <v>411</v>
      </c>
      <c r="N15"/>
    </row>
    <row r="16">
      <c r="A16" t="s">
        <v>182</v>
      </c>
      <c r="B16" t="s">
        <v>327</v>
      </c>
      <c r="C16" t="n">
        <v>0.00158448433650334</v>
      </c>
      <c r="D16" t="n">
        <v>0.00135231285364733</v>
      </c>
      <c r="E16" t="n">
        <v>1.37284513372463</v>
      </c>
      <c r="F16" t="n">
        <v>0.241323651272004</v>
      </c>
      <c r="G16" t="s">
        <v>329</v>
      </c>
      <c r="H16" t="n">
        <v>0.00158448433650334</v>
      </c>
      <c r="I16" t="n">
        <v>-0.00106604885664541</v>
      </c>
      <c r="J16" t="n">
        <v>0.0042350175296521</v>
      </c>
      <c r="K16" t="s">
        <v>474</v>
      </c>
      <c r="L16" t="s">
        <v>331</v>
      </c>
      <c r="M16" t="s">
        <v>411</v>
      </c>
      <c r="N16"/>
    </row>
    <row r="17">
      <c r="A17" t="s">
        <v>182</v>
      </c>
      <c r="B17" t="s">
        <v>55</v>
      </c>
      <c r="C17" t="n">
        <v>0.00703875600620422</v>
      </c>
      <c r="D17" t="n">
        <v>0.00437786337371325</v>
      </c>
      <c r="E17" t="n">
        <v>2.58504087312342</v>
      </c>
      <c r="F17" t="n">
        <v>0.107877623583361</v>
      </c>
      <c r="G17" t="s">
        <v>329</v>
      </c>
      <c r="H17" t="n">
        <v>0.00703875600620422</v>
      </c>
      <c r="I17" t="n">
        <v>-0.00154185620627375</v>
      </c>
      <c r="J17" t="n">
        <v>0.0156193682186822</v>
      </c>
      <c r="K17" t="s">
        <v>475</v>
      </c>
      <c r="L17" t="s">
        <v>331</v>
      </c>
      <c r="M17" t="s">
        <v>411</v>
      </c>
      <c r="N17"/>
    </row>
    <row r="18">
      <c r="A18" t="s">
        <v>190</v>
      </c>
      <c r="B18" t="s">
        <v>328</v>
      </c>
      <c r="C18" t="n">
        <v>-0.0205374746114305</v>
      </c>
      <c r="D18" t="n">
        <v>0.014327642506657</v>
      </c>
      <c r="E18" t="n">
        <v>2.05468194931423</v>
      </c>
      <c r="F18" t="n">
        <v>0.151738936783313</v>
      </c>
      <c r="G18" t="s">
        <v>329</v>
      </c>
      <c r="H18" t="n">
        <v>-0.0205374746114305</v>
      </c>
      <c r="I18" t="n">
        <v>-0.0486196539244783</v>
      </c>
      <c r="J18" t="n">
        <v>0.00754470470161728</v>
      </c>
      <c r="K18" t="s">
        <v>476</v>
      </c>
      <c r="L18" t="s">
        <v>331</v>
      </c>
      <c r="M18" t="s">
        <v>411</v>
      </c>
      <c r="N18"/>
    </row>
    <row r="19">
      <c r="A19" t="s">
        <v>190</v>
      </c>
      <c r="B19" t="s">
        <v>333</v>
      </c>
      <c r="C19" t="n">
        <v>0.0516380289169479</v>
      </c>
      <c r="D19" t="n">
        <v>0.00674391423465701</v>
      </c>
      <c r="E19" t="n">
        <v>58.6293711062336</v>
      </c>
      <c r="F19" t="n">
        <v>0.0000000000000189848137210902</v>
      </c>
      <c r="G19" t="s">
        <v>329</v>
      </c>
      <c r="H19" t="n">
        <v>0.0516380289169479</v>
      </c>
      <c r="I19" t="n">
        <v>0.0384199570170202</v>
      </c>
      <c r="J19" t="n">
        <v>0.0648561008168756</v>
      </c>
      <c r="K19" t="s">
        <v>477</v>
      </c>
      <c r="L19" t="s">
        <v>331</v>
      </c>
      <c r="M19" t="s">
        <v>411</v>
      </c>
      <c r="N19"/>
    </row>
    <row r="20">
      <c r="A20" t="s">
        <v>190</v>
      </c>
      <c r="B20" t="s">
        <v>335</v>
      </c>
      <c r="C20" t="n">
        <v>0.01957871559939</v>
      </c>
      <c r="D20" t="n">
        <v>0.00598074598424937</v>
      </c>
      <c r="E20" t="n">
        <v>10.7166162909711</v>
      </c>
      <c r="F20" t="n">
        <v>0.00106177666594776</v>
      </c>
      <c r="G20" t="s">
        <v>329</v>
      </c>
      <c r="H20" t="n">
        <v>0.01957871559939</v>
      </c>
      <c r="I20" t="n">
        <v>0.00785645347026124</v>
      </c>
      <c r="J20" t="n">
        <v>0.0313009777285188</v>
      </c>
      <c r="K20" t="s">
        <v>478</v>
      </c>
      <c r="L20" t="s">
        <v>331</v>
      </c>
      <c r="M20" t="s">
        <v>411</v>
      </c>
      <c r="N20"/>
    </row>
    <row r="21">
      <c r="A21" t="s">
        <v>190</v>
      </c>
      <c r="B21" t="s">
        <v>327</v>
      </c>
      <c r="C21" t="n">
        <v>0.000458971081716945</v>
      </c>
      <c r="D21" t="n">
        <v>0.00040837364131114</v>
      </c>
      <c r="E21" t="n">
        <v>1.26315091413079</v>
      </c>
      <c r="F21" t="n">
        <v>0.261055507182373</v>
      </c>
      <c r="G21" t="s">
        <v>329</v>
      </c>
      <c r="H21" t="n">
        <v>0.000458971081716945</v>
      </c>
      <c r="I21" t="n">
        <v>-0.000341441255252889</v>
      </c>
      <c r="J21" t="n">
        <v>0.00125938341868678</v>
      </c>
      <c r="K21" t="s">
        <v>429</v>
      </c>
      <c r="L21" t="s">
        <v>331</v>
      </c>
      <c r="M21" t="s">
        <v>411</v>
      </c>
      <c r="N21"/>
    </row>
    <row r="22">
      <c r="A22" t="s">
        <v>190</v>
      </c>
      <c r="B22" t="s">
        <v>55</v>
      </c>
      <c r="C22" t="n">
        <v>-0.00121946415238287</v>
      </c>
      <c r="D22" t="n">
        <v>0.00134574262214208</v>
      </c>
      <c r="E22" t="n">
        <v>0.821134049967041</v>
      </c>
      <c r="F22" t="n">
        <v>0.364848804821297</v>
      </c>
      <c r="G22" t="s">
        <v>329</v>
      </c>
      <c r="H22" t="n">
        <v>-0.00121946415238287</v>
      </c>
      <c r="I22" t="n">
        <v>-0.00385711969178135</v>
      </c>
      <c r="J22" t="n">
        <v>0.00141819138701561</v>
      </c>
      <c r="K22" t="s">
        <v>479</v>
      </c>
      <c r="L22" t="s">
        <v>331</v>
      </c>
      <c r="M22" t="s">
        <v>411</v>
      </c>
      <c r="N22"/>
    </row>
    <row r="23">
      <c r="A23" t="s">
        <v>197</v>
      </c>
      <c r="B23" t="s">
        <v>328</v>
      </c>
      <c r="C23" t="n">
        <v>-0.019799612355598</v>
      </c>
      <c r="D23" t="n">
        <v>0.00972093067749697</v>
      </c>
      <c r="E23" t="n">
        <v>4.1485629360867</v>
      </c>
      <c r="F23" t="n">
        <v>0.0416698743067647</v>
      </c>
      <c r="G23" t="s">
        <v>329</v>
      </c>
      <c r="H23" t="n">
        <v>-0.019799612355598</v>
      </c>
      <c r="I23" t="n">
        <v>-0.038852636483492</v>
      </c>
      <c r="J23" t="n">
        <v>-0.000746588227703914</v>
      </c>
      <c r="K23" t="s">
        <v>480</v>
      </c>
      <c r="L23" t="s">
        <v>331</v>
      </c>
      <c r="M23" t="s">
        <v>411</v>
      </c>
      <c r="N23"/>
    </row>
    <row r="24">
      <c r="A24" t="s">
        <v>197</v>
      </c>
      <c r="B24" t="s">
        <v>333</v>
      </c>
      <c r="C24" t="n">
        <v>0.00626951107074832</v>
      </c>
      <c r="D24" t="n">
        <v>0.00451273495590301</v>
      </c>
      <c r="E24" t="n">
        <v>1.93013503101769</v>
      </c>
      <c r="F24" t="n">
        <v>0.164743672580445</v>
      </c>
      <c r="G24" t="s">
        <v>329</v>
      </c>
      <c r="H24" t="n">
        <v>0.00626951107074832</v>
      </c>
      <c r="I24" t="n">
        <v>-0.00257544944282158</v>
      </c>
      <c r="J24" t="n">
        <v>0.0151144715843182</v>
      </c>
      <c r="K24" t="s">
        <v>481</v>
      </c>
      <c r="L24" t="s">
        <v>331</v>
      </c>
      <c r="M24" t="s">
        <v>411</v>
      </c>
      <c r="N24"/>
    </row>
    <row r="25">
      <c r="A25" t="s">
        <v>197</v>
      </c>
      <c r="B25" t="s">
        <v>335</v>
      </c>
      <c r="C25" t="n">
        <v>-0.00161422662202112</v>
      </c>
      <c r="D25" t="n">
        <v>0.00385608199612467</v>
      </c>
      <c r="E25" t="n">
        <v>0.175241309785877</v>
      </c>
      <c r="F25" t="n">
        <v>0.675495088127604</v>
      </c>
      <c r="G25" t="s">
        <v>329</v>
      </c>
      <c r="H25" t="n">
        <v>-0.00161422662202112</v>
      </c>
      <c r="I25" t="n">
        <v>-0.00917214733442547</v>
      </c>
      <c r="J25" t="n">
        <v>0.00594369409038323</v>
      </c>
      <c r="K25" t="s">
        <v>419</v>
      </c>
      <c r="L25" t="s">
        <v>331</v>
      </c>
      <c r="M25" t="s">
        <v>411</v>
      </c>
      <c r="N25"/>
    </row>
    <row r="26">
      <c r="A26" t="s">
        <v>197</v>
      </c>
      <c r="B26" t="s">
        <v>327</v>
      </c>
      <c r="C26" t="n">
        <v>0.0000707955865642141</v>
      </c>
      <c r="D26" t="n">
        <v>0.000262602951310953</v>
      </c>
      <c r="E26" t="n">
        <v>0.0726797062580749</v>
      </c>
      <c r="F26" t="n">
        <v>0.787474355688751</v>
      </c>
      <c r="G26" t="s">
        <v>329</v>
      </c>
      <c r="H26" t="n">
        <v>0.0000707955865642141</v>
      </c>
      <c r="I26" t="n">
        <v>-0.000443906198005254</v>
      </c>
      <c r="J26" t="n">
        <v>0.000585497371133682</v>
      </c>
      <c r="K26" t="s">
        <v>429</v>
      </c>
      <c r="L26" t="s">
        <v>331</v>
      </c>
      <c r="M26" t="s">
        <v>411</v>
      </c>
      <c r="N26"/>
    </row>
    <row r="27">
      <c r="A27" t="s">
        <v>197</v>
      </c>
      <c r="B27" t="s">
        <v>55</v>
      </c>
      <c r="C27" t="n">
        <v>-0.000796007373777406</v>
      </c>
      <c r="D27" t="n">
        <v>0.000979355948565308</v>
      </c>
      <c r="E27" t="n">
        <v>0.660622027516803</v>
      </c>
      <c r="F27" t="n">
        <v>0.416340430048585</v>
      </c>
      <c r="G27" t="s">
        <v>329</v>
      </c>
      <c r="H27" t="n">
        <v>-0.000796007373777406</v>
      </c>
      <c r="I27" t="n">
        <v>-0.00271554503296541</v>
      </c>
      <c r="J27" t="n">
        <v>0.0011235302854106</v>
      </c>
      <c r="K27" t="s">
        <v>430</v>
      </c>
      <c r="L27" t="s">
        <v>331</v>
      </c>
      <c r="M27" t="s">
        <v>411</v>
      </c>
      <c r="N27"/>
    </row>
    <row r="28">
      <c r="A28" t="s">
        <v>205</v>
      </c>
      <c r="B28"/>
      <c r="C28"/>
      <c r="D28"/>
      <c r="E28"/>
      <c r="F28"/>
      <c r="G28"/>
      <c r="H28"/>
      <c r="I28"/>
      <c r="J28"/>
      <c r="K28"/>
      <c r="L28" t="s">
        <v>358</v>
      </c>
      <c r="M28"/>
      <c r="N28"/>
    </row>
    <row r="29">
      <c r="A29" t="s">
        <v>208</v>
      </c>
      <c r="B29"/>
      <c r="C29"/>
      <c r="D29"/>
      <c r="E29"/>
      <c r="F29"/>
      <c r="G29"/>
      <c r="H29"/>
      <c r="I29"/>
      <c r="J29"/>
      <c r="K29"/>
      <c r="L29" t="s">
        <v>358</v>
      </c>
      <c r="M29"/>
      <c r="N29"/>
    </row>
    <row r="30">
      <c r="A30" t="s">
        <v>392</v>
      </c>
      <c r="B30" t="s">
        <v>328</v>
      </c>
      <c r="C30" t="n">
        <v>-1.72147070159504</v>
      </c>
      <c r="D30" t="n">
        <v>0.571476122782043</v>
      </c>
      <c r="E30" t="n">
        <v>9.07409020409541</v>
      </c>
      <c r="F30" t="n">
        <v>0.00259256528380536</v>
      </c>
      <c r="G30" t="s">
        <v>359</v>
      </c>
      <c r="H30" t="n">
        <v>0.178802988603983</v>
      </c>
      <c r="I30" t="n">
        <v>0.0583343653453975</v>
      </c>
      <c r="J30" t="n">
        <v>0.548056167996666</v>
      </c>
      <c r="K30" t="s">
        <v>482</v>
      </c>
      <c r="L30" t="s">
        <v>361</v>
      </c>
      <c r="M30" t="s">
        <v>411</v>
      </c>
      <c r="N30"/>
    </row>
    <row r="31">
      <c r="A31" t="s">
        <v>392</v>
      </c>
      <c r="B31" t="s">
        <v>333</v>
      </c>
      <c r="C31" t="n">
        <v>1.00495928020546</v>
      </c>
      <c r="D31" t="n">
        <v>0.284707363049596</v>
      </c>
      <c r="E31" t="n">
        <v>12.4594689498995</v>
      </c>
      <c r="F31" t="n">
        <v>0.000415878165906713</v>
      </c>
      <c r="G31" t="s">
        <v>359</v>
      </c>
      <c r="H31" t="n">
        <v>2.73179603238795</v>
      </c>
      <c r="I31" t="n">
        <v>1.56350930396667</v>
      </c>
      <c r="J31" t="n">
        <v>4.77305094612319</v>
      </c>
      <c r="K31" t="s">
        <v>483</v>
      </c>
      <c r="L31" t="s">
        <v>361</v>
      </c>
      <c r="M31" t="s">
        <v>411</v>
      </c>
      <c r="N31"/>
    </row>
    <row r="32">
      <c r="A32" t="s">
        <v>392</v>
      </c>
      <c r="B32" t="s">
        <v>335</v>
      </c>
      <c r="C32" t="n">
        <v>1.68982116954757</v>
      </c>
      <c r="D32" t="n">
        <v>0.265845270280846</v>
      </c>
      <c r="E32" t="n">
        <v>40.4039306375727</v>
      </c>
      <c r="F32" t="n">
        <v>0.000000000206525241353006</v>
      </c>
      <c r="G32" t="s">
        <v>359</v>
      </c>
      <c r="H32" t="n">
        <v>5.41851162359802</v>
      </c>
      <c r="I32" t="n">
        <v>3.21801413099927</v>
      </c>
      <c r="J32" t="n">
        <v>9.12372258786502</v>
      </c>
      <c r="K32" t="s">
        <v>484</v>
      </c>
      <c r="L32" t="s">
        <v>361</v>
      </c>
      <c r="M32" t="s">
        <v>411</v>
      </c>
      <c r="N32"/>
    </row>
    <row r="33">
      <c r="A33" t="s">
        <v>392</v>
      </c>
      <c r="B33" t="s">
        <v>327</v>
      </c>
      <c r="C33" t="n">
        <v>-0.00583628860769226</v>
      </c>
      <c r="D33" t="n">
        <v>0.0170303239105037</v>
      </c>
      <c r="E33" t="n">
        <v>0.117443153307504</v>
      </c>
      <c r="F33" t="n">
        <v>0.731824312773083</v>
      </c>
      <c r="G33" t="s">
        <v>359</v>
      </c>
      <c r="H33" t="n">
        <v>0.994180709440083</v>
      </c>
      <c r="I33" t="n">
        <v>0.961543259320625</v>
      </c>
      <c r="J33" t="n">
        <v>1.02792596530824</v>
      </c>
      <c r="K33" t="s">
        <v>485</v>
      </c>
      <c r="L33" t="s">
        <v>361</v>
      </c>
      <c r="M33" t="s">
        <v>411</v>
      </c>
      <c r="N33"/>
    </row>
    <row r="34">
      <c r="A34" t="s">
        <v>392</v>
      </c>
      <c r="B34" t="s">
        <v>55</v>
      </c>
      <c r="C34" t="n">
        <v>-0.0586892918146672</v>
      </c>
      <c r="D34" t="n">
        <v>0.0592882817445181</v>
      </c>
      <c r="E34" t="n">
        <v>0.979896056604582</v>
      </c>
      <c r="F34" t="n">
        <v>0.322224469458585</v>
      </c>
      <c r="G34" t="s">
        <v>359</v>
      </c>
      <c r="H34" t="n">
        <v>0.942999721375615</v>
      </c>
      <c r="I34" t="n">
        <v>0.839545735888303</v>
      </c>
      <c r="J34" t="n">
        <v>1.05920194279064</v>
      </c>
      <c r="K34" t="s">
        <v>486</v>
      </c>
      <c r="L34" t="s">
        <v>361</v>
      </c>
      <c r="M34" t="s">
        <v>411</v>
      </c>
      <c r="N34"/>
    </row>
    <row r="35">
      <c r="A35" t="s">
        <v>396</v>
      </c>
      <c r="B35" t="s">
        <v>328</v>
      </c>
      <c r="C35" t="n">
        <v>-6.56196776106162</v>
      </c>
      <c r="D35" t="n">
        <v>1.50649826153255</v>
      </c>
      <c r="E35" t="n">
        <v>18.9727775619112</v>
      </c>
      <c r="F35" t="n">
        <v>0.0000132596808748442</v>
      </c>
      <c r="G35" t="s">
        <v>359</v>
      </c>
      <c r="H35" t="n">
        <v>0.00141310232499507</v>
      </c>
      <c r="I35" t="n">
        <v>0.0000737592347476957</v>
      </c>
      <c r="J35" t="n">
        <v>0.0270726531767447</v>
      </c>
      <c r="K35" t="s">
        <v>487</v>
      </c>
      <c r="L35" t="s">
        <v>361</v>
      </c>
      <c r="M35" t="s">
        <v>411</v>
      </c>
      <c r="N35"/>
    </row>
    <row r="36">
      <c r="A36" t="s">
        <v>396</v>
      </c>
      <c r="B36" t="s">
        <v>333</v>
      </c>
      <c r="C36" t="n">
        <v>0.301027162507769</v>
      </c>
      <c r="D36" t="n">
        <v>0.535360928751984</v>
      </c>
      <c r="E36" t="n">
        <v>0.316168081888732</v>
      </c>
      <c r="F36" t="n">
        <v>0.573919639084006</v>
      </c>
      <c r="G36" t="s">
        <v>359</v>
      </c>
      <c r="H36" t="n">
        <v>1.35124604427072</v>
      </c>
      <c r="I36" t="n">
        <v>0.473179600329569</v>
      </c>
      <c r="J36" t="n">
        <v>3.85871637510484</v>
      </c>
      <c r="K36" t="s">
        <v>488</v>
      </c>
      <c r="L36" t="s">
        <v>361</v>
      </c>
      <c r="M36" t="s">
        <v>411</v>
      </c>
      <c r="N36"/>
    </row>
    <row r="37">
      <c r="A37" t="s">
        <v>396</v>
      </c>
      <c r="B37" t="s">
        <v>335</v>
      </c>
      <c r="C37" t="n">
        <v>0.493962933063777</v>
      </c>
      <c r="D37" t="n">
        <v>0.558483132271568</v>
      </c>
      <c r="E37" t="n">
        <v>0.782291479270254</v>
      </c>
      <c r="F37" t="n">
        <v>0.376441238932757</v>
      </c>
      <c r="G37" t="s">
        <v>359</v>
      </c>
      <c r="H37" t="n">
        <v>1.63879781445386</v>
      </c>
      <c r="I37" t="n">
        <v>0.548447342731251</v>
      </c>
      <c r="J37" t="n">
        <v>4.89683888937129</v>
      </c>
      <c r="K37" t="s">
        <v>489</v>
      </c>
      <c r="L37" t="s">
        <v>361</v>
      </c>
      <c r="M37" t="s">
        <v>411</v>
      </c>
      <c r="N37"/>
    </row>
    <row r="38">
      <c r="A38" t="s">
        <v>396</v>
      </c>
      <c r="B38" t="s">
        <v>327</v>
      </c>
      <c r="C38" t="n">
        <v>0.0834970527505656</v>
      </c>
      <c r="D38" t="n">
        <v>0.0398487675488302</v>
      </c>
      <c r="E38" t="n">
        <v>4.39048506725875</v>
      </c>
      <c r="F38" t="n">
        <v>0.0361400297245861</v>
      </c>
      <c r="G38" t="s">
        <v>359</v>
      </c>
      <c r="H38" t="n">
        <v>1.08708201138631</v>
      </c>
      <c r="I38" t="n">
        <v>1.00540803928949</v>
      </c>
      <c r="J38" t="n">
        <v>1.17539074017634</v>
      </c>
      <c r="K38" t="s">
        <v>490</v>
      </c>
      <c r="L38" t="s">
        <v>361</v>
      </c>
      <c r="M38" t="s">
        <v>411</v>
      </c>
      <c r="N38"/>
    </row>
    <row r="39">
      <c r="A39" t="s">
        <v>396</v>
      </c>
      <c r="B39" t="s">
        <v>55</v>
      </c>
      <c r="C39" t="n">
        <v>-0.106439585769617</v>
      </c>
      <c r="D39" t="n">
        <v>0.124938105307735</v>
      </c>
      <c r="E39" t="n">
        <v>0.725799258799828</v>
      </c>
      <c r="F39" t="n">
        <v>0.394248210324763</v>
      </c>
      <c r="G39" t="s">
        <v>359</v>
      </c>
      <c r="H39" t="n">
        <v>0.899029360687508</v>
      </c>
      <c r="I39" t="n">
        <v>0.703759731068682</v>
      </c>
      <c r="J39" t="n">
        <v>1.14847973775202</v>
      </c>
      <c r="K39" t="s">
        <v>491</v>
      </c>
      <c r="L39" t="s">
        <v>361</v>
      </c>
      <c r="M39" t="s">
        <v>411</v>
      </c>
      <c r="N39"/>
    </row>
    <row r="40">
      <c r="A40" t="s">
        <v>400</v>
      </c>
      <c r="B40"/>
      <c r="C40"/>
      <c r="D40"/>
      <c r="E40"/>
      <c r="F40"/>
      <c r="G40"/>
      <c r="H40"/>
      <c r="I40"/>
      <c r="J40"/>
      <c r="K40"/>
      <c r="L40" t="s">
        <v>369</v>
      </c>
      <c r="M40"/>
      <c r="N40"/>
    </row>
  </sheetData>
  <pageMargins left="0.7" right="0.7" top="0.75" bottom="0.75" header="0.3" footer="0.3"/>
  <pageSetup paperSize="9" orientation="portrait" horizontalDpi="300" verticalDpi="300"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10" t="s">
        <v>492</v>
      </c>
    </row>
    <row r="3">
      <c r="A3" s="1" t="s">
        <v>493</v>
      </c>
    </row>
    <row r="4">
      <c r="A4" t="s">
        <v>314</v>
      </c>
      <c r="B4" t="s">
        <v>494</v>
      </c>
      <c r="C4" t="s">
        <v>163</v>
      </c>
      <c r="D4" t="s">
        <v>495</v>
      </c>
      <c r="E4" t="s">
        <v>496</v>
      </c>
      <c r="F4" t="s">
        <v>1</v>
      </c>
    </row>
    <row r="5">
      <c r="A5" t="s">
        <v>165</v>
      </c>
      <c r="B5" t="s">
        <v>497</v>
      </c>
      <c r="C5" t="s">
        <v>498</v>
      </c>
      <c r="D5" t="s">
        <v>499</v>
      </c>
      <c r="E5" t="s">
        <v>500</v>
      </c>
      <c r="F5" t="s">
        <v>107</v>
      </c>
    </row>
    <row r="6">
      <c r="A6" t="s">
        <v>165</v>
      </c>
      <c r="B6" t="s">
        <v>501</v>
      </c>
      <c r="C6" t="s">
        <v>502</v>
      </c>
      <c r="D6" t="s">
        <v>503</v>
      </c>
      <c r="E6" t="s">
        <v>500</v>
      </c>
      <c r="F6" t="s">
        <v>107</v>
      </c>
    </row>
    <row r="7">
      <c r="A7" t="s">
        <v>174</v>
      </c>
      <c r="B7" t="s">
        <v>497</v>
      </c>
      <c r="C7" t="s">
        <v>504</v>
      </c>
      <c r="D7" t="s">
        <v>50</v>
      </c>
      <c r="E7" t="s">
        <v>500</v>
      </c>
      <c r="F7" t="s">
        <v>107</v>
      </c>
    </row>
    <row r="8">
      <c r="A8" t="s">
        <v>174</v>
      </c>
      <c r="B8" t="s">
        <v>501</v>
      </c>
      <c r="C8" t="s">
        <v>505</v>
      </c>
      <c r="D8" t="s">
        <v>50</v>
      </c>
      <c r="E8" t="s">
        <v>500</v>
      </c>
      <c r="F8" t="s">
        <v>107</v>
      </c>
    </row>
    <row r="9">
      <c r="A9" t="s">
        <v>182</v>
      </c>
      <c r="B9" t="s">
        <v>497</v>
      </c>
      <c r="C9" t="s">
        <v>506</v>
      </c>
      <c r="D9" t="s">
        <v>507</v>
      </c>
      <c r="E9" t="s">
        <v>500</v>
      </c>
      <c r="F9" t="s">
        <v>107</v>
      </c>
    </row>
    <row r="10">
      <c r="A10" t="s">
        <v>182</v>
      </c>
      <c r="B10" t="s">
        <v>501</v>
      </c>
      <c r="C10" t="s">
        <v>508</v>
      </c>
      <c r="D10" t="s">
        <v>509</v>
      </c>
      <c r="E10" t="s">
        <v>500</v>
      </c>
      <c r="F10" t="s">
        <v>107</v>
      </c>
    </row>
    <row r="11">
      <c r="A11" t="s">
        <v>190</v>
      </c>
      <c r="B11" t="s">
        <v>497</v>
      </c>
      <c r="C11" t="s">
        <v>510</v>
      </c>
      <c r="D11" t="s">
        <v>50</v>
      </c>
      <c r="E11" t="s">
        <v>500</v>
      </c>
      <c r="F11" t="s">
        <v>107</v>
      </c>
    </row>
    <row r="12">
      <c r="A12" t="s">
        <v>190</v>
      </c>
      <c r="B12" t="s">
        <v>501</v>
      </c>
      <c r="C12" t="s">
        <v>511</v>
      </c>
      <c r="D12" t="s">
        <v>512</v>
      </c>
      <c r="E12" t="s">
        <v>500</v>
      </c>
      <c r="F12" t="s">
        <v>107</v>
      </c>
    </row>
    <row r="13">
      <c r="A13" t="s">
        <v>197</v>
      </c>
      <c r="B13" t="s">
        <v>497</v>
      </c>
      <c r="C13" t="s">
        <v>513</v>
      </c>
      <c r="D13" t="s">
        <v>514</v>
      </c>
      <c r="E13" t="s">
        <v>500</v>
      </c>
      <c r="F13" t="s">
        <v>107</v>
      </c>
    </row>
    <row r="14">
      <c r="A14" t="s">
        <v>197</v>
      </c>
      <c r="B14" t="s">
        <v>501</v>
      </c>
      <c r="C14" t="s">
        <v>515</v>
      </c>
      <c r="D14" t="s">
        <v>516</v>
      </c>
      <c r="E14" t="s">
        <v>500</v>
      </c>
      <c r="F14" t="s">
        <v>107</v>
      </c>
    </row>
    <row r="15">
      <c r="A15" t="s">
        <v>205</v>
      </c>
      <c r="B15" t="s">
        <v>107</v>
      </c>
      <c r="C15" t="s">
        <v>107</v>
      </c>
      <c r="D15" t="s">
        <v>107</v>
      </c>
      <c r="E15"/>
      <c r="F15" t="s">
        <v>517</v>
      </c>
    </row>
    <row r="16">
      <c r="A16" t="s">
        <v>208</v>
      </c>
      <c r="B16" t="s">
        <v>107</v>
      </c>
      <c r="C16" t="s">
        <v>107</v>
      </c>
      <c r="D16" t="s">
        <v>107</v>
      </c>
      <c r="E16"/>
      <c r="F16" t="s">
        <v>517</v>
      </c>
    </row>
    <row r="17">
      <c r="A17" t="s">
        <v>392</v>
      </c>
      <c r="B17" t="s">
        <v>497</v>
      </c>
      <c r="C17" t="s">
        <v>518</v>
      </c>
      <c r="D17" t="s">
        <v>512</v>
      </c>
      <c r="E17" t="s">
        <v>519</v>
      </c>
      <c r="F17" t="s">
        <v>107</v>
      </c>
    </row>
    <row r="18">
      <c r="A18" t="s">
        <v>392</v>
      </c>
      <c r="B18" t="s">
        <v>501</v>
      </c>
      <c r="C18" t="s">
        <v>520</v>
      </c>
      <c r="D18" t="s">
        <v>50</v>
      </c>
      <c r="E18" t="s">
        <v>519</v>
      </c>
      <c r="F18" t="s">
        <v>107</v>
      </c>
    </row>
    <row r="19">
      <c r="A19" t="s">
        <v>396</v>
      </c>
      <c r="B19" t="s">
        <v>497</v>
      </c>
      <c r="C19" t="s">
        <v>521</v>
      </c>
      <c r="D19" t="s">
        <v>522</v>
      </c>
      <c r="E19" t="s">
        <v>523</v>
      </c>
      <c r="F19" t="s">
        <v>524</v>
      </c>
    </row>
    <row r="20">
      <c r="A20" t="s">
        <v>396</v>
      </c>
      <c r="B20" t="s">
        <v>501</v>
      </c>
      <c r="C20" t="s">
        <v>525</v>
      </c>
      <c r="D20" t="s">
        <v>526</v>
      </c>
      <c r="E20" t="s">
        <v>523</v>
      </c>
      <c r="F20" t="s">
        <v>524</v>
      </c>
    </row>
    <row r="21">
      <c r="A21" t="s">
        <v>400</v>
      </c>
      <c r="B21" t="s">
        <v>107</v>
      </c>
      <c r="C21" t="s">
        <v>107</v>
      </c>
      <c r="D21" t="s">
        <v>107</v>
      </c>
      <c r="E21"/>
      <c r="F21" t="s">
        <v>527</v>
      </c>
    </row>
    <row r="23">
      <c r="A23" s="1" t="s">
        <v>528</v>
      </c>
    </row>
    <row r="24">
      <c r="A24" t="s">
        <v>314</v>
      </c>
      <c r="B24" t="s">
        <v>315</v>
      </c>
      <c r="C24" t="s">
        <v>316</v>
      </c>
      <c r="D24" t="s">
        <v>317</v>
      </c>
      <c r="E24" t="s">
        <v>318</v>
      </c>
      <c r="F24" t="s">
        <v>319</v>
      </c>
      <c r="G24" t="s">
        <v>320</v>
      </c>
      <c r="H24" t="s">
        <v>321</v>
      </c>
      <c r="I24" t="s">
        <v>322</v>
      </c>
      <c r="J24" t="s">
        <v>323</v>
      </c>
      <c r="K24" t="s">
        <v>324</v>
      </c>
      <c r="L24" t="s">
        <v>325</v>
      </c>
    </row>
    <row r="25">
      <c r="A25" t="s">
        <v>165</v>
      </c>
      <c r="B25" t="s">
        <v>328</v>
      </c>
      <c r="C25" t="n">
        <v>139.553932383512</v>
      </c>
      <c r="D25" t="n">
        <v>92.0250106609974</v>
      </c>
      <c r="E25" t="n">
        <v>2.29970645608493</v>
      </c>
      <c r="F25" t="n">
        <v>0.12939845150734</v>
      </c>
      <c r="G25" t="s">
        <v>329</v>
      </c>
      <c r="H25" t="n">
        <v>139.553932383512</v>
      </c>
      <c r="I25" t="n">
        <v>-40.8150885120431</v>
      </c>
      <c r="J25" t="n">
        <v>319.922953279067</v>
      </c>
      <c r="K25" t="s">
        <v>529</v>
      </c>
      <c r="L25" t="s">
        <v>530</v>
      </c>
    </row>
    <row r="26">
      <c r="A26" t="s">
        <v>165</v>
      </c>
      <c r="B26" t="s">
        <v>333</v>
      </c>
      <c r="C26" t="n">
        <v>-10.7306148396143</v>
      </c>
      <c r="D26" t="n">
        <v>10.7619464703809</v>
      </c>
      <c r="E26" t="n">
        <v>0.994185805993906</v>
      </c>
      <c r="F26" t="n">
        <v>0.318721474421519</v>
      </c>
      <c r="G26" t="s">
        <v>329</v>
      </c>
      <c r="H26" t="n">
        <v>-10.7306148396143</v>
      </c>
      <c r="I26" t="n">
        <v>-31.8240299215609</v>
      </c>
      <c r="J26" t="n">
        <v>10.3628002423324</v>
      </c>
      <c r="K26" t="s">
        <v>531</v>
      </c>
      <c r="L26" t="s">
        <v>530</v>
      </c>
    </row>
    <row r="27">
      <c r="A27" t="s">
        <v>165</v>
      </c>
      <c r="B27" t="s">
        <v>335</v>
      </c>
      <c r="C27" t="n">
        <v>-2.58280170986044</v>
      </c>
      <c r="D27" t="n">
        <v>10.6231969371347</v>
      </c>
      <c r="E27" t="n">
        <v>0.0591114571368679</v>
      </c>
      <c r="F27" t="n">
        <v>0.807905870211212</v>
      </c>
      <c r="G27" t="s">
        <v>329</v>
      </c>
      <c r="H27" t="n">
        <v>-2.58280170986044</v>
      </c>
      <c r="I27" t="n">
        <v>-23.4042677066444</v>
      </c>
      <c r="J27" t="n">
        <v>18.2386642869235</v>
      </c>
      <c r="K27" t="s">
        <v>532</v>
      </c>
      <c r="L27" t="s">
        <v>530</v>
      </c>
    </row>
    <row r="28">
      <c r="A28" t="s">
        <v>165</v>
      </c>
      <c r="B28" t="s">
        <v>327</v>
      </c>
      <c r="C28" t="n">
        <v>0.273033018487114</v>
      </c>
      <c r="D28" t="n">
        <v>0.757418644353707</v>
      </c>
      <c r="E28" t="n">
        <v>0.129944636355691</v>
      </c>
      <c r="F28" t="n">
        <v>0.718489448729055</v>
      </c>
      <c r="G28" t="s">
        <v>329</v>
      </c>
      <c r="H28" t="n">
        <v>0.273033018487114</v>
      </c>
      <c r="I28" t="n">
        <v>-1.21150752444615</v>
      </c>
      <c r="J28" t="n">
        <v>1.75757356142038</v>
      </c>
      <c r="K28" t="s">
        <v>533</v>
      </c>
      <c r="L28" t="s">
        <v>530</v>
      </c>
    </row>
    <row r="29">
      <c r="A29" t="s">
        <v>165</v>
      </c>
      <c r="B29" t="s">
        <v>55</v>
      </c>
      <c r="C29" t="n">
        <v>-2.32868568837819</v>
      </c>
      <c r="D29" t="n">
        <v>2.10304606319199</v>
      </c>
      <c r="E29" t="n">
        <v>1.22609515939358</v>
      </c>
      <c r="F29" t="n">
        <v>0.268167782805164</v>
      </c>
      <c r="G29" t="s">
        <v>329</v>
      </c>
      <c r="H29" t="n">
        <v>-2.32868568837819</v>
      </c>
      <c r="I29" t="n">
        <v>-6.45065597223449</v>
      </c>
      <c r="J29" t="n">
        <v>1.7932845954781</v>
      </c>
      <c r="K29" t="s">
        <v>534</v>
      </c>
      <c r="L29" t="s">
        <v>530</v>
      </c>
    </row>
    <row r="30">
      <c r="A30" t="s">
        <v>165</v>
      </c>
      <c r="B30" t="s">
        <v>89</v>
      </c>
      <c r="C30" t="n">
        <v>0.0505291345834878</v>
      </c>
      <c r="D30" t="n">
        <v>0.160484087590905</v>
      </c>
      <c r="E30" t="n">
        <v>0.0991333460746699</v>
      </c>
      <c r="F30" t="n">
        <v>0.752872141689638</v>
      </c>
      <c r="G30" t="s">
        <v>329</v>
      </c>
      <c r="H30" t="n">
        <v>0.0505291345834878</v>
      </c>
      <c r="I30" t="n">
        <v>-0.264019677094685</v>
      </c>
      <c r="J30" t="n">
        <v>0.365077946261661</v>
      </c>
      <c r="K30" t="s">
        <v>535</v>
      </c>
      <c r="L30" t="s">
        <v>530</v>
      </c>
    </row>
    <row r="31">
      <c r="A31" t="s">
        <v>174</v>
      </c>
      <c r="B31" t="s">
        <v>328</v>
      </c>
      <c r="C31" t="n">
        <v>0.640784591441243</v>
      </c>
      <c r="D31" t="n">
        <v>0.368737589003314</v>
      </c>
      <c r="E31" t="n">
        <v>3.01987729269577</v>
      </c>
      <c r="F31" t="n">
        <v>0.082249689293843</v>
      </c>
      <c r="G31" t="s">
        <v>329</v>
      </c>
      <c r="H31" t="n">
        <v>0.640784591441243</v>
      </c>
      <c r="I31" t="n">
        <v>-0.0819410830052518</v>
      </c>
      <c r="J31" t="n">
        <v>1.36351026588774</v>
      </c>
      <c r="K31" t="s">
        <v>536</v>
      </c>
      <c r="L31" t="s">
        <v>530</v>
      </c>
    </row>
    <row r="32">
      <c r="A32" t="s">
        <v>174</v>
      </c>
      <c r="B32" t="s">
        <v>333</v>
      </c>
      <c r="C32" t="n">
        <v>-0.180640400383681</v>
      </c>
      <c r="D32" t="n">
        <v>0.052237077898375</v>
      </c>
      <c r="E32" t="n">
        <v>11.9583710465747</v>
      </c>
      <c r="F32" t="n">
        <v>0.000544024112305364</v>
      </c>
      <c r="G32" t="s">
        <v>329</v>
      </c>
      <c r="H32" t="n">
        <v>-0.180640400383681</v>
      </c>
      <c r="I32" t="n">
        <v>-0.283025073064496</v>
      </c>
      <c r="J32" t="n">
        <v>-0.0782557277028661</v>
      </c>
      <c r="K32" t="s">
        <v>537</v>
      </c>
      <c r="L32" t="s">
        <v>530</v>
      </c>
    </row>
    <row r="33">
      <c r="A33" t="s">
        <v>174</v>
      </c>
      <c r="B33" t="s">
        <v>335</v>
      </c>
      <c r="C33" t="n">
        <v>-0.151543488518369</v>
      </c>
      <c r="D33" t="n">
        <v>0.0435889032979012</v>
      </c>
      <c r="E33" t="n">
        <v>12.0871156199619</v>
      </c>
      <c r="F33" t="n">
        <v>0.00050771457806098</v>
      </c>
      <c r="G33" t="s">
        <v>329</v>
      </c>
      <c r="H33" t="n">
        <v>-0.151543488518369</v>
      </c>
      <c r="I33" t="n">
        <v>-0.236977738982255</v>
      </c>
      <c r="J33" t="n">
        <v>-0.0661092380544823</v>
      </c>
      <c r="K33" t="s">
        <v>538</v>
      </c>
      <c r="L33" t="s">
        <v>530</v>
      </c>
    </row>
    <row r="34">
      <c r="A34" t="s">
        <v>174</v>
      </c>
      <c r="B34" t="s">
        <v>327</v>
      </c>
      <c r="C34" t="n">
        <v>-0.0047596471075038</v>
      </c>
      <c r="D34" t="n">
        <v>0.00307238687667637</v>
      </c>
      <c r="E34" t="n">
        <v>2.39992519779709</v>
      </c>
      <c r="F34" t="n">
        <v>0.121341052348273</v>
      </c>
      <c r="G34" t="s">
        <v>329</v>
      </c>
      <c r="H34" t="n">
        <v>-0.0047596471075038</v>
      </c>
      <c r="I34" t="n">
        <v>-0.0107815253857895</v>
      </c>
      <c r="J34" t="n">
        <v>0.00126223117078188</v>
      </c>
      <c r="K34" t="s">
        <v>539</v>
      </c>
      <c r="L34" t="s">
        <v>530</v>
      </c>
    </row>
    <row r="35">
      <c r="A35" t="s">
        <v>174</v>
      </c>
      <c r="B35" t="s">
        <v>55</v>
      </c>
      <c r="C35" t="n">
        <v>0.0123718009319436</v>
      </c>
      <c r="D35" t="n">
        <v>0.00987243385703956</v>
      </c>
      <c r="E35" t="n">
        <v>1.57042565444075</v>
      </c>
      <c r="F35" t="n">
        <v>0.210145209139287</v>
      </c>
      <c r="G35" t="s">
        <v>329</v>
      </c>
      <c r="H35" t="n">
        <v>0.0123718009319436</v>
      </c>
      <c r="I35" t="n">
        <v>-0.00697816942785391</v>
      </c>
      <c r="J35" t="n">
        <v>0.0317217712917411</v>
      </c>
      <c r="K35" t="s">
        <v>540</v>
      </c>
      <c r="L35" t="s">
        <v>530</v>
      </c>
    </row>
    <row r="36">
      <c r="A36" t="s">
        <v>174</v>
      </c>
      <c r="B36" t="s">
        <v>89</v>
      </c>
      <c r="C36" t="n">
        <v>-0.000765264210321962</v>
      </c>
      <c r="D36" t="n">
        <v>0.000649786841322392</v>
      </c>
      <c r="E36" t="n">
        <v>1.38701443547977</v>
      </c>
      <c r="F36" t="n">
        <v>0.238909937708054</v>
      </c>
      <c r="G36" t="s">
        <v>329</v>
      </c>
      <c r="H36" t="n">
        <v>-0.000765264210321962</v>
      </c>
      <c r="I36" t="n">
        <v>-0.00203884641931385</v>
      </c>
      <c r="J36" t="n">
        <v>0.000508317998669927</v>
      </c>
      <c r="K36" t="s">
        <v>424</v>
      </c>
      <c r="L36" t="s">
        <v>530</v>
      </c>
    </row>
    <row r="37">
      <c r="A37" t="s">
        <v>182</v>
      </c>
      <c r="B37" t="s">
        <v>328</v>
      </c>
      <c r="C37" t="n">
        <v>-0.0913317785407859</v>
      </c>
      <c r="D37" t="n">
        <v>0.179943051321315</v>
      </c>
      <c r="E37" t="n">
        <v>0.257616495888614</v>
      </c>
      <c r="F37" t="n">
        <v>0.611762402992815</v>
      </c>
      <c r="G37" t="s">
        <v>329</v>
      </c>
      <c r="H37" t="n">
        <v>-0.0913317785407859</v>
      </c>
      <c r="I37" t="n">
        <v>-0.444020159130564</v>
      </c>
      <c r="J37" t="n">
        <v>0.261356602048992</v>
      </c>
      <c r="K37" t="s">
        <v>541</v>
      </c>
      <c r="L37" t="s">
        <v>530</v>
      </c>
    </row>
    <row r="38">
      <c r="A38" t="s">
        <v>182</v>
      </c>
      <c r="B38" t="s">
        <v>333</v>
      </c>
      <c r="C38" t="n">
        <v>-0.0113150551012156</v>
      </c>
      <c r="D38" t="n">
        <v>0.0243002881321515</v>
      </c>
      <c r="E38" t="n">
        <v>0.21681558673073</v>
      </c>
      <c r="F38" t="n">
        <v>0.64147706762463</v>
      </c>
      <c r="G38" t="s">
        <v>329</v>
      </c>
      <c r="H38" t="n">
        <v>-0.0113150551012156</v>
      </c>
      <c r="I38" t="n">
        <v>-0.0589436198402324</v>
      </c>
      <c r="J38" t="n">
        <v>0.0363135096378013</v>
      </c>
      <c r="K38" t="s">
        <v>542</v>
      </c>
      <c r="L38" t="s">
        <v>530</v>
      </c>
    </row>
    <row r="39">
      <c r="A39" t="s">
        <v>182</v>
      </c>
      <c r="B39" t="s">
        <v>335</v>
      </c>
      <c r="C39" t="n">
        <v>-0.00876890248507719</v>
      </c>
      <c r="D39" t="n">
        <v>0.0222920522779923</v>
      </c>
      <c r="E39" t="n">
        <v>0.154735647039323</v>
      </c>
      <c r="F39" t="n">
        <v>0.694050269445202</v>
      </c>
      <c r="G39" t="s">
        <v>329</v>
      </c>
      <c r="H39" t="n">
        <v>-0.00876890248507719</v>
      </c>
      <c r="I39" t="n">
        <v>-0.052461324949942</v>
      </c>
      <c r="J39" t="n">
        <v>0.0349235199797876</v>
      </c>
      <c r="K39" t="s">
        <v>543</v>
      </c>
      <c r="L39" t="s">
        <v>530</v>
      </c>
    </row>
    <row r="40">
      <c r="A40" t="s">
        <v>182</v>
      </c>
      <c r="B40" t="s">
        <v>327</v>
      </c>
      <c r="C40" t="n">
        <v>0.00154497571032591</v>
      </c>
      <c r="D40" t="n">
        <v>0.00139538213381444</v>
      </c>
      <c r="E40" t="n">
        <v>1.22590550647067</v>
      </c>
      <c r="F40" t="n">
        <v>0.268204799848145</v>
      </c>
      <c r="G40" t="s">
        <v>329</v>
      </c>
      <c r="H40" t="n">
        <v>0.00154497571032591</v>
      </c>
      <c r="I40" t="n">
        <v>-0.0011899732719504</v>
      </c>
      <c r="J40" t="n">
        <v>0.00427992469260222</v>
      </c>
      <c r="K40" t="s">
        <v>474</v>
      </c>
      <c r="L40" t="s">
        <v>530</v>
      </c>
    </row>
    <row r="41">
      <c r="A41" t="s">
        <v>182</v>
      </c>
      <c r="B41" t="s">
        <v>55</v>
      </c>
      <c r="C41" t="n">
        <v>0.00582025506589207</v>
      </c>
      <c r="D41" t="n">
        <v>0.00453828487532528</v>
      </c>
      <c r="E41" t="n">
        <v>1.64475239520157</v>
      </c>
      <c r="F41" t="n">
        <v>0.199674665689154</v>
      </c>
      <c r="G41" t="s">
        <v>329</v>
      </c>
      <c r="H41" t="n">
        <v>0.00582025506589207</v>
      </c>
      <c r="I41" t="n">
        <v>-0.00307478328974548</v>
      </c>
      <c r="J41" t="n">
        <v>0.0147152934215296</v>
      </c>
      <c r="K41" t="s">
        <v>481</v>
      </c>
      <c r="L41" t="s">
        <v>530</v>
      </c>
    </row>
    <row r="42">
      <c r="A42" t="s">
        <v>182</v>
      </c>
      <c r="B42" t="s">
        <v>89</v>
      </c>
      <c r="C42" t="n">
        <v>-0.000273991143923539</v>
      </c>
      <c r="D42" t="n">
        <v>0.000320398530814246</v>
      </c>
      <c r="E42" t="n">
        <v>0.73129401515502</v>
      </c>
      <c r="F42" t="n">
        <v>0.39246406914068</v>
      </c>
      <c r="G42" t="s">
        <v>329</v>
      </c>
      <c r="H42" t="n">
        <v>-0.000273991143923539</v>
      </c>
      <c r="I42" t="n">
        <v>-0.000901972264319461</v>
      </c>
      <c r="J42" t="n">
        <v>0.000353989976472382</v>
      </c>
      <c r="K42" t="s">
        <v>544</v>
      </c>
      <c r="L42" t="s">
        <v>530</v>
      </c>
    </row>
    <row r="43">
      <c r="A43" t="s">
        <v>190</v>
      </c>
      <c r="B43" t="s">
        <v>328</v>
      </c>
      <c r="C43" t="n">
        <v>-0.0561294109032028</v>
      </c>
      <c r="D43" t="n">
        <v>0.0511805395813385</v>
      </c>
      <c r="E43" t="n">
        <v>1.20273859650754</v>
      </c>
      <c r="F43" t="n">
        <v>0.272775007357981</v>
      </c>
      <c r="G43" t="s">
        <v>329</v>
      </c>
      <c r="H43" t="n">
        <v>-0.0561294109032028</v>
      </c>
      <c r="I43" t="n">
        <v>-0.156443268482626</v>
      </c>
      <c r="J43" t="n">
        <v>0.0441844466762206</v>
      </c>
      <c r="K43" t="s">
        <v>545</v>
      </c>
      <c r="L43" t="s">
        <v>530</v>
      </c>
    </row>
    <row r="44">
      <c r="A44" t="s">
        <v>190</v>
      </c>
      <c r="B44" t="s">
        <v>333</v>
      </c>
      <c r="C44" t="n">
        <v>0.0537613551214243</v>
      </c>
      <c r="D44" t="n">
        <v>0.00690119312195398</v>
      </c>
      <c r="E44" t="n">
        <v>60.6864946425773</v>
      </c>
      <c r="F44" t="n">
        <v>0.00000000000000666133814775094</v>
      </c>
      <c r="G44" t="s">
        <v>329</v>
      </c>
      <c r="H44" t="n">
        <v>0.0537613551214243</v>
      </c>
      <c r="I44" t="n">
        <v>0.0402350166023945</v>
      </c>
      <c r="J44" t="n">
        <v>0.0672876936404542</v>
      </c>
      <c r="K44" t="s">
        <v>546</v>
      </c>
      <c r="L44" t="s">
        <v>530</v>
      </c>
    </row>
    <row r="45">
      <c r="A45" t="s">
        <v>190</v>
      </c>
      <c r="B45" t="s">
        <v>335</v>
      </c>
      <c r="C45" t="n">
        <v>0.0200295734048808</v>
      </c>
      <c r="D45" t="n">
        <v>0.00615756750824617</v>
      </c>
      <c r="E45" t="n">
        <v>10.5809590970615</v>
      </c>
      <c r="F45" t="n">
        <v>0.0011425836747444</v>
      </c>
      <c r="G45" t="s">
        <v>329</v>
      </c>
      <c r="H45" t="n">
        <v>0.0200295734048808</v>
      </c>
      <c r="I45" t="n">
        <v>0.00796074108871832</v>
      </c>
      <c r="J45" t="n">
        <v>0.0320984057210433</v>
      </c>
      <c r="K45" t="s">
        <v>547</v>
      </c>
      <c r="L45" t="s">
        <v>530</v>
      </c>
    </row>
    <row r="46">
      <c r="A46" t="s">
        <v>190</v>
      </c>
      <c r="B46" t="s">
        <v>327</v>
      </c>
      <c r="C46" t="n">
        <v>0.000313163747750312</v>
      </c>
      <c r="D46" t="n">
        <v>0.0004172475828005</v>
      </c>
      <c r="E46" t="n">
        <v>0.563320174024256</v>
      </c>
      <c r="F46" t="n">
        <v>0.452925578723693</v>
      </c>
      <c r="G46" t="s">
        <v>329</v>
      </c>
      <c r="H46" t="n">
        <v>0.000313163747750312</v>
      </c>
      <c r="I46" t="n">
        <v>-0.000504641514538668</v>
      </c>
      <c r="J46" t="n">
        <v>0.00113096901003929</v>
      </c>
      <c r="K46" t="s">
        <v>548</v>
      </c>
      <c r="L46" t="s">
        <v>530</v>
      </c>
    </row>
    <row r="47">
      <c r="A47" t="s">
        <v>190</v>
      </c>
      <c r="B47" t="s">
        <v>55</v>
      </c>
      <c r="C47" t="n">
        <v>-0.00134406358796473</v>
      </c>
      <c r="D47" t="n">
        <v>0.00136168253613936</v>
      </c>
      <c r="E47" t="n">
        <v>0.974289217885862</v>
      </c>
      <c r="F47" t="n">
        <v>0.323612784947945</v>
      </c>
      <c r="G47" t="s">
        <v>329</v>
      </c>
      <c r="H47" t="n">
        <v>-0.00134406358796473</v>
      </c>
      <c r="I47" t="n">
        <v>-0.00401296135879788</v>
      </c>
      <c r="J47" t="n">
        <v>0.00132483418286842</v>
      </c>
      <c r="K47" t="s">
        <v>479</v>
      </c>
      <c r="L47" t="s">
        <v>530</v>
      </c>
    </row>
    <row r="48">
      <c r="A48" t="s">
        <v>190</v>
      </c>
      <c r="B48" t="s">
        <v>89</v>
      </c>
      <c r="C48" t="n">
        <v>0.0000737276859194953</v>
      </c>
      <c r="D48" t="n">
        <v>0.0000894793666298274</v>
      </c>
      <c r="E48" t="n">
        <v>0.678914998721377</v>
      </c>
      <c r="F48" t="n">
        <v>0.409960590921654</v>
      </c>
      <c r="G48" t="s">
        <v>329</v>
      </c>
      <c r="H48" t="n">
        <v>0.0000737276859194953</v>
      </c>
      <c r="I48" t="n">
        <v>-0.000101651872674966</v>
      </c>
      <c r="J48" t="n">
        <v>0.000249107244513957</v>
      </c>
      <c r="K48" t="s">
        <v>549</v>
      </c>
      <c r="L48" t="s">
        <v>530</v>
      </c>
    </row>
    <row r="49">
      <c r="A49" t="s">
        <v>197</v>
      </c>
      <c r="B49" t="s">
        <v>328</v>
      </c>
      <c r="C49" t="n">
        <v>-0.0480492947535223</v>
      </c>
      <c r="D49" t="n">
        <v>0.0352412375565876</v>
      </c>
      <c r="E49" t="n">
        <v>1.85896722682787</v>
      </c>
      <c r="F49" t="n">
        <v>0.172744044421691</v>
      </c>
      <c r="G49" t="s">
        <v>329</v>
      </c>
      <c r="H49" t="n">
        <v>-0.0480492947535223</v>
      </c>
      <c r="I49" t="n">
        <v>-0.117122120364434</v>
      </c>
      <c r="J49" t="n">
        <v>0.0210235308573893</v>
      </c>
      <c r="K49" t="s">
        <v>550</v>
      </c>
      <c r="L49" t="s">
        <v>530</v>
      </c>
    </row>
    <row r="50">
      <c r="A50" t="s">
        <v>197</v>
      </c>
      <c r="B50" t="s">
        <v>333</v>
      </c>
      <c r="C50" t="n">
        <v>0.00771119661793057</v>
      </c>
      <c r="D50" t="n">
        <v>0.00453668959132347</v>
      </c>
      <c r="E50" t="n">
        <v>2.88911895400274</v>
      </c>
      <c r="F50" t="n">
        <v>0.0891796820671904</v>
      </c>
      <c r="G50" t="s">
        <v>329</v>
      </c>
      <c r="H50" t="n">
        <v>0.00771119661793057</v>
      </c>
      <c r="I50" t="n">
        <v>-0.00118071498106343</v>
      </c>
      <c r="J50" t="n">
        <v>0.0166031082169246</v>
      </c>
      <c r="K50" t="s">
        <v>551</v>
      </c>
      <c r="L50" t="s">
        <v>530</v>
      </c>
    </row>
    <row r="51">
      <c r="A51" t="s">
        <v>197</v>
      </c>
      <c r="B51" t="s">
        <v>335</v>
      </c>
      <c r="C51" t="n">
        <v>-0.000954202313814271</v>
      </c>
      <c r="D51" t="n">
        <v>0.00394733821943715</v>
      </c>
      <c r="E51" t="n">
        <v>0.0584348927723684</v>
      </c>
      <c r="F51" t="n">
        <v>0.808986978126863</v>
      </c>
      <c r="G51" t="s">
        <v>329</v>
      </c>
      <c r="H51" t="n">
        <v>-0.000954202313814271</v>
      </c>
      <c r="I51" t="n">
        <v>-0.00869098522391109</v>
      </c>
      <c r="J51" t="n">
        <v>0.00678258059628255</v>
      </c>
      <c r="K51" t="s">
        <v>552</v>
      </c>
      <c r="L51" t="s">
        <v>530</v>
      </c>
    </row>
    <row r="52">
      <c r="A52" t="s">
        <v>197</v>
      </c>
      <c r="B52" t="s">
        <v>327</v>
      </c>
      <c r="C52" t="n">
        <v>0.000012757907554376</v>
      </c>
      <c r="D52" t="n">
        <v>0.000262727995755749</v>
      </c>
      <c r="E52" t="n">
        <v>0.00235801300591762</v>
      </c>
      <c r="F52" t="n">
        <v>0.961270444935204</v>
      </c>
      <c r="G52" t="s">
        <v>329</v>
      </c>
      <c r="H52" t="n">
        <v>0.000012757907554376</v>
      </c>
      <c r="I52" t="n">
        <v>-0.000502188964126893</v>
      </c>
      <c r="J52" t="n">
        <v>0.000527704779235645</v>
      </c>
      <c r="K52" t="s">
        <v>548</v>
      </c>
      <c r="L52" t="s">
        <v>530</v>
      </c>
    </row>
    <row r="53">
      <c r="A53" t="s">
        <v>197</v>
      </c>
      <c r="B53" t="s">
        <v>55</v>
      </c>
      <c r="C53" t="n">
        <v>-0.000700256690304389</v>
      </c>
      <c r="D53" t="n">
        <v>0.000992950365229449</v>
      </c>
      <c r="E53" t="n">
        <v>0.497346944111173</v>
      </c>
      <c r="F53" t="n">
        <v>0.48066817722499</v>
      </c>
      <c r="G53" t="s">
        <v>329</v>
      </c>
      <c r="H53" t="n">
        <v>-0.000700256690304389</v>
      </c>
      <c r="I53" t="n">
        <v>-0.00264643940615411</v>
      </c>
      <c r="J53" t="n">
        <v>0.00124592602554533</v>
      </c>
      <c r="K53" t="s">
        <v>430</v>
      </c>
      <c r="L53" t="s">
        <v>530</v>
      </c>
    </row>
    <row r="54">
      <c r="A54" t="s">
        <v>197</v>
      </c>
      <c r="B54" t="s">
        <v>89</v>
      </c>
      <c r="C54" t="n">
        <v>0.0000558416838529711</v>
      </c>
      <c r="D54" t="n">
        <v>0.0000612551375687153</v>
      </c>
      <c r="E54" t="n">
        <v>0.831059219905896</v>
      </c>
      <c r="F54" t="n">
        <v>0.361966423270154</v>
      </c>
      <c r="G54" t="s">
        <v>329</v>
      </c>
      <c r="H54" t="n">
        <v>0.0000558416838529711</v>
      </c>
      <c r="I54" t="n">
        <v>-0.0000642183857817109</v>
      </c>
      <c r="J54" t="n">
        <v>0.000175901753487653</v>
      </c>
      <c r="K54" t="s">
        <v>549</v>
      </c>
      <c r="L54" t="s">
        <v>530</v>
      </c>
    </row>
    <row r="55">
      <c r="A55" t="s">
        <v>392</v>
      </c>
      <c r="B55" t="s">
        <v>328</v>
      </c>
      <c r="C55" t="n">
        <v>0.232672746945345</v>
      </c>
      <c r="D55" t="n">
        <v>2.31623613330896</v>
      </c>
      <c r="E55" t="n">
        <v>0.0100907946829884</v>
      </c>
      <c r="F55" t="n">
        <v>0.919984736188897</v>
      </c>
      <c r="G55" t="s">
        <v>359</v>
      </c>
      <c r="H55" t="n">
        <v>1.26196842872173</v>
      </c>
      <c r="I55" t="n">
        <v>0.013471888817955</v>
      </c>
      <c r="J55" t="n">
        <v>118.213884972675</v>
      </c>
      <c r="K55" t="s">
        <v>553</v>
      </c>
      <c r="L55" t="s">
        <v>554</v>
      </c>
    </row>
    <row r="56">
      <c r="A56" t="s">
        <v>392</v>
      </c>
      <c r="B56" t="s">
        <v>333</v>
      </c>
      <c r="C56" t="n">
        <v>0.966889144985501</v>
      </c>
      <c r="D56" t="n">
        <v>0.297354356747862</v>
      </c>
      <c r="E56" t="n">
        <v>10.5731588493617</v>
      </c>
      <c r="F56" t="n">
        <v>0.00114741489856895</v>
      </c>
      <c r="G56" t="s">
        <v>359</v>
      </c>
      <c r="H56" t="n">
        <v>2.62975094762599</v>
      </c>
      <c r="I56" t="n">
        <v>1.46825497787397</v>
      </c>
      <c r="J56" t="n">
        <v>4.71007430640799</v>
      </c>
      <c r="K56" t="s">
        <v>555</v>
      </c>
      <c r="L56" t="s">
        <v>554</v>
      </c>
    </row>
    <row r="57">
      <c r="A57" t="s">
        <v>392</v>
      </c>
      <c r="B57" t="s">
        <v>335</v>
      </c>
      <c r="C57" t="n">
        <v>1.60831985366654</v>
      </c>
      <c r="D57" t="n">
        <v>0.270559578851242</v>
      </c>
      <c r="E57" t="n">
        <v>35.3361327374921</v>
      </c>
      <c r="F57" t="n">
        <v>0.00000000277436906781503</v>
      </c>
      <c r="G57" t="s">
        <v>359</v>
      </c>
      <c r="H57" t="n">
        <v>4.99441283013634</v>
      </c>
      <c r="I57" t="n">
        <v>2.93886390300265</v>
      </c>
      <c r="J57" t="n">
        <v>8.48768787569405</v>
      </c>
      <c r="K57" t="s">
        <v>556</v>
      </c>
      <c r="L57" t="s">
        <v>554</v>
      </c>
    </row>
    <row r="58">
      <c r="A58" t="s">
        <v>392</v>
      </c>
      <c r="B58" t="s">
        <v>327</v>
      </c>
      <c r="C58" t="n">
        <v>-0.00379240828914586</v>
      </c>
      <c r="D58" t="n">
        <v>0.0174179397407248</v>
      </c>
      <c r="E58" t="n">
        <v>0.0474063596351245</v>
      </c>
      <c r="F58" t="n">
        <v>0.827639475714646</v>
      </c>
      <c r="G58" t="s">
        <v>359</v>
      </c>
      <c r="H58" t="n">
        <v>0.996214773809152</v>
      </c>
      <c r="I58" t="n">
        <v>0.962778821417597</v>
      </c>
      <c r="J58" t="n">
        <v>1.03081190973265</v>
      </c>
      <c r="K58" t="s">
        <v>557</v>
      </c>
      <c r="L58" t="s">
        <v>554</v>
      </c>
    </row>
    <row r="59">
      <c r="A59" t="s">
        <v>392</v>
      </c>
      <c r="B59" t="s">
        <v>55</v>
      </c>
      <c r="C59" t="n">
        <v>-0.0553799827287259</v>
      </c>
      <c r="D59" t="n">
        <v>0.0600245684930387</v>
      </c>
      <c r="E59" t="n">
        <v>0.851231210292738</v>
      </c>
      <c r="F59" t="n">
        <v>0.356204267561483</v>
      </c>
      <c r="G59" t="s">
        <v>359</v>
      </c>
      <c r="H59" t="n">
        <v>0.946125568265628</v>
      </c>
      <c r="I59" t="n">
        <v>0.841113948109471</v>
      </c>
      <c r="J59" t="n">
        <v>1.06424770738608</v>
      </c>
      <c r="K59" t="s">
        <v>558</v>
      </c>
      <c r="L59" t="s">
        <v>554</v>
      </c>
    </row>
    <row r="60">
      <c r="A60" t="s">
        <v>392</v>
      </c>
      <c r="B60" t="s">
        <v>89</v>
      </c>
      <c r="C60" t="n">
        <v>-0.0036579337919172</v>
      </c>
      <c r="D60" t="n">
        <v>0.00412393449981365</v>
      </c>
      <c r="E60" t="n">
        <v>0.786770673619456</v>
      </c>
      <c r="F60" t="n">
        <v>0.375078392560027</v>
      </c>
      <c r="G60" t="s">
        <v>359</v>
      </c>
      <c r="H60" t="n">
        <v>0.996348748297865</v>
      </c>
      <c r="I60" t="n">
        <v>0.988327809362893</v>
      </c>
      <c r="J60" t="n">
        <v>1.00443478249859</v>
      </c>
      <c r="K60" t="s">
        <v>559</v>
      </c>
      <c r="L60" t="s">
        <v>554</v>
      </c>
    </row>
    <row r="61">
      <c r="A61" t="s">
        <v>396</v>
      </c>
      <c r="B61" t="s">
        <v>328</v>
      </c>
      <c r="C61" t="n">
        <v>-2.54415618497167</v>
      </c>
      <c r="D61" t="n">
        <v>3.89817145220771</v>
      </c>
      <c r="E61" t="n">
        <v>0.425956906856438</v>
      </c>
      <c r="F61" t="n">
        <v>0.513979530598709</v>
      </c>
      <c r="G61" t="s">
        <v>359</v>
      </c>
      <c r="H61" t="n">
        <v>0.0785392966665012</v>
      </c>
      <c r="I61" t="n">
        <v>0.0000377482201660939</v>
      </c>
      <c r="J61" t="n">
        <v>163.409588418404</v>
      </c>
      <c r="K61" t="s">
        <v>560</v>
      </c>
      <c r="L61" t="s">
        <v>554</v>
      </c>
    </row>
    <row r="62">
      <c r="A62" t="s">
        <v>396</v>
      </c>
      <c r="B62" t="s">
        <v>333</v>
      </c>
      <c r="C62" t="n">
        <v>0.198203781641696</v>
      </c>
      <c r="D62" t="n">
        <v>0.538232055590124</v>
      </c>
      <c r="E62" t="n">
        <v>0.135607826005774</v>
      </c>
      <c r="F62" t="n">
        <v>0.712687070495075</v>
      </c>
      <c r="G62" t="s">
        <v>359</v>
      </c>
      <c r="H62" t="n">
        <v>1.21921082129104</v>
      </c>
      <c r="I62" t="n">
        <v>0.424547642574568</v>
      </c>
      <c r="J62" t="n">
        <v>3.50131499432856</v>
      </c>
      <c r="K62" t="s">
        <v>561</v>
      </c>
      <c r="L62" t="s">
        <v>554</v>
      </c>
    </row>
    <row r="63">
      <c r="A63" t="s">
        <v>396</v>
      </c>
      <c r="B63" t="s">
        <v>335</v>
      </c>
      <c r="C63" t="n">
        <v>0.395530392689548</v>
      </c>
      <c r="D63" t="n">
        <v>0.561304670781822</v>
      </c>
      <c r="E63" t="n">
        <v>0.496549339626464</v>
      </c>
      <c r="F63" t="n">
        <v>0.481020249031785</v>
      </c>
      <c r="G63" t="s">
        <v>359</v>
      </c>
      <c r="H63" t="n">
        <v>1.48517170627199</v>
      </c>
      <c r="I63" t="n">
        <v>0.494293028751589</v>
      </c>
      <c r="J63" t="n">
        <v>4.46240361245184</v>
      </c>
      <c r="K63" t="s">
        <v>562</v>
      </c>
      <c r="L63" t="s">
        <v>554</v>
      </c>
    </row>
    <row r="64">
      <c r="A64" t="s">
        <v>396</v>
      </c>
      <c r="B64" t="s">
        <v>327</v>
      </c>
      <c r="C64" t="n">
        <v>0.086014099881717</v>
      </c>
      <c r="D64" t="n">
        <v>0.0416129307702854</v>
      </c>
      <c r="E64" t="n">
        <v>4.2725060851729</v>
      </c>
      <c r="F64" t="n">
        <v>0.0387337645292308</v>
      </c>
      <c r="G64" t="s">
        <v>359</v>
      </c>
      <c r="H64" t="n">
        <v>1.08982169455378</v>
      </c>
      <c r="I64" t="n">
        <v>1.0044626838186</v>
      </c>
      <c r="J64" t="n">
        <v>1.18243449463432</v>
      </c>
      <c r="K64" t="s">
        <v>563</v>
      </c>
      <c r="L64" t="s">
        <v>554</v>
      </c>
    </row>
    <row r="65">
      <c r="A65" t="s">
        <v>396</v>
      </c>
      <c r="B65" t="s">
        <v>55</v>
      </c>
      <c r="C65" t="n">
        <v>-0.104421166681869</v>
      </c>
      <c r="D65" t="n">
        <v>0.126271742606373</v>
      </c>
      <c r="E65" t="n">
        <v>0.683856114642945</v>
      </c>
      <c r="F65" t="n">
        <v>0.408262039099744</v>
      </c>
      <c r="G65" t="s">
        <v>359</v>
      </c>
      <c r="H65" t="n">
        <v>0.900845811272144</v>
      </c>
      <c r="I65" t="n">
        <v>0.703340759862016</v>
      </c>
      <c r="J65" t="n">
        <v>1.15381223725151</v>
      </c>
      <c r="K65" t="s">
        <v>564</v>
      </c>
      <c r="L65" t="s">
        <v>554</v>
      </c>
    </row>
    <row r="66">
      <c r="A66" t="s">
        <v>396</v>
      </c>
      <c r="B66" t="s">
        <v>89</v>
      </c>
      <c r="C66" t="n">
        <v>-0.00744631285505385</v>
      </c>
      <c r="D66" t="n">
        <v>0.00616445299034526</v>
      </c>
      <c r="E66" t="n">
        <v>1.4591282572606</v>
      </c>
      <c r="F66" t="n">
        <v>0.227068875066963</v>
      </c>
      <c r="G66" t="s">
        <v>359</v>
      </c>
      <c r="H66" t="n">
        <v>0.992581342247093</v>
      </c>
      <c r="I66" t="n">
        <v>0.980660807958628</v>
      </c>
      <c r="J66" t="n">
        <v>1.00464677794955</v>
      </c>
      <c r="K66" t="s">
        <v>565</v>
      </c>
      <c r="L66" t="s">
        <v>554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1" t="s">
        <v>566</v>
      </c>
    </row>
    <row r="2">
      <c r="A2" t="s">
        <v>567</v>
      </c>
      <c r="B2" t="s">
        <v>5</v>
      </c>
    </row>
    <row r="3">
      <c r="A3" t="s">
        <v>568</v>
      </c>
      <c r="B3" t="s">
        <v>569</v>
      </c>
    </row>
    <row r="4">
      <c r="A4" t="s">
        <v>570</v>
      </c>
      <c r="B4" t="s">
        <v>571</v>
      </c>
    </row>
    <row r="5">
      <c r="A5" t="s">
        <v>572</v>
      </c>
      <c r="B5" t="s">
        <v>573</v>
      </c>
    </row>
    <row r="6">
      <c r="A6" t="s">
        <v>574</v>
      </c>
      <c r="B6" t="s">
        <v>575</v>
      </c>
    </row>
    <row r="7">
      <c r="A7" t="s">
        <v>576</v>
      </c>
      <c r="B7" t="s">
        <v>577</v>
      </c>
    </row>
    <row r="8">
      <c r="A8" t="s">
        <v>578</v>
      </c>
      <c r="B8" t="s">
        <v>579</v>
      </c>
    </row>
    <row r="9">
      <c r="A9" t="s">
        <v>580</v>
      </c>
      <c r="B9" t="s">
        <v>581</v>
      </c>
    </row>
    <row r="10">
      <c r="A10" t="s">
        <v>582</v>
      </c>
      <c r="B10" t="s">
        <v>583</v>
      </c>
    </row>
    <row r="11">
      <c r="A11" t="s">
        <v>584</v>
      </c>
      <c r="B11" t="s">
        <v>30</v>
      </c>
    </row>
    <row r="12">
      <c r="A12" t="s">
        <v>585</v>
      </c>
      <c r="B12" t="s">
        <v>586</v>
      </c>
    </row>
    <row r="14">
      <c r="A14" s="1" t="s">
        <v>587</v>
      </c>
    </row>
    <row r="15">
      <c r="A15" t="s">
        <v>588</v>
      </c>
    </row>
    <row r="16">
      <c r="A16" t="s">
        <v>327</v>
      </c>
    </row>
    <row r="17">
      <c r="A17" t="s">
        <v>55</v>
      </c>
    </row>
    <row r="18">
      <c r="A18" t="s">
        <v>89</v>
      </c>
    </row>
    <row r="19">
      <c r="A19" t="s">
        <v>77</v>
      </c>
    </row>
    <row r="21">
      <c r="A21" s="1" t="s">
        <v>589</v>
      </c>
    </row>
    <row r="22">
      <c r="A22" t="s">
        <v>590</v>
      </c>
      <c r="B22" t="s">
        <v>591</v>
      </c>
      <c r="C22" t="s">
        <v>592</v>
      </c>
      <c r="D22" t="s">
        <v>593</v>
      </c>
      <c r="E22" t="s">
        <v>594</v>
      </c>
    </row>
    <row r="23">
      <c r="A23" t="s">
        <v>595</v>
      </c>
      <c r="B23" t="s">
        <v>570</v>
      </c>
      <c r="C23" t="n">
        <v>1.09600009126413</v>
      </c>
      <c r="D23" t="n">
        <v>0.058299487318906</v>
      </c>
      <c r="E23" t="s">
        <v>596</v>
      </c>
    </row>
    <row r="24">
      <c r="A24" t="s">
        <v>327</v>
      </c>
      <c r="B24" t="s">
        <v>597</v>
      </c>
      <c r="C24" t="n">
        <v>1.15541607672935</v>
      </c>
      <c r="D24" t="n">
        <v>0.0287498961353735</v>
      </c>
      <c r="E24" t="s">
        <v>596</v>
      </c>
    </row>
    <row r="25">
      <c r="A25" t="s">
        <v>55</v>
      </c>
      <c r="B25" t="s">
        <v>597</v>
      </c>
      <c r="C25" t="n">
        <v>-0.167547509804362</v>
      </c>
      <c r="D25" t="n">
        <v>-0.0106329885546305</v>
      </c>
      <c r="E25" t="s">
        <v>596</v>
      </c>
    </row>
    <row r="26">
      <c r="A26" t="s">
        <v>89</v>
      </c>
      <c r="B26" t="s">
        <v>597</v>
      </c>
      <c r="C26" t="n">
        <v>-0.507811040132507</v>
      </c>
      <c r="D26" t="n">
        <v>-0.0598968935902042</v>
      </c>
      <c r="E26" t="s">
        <v>596</v>
      </c>
    </row>
    <row r="27">
      <c r="A27" t="s">
        <v>77</v>
      </c>
      <c r="B27" t="s">
        <v>597</v>
      </c>
      <c r="C27" t="n">
        <v>0.14446364942738</v>
      </c>
      <c r="D27" t="n">
        <v>0.00674053736257519</v>
      </c>
      <c r="E27" t="s">
        <v>596</v>
      </c>
    </row>
    <row r="29">
      <c r="A29" s="1" t="s">
        <v>598</v>
      </c>
    </row>
    <row r="30">
      <c r="A30" t="s">
        <v>586</v>
      </c>
      <c r="B30" t="s">
        <v>29</v>
      </c>
      <c r="C30" t="s">
        <v>599</v>
      </c>
      <c r="D30" t="s">
        <v>600</v>
      </c>
    </row>
    <row r="31">
      <c r="A31" t="s">
        <v>601</v>
      </c>
      <c r="B31" t="s">
        <v>31</v>
      </c>
      <c r="C31" t="n">
        <v>0.480645702059998</v>
      </c>
      <c r="D31" t="n">
        <v>1</v>
      </c>
    </row>
    <row r="32">
      <c r="A32" t="s">
        <v>601</v>
      </c>
      <c r="B32" t="s">
        <v>31</v>
      </c>
      <c r="C32" t="n">
        <v>0.5535894377763</v>
      </c>
      <c r="D32" t="n">
        <v>1</v>
      </c>
    </row>
    <row r="33">
      <c r="A33" t="s">
        <v>602</v>
      </c>
      <c r="B33" t="s">
        <v>31</v>
      </c>
      <c r="C33" t="n">
        <v>0.246192730076299</v>
      </c>
      <c r="D33" t="n">
        <v>1</v>
      </c>
    </row>
    <row r="34">
      <c r="A34" t="s">
        <v>603</v>
      </c>
      <c r="B34" t="s">
        <v>30</v>
      </c>
      <c r="C34" t="n">
        <v>0.666854511513924</v>
      </c>
      <c r="D34" t="n">
        <v>1.5</v>
      </c>
    </row>
    <row r="35">
      <c r="A35" t="s">
        <v>604</v>
      </c>
      <c r="B35" t="s">
        <v>30</v>
      </c>
      <c r="C35" t="n">
        <v>0.239307275630998</v>
      </c>
      <c r="D35" t="n">
        <v>0.75</v>
      </c>
    </row>
    <row r="36">
      <c r="A36" t="s">
        <v>605</v>
      </c>
      <c r="B36" t="s">
        <v>30</v>
      </c>
      <c r="C36" t="n">
        <v>0.275373725825533</v>
      </c>
      <c r="D36" t="n">
        <v>0.75</v>
      </c>
    </row>
    <row r="37">
      <c r="A37" t="s">
        <v>606</v>
      </c>
      <c r="B37" t="s">
        <v>31</v>
      </c>
      <c r="C37" t="n">
        <v>0.665970709986628</v>
      </c>
      <c r="D37" t="n">
        <v>1</v>
      </c>
    </row>
    <row r="38">
      <c r="A38" t="s">
        <v>607</v>
      </c>
      <c r="B38" t="s">
        <v>30</v>
      </c>
      <c r="C38" t="n">
        <v>0.128171075824261</v>
      </c>
      <c r="D38" t="n">
        <v>0.75</v>
      </c>
    </row>
    <row r="39">
      <c r="A39" t="s">
        <v>608</v>
      </c>
      <c r="B39" t="s">
        <v>31</v>
      </c>
      <c r="C39" t="n">
        <v>0.335801391386068</v>
      </c>
      <c r="D39" t="n">
        <v>1</v>
      </c>
    </row>
    <row r="40">
      <c r="A40" t="s">
        <v>608</v>
      </c>
      <c r="B40" t="s">
        <v>31</v>
      </c>
      <c r="C40" t="n">
        <v>0.399714928944698</v>
      </c>
      <c r="D40" t="n">
        <v>1</v>
      </c>
    </row>
    <row r="41">
      <c r="A41" t="s">
        <v>609</v>
      </c>
      <c r="B41" t="s">
        <v>31</v>
      </c>
      <c r="C41" t="n">
        <v>0.378716170695532</v>
      </c>
      <c r="D41" t="n">
        <v>1</v>
      </c>
    </row>
    <row r="42">
      <c r="A42" t="s">
        <v>610</v>
      </c>
      <c r="B42" t="s">
        <v>30</v>
      </c>
      <c r="C42" t="n">
        <v>0.63627200035564</v>
      </c>
      <c r="D42" t="n">
        <v>1.5</v>
      </c>
    </row>
    <row r="43">
      <c r="A43" t="s">
        <v>611</v>
      </c>
      <c r="B43" t="s">
        <v>30</v>
      </c>
      <c r="C43" t="n">
        <v>0.236477704580438</v>
      </c>
      <c r="D43" t="n">
        <v>0.75</v>
      </c>
    </row>
    <row r="44">
      <c r="A44" t="s">
        <v>612</v>
      </c>
      <c r="B44" t="s">
        <v>30</v>
      </c>
      <c r="C44" t="n">
        <v>0.390106123174951</v>
      </c>
      <c r="D44" t="n">
        <v>1.5</v>
      </c>
    </row>
    <row r="45">
      <c r="A45" t="s">
        <v>612</v>
      </c>
      <c r="B45" t="s">
        <v>30</v>
      </c>
      <c r="C45" t="n">
        <v>0.707360864093819</v>
      </c>
      <c r="D45" t="n">
        <v>1.5</v>
      </c>
    </row>
    <row r="46">
      <c r="A46" t="s">
        <v>613</v>
      </c>
      <c r="B46" t="s">
        <v>31</v>
      </c>
      <c r="C46" t="n">
        <v>0.393602804867719</v>
      </c>
      <c r="D46" t="n">
        <v>1</v>
      </c>
    </row>
    <row r="47">
      <c r="A47" t="s">
        <v>613</v>
      </c>
      <c r="B47" t="s">
        <v>31</v>
      </c>
      <c r="C47" t="n">
        <v>0.180612874728033</v>
      </c>
      <c r="D47" t="n">
        <v>1</v>
      </c>
    </row>
    <row r="48">
      <c r="A48" t="s">
        <v>614</v>
      </c>
      <c r="B48" t="s">
        <v>30</v>
      </c>
      <c r="C48" t="n">
        <v>0.137560172132687</v>
      </c>
      <c r="D48" t="n">
        <v>0.75</v>
      </c>
    </row>
    <row r="49">
      <c r="A49" t="s">
        <v>614</v>
      </c>
      <c r="B49" t="s">
        <v>30</v>
      </c>
      <c r="C49" t="n">
        <v>0.257319207486079</v>
      </c>
      <c r="D49" t="n">
        <v>0.75</v>
      </c>
    </row>
    <row r="50">
      <c r="A50" t="s">
        <v>615</v>
      </c>
      <c r="B50" t="s">
        <v>30</v>
      </c>
      <c r="C50" t="n">
        <v>0.181644863467722</v>
      </c>
      <c r="D50" t="n">
        <v>0.75</v>
      </c>
    </row>
    <row r="51">
      <c r="A51" t="s">
        <v>616</v>
      </c>
      <c r="B51" t="s">
        <v>30</v>
      </c>
      <c r="C51" t="n">
        <v>0.106980894083865</v>
      </c>
      <c r="D51" t="n">
        <v>0.75</v>
      </c>
    </row>
    <row r="52">
      <c r="A52" t="s">
        <v>617</v>
      </c>
      <c r="B52" t="s">
        <v>30</v>
      </c>
      <c r="C52" t="n">
        <v>0.54601553723372</v>
      </c>
      <c r="D52" t="n">
        <v>1.5</v>
      </c>
    </row>
    <row r="53">
      <c r="A53" t="s">
        <v>617</v>
      </c>
      <c r="B53" t="s">
        <v>30</v>
      </c>
      <c r="C53" t="n">
        <v>0.487292592568075</v>
      </c>
      <c r="D53" t="n">
        <v>1.5</v>
      </c>
    </row>
    <row r="54">
      <c r="A54" t="s">
        <v>618</v>
      </c>
      <c r="B54" t="s">
        <v>30</v>
      </c>
      <c r="C54" t="n">
        <v>0.204529230700547</v>
      </c>
      <c r="D54" t="n">
        <v>0.75</v>
      </c>
    </row>
    <row r="55">
      <c r="A55" t="s">
        <v>618</v>
      </c>
      <c r="B55" t="s">
        <v>30</v>
      </c>
      <c r="C55" t="n">
        <v>0.110736572975895</v>
      </c>
      <c r="D55" t="n">
        <v>0.75</v>
      </c>
    </row>
    <row r="56">
      <c r="A56" t="s">
        <v>619</v>
      </c>
      <c r="B56" t="s">
        <v>31</v>
      </c>
      <c r="C56" t="n">
        <v>0.497266284013134</v>
      </c>
      <c r="D56" t="n">
        <v>1</v>
      </c>
    </row>
    <row r="57">
      <c r="A57" t="s">
        <v>620</v>
      </c>
      <c r="B57" t="s">
        <v>31</v>
      </c>
      <c r="C57" t="n">
        <v>0.282537220070197</v>
      </c>
      <c r="D57" t="n">
        <v>1</v>
      </c>
    </row>
    <row r="58">
      <c r="A58" t="s">
        <v>621</v>
      </c>
      <c r="B58" t="s">
        <v>30</v>
      </c>
      <c r="C58" t="n">
        <v>0.473099692681421</v>
      </c>
      <c r="D58" t="n">
        <v>1.5</v>
      </c>
    </row>
    <row r="59">
      <c r="A59" t="s">
        <v>622</v>
      </c>
      <c r="B59" t="s">
        <v>30</v>
      </c>
      <c r="C59" t="n">
        <v>0.275050004696586</v>
      </c>
      <c r="D59" t="n">
        <v>0.75</v>
      </c>
    </row>
    <row r="60">
      <c r="A60" t="s">
        <v>623</v>
      </c>
      <c r="B60" t="s">
        <v>30</v>
      </c>
      <c r="C60" t="n">
        <v>0.238176387731157</v>
      </c>
      <c r="D60" t="n">
        <v>0.75</v>
      </c>
    </row>
    <row r="61">
      <c r="A61" t="s">
        <v>624</v>
      </c>
      <c r="B61" t="s">
        <v>30</v>
      </c>
      <c r="C61" t="n">
        <v>0.140600234150324</v>
      </c>
      <c r="D61" t="n">
        <v>0.75</v>
      </c>
    </row>
    <row r="62">
      <c r="A62" t="s">
        <v>625</v>
      </c>
      <c r="B62" t="s">
        <v>30</v>
      </c>
      <c r="C62" t="n">
        <v>0.482540277802634</v>
      </c>
      <c r="D62" t="n">
        <v>0.75</v>
      </c>
    </row>
    <row r="63">
      <c r="A63" t="s">
        <v>625</v>
      </c>
      <c r="B63" t="s">
        <v>30</v>
      </c>
      <c r="C63" t="n">
        <v>0.260309993122045</v>
      </c>
      <c r="D63" t="n">
        <v>0.75</v>
      </c>
    </row>
    <row r="64">
      <c r="A64" t="s">
        <v>626</v>
      </c>
      <c r="B64" t="s">
        <v>30</v>
      </c>
      <c r="C64" t="n">
        <v>0.427309291150254</v>
      </c>
      <c r="D64" t="n">
        <v>1.5</v>
      </c>
    </row>
    <row r="65">
      <c r="A65" t="s">
        <v>626</v>
      </c>
      <c r="B65" t="s">
        <v>30</v>
      </c>
      <c r="C65" t="n">
        <v>0.526624585129129</v>
      </c>
      <c r="D65" t="n">
        <v>1.5</v>
      </c>
    </row>
    <row r="66">
      <c r="A66" t="s">
        <v>627</v>
      </c>
      <c r="B66" t="s">
        <v>30</v>
      </c>
      <c r="C66" t="n">
        <v>0.25398651816314</v>
      </c>
      <c r="D66" t="n">
        <v>0.75</v>
      </c>
    </row>
    <row r="67">
      <c r="A67" t="s">
        <v>628</v>
      </c>
      <c r="B67" t="s">
        <v>30</v>
      </c>
      <c r="C67" t="n">
        <v>0.363932909876511</v>
      </c>
      <c r="D67" t="n">
        <v>1.5</v>
      </c>
    </row>
    <row r="68">
      <c r="A68" t="s">
        <v>629</v>
      </c>
      <c r="B68" t="s">
        <v>30</v>
      </c>
      <c r="C68" t="n">
        <v>0.359758499389431</v>
      </c>
      <c r="D68" t="n">
        <v>0.75</v>
      </c>
    </row>
    <row r="69">
      <c r="A69" t="s">
        <v>630</v>
      </c>
      <c r="B69" t="s">
        <v>30</v>
      </c>
      <c r="C69" t="n">
        <v>0.267561927306799</v>
      </c>
      <c r="D69" t="n">
        <v>0.75</v>
      </c>
    </row>
    <row r="70">
      <c r="A70" t="s">
        <v>630</v>
      </c>
      <c r="B70" t="s">
        <v>30</v>
      </c>
      <c r="C70" t="n">
        <v>0.194076104790966</v>
      </c>
      <c r="D70" t="n">
        <v>0.75</v>
      </c>
    </row>
    <row r="71">
      <c r="A71" t="s">
        <v>631</v>
      </c>
      <c r="B71" t="s">
        <v>30</v>
      </c>
      <c r="C71" t="n">
        <v>0.136994317720558</v>
      </c>
      <c r="D71" t="n">
        <v>0.75</v>
      </c>
    </row>
    <row r="72">
      <c r="A72" t="s">
        <v>631</v>
      </c>
      <c r="B72" t="s">
        <v>30</v>
      </c>
      <c r="C72" t="n">
        <v>0.294847714662832</v>
      </c>
      <c r="D72" t="n">
        <v>0.75</v>
      </c>
    </row>
    <row r="73">
      <c r="A73" t="s">
        <v>632</v>
      </c>
      <c r="B73" t="s">
        <v>30</v>
      </c>
      <c r="C73" t="n">
        <v>0.456148487652854</v>
      </c>
      <c r="D73" t="n">
        <v>1.5</v>
      </c>
    </row>
    <row r="74">
      <c r="A74" t="s">
        <v>633</v>
      </c>
      <c r="B74" t="s">
        <v>30</v>
      </c>
      <c r="C74" t="n">
        <v>0.130361812740816</v>
      </c>
      <c r="D74" t="n">
        <v>0.75</v>
      </c>
    </row>
    <row r="75">
      <c r="A75" t="s">
        <v>633</v>
      </c>
      <c r="B75" t="s">
        <v>30</v>
      </c>
      <c r="C75" t="n">
        <v>0.13652265668043</v>
      </c>
      <c r="D75" t="n">
        <v>0.75</v>
      </c>
    </row>
    <row r="76">
      <c r="A76" t="s">
        <v>634</v>
      </c>
      <c r="B76" t="s">
        <v>30</v>
      </c>
      <c r="C76" t="n">
        <v>0.141303779896536</v>
      </c>
      <c r="D76" t="n">
        <v>0.75</v>
      </c>
    </row>
    <row r="77">
      <c r="A77" t="s">
        <v>634</v>
      </c>
      <c r="B77" t="s">
        <v>30</v>
      </c>
      <c r="C77" t="n">
        <v>0.0431567117978223</v>
      </c>
      <c r="D77" t="n">
        <v>0.75</v>
      </c>
    </row>
    <row r="78">
      <c r="A78" t="s">
        <v>635</v>
      </c>
      <c r="B78" t="s">
        <v>30</v>
      </c>
      <c r="C78" t="n">
        <v>0.501331270079941</v>
      </c>
      <c r="D78" t="n">
        <v>1.5</v>
      </c>
    </row>
    <row r="79">
      <c r="A79" t="s">
        <v>636</v>
      </c>
      <c r="B79" t="s">
        <v>31</v>
      </c>
      <c r="C79" t="n">
        <v>0.23869594242479</v>
      </c>
      <c r="D79" t="n">
        <v>1</v>
      </c>
    </row>
    <row r="80">
      <c r="A80" t="s">
        <v>636</v>
      </c>
      <c r="B80" t="s">
        <v>31</v>
      </c>
      <c r="C80" t="n">
        <v>0.243937412982716</v>
      </c>
      <c r="D80" t="n">
        <v>1</v>
      </c>
    </row>
    <row r="81">
      <c r="A81" t="s">
        <v>637</v>
      </c>
      <c r="B81" t="s">
        <v>30</v>
      </c>
      <c r="C81" t="n">
        <v>0.654876734210748</v>
      </c>
      <c r="D81" t="n">
        <v>1.5</v>
      </c>
    </row>
    <row r="82">
      <c r="A82" t="s">
        <v>637</v>
      </c>
      <c r="B82" t="s">
        <v>30</v>
      </c>
      <c r="C82" t="n">
        <v>0.724904154412916</v>
      </c>
      <c r="D82" t="n">
        <v>1.5</v>
      </c>
    </row>
    <row r="83">
      <c r="A83" t="s">
        <v>638</v>
      </c>
      <c r="B83" t="s">
        <v>31</v>
      </c>
      <c r="C83" t="n">
        <v>0.443776643339087</v>
      </c>
      <c r="D83" t="n">
        <v>1</v>
      </c>
    </row>
    <row r="84">
      <c r="A84" t="s">
        <v>638</v>
      </c>
      <c r="B84" t="s">
        <v>31</v>
      </c>
      <c r="C84" t="n">
        <v>0.369876216094365</v>
      </c>
      <c r="D84" t="n">
        <v>1</v>
      </c>
    </row>
    <row r="85">
      <c r="A85" t="s">
        <v>639</v>
      </c>
      <c r="B85" t="s">
        <v>30</v>
      </c>
      <c r="C85" t="n">
        <v>0.316523646211468</v>
      </c>
      <c r="D85" t="n">
        <v>0.75</v>
      </c>
    </row>
    <row r="86">
      <c r="A86" t="s">
        <v>639</v>
      </c>
      <c r="B86" t="s">
        <v>30</v>
      </c>
      <c r="C86" t="n">
        <v>0.283971173838927</v>
      </c>
      <c r="D86" t="n">
        <v>0.75</v>
      </c>
    </row>
    <row r="87">
      <c r="A87" t="s">
        <v>640</v>
      </c>
      <c r="B87" t="s">
        <v>30</v>
      </c>
      <c r="C87" t="n">
        <v>0.19773664353415</v>
      </c>
      <c r="D87" t="n">
        <v>0.75</v>
      </c>
    </row>
    <row r="88">
      <c r="A88" t="s">
        <v>641</v>
      </c>
      <c r="B88" t="s">
        <v>31</v>
      </c>
      <c r="C88" t="n">
        <v>0.180618774101872</v>
      </c>
      <c r="D88" t="n">
        <v>1</v>
      </c>
    </row>
    <row r="89">
      <c r="A89" t="s">
        <v>641</v>
      </c>
      <c r="B89" t="s">
        <v>31</v>
      </c>
      <c r="C89" t="n">
        <v>0.135456289632579</v>
      </c>
      <c r="D89" t="n">
        <v>1</v>
      </c>
    </row>
    <row r="90">
      <c r="A90" t="s">
        <v>642</v>
      </c>
      <c r="B90" t="s">
        <v>30</v>
      </c>
      <c r="C90" t="n">
        <v>0.279216315836253</v>
      </c>
      <c r="D90" t="n">
        <v>0.75</v>
      </c>
    </row>
    <row r="91">
      <c r="A91" t="s">
        <v>643</v>
      </c>
      <c r="B91" t="s">
        <v>30</v>
      </c>
      <c r="C91" t="n">
        <v>0.477259699119558</v>
      </c>
      <c r="D91" t="n">
        <v>0.75</v>
      </c>
    </row>
    <row r="92">
      <c r="A92" t="s">
        <v>643</v>
      </c>
      <c r="B92" t="s">
        <v>30</v>
      </c>
      <c r="C92" t="n">
        <v>0.42534164772438</v>
      </c>
      <c r="D92" t="n">
        <v>1.5</v>
      </c>
    </row>
    <row r="93">
      <c r="A93" t="s">
        <v>644</v>
      </c>
      <c r="B93" t="s">
        <v>30</v>
      </c>
      <c r="C93" t="n">
        <v>0.152290194414713</v>
      </c>
      <c r="D93" t="n">
        <v>0.75</v>
      </c>
    </row>
    <row r="94">
      <c r="A94" t="s">
        <v>645</v>
      </c>
      <c r="B94" t="s">
        <v>31</v>
      </c>
      <c r="C94" t="n">
        <v>0.524371312799966</v>
      </c>
      <c r="D94" t="n">
        <v>1</v>
      </c>
    </row>
    <row r="95">
      <c r="A95" t="s">
        <v>645</v>
      </c>
      <c r="B95" t="s">
        <v>31</v>
      </c>
      <c r="C95" t="n">
        <v>0.537434010535475</v>
      </c>
      <c r="D95" t="n">
        <v>1</v>
      </c>
    </row>
    <row r="96">
      <c r="A96" t="s">
        <v>646</v>
      </c>
      <c r="B96" t="s">
        <v>31</v>
      </c>
      <c r="C96" t="n">
        <v>0.404881734134564</v>
      </c>
      <c r="D96" t="n">
        <v>1</v>
      </c>
    </row>
    <row r="97">
      <c r="A97" t="s">
        <v>647</v>
      </c>
      <c r="B97" t="s">
        <v>31</v>
      </c>
      <c r="C97" t="n">
        <v>0.254156948095578</v>
      </c>
      <c r="D97" t="n">
        <v>1</v>
      </c>
    </row>
    <row r="98">
      <c r="A98" t="s">
        <v>647</v>
      </c>
      <c r="B98" t="s">
        <v>31</v>
      </c>
      <c r="C98" t="n">
        <v>0.484547533973281</v>
      </c>
      <c r="D98" t="n">
        <v>1</v>
      </c>
    </row>
    <row r="99">
      <c r="A99" t="s">
        <v>648</v>
      </c>
      <c r="B99" t="s">
        <v>31</v>
      </c>
      <c r="C99" t="n">
        <v>0.156519734308055</v>
      </c>
      <c r="D99" t="n">
        <v>1</v>
      </c>
    </row>
    <row r="100">
      <c r="A100" t="s">
        <v>648</v>
      </c>
      <c r="B100" t="s">
        <v>31</v>
      </c>
      <c r="C100" t="n">
        <v>0.283313976648712</v>
      </c>
      <c r="D100" t="n">
        <v>1</v>
      </c>
    </row>
    <row r="101">
      <c r="A101" t="s">
        <v>649</v>
      </c>
      <c r="B101" t="s">
        <v>30</v>
      </c>
      <c r="C101" t="n">
        <v>0.399790442397068</v>
      </c>
      <c r="D101" t="n">
        <v>1.5</v>
      </c>
    </row>
    <row r="102">
      <c r="A102" t="s">
        <v>650</v>
      </c>
      <c r="B102" t="s">
        <v>30</v>
      </c>
      <c r="C102" t="n">
        <v>0.187085235053027</v>
      </c>
      <c r="D102" t="n">
        <v>0.75</v>
      </c>
    </row>
    <row r="103">
      <c r="A103" t="s">
        <v>651</v>
      </c>
      <c r="B103" t="s">
        <v>30</v>
      </c>
      <c r="C103" t="n">
        <v>0.225328387222504</v>
      </c>
      <c r="D103" t="n">
        <v>0.75</v>
      </c>
    </row>
    <row r="104">
      <c r="A104" t="s">
        <v>652</v>
      </c>
      <c r="B104" t="s">
        <v>31</v>
      </c>
      <c r="C104" t="n">
        <v>0.438463585906297</v>
      </c>
      <c r="D104" t="n">
        <v>1</v>
      </c>
    </row>
    <row r="105">
      <c r="A105" t="s">
        <v>653</v>
      </c>
      <c r="B105" t="s">
        <v>30</v>
      </c>
      <c r="C105" t="n">
        <v>0.324267812317585</v>
      </c>
      <c r="D105" t="n">
        <v>0.75</v>
      </c>
    </row>
    <row r="106">
      <c r="A106" t="s">
        <v>653</v>
      </c>
      <c r="B106" t="s">
        <v>30</v>
      </c>
      <c r="C106" t="n">
        <v>0.543020391241848</v>
      </c>
      <c r="D106" t="n">
        <v>1.5</v>
      </c>
    </row>
    <row r="107">
      <c r="A107" t="s">
        <v>654</v>
      </c>
      <c r="B107" t="s">
        <v>31</v>
      </c>
      <c r="C107" t="n">
        <v>0.765595973047985</v>
      </c>
      <c r="D107" t="n">
        <v>1</v>
      </c>
    </row>
    <row r="108">
      <c r="A108" t="s">
        <v>655</v>
      </c>
      <c r="B108" t="s">
        <v>31</v>
      </c>
      <c r="C108" t="n">
        <v>0.351346421517155</v>
      </c>
      <c r="D108" t="n">
        <v>1</v>
      </c>
    </row>
    <row r="109">
      <c r="A109" t="s">
        <v>656</v>
      </c>
      <c r="B109" t="s">
        <v>31</v>
      </c>
      <c r="C109" t="n">
        <v>0.19846731847993</v>
      </c>
      <c r="D109" t="n">
        <v>1</v>
      </c>
    </row>
    <row r="110">
      <c r="A110" t="s">
        <v>656</v>
      </c>
      <c r="B110" t="s">
        <v>31</v>
      </c>
      <c r="C110" t="n">
        <v>0.25775225219705</v>
      </c>
      <c r="D110" t="n">
        <v>1</v>
      </c>
    </row>
    <row r="111">
      <c r="A111" t="s">
        <v>657</v>
      </c>
      <c r="B111" t="s">
        <v>31</v>
      </c>
      <c r="C111" t="n">
        <v>0.298865306074101</v>
      </c>
      <c r="D111" t="n">
        <v>1</v>
      </c>
    </row>
    <row r="112">
      <c r="A112" t="s">
        <v>658</v>
      </c>
      <c r="B112" t="s">
        <v>30</v>
      </c>
      <c r="C112" t="n">
        <v>0.559486224476871</v>
      </c>
      <c r="D112" t="n">
        <v>1.5</v>
      </c>
    </row>
    <row r="113">
      <c r="A113" t="s">
        <v>658</v>
      </c>
      <c r="B113" t="s">
        <v>30</v>
      </c>
      <c r="C113" t="n">
        <v>0.468402274863773</v>
      </c>
      <c r="D113" t="n">
        <v>1.5</v>
      </c>
    </row>
    <row r="114">
      <c r="A114" t="s">
        <v>659</v>
      </c>
      <c r="B114" t="s">
        <v>31</v>
      </c>
      <c r="C114" t="n">
        <v>0.647615098290222</v>
      </c>
      <c r="D114" t="n">
        <v>1</v>
      </c>
    </row>
    <row r="115">
      <c r="A115" t="s">
        <v>660</v>
      </c>
      <c r="B115" t="s">
        <v>31</v>
      </c>
      <c r="C115" t="n">
        <v>0.622767390991931</v>
      </c>
      <c r="D115" t="n">
        <v>1</v>
      </c>
    </row>
    <row r="116">
      <c r="A116" t="s">
        <v>661</v>
      </c>
      <c r="B116" t="s">
        <v>30</v>
      </c>
      <c r="C116" t="n">
        <v>0.085022365303875</v>
      </c>
      <c r="D116" t="n">
        <v>0.75</v>
      </c>
    </row>
    <row r="117">
      <c r="A117" t="s">
        <v>662</v>
      </c>
      <c r="B117" t="s">
        <v>30</v>
      </c>
      <c r="C117" t="n">
        <v>0.361912002687103</v>
      </c>
      <c r="D117" t="n">
        <v>0.75</v>
      </c>
    </row>
    <row r="118">
      <c r="A118" t="s">
        <v>662</v>
      </c>
      <c r="B118" t="s">
        <v>30</v>
      </c>
      <c r="C118" t="n">
        <v>0.271157946641179</v>
      </c>
      <c r="D118" t="n">
        <v>0.75</v>
      </c>
    </row>
    <row r="119">
      <c r="A119" t="s">
        <v>663</v>
      </c>
      <c r="B119" t="s">
        <v>30</v>
      </c>
      <c r="C119" t="n">
        <v>0.452400282453904</v>
      </c>
      <c r="D119" t="n">
        <v>0.75</v>
      </c>
    </row>
    <row r="120">
      <c r="A120" t="s">
        <v>664</v>
      </c>
      <c r="B120" t="s">
        <v>30</v>
      </c>
      <c r="C120" t="n">
        <v>0.527256400408461</v>
      </c>
      <c r="D120" t="n">
        <v>1.5</v>
      </c>
    </row>
    <row r="121">
      <c r="A121" t="s">
        <v>665</v>
      </c>
      <c r="B121" t="s">
        <v>30</v>
      </c>
      <c r="C121" t="n">
        <v>0.577247470494484</v>
      </c>
      <c r="D121" t="n">
        <v>1.5</v>
      </c>
    </row>
    <row r="122">
      <c r="A122" t="s">
        <v>666</v>
      </c>
      <c r="B122" t="s">
        <v>31</v>
      </c>
      <c r="C122" t="n">
        <v>0.696193875171192</v>
      </c>
      <c r="D122" t="n">
        <v>1</v>
      </c>
    </row>
    <row r="123">
      <c r="A123" t="s">
        <v>666</v>
      </c>
      <c r="B123" t="s">
        <v>31</v>
      </c>
      <c r="C123" t="n">
        <v>0.70671048741181</v>
      </c>
      <c r="D123" t="n">
        <v>1</v>
      </c>
    </row>
    <row r="124">
      <c r="A124" t="s">
        <v>667</v>
      </c>
      <c r="B124" t="s">
        <v>31</v>
      </c>
      <c r="C124" t="n">
        <v>0.252681246474483</v>
      </c>
      <c r="D124" t="n">
        <v>1</v>
      </c>
    </row>
    <row r="125">
      <c r="A125" t="s">
        <v>668</v>
      </c>
      <c r="B125" t="s">
        <v>31</v>
      </c>
      <c r="C125" t="n">
        <v>0.713321779881791</v>
      </c>
      <c r="D125" t="n">
        <v>1</v>
      </c>
    </row>
    <row r="126">
      <c r="A126" t="s">
        <v>669</v>
      </c>
      <c r="B126" t="s">
        <v>30</v>
      </c>
      <c r="C126" t="n">
        <v>0.110006869354576</v>
      </c>
      <c r="D126" t="n">
        <v>0.75</v>
      </c>
    </row>
    <row r="127">
      <c r="A127" t="s">
        <v>670</v>
      </c>
      <c r="B127" t="s">
        <v>31</v>
      </c>
      <c r="C127" t="n">
        <v>0.14100667934778</v>
      </c>
      <c r="D127" t="n">
        <v>1</v>
      </c>
    </row>
    <row r="128">
      <c r="A128" t="s">
        <v>671</v>
      </c>
      <c r="B128" t="s">
        <v>30</v>
      </c>
      <c r="C128" t="n">
        <v>0.680016032488235</v>
      </c>
      <c r="D128" t="n">
        <v>1.5</v>
      </c>
    </row>
    <row r="129">
      <c r="A129" t="s">
        <v>672</v>
      </c>
      <c r="B129" t="s">
        <v>30</v>
      </c>
      <c r="C129" t="n">
        <v>0.397105679381524</v>
      </c>
      <c r="D129" t="n">
        <v>1.5</v>
      </c>
    </row>
    <row r="130">
      <c r="A130" t="s">
        <v>672</v>
      </c>
      <c r="B130" t="s">
        <v>30</v>
      </c>
      <c r="C130" t="n">
        <v>0.306905249618005</v>
      </c>
      <c r="D130" t="n">
        <v>0.75</v>
      </c>
    </row>
    <row r="131">
      <c r="A131" t="s">
        <v>673</v>
      </c>
      <c r="B131" t="s">
        <v>30</v>
      </c>
      <c r="C131" t="n">
        <v>0.583904227895814</v>
      </c>
      <c r="D131" t="n">
        <v>1.5</v>
      </c>
    </row>
    <row r="132">
      <c r="A132" t="s">
        <v>673</v>
      </c>
      <c r="B132" t="s">
        <v>30</v>
      </c>
      <c r="C132" t="n">
        <v>0.744196495135077</v>
      </c>
      <c r="D132" t="n">
        <v>1.5</v>
      </c>
    </row>
    <row r="133">
      <c r="A133" t="s">
        <v>674</v>
      </c>
      <c r="B133" t="s">
        <v>31</v>
      </c>
      <c r="C133" t="n">
        <v>0.290684720821267</v>
      </c>
      <c r="D133" t="n">
        <v>1</v>
      </c>
    </row>
    <row r="134">
      <c r="A134" t="s">
        <v>674</v>
      </c>
      <c r="B134" t="s">
        <v>31</v>
      </c>
      <c r="C134" t="n">
        <v>0.414524910299672</v>
      </c>
      <c r="D134" t="n">
        <v>1</v>
      </c>
    </row>
    <row r="135">
      <c r="A135" t="s">
        <v>675</v>
      </c>
      <c r="B135" t="s">
        <v>30</v>
      </c>
      <c r="C135" t="n">
        <v>0.155009711983546</v>
      </c>
      <c r="D135" t="n">
        <v>0.75</v>
      </c>
    </row>
    <row r="136">
      <c r="A136" t="s">
        <v>676</v>
      </c>
      <c r="B136" t="s">
        <v>31</v>
      </c>
      <c r="C136" t="n">
        <v>0.0430784515706258</v>
      </c>
      <c r="D136" t="n">
        <v>1</v>
      </c>
    </row>
    <row r="137">
      <c r="A137" t="s">
        <v>677</v>
      </c>
      <c r="B137" t="s">
        <v>30</v>
      </c>
      <c r="C137" t="n">
        <v>0.184461447455998</v>
      </c>
      <c r="D137" t="n">
        <v>0.75</v>
      </c>
    </row>
    <row r="138">
      <c r="A138" t="s">
        <v>677</v>
      </c>
      <c r="B138" t="s">
        <v>30</v>
      </c>
      <c r="C138" t="n">
        <v>0.372050428408672</v>
      </c>
      <c r="D138" t="n">
        <v>0.75</v>
      </c>
    </row>
    <row r="139">
      <c r="A139" t="s">
        <v>678</v>
      </c>
      <c r="B139" t="s">
        <v>31</v>
      </c>
      <c r="C139" t="n">
        <v>0.237621583949285</v>
      </c>
      <c r="D139" t="n">
        <v>1</v>
      </c>
    </row>
    <row r="140">
      <c r="A140" t="s">
        <v>678</v>
      </c>
      <c r="B140" t="s">
        <v>31</v>
      </c>
      <c r="C140" t="n">
        <v>0.133228743381192</v>
      </c>
      <c r="D140" t="n">
        <v>1</v>
      </c>
    </row>
    <row r="141">
      <c r="A141" t="s">
        <v>679</v>
      </c>
      <c r="B141" t="s">
        <v>30</v>
      </c>
      <c r="C141" t="n">
        <v>0.52425449599702</v>
      </c>
      <c r="D141" t="n">
        <v>1.5</v>
      </c>
    </row>
    <row r="142">
      <c r="A142" t="s">
        <v>680</v>
      </c>
      <c r="B142" t="s">
        <v>31</v>
      </c>
      <c r="C142" t="n">
        <v>0.455885199151387</v>
      </c>
      <c r="D142" t="n">
        <v>1</v>
      </c>
    </row>
    <row r="143">
      <c r="A143" t="s">
        <v>680</v>
      </c>
      <c r="B143" t="s">
        <v>31</v>
      </c>
      <c r="C143" t="n">
        <v>0.318286533835267</v>
      </c>
      <c r="D143" t="n">
        <v>1</v>
      </c>
    </row>
    <row r="144">
      <c r="A144" t="s">
        <v>681</v>
      </c>
      <c r="B144" t="s">
        <v>31</v>
      </c>
      <c r="C144" t="n">
        <v>0.155290393185324</v>
      </c>
      <c r="D144" t="n">
        <v>1</v>
      </c>
    </row>
    <row r="145">
      <c r="A145" t="s">
        <v>682</v>
      </c>
      <c r="B145" t="s">
        <v>30</v>
      </c>
      <c r="C145" t="n">
        <v>0.271962818080975</v>
      </c>
      <c r="D145" t="n">
        <v>0.75</v>
      </c>
    </row>
    <row r="146">
      <c r="A146" t="s">
        <v>682</v>
      </c>
      <c r="B146" t="s">
        <v>30</v>
      </c>
      <c r="C146" t="n">
        <v>0.248032275609144</v>
      </c>
      <c r="D146" t="n">
        <v>0.75</v>
      </c>
    </row>
    <row r="147">
      <c r="A147" t="s">
        <v>683</v>
      </c>
      <c r="B147" t="s">
        <v>30</v>
      </c>
      <c r="C147" t="n">
        <v>0.183192945869314</v>
      </c>
      <c r="D147" t="n">
        <v>0.75</v>
      </c>
    </row>
    <row r="148">
      <c r="A148" t="s">
        <v>684</v>
      </c>
      <c r="B148" t="s">
        <v>31</v>
      </c>
      <c r="C148" t="n">
        <v>0.135067903192619</v>
      </c>
      <c r="D148" t="n">
        <v>1</v>
      </c>
    </row>
    <row r="149">
      <c r="A149" t="s">
        <v>684</v>
      </c>
      <c r="B149" t="s">
        <v>31</v>
      </c>
      <c r="C149" t="n">
        <v>0.109478942200408</v>
      </c>
      <c r="D149" t="n">
        <v>1</v>
      </c>
    </row>
    <row r="150">
      <c r="A150" t="s">
        <v>685</v>
      </c>
      <c r="B150" t="s">
        <v>30</v>
      </c>
      <c r="C150" t="n">
        <v>0.128888872198611</v>
      </c>
      <c r="D150" t="n">
        <v>0.75</v>
      </c>
    </row>
    <row r="151">
      <c r="A151" t="s">
        <v>686</v>
      </c>
      <c r="B151" t="s">
        <v>31</v>
      </c>
      <c r="C151" t="n">
        <v>0.181362103865484</v>
      </c>
      <c r="D151" t="n">
        <v>1</v>
      </c>
    </row>
    <row r="152">
      <c r="A152" t="s">
        <v>687</v>
      </c>
      <c r="B152" t="s">
        <v>31</v>
      </c>
      <c r="C152" t="n">
        <v>0.637665605849084</v>
      </c>
      <c r="D152" t="n">
        <v>1</v>
      </c>
    </row>
    <row r="153">
      <c r="A153" t="s">
        <v>687</v>
      </c>
      <c r="B153" t="s">
        <v>31</v>
      </c>
      <c r="C153" t="n">
        <v>0.605266890963173</v>
      </c>
      <c r="D153" t="n">
        <v>1</v>
      </c>
    </row>
    <row r="154">
      <c r="A154" t="s">
        <v>688</v>
      </c>
      <c r="B154" t="s">
        <v>30</v>
      </c>
      <c r="C154" t="n">
        <v>0.260055028238664</v>
      </c>
      <c r="D154" t="n">
        <v>0.75</v>
      </c>
    </row>
    <row r="155">
      <c r="A155" t="s">
        <v>688</v>
      </c>
      <c r="B155" t="s">
        <v>30</v>
      </c>
      <c r="C155" t="n">
        <v>0.399375581762462</v>
      </c>
      <c r="D155" t="n">
        <v>1.5</v>
      </c>
    </row>
    <row r="156">
      <c r="A156" t="s">
        <v>689</v>
      </c>
      <c r="B156" t="s">
        <v>30</v>
      </c>
      <c r="C156" t="n">
        <v>0.259606613209025</v>
      </c>
      <c r="D156" t="n">
        <v>0.75</v>
      </c>
    </row>
    <row r="157">
      <c r="A157" t="s">
        <v>689</v>
      </c>
      <c r="B157" t="s">
        <v>30</v>
      </c>
      <c r="C157" t="n">
        <v>0.232695392162752</v>
      </c>
      <c r="D157" t="n">
        <v>0.75</v>
      </c>
    </row>
    <row r="158">
      <c r="A158" t="s">
        <v>690</v>
      </c>
      <c r="B158" t="s">
        <v>30</v>
      </c>
      <c r="C158" t="n">
        <v>0.107466316609963</v>
      </c>
      <c r="D158" t="n">
        <v>0.75</v>
      </c>
    </row>
    <row r="159">
      <c r="A159" t="s">
        <v>690</v>
      </c>
      <c r="B159" t="s">
        <v>30</v>
      </c>
      <c r="C159" t="n">
        <v>0.256885794665753</v>
      </c>
      <c r="D159" t="n">
        <v>0.75</v>
      </c>
    </row>
    <row r="160">
      <c r="A160" t="s">
        <v>691</v>
      </c>
      <c r="B160" t="s">
        <v>31</v>
      </c>
      <c r="C160" t="n">
        <v>0.485327445309099</v>
      </c>
      <c r="D160" t="n">
        <v>1</v>
      </c>
    </row>
    <row r="161">
      <c r="A161" t="s">
        <v>692</v>
      </c>
      <c r="B161" t="s">
        <v>30</v>
      </c>
      <c r="C161" t="n">
        <v>0.589485356084415</v>
      </c>
      <c r="D161" t="n">
        <v>1.5</v>
      </c>
    </row>
    <row r="162">
      <c r="A162" t="s">
        <v>693</v>
      </c>
      <c r="B162" t="s">
        <v>31</v>
      </c>
      <c r="C162" t="n">
        <v>0.653551952021502</v>
      </c>
      <c r="D162" t="n">
        <v>1</v>
      </c>
    </row>
    <row r="163">
      <c r="A163" t="s">
        <v>694</v>
      </c>
      <c r="B163" t="s">
        <v>30</v>
      </c>
      <c r="C163" t="n">
        <v>0.294469425969066</v>
      </c>
      <c r="D163" t="n">
        <v>0.75</v>
      </c>
    </row>
    <row r="164">
      <c r="A164" t="s">
        <v>695</v>
      </c>
      <c r="B164" t="s">
        <v>30</v>
      </c>
      <c r="C164" t="n">
        <v>0.311407651665246</v>
      </c>
      <c r="D164" t="n">
        <v>0.75</v>
      </c>
    </row>
    <row r="165">
      <c r="A165" t="s">
        <v>696</v>
      </c>
      <c r="B165" t="s">
        <v>31</v>
      </c>
      <c r="C165" t="n">
        <v>0.439214630028386</v>
      </c>
      <c r="D165" t="n">
        <v>1</v>
      </c>
    </row>
    <row r="166">
      <c r="A166" t="s">
        <v>697</v>
      </c>
      <c r="B166" t="s">
        <v>30</v>
      </c>
      <c r="C166" t="n">
        <v>0.316745202298914</v>
      </c>
      <c r="D166" t="n">
        <v>0.75</v>
      </c>
    </row>
    <row r="167">
      <c r="A167" t="s">
        <v>698</v>
      </c>
      <c r="B167" t="s">
        <v>30</v>
      </c>
      <c r="C167" t="n">
        <v>0.0852377091601781</v>
      </c>
      <c r="D167" t="n">
        <v>0.75</v>
      </c>
    </row>
    <row r="168">
      <c r="A168" t="s">
        <v>699</v>
      </c>
      <c r="B168" t="s">
        <v>30</v>
      </c>
      <c r="C168" t="n">
        <v>0.300042910529705</v>
      </c>
      <c r="D168" t="n">
        <v>0.75</v>
      </c>
    </row>
    <row r="169">
      <c r="A169" t="s">
        <v>700</v>
      </c>
      <c r="B169" t="s">
        <v>30</v>
      </c>
      <c r="C169" t="n">
        <v>0.184673603106924</v>
      </c>
      <c r="D169" t="n">
        <v>0.75</v>
      </c>
    </row>
    <row r="170">
      <c r="A170" t="s">
        <v>701</v>
      </c>
      <c r="B170" t="s">
        <v>30</v>
      </c>
      <c r="C170" t="n">
        <v>0.353028183651674</v>
      </c>
      <c r="D170" t="n">
        <v>0.75</v>
      </c>
    </row>
    <row r="171">
      <c r="A171" t="s">
        <v>701</v>
      </c>
      <c r="B171" t="s">
        <v>30</v>
      </c>
      <c r="C171" t="n">
        <v>0.245804838517549</v>
      </c>
      <c r="D171" t="n">
        <v>0.75</v>
      </c>
    </row>
    <row r="172">
      <c r="A172" t="s">
        <v>702</v>
      </c>
      <c r="B172" t="s">
        <v>31</v>
      </c>
      <c r="C172" t="n">
        <v>0.578051061301193</v>
      </c>
      <c r="D172" t="n">
        <v>1</v>
      </c>
    </row>
    <row r="173">
      <c r="A173" t="s">
        <v>702</v>
      </c>
      <c r="B173" t="s">
        <v>31</v>
      </c>
      <c r="C173" t="n">
        <v>0.670937175520326</v>
      </c>
      <c r="D173" t="n">
        <v>1</v>
      </c>
    </row>
    <row r="174">
      <c r="A174" t="s">
        <v>703</v>
      </c>
      <c r="B174" t="s">
        <v>30</v>
      </c>
      <c r="C174" t="n">
        <v>0.79404864169105</v>
      </c>
      <c r="D174" t="n">
        <v>1.5</v>
      </c>
    </row>
    <row r="175">
      <c r="A175" t="s">
        <v>704</v>
      </c>
      <c r="B175" t="s">
        <v>31</v>
      </c>
      <c r="C175" t="n">
        <v>0.568740830846366</v>
      </c>
      <c r="D175" t="n">
        <v>1</v>
      </c>
    </row>
    <row r="176">
      <c r="A176" t="s">
        <v>704</v>
      </c>
      <c r="B176" t="s">
        <v>31</v>
      </c>
      <c r="C176" t="n">
        <v>0.622293589906748</v>
      </c>
      <c r="D176" t="n">
        <v>1</v>
      </c>
    </row>
    <row r="177">
      <c r="A177" t="s">
        <v>705</v>
      </c>
      <c r="B177" t="s">
        <v>30</v>
      </c>
      <c r="C177" t="n">
        <v>0.306857582940026</v>
      </c>
      <c r="D177" t="n">
        <v>0.75</v>
      </c>
    </row>
    <row r="178">
      <c r="A178" t="s">
        <v>705</v>
      </c>
      <c r="B178" t="s">
        <v>30</v>
      </c>
      <c r="C178" t="n">
        <v>0.243216184661427</v>
      </c>
      <c r="D178" t="n">
        <v>0.75</v>
      </c>
    </row>
    <row r="179">
      <c r="A179" t="s">
        <v>706</v>
      </c>
      <c r="B179" t="s">
        <v>31</v>
      </c>
      <c r="C179" t="n">
        <v>0.197864715966029</v>
      </c>
      <c r="D179" t="n">
        <v>1</v>
      </c>
    </row>
    <row r="180">
      <c r="A180" t="s">
        <v>707</v>
      </c>
      <c r="B180" t="s">
        <v>30</v>
      </c>
      <c r="C180" t="n">
        <v>0.338714087960348</v>
      </c>
      <c r="D180" t="n">
        <v>0.75</v>
      </c>
    </row>
    <row r="181">
      <c r="A181" t="s">
        <v>708</v>
      </c>
      <c r="B181" t="s">
        <v>30</v>
      </c>
      <c r="C181" t="n">
        <v>0.177565727928558</v>
      </c>
      <c r="D181" t="n">
        <v>0.75</v>
      </c>
    </row>
    <row r="182">
      <c r="A182" t="s">
        <v>709</v>
      </c>
      <c r="B182" t="s">
        <v>30</v>
      </c>
      <c r="C182" t="n">
        <v>0.587201882401988</v>
      </c>
      <c r="D182" t="n">
        <v>1.5</v>
      </c>
    </row>
    <row r="183">
      <c r="A183" t="s">
        <v>710</v>
      </c>
      <c r="B183" t="s">
        <v>31</v>
      </c>
      <c r="C183" t="n">
        <v>0.521233136900016</v>
      </c>
      <c r="D183" t="n">
        <v>1</v>
      </c>
    </row>
    <row r="184">
      <c r="A184" t="s">
        <v>711</v>
      </c>
      <c r="B184" t="s">
        <v>30</v>
      </c>
      <c r="C184" t="n">
        <v>0.723823032141887</v>
      </c>
      <c r="D184" t="n">
        <v>1.5</v>
      </c>
    </row>
    <row r="185">
      <c r="A185" t="s">
        <v>712</v>
      </c>
      <c r="B185" t="s">
        <v>31</v>
      </c>
      <c r="C185" t="n">
        <v>0.108495318767796</v>
      </c>
      <c r="D185" t="n">
        <v>1</v>
      </c>
    </row>
    <row r="186">
      <c r="A186" t="s">
        <v>712</v>
      </c>
      <c r="B186" t="s">
        <v>31</v>
      </c>
      <c r="C186" t="n">
        <v>0.0877139836884621</v>
      </c>
      <c r="D186" t="n">
        <v>1</v>
      </c>
    </row>
    <row r="187">
      <c r="A187" t="s">
        <v>713</v>
      </c>
      <c r="B187" t="s">
        <v>31</v>
      </c>
      <c r="C187" t="n">
        <v>0.689385978008024</v>
      </c>
      <c r="D187" t="n">
        <v>1</v>
      </c>
    </row>
    <row r="188">
      <c r="A188" t="s">
        <v>713</v>
      </c>
      <c r="B188" t="s">
        <v>31</v>
      </c>
      <c r="C188" t="n">
        <v>0.62205486775636</v>
      </c>
      <c r="D188" t="n">
        <v>1</v>
      </c>
    </row>
    <row r="189">
      <c r="A189" t="s">
        <v>714</v>
      </c>
      <c r="B189" t="s">
        <v>31</v>
      </c>
      <c r="C189" t="n">
        <v>0.577538466537263</v>
      </c>
      <c r="D189" t="n">
        <v>1</v>
      </c>
    </row>
    <row r="190">
      <c r="A190" t="s">
        <v>715</v>
      </c>
      <c r="B190" t="s">
        <v>31</v>
      </c>
      <c r="C190" t="n">
        <v>0.842981634264308</v>
      </c>
      <c r="D190" t="n">
        <v>1</v>
      </c>
    </row>
    <row r="191">
      <c r="A191" t="s">
        <v>715</v>
      </c>
      <c r="B191" t="s">
        <v>31</v>
      </c>
      <c r="C191" t="n">
        <v>0.772769044441558</v>
      </c>
      <c r="D191" t="n">
        <v>1</v>
      </c>
    </row>
    <row r="192">
      <c r="A192" t="s">
        <v>716</v>
      </c>
      <c r="B192" t="s">
        <v>31</v>
      </c>
      <c r="C192" t="n">
        <v>0.533550902001849</v>
      </c>
      <c r="D192" t="n">
        <v>1</v>
      </c>
    </row>
    <row r="193">
      <c r="A193" t="s">
        <v>716</v>
      </c>
      <c r="B193" t="s">
        <v>31</v>
      </c>
      <c r="C193" t="n">
        <v>0.335696354540939</v>
      </c>
      <c r="D193" t="n">
        <v>1</v>
      </c>
    </row>
    <row r="194">
      <c r="A194" t="s">
        <v>717</v>
      </c>
      <c r="B194" t="s">
        <v>31</v>
      </c>
      <c r="C194" t="n">
        <v>0.136333207534476</v>
      </c>
      <c r="D194" t="n">
        <v>1</v>
      </c>
    </row>
    <row r="195">
      <c r="A195" t="s">
        <v>718</v>
      </c>
      <c r="B195" t="s">
        <v>31</v>
      </c>
      <c r="C195" t="n">
        <v>0.186283770473622</v>
      </c>
      <c r="D195" t="n">
        <v>1</v>
      </c>
    </row>
    <row r="196">
      <c r="A196" t="s">
        <v>719</v>
      </c>
      <c r="B196" t="s">
        <v>31</v>
      </c>
      <c r="C196" t="n">
        <v>0.815876743525281</v>
      </c>
      <c r="D196" t="n">
        <v>1</v>
      </c>
    </row>
    <row r="197">
      <c r="A197" t="s">
        <v>720</v>
      </c>
      <c r="B197" t="s">
        <v>30</v>
      </c>
      <c r="C197" t="n">
        <v>0.609309787204209</v>
      </c>
      <c r="D197" t="n">
        <v>1.5</v>
      </c>
    </row>
    <row r="198">
      <c r="A198" t="s">
        <v>721</v>
      </c>
      <c r="B198" t="s">
        <v>30</v>
      </c>
      <c r="C198" t="n">
        <v>0.153794181184678</v>
      </c>
      <c r="D198" t="n">
        <v>0.75</v>
      </c>
    </row>
    <row r="199">
      <c r="A199" t="s">
        <v>722</v>
      </c>
      <c r="B199" t="s">
        <v>31</v>
      </c>
      <c r="C199" t="n">
        <v>0.351695218469995</v>
      </c>
      <c r="D199" t="n">
        <v>1</v>
      </c>
    </row>
    <row r="200">
      <c r="A200" t="s">
        <v>722</v>
      </c>
      <c r="B200" t="s">
        <v>31</v>
      </c>
      <c r="C200" t="n">
        <v>0.379131674442355</v>
      </c>
      <c r="D200" t="n">
        <v>1</v>
      </c>
    </row>
    <row r="201">
      <c r="A201" t="s">
        <v>723</v>
      </c>
      <c r="B201" t="s">
        <v>31</v>
      </c>
      <c r="C201" t="n">
        <v>0.302574202046977</v>
      </c>
      <c r="D201" t="n">
        <v>1</v>
      </c>
    </row>
    <row r="202">
      <c r="A202" t="s">
        <v>724</v>
      </c>
      <c r="B202" t="s">
        <v>30</v>
      </c>
      <c r="C202" t="n">
        <v>0.336522113889281</v>
      </c>
      <c r="D202" t="n">
        <v>0.75</v>
      </c>
    </row>
    <row r="203">
      <c r="A203" t="s">
        <v>725</v>
      </c>
      <c r="B203" t="s">
        <v>31</v>
      </c>
      <c r="C203" t="n">
        <v>0.332753206663737</v>
      </c>
      <c r="D203" t="n">
        <v>1</v>
      </c>
    </row>
    <row r="204">
      <c r="A204" t="s">
        <v>726</v>
      </c>
      <c r="B204" t="s">
        <v>30</v>
      </c>
      <c r="C204" t="n">
        <v>0.492033453259117</v>
      </c>
      <c r="D204" t="n">
        <v>1.5</v>
      </c>
    </row>
    <row r="205">
      <c r="A205" t="s">
        <v>727</v>
      </c>
      <c r="B205" t="s">
        <v>30</v>
      </c>
      <c r="C205" t="n">
        <v>0.381214548973358</v>
      </c>
      <c r="D205" t="n">
        <v>1.5</v>
      </c>
    </row>
    <row r="206">
      <c r="A206" t="s">
        <v>727</v>
      </c>
      <c r="B206" t="s">
        <v>30</v>
      </c>
      <c r="C206" t="n">
        <v>0.293636453950638</v>
      </c>
      <c r="D206" t="n">
        <v>0.75</v>
      </c>
    </row>
    <row r="207">
      <c r="A207" t="s">
        <v>728</v>
      </c>
      <c r="B207" t="s">
        <v>31</v>
      </c>
      <c r="C207" t="n">
        <v>0.742006756374255</v>
      </c>
      <c r="D207" t="n">
        <v>1</v>
      </c>
    </row>
    <row r="208">
      <c r="A208" t="s">
        <v>729</v>
      </c>
      <c r="B208" t="s">
        <v>30</v>
      </c>
      <c r="C208" t="n">
        <v>0.361745744243218</v>
      </c>
      <c r="D208" t="n">
        <v>0.75</v>
      </c>
    </row>
    <row r="209">
      <c r="A209" t="s">
        <v>729</v>
      </c>
      <c r="B209" t="s">
        <v>30</v>
      </c>
      <c r="C209" t="n">
        <v>0.43635811931037</v>
      </c>
      <c r="D209" t="n">
        <v>1.5</v>
      </c>
    </row>
    <row r="210">
      <c r="A210" t="s">
        <v>730</v>
      </c>
      <c r="B210" t="s">
        <v>31</v>
      </c>
      <c r="C210" t="n">
        <v>0.555482080424419</v>
      </c>
      <c r="D210" t="n">
        <v>1</v>
      </c>
    </row>
    <row r="211">
      <c r="A211" t="s">
        <v>730</v>
      </c>
      <c r="B211" t="s">
        <v>31</v>
      </c>
      <c r="C211" t="n">
        <v>0.292744371933578</v>
      </c>
      <c r="D211" t="n">
        <v>1</v>
      </c>
    </row>
    <row r="212">
      <c r="A212" t="s">
        <v>731</v>
      </c>
      <c r="B212" t="s">
        <v>30</v>
      </c>
      <c r="C212" t="n">
        <v>0.475450469009419</v>
      </c>
      <c r="D212" t="n">
        <v>1.5</v>
      </c>
    </row>
    <row r="213">
      <c r="A213" t="s">
        <v>732</v>
      </c>
      <c r="B213" t="s">
        <v>30</v>
      </c>
      <c r="C213" t="n">
        <v>0.46012433935824</v>
      </c>
      <c r="D213" t="n">
        <v>0.75</v>
      </c>
    </row>
    <row r="214">
      <c r="A214" t="s">
        <v>732</v>
      </c>
      <c r="B214" t="s">
        <v>30</v>
      </c>
      <c r="C214" t="n">
        <v>0.423882313367815</v>
      </c>
      <c r="D214" t="n">
        <v>1.5</v>
      </c>
    </row>
    <row r="215">
      <c r="A215" t="s">
        <v>733</v>
      </c>
      <c r="B215" t="s">
        <v>30</v>
      </c>
      <c r="C215" t="n">
        <v>0.614775705814806</v>
      </c>
      <c r="D215" t="n">
        <v>1.5</v>
      </c>
    </row>
    <row r="216">
      <c r="A216" t="s">
        <v>734</v>
      </c>
      <c r="B216" t="s">
        <v>30</v>
      </c>
      <c r="C216" t="n">
        <v>0.137405149941688</v>
      </c>
      <c r="D216" t="n">
        <v>0.75</v>
      </c>
    </row>
    <row r="217">
      <c r="A217" t="s">
        <v>735</v>
      </c>
      <c r="B217" t="s">
        <v>31</v>
      </c>
      <c r="C217" t="n">
        <v>0.694402675275702</v>
      </c>
      <c r="D217" t="n">
        <v>1</v>
      </c>
    </row>
    <row r="218">
      <c r="A218" t="s">
        <v>736</v>
      </c>
      <c r="B218" t="s">
        <v>31</v>
      </c>
      <c r="C218" t="n">
        <v>0.429808574652681</v>
      </c>
      <c r="D218" t="n">
        <v>1</v>
      </c>
    </row>
    <row r="219">
      <c r="A219" t="s">
        <v>737</v>
      </c>
      <c r="B219" t="s">
        <v>30</v>
      </c>
      <c r="C219" t="n">
        <v>0.644879552225621</v>
      </c>
      <c r="D219" t="n">
        <v>1.5</v>
      </c>
    </row>
    <row r="220">
      <c r="A220" t="s">
        <v>737</v>
      </c>
      <c r="B220" t="s">
        <v>30</v>
      </c>
      <c r="C220" t="n">
        <v>0.297571383612233</v>
      </c>
      <c r="D220" t="n">
        <v>0.75</v>
      </c>
    </row>
    <row r="221">
      <c r="A221" t="s">
        <v>738</v>
      </c>
      <c r="B221" t="s">
        <v>30</v>
      </c>
      <c r="C221" t="n">
        <v>0.282854700339858</v>
      </c>
      <c r="D221" t="n">
        <v>0.75</v>
      </c>
    </row>
    <row r="222">
      <c r="A222" t="s">
        <v>739</v>
      </c>
      <c r="B222" t="s">
        <v>30</v>
      </c>
      <c r="C222" t="n">
        <v>0.293384253220585</v>
      </c>
      <c r="D222" t="n">
        <v>0.75</v>
      </c>
    </row>
    <row r="223">
      <c r="A223" t="s">
        <v>740</v>
      </c>
      <c r="B223" t="s">
        <v>30</v>
      </c>
      <c r="C223" t="n">
        <v>0.732848746023731</v>
      </c>
      <c r="D223" t="n">
        <v>1.5</v>
      </c>
    </row>
    <row r="224">
      <c r="A224" t="s">
        <v>741</v>
      </c>
      <c r="B224" t="s">
        <v>31</v>
      </c>
      <c r="C224" t="n">
        <v>0.465648454849572</v>
      </c>
      <c r="D224" t="n">
        <v>1</v>
      </c>
    </row>
    <row r="225">
      <c r="A225" t="s">
        <v>742</v>
      </c>
      <c r="B225" t="s">
        <v>30</v>
      </c>
      <c r="C225" t="n">
        <v>0.132090788563893</v>
      </c>
      <c r="D225" t="n">
        <v>0.75</v>
      </c>
    </row>
    <row r="226">
      <c r="A226" t="s">
        <v>743</v>
      </c>
      <c r="B226" t="s">
        <v>31</v>
      </c>
      <c r="C226" t="n">
        <v>0.371015706153368</v>
      </c>
      <c r="D226" t="n">
        <v>1</v>
      </c>
    </row>
    <row r="227">
      <c r="A227" t="s">
        <v>743</v>
      </c>
      <c r="B227" t="s">
        <v>31</v>
      </c>
      <c r="C227" t="n">
        <v>0.30963662168138</v>
      </c>
      <c r="D227" t="n">
        <v>1</v>
      </c>
    </row>
    <row r="228">
      <c r="A228" t="s">
        <v>744</v>
      </c>
      <c r="B228" t="s">
        <v>30</v>
      </c>
      <c r="C228" t="n">
        <v>0.0424114504183638</v>
      </c>
      <c r="D228" t="n">
        <v>0.75</v>
      </c>
    </row>
    <row r="229">
      <c r="A229" t="s">
        <v>745</v>
      </c>
      <c r="B229" t="s">
        <v>30</v>
      </c>
      <c r="C229" t="n">
        <v>0.541526626983417</v>
      </c>
      <c r="D229" t="n">
        <v>1.5</v>
      </c>
    </row>
    <row r="230">
      <c r="A230" t="s">
        <v>746</v>
      </c>
      <c r="B230" t="s">
        <v>30</v>
      </c>
      <c r="C230" t="n">
        <v>0.156550490377983</v>
      </c>
      <c r="D230" t="n">
        <v>0.75</v>
      </c>
    </row>
    <row r="231">
      <c r="A231" t="s">
        <v>746</v>
      </c>
      <c r="B231" t="s">
        <v>30</v>
      </c>
      <c r="C231" t="n">
        <v>0.302098914351062</v>
      </c>
      <c r="D231" t="n">
        <v>0.75</v>
      </c>
    </row>
    <row r="232">
      <c r="A232" t="s">
        <v>747</v>
      </c>
      <c r="B232" t="s">
        <v>30</v>
      </c>
      <c r="C232" t="n">
        <v>0.177775521196848</v>
      </c>
      <c r="D232" t="n">
        <v>0.75</v>
      </c>
    </row>
    <row r="233">
      <c r="A233" t="s">
        <v>747</v>
      </c>
      <c r="B233" t="s">
        <v>30</v>
      </c>
      <c r="C233" t="n">
        <v>0.324488841483406</v>
      </c>
      <c r="D233" t="n">
        <v>0.75</v>
      </c>
    </row>
    <row r="234">
      <c r="A234" t="s">
        <v>748</v>
      </c>
      <c r="B234" t="s">
        <v>30</v>
      </c>
      <c r="C234" t="n">
        <v>0.333424375341538</v>
      </c>
      <c r="D234" t="n">
        <v>0.75</v>
      </c>
    </row>
    <row r="235">
      <c r="A235" t="s">
        <v>749</v>
      </c>
      <c r="B235" t="s">
        <v>30</v>
      </c>
      <c r="C235" t="n">
        <v>0.194085939326519</v>
      </c>
      <c r="D235" t="n">
        <v>0.75</v>
      </c>
    </row>
    <row r="236">
      <c r="A236" t="s">
        <v>750</v>
      </c>
      <c r="B236" t="s">
        <v>30</v>
      </c>
      <c r="C236" t="n">
        <v>0.327029079204048</v>
      </c>
      <c r="D236" t="n">
        <v>0.75</v>
      </c>
    </row>
    <row r="237">
      <c r="A237" t="s">
        <v>751</v>
      </c>
      <c r="B237" t="s">
        <v>30</v>
      </c>
      <c r="C237" t="n">
        <v>0.771067474779399</v>
      </c>
      <c r="D237" t="n">
        <v>1.5</v>
      </c>
    </row>
    <row r="238">
      <c r="A238" t="s">
        <v>752</v>
      </c>
      <c r="B238" t="s">
        <v>30</v>
      </c>
      <c r="C238" t="n">
        <v>0.325579658287471</v>
      </c>
      <c r="D238" t="n">
        <v>0.75</v>
      </c>
    </row>
    <row r="239">
      <c r="A239" t="s">
        <v>753</v>
      </c>
      <c r="B239" t="s">
        <v>31</v>
      </c>
      <c r="C239" t="n">
        <v>0.412119045627593</v>
      </c>
      <c r="D239" t="n">
        <v>1</v>
      </c>
    </row>
    <row r="240">
      <c r="A240" t="s">
        <v>754</v>
      </c>
      <c r="B240" t="s">
        <v>30</v>
      </c>
      <c r="C240" t="n">
        <v>0.186771069705162</v>
      </c>
      <c r="D240" t="n">
        <v>0.75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10" t="s">
        <v>755</v>
      </c>
    </row>
    <row r="3">
      <c r="A3" s="1" t="s">
        <v>756</v>
      </c>
    </row>
    <row r="4">
      <c r="A4" t="s">
        <v>314</v>
      </c>
      <c r="B4" t="s">
        <v>315</v>
      </c>
      <c r="C4" t="s">
        <v>316</v>
      </c>
      <c r="D4" t="s">
        <v>317</v>
      </c>
      <c r="E4" t="s">
        <v>318</v>
      </c>
      <c r="F4" t="s">
        <v>319</v>
      </c>
      <c r="G4" t="s">
        <v>320</v>
      </c>
      <c r="H4" t="s">
        <v>321</v>
      </c>
      <c r="I4" t="s">
        <v>322</v>
      </c>
      <c r="J4" t="s">
        <v>323</v>
      </c>
      <c r="K4" t="s">
        <v>324</v>
      </c>
      <c r="L4" t="s">
        <v>325</v>
      </c>
      <c r="M4" t="s">
        <v>326</v>
      </c>
      <c r="N4" t="s">
        <v>1</v>
      </c>
    </row>
    <row r="5">
      <c r="A5" t="s">
        <v>327</v>
      </c>
      <c r="B5" t="s">
        <v>328</v>
      </c>
      <c r="C5" t="n">
        <v>35.8511904761905</v>
      </c>
      <c r="D5" t="n">
        <v>0.518513949493283</v>
      </c>
      <c r="E5" t="n">
        <v>4780.64256138871</v>
      </c>
      <c r="F5" t="n">
        <v>0</v>
      </c>
      <c r="G5" t="s">
        <v>329</v>
      </c>
      <c r="H5" t="n">
        <v>35.8511904761905</v>
      </c>
      <c r="I5" t="n">
        <v>34.8349031351836</v>
      </c>
      <c r="J5" t="n">
        <v>36.8674778171973</v>
      </c>
      <c r="K5" t="s">
        <v>757</v>
      </c>
      <c r="L5" t="s">
        <v>758</v>
      </c>
      <c r="M5" t="s">
        <v>332</v>
      </c>
      <c r="N5"/>
    </row>
    <row r="6">
      <c r="A6" t="s">
        <v>327</v>
      </c>
      <c r="B6" t="s">
        <v>333</v>
      </c>
      <c r="C6" t="n">
        <v>0.184523809523809</v>
      </c>
      <c r="D6" t="n">
        <v>0.822906923357083</v>
      </c>
      <c r="E6" t="n">
        <v>0.0502809404211745</v>
      </c>
      <c r="F6" t="n">
        <v>0.822575135699371</v>
      </c>
      <c r="G6" t="s">
        <v>329</v>
      </c>
      <c r="H6" t="n">
        <v>0.184523809523809</v>
      </c>
      <c r="I6" t="n">
        <v>-1.42837376025607</v>
      </c>
      <c r="J6" t="n">
        <v>1.79742137930369</v>
      </c>
      <c r="K6" t="s">
        <v>759</v>
      </c>
      <c r="L6" t="s">
        <v>758</v>
      </c>
      <c r="M6" t="s">
        <v>332</v>
      </c>
      <c r="N6"/>
    </row>
    <row r="7">
      <c r="A7" t="s">
        <v>55</v>
      </c>
      <c r="B7" t="s">
        <v>328</v>
      </c>
      <c r="C7" t="n">
        <v>-4.25947792739365</v>
      </c>
      <c r="D7" t="n">
        <v>0.192808766288672</v>
      </c>
      <c r="E7" t="n">
        <v>488.044241280915</v>
      </c>
      <c r="F7" t="n">
        <v>0</v>
      </c>
      <c r="G7" t="s">
        <v>329</v>
      </c>
      <c r="H7" t="n">
        <v>-4.25947792739365</v>
      </c>
      <c r="I7" t="n">
        <v>-4.63738310931944</v>
      </c>
      <c r="J7" t="n">
        <v>-3.88157274546785</v>
      </c>
      <c r="K7" t="s">
        <v>760</v>
      </c>
      <c r="L7" t="s">
        <v>758</v>
      </c>
      <c r="M7" t="s">
        <v>332</v>
      </c>
      <c r="N7"/>
    </row>
    <row r="8">
      <c r="A8" t="s">
        <v>55</v>
      </c>
      <c r="B8" t="s">
        <v>333</v>
      </c>
      <c r="C8" t="n">
        <v>-0.0204338439980028</v>
      </c>
      <c r="D8" t="n">
        <v>0.270275559434121</v>
      </c>
      <c r="E8" t="n">
        <v>0.00571592599105965</v>
      </c>
      <c r="F8" t="n">
        <v>0.939734358320164</v>
      </c>
      <c r="G8" t="s">
        <v>329</v>
      </c>
      <c r="H8" t="n">
        <v>-0.0204338439980028</v>
      </c>
      <c r="I8" t="n">
        <v>-0.55017394048888</v>
      </c>
      <c r="J8" t="n">
        <v>0.509306252492874</v>
      </c>
      <c r="K8" t="s">
        <v>761</v>
      </c>
      <c r="L8" t="s">
        <v>758</v>
      </c>
      <c r="M8" t="s">
        <v>332</v>
      </c>
      <c r="N8"/>
    </row>
    <row r="9">
      <c r="A9" t="s">
        <v>62</v>
      </c>
      <c r="B9" t="s">
        <v>328</v>
      </c>
      <c r="C9" t="n">
        <v>-3.92559523809524</v>
      </c>
      <c r="D9" t="n">
        <v>0.198891359516623</v>
      </c>
      <c r="E9" t="n">
        <v>389.564347215999</v>
      </c>
      <c r="F9" t="n">
        <v>0</v>
      </c>
      <c r="G9" t="s">
        <v>329</v>
      </c>
      <c r="H9" t="n">
        <v>-3.92559523809524</v>
      </c>
      <c r="I9" t="n">
        <v>-4.31542230274782</v>
      </c>
      <c r="J9" t="n">
        <v>-3.53576817344266</v>
      </c>
      <c r="K9" t="s">
        <v>762</v>
      </c>
      <c r="L9" t="s">
        <v>758</v>
      </c>
      <c r="M9" t="s">
        <v>332</v>
      </c>
      <c r="N9"/>
    </row>
    <row r="10">
      <c r="A10" t="s">
        <v>62</v>
      </c>
      <c r="B10" t="s">
        <v>333</v>
      </c>
      <c r="C10" t="n">
        <v>0.00595238095238084</v>
      </c>
      <c r="D10" t="n">
        <v>0.276236130120265</v>
      </c>
      <c r="E10" t="n">
        <v>0.000464323296545352</v>
      </c>
      <c r="F10" t="n">
        <v>0.982808384445038</v>
      </c>
      <c r="G10" t="s">
        <v>329</v>
      </c>
      <c r="H10" t="n">
        <v>0.00595238095238084</v>
      </c>
      <c r="I10" t="n">
        <v>-0.535470434083339</v>
      </c>
      <c r="J10" t="n">
        <v>0.547375195988101</v>
      </c>
      <c r="K10" t="s">
        <v>763</v>
      </c>
      <c r="L10" t="s">
        <v>758</v>
      </c>
      <c r="M10" t="s">
        <v>332</v>
      </c>
      <c r="N10"/>
    </row>
    <row r="11">
      <c r="A11" t="s">
        <v>69</v>
      </c>
      <c r="B11" t="s">
        <v>328</v>
      </c>
      <c r="C11" t="n">
        <v>-0.662202380952381</v>
      </c>
      <c r="D11" t="n">
        <v>0.0503763971489105</v>
      </c>
      <c r="E11" t="n">
        <v>172.793446716078</v>
      </c>
      <c r="F11" t="n">
        <v>0</v>
      </c>
      <c r="G11" t="s">
        <v>329</v>
      </c>
      <c r="H11" t="n">
        <v>-0.662202380952381</v>
      </c>
      <c r="I11" t="n">
        <v>-0.760940119364245</v>
      </c>
      <c r="J11" t="n">
        <v>-0.563464642540516</v>
      </c>
      <c r="K11" t="s">
        <v>764</v>
      </c>
      <c r="L11" t="s">
        <v>758</v>
      </c>
      <c r="M11" t="s">
        <v>332</v>
      </c>
      <c r="N11"/>
    </row>
    <row r="12">
      <c r="A12" t="s">
        <v>69</v>
      </c>
      <c r="B12" t="s">
        <v>333</v>
      </c>
      <c r="C12" t="n">
        <v>-0.0491071428571429</v>
      </c>
      <c r="D12" t="n">
        <v>0.0771284678531205</v>
      </c>
      <c r="E12" t="n">
        <v>0.405377766149141</v>
      </c>
      <c r="F12" t="n">
        <v>0.524324941549702</v>
      </c>
      <c r="G12" t="s">
        <v>329</v>
      </c>
      <c r="H12" t="n">
        <v>-0.0491071428571429</v>
      </c>
      <c r="I12" t="n">
        <v>-0.200278939849259</v>
      </c>
      <c r="J12" t="n">
        <v>0.102064654134973</v>
      </c>
      <c r="K12" t="s">
        <v>765</v>
      </c>
      <c r="L12" t="s">
        <v>758</v>
      </c>
      <c r="M12" t="s">
        <v>332</v>
      </c>
      <c r="N12"/>
    </row>
    <row r="13">
      <c r="A13" t="s">
        <v>77</v>
      </c>
      <c r="B13" t="s">
        <v>328</v>
      </c>
      <c r="C13" t="n">
        <v>1.0907950095155</v>
      </c>
      <c r="D13" t="n">
        <v>0.0222214184085347</v>
      </c>
      <c r="E13" t="n">
        <v>2409.58766359384</v>
      </c>
      <c r="F13" t="n">
        <v>0</v>
      </c>
      <c r="G13" t="s">
        <v>329</v>
      </c>
      <c r="H13" t="n">
        <v>1.0907950095155</v>
      </c>
      <c r="I13" t="n">
        <v>1.04724102943477</v>
      </c>
      <c r="J13" t="n">
        <v>1.13434898959623</v>
      </c>
      <c r="K13" t="s">
        <v>766</v>
      </c>
      <c r="L13" t="s">
        <v>758</v>
      </c>
      <c r="M13" t="s">
        <v>332</v>
      </c>
      <c r="N13"/>
    </row>
    <row r="14">
      <c r="A14" t="s">
        <v>77</v>
      </c>
      <c r="B14" t="s">
        <v>333</v>
      </c>
      <c r="C14" t="n">
        <v>0.00160410592854784</v>
      </c>
      <c r="D14" t="n">
        <v>0.0318025458236212</v>
      </c>
      <c r="E14" t="n">
        <v>0.00254414765972105</v>
      </c>
      <c r="F14" t="n">
        <v>0.959772124439678</v>
      </c>
      <c r="G14" t="s">
        <v>329</v>
      </c>
      <c r="H14" t="n">
        <v>0.00160410592854784</v>
      </c>
      <c r="I14" t="n">
        <v>-0.0607288838857498</v>
      </c>
      <c r="J14" t="n">
        <v>0.0639370957428455</v>
      </c>
      <c r="K14" t="s">
        <v>767</v>
      </c>
      <c r="L14" t="s">
        <v>758</v>
      </c>
      <c r="M14" t="s">
        <v>332</v>
      </c>
      <c r="N14"/>
    </row>
    <row r="15">
      <c r="A15" t="s">
        <v>84</v>
      </c>
      <c r="B15" t="s">
        <v>328</v>
      </c>
      <c r="C15" t="n">
        <v>-0.0100143293619229</v>
      </c>
      <c r="D15" t="n">
        <v>0.00302659645185201</v>
      </c>
      <c r="E15" t="n">
        <v>10.9479978755422</v>
      </c>
      <c r="F15" t="n">
        <v>0.000937048122170547</v>
      </c>
      <c r="G15" t="s">
        <v>329</v>
      </c>
      <c r="H15" t="n">
        <v>-0.0100143293619229</v>
      </c>
      <c r="I15" t="n">
        <v>-0.0159464584075528</v>
      </c>
      <c r="J15" t="n">
        <v>-0.00408220031629295</v>
      </c>
      <c r="K15" t="s">
        <v>768</v>
      </c>
      <c r="L15" t="s">
        <v>758</v>
      </c>
      <c r="M15" t="s">
        <v>332</v>
      </c>
      <c r="N15"/>
    </row>
    <row r="16">
      <c r="A16" t="s">
        <v>84</v>
      </c>
      <c r="B16" t="s">
        <v>333</v>
      </c>
      <c r="C16" t="n">
        <v>0.00508550976060583</v>
      </c>
      <c r="D16" t="n">
        <v>0.00445912473848012</v>
      </c>
      <c r="E16" t="n">
        <v>1.30067784157682</v>
      </c>
      <c r="F16" t="n">
        <v>0.254089445168599</v>
      </c>
      <c r="G16" t="s">
        <v>329</v>
      </c>
      <c r="H16" t="n">
        <v>0.00508550976060583</v>
      </c>
      <c r="I16" t="n">
        <v>-0.00365437472681521</v>
      </c>
      <c r="J16" t="n">
        <v>0.0138253942480269</v>
      </c>
      <c r="K16" t="s">
        <v>769</v>
      </c>
      <c r="L16" t="s">
        <v>758</v>
      </c>
      <c r="M16" t="s">
        <v>332</v>
      </c>
      <c r="N16"/>
    </row>
    <row r="17">
      <c r="A17" t="s">
        <v>89</v>
      </c>
      <c r="B17" t="s">
        <v>328</v>
      </c>
      <c r="C17" t="n">
        <v>538.666666666667</v>
      </c>
      <c r="D17" t="n">
        <v>2.74342993082316</v>
      </c>
      <c r="E17" t="n">
        <v>38552.4922451182</v>
      </c>
      <c r="F17" t="n">
        <v>0</v>
      </c>
      <c r="G17" t="s">
        <v>329</v>
      </c>
      <c r="H17" t="n">
        <v>538.666666666667</v>
      </c>
      <c r="I17" t="n">
        <v>533.289544002253</v>
      </c>
      <c r="J17" t="n">
        <v>544.04378933108</v>
      </c>
      <c r="K17" t="s">
        <v>770</v>
      </c>
      <c r="L17" t="s">
        <v>758</v>
      </c>
      <c r="M17" t="s">
        <v>332</v>
      </c>
      <c r="N17"/>
    </row>
    <row r="18">
      <c r="A18" t="s">
        <v>89</v>
      </c>
      <c r="B18" t="s">
        <v>333</v>
      </c>
      <c r="C18" t="n">
        <v>-1.49999999999995</v>
      </c>
      <c r="D18" t="n">
        <v>3.92195309920591</v>
      </c>
      <c r="E18" t="n">
        <v>0.146277566401727</v>
      </c>
      <c r="F18" t="n">
        <v>0.702118336699898</v>
      </c>
      <c r="G18" t="s">
        <v>329</v>
      </c>
      <c r="H18" t="n">
        <v>-1.49999999999995</v>
      </c>
      <c r="I18" t="n">
        <v>-9.18702807444354</v>
      </c>
      <c r="J18" t="n">
        <v>6.18702807444365</v>
      </c>
      <c r="K18" t="s">
        <v>771</v>
      </c>
      <c r="L18" t="s">
        <v>758</v>
      </c>
      <c r="M18" t="s">
        <v>332</v>
      </c>
      <c r="N18"/>
    </row>
    <row r="19">
      <c r="A19" t="s">
        <v>95</v>
      </c>
      <c r="B19" t="s">
        <v>328</v>
      </c>
      <c r="C19" t="n">
        <v>43.721130952381</v>
      </c>
      <c r="D19" t="n">
        <v>0.125492678218327</v>
      </c>
      <c r="E19" t="n">
        <v>121379.68304303</v>
      </c>
      <c r="F19" t="n">
        <v>0</v>
      </c>
      <c r="G19" t="s">
        <v>329</v>
      </c>
      <c r="H19" t="n">
        <v>43.721130952381</v>
      </c>
      <c r="I19" t="n">
        <v>43.475165303073</v>
      </c>
      <c r="J19" t="n">
        <v>43.9670966016889</v>
      </c>
      <c r="K19" t="s">
        <v>772</v>
      </c>
      <c r="L19" t="s">
        <v>758</v>
      </c>
      <c r="M19" t="s">
        <v>332</v>
      </c>
      <c r="N19"/>
    </row>
    <row r="20">
      <c r="A20" t="s">
        <v>95</v>
      </c>
      <c r="B20" t="s">
        <v>333</v>
      </c>
      <c r="C20" t="n">
        <v>-0.240654761904758</v>
      </c>
      <c r="D20" t="n">
        <v>0.191924675588666</v>
      </c>
      <c r="E20" t="n">
        <v>1.57227058277679</v>
      </c>
      <c r="F20" t="n">
        <v>0.209877576234833</v>
      </c>
      <c r="G20" t="s">
        <v>329</v>
      </c>
      <c r="H20" t="n">
        <v>-0.240654761904758</v>
      </c>
      <c r="I20" t="n">
        <v>-0.616827126058543</v>
      </c>
      <c r="J20" t="n">
        <v>0.135517602249026</v>
      </c>
      <c r="K20" t="s">
        <v>773</v>
      </c>
      <c r="L20" t="s">
        <v>758</v>
      </c>
      <c r="M20" t="s">
        <v>332</v>
      </c>
      <c r="N20"/>
    </row>
    <row r="21">
      <c r="A21" t="s">
        <v>102</v>
      </c>
      <c r="B21"/>
      <c r="C21"/>
      <c r="D21"/>
      <c r="E21"/>
      <c r="F21"/>
      <c r="G21"/>
      <c r="H21"/>
      <c r="I21"/>
      <c r="J21"/>
      <c r="K21"/>
      <c r="L21" t="s">
        <v>358</v>
      </c>
      <c r="M21"/>
      <c r="N21"/>
    </row>
    <row r="22">
      <c r="A22" t="s">
        <v>23</v>
      </c>
      <c r="B22" t="s">
        <v>328</v>
      </c>
      <c r="C22" t="n">
        <v>0.312031101462067</v>
      </c>
      <c r="D22" t="n">
        <v>0.227375748560056</v>
      </c>
      <c r="E22" t="n">
        <v>1.88324786867887</v>
      </c>
      <c r="F22" t="n">
        <v>0.169965464998284</v>
      </c>
      <c r="G22" t="s">
        <v>359</v>
      </c>
      <c r="H22" t="n">
        <v>1.36619718309859</v>
      </c>
      <c r="I22" t="n">
        <v>0.874917777408686</v>
      </c>
      <c r="J22" t="n">
        <v>2.1333373161472</v>
      </c>
      <c r="K22" t="s">
        <v>774</v>
      </c>
      <c r="L22" t="s">
        <v>775</v>
      </c>
      <c r="M22" t="s">
        <v>332</v>
      </c>
      <c r="N22"/>
    </row>
    <row r="23">
      <c r="A23" t="s">
        <v>23</v>
      </c>
      <c r="B23" t="s">
        <v>333</v>
      </c>
      <c r="C23" t="n">
        <v>-0.0728014123962328</v>
      </c>
      <c r="D23" t="n">
        <v>0.359589251857688</v>
      </c>
      <c r="E23" t="n">
        <v>0.0409888945395954</v>
      </c>
      <c r="F23" t="n">
        <v>0.839559359938673</v>
      </c>
      <c r="G23" t="s">
        <v>359</v>
      </c>
      <c r="H23" t="n">
        <v>0.929785455558652</v>
      </c>
      <c r="I23" t="n">
        <v>0.459509186024828</v>
      </c>
      <c r="J23" t="n">
        <v>1.88135736925551</v>
      </c>
      <c r="K23" t="s">
        <v>776</v>
      </c>
      <c r="L23" t="s">
        <v>775</v>
      </c>
      <c r="M23" t="s">
        <v>332</v>
      </c>
      <c r="N23"/>
    </row>
    <row r="24">
      <c r="A24" t="s">
        <v>364</v>
      </c>
      <c r="B24" t="s">
        <v>328</v>
      </c>
      <c r="C24" t="n">
        <v>-0.72005463347987</v>
      </c>
      <c r="D24" t="n">
        <v>0.250437192843812</v>
      </c>
      <c r="E24" t="n">
        <v>8.26672031413322</v>
      </c>
      <c r="F24" t="n">
        <v>0.0040378381795747</v>
      </c>
      <c r="G24" t="s">
        <v>359</v>
      </c>
      <c r="H24" t="n">
        <v>0.486725663716814</v>
      </c>
      <c r="I24" t="n">
        <v>0.297925587077142</v>
      </c>
      <c r="J24" t="n">
        <v>0.795171284362468</v>
      </c>
      <c r="K24" t="s">
        <v>777</v>
      </c>
      <c r="L24" t="s">
        <v>775</v>
      </c>
      <c r="M24" t="s">
        <v>332</v>
      </c>
      <c r="N24"/>
    </row>
    <row r="25">
      <c r="A25" t="s">
        <v>364</v>
      </c>
      <c r="B25" t="s">
        <v>333</v>
      </c>
      <c r="C25" t="n">
        <v>-0.977675886099909</v>
      </c>
      <c r="D25" t="n">
        <v>0.457597344674885</v>
      </c>
      <c r="E25" t="n">
        <v>4.56481115853902</v>
      </c>
      <c r="F25" t="n">
        <v>0.0326352720511847</v>
      </c>
      <c r="G25" t="s">
        <v>359</v>
      </c>
      <c r="H25" t="n">
        <v>0.37618437900128</v>
      </c>
      <c r="I25" t="n">
        <v>0.153421432763591</v>
      </c>
      <c r="J25" t="n">
        <v>0.922391900893275</v>
      </c>
      <c r="K25" t="s">
        <v>778</v>
      </c>
      <c r="L25" t="s">
        <v>775</v>
      </c>
      <c r="M25" t="s">
        <v>332</v>
      </c>
      <c r="N25"/>
    </row>
    <row r="26">
      <c r="A26" t="s">
        <v>368</v>
      </c>
      <c r="B26"/>
      <c r="C26"/>
      <c r="D26"/>
      <c r="E26"/>
      <c r="F26"/>
      <c r="G26"/>
      <c r="H26"/>
      <c r="I26"/>
      <c r="J26"/>
      <c r="K26"/>
      <c r="L26" t="s">
        <v>369</v>
      </c>
      <c r="M26"/>
      <c r="N26"/>
    </row>
    <row r="28">
      <c r="A28" s="1" t="s">
        <v>779</v>
      </c>
    </row>
    <row r="29">
      <c r="A29" t="s">
        <v>314</v>
      </c>
      <c r="B29" t="s">
        <v>315</v>
      </c>
      <c r="C29" t="s">
        <v>316</v>
      </c>
      <c r="D29" t="s">
        <v>317</v>
      </c>
      <c r="E29" t="s">
        <v>318</v>
      </c>
      <c r="F29" t="s">
        <v>319</v>
      </c>
      <c r="G29" t="s">
        <v>320</v>
      </c>
      <c r="H29" t="s">
        <v>321</v>
      </c>
      <c r="I29" t="s">
        <v>322</v>
      </c>
      <c r="J29" t="s">
        <v>323</v>
      </c>
      <c r="K29" t="s">
        <v>324</v>
      </c>
      <c r="L29" t="s">
        <v>325</v>
      </c>
      <c r="M29" t="s">
        <v>326</v>
      </c>
      <c r="N29" t="s">
        <v>1</v>
      </c>
    </row>
    <row r="30">
      <c r="A30" t="s">
        <v>137</v>
      </c>
      <c r="B30" t="s">
        <v>328</v>
      </c>
      <c r="C30" t="n">
        <v>6.52720238095238</v>
      </c>
      <c r="D30" t="n">
        <v>0.0262649483870317</v>
      </c>
      <c r="E30" t="n">
        <v>61759.113530563</v>
      </c>
      <c r="F30" t="n">
        <v>0</v>
      </c>
      <c r="G30" t="s">
        <v>329</v>
      </c>
      <c r="H30" t="n">
        <v>6.52720238095238</v>
      </c>
      <c r="I30" t="n">
        <v>6.4757230821138</v>
      </c>
      <c r="J30" t="n">
        <v>6.57868167979096</v>
      </c>
      <c r="K30" t="s">
        <v>780</v>
      </c>
      <c r="L30" t="s">
        <v>758</v>
      </c>
      <c r="M30" t="s">
        <v>332</v>
      </c>
      <c r="N30"/>
    </row>
    <row r="31">
      <c r="A31" t="s">
        <v>137</v>
      </c>
      <c r="B31" t="s">
        <v>333</v>
      </c>
      <c r="C31" t="n">
        <v>-0.0669642857142855</v>
      </c>
      <c r="D31" t="n">
        <v>0.0417449947863079</v>
      </c>
      <c r="E31" t="n">
        <v>2.57322438993345</v>
      </c>
      <c r="F31" t="n">
        <v>0.108685995729208</v>
      </c>
      <c r="G31" t="s">
        <v>329</v>
      </c>
      <c r="H31" t="n">
        <v>-0.0669642857142855</v>
      </c>
      <c r="I31" t="n">
        <v>-0.148784475495449</v>
      </c>
      <c r="J31" t="n">
        <v>0.0148559040668781</v>
      </c>
      <c r="K31" t="s">
        <v>781</v>
      </c>
      <c r="L31" t="s">
        <v>758</v>
      </c>
      <c r="M31" t="s">
        <v>332</v>
      </c>
      <c r="N31"/>
    </row>
    <row r="32">
      <c r="A32" t="s">
        <v>143</v>
      </c>
      <c r="B32" t="s">
        <v>328</v>
      </c>
      <c r="C32" t="n">
        <v>65.8869047619048</v>
      </c>
      <c r="D32" t="n">
        <v>2.64512049414081</v>
      </c>
      <c r="E32" t="n">
        <v>620.450716817029</v>
      </c>
      <c r="F32" t="n">
        <v>0</v>
      </c>
      <c r="G32" t="s">
        <v>329</v>
      </c>
      <c r="H32" t="n">
        <v>65.8869047619048</v>
      </c>
      <c r="I32" t="n">
        <v>60.7024685933888</v>
      </c>
      <c r="J32" t="n">
        <v>71.0713409304207</v>
      </c>
      <c r="K32" t="s">
        <v>782</v>
      </c>
      <c r="L32" t="s">
        <v>758</v>
      </c>
      <c r="M32" t="s">
        <v>332</v>
      </c>
      <c r="N32"/>
    </row>
    <row r="33">
      <c r="A33" t="s">
        <v>143</v>
      </c>
      <c r="B33" t="s">
        <v>333</v>
      </c>
      <c r="C33" t="n">
        <v>-0.541666666666665</v>
      </c>
      <c r="D33" t="n">
        <v>3.84563327758993</v>
      </c>
      <c r="E33" t="n">
        <v>0.0198393978531007</v>
      </c>
      <c r="F33" t="n">
        <v>0.887986548500479</v>
      </c>
      <c r="G33" t="s">
        <v>329</v>
      </c>
      <c r="H33" t="n">
        <v>-0.541666666666665</v>
      </c>
      <c r="I33" t="n">
        <v>-8.07910789074293</v>
      </c>
      <c r="J33" t="n">
        <v>6.9957745574096</v>
      </c>
      <c r="K33" t="s">
        <v>783</v>
      </c>
      <c r="L33" t="s">
        <v>758</v>
      </c>
      <c r="M33" t="s">
        <v>332</v>
      </c>
      <c r="N33"/>
    </row>
    <row r="34">
      <c r="A34" t="s">
        <v>376</v>
      </c>
      <c r="B34"/>
      <c r="C34"/>
      <c r="D34"/>
      <c r="E34"/>
      <c r="F34"/>
      <c r="G34"/>
      <c r="H34"/>
      <c r="I34"/>
      <c r="J34"/>
      <c r="K34"/>
      <c r="L34" t="s">
        <v>369</v>
      </c>
      <c r="M34"/>
      <c r="N34"/>
    </row>
    <row r="36">
      <c r="A36" s="1" t="s">
        <v>784</v>
      </c>
    </row>
    <row r="37">
      <c r="A37" t="s">
        <v>314</v>
      </c>
      <c r="B37" t="s">
        <v>315</v>
      </c>
      <c r="C37" t="s">
        <v>316</v>
      </c>
      <c r="D37" t="s">
        <v>317</v>
      </c>
      <c r="E37" t="s">
        <v>318</v>
      </c>
      <c r="F37" t="s">
        <v>319</v>
      </c>
      <c r="G37" t="s">
        <v>320</v>
      </c>
      <c r="H37" t="s">
        <v>321</v>
      </c>
      <c r="I37" t="s">
        <v>322</v>
      </c>
      <c r="J37" t="s">
        <v>323</v>
      </c>
      <c r="K37" t="s">
        <v>324</v>
      </c>
      <c r="L37" t="s">
        <v>325</v>
      </c>
      <c r="M37" t="s">
        <v>326</v>
      </c>
      <c r="N37" t="s">
        <v>1</v>
      </c>
    </row>
    <row r="38">
      <c r="A38" t="s">
        <v>165</v>
      </c>
      <c r="B38" t="s">
        <v>328</v>
      </c>
      <c r="C38" t="n">
        <v>186.458333333333</v>
      </c>
      <c r="D38" t="n">
        <v>8.12470721334931</v>
      </c>
      <c r="E38" t="n">
        <v>526.681613044775</v>
      </c>
      <c r="F38" t="n">
        <v>0</v>
      </c>
      <c r="G38" t="s">
        <v>329</v>
      </c>
      <c r="H38" t="n">
        <v>186.458333333333</v>
      </c>
      <c r="I38" t="n">
        <v>170.533907195169</v>
      </c>
      <c r="J38" t="n">
        <v>202.382759471498</v>
      </c>
      <c r="K38" t="s">
        <v>785</v>
      </c>
      <c r="L38" t="s">
        <v>758</v>
      </c>
      <c r="M38" t="s">
        <v>332</v>
      </c>
      <c r="N38"/>
    </row>
    <row r="39">
      <c r="A39" t="s">
        <v>165</v>
      </c>
      <c r="B39" t="s">
        <v>333</v>
      </c>
      <c r="C39" t="n">
        <v>-14.1011904761905</v>
      </c>
      <c r="D39" t="n">
        <v>12.1479617794174</v>
      </c>
      <c r="E39" t="n">
        <v>1.34742538269401</v>
      </c>
      <c r="F39" t="n">
        <v>0.245728719633703</v>
      </c>
      <c r="G39" t="s">
        <v>329</v>
      </c>
      <c r="H39" t="n">
        <v>-14.1011904761905</v>
      </c>
      <c r="I39" t="n">
        <v>-37.9111955638486</v>
      </c>
      <c r="J39" t="n">
        <v>9.70881461146762</v>
      </c>
      <c r="K39" t="s">
        <v>786</v>
      </c>
      <c r="L39" t="s">
        <v>758</v>
      </c>
      <c r="M39" t="s">
        <v>332</v>
      </c>
      <c r="N39"/>
    </row>
    <row r="40">
      <c r="A40" t="s">
        <v>174</v>
      </c>
      <c r="B40" t="s">
        <v>328</v>
      </c>
      <c r="C40" t="n">
        <v>0.03125</v>
      </c>
      <c r="D40" t="n">
        <v>0.0308297547306216</v>
      </c>
      <c r="E40" t="n">
        <v>1.02744812522752</v>
      </c>
      <c r="F40" t="n">
        <v>0.310758784150801</v>
      </c>
      <c r="G40" t="s">
        <v>329</v>
      </c>
      <c r="H40" t="n">
        <v>0.03125</v>
      </c>
      <c r="I40" t="n">
        <v>-0.0291763192720183</v>
      </c>
      <c r="J40" t="n">
        <v>0.0916763192720182</v>
      </c>
      <c r="K40" t="s">
        <v>787</v>
      </c>
      <c r="L40" t="s">
        <v>758</v>
      </c>
      <c r="M40" t="s">
        <v>332</v>
      </c>
      <c r="N40"/>
    </row>
    <row r="41">
      <c r="A41" t="s">
        <v>174</v>
      </c>
      <c r="B41" t="s">
        <v>333</v>
      </c>
      <c r="C41" t="n">
        <v>-0.174107142857143</v>
      </c>
      <c r="D41" t="n">
        <v>0.0597722126250282</v>
      </c>
      <c r="E41" t="n">
        <v>8.4846613326123</v>
      </c>
      <c r="F41" t="n">
        <v>0.003581532454073</v>
      </c>
      <c r="G41" t="s">
        <v>329</v>
      </c>
      <c r="H41" t="n">
        <v>-0.174107142857143</v>
      </c>
      <c r="I41" t="n">
        <v>-0.291260679602198</v>
      </c>
      <c r="J41" t="n">
        <v>-0.0569536061120875</v>
      </c>
      <c r="K41" t="s">
        <v>788</v>
      </c>
      <c r="L41" t="s">
        <v>758</v>
      </c>
      <c r="M41" t="s">
        <v>332</v>
      </c>
      <c r="N41"/>
    </row>
    <row r="42">
      <c r="A42" t="s">
        <v>182</v>
      </c>
      <c r="B42" t="s">
        <v>328</v>
      </c>
      <c r="C42" t="n">
        <v>-0.217261904761905</v>
      </c>
      <c r="D42" t="n">
        <v>0.0155727908771278</v>
      </c>
      <c r="E42" t="n">
        <v>194.640970890372</v>
      </c>
      <c r="F42" t="n">
        <v>0</v>
      </c>
      <c r="G42" t="s">
        <v>329</v>
      </c>
      <c r="H42" t="n">
        <v>-0.217261904761905</v>
      </c>
      <c r="I42" t="n">
        <v>-0.247784574881075</v>
      </c>
      <c r="J42" t="n">
        <v>-0.186739234642734</v>
      </c>
      <c r="K42" t="s">
        <v>789</v>
      </c>
      <c r="L42" t="s">
        <v>758</v>
      </c>
      <c r="M42" t="s">
        <v>332</v>
      </c>
      <c r="N42"/>
    </row>
    <row r="43">
      <c r="A43" t="s">
        <v>182</v>
      </c>
      <c r="B43" t="s">
        <v>333</v>
      </c>
      <c r="C43" t="n">
        <v>-0.0148809523809524</v>
      </c>
      <c r="D43" t="n">
        <v>0.0271012222239646</v>
      </c>
      <c r="E43" t="n">
        <v>0.301497488802804</v>
      </c>
      <c r="F43" t="n">
        <v>0.5829451493121</v>
      </c>
      <c r="G43" t="s">
        <v>329</v>
      </c>
      <c r="H43" t="n">
        <v>-0.0148809523809524</v>
      </c>
      <c r="I43" t="n">
        <v>-0.0679993479399229</v>
      </c>
      <c r="J43" t="n">
        <v>0.0382374431780181</v>
      </c>
      <c r="K43" t="s">
        <v>790</v>
      </c>
      <c r="L43" t="s">
        <v>758</v>
      </c>
      <c r="M43" t="s">
        <v>332</v>
      </c>
      <c r="N43"/>
    </row>
    <row r="44">
      <c r="A44" t="s">
        <v>190</v>
      </c>
      <c r="B44" t="s">
        <v>328</v>
      </c>
      <c r="C44" t="n">
        <v>0.00573883895830705</v>
      </c>
      <c r="D44" t="n">
        <v>0.00506205702147126</v>
      </c>
      <c r="E44" t="n">
        <v>1.2852689322588</v>
      </c>
      <c r="F44" t="n">
        <v>0.256921660254636</v>
      </c>
      <c r="G44" t="s">
        <v>329</v>
      </c>
      <c r="H44" t="n">
        <v>0.00573883895830705</v>
      </c>
      <c r="I44" t="n">
        <v>-0.00418279280377662</v>
      </c>
      <c r="J44" t="n">
        <v>0.0156604707203907</v>
      </c>
      <c r="K44" t="s">
        <v>791</v>
      </c>
      <c r="L44" t="s">
        <v>758</v>
      </c>
      <c r="M44" t="s">
        <v>332</v>
      </c>
      <c r="N44"/>
    </row>
    <row r="45">
      <c r="A45" t="s">
        <v>190</v>
      </c>
      <c r="B45" t="s">
        <v>333</v>
      </c>
      <c r="C45" t="n">
        <v>0.0520551399774407</v>
      </c>
      <c r="D45" t="n">
        <v>0.00768656084876836</v>
      </c>
      <c r="E45" t="n">
        <v>45.863067456206</v>
      </c>
      <c r="F45" t="n">
        <v>0.0000000000126814114764784</v>
      </c>
      <c r="G45" t="s">
        <v>329</v>
      </c>
      <c r="H45" t="n">
        <v>0.0520551399774407</v>
      </c>
      <c r="I45" t="n">
        <v>0.0369894807138547</v>
      </c>
      <c r="J45" t="n">
        <v>0.0671207992410267</v>
      </c>
      <c r="K45" t="s">
        <v>792</v>
      </c>
      <c r="L45" t="s">
        <v>758</v>
      </c>
      <c r="M45" t="s">
        <v>332</v>
      </c>
      <c r="N45"/>
    </row>
    <row r="46">
      <c r="A46" t="s">
        <v>197</v>
      </c>
      <c r="B46" t="s">
        <v>328</v>
      </c>
      <c r="C46" t="n">
        <v>-0.0104246864137773</v>
      </c>
      <c r="D46" t="n">
        <v>0.00317890791807524</v>
      </c>
      <c r="E46" t="n">
        <v>10.7540017637672</v>
      </c>
      <c r="F46" t="n">
        <v>0.00104054076958082</v>
      </c>
      <c r="G46" t="s">
        <v>329</v>
      </c>
      <c r="H46" t="n">
        <v>-0.0104246864137773</v>
      </c>
      <c r="I46" t="n">
        <v>-0.0166553459332048</v>
      </c>
      <c r="J46" t="n">
        <v>-0.00419402689434984</v>
      </c>
      <c r="K46" t="s">
        <v>793</v>
      </c>
      <c r="L46" t="s">
        <v>758</v>
      </c>
      <c r="M46" t="s">
        <v>332</v>
      </c>
      <c r="N46"/>
    </row>
    <row r="47">
      <c r="A47" t="s">
        <v>197</v>
      </c>
      <c r="B47" t="s">
        <v>333</v>
      </c>
      <c r="C47" t="n">
        <v>0.0064627879142307</v>
      </c>
      <c r="D47" t="n">
        <v>0.00500197380253784</v>
      </c>
      <c r="E47" t="n">
        <v>1.66938682883897</v>
      </c>
      <c r="F47" t="n">
        <v>0.196340683807723</v>
      </c>
      <c r="G47" t="s">
        <v>329</v>
      </c>
      <c r="H47" t="n">
        <v>0.0064627879142307</v>
      </c>
      <c r="I47" t="n">
        <v>-0.00334108073874346</v>
      </c>
      <c r="J47" t="n">
        <v>0.0162666565672049</v>
      </c>
      <c r="K47" t="s">
        <v>794</v>
      </c>
      <c r="L47" t="s">
        <v>758</v>
      </c>
      <c r="M47" t="s">
        <v>332</v>
      </c>
      <c r="N47"/>
    </row>
    <row r="48">
      <c r="A48" t="s">
        <v>205</v>
      </c>
      <c r="B48"/>
      <c r="C48"/>
      <c r="D48"/>
      <c r="E48"/>
      <c r="F48"/>
      <c r="G48"/>
      <c r="H48"/>
      <c r="I48"/>
      <c r="J48"/>
      <c r="K48"/>
      <c r="L48" t="s">
        <v>358</v>
      </c>
      <c r="M48"/>
      <c r="N48"/>
    </row>
    <row r="49">
      <c r="A49" t="s">
        <v>208</v>
      </c>
      <c r="B49"/>
      <c r="C49"/>
      <c r="D49"/>
      <c r="E49"/>
      <c r="F49"/>
      <c r="G49"/>
      <c r="H49"/>
      <c r="I49"/>
      <c r="J49"/>
      <c r="K49"/>
      <c r="L49" t="s">
        <v>358</v>
      </c>
      <c r="M49"/>
      <c r="N49"/>
    </row>
    <row r="50">
      <c r="A50" t="s">
        <v>392</v>
      </c>
      <c r="B50" t="s">
        <v>328</v>
      </c>
      <c r="C50" t="n">
        <v>-1.69773051957978</v>
      </c>
      <c r="D50" t="n">
        <v>0.255116932156351</v>
      </c>
      <c r="E50" t="n">
        <v>44.2852340478265</v>
      </c>
      <c r="F50" t="n">
        <v>0.0000000000283849610482889</v>
      </c>
      <c r="G50" t="s">
        <v>359</v>
      </c>
      <c r="H50" t="n">
        <v>0.183098591549296</v>
      </c>
      <c r="I50" t="n">
        <v>0.111051668209569</v>
      </c>
      <c r="J50" t="n">
        <v>0.301887353588147</v>
      </c>
      <c r="K50" t="s">
        <v>795</v>
      </c>
      <c r="L50" t="s">
        <v>775</v>
      </c>
      <c r="M50" t="s">
        <v>332</v>
      </c>
      <c r="N50"/>
    </row>
    <row r="51">
      <c r="A51" t="s">
        <v>392</v>
      </c>
      <c r="B51" t="s">
        <v>333</v>
      </c>
      <c r="C51" t="n">
        <v>0.950516117749557</v>
      </c>
      <c r="D51" t="n">
        <v>0.34417611298775</v>
      </c>
      <c r="E51" t="n">
        <v>7.62706627270703</v>
      </c>
      <c r="F51" t="n">
        <v>0.00574987558714091</v>
      </c>
      <c r="G51" t="s">
        <v>359</v>
      </c>
      <c r="H51" t="n">
        <v>2.58704453441295</v>
      </c>
      <c r="I51" t="n">
        <v>1.31775685171216</v>
      </c>
      <c r="J51" t="n">
        <v>5.07893350305103</v>
      </c>
      <c r="K51" t="s">
        <v>796</v>
      </c>
      <c r="L51" t="s">
        <v>775</v>
      </c>
      <c r="M51" t="s">
        <v>332</v>
      </c>
      <c r="N51"/>
    </row>
    <row r="52">
      <c r="A52" t="s">
        <v>396</v>
      </c>
      <c r="B52" t="s">
        <v>328</v>
      </c>
      <c r="C52" t="n">
        <v>-2.65835053254994</v>
      </c>
      <c r="D52" t="n">
        <v>0.411049848851225</v>
      </c>
      <c r="E52" t="n">
        <v>41.8249574696907</v>
      </c>
      <c r="F52" t="n">
        <v>0.00000000009982115134477</v>
      </c>
      <c r="G52" t="s">
        <v>359</v>
      </c>
      <c r="H52" t="n">
        <v>0.0700636942675159</v>
      </c>
      <c r="I52" t="n">
        <v>0.0313040362430311</v>
      </c>
      <c r="J52" t="n">
        <v>0.156814323121184</v>
      </c>
      <c r="K52" t="s">
        <v>797</v>
      </c>
      <c r="L52" t="s">
        <v>775</v>
      </c>
      <c r="M52" t="s">
        <v>332</v>
      </c>
      <c r="N52"/>
    </row>
    <row r="53">
      <c r="A53" t="s">
        <v>396</v>
      </c>
      <c r="B53" t="s">
        <v>333</v>
      </c>
      <c r="C53" t="n">
        <v>0.0934011750884011</v>
      </c>
      <c r="D53" t="n">
        <v>0.634578433994965</v>
      </c>
      <c r="E53" t="n">
        <v>0.0216637713409828</v>
      </c>
      <c r="F53" t="n">
        <v>0.882985069204129</v>
      </c>
      <c r="G53" t="s">
        <v>359</v>
      </c>
      <c r="H53" t="n">
        <v>1.0979020979021</v>
      </c>
      <c r="I53" t="n">
        <v>0.316518826567394</v>
      </c>
      <c r="J53" t="n">
        <v>3.80826957325136</v>
      </c>
      <c r="K53" t="s">
        <v>798</v>
      </c>
      <c r="L53" t="s">
        <v>775</v>
      </c>
      <c r="M53" t="s">
        <v>332</v>
      </c>
      <c r="N53"/>
    </row>
    <row r="54">
      <c r="A54" t="s">
        <v>400</v>
      </c>
      <c r="B54"/>
      <c r="C54"/>
      <c r="D54"/>
      <c r="E54"/>
      <c r="F54"/>
      <c r="G54"/>
      <c r="H54"/>
      <c r="I54"/>
      <c r="J54"/>
      <c r="K54"/>
      <c r="L54" t="s">
        <v>369</v>
      </c>
      <c r="M54"/>
      <c r="N54"/>
    </row>
  </sheetData>
  <pageMargins left="0.7" right="0.7" top="0.75" bottom="0.75" header="0.3" footer="0.3"/>
  <pageSetup paperSize="9" orientation="portrait" horizontalDpi="300" verticalDpi="300"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10" t="s">
        <v>755</v>
      </c>
    </row>
    <row r="3">
      <c r="A3" s="1" t="s">
        <v>799</v>
      </c>
    </row>
    <row r="4">
      <c r="A4" t="s">
        <v>314</v>
      </c>
      <c r="B4" t="s">
        <v>315</v>
      </c>
      <c r="C4" t="s">
        <v>316</v>
      </c>
      <c r="D4" t="s">
        <v>317</v>
      </c>
      <c r="E4" t="s">
        <v>318</v>
      </c>
      <c r="F4" t="s">
        <v>319</v>
      </c>
      <c r="G4" t="s">
        <v>320</v>
      </c>
      <c r="H4" t="s">
        <v>321</v>
      </c>
      <c r="I4" t="s">
        <v>322</v>
      </c>
      <c r="J4" t="s">
        <v>323</v>
      </c>
      <c r="K4" t="s">
        <v>324</v>
      </c>
      <c r="L4" t="s">
        <v>325</v>
      </c>
      <c r="M4" t="s">
        <v>326</v>
      </c>
      <c r="N4" t="s">
        <v>1</v>
      </c>
    </row>
    <row r="5">
      <c r="A5" t="s">
        <v>327</v>
      </c>
      <c r="B5" t="s">
        <v>328</v>
      </c>
      <c r="C5" t="n">
        <v>35.646818591769</v>
      </c>
      <c r="D5" t="n">
        <v>0.888828794981814</v>
      </c>
      <c r="E5" t="n">
        <v>1608.44168670156</v>
      </c>
      <c r="F5" t="n">
        <v>0</v>
      </c>
      <c r="G5" t="s">
        <v>329</v>
      </c>
      <c r="H5" t="n">
        <v>35.646818591769</v>
      </c>
      <c r="I5" t="n">
        <v>33.9047141536047</v>
      </c>
      <c r="J5" t="n">
        <v>37.3889230299334</v>
      </c>
      <c r="K5" t="s">
        <v>800</v>
      </c>
      <c r="L5" t="s">
        <v>801</v>
      </c>
      <c r="M5" t="s">
        <v>55</v>
      </c>
      <c r="N5"/>
    </row>
    <row r="6">
      <c r="A6" t="s">
        <v>327</v>
      </c>
      <c r="B6" t="s">
        <v>333</v>
      </c>
      <c r="C6" t="n">
        <v>0.183543383453992</v>
      </c>
      <c r="D6" t="n">
        <v>0.823794191425045</v>
      </c>
      <c r="E6" t="n">
        <v>0.0496409421704341</v>
      </c>
      <c r="F6" t="n">
        <v>0.823689242869516</v>
      </c>
      <c r="G6" t="s">
        <v>329</v>
      </c>
      <c r="H6" t="n">
        <v>0.183543383453992</v>
      </c>
      <c r="I6" t="n">
        <v>-1.4310932317391</v>
      </c>
      <c r="J6" t="n">
        <v>1.79817999864708</v>
      </c>
      <c r="K6" t="s">
        <v>802</v>
      </c>
      <c r="L6" t="s">
        <v>801</v>
      </c>
      <c r="M6" t="s">
        <v>55</v>
      </c>
      <c r="N6"/>
    </row>
    <row r="7">
      <c r="A7" t="s">
        <v>327</v>
      </c>
      <c r="B7" t="s">
        <v>55</v>
      </c>
      <c r="C7" t="n">
        <v>-0.0479805008747835</v>
      </c>
      <c r="D7" t="n">
        <v>0.179891725416405</v>
      </c>
      <c r="E7" t="n">
        <v>0.071138905646461</v>
      </c>
      <c r="F7" t="n">
        <v>0.789685696050361</v>
      </c>
      <c r="G7" t="s">
        <v>329</v>
      </c>
      <c r="H7" t="n">
        <v>-0.0479805008747835</v>
      </c>
      <c r="I7" t="n">
        <v>-0.400568282690938</v>
      </c>
      <c r="J7" t="n">
        <v>0.304607280941371</v>
      </c>
      <c r="K7" t="s">
        <v>803</v>
      </c>
      <c r="L7" t="s">
        <v>801</v>
      </c>
      <c r="M7" t="s">
        <v>55</v>
      </c>
      <c r="N7"/>
    </row>
    <row r="8">
      <c r="A8" t="s">
        <v>55</v>
      </c>
      <c r="B8" t="s">
        <v>328</v>
      </c>
      <c r="C8" t="n">
        <v>-3.99389752574199</v>
      </c>
      <c r="D8" t="n">
        <v>0.992036462940193</v>
      </c>
      <c r="E8" t="n">
        <v>16.2083409952014</v>
      </c>
      <c r="F8" t="n">
        <v>0.0000567437221994371</v>
      </c>
      <c r="G8" t="s">
        <v>329</v>
      </c>
      <c r="H8" t="n">
        <v>-3.99389752574199</v>
      </c>
      <c r="I8" t="n">
        <v>-5.93828899310476</v>
      </c>
      <c r="J8" t="n">
        <v>-2.04950605837921</v>
      </c>
      <c r="K8" t="s">
        <v>804</v>
      </c>
      <c r="L8" t="s">
        <v>801</v>
      </c>
      <c r="M8" t="s">
        <v>327</v>
      </c>
      <c r="N8"/>
    </row>
    <row r="9">
      <c r="A9" t="s">
        <v>55</v>
      </c>
      <c r="B9" t="s">
        <v>333</v>
      </c>
      <c r="C9" t="n">
        <v>-0.0190669184706581</v>
      </c>
      <c r="D9" t="n">
        <v>0.271038003975587</v>
      </c>
      <c r="E9" t="n">
        <v>0.00494880838357517</v>
      </c>
      <c r="F9" t="n">
        <v>0.943916863733437</v>
      </c>
      <c r="G9" t="s">
        <v>329</v>
      </c>
      <c r="H9" t="n">
        <v>-0.0190669184706581</v>
      </c>
      <c r="I9" t="n">
        <v>-0.550301406262809</v>
      </c>
      <c r="J9" t="n">
        <v>0.512167569321493</v>
      </c>
      <c r="K9" t="s">
        <v>805</v>
      </c>
      <c r="L9" t="s">
        <v>801</v>
      </c>
      <c r="M9" t="s">
        <v>327</v>
      </c>
      <c r="N9"/>
    </row>
    <row r="10">
      <c r="A10" t="s">
        <v>55</v>
      </c>
      <c r="B10" t="s">
        <v>327</v>
      </c>
      <c r="C10" t="n">
        <v>-0.00740785447077521</v>
      </c>
      <c r="D10" t="n">
        <v>0.0277888031948818</v>
      </c>
      <c r="E10" t="n">
        <v>0.0710632716322246</v>
      </c>
      <c r="F10" t="n">
        <v>0.789794902855642</v>
      </c>
      <c r="G10" t="s">
        <v>329</v>
      </c>
      <c r="H10" t="n">
        <v>-0.00740785447077521</v>
      </c>
      <c r="I10" t="n">
        <v>-0.0618739087327436</v>
      </c>
      <c r="J10" t="n">
        <v>0.0470581997911932</v>
      </c>
      <c r="K10" t="s">
        <v>806</v>
      </c>
      <c r="L10" t="s">
        <v>801</v>
      </c>
      <c r="M10" t="s">
        <v>327</v>
      </c>
      <c r="N10"/>
    </row>
    <row r="11">
      <c r="A11" t="s">
        <v>62</v>
      </c>
      <c r="B11" t="s">
        <v>328</v>
      </c>
      <c r="C11" t="n">
        <v>0.282390617989994</v>
      </c>
      <c r="D11" t="n">
        <v>0.147887591690329</v>
      </c>
      <c r="E11" t="n">
        <v>3.64617118330878</v>
      </c>
      <c r="F11" t="n">
        <v>0.0561982651715591</v>
      </c>
      <c r="G11" t="s">
        <v>329</v>
      </c>
      <c r="H11" t="n">
        <v>0.282390617989994</v>
      </c>
      <c r="I11" t="n">
        <v>-0.00746906172305123</v>
      </c>
      <c r="J11" t="n">
        <v>0.57225029770304</v>
      </c>
      <c r="K11" t="s">
        <v>807</v>
      </c>
      <c r="L11" t="s">
        <v>758</v>
      </c>
      <c r="M11" t="s">
        <v>411</v>
      </c>
      <c r="N11"/>
    </row>
    <row r="12">
      <c r="A12" t="s">
        <v>62</v>
      </c>
      <c r="B12" t="s">
        <v>333</v>
      </c>
      <c r="C12" t="n">
        <v>0.0261165761295322</v>
      </c>
      <c r="D12" t="n">
        <v>0.0396121706976922</v>
      </c>
      <c r="E12" t="n">
        <v>0.434685543933551</v>
      </c>
      <c r="F12" t="n">
        <v>0.509698734103366</v>
      </c>
      <c r="G12" t="s">
        <v>329</v>
      </c>
      <c r="H12" t="n">
        <v>0.0261165761295322</v>
      </c>
      <c r="I12" t="n">
        <v>-0.0515232784379445</v>
      </c>
      <c r="J12" t="n">
        <v>0.103756430697009</v>
      </c>
      <c r="K12" t="s">
        <v>808</v>
      </c>
      <c r="L12" t="s">
        <v>758</v>
      </c>
      <c r="M12" t="s">
        <v>411</v>
      </c>
      <c r="N12"/>
    </row>
    <row r="13">
      <c r="A13" t="s">
        <v>62</v>
      </c>
      <c r="B13" t="s">
        <v>327</v>
      </c>
      <c r="C13" t="n">
        <v>0.00180499685889695</v>
      </c>
      <c r="D13" t="n">
        <v>0.00395469679375339</v>
      </c>
      <c r="E13" t="n">
        <v>0.208317865685969</v>
      </c>
      <c r="F13" t="n">
        <v>0.648089050337849</v>
      </c>
      <c r="G13" t="s">
        <v>329</v>
      </c>
      <c r="H13" t="n">
        <v>0.00180499685889695</v>
      </c>
      <c r="I13" t="n">
        <v>-0.0059462088568597</v>
      </c>
      <c r="J13" t="n">
        <v>0.0095562025746536</v>
      </c>
      <c r="K13" t="s">
        <v>809</v>
      </c>
      <c r="L13" t="s">
        <v>758</v>
      </c>
      <c r="M13" t="s">
        <v>411</v>
      </c>
      <c r="N13"/>
    </row>
    <row r="14">
      <c r="A14" t="s">
        <v>62</v>
      </c>
      <c r="B14" t="s">
        <v>55</v>
      </c>
      <c r="C14" t="n">
        <v>1.00310348242535</v>
      </c>
      <c r="D14" t="n">
        <v>0.00975329544320725</v>
      </c>
      <c r="E14" t="n">
        <v>10577.6384005499</v>
      </c>
      <c r="F14" t="n">
        <v>0</v>
      </c>
      <c r="G14" t="s">
        <v>329</v>
      </c>
      <c r="H14" t="n">
        <v>1.00310348242535</v>
      </c>
      <c r="I14" t="n">
        <v>0.983987023356662</v>
      </c>
      <c r="J14" t="n">
        <v>1.02221994149403</v>
      </c>
      <c r="K14" t="s">
        <v>810</v>
      </c>
      <c r="L14" t="s">
        <v>758</v>
      </c>
      <c r="M14" t="s">
        <v>411</v>
      </c>
      <c r="N14"/>
    </row>
    <row r="15">
      <c r="A15" t="s">
        <v>69</v>
      </c>
      <c r="B15" t="s">
        <v>328</v>
      </c>
      <c r="C15" t="n">
        <v>-0.63724665299072</v>
      </c>
      <c r="D15" t="n">
        <v>0.280313886129823</v>
      </c>
      <c r="E15" t="n">
        <v>5.16804041956461</v>
      </c>
      <c r="F15" t="n">
        <v>0.0230061535663201</v>
      </c>
      <c r="G15" t="s">
        <v>329</v>
      </c>
      <c r="H15" t="n">
        <v>-0.63724665299072</v>
      </c>
      <c r="I15" t="n">
        <v>-1.18666186980517</v>
      </c>
      <c r="J15" t="n">
        <v>-0.0878314361762661</v>
      </c>
      <c r="K15" t="s">
        <v>811</v>
      </c>
      <c r="L15" t="s">
        <v>758</v>
      </c>
      <c r="M15" t="s">
        <v>411</v>
      </c>
      <c r="N15"/>
    </row>
    <row r="16">
      <c r="A16" t="s">
        <v>69</v>
      </c>
      <c r="B16" t="s">
        <v>333</v>
      </c>
      <c r="C16" t="n">
        <v>-0.0489654111733399</v>
      </c>
      <c r="D16" t="n">
        <v>0.0766474772178041</v>
      </c>
      <c r="E16" t="n">
        <v>0.408115492542968</v>
      </c>
      <c r="F16" t="n">
        <v>0.522927559904121</v>
      </c>
      <c r="G16" t="s">
        <v>329</v>
      </c>
      <c r="H16" t="n">
        <v>-0.0489654111733399</v>
      </c>
      <c r="I16" t="n">
        <v>-0.199194466520236</v>
      </c>
      <c r="J16" t="n">
        <v>0.101263644173556</v>
      </c>
      <c r="K16" t="s">
        <v>812</v>
      </c>
      <c r="L16" t="s">
        <v>758</v>
      </c>
      <c r="M16" t="s">
        <v>411</v>
      </c>
      <c r="N16"/>
    </row>
    <row r="17">
      <c r="A17" t="s">
        <v>69</v>
      </c>
      <c r="B17" t="s">
        <v>327</v>
      </c>
      <c r="C17" t="n">
        <v>-0.00175591734180277</v>
      </c>
      <c r="D17" t="n">
        <v>0.00740346867695264</v>
      </c>
      <c r="E17" t="n">
        <v>0.0562519587348137</v>
      </c>
      <c r="F17" t="n">
        <v>0.812521065954109</v>
      </c>
      <c r="G17" t="s">
        <v>329</v>
      </c>
      <c r="H17" t="n">
        <v>-0.00175591734180277</v>
      </c>
      <c r="I17" t="n">
        <v>-0.0162667159486299</v>
      </c>
      <c r="J17" t="n">
        <v>0.0127548812650244</v>
      </c>
      <c r="K17" t="s">
        <v>813</v>
      </c>
      <c r="L17" t="s">
        <v>758</v>
      </c>
      <c r="M17" t="s">
        <v>411</v>
      </c>
      <c r="N17"/>
    </row>
    <row r="18">
      <c r="A18" t="s">
        <v>69</v>
      </c>
      <c r="B18" t="s">
        <v>55</v>
      </c>
      <c r="C18" t="n">
        <v>-0.00892034182766755</v>
      </c>
      <c r="D18" t="n">
        <v>0.0194409671143429</v>
      </c>
      <c r="E18" t="n">
        <v>0.210536433882409</v>
      </c>
      <c r="F18" t="n">
        <v>0.646347277201973</v>
      </c>
      <c r="G18" t="s">
        <v>329</v>
      </c>
      <c r="H18" t="n">
        <v>-0.00892034182766755</v>
      </c>
      <c r="I18" t="n">
        <v>-0.0470246373717797</v>
      </c>
      <c r="J18" t="n">
        <v>0.0291839537164446</v>
      </c>
      <c r="K18" t="s">
        <v>814</v>
      </c>
      <c r="L18" t="s">
        <v>758</v>
      </c>
      <c r="M18" t="s">
        <v>411</v>
      </c>
      <c r="N18"/>
    </row>
    <row r="19">
      <c r="A19" t="s">
        <v>77</v>
      </c>
      <c r="B19" t="s">
        <v>328</v>
      </c>
      <c r="C19" t="n">
        <v>0.637718484880401</v>
      </c>
      <c r="D19" t="n">
        <v>0.0496577276349187</v>
      </c>
      <c r="E19" t="n">
        <v>164.924177544051</v>
      </c>
      <c r="F19" t="n">
        <v>0</v>
      </c>
      <c r="G19" t="s">
        <v>329</v>
      </c>
      <c r="H19" t="n">
        <v>0.637718484880401</v>
      </c>
      <c r="I19" t="n">
        <v>0.54038933871596</v>
      </c>
      <c r="J19" t="n">
        <v>0.735047631044841</v>
      </c>
      <c r="K19" t="s">
        <v>815</v>
      </c>
      <c r="L19" t="s">
        <v>758</v>
      </c>
      <c r="M19" t="s">
        <v>411</v>
      </c>
      <c r="N19"/>
    </row>
    <row r="20">
      <c r="A20" t="s">
        <v>77</v>
      </c>
      <c r="B20" t="s">
        <v>333</v>
      </c>
      <c r="C20" t="n">
        <v>-0.000562794966085056</v>
      </c>
      <c r="D20" t="n">
        <v>0.0138357511912433</v>
      </c>
      <c r="E20" t="n">
        <v>0.00165460724453578</v>
      </c>
      <c r="F20" t="n">
        <v>0.967553506379205</v>
      </c>
      <c r="G20" t="s">
        <v>329</v>
      </c>
      <c r="H20" t="n">
        <v>-0.000562794966085056</v>
      </c>
      <c r="I20" t="n">
        <v>-0.027680867300922</v>
      </c>
      <c r="J20" t="n">
        <v>0.0265552773687519</v>
      </c>
      <c r="K20" t="s">
        <v>816</v>
      </c>
      <c r="L20" t="s">
        <v>758</v>
      </c>
      <c r="M20" t="s">
        <v>411</v>
      </c>
      <c r="N20"/>
    </row>
    <row r="21">
      <c r="A21" t="s">
        <v>77</v>
      </c>
      <c r="B21" t="s">
        <v>327</v>
      </c>
      <c r="C21" t="n">
        <v>-0.000528648587302566</v>
      </c>
      <c r="D21" t="n">
        <v>0.00130934606339703</v>
      </c>
      <c r="E21" t="n">
        <v>0.163014132933151</v>
      </c>
      <c r="F21" t="n">
        <v>0.686396503530423</v>
      </c>
      <c r="G21" t="s">
        <v>329</v>
      </c>
      <c r="H21" t="n">
        <v>-0.000528648587302566</v>
      </c>
      <c r="I21" t="n">
        <v>-0.00309496687156074</v>
      </c>
      <c r="J21" t="n">
        <v>0.00203766969695561</v>
      </c>
      <c r="K21" t="s">
        <v>817</v>
      </c>
      <c r="L21" t="s">
        <v>758</v>
      </c>
      <c r="M21" t="s">
        <v>411</v>
      </c>
      <c r="N21"/>
    </row>
    <row r="22">
      <c r="A22" t="s">
        <v>77</v>
      </c>
      <c r="B22" t="s">
        <v>55</v>
      </c>
      <c r="C22" t="n">
        <v>-0.110818558959474</v>
      </c>
      <c r="D22" t="n">
        <v>0.00345910081506153</v>
      </c>
      <c r="E22" t="n">
        <v>1026.35725751975</v>
      </c>
      <c r="F22" t="n">
        <v>0</v>
      </c>
      <c r="G22" t="s">
        <v>329</v>
      </c>
      <c r="H22" t="n">
        <v>-0.110818558959474</v>
      </c>
      <c r="I22" t="n">
        <v>-0.117598396556995</v>
      </c>
      <c r="J22" t="n">
        <v>-0.104038721361954</v>
      </c>
      <c r="K22" t="s">
        <v>818</v>
      </c>
      <c r="L22" t="s">
        <v>758</v>
      </c>
      <c r="M22" t="s">
        <v>411</v>
      </c>
      <c r="N22"/>
    </row>
    <row r="23">
      <c r="A23" t="s">
        <v>84</v>
      </c>
      <c r="B23" t="s">
        <v>328</v>
      </c>
      <c r="C23" t="n">
        <v>-0.00152193509321798</v>
      </c>
      <c r="D23" t="n">
        <v>0.014444811103617</v>
      </c>
      <c r="E23" t="n">
        <v>0.0111011642568222</v>
      </c>
      <c r="F23" t="n">
        <v>0.916088518041001</v>
      </c>
      <c r="G23" t="s">
        <v>329</v>
      </c>
      <c r="H23" t="n">
        <v>-0.00152193509321798</v>
      </c>
      <c r="I23" t="n">
        <v>-0.0298337648563072</v>
      </c>
      <c r="J23" t="n">
        <v>0.0267898946698713</v>
      </c>
      <c r="K23" t="s">
        <v>819</v>
      </c>
      <c r="L23" t="s">
        <v>758</v>
      </c>
      <c r="M23" t="s">
        <v>411</v>
      </c>
      <c r="N23"/>
    </row>
    <row r="24">
      <c r="A24" t="s">
        <v>84</v>
      </c>
      <c r="B24" t="s">
        <v>333</v>
      </c>
      <c r="C24" t="n">
        <v>0.00513255795311365</v>
      </c>
      <c r="D24" t="n">
        <v>0.00439752226723193</v>
      </c>
      <c r="E24" t="n">
        <v>1.36223372878091</v>
      </c>
      <c r="F24" t="n">
        <v>0.243150731770934</v>
      </c>
      <c r="G24" t="s">
        <v>329</v>
      </c>
      <c r="H24" t="n">
        <v>0.00513255795311365</v>
      </c>
      <c r="I24" t="n">
        <v>-0.00348658569066093</v>
      </c>
      <c r="J24" t="n">
        <v>0.0137517015968882</v>
      </c>
      <c r="K24" t="s">
        <v>820</v>
      </c>
      <c r="L24" t="s">
        <v>758</v>
      </c>
      <c r="M24" t="s">
        <v>411</v>
      </c>
      <c r="N24"/>
    </row>
    <row r="25">
      <c r="A25" t="s">
        <v>84</v>
      </c>
      <c r="B25" t="s">
        <v>327</v>
      </c>
      <c r="C25" t="n">
        <v>-0.000503178946099683</v>
      </c>
      <c r="D25" t="n">
        <v>0.000399284097090522</v>
      </c>
      <c r="E25" t="n">
        <v>1.58811115362767</v>
      </c>
      <c r="F25" t="n">
        <v>0.20759620496085</v>
      </c>
      <c r="G25" t="s">
        <v>329</v>
      </c>
      <c r="H25" t="n">
        <v>-0.000503178946099683</v>
      </c>
      <c r="I25" t="n">
        <v>-0.00128577577639711</v>
      </c>
      <c r="J25" t="n">
        <v>0.000279417884197741</v>
      </c>
      <c r="K25" t="s">
        <v>544</v>
      </c>
      <c r="L25" t="s">
        <v>758</v>
      </c>
      <c r="M25" t="s">
        <v>411</v>
      </c>
      <c r="N25"/>
    </row>
    <row r="26">
      <c r="A26" t="s">
        <v>84</v>
      </c>
      <c r="B26" t="s">
        <v>55</v>
      </c>
      <c r="C26" t="n">
        <v>-0.0022413943995633</v>
      </c>
      <c r="D26" t="n">
        <v>0.00128881393166849</v>
      </c>
      <c r="E26" t="n">
        <v>3.02451763346769</v>
      </c>
      <c r="F26" t="n">
        <v>0.0820147060603819</v>
      </c>
      <c r="G26" t="s">
        <v>329</v>
      </c>
      <c r="H26" t="n">
        <v>-0.0022413943995633</v>
      </c>
      <c r="I26" t="n">
        <v>-0.00476746970563355</v>
      </c>
      <c r="J26" t="n">
        <v>0.000284680906506949</v>
      </c>
      <c r="K26" t="s">
        <v>821</v>
      </c>
      <c r="L26" t="s">
        <v>758</v>
      </c>
      <c r="M26" t="s">
        <v>411</v>
      </c>
      <c r="N26"/>
    </row>
    <row r="27">
      <c r="A27" t="s">
        <v>89</v>
      </c>
      <c r="B27" t="s">
        <v>328</v>
      </c>
      <c r="C27" t="n">
        <v>487.771041206091</v>
      </c>
      <c r="D27" t="n">
        <v>13.6003491070196</v>
      </c>
      <c r="E27" t="n">
        <v>1286.26932548016</v>
      </c>
      <c r="F27" t="n">
        <v>0</v>
      </c>
      <c r="G27" t="s">
        <v>329</v>
      </c>
      <c r="H27" t="n">
        <v>487.771041206091</v>
      </c>
      <c r="I27" t="n">
        <v>461.114356956332</v>
      </c>
      <c r="J27" t="n">
        <v>514.427725455849</v>
      </c>
      <c r="K27" t="s">
        <v>822</v>
      </c>
      <c r="L27" t="s">
        <v>758</v>
      </c>
      <c r="M27" t="s">
        <v>411</v>
      </c>
      <c r="N27"/>
    </row>
    <row r="28">
      <c r="A28" t="s">
        <v>89</v>
      </c>
      <c r="B28" t="s">
        <v>333</v>
      </c>
      <c r="C28" t="n">
        <v>-1.7630358965349</v>
      </c>
      <c r="D28" t="n">
        <v>3.75081988195506</v>
      </c>
      <c r="E28" t="n">
        <v>0.220937731733977</v>
      </c>
      <c r="F28" t="n">
        <v>0.638326340909193</v>
      </c>
      <c r="G28" t="s">
        <v>329</v>
      </c>
      <c r="H28" t="n">
        <v>-1.7630358965349</v>
      </c>
      <c r="I28" t="n">
        <v>-9.11464286516681</v>
      </c>
      <c r="J28" t="n">
        <v>5.58857107209701</v>
      </c>
      <c r="K28" t="s">
        <v>823</v>
      </c>
      <c r="L28" t="s">
        <v>758</v>
      </c>
      <c r="M28" t="s">
        <v>411</v>
      </c>
      <c r="N28"/>
    </row>
    <row r="29">
      <c r="A29" t="s">
        <v>89</v>
      </c>
      <c r="B29" t="s">
        <v>327</v>
      </c>
      <c r="C29" t="n">
        <v>1.50573311801647</v>
      </c>
      <c r="D29" t="n">
        <v>0.366913781924668</v>
      </c>
      <c r="E29" t="n">
        <v>16.8410030861887</v>
      </c>
      <c r="F29" t="n">
        <v>0.0000406455537873551</v>
      </c>
      <c r="G29" t="s">
        <v>329</v>
      </c>
      <c r="H29" t="n">
        <v>1.50573311801647</v>
      </c>
      <c r="I29" t="n">
        <v>0.786582105444125</v>
      </c>
      <c r="J29" t="n">
        <v>2.22488413058882</v>
      </c>
      <c r="K29" t="s">
        <v>824</v>
      </c>
      <c r="L29" t="s">
        <v>758</v>
      </c>
      <c r="M29" t="s">
        <v>411</v>
      </c>
      <c r="N29"/>
    </row>
    <row r="30">
      <c r="A30" t="s">
        <v>89</v>
      </c>
      <c r="B30" t="s">
        <v>55</v>
      </c>
      <c r="C30" t="n">
        <v>0.724666123960774</v>
      </c>
      <c r="D30" t="n">
        <v>0.992248806928857</v>
      </c>
      <c r="E30" t="n">
        <v>0.533377570417963</v>
      </c>
      <c r="F30" t="n">
        <v>0.465190309939089</v>
      </c>
      <c r="G30" t="s">
        <v>329</v>
      </c>
      <c r="H30" t="n">
        <v>0.724666123960774</v>
      </c>
      <c r="I30" t="n">
        <v>-1.22014153761979</v>
      </c>
      <c r="J30" t="n">
        <v>2.66947378554133</v>
      </c>
      <c r="K30" t="s">
        <v>825</v>
      </c>
      <c r="L30" t="s">
        <v>758</v>
      </c>
      <c r="M30" t="s">
        <v>411</v>
      </c>
      <c r="N30"/>
    </row>
    <row r="31">
      <c r="A31" t="s">
        <v>95</v>
      </c>
      <c r="B31" t="s">
        <v>328</v>
      </c>
      <c r="C31" t="n">
        <v>42.1539932357052</v>
      </c>
      <c r="D31" t="n">
        <v>0.716812998543469</v>
      </c>
      <c r="E31" t="n">
        <v>3458.32416039506</v>
      </c>
      <c r="F31" t="n">
        <v>0</v>
      </c>
      <c r="G31" t="s">
        <v>329</v>
      </c>
      <c r="H31" t="n">
        <v>42.1539932357052</v>
      </c>
      <c r="I31" t="n">
        <v>40.74903975856</v>
      </c>
      <c r="J31" t="n">
        <v>43.5589467128504</v>
      </c>
      <c r="K31" t="s">
        <v>826</v>
      </c>
      <c r="L31" t="s">
        <v>758</v>
      </c>
      <c r="M31" t="s">
        <v>411</v>
      </c>
      <c r="N31"/>
    </row>
    <row r="32">
      <c r="A32" t="s">
        <v>95</v>
      </c>
      <c r="B32" t="s">
        <v>333</v>
      </c>
      <c r="C32" t="n">
        <v>-0.24877154709785</v>
      </c>
      <c r="D32" t="n">
        <v>0.190020819366469</v>
      </c>
      <c r="E32" t="n">
        <v>1.71395352355885</v>
      </c>
      <c r="F32" t="n">
        <v>0.190473223468516</v>
      </c>
      <c r="G32" t="s">
        <v>329</v>
      </c>
      <c r="H32" t="n">
        <v>-0.24877154709785</v>
      </c>
      <c r="I32" t="n">
        <v>-0.621212353056131</v>
      </c>
      <c r="J32" t="n">
        <v>0.12366925886043</v>
      </c>
      <c r="K32" t="s">
        <v>827</v>
      </c>
      <c r="L32" t="s">
        <v>758</v>
      </c>
      <c r="M32" t="s">
        <v>411</v>
      </c>
      <c r="N32"/>
    </row>
    <row r="33">
      <c r="A33" t="s">
        <v>95</v>
      </c>
      <c r="B33" t="s">
        <v>327</v>
      </c>
      <c r="C33" t="n">
        <v>0.0477666863878445</v>
      </c>
      <c r="D33" t="n">
        <v>0.0196401615902966</v>
      </c>
      <c r="E33" t="n">
        <v>5.91507310761941</v>
      </c>
      <c r="F33" t="n">
        <v>0.0150118799869107</v>
      </c>
      <c r="G33" t="s">
        <v>329</v>
      </c>
      <c r="H33" t="n">
        <v>0.0477666863878445</v>
      </c>
      <c r="I33" t="n">
        <v>0.00927196967086322</v>
      </c>
      <c r="J33" t="n">
        <v>0.0862614031048257</v>
      </c>
      <c r="K33" t="s">
        <v>828</v>
      </c>
      <c r="L33" t="s">
        <v>758</v>
      </c>
      <c r="M33" t="s">
        <v>411</v>
      </c>
      <c r="N33"/>
    </row>
    <row r="34">
      <c r="A34" t="s">
        <v>95</v>
      </c>
      <c r="B34" t="s">
        <v>55</v>
      </c>
      <c r="C34" t="n">
        <v>0.0341250401830833</v>
      </c>
      <c r="D34" t="n">
        <v>0.052816694866502</v>
      </c>
      <c r="E34" t="n">
        <v>0.417449457994804</v>
      </c>
      <c r="F34" t="n">
        <v>0.518212466532021</v>
      </c>
      <c r="G34" t="s">
        <v>329</v>
      </c>
      <c r="H34" t="n">
        <v>0.0341250401830833</v>
      </c>
      <c r="I34" t="n">
        <v>-0.0693956817552605</v>
      </c>
      <c r="J34" t="n">
        <v>0.137645762121427</v>
      </c>
      <c r="K34" t="s">
        <v>829</v>
      </c>
      <c r="L34" t="s">
        <v>758</v>
      </c>
      <c r="M34" t="s">
        <v>411</v>
      </c>
      <c r="N34"/>
    </row>
    <row r="35">
      <c r="A35" t="s">
        <v>102</v>
      </c>
      <c r="B35"/>
      <c r="C35"/>
      <c r="D35"/>
      <c r="E35"/>
      <c r="F35"/>
      <c r="G35"/>
      <c r="H35"/>
      <c r="I35"/>
      <c r="J35"/>
      <c r="K35"/>
      <c r="L35" t="s">
        <v>358</v>
      </c>
      <c r="M35"/>
      <c r="N35"/>
    </row>
    <row r="36">
      <c r="A36" t="s">
        <v>23</v>
      </c>
      <c r="B36" t="s">
        <v>328</v>
      </c>
      <c r="C36" t="n">
        <v>-0.0972351191819619</v>
      </c>
      <c r="D36" t="n">
        <v>1.34389435919098</v>
      </c>
      <c r="E36" t="n">
        <v>0.00523499220817987</v>
      </c>
      <c r="F36" t="n">
        <v>0.942320791504012</v>
      </c>
      <c r="G36" t="s">
        <v>359</v>
      </c>
      <c r="H36" t="n">
        <v>0.907342647390875</v>
      </c>
      <c r="I36" t="n">
        <v>0.0651366399008506</v>
      </c>
      <c r="J36" t="n">
        <v>12.6391333821862</v>
      </c>
      <c r="K36" t="s">
        <v>830</v>
      </c>
      <c r="L36" t="s">
        <v>775</v>
      </c>
      <c r="M36" t="s">
        <v>411</v>
      </c>
      <c r="N36"/>
    </row>
    <row r="37">
      <c r="A37" t="s">
        <v>23</v>
      </c>
      <c r="B37" t="s">
        <v>333</v>
      </c>
      <c r="C37" t="n">
        <v>-0.0756117867736291</v>
      </c>
      <c r="D37" t="n">
        <v>0.36398380594365</v>
      </c>
      <c r="E37" t="n">
        <v>0.0431533860254922</v>
      </c>
      <c r="F37" t="n">
        <v>0.835436722571971</v>
      </c>
      <c r="G37" t="s">
        <v>359</v>
      </c>
      <c r="H37" t="n">
        <v>0.92717607871823</v>
      </c>
      <c r="I37" t="n">
        <v>0.454289760099636</v>
      </c>
      <c r="J37" t="n">
        <v>1.89230653307874</v>
      </c>
      <c r="K37" t="s">
        <v>831</v>
      </c>
      <c r="L37" t="s">
        <v>775</v>
      </c>
      <c r="M37" t="s">
        <v>411</v>
      </c>
      <c r="N37"/>
    </row>
    <row r="38">
      <c r="A38" t="s">
        <v>23</v>
      </c>
      <c r="B38" t="s">
        <v>327</v>
      </c>
      <c r="C38" t="n">
        <v>0.0229259024024194</v>
      </c>
      <c r="D38" t="n">
        <v>0.0365433164362268</v>
      </c>
      <c r="E38" t="n">
        <v>0.393583570599829</v>
      </c>
      <c r="F38" t="n">
        <v>0.530421714081025</v>
      </c>
      <c r="G38" t="s">
        <v>359</v>
      </c>
      <c r="H38" t="n">
        <v>1.02319072076398</v>
      </c>
      <c r="I38" t="n">
        <v>0.952467781440596</v>
      </c>
      <c r="J38" t="n">
        <v>1.09916500217368</v>
      </c>
      <c r="K38" t="s">
        <v>832</v>
      </c>
      <c r="L38" t="s">
        <v>775</v>
      </c>
      <c r="M38" t="s">
        <v>411</v>
      </c>
      <c r="N38"/>
    </row>
    <row r="39">
      <c r="A39" t="s">
        <v>23</v>
      </c>
      <c r="B39" t="s">
        <v>55</v>
      </c>
      <c r="C39" t="n">
        <v>0.0961307446148801</v>
      </c>
      <c r="D39" t="n">
        <v>0.0808828215409576</v>
      </c>
      <c r="E39" t="n">
        <v>1.41257666218225</v>
      </c>
      <c r="F39" t="n">
        <v>0.234629123216012</v>
      </c>
      <c r="G39" t="s">
        <v>359</v>
      </c>
      <c r="H39" t="n">
        <v>1.10090299172256</v>
      </c>
      <c r="I39" t="n">
        <v>0.939507398143694</v>
      </c>
      <c r="J39" t="n">
        <v>1.29002432506477</v>
      </c>
      <c r="K39" t="s">
        <v>833</v>
      </c>
      <c r="L39" t="s">
        <v>775</v>
      </c>
      <c r="M39" t="s">
        <v>411</v>
      </c>
      <c r="N39"/>
    </row>
    <row r="40">
      <c r="A40" t="s">
        <v>364</v>
      </c>
      <c r="B40" t="s">
        <v>328</v>
      </c>
      <c r="C40" t="n">
        <v>-3.41461765769701</v>
      </c>
      <c r="D40" t="n">
        <v>1.6580772892692</v>
      </c>
      <c r="E40" t="n">
        <v>4.24106200589756</v>
      </c>
      <c r="F40" t="n">
        <v>0.0394574778117696</v>
      </c>
      <c r="G40" t="s">
        <v>359</v>
      </c>
      <c r="H40" t="n">
        <v>0.0328889791459013</v>
      </c>
      <c r="I40" t="n">
        <v>0.00127545902613614</v>
      </c>
      <c r="J40" t="n">
        <v>0.848075027965716</v>
      </c>
      <c r="K40" t="s">
        <v>834</v>
      </c>
      <c r="L40" t="s">
        <v>775</v>
      </c>
      <c r="M40" t="s">
        <v>411</v>
      </c>
      <c r="N40"/>
    </row>
    <row r="41">
      <c r="A41" t="s">
        <v>364</v>
      </c>
      <c r="B41" t="s">
        <v>333</v>
      </c>
      <c r="C41" t="n">
        <v>-1.01082037333175</v>
      </c>
      <c r="D41" t="n">
        <v>0.454066788777079</v>
      </c>
      <c r="E41" t="n">
        <v>4.95573981695818</v>
      </c>
      <c r="F41" t="n">
        <v>0.0260041960158939</v>
      </c>
      <c r="G41" t="s">
        <v>359</v>
      </c>
      <c r="H41" t="n">
        <v>0.363920306562201</v>
      </c>
      <c r="I41" t="n">
        <v>0.149450315476933</v>
      </c>
      <c r="J41" t="n">
        <v>0.886167346691001</v>
      </c>
      <c r="K41" t="s">
        <v>835</v>
      </c>
      <c r="L41" t="s">
        <v>775</v>
      </c>
      <c r="M41" t="s">
        <v>411</v>
      </c>
      <c r="N41"/>
    </row>
    <row r="42">
      <c r="A42" t="s">
        <v>364</v>
      </c>
      <c r="B42" t="s">
        <v>327</v>
      </c>
      <c r="C42" t="n">
        <v>0.0714722094807329</v>
      </c>
      <c r="D42" t="n">
        <v>0.0444463568382807</v>
      </c>
      <c r="E42" t="n">
        <v>2.58584255707006</v>
      </c>
      <c r="F42" t="n">
        <v>0.107823019597127</v>
      </c>
      <c r="G42" t="s">
        <v>359</v>
      </c>
      <c r="H42" t="n">
        <v>1.07408830081493</v>
      </c>
      <c r="I42" t="n">
        <v>0.984479060873138</v>
      </c>
      <c r="J42" t="n">
        <v>1.17185395179894</v>
      </c>
      <c r="K42" t="s">
        <v>836</v>
      </c>
      <c r="L42" t="s">
        <v>775</v>
      </c>
      <c r="M42" t="s">
        <v>411</v>
      </c>
      <c r="N42"/>
    </row>
    <row r="43">
      <c r="A43" t="s">
        <v>364</v>
      </c>
      <c r="B43" t="s">
        <v>55</v>
      </c>
      <c r="C43" t="n">
        <v>-0.0263143488125476</v>
      </c>
      <c r="D43" t="n">
        <v>0.0931700272287581</v>
      </c>
      <c r="E43" t="n">
        <v>0.0797687542341587</v>
      </c>
      <c r="F43" t="n">
        <v>0.777611032685952</v>
      </c>
      <c r="G43" t="s">
        <v>359</v>
      </c>
      <c r="H43" t="n">
        <v>0.97402885666481</v>
      </c>
      <c r="I43" t="n">
        <v>0.811453981015382</v>
      </c>
      <c r="J43" t="n">
        <v>1.1691756227859</v>
      </c>
      <c r="K43" t="s">
        <v>837</v>
      </c>
      <c r="L43" t="s">
        <v>775</v>
      </c>
      <c r="M43" t="s">
        <v>411</v>
      </c>
      <c r="N43"/>
    </row>
    <row r="44">
      <c r="A44" t="s">
        <v>368</v>
      </c>
      <c r="B44"/>
      <c r="C44"/>
      <c r="D44"/>
      <c r="E44"/>
      <c r="F44"/>
      <c r="G44"/>
      <c r="H44"/>
      <c r="I44"/>
      <c r="J44"/>
      <c r="K44"/>
      <c r="L44" t="s">
        <v>369</v>
      </c>
      <c r="M44"/>
      <c r="N44"/>
    </row>
    <row r="46">
      <c r="A46" s="1" t="s">
        <v>838</v>
      </c>
    </row>
    <row r="47">
      <c r="A47" t="s">
        <v>314</v>
      </c>
      <c r="B47" t="s">
        <v>315</v>
      </c>
      <c r="C47" t="s">
        <v>316</v>
      </c>
      <c r="D47" t="s">
        <v>317</v>
      </c>
      <c r="E47" t="s">
        <v>318</v>
      </c>
      <c r="F47" t="s">
        <v>319</v>
      </c>
      <c r="G47" t="s">
        <v>320</v>
      </c>
      <c r="H47" t="s">
        <v>321</v>
      </c>
      <c r="I47" t="s">
        <v>322</v>
      </c>
      <c r="J47" t="s">
        <v>323</v>
      </c>
      <c r="K47" t="s">
        <v>324</v>
      </c>
      <c r="L47" t="s">
        <v>325</v>
      </c>
      <c r="M47" t="s">
        <v>326</v>
      </c>
      <c r="N47" t="s">
        <v>1</v>
      </c>
    </row>
    <row r="48">
      <c r="A48" t="s">
        <v>137</v>
      </c>
      <c r="B48" t="s">
        <v>328</v>
      </c>
      <c r="C48" t="n">
        <v>6.61449944328409</v>
      </c>
      <c r="D48" t="n">
        <v>0.16374678940297</v>
      </c>
      <c r="E48" t="n">
        <v>1631.73031258198</v>
      </c>
      <c r="F48" t="n">
        <v>0</v>
      </c>
      <c r="G48" t="s">
        <v>329</v>
      </c>
      <c r="H48" t="n">
        <v>6.61449944328409</v>
      </c>
      <c r="I48" t="n">
        <v>6.29355573605427</v>
      </c>
      <c r="J48" t="n">
        <v>6.93544315051391</v>
      </c>
      <c r="K48" t="s">
        <v>839</v>
      </c>
      <c r="L48" t="s">
        <v>758</v>
      </c>
      <c r="M48" t="s">
        <v>411</v>
      </c>
      <c r="N48"/>
    </row>
    <row r="49">
      <c r="A49" t="s">
        <v>137</v>
      </c>
      <c r="B49" t="s">
        <v>333</v>
      </c>
      <c r="C49" t="n">
        <v>-0.0665076342482042</v>
      </c>
      <c r="D49" t="n">
        <v>0.0417116214892682</v>
      </c>
      <c r="E49" t="n">
        <v>2.54231203769574</v>
      </c>
      <c r="F49" t="n">
        <v>0.110832387038267</v>
      </c>
      <c r="G49" t="s">
        <v>329</v>
      </c>
      <c r="H49" t="n">
        <v>-0.0665076342482042</v>
      </c>
      <c r="I49" t="n">
        <v>-0.14826241236717</v>
      </c>
      <c r="J49" t="n">
        <v>0.0152471438707614</v>
      </c>
      <c r="K49" t="s">
        <v>840</v>
      </c>
      <c r="L49" t="s">
        <v>758</v>
      </c>
      <c r="M49" t="s">
        <v>411</v>
      </c>
      <c r="N49"/>
    </row>
    <row r="50">
      <c r="A50" t="s">
        <v>137</v>
      </c>
      <c r="B50" t="s">
        <v>327</v>
      </c>
      <c r="C50" t="n">
        <v>-0.00302041119321036</v>
      </c>
      <c r="D50" t="n">
        <v>0.00441659012890572</v>
      </c>
      <c r="E50" t="n">
        <v>0.467689852541059</v>
      </c>
      <c r="F50" t="n">
        <v>0.494051868491796</v>
      </c>
      <c r="G50" t="s">
        <v>329</v>
      </c>
      <c r="H50" t="n">
        <v>-0.00302041119321036</v>
      </c>
      <c r="I50" t="n">
        <v>-0.0116769278458656</v>
      </c>
      <c r="J50" t="n">
        <v>0.00563610545944485</v>
      </c>
      <c r="K50" t="s">
        <v>841</v>
      </c>
      <c r="L50" t="s">
        <v>758</v>
      </c>
      <c r="M50" t="s">
        <v>411</v>
      </c>
      <c r="N50"/>
    </row>
    <row r="51">
      <c r="A51" t="s">
        <v>137</v>
      </c>
      <c r="B51" t="s">
        <v>55</v>
      </c>
      <c r="C51" t="n">
        <v>-0.00492742890801561</v>
      </c>
      <c r="D51" t="n">
        <v>0.0121765501139514</v>
      </c>
      <c r="E51" t="n">
        <v>0.163754111582158</v>
      </c>
      <c r="F51" t="n">
        <v>0.685723455233002</v>
      </c>
      <c r="G51" t="s">
        <v>329</v>
      </c>
      <c r="H51" t="n">
        <v>-0.00492742890801561</v>
      </c>
      <c r="I51" t="n">
        <v>-0.0287934671313604</v>
      </c>
      <c r="J51" t="n">
        <v>0.0189386093153292</v>
      </c>
      <c r="K51" t="s">
        <v>842</v>
      </c>
      <c r="L51" t="s">
        <v>758</v>
      </c>
      <c r="M51" t="s">
        <v>411</v>
      </c>
      <c r="N51"/>
    </row>
    <row r="52">
      <c r="A52" t="s">
        <v>143</v>
      </c>
      <c r="B52" t="s">
        <v>328</v>
      </c>
      <c r="C52" t="n">
        <v>3.8258241032334</v>
      </c>
      <c r="D52" t="n">
        <v>3.57344181059873</v>
      </c>
      <c r="E52" t="n">
        <v>1.14624266321217</v>
      </c>
      <c r="F52" t="n">
        <v>0.284337075268546</v>
      </c>
      <c r="G52" t="s">
        <v>329</v>
      </c>
      <c r="H52" t="n">
        <v>3.8258241032334</v>
      </c>
      <c r="I52" t="n">
        <v>-3.17812184554011</v>
      </c>
      <c r="J52" t="n">
        <v>10.8297700520069</v>
      </c>
      <c r="K52" t="s">
        <v>843</v>
      </c>
      <c r="L52" t="s">
        <v>758</v>
      </c>
      <c r="M52" t="s">
        <v>411</v>
      </c>
      <c r="N52"/>
    </row>
    <row r="53">
      <c r="A53" t="s">
        <v>143</v>
      </c>
      <c r="B53" t="s">
        <v>333</v>
      </c>
      <c r="C53" t="n">
        <v>-0.840586502926824</v>
      </c>
      <c r="D53" t="n">
        <v>1.06135308190237</v>
      </c>
      <c r="E53" t="n">
        <v>0.627256331984523</v>
      </c>
      <c r="F53" t="n">
        <v>0.428363498911332</v>
      </c>
      <c r="G53" t="s">
        <v>329</v>
      </c>
      <c r="H53" t="n">
        <v>-0.840586502926824</v>
      </c>
      <c r="I53" t="n">
        <v>-2.92083854345548</v>
      </c>
      <c r="J53" t="n">
        <v>1.23966553760183</v>
      </c>
      <c r="K53" t="s">
        <v>844</v>
      </c>
      <c r="L53" t="s">
        <v>758</v>
      </c>
      <c r="M53" t="s">
        <v>411</v>
      </c>
      <c r="N53"/>
    </row>
    <row r="54">
      <c r="A54" t="s">
        <v>143</v>
      </c>
      <c r="B54" t="s">
        <v>327</v>
      </c>
      <c r="C54" t="n">
        <v>0.0954353267768733</v>
      </c>
      <c r="D54" t="n">
        <v>0.0980247367285491</v>
      </c>
      <c r="E54" t="n">
        <v>0.947866033368318</v>
      </c>
      <c r="F54" t="n">
        <v>0.330263075593679</v>
      </c>
      <c r="G54" t="s">
        <v>329</v>
      </c>
      <c r="H54" t="n">
        <v>0.0954353267768733</v>
      </c>
      <c r="I54" t="n">
        <v>-0.0966931572110829</v>
      </c>
      <c r="J54" t="n">
        <v>0.28756381076483</v>
      </c>
      <c r="K54" t="s">
        <v>845</v>
      </c>
      <c r="L54" t="s">
        <v>758</v>
      </c>
      <c r="M54" t="s">
        <v>411</v>
      </c>
      <c r="N54"/>
    </row>
    <row r="55">
      <c r="A55" t="s">
        <v>143</v>
      </c>
      <c r="B55" t="s">
        <v>55</v>
      </c>
      <c r="C55" t="n">
        <v>-13.7668539618698</v>
      </c>
      <c r="D55" t="n">
        <v>0.289886678482</v>
      </c>
      <c r="E55" t="n">
        <v>2255.34452916676</v>
      </c>
      <c r="F55" t="n">
        <v>0</v>
      </c>
      <c r="G55" t="s">
        <v>329</v>
      </c>
      <c r="H55" t="n">
        <v>-13.7668539618698</v>
      </c>
      <c r="I55" t="n">
        <v>-14.3350318516945</v>
      </c>
      <c r="J55" t="n">
        <v>-13.1986760720451</v>
      </c>
      <c r="K55" t="s">
        <v>846</v>
      </c>
      <c r="L55" t="s">
        <v>758</v>
      </c>
      <c r="M55" t="s">
        <v>411</v>
      </c>
      <c r="N55"/>
    </row>
    <row r="56">
      <c r="A56" t="s">
        <v>376</v>
      </c>
      <c r="B56"/>
      <c r="C56"/>
      <c r="D56"/>
      <c r="E56"/>
      <c r="F56"/>
      <c r="G56"/>
      <c r="H56"/>
      <c r="I56"/>
      <c r="J56"/>
      <c r="K56"/>
      <c r="L56" t="s">
        <v>369</v>
      </c>
      <c r="M56"/>
      <c r="N56"/>
    </row>
    <row r="58">
      <c r="A58" s="1" t="s">
        <v>847</v>
      </c>
    </row>
    <row r="59">
      <c r="A59" t="s">
        <v>314</v>
      </c>
      <c r="B59" t="s">
        <v>315</v>
      </c>
      <c r="C59" t="s">
        <v>316</v>
      </c>
      <c r="D59" t="s">
        <v>317</v>
      </c>
      <c r="E59" t="s">
        <v>318</v>
      </c>
      <c r="F59" t="s">
        <v>319</v>
      </c>
      <c r="G59" t="s">
        <v>320</v>
      </c>
      <c r="H59" t="s">
        <v>321</v>
      </c>
      <c r="I59" t="s">
        <v>322</v>
      </c>
      <c r="J59" t="s">
        <v>323</v>
      </c>
      <c r="K59" t="s">
        <v>324</v>
      </c>
      <c r="L59" t="s">
        <v>325</v>
      </c>
      <c r="M59" t="s">
        <v>326</v>
      </c>
      <c r="N59" t="s">
        <v>1</v>
      </c>
    </row>
    <row r="60">
      <c r="A60" t="s">
        <v>165</v>
      </c>
      <c r="B60" t="s">
        <v>328</v>
      </c>
      <c r="C60" t="n">
        <v>121.21100343177</v>
      </c>
      <c r="D60" t="n">
        <v>48.2402310398944</v>
      </c>
      <c r="E60" t="n">
        <v>6.31342949331114</v>
      </c>
      <c r="F60" t="n">
        <v>0.0119826835755772</v>
      </c>
      <c r="G60" t="s">
        <v>329</v>
      </c>
      <c r="H60" t="n">
        <v>121.21100343177</v>
      </c>
      <c r="I60" t="n">
        <v>26.660150593577</v>
      </c>
      <c r="J60" t="n">
        <v>215.761856269963</v>
      </c>
      <c r="K60" t="s">
        <v>848</v>
      </c>
      <c r="L60" t="s">
        <v>758</v>
      </c>
      <c r="M60" t="s">
        <v>411</v>
      </c>
      <c r="N60"/>
    </row>
    <row r="61">
      <c r="A61" t="s">
        <v>165</v>
      </c>
      <c r="B61" t="s">
        <v>333</v>
      </c>
      <c r="C61" t="n">
        <v>-14.4339237566763</v>
      </c>
      <c r="D61" t="n">
        <v>12.070014881323</v>
      </c>
      <c r="E61" t="n">
        <v>1.43005652120898</v>
      </c>
      <c r="F61" t="n">
        <v>0.2317552144151</v>
      </c>
      <c r="G61" t="s">
        <v>329</v>
      </c>
      <c r="H61" t="n">
        <v>-14.4339237566763</v>
      </c>
      <c r="I61" t="n">
        <v>-38.0911529240694</v>
      </c>
      <c r="J61" t="n">
        <v>9.22330541071676</v>
      </c>
      <c r="K61" t="s">
        <v>849</v>
      </c>
      <c r="L61" t="s">
        <v>758</v>
      </c>
      <c r="M61" t="s">
        <v>411</v>
      </c>
      <c r="N61"/>
    </row>
    <row r="62">
      <c r="A62" t="s">
        <v>165</v>
      </c>
      <c r="B62" t="s">
        <v>327</v>
      </c>
      <c r="C62" t="n">
        <v>1.57341384394599</v>
      </c>
      <c r="D62" t="n">
        <v>1.31066796766389</v>
      </c>
      <c r="E62" t="n">
        <v>1.44112138593792</v>
      </c>
      <c r="F62" t="n">
        <v>0.229957962015538</v>
      </c>
      <c r="G62" t="s">
        <v>329</v>
      </c>
      <c r="H62" t="n">
        <v>1.57341384394599</v>
      </c>
      <c r="I62" t="n">
        <v>-0.995495372675242</v>
      </c>
      <c r="J62" t="n">
        <v>4.14232306056723</v>
      </c>
      <c r="K62" t="s">
        <v>850</v>
      </c>
      <c r="L62" t="s">
        <v>758</v>
      </c>
      <c r="M62" t="s">
        <v>411</v>
      </c>
      <c r="N62"/>
    </row>
    <row r="63">
      <c r="A63" t="s">
        <v>165</v>
      </c>
      <c r="B63" t="s">
        <v>55</v>
      </c>
      <c r="C63" t="n">
        <v>-2.075036104199</v>
      </c>
      <c r="D63" t="n">
        <v>3.36072899669462</v>
      </c>
      <c r="E63" t="n">
        <v>0.381227594543719</v>
      </c>
      <c r="F63" t="n">
        <v>0.536946979725791</v>
      </c>
      <c r="G63" t="s">
        <v>329</v>
      </c>
      <c r="H63" t="n">
        <v>-2.075036104199</v>
      </c>
      <c r="I63" t="n">
        <v>-8.66206493772045</v>
      </c>
      <c r="J63" t="n">
        <v>4.51199272932245</v>
      </c>
      <c r="K63" t="s">
        <v>851</v>
      </c>
      <c r="L63" t="s">
        <v>758</v>
      </c>
      <c r="M63" t="s">
        <v>411</v>
      </c>
      <c r="N63"/>
    </row>
    <row r="64">
      <c r="A64" t="s">
        <v>174</v>
      </c>
      <c r="B64" t="s">
        <v>328</v>
      </c>
      <c r="C64" t="n">
        <v>-0.13248061647456</v>
      </c>
      <c r="D64" t="n">
        <v>0.213952623770829</v>
      </c>
      <c r="E64" t="n">
        <v>0.383415307081062</v>
      </c>
      <c r="F64" t="n">
        <v>0.535781065718863</v>
      </c>
      <c r="G64" t="s">
        <v>329</v>
      </c>
      <c r="H64" t="n">
        <v>-0.13248061647456</v>
      </c>
      <c r="I64" t="n">
        <v>-0.551827759065384</v>
      </c>
      <c r="J64" t="n">
        <v>0.286866526116264</v>
      </c>
      <c r="K64" t="s">
        <v>852</v>
      </c>
      <c r="L64" t="s">
        <v>758</v>
      </c>
      <c r="M64" t="s">
        <v>411</v>
      </c>
      <c r="N64"/>
    </row>
    <row r="65">
      <c r="A65" t="s">
        <v>174</v>
      </c>
      <c r="B65" t="s">
        <v>333</v>
      </c>
      <c r="C65" t="n">
        <v>-0.174956161791306</v>
      </c>
      <c r="D65" t="n">
        <v>0.0594685243776608</v>
      </c>
      <c r="E65" t="n">
        <v>8.6553405576482</v>
      </c>
      <c r="F65" t="n">
        <v>0.00326104122494897</v>
      </c>
      <c r="G65" t="s">
        <v>329</v>
      </c>
      <c r="H65" t="n">
        <v>-0.174956161791306</v>
      </c>
      <c r="I65" t="n">
        <v>-0.291514469571521</v>
      </c>
      <c r="J65" t="n">
        <v>-0.0583978540110904</v>
      </c>
      <c r="K65" t="s">
        <v>853</v>
      </c>
      <c r="L65" t="s">
        <v>758</v>
      </c>
      <c r="M65" t="s">
        <v>411</v>
      </c>
      <c r="N65"/>
    </row>
    <row r="66">
      <c r="A66" t="s">
        <v>174</v>
      </c>
      <c r="B66" t="s">
        <v>327</v>
      </c>
      <c r="C66" t="n">
        <v>0.00507012006148621</v>
      </c>
      <c r="D66" t="n">
        <v>0.00593414678936833</v>
      </c>
      <c r="E66" t="n">
        <v>0.729995053455949</v>
      </c>
      <c r="F66" t="n">
        <v>0.392884791863362</v>
      </c>
      <c r="G66" t="s">
        <v>329</v>
      </c>
      <c r="H66" t="n">
        <v>0.00507012006148621</v>
      </c>
      <c r="I66" t="n">
        <v>-0.00656080764567572</v>
      </c>
      <c r="J66" t="n">
        <v>0.0167010477686481</v>
      </c>
      <c r="K66" t="s">
        <v>854</v>
      </c>
      <c r="L66" t="s">
        <v>758</v>
      </c>
      <c r="M66" t="s">
        <v>411</v>
      </c>
      <c r="N66"/>
    </row>
    <row r="67">
      <c r="A67" t="s">
        <v>174</v>
      </c>
      <c r="B67" t="s">
        <v>55</v>
      </c>
      <c r="C67" t="n">
        <v>0.00423507854587583</v>
      </c>
      <c r="D67" t="n">
        <v>0.0138593442705793</v>
      </c>
      <c r="E67" t="n">
        <v>0.0933764960328157</v>
      </c>
      <c r="F67" t="n">
        <v>0.7599277400351</v>
      </c>
      <c r="G67" t="s">
        <v>329</v>
      </c>
      <c r="H67" t="n">
        <v>0.00423507854587583</v>
      </c>
      <c r="I67" t="n">
        <v>-0.0229292362244596</v>
      </c>
      <c r="J67" t="n">
        <v>0.0313993933162112</v>
      </c>
      <c r="K67" t="s">
        <v>855</v>
      </c>
      <c r="L67" t="s">
        <v>758</v>
      </c>
      <c r="M67" t="s">
        <v>411</v>
      </c>
      <c r="N67"/>
    </row>
    <row r="68">
      <c r="A68" t="s">
        <v>182</v>
      </c>
      <c r="B68" t="s">
        <v>328</v>
      </c>
      <c r="C68" t="n">
        <v>-0.37962131696185</v>
      </c>
      <c r="D68" t="n">
        <v>0.106925558167709</v>
      </c>
      <c r="E68" t="n">
        <v>12.6048630333048</v>
      </c>
      <c r="F68" t="n">
        <v>0.00038474443422043</v>
      </c>
      <c r="G68" t="s">
        <v>329</v>
      </c>
      <c r="H68" t="n">
        <v>-0.37962131696185</v>
      </c>
      <c r="I68" t="n">
        <v>-0.58919541097056</v>
      </c>
      <c r="J68" t="n">
        <v>-0.17004722295314</v>
      </c>
      <c r="K68" t="s">
        <v>856</v>
      </c>
      <c r="L68" t="s">
        <v>758</v>
      </c>
      <c r="M68" t="s">
        <v>411</v>
      </c>
      <c r="N68"/>
    </row>
    <row r="69">
      <c r="A69" t="s">
        <v>182</v>
      </c>
      <c r="B69" t="s">
        <v>333</v>
      </c>
      <c r="C69" t="n">
        <v>-0.0157272755161345</v>
      </c>
      <c r="D69" t="n">
        <v>0.0270128411223313</v>
      </c>
      <c r="E69" t="n">
        <v>0.338974057159638</v>
      </c>
      <c r="F69" t="n">
        <v>0.560422014994741</v>
      </c>
      <c r="G69" t="s">
        <v>329</v>
      </c>
      <c r="H69" t="n">
        <v>-0.0157272755161345</v>
      </c>
      <c r="I69" t="n">
        <v>-0.0686724441159039</v>
      </c>
      <c r="J69" t="n">
        <v>0.0372178930836349</v>
      </c>
      <c r="K69" t="s">
        <v>857</v>
      </c>
      <c r="L69" t="s">
        <v>758</v>
      </c>
      <c r="M69" t="s">
        <v>411</v>
      </c>
      <c r="N69"/>
    </row>
    <row r="70">
      <c r="A70" t="s">
        <v>182</v>
      </c>
      <c r="B70" t="s">
        <v>327</v>
      </c>
      <c r="C70" t="n">
        <v>0.00537980291633358</v>
      </c>
      <c r="D70" t="n">
        <v>0.00276988920292432</v>
      </c>
      <c r="E70" t="n">
        <v>3.77231488469267</v>
      </c>
      <c r="F70" t="n">
        <v>0.0521074713081945</v>
      </c>
      <c r="G70" t="s">
        <v>329</v>
      </c>
      <c r="H70" t="n">
        <v>0.00537980291633358</v>
      </c>
      <c r="I70" t="n">
        <v>-0.0000491799213980897</v>
      </c>
      <c r="J70" t="n">
        <v>0.0108087857540653</v>
      </c>
      <c r="K70" t="s">
        <v>858</v>
      </c>
      <c r="L70" t="s">
        <v>758</v>
      </c>
      <c r="M70" t="s">
        <v>411</v>
      </c>
      <c r="N70"/>
    </row>
    <row r="71">
      <c r="A71" t="s">
        <v>182</v>
      </c>
      <c r="B71" t="s">
        <v>55</v>
      </c>
      <c r="C71" t="n">
        <v>0.00716353679911317</v>
      </c>
      <c r="D71" t="n">
        <v>0.00694256349387749</v>
      </c>
      <c r="E71" t="n">
        <v>1.06467062503958</v>
      </c>
      <c r="F71" t="n">
        <v>0.302152335814548</v>
      </c>
      <c r="G71" t="s">
        <v>329</v>
      </c>
      <c r="H71" t="n">
        <v>0.00716353679911317</v>
      </c>
      <c r="I71" t="n">
        <v>-0.00644388764888671</v>
      </c>
      <c r="J71" t="n">
        <v>0.020770961247113</v>
      </c>
      <c r="K71" t="s">
        <v>859</v>
      </c>
      <c r="L71" t="s">
        <v>758</v>
      </c>
      <c r="M71" t="s">
        <v>411</v>
      </c>
      <c r="N71"/>
    </row>
    <row r="72">
      <c r="A72" t="s">
        <v>190</v>
      </c>
      <c r="B72" t="s">
        <v>328</v>
      </c>
      <c r="C72" t="n">
        <v>0.00718193248820392</v>
      </c>
      <c r="D72" t="n">
        <v>0.0264455069885407</v>
      </c>
      <c r="E72" t="n">
        <v>0.0737528559112276</v>
      </c>
      <c r="F72" t="n">
        <v>0.785949000891246</v>
      </c>
      <c r="G72" t="s">
        <v>329</v>
      </c>
      <c r="H72" t="n">
        <v>0.00718193248820392</v>
      </c>
      <c r="I72" t="n">
        <v>-0.0446512612093359</v>
      </c>
      <c r="J72" t="n">
        <v>0.0590151261857438</v>
      </c>
      <c r="K72" t="s">
        <v>860</v>
      </c>
      <c r="L72" t="s">
        <v>758</v>
      </c>
      <c r="M72" t="s">
        <v>411</v>
      </c>
      <c r="N72"/>
    </row>
    <row r="73">
      <c r="A73" t="s">
        <v>190</v>
      </c>
      <c r="B73" t="s">
        <v>333</v>
      </c>
      <c r="C73" t="n">
        <v>0.0520668667109593</v>
      </c>
      <c r="D73" t="n">
        <v>0.00760881361479293</v>
      </c>
      <c r="E73" t="n">
        <v>46.8262085793563</v>
      </c>
      <c r="F73" t="n">
        <v>0.00000000000775690622845104</v>
      </c>
      <c r="G73" t="s">
        <v>329</v>
      </c>
      <c r="H73" t="n">
        <v>0.0520668667109593</v>
      </c>
      <c r="I73" t="n">
        <v>0.0371535920259652</v>
      </c>
      <c r="J73" t="n">
        <v>0.0669801413959535</v>
      </c>
      <c r="K73" t="s">
        <v>792</v>
      </c>
      <c r="L73" t="s">
        <v>758</v>
      </c>
      <c r="M73" t="s">
        <v>411</v>
      </c>
      <c r="N73"/>
    </row>
    <row r="74">
      <c r="A74" t="s">
        <v>190</v>
      </c>
      <c r="B74" t="s">
        <v>327</v>
      </c>
      <c r="C74" t="n">
        <v>-0.000383198271239038</v>
      </c>
      <c r="D74" t="n">
        <v>0.000740515043718598</v>
      </c>
      <c r="E74" t="n">
        <v>0.267780723616671</v>
      </c>
      <c r="F74" t="n">
        <v>0.604824381621867</v>
      </c>
      <c r="G74" t="s">
        <v>329</v>
      </c>
      <c r="H74" t="n">
        <v>-0.000383198271239038</v>
      </c>
      <c r="I74" t="n">
        <v>-0.00183460775692749</v>
      </c>
      <c r="J74" t="n">
        <v>0.00106821121444941</v>
      </c>
      <c r="K74" t="s">
        <v>424</v>
      </c>
      <c r="L74" t="s">
        <v>758</v>
      </c>
      <c r="M74" t="s">
        <v>411</v>
      </c>
      <c r="N74"/>
    </row>
    <row r="75">
      <c r="A75" t="s">
        <v>190</v>
      </c>
      <c r="B75" t="s">
        <v>55</v>
      </c>
      <c r="C75" t="n">
        <v>-0.00288650883794204</v>
      </c>
      <c r="D75" t="n">
        <v>0.0023127367287124</v>
      </c>
      <c r="E75" t="n">
        <v>1.55773431906513</v>
      </c>
      <c r="F75" t="n">
        <v>0.211997268095137</v>
      </c>
      <c r="G75" t="s">
        <v>329</v>
      </c>
      <c r="H75" t="n">
        <v>-0.00288650883794204</v>
      </c>
      <c r="I75" t="n">
        <v>-0.00741947282621833</v>
      </c>
      <c r="J75" t="n">
        <v>0.00164645515033426</v>
      </c>
      <c r="K75" t="s">
        <v>861</v>
      </c>
      <c r="L75" t="s">
        <v>758</v>
      </c>
      <c r="M75" t="s">
        <v>411</v>
      </c>
      <c r="N75"/>
    </row>
    <row r="76">
      <c r="A76" t="s">
        <v>197</v>
      </c>
      <c r="B76" t="s">
        <v>328</v>
      </c>
      <c r="C76" t="n">
        <v>-0.00247733619094331</v>
      </c>
      <c r="D76" t="n">
        <v>0.0168234416620559</v>
      </c>
      <c r="E76" t="n">
        <v>0.0216840400841665</v>
      </c>
      <c r="F76" t="n">
        <v>0.88293073643009</v>
      </c>
      <c r="G76" t="s">
        <v>329</v>
      </c>
      <c r="H76" t="n">
        <v>-0.00247733619094331</v>
      </c>
      <c r="I76" t="n">
        <v>-0.0354512818485728</v>
      </c>
      <c r="J76" t="n">
        <v>0.0304966094666862</v>
      </c>
      <c r="K76" t="s">
        <v>862</v>
      </c>
      <c r="L76" t="s">
        <v>758</v>
      </c>
      <c r="M76" t="s">
        <v>411</v>
      </c>
      <c r="N76"/>
    </row>
    <row r="77">
      <c r="A77" t="s">
        <v>197</v>
      </c>
      <c r="B77" t="s">
        <v>333</v>
      </c>
      <c r="C77" t="n">
        <v>0.00650759850555392</v>
      </c>
      <c r="D77" t="n">
        <v>0.00493105975352783</v>
      </c>
      <c r="E77" t="n">
        <v>1.74165034841878</v>
      </c>
      <c r="F77" t="n">
        <v>0.186929852487545</v>
      </c>
      <c r="G77" t="s">
        <v>329</v>
      </c>
      <c r="H77" t="n">
        <v>0.00650759850555392</v>
      </c>
      <c r="I77" t="n">
        <v>-0.00315727861136062</v>
      </c>
      <c r="J77" t="n">
        <v>0.0161724756224685</v>
      </c>
      <c r="K77" t="s">
        <v>794</v>
      </c>
      <c r="L77" t="s">
        <v>758</v>
      </c>
      <c r="M77" t="s">
        <v>411</v>
      </c>
      <c r="N77"/>
    </row>
    <row r="78">
      <c r="A78" t="s">
        <v>197</v>
      </c>
      <c r="B78" t="s">
        <v>327</v>
      </c>
      <c r="C78" t="n">
        <v>-0.000533261503152114</v>
      </c>
      <c r="D78" t="n">
        <v>0.000449952355608548</v>
      </c>
      <c r="E78" t="n">
        <v>1.40458299262913</v>
      </c>
      <c r="F78" t="n">
        <v>0.23595773297519</v>
      </c>
      <c r="G78" t="s">
        <v>329</v>
      </c>
      <c r="H78" t="n">
        <v>-0.000533261503152114</v>
      </c>
      <c r="I78" t="n">
        <v>-0.00141516812014487</v>
      </c>
      <c r="J78" t="n">
        <v>0.000348645113840641</v>
      </c>
      <c r="K78" t="s">
        <v>544</v>
      </c>
      <c r="L78" t="s">
        <v>758</v>
      </c>
      <c r="M78" t="s">
        <v>411</v>
      </c>
      <c r="N78"/>
    </row>
    <row r="79">
      <c r="A79" t="s">
        <v>197</v>
      </c>
      <c r="B79" t="s">
        <v>55</v>
      </c>
      <c r="C79" t="n">
        <v>-0.00262255367693087</v>
      </c>
      <c r="D79" t="n">
        <v>0.00138245418572444</v>
      </c>
      <c r="E79" t="n">
        <v>3.59871352545568</v>
      </c>
      <c r="F79" t="n">
        <v>0.0578243021062064</v>
      </c>
      <c r="G79" t="s">
        <v>329</v>
      </c>
      <c r="H79" t="n">
        <v>-0.00262255367693087</v>
      </c>
      <c r="I79" t="n">
        <v>-0.00533216388095077</v>
      </c>
      <c r="J79" t="n">
        <v>0.0000870565270890333</v>
      </c>
      <c r="K79" t="s">
        <v>821</v>
      </c>
      <c r="L79" t="s">
        <v>758</v>
      </c>
      <c r="M79" t="s">
        <v>411</v>
      </c>
      <c r="N79"/>
    </row>
    <row r="80">
      <c r="A80" t="s">
        <v>205</v>
      </c>
      <c r="B80"/>
      <c r="C80"/>
      <c r="D80"/>
      <c r="E80"/>
      <c r="F80"/>
      <c r="G80"/>
      <c r="H80"/>
      <c r="I80"/>
      <c r="J80"/>
      <c r="K80"/>
      <c r="L80" t="s">
        <v>358</v>
      </c>
      <c r="M80"/>
      <c r="N80"/>
    </row>
    <row r="81">
      <c r="A81" t="s">
        <v>208</v>
      </c>
      <c r="B81"/>
      <c r="C81"/>
      <c r="D81"/>
      <c r="E81"/>
      <c r="F81"/>
      <c r="G81"/>
      <c r="H81"/>
      <c r="I81"/>
      <c r="J81"/>
      <c r="K81"/>
      <c r="L81" t="s">
        <v>358</v>
      </c>
      <c r="M81"/>
      <c r="N81"/>
    </row>
    <row r="82">
      <c r="A82" t="s">
        <v>392</v>
      </c>
      <c r="B82" t="s">
        <v>328</v>
      </c>
      <c r="C82" t="n">
        <v>-2.6123004440369</v>
      </c>
      <c r="D82" t="n">
        <v>1.3836404323013</v>
      </c>
      <c r="E82" t="n">
        <v>3.56450936279721</v>
      </c>
      <c r="F82" t="n">
        <v>0.0590271819203398</v>
      </c>
      <c r="G82" t="s">
        <v>359</v>
      </c>
      <c r="H82" t="n">
        <v>0.0733655760852102</v>
      </c>
      <c r="I82" t="n">
        <v>0.00487207335936271</v>
      </c>
      <c r="J82" t="n">
        <v>1.10476738696291</v>
      </c>
      <c r="K82" t="s">
        <v>863</v>
      </c>
      <c r="L82" t="s">
        <v>775</v>
      </c>
      <c r="M82" t="s">
        <v>411</v>
      </c>
      <c r="N82"/>
    </row>
    <row r="83">
      <c r="A83" t="s">
        <v>392</v>
      </c>
      <c r="B83" t="s">
        <v>333</v>
      </c>
      <c r="C83" t="n">
        <v>0.94823423767759</v>
      </c>
      <c r="D83" t="n">
        <v>0.343609318737683</v>
      </c>
      <c r="E83" t="n">
        <v>7.61555216975576</v>
      </c>
      <c r="F83" t="n">
        <v>0.00578670373694601</v>
      </c>
      <c r="G83" t="s">
        <v>359</v>
      </c>
      <c r="H83" t="n">
        <v>2.58114793926469</v>
      </c>
      <c r="I83" t="n">
        <v>1.31621470981737</v>
      </c>
      <c r="J83" t="n">
        <v>5.06173091265234</v>
      </c>
      <c r="K83" t="s">
        <v>864</v>
      </c>
      <c r="L83" t="s">
        <v>775</v>
      </c>
      <c r="M83" t="s">
        <v>411</v>
      </c>
      <c r="N83"/>
    </row>
    <row r="84">
      <c r="A84" t="s">
        <v>392</v>
      </c>
      <c r="B84" t="s">
        <v>327</v>
      </c>
      <c r="C84" t="n">
        <v>0.0261519851410766</v>
      </c>
      <c r="D84" t="n">
        <v>0.0382596881745828</v>
      </c>
      <c r="E84" t="n">
        <v>0.467225426808414</v>
      </c>
      <c r="F84" t="n">
        <v>0.494266378762826</v>
      </c>
      <c r="G84" t="s">
        <v>359</v>
      </c>
      <c r="H84" t="n">
        <v>1.02649694890186</v>
      </c>
      <c r="I84" t="n">
        <v>0.952336344366932</v>
      </c>
      <c r="J84" t="n">
        <v>1.10643260895947</v>
      </c>
      <c r="K84" t="s">
        <v>865</v>
      </c>
      <c r="L84" t="s">
        <v>775</v>
      </c>
      <c r="M84" t="s">
        <v>411</v>
      </c>
      <c r="N84"/>
    </row>
    <row r="85">
      <c r="A85" t="s">
        <v>392</v>
      </c>
      <c r="B85" t="s">
        <v>55</v>
      </c>
      <c r="C85" t="n">
        <v>0.00662979962520039</v>
      </c>
      <c r="D85" t="n">
        <v>0.0939079970849538</v>
      </c>
      <c r="E85" t="n">
        <v>0.00498420216993704</v>
      </c>
      <c r="F85" t="n">
        <v>0.943717000058329</v>
      </c>
      <c r="G85" t="s">
        <v>359</v>
      </c>
      <c r="H85" t="n">
        <v>1.00665182539531</v>
      </c>
      <c r="I85" t="n">
        <v>0.837419721618375</v>
      </c>
      <c r="J85" t="n">
        <v>1.21008363119673</v>
      </c>
      <c r="K85" t="s">
        <v>866</v>
      </c>
      <c r="L85" t="s">
        <v>775</v>
      </c>
      <c r="M85" t="s">
        <v>411</v>
      </c>
      <c r="N85"/>
    </row>
    <row r="86">
      <c r="A86" t="s">
        <v>396</v>
      </c>
      <c r="B86" t="s">
        <v>328</v>
      </c>
      <c r="C86" t="n">
        <v>-12.0271760221328</v>
      </c>
      <c r="D86" t="n">
        <v>2.76423194402458</v>
      </c>
      <c r="E86" t="n">
        <v>18.9312099206343</v>
      </c>
      <c r="F86" t="n">
        <v>0.000013551741863238</v>
      </c>
      <c r="G86" t="s">
        <v>359</v>
      </c>
      <c r="H86" t="n">
        <v>0.00000597948554998641</v>
      </c>
      <c r="I86" t="n">
        <v>0.0000000265278521220021</v>
      </c>
      <c r="J86" t="n">
        <v>0.00134780031485632</v>
      </c>
      <c r="K86" t="s">
        <v>867</v>
      </c>
      <c r="L86" t="s">
        <v>775</v>
      </c>
      <c r="M86" t="s">
        <v>411</v>
      </c>
      <c r="N86"/>
    </row>
    <row r="87">
      <c r="A87" t="s">
        <v>396</v>
      </c>
      <c r="B87" t="s">
        <v>333</v>
      </c>
      <c r="C87" t="n">
        <v>0.0989837906690567</v>
      </c>
      <c r="D87" t="n">
        <v>0.636607816009592</v>
      </c>
      <c r="E87" t="n">
        <v>0.0241759879277876</v>
      </c>
      <c r="F87" t="n">
        <v>0.876437957563452</v>
      </c>
      <c r="G87" t="s">
        <v>359</v>
      </c>
      <c r="H87" t="n">
        <v>1.10404840352789</v>
      </c>
      <c r="I87" t="n">
        <v>0.317027255688907</v>
      </c>
      <c r="J87" t="n">
        <v>3.84485199761055</v>
      </c>
      <c r="K87" t="s">
        <v>868</v>
      </c>
      <c r="L87" t="s">
        <v>775</v>
      </c>
      <c r="M87" t="s">
        <v>411</v>
      </c>
      <c r="N87"/>
    </row>
    <row r="88">
      <c r="A88" t="s">
        <v>396</v>
      </c>
      <c r="B88" t="s">
        <v>327</v>
      </c>
      <c r="C88" t="n">
        <v>0.226026427616458</v>
      </c>
      <c r="D88" t="n">
        <v>0.069174056487905</v>
      </c>
      <c r="E88" t="n">
        <v>10.6765749594207</v>
      </c>
      <c r="F88" t="n">
        <v>0.0010850076902964</v>
      </c>
      <c r="G88" t="s">
        <v>359</v>
      </c>
      <c r="H88" t="n">
        <v>1.25360879473283</v>
      </c>
      <c r="I88" t="n">
        <v>1.0946616027264</v>
      </c>
      <c r="J88" t="n">
        <v>1.43563545694614</v>
      </c>
      <c r="K88" t="s">
        <v>869</v>
      </c>
      <c r="L88" t="s">
        <v>775</v>
      </c>
      <c r="M88" t="s">
        <v>411</v>
      </c>
      <c r="N88"/>
    </row>
    <row r="89">
      <c r="A89" t="s">
        <v>396</v>
      </c>
      <c r="B89" t="s">
        <v>55</v>
      </c>
      <c r="C89" t="n">
        <v>-0.175396073285572</v>
      </c>
      <c r="D89" t="n">
        <v>0.211350261597527</v>
      </c>
      <c r="E89" t="n">
        <v>0.688706454455297</v>
      </c>
      <c r="F89" t="n">
        <v>0.406604712269133</v>
      </c>
      <c r="G89" t="s">
        <v>359</v>
      </c>
      <c r="H89" t="n">
        <v>0.839124600104713</v>
      </c>
      <c r="I89" t="n">
        <v>0.554525444467803</v>
      </c>
      <c r="J89" t="n">
        <v>1.26978861209276</v>
      </c>
      <c r="K89" t="s">
        <v>870</v>
      </c>
      <c r="L89" t="s">
        <v>775</v>
      </c>
      <c r="M89" t="s">
        <v>411</v>
      </c>
      <c r="N89"/>
    </row>
    <row r="90">
      <c r="A90" t="s">
        <v>400</v>
      </c>
      <c r="B90"/>
      <c r="C90"/>
      <c r="D90"/>
      <c r="E90"/>
      <c r="F90"/>
      <c r="G90"/>
      <c r="H90"/>
      <c r="I90"/>
      <c r="J90"/>
      <c r="K90"/>
      <c r="L90" t="s">
        <v>369</v>
      </c>
      <c r="M90"/>
      <c r="N90"/>
    </row>
  </sheetData>
  <pageMargins left="0.7" right="0.7" top="0.75" bottom="0.75" header="0.3" footer="0.3"/>
  <pageSetup paperSize="9" orientation="portrait" horizontalDpi="300" verticalDpi="300"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10" t="s">
        <v>492</v>
      </c>
    </row>
    <row r="3">
      <c r="A3" s="1" t="s">
        <v>871</v>
      </c>
    </row>
    <row r="4">
      <c r="A4" t="s">
        <v>314</v>
      </c>
      <c r="B4" t="s">
        <v>494</v>
      </c>
      <c r="C4" t="s">
        <v>163</v>
      </c>
      <c r="D4" t="s">
        <v>495</v>
      </c>
      <c r="E4" t="s">
        <v>496</v>
      </c>
      <c r="F4" t="s">
        <v>1</v>
      </c>
    </row>
    <row r="5">
      <c r="A5" t="s">
        <v>165</v>
      </c>
      <c r="B5" t="s">
        <v>497</v>
      </c>
      <c r="C5" t="s">
        <v>872</v>
      </c>
      <c r="D5" t="s">
        <v>873</v>
      </c>
      <c r="E5" t="s">
        <v>874</v>
      </c>
      <c r="F5" t="s">
        <v>107</v>
      </c>
    </row>
    <row r="6">
      <c r="A6" t="s">
        <v>174</v>
      </c>
      <c r="B6" t="s">
        <v>497</v>
      </c>
      <c r="C6" t="s">
        <v>875</v>
      </c>
      <c r="D6" t="s">
        <v>876</v>
      </c>
      <c r="E6" t="s">
        <v>874</v>
      </c>
      <c r="F6" t="s">
        <v>107</v>
      </c>
    </row>
    <row r="7">
      <c r="A7" t="s">
        <v>182</v>
      </c>
      <c r="B7" t="s">
        <v>497</v>
      </c>
      <c r="C7" t="s">
        <v>877</v>
      </c>
      <c r="D7" t="s">
        <v>878</v>
      </c>
      <c r="E7" t="s">
        <v>874</v>
      </c>
      <c r="F7" t="s">
        <v>107</v>
      </c>
    </row>
    <row r="8">
      <c r="A8" t="s">
        <v>190</v>
      </c>
      <c r="B8" t="s">
        <v>497</v>
      </c>
      <c r="C8" t="s">
        <v>510</v>
      </c>
      <c r="D8" t="s">
        <v>50</v>
      </c>
      <c r="E8" t="s">
        <v>874</v>
      </c>
      <c r="F8" t="s">
        <v>107</v>
      </c>
    </row>
    <row r="9">
      <c r="A9" t="s">
        <v>197</v>
      </c>
      <c r="B9" t="s">
        <v>497</v>
      </c>
      <c r="C9" t="s">
        <v>513</v>
      </c>
      <c r="D9" t="s">
        <v>879</v>
      </c>
      <c r="E9" t="s">
        <v>874</v>
      </c>
      <c r="F9" t="s">
        <v>107</v>
      </c>
    </row>
    <row r="10">
      <c r="A10" t="s">
        <v>205</v>
      </c>
      <c r="B10" t="s">
        <v>107</v>
      </c>
      <c r="C10" t="s">
        <v>107</v>
      </c>
      <c r="D10" t="s">
        <v>107</v>
      </c>
      <c r="E10"/>
      <c r="F10" t="s">
        <v>517</v>
      </c>
    </row>
    <row r="11">
      <c r="A11" t="s">
        <v>208</v>
      </c>
      <c r="B11" t="s">
        <v>107</v>
      </c>
      <c r="C11" t="s">
        <v>107</v>
      </c>
      <c r="D11" t="s">
        <v>107</v>
      </c>
      <c r="E11"/>
      <c r="F11" t="s">
        <v>517</v>
      </c>
    </row>
    <row r="12">
      <c r="A12" t="s">
        <v>392</v>
      </c>
      <c r="B12" t="s">
        <v>497</v>
      </c>
      <c r="C12" t="s">
        <v>880</v>
      </c>
      <c r="D12" t="s">
        <v>881</v>
      </c>
      <c r="E12" t="s">
        <v>882</v>
      </c>
      <c r="F12" t="s">
        <v>107</v>
      </c>
    </row>
    <row r="13">
      <c r="A13" t="s">
        <v>396</v>
      </c>
      <c r="B13" t="s">
        <v>497</v>
      </c>
      <c r="C13" t="s">
        <v>883</v>
      </c>
      <c r="D13" t="s">
        <v>884</v>
      </c>
      <c r="E13" t="s">
        <v>885</v>
      </c>
      <c r="F13" t="s">
        <v>886</v>
      </c>
    </row>
    <row r="14">
      <c r="A14" t="s">
        <v>400</v>
      </c>
      <c r="B14" t="s">
        <v>107</v>
      </c>
      <c r="C14" t="s">
        <v>107</v>
      </c>
      <c r="D14" t="s">
        <v>107</v>
      </c>
      <c r="E14"/>
      <c r="F14" t="s">
        <v>527</v>
      </c>
    </row>
    <row r="16">
      <c r="A16" s="1" t="s">
        <v>528</v>
      </c>
    </row>
    <row r="17">
      <c r="A17" t="s">
        <v>314</v>
      </c>
      <c r="B17" t="s">
        <v>315</v>
      </c>
      <c r="C17" t="s">
        <v>316</v>
      </c>
      <c r="D17" t="s">
        <v>317</v>
      </c>
      <c r="E17" t="s">
        <v>318</v>
      </c>
      <c r="F17" t="s">
        <v>319</v>
      </c>
      <c r="G17" t="s">
        <v>320</v>
      </c>
      <c r="H17" t="s">
        <v>321</v>
      </c>
      <c r="I17" t="s">
        <v>322</v>
      </c>
      <c r="J17" t="s">
        <v>323</v>
      </c>
      <c r="K17" t="s">
        <v>324</v>
      </c>
      <c r="L17" t="s">
        <v>325</v>
      </c>
    </row>
    <row r="18">
      <c r="A18" t="s">
        <v>165</v>
      </c>
      <c r="B18" t="s">
        <v>328</v>
      </c>
      <c r="C18" t="n">
        <v>135.651152865747</v>
      </c>
      <c r="D18" t="n">
        <v>141.418690413049</v>
      </c>
      <c r="E18" t="n">
        <v>0.920096451412011</v>
      </c>
      <c r="F18" t="n">
        <v>0.337449648550741</v>
      </c>
      <c r="G18" t="s">
        <v>329</v>
      </c>
      <c r="H18" t="n">
        <v>135.651152865747</v>
      </c>
      <c r="I18" t="n">
        <v>-141.52948034383</v>
      </c>
      <c r="J18" t="n">
        <v>412.831786075323</v>
      </c>
      <c r="K18" t="s">
        <v>887</v>
      </c>
      <c r="L18" t="s">
        <v>888</v>
      </c>
    </row>
    <row r="19">
      <c r="A19" t="s">
        <v>165</v>
      </c>
      <c r="B19" t="s">
        <v>333</v>
      </c>
      <c r="C19" t="n">
        <v>-14.4861173058064</v>
      </c>
      <c r="D19" t="n">
        <v>12.0491782457073</v>
      </c>
      <c r="E19" t="n">
        <v>1.4454036176874</v>
      </c>
      <c r="F19" t="n">
        <v>0.229266915285898</v>
      </c>
      <c r="G19" t="s">
        <v>329</v>
      </c>
      <c r="H19" t="n">
        <v>-14.4861173058064</v>
      </c>
      <c r="I19" t="n">
        <v>-38.1025066673927</v>
      </c>
      <c r="J19" t="n">
        <v>9.13027205577992</v>
      </c>
      <c r="K19" t="s">
        <v>889</v>
      </c>
      <c r="L19" t="s">
        <v>888</v>
      </c>
    </row>
    <row r="20">
      <c r="A20" t="s">
        <v>165</v>
      </c>
      <c r="B20" t="s">
        <v>327</v>
      </c>
      <c r="C20" t="n">
        <v>1.61799010902741</v>
      </c>
      <c r="D20" t="n">
        <v>1.30100081171338</v>
      </c>
      <c r="E20" t="n">
        <v>1.54666618194693</v>
      </c>
      <c r="F20" t="n">
        <v>0.213628278300797</v>
      </c>
      <c r="G20" t="s">
        <v>329</v>
      </c>
      <c r="H20" t="n">
        <v>1.61799010902741</v>
      </c>
      <c r="I20" t="n">
        <v>-0.931971481930822</v>
      </c>
      <c r="J20" t="n">
        <v>4.16795169998564</v>
      </c>
      <c r="K20" t="s">
        <v>890</v>
      </c>
      <c r="L20" t="s">
        <v>888</v>
      </c>
    </row>
    <row r="21">
      <c r="A21" t="s">
        <v>165</v>
      </c>
      <c r="B21" t="s">
        <v>55</v>
      </c>
      <c r="C21" t="n">
        <v>-2.05358282748569</v>
      </c>
      <c r="D21" t="n">
        <v>3.34416522473531</v>
      </c>
      <c r="E21" t="n">
        <v>0.37709345543696</v>
      </c>
      <c r="F21" t="n">
        <v>0.53916288928211</v>
      </c>
      <c r="G21" t="s">
        <v>329</v>
      </c>
      <c r="H21" t="n">
        <v>-2.05358282748569</v>
      </c>
      <c r="I21" t="n">
        <v>-8.6081466679669</v>
      </c>
      <c r="J21" t="n">
        <v>4.50098101299553</v>
      </c>
      <c r="K21" t="s">
        <v>891</v>
      </c>
      <c r="L21" t="s">
        <v>888</v>
      </c>
    </row>
    <row r="22">
      <c r="A22" t="s">
        <v>165</v>
      </c>
      <c r="B22" t="s">
        <v>89</v>
      </c>
      <c r="C22" t="n">
        <v>-0.0296043598616904</v>
      </c>
      <c r="D22" t="n">
        <v>0.257271435227483</v>
      </c>
      <c r="E22" t="n">
        <v>0.0132412263880299</v>
      </c>
      <c r="F22" t="n">
        <v>0.908389220037932</v>
      </c>
      <c r="G22" t="s">
        <v>329</v>
      </c>
      <c r="H22" t="n">
        <v>-0.0296043598616904</v>
      </c>
      <c r="I22" t="n">
        <v>-0.533856372907557</v>
      </c>
      <c r="J22" t="n">
        <v>0.474647653184176</v>
      </c>
      <c r="K22" t="s">
        <v>892</v>
      </c>
      <c r="L22" t="s">
        <v>888</v>
      </c>
    </row>
    <row r="23">
      <c r="A23" t="s">
        <v>174</v>
      </c>
      <c r="B23" t="s">
        <v>328</v>
      </c>
      <c r="C23" t="n">
        <v>0.375940394151208</v>
      </c>
      <c r="D23" t="n">
        <v>0.612439906330858</v>
      </c>
      <c r="E23" t="n">
        <v>0.376800110987941</v>
      </c>
      <c r="F23" t="n">
        <v>0.539320757598078</v>
      </c>
      <c r="G23" t="s">
        <v>329</v>
      </c>
      <c r="H23" t="n">
        <v>0.375940394151208</v>
      </c>
      <c r="I23" t="n">
        <v>-0.824441822257273</v>
      </c>
      <c r="J23" t="n">
        <v>1.57632261055969</v>
      </c>
      <c r="K23" t="s">
        <v>893</v>
      </c>
      <c r="L23" t="s">
        <v>888</v>
      </c>
    </row>
    <row r="24">
      <c r="A24" t="s">
        <v>174</v>
      </c>
      <c r="B24" t="s">
        <v>333</v>
      </c>
      <c r="C24" t="n">
        <v>-0.176793836471765</v>
      </c>
      <c r="D24" t="n">
        <v>0.0587988768785883</v>
      </c>
      <c r="E24" t="n">
        <v>9.04057761643231</v>
      </c>
      <c r="F24" t="n">
        <v>0.0026405219692448</v>
      </c>
      <c r="G24" t="s">
        <v>329</v>
      </c>
      <c r="H24" t="n">
        <v>-0.176793836471765</v>
      </c>
      <c r="I24" t="n">
        <v>-0.292039635153798</v>
      </c>
      <c r="J24" t="n">
        <v>-0.061548037789732</v>
      </c>
      <c r="K24" t="s">
        <v>894</v>
      </c>
      <c r="L24" t="s">
        <v>888</v>
      </c>
    </row>
    <row r="25">
      <c r="A25" t="s">
        <v>174</v>
      </c>
      <c r="B25" t="s">
        <v>327</v>
      </c>
      <c r="C25" t="n">
        <v>0.00663959895408654</v>
      </c>
      <c r="D25" t="n">
        <v>0.00595524346112689</v>
      </c>
      <c r="E25" t="n">
        <v>1.24303871126952</v>
      </c>
      <c r="F25" t="n">
        <v>0.264886222746054</v>
      </c>
      <c r="G25" t="s">
        <v>329</v>
      </c>
      <c r="H25" t="n">
        <v>0.00663959895408654</v>
      </c>
      <c r="I25" t="n">
        <v>-0.00503267822972217</v>
      </c>
      <c r="J25" t="n">
        <v>0.0183118761378952</v>
      </c>
      <c r="K25" t="s">
        <v>895</v>
      </c>
      <c r="L25" t="s">
        <v>888</v>
      </c>
    </row>
    <row r="26">
      <c r="A26" t="s">
        <v>174</v>
      </c>
      <c r="B26" t="s">
        <v>55</v>
      </c>
      <c r="C26" t="n">
        <v>0.00499042368116587</v>
      </c>
      <c r="D26" t="n">
        <v>0.0140151997013778</v>
      </c>
      <c r="E26" t="n">
        <v>0.126787446676216</v>
      </c>
      <c r="F26" t="n">
        <v>0.721786458939697</v>
      </c>
      <c r="G26" t="s">
        <v>329</v>
      </c>
      <c r="H26" t="n">
        <v>0.00499042368116587</v>
      </c>
      <c r="I26" t="n">
        <v>-0.0224793677335346</v>
      </c>
      <c r="J26" t="n">
        <v>0.0324602150958663</v>
      </c>
      <c r="K26" t="s">
        <v>896</v>
      </c>
      <c r="L26" t="s">
        <v>888</v>
      </c>
    </row>
    <row r="27">
      <c r="A27" t="s">
        <v>174</v>
      </c>
      <c r="B27" t="s">
        <v>89</v>
      </c>
      <c r="C27" t="n">
        <v>-0.00104233537392589</v>
      </c>
      <c r="D27" t="n">
        <v>0.00113918580854043</v>
      </c>
      <c r="E27" t="n">
        <v>0.837193448968332</v>
      </c>
      <c r="F27" t="n">
        <v>0.360200681385172</v>
      </c>
      <c r="G27" t="s">
        <v>329</v>
      </c>
      <c r="H27" t="n">
        <v>-0.00104233537392589</v>
      </c>
      <c r="I27" t="n">
        <v>-0.00327513955866513</v>
      </c>
      <c r="J27" t="n">
        <v>0.00119046881081336</v>
      </c>
      <c r="K27" t="s">
        <v>430</v>
      </c>
      <c r="L27" t="s">
        <v>888</v>
      </c>
    </row>
    <row r="28">
      <c r="A28" t="s">
        <v>182</v>
      </c>
      <c r="B28" t="s">
        <v>328</v>
      </c>
      <c r="C28" t="n">
        <v>-0.197362009997002</v>
      </c>
      <c r="D28" t="n">
        <v>0.267112508719394</v>
      </c>
      <c r="E28" t="n">
        <v>0.545932144706659</v>
      </c>
      <c r="F28" t="n">
        <v>0.45998459779824</v>
      </c>
      <c r="G28" t="s">
        <v>329</v>
      </c>
      <c r="H28" t="n">
        <v>-0.197362009997002</v>
      </c>
      <c r="I28" t="n">
        <v>-0.720902527087014</v>
      </c>
      <c r="J28" t="n">
        <v>0.326178507093011</v>
      </c>
      <c r="K28" t="s">
        <v>897</v>
      </c>
      <c r="L28" t="s">
        <v>888</v>
      </c>
    </row>
    <row r="29">
      <c r="A29" t="s">
        <v>182</v>
      </c>
      <c r="B29" t="s">
        <v>333</v>
      </c>
      <c r="C29" t="n">
        <v>-0.0163860470985189</v>
      </c>
      <c r="D29" t="n">
        <v>0.0268634768161449</v>
      </c>
      <c r="E29" t="n">
        <v>0.372069401969478</v>
      </c>
      <c r="F29" t="n">
        <v>0.541878421996784</v>
      </c>
      <c r="G29" t="s">
        <v>329</v>
      </c>
      <c r="H29" t="n">
        <v>-0.0163860470985189</v>
      </c>
      <c r="I29" t="n">
        <v>-0.0690384616581629</v>
      </c>
      <c r="J29" t="n">
        <v>0.0362663674611251</v>
      </c>
      <c r="K29" t="s">
        <v>898</v>
      </c>
      <c r="L29" t="s">
        <v>888</v>
      </c>
    </row>
    <row r="30">
      <c r="A30" t="s">
        <v>182</v>
      </c>
      <c r="B30" t="s">
        <v>327</v>
      </c>
      <c r="C30" t="n">
        <v>0.00594243138620979</v>
      </c>
      <c r="D30" t="n">
        <v>0.00294376422417756</v>
      </c>
      <c r="E30" t="n">
        <v>4.0749502021112</v>
      </c>
      <c r="F30" t="n">
        <v>0.0435235489522412</v>
      </c>
      <c r="G30" t="s">
        <v>329</v>
      </c>
      <c r="H30" t="n">
        <v>0.00594243138620979</v>
      </c>
      <c r="I30" t="n">
        <v>0.000172653506821776</v>
      </c>
      <c r="J30" t="n">
        <v>0.0117122092655978</v>
      </c>
      <c r="K30" t="s">
        <v>899</v>
      </c>
      <c r="L30" t="s">
        <v>888</v>
      </c>
    </row>
    <row r="31">
      <c r="A31" t="s">
        <v>182</v>
      </c>
      <c r="B31" t="s">
        <v>55</v>
      </c>
      <c r="C31" t="n">
        <v>0.0074343137300425</v>
      </c>
      <c r="D31" t="n">
        <v>0.00696850911121575</v>
      </c>
      <c r="E31" t="n">
        <v>1.13815660895307</v>
      </c>
      <c r="F31" t="n">
        <v>0.28604218252495</v>
      </c>
      <c r="G31" t="s">
        <v>329</v>
      </c>
      <c r="H31" t="n">
        <v>0.0074343137300425</v>
      </c>
      <c r="I31" t="n">
        <v>-0.00622396412794037</v>
      </c>
      <c r="J31" t="n">
        <v>0.0210925915880254</v>
      </c>
      <c r="K31" t="s">
        <v>859</v>
      </c>
      <c r="L31" t="s">
        <v>888</v>
      </c>
    </row>
    <row r="32">
      <c r="A32" t="s">
        <v>182</v>
      </c>
      <c r="B32" t="s">
        <v>89</v>
      </c>
      <c r="C32" t="n">
        <v>-0.000373657498227415</v>
      </c>
      <c r="D32" t="n">
        <v>0.000530042628912277</v>
      </c>
      <c r="E32" t="n">
        <v>0.496965001411095</v>
      </c>
      <c r="F32" t="n">
        <v>0.480836718359356</v>
      </c>
      <c r="G32" t="s">
        <v>329</v>
      </c>
      <c r="H32" t="n">
        <v>-0.000373657498227415</v>
      </c>
      <c r="I32" t="n">
        <v>-0.00141254105089548</v>
      </c>
      <c r="J32" t="n">
        <v>0.000665226054440649</v>
      </c>
      <c r="K32" t="s">
        <v>548</v>
      </c>
      <c r="L32" t="s">
        <v>888</v>
      </c>
    </row>
    <row r="33">
      <c r="A33" t="s">
        <v>190</v>
      </c>
      <c r="B33" t="s">
        <v>328</v>
      </c>
      <c r="C33" t="n">
        <v>-0.211594051243806</v>
      </c>
      <c r="D33" t="n">
        <v>0.0759817632995572</v>
      </c>
      <c r="E33" t="n">
        <v>7.75511373803416</v>
      </c>
      <c r="F33" t="n">
        <v>0.00535606684570045</v>
      </c>
      <c r="G33" t="s">
        <v>329</v>
      </c>
      <c r="H33" t="n">
        <v>-0.211594051243806</v>
      </c>
      <c r="I33" t="n">
        <v>-0.360518307310938</v>
      </c>
      <c r="J33" t="n">
        <v>-0.0626697951766738</v>
      </c>
      <c r="K33" t="s">
        <v>900</v>
      </c>
      <c r="L33" t="s">
        <v>888</v>
      </c>
    </row>
    <row r="34">
      <c r="A34" t="s">
        <v>190</v>
      </c>
      <c r="B34" t="s">
        <v>333</v>
      </c>
      <c r="C34" t="n">
        <v>0.0528576268833253</v>
      </c>
      <c r="D34" t="n">
        <v>0.0073995909617517</v>
      </c>
      <c r="E34" t="n">
        <v>51.0269835029405</v>
      </c>
      <c r="F34" t="n">
        <v>0.000000000000911049014007403</v>
      </c>
      <c r="G34" t="s">
        <v>329</v>
      </c>
      <c r="H34" t="n">
        <v>0.0528576268833253</v>
      </c>
      <c r="I34" t="n">
        <v>0.038354428598292</v>
      </c>
      <c r="J34" t="n">
        <v>0.0673608251683587</v>
      </c>
      <c r="K34" t="s">
        <v>901</v>
      </c>
      <c r="L34" t="s">
        <v>888</v>
      </c>
    </row>
    <row r="35">
      <c r="A35" t="s">
        <v>190</v>
      </c>
      <c r="B35" t="s">
        <v>327</v>
      </c>
      <c r="C35" t="n">
        <v>-0.00105855251801307</v>
      </c>
      <c r="D35" t="n">
        <v>0.000758198744766871</v>
      </c>
      <c r="E35" t="n">
        <v>1.94921029694584</v>
      </c>
      <c r="F35" t="n">
        <v>0.162671974169289</v>
      </c>
      <c r="G35" t="s">
        <v>329</v>
      </c>
      <c r="H35" t="n">
        <v>-0.00105855251801307</v>
      </c>
      <c r="I35" t="n">
        <v>-0.00254462205775613</v>
      </c>
      <c r="J35" t="n">
        <v>0.000427517021730002</v>
      </c>
      <c r="K35" t="s">
        <v>902</v>
      </c>
      <c r="L35" t="s">
        <v>888</v>
      </c>
    </row>
    <row r="36">
      <c r="A36" t="s">
        <v>190</v>
      </c>
      <c r="B36" t="s">
        <v>55</v>
      </c>
      <c r="C36" t="n">
        <v>-0.00321153744922402</v>
      </c>
      <c r="D36" t="n">
        <v>0.00233687712201803</v>
      </c>
      <c r="E36" t="n">
        <v>1.88866193536112</v>
      </c>
      <c r="F36" t="n">
        <v>0.169352919297471</v>
      </c>
      <c r="G36" t="s">
        <v>329</v>
      </c>
      <c r="H36" t="n">
        <v>-0.00321153744922402</v>
      </c>
      <c r="I36" t="n">
        <v>-0.00779181660837935</v>
      </c>
      <c r="J36" t="n">
        <v>0.00136874170993131</v>
      </c>
      <c r="K36" t="s">
        <v>903</v>
      </c>
      <c r="L36" t="s">
        <v>888</v>
      </c>
    </row>
    <row r="37">
      <c r="A37" t="s">
        <v>190</v>
      </c>
      <c r="B37" t="s">
        <v>89</v>
      </c>
      <c r="C37" t="n">
        <v>0.000448521878607332</v>
      </c>
      <c r="D37" t="n">
        <v>0.000147000767893893</v>
      </c>
      <c r="E37" t="n">
        <v>9.30953648273931</v>
      </c>
      <c r="F37" t="n">
        <v>0.00227964147593118</v>
      </c>
      <c r="G37" t="s">
        <v>329</v>
      </c>
      <c r="H37" t="n">
        <v>0.000448521878607332</v>
      </c>
      <c r="I37" t="n">
        <v>0.000160400373535301</v>
      </c>
      <c r="J37" t="n">
        <v>0.000736643383679362</v>
      </c>
      <c r="K37" t="s">
        <v>867</v>
      </c>
      <c r="L37" t="s">
        <v>888</v>
      </c>
    </row>
    <row r="38">
      <c r="A38" t="s">
        <v>197</v>
      </c>
      <c r="B38" t="s">
        <v>328</v>
      </c>
      <c r="C38" t="n">
        <v>-0.111711331832815</v>
      </c>
      <c r="D38" t="n">
        <v>0.0450600736463785</v>
      </c>
      <c r="E38" t="n">
        <v>6.14625627488727</v>
      </c>
      <c r="F38" t="n">
        <v>0.0131690580913736</v>
      </c>
      <c r="G38" t="s">
        <v>329</v>
      </c>
      <c r="H38" t="n">
        <v>-0.111711331832815</v>
      </c>
      <c r="I38" t="n">
        <v>-0.200029076179717</v>
      </c>
      <c r="J38" t="n">
        <v>-0.0233935874859136</v>
      </c>
      <c r="K38" t="s">
        <v>904</v>
      </c>
      <c r="L38" t="s">
        <v>888</v>
      </c>
    </row>
    <row r="39">
      <c r="A39" t="s">
        <v>197</v>
      </c>
      <c r="B39" t="s">
        <v>333</v>
      </c>
      <c r="C39" t="n">
        <v>0.0069024219763413</v>
      </c>
      <c r="D39" t="n">
        <v>0.00485795773148914</v>
      </c>
      <c r="E39" t="n">
        <v>2.01881047193893</v>
      </c>
      <c r="F39" t="n">
        <v>0.155360806282639</v>
      </c>
      <c r="G39" t="s">
        <v>329</v>
      </c>
      <c r="H39" t="n">
        <v>0.0069024219763413</v>
      </c>
      <c r="I39" t="n">
        <v>-0.00261917517737742</v>
      </c>
      <c r="J39" t="n">
        <v>0.01642401913006</v>
      </c>
      <c r="K39" t="s">
        <v>794</v>
      </c>
      <c r="L39" t="s">
        <v>888</v>
      </c>
    </row>
    <row r="40">
      <c r="A40" t="s">
        <v>197</v>
      </c>
      <c r="B40" t="s">
        <v>327</v>
      </c>
      <c r="C40" t="n">
        <v>-0.000870463245273862</v>
      </c>
      <c r="D40" t="n">
        <v>0.000477581565204639</v>
      </c>
      <c r="E40" t="n">
        <v>3.32204695786355</v>
      </c>
      <c r="F40" t="n">
        <v>0.0683566697702092</v>
      </c>
      <c r="G40" t="s">
        <v>329</v>
      </c>
      <c r="H40" t="n">
        <v>-0.000870463245273862</v>
      </c>
      <c r="I40" t="n">
        <v>-0.00180652311307495</v>
      </c>
      <c r="J40" t="n">
        <v>0.0000655966225272299</v>
      </c>
      <c r="K40" t="s">
        <v>905</v>
      </c>
      <c r="L40" t="s">
        <v>888</v>
      </c>
    </row>
    <row r="41">
      <c r="A41" t="s">
        <v>197</v>
      </c>
      <c r="B41" t="s">
        <v>55</v>
      </c>
      <c r="C41" t="n">
        <v>-0.00278483919521587</v>
      </c>
      <c r="D41" t="n">
        <v>0.00137444102162405</v>
      </c>
      <c r="E41" t="n">
        <v>4.10532957844027</v>
      </c>
      <c r="F41" t="n">
        <v>0.0427482588995969</v>
      </c>
      <c r="G41" t="s">
        <v>329</v>
      </c>
      <c r="H41" t="n">
        <v>-0.00278483919521587</v>
      </c>
      <c r="I41" t="n">
        <v>-0.00547874359759901</v>
      </c>
      <c r="J41" t="n">
        <v>-0.0000909347928327209</v>
      </c>
      <c r="K41" t="s">
        <v>906</v>
      </c>
      <c r="L41" t="s">
        <v>888</v>
      </c>
    </row>
    <row r="42">
      <c r="A42" t="s">
        <v>197</v>
      </c>
      <c r="B42" t="s">
        <v>89</v>
      </c>
      <c r="C42" t="n">
        <v>0.000223945225144514</v>
      </c>
      <c r="D42" t="n">
        <v>0.0000880601844820704</v>
      </c>
      <c r="E42" t="n">
        <v>6.46732122168526</v>
      </c>
      <c r="F42" t="n">
        <v>0.0109876028494301</v>
      </c>
      <c r="G42" t="s">
        <v>329</v>
      </c>
      <c r="H42" t="n">
        <v>0.000223945225144514</v>
      </c>
      <c r="I42" t="n">
        <v>0.0000513472635596561</v>
      </c>
      <c r="J42" t="n">
        <v>0.000396543186729372</v>
      </c>
      <c r="K42" t="s">
        <v>907</v>
      </c>
      <c r="L42" t="s">
        <v>888</v>
      </c>
    </row>
    <row r="43">
      <c r="A43" t="s">
        <v>392</v>
      </c>
      <c r="B43" t="s">
        <v>328</v>
      </c>
      <c r="C43" t="n">
        <v>0.0930221522640439</v>
      </c>
      <c r="D43" t="n">
        <v>4.08392306633579</v>
      </c>
      <c r="E43" t="n">
        <v>0.000518821139094615</v>
      </c>
      <c r="F43" t="n">
        <v>0.981827639625088</v>
      </c>
      <c r="G43" t="s">
        <v>359</v>
      </c>
      <c r="H43" t="n">
        <v>1.0974860467995</v>
      </c>
      <c r="I43" t="n">
        <v>0.000366516485131528</v>
      </c>
      <c r="J43" t="n">
        <v>3286.27953115765</v>
      </c>
      <c r="K43" t="s">
        <v>908</v>
      </c>
      <c r="L43" t="s">
        <v>909</v>
      </c>
    </row>
    <row r="44">
      <c r="A44" t="s">
        <v>392</v>
      </c>
      <c r="B44" t="s">
        <v>333</v>
      </c>
      <c r="C44" t="n">
        <v>0.941292649737783</v>
      </c>
      <c r="D44" t="n">
        <v>0.343884037127252</v>
      </c>
      <c r="E44" t="n">
        <v>7.49247498441141</v>
      </c>
      <c r="F44" t="n">
        <v>0.00619573434341791</v>
      </c>
      <c r="G44" t="s">
        <v>359</v>
      </c>
      <c r="H44" t="n">
        <v>2.56329271735223</v>
      </c>
      <c r="I44" t="n">
        <v>1.30640610651228</v>
      </c>
      <c r="J44" t="n">
        <v>5.02942348637071</v>
      </c>
      <c r="K44" t="s">
        <v>910</v>
      </c>
      <c r="L44" t="s">
        <v>909</v>
      </c>
    </row>
    <row r="45">
      <c r="A45" t="s">
        <v>392</v>
      </c>
      <c r="B45" t="s">
        <v>327</v>
      </c>
      <c r="C45" t="n">
        <v>0.0342584967508121</v>
      </c>
      <c r="D45" t="n">
        <v>0.0409205912485567</v>
      </c>
      <c r="E45" t="n">
        <v>0.70089474625063</v>
      </c>
      <c r="F45" t="n">
        <v>0.402483209784799</v>
      </c>
      <c r="G45" t="s">
        <v>359</v>
      </c>
      <c r="H45" t="n">
        <v>1.03485207805614</v>
      </c>
      <c r="I45" t="n">
        <v>0.955093667560034</v>
      </c>
      <c r="J45" t="n">
        <v>1.12127099134997</v>
      </c>
      <c r="K45" t="s">
        <v>911</v>
      </c>
      <c r="L45" t="s">
        <v>909</v>
      </c>
    </row>
    <row r="46">
      <c r="A46" t="s">
        <v>392</v>
      </c>
      <c r="B46" t="s">
        <v>55</v>
      </c>
      <c r="C46" t="n">
        <v>0.0123641668419506</v>
      </c>
      <c r="D46" t="n">
        <v>0.095978065009663</v>
      </c>
      <c r="E46" t="n">
        <v>0.016595323916954</v>
      </c>
      <c r="F46" t="n">
        <v>0.897497832988405</v>
      </c>
      <c r="G46" t="s">
        <v>359</v>
      </c>
      <c r="H46" t="n">
        <v>1.01244091915273</v>
      </c>
      <c r="I46" t="n">
        <v>0.838825281290728</v>
      </c>
      <c r="J46" t="n">
        <v>1.22199060714714</v>
      </c>
      <c r="K46" t="s">
        <v>912</v>
      </c>
      <c r="L46" t="s">
        <v>909</v>
      </c>
    </row>
    <row r="47">
      <c r="A47" t="s">
        <v>392</v>
      </c>
      <c r="B47" t="s">
        <v>89</v>
      </c>
      <c r="C47" t="n">
        <v>-0.00552799356156513</v>
      </c>
      <c r="D47" t="n">
        <v>0.00788522101860568</v>
      </c>
      <c r="E47" t="n">
        <v>0.491481658726213</v>
      </c>
      <c r="F47" t="n">
        <v>0.483267113886775</v>
      </c>
      <c r="G47" t="s">
        <v>359</v>
      </c>
      <c r="H47" t="n">
        <v>0.994487257678982</v>
      </c>
      <c r="I47" t="n">
        <v>0.979235585230937</v>
      </c>
      <c r="J47" t="n">
        <v>1.0099764761435</v>
      </c>
      <c r="K47" t="s">
        <v>913</v>
      </c>
      <c r="L47" t="s">
        <v>909</v>
      </c>
    </row>
    <row r="48">
      <c r="A48" t="s">
        <v>396</v>
      </c>
      <c r="B48" t="s">
        <v>328</v>
      </c>
      <c r="C48" t="n">
        <v>-5.68859865066595</v>
      </c>
      <c r="D48" t="n">
        <v>5.49254392845881</v>
      </c>
      <c r="E48" t="n">
        <v>1.07266351705531</v>
      </c>
      <c r="F48" t="n">
        <v>0.300344594511602</v>
      </c>
      <c r="G48" t="s">
        <v>359</v>
      </c>
      <c r="H48" t="n">
        <v>0.00338433227967278</v>
      </c>
      <c r="I48" t="n">
        <v>0.0000000714702362279873</v>
      </c>
      <c r="J48" t="n">
        <v>160.25838983795</v>
      </c>
      <c r="K48" t="s">
        <v>914</v>
      </c>
      <c r="L48" t="s">
        <v>909</v>
      </c>
    </row>
    <row r="49">
      <c r="A49" t="s">
        <v>396</v>
      </c>
      <c r="B49" t="s">
        <v>333</v>
      </c>
      <c r="C49" t="n">
        <v>0.0142017475501228</v>
      </c>
      <c r="D49" t="n">
        <v>0.610429442225912</v>
      </c>
      <c r="E49" t="n">
        <v>0.000541268348845007</v>
      </c>
      <c r="F49" t="n">
        <v>0.981438750839041</v>
      </c>
      <c r="G49" t="s">
        <v>359</v>
      </c>
      <c r="H49" t="n">
        <v>1.01430307145751</v>
      </c>
      <c r="I49" t="n">
        <v>0.306591217057319</v>
      </c>
      <c r="J49" t="n">
        <v>3.35564316108833</v>
      </c>
      <c r="K49" t="s">
        <v>915</v>
      </c>
      <c r="L49" t="s">
        <v>909</v>
      </c>
    </row>
    <row r="50">
      <c r="A50" t="s">
        <v>396</v>
      </c>
      <c r="B50" t="s">
        <v>327</v>
      </c>
      <c r="C50" t="n">
        <v>0.256998225943761</v>
      </c>
      <c r="D50" t="n">
        <v>0.0761447868104148</v>
      </c>
      <c r="E50" t="n">
        <v>11.3914734073726</v>
      </c>
      <c r="F50" t="n">
        <v>0.000737819855909816</v>
      </c>
      <c r="G50" t="s">
        <v>359</v>
      </c>
      <c r="H50" t="n">
        <v>1.29304283282661</v>
      </c>
      <c r="I50" t="n">
        <v>1.1137742176349</v>
      </c>
      <c r="J50" t="n">
        <v>1.50116580277345</v>
      </c>
      <c r="K50" t="s">
        <v>916</v>
      </c>
      <c r="L50" t="s">
        <v>909</v>
      </c>
    </row>
    <row r="51">
      <c r="A51" t="s">
        <v>396</v>
      </c>
      <c r="B51" t="s">
        <v>55</v>
      </c>
      <c r="C51" t="n">
        <v>-0.179354279379494</v>
      </c>
      <c r="D51" t="n">
        <v>0.214502923841575</v>
      </c>
      <c r="E51" t="n">
        <v>0.6991285765495</v>
      </c>
      <c r="F51" t="n">
        <v>0.403076660145838</v>
      </c>
      <c r="G51" t="s">
        <v>359</v>
      </c>
      <c r="H51" t="n">
        <v>0.835809736783057</v>
      </c>
      <c r="I51" t="n">
        <v>0.548932382387036</v>
      </c>
      <c r="J51" t="n">
        <v>1.27261196190247</v>
      </c>
      <c r="K51" t="s">
        <v>917</v>
      </c>
      <c r="L51" t="s">
        <v>909</v>
      </c>
    </row>
    <row r="52">
      <c r="A52" t="s">
        <v>396</v>
      </c>
      <c r="B52" t="s">
        <v>89</v>
      </c>
      <c r="C52" t="n">
        <v>-0.0139564497238905</v>
      </c>
      <c r="D52" t="n">
        <v>0.0121468798438463</v>
      </c>
      <c r="E52" t="n">
        <v>1.3201413665978</v>
      </c>
      <c r="F52" t="n">
        <v>0.250566681380521</v>
      </c>
      <c r="G52" t="s">
        <v>359</v>
      </c>
      <c r="H52" t="n">
        <v>0.986140490018328</v>
      </c>
      <c r="I52" t="n">
        <v>0.96293984612527</v>
      </c>
      <c r="J52" t="n">
        <v>1.00990011989501</v>
      </c>
      <c r="K52" t="s">
        <v>918</v>
      </c>
      <c r="L52" t="s">
        <v>909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10" t="s">
        <v>919</v>
      </c>
    </row>
    <row r="3">
      <c r="A3" s="1" t="s">
        <v>920</v>
      </c>
    </row>
    <row r="4">
      <c r="A4" t="s">
        <v>37</v>
      </c>
      <c r="B4" t="s">
        <v>921</v>
      </c>
      <c r="C4" t="s">
        <v>922</v>
      </c>
      <c r="D4" t="s">
        <v>41</v>
      </c>
      <c r="E4" t="s">
        <v>42</v>
      </c>
      <c r="F4" t="s">
        <v>43</v>
      </c>
      <c r="G4" t="s">
        <v>44</v>
      </c>
      <c r="H4" t="s">
        <v>45</v>
      </c>
    </row>
    <row r="5">
      <c r="A5" t="s">
        <v>46</v>
      </c>
      <c r="B5" t="s">
        <v>923</v>
      </c>
      <c r="C5" t="s">
        <v>924</v>
      </c>
      <c r="D5" t="s">
        <v>925</v>
      </c>
      <c r="E5" t="s">
        <v>926</v>
      </c>
      <c r="F5" t="s">
        <v>927</v>
      </c>
      <c r="G5" t="s">
        <v>928</v>
      </c>
      <c r="H5" t="s">
        <v>929</v>
      </c>
    </row>
    <row r="6">
      <c r="A6" t="s">
        <v>55</v>
      </c>
      <c r="B6" t="s">
        <v>930</v>
      </c>
      <c r="C6" t="s">
        <v>931</v>
      </c>
      <c r="D6" t="s">
        <v>932</v>
      </c>
      <c r="E6" t="s">
        <v>926</v>
      </c>
      <c r="F6" t="s">
        <v>927</v>
      </c>
      <c r="G6" t="s">
        <v>933</v>
      </c>
      <c r="H6" t="s">
        <v>932</v>
      </c>
    </row>
    <row r="7">
      <c r="A7" t="s">
        <v>62</v>
      </c>
      <c r="B7" t="s">
        <v>934</v>
      </c>
      <c r="C7" t="s">
        <v>935</v>
      </c>
      <c r="D7" t="s">
        <v>936</v>
      </c>
      <c r="E7" t="s">
        <v>926</v>
      </c>
      <c r="F7" t="s">
        <v>927</v>
      </c>
      <c r="G7" t="s">
        <v>937</v>
      </c>
      <c r="H7" t="s">
        <v>936</v>
      </c>
    </row>
    <row r="8">
      <c r="A8" t="s">
        <v>69</v>
      </c>
      <c r="B8" t="s">
        <v>938</v>
      </c>
      <c r="C8" t="s">
        <v>939</v>
      </c>
      <c r="D8" t="s">
        <v>925</v>
      </c>
      <c r="E8" t="s">
        <v>926</v>
      </c>
      <c r="F8" t="s">
        <v>927</v>
      </c>
      <c r="G8" t="s">
        <v>940</v>
      </c>
      <c r="H8" t="s">
        <v>925</v>
      </c>
    </row>
    <row r="9">
      <c r="A9" t="s">
        <v>77</v>
      </c>
      <c r="B9" t="s">
        <v>941</v>
      </c>
      <c r="C9" t="s">
        <v>942</v>
      </c>
      <c r="D9" t="s">
        <v>943</v>
      </c>
      <c r="E9" t="s">
        <v>926</v>
      </c>
      <c r="F9" t="s">
        <v>927</v>
      </c>
      <c r="G9" t="s">
        <v>944</v>
      </c>
      <c r="H9" t="s">
        <v>943</v>
      </c>
    </row>
    <row r="10">
      <c r="A10" t="s">
        <v>84</v>
      </c>
      <c r="B10" t="s">
        <v>85</v>
      </c>
      <c r="C10" t="s">
        <v>945</v>
      </c>
      <c r="D10" t="s">
        <v>946</v>
      </c>
      <c r="E10" t="s">
        <v>926</v>
      </c>
      <c r="F10" t="s">
        <v>927</v>
      </c>
      <c r="G10" t="s">
        <v>947</v>
      </c>
      <c r="H10" t="s">
        <v>946</v>
      </c>
    </row>
    <row r="11">
      <c r="A11" t="s">
        <v>89</v>
      </c>
      <c r="B11" t="s">
        <v>948</v>
      </c>
      <c r="C11" t="s">
        <v>949</v>
      </c>
      <c r="D11" t="s">
        <v>950</v>
      </c>
      <c r="E11" t="s">
        <v>926</v>
      </c>
      <c r="F11" t="s">
        <v>927</v>
      </c>
      <c r="G11" t="s">
        <v>951</v>
      </c>
      <c r="H11" t="s">
        <v>950</v>
      </c>
    </row>
    <row r="12">
      <c r="A12" t="s">
        <v>95</v>
      </c>
      <c r="B12" t="s">
        <v>952</v>
      </c>
      <c r="C12" t="s">
        <v>953</v>
      </c>
      <c r="D12" t="s">
        <v>954</v>
      </c>
      <c r="E12" t="s">
        <v>926</v>
      </c>
      <c r="F12" t="s">
        <v>927</v>
      </c>
      <c r="G12" t="s">
        <v>955</v>
      </c>
      <c r="H12" t="s">
        <v>954</v>
      </c>
    </row>
    <row r="13">
      <c r="A13" t="s">
        <v>102</v>
      </c>
      <c r="B13" t="s">
        <v>103</v>
      </c>
      <c r="C13" t="s">
        <v>956</v>
      </c>
      <c r="D13" t="s">
        <v>957</v>
      </c>
      <c r="E13" t="s">
        <v>958</v>
      </c>
      <c r="F13" t="s">
        <v>927</v>
      </c>
      <c r="G13" t="s">
        <v>107</v>
      </c>
      <c r="H13" t="s">
        <v>107</v>
      </c>
    </row>
    <row r="14">
      <c r="A14" t="s">
        <v>108</v>
      </c>
      <c r="B14" t="s">
        <v>959</v>
      </c>
      <c r="C14" t="s">
        <v>960</v>
      </c>
      <c r="D14" t="s">
        <v>961</v>
      </c>
      <c r="E14" t="s">
        <v>926</v>
      </c>
      <c r="F14" t="s">
        <v>927</v>
      </c>
      <c r="G14" t="s">
        <v>962</v>
      </c>
      <c r="H14" t="s">
        <v>963</v>
      </c>
    </row>
    <row r="15">
      <c r="A15" t="s">
        <v>116</v>
      </c>
      <c r="B15" t="s">
        <v>964</v>
      </c>
      <c r="C15" t="s">
        <v>965</v>
      </c>
      <c r="D15" t="s">
        <v>966</v>
      </c>
      <c r="E15" t="s">
        <v>926</v>
      </c>
      <c r="F15" t="s">
        <v>967</v>
      </c>
      <c r="G15" t="s">
        <v>968</v>
      </c>
      <c r="H15" t="s">
        <v>969</v>
      </c>
    </row>
    <row r="16">
      <c r="A16" t="s">
        <v>123</v>
      </c>
      <c r="B16" t="s">
        <v>970</v>
      </c>
      <c r="C16" t="s">
        <v>971</v>
      </c>
      <c r="D16"/>
      <c r="E16" t="s">
        <v>972</v>
      </c>
      <c r="F16" t="s">
        <v>973</v>
      </c>
      <c r="G16" t="s">
        <v>107</v>
      </c>
      <c r="H16" t="s">
        <v>107</v>
      </c>
    </row>
    <row r="17">
      <c r="A17" t="s">
        <v>128</v>
      </c>
      <c r="B17" t="s">
        <v>974</v>
      </c>
      <c r="C17" t="s">
        <v>975</v>
      </c>
      <c r="D17" t="s">
        <v>107</v>
      </c>
      <c r="E17" t="s">
        <v>107</v>
      </c>
      <c r="F17" t="s">
        <v>107</v>
      </c>
      <c r="G17" t="s">
        <v>107</v>
      </c>
      <c r="H17" t="s">
        <v>107</v>
      </c>
    </row>
    <row r="18">
      <c r="A18" t="s">
        <v>132</v>
      </c>
      <c r="B18" t="s">
        <v>976</v>
      </c>
      <c r="C18" t="s">
        <v>977</v>
      </c>
      <c r="D18" t="s">
        <v>107</v>
      </c>
      <c r="E18" t="s">
        <v>107</v>
      </c>
      <c r="F18" t="s">
        <v>107</v>
      </c>
      <c r="G18" t="s">
        <v>107</v>
      </c>
      <c r="H18" t="s">
        <v>107</v>
      </c>
    </row>
    <row r="20">
      <c r="A20" s="1" t="s">
        <v>978</v>
      </c>
    </row>
    <row r="21">
      <c r="A21" t="s">
        <v>37</v>
      </c>
      <c r="B21" t="s">
        <v>921</v>
      </c>
      <c r="C21" t="s">
        <v>922</v>
      </c>
      <c r="D21" t="s">
        <v>41</v>
      </c>
      <c r="E21" t="s">
        <v>42</v>
      </c>
      <c r="F21" t="s">
        <v>43</v>
      </c>
      <c r="G21" t="s">
        <v>44</v>
      </c>
      <c r="H21" t="s">
        <v>45</v>
      </c>
    </row>
    <row r="22">
      <c r="A22" t="s">
        <v>137</v>
      </c>
      <c r="B22" t="s">
        <v>979</v>
      </c>
      <c r="C22" t="s">
        <v>980</v>
      </c>
      <c r="D22" t="s">
        <v>981</v>
      </c>
      <c r="E22" t="s">
        <v>926</v>
      </c>
      <c r="F22" t="s">
        <v>927</v>
      </c>
      <c r="G22" t="s">
        <v>982</v>
      </c>
      <c r="H22" t="s">
        <v>981</v>
      </c>
    </row>
    <row r="23">
      <c r="A23" t="s">
        <v>143</v>
      </c>
      <c r="B23" t="s">
        <v>983</v>
      </c>
      <c r="C23" t="s">
        <v>984</v>
      </c>
      <c r="D23" t="s">
        <v>985</v>
      </c>
      <c r="E23" t="s">
        <v>926</v>
      </c>
      <c r="F23" t="s">
        <v>927</v>
      </c>
      <c r="G23" t="s">
        <v>986</v>
      </c>
      <c r="H23" t="s">
        <v>985</v>
      </c>
    </row>
    <row r="24">
      <c r="A24" t="s">
        <v>150</v>
      </c>
      <c r="B24" t="s">
        <v>987</v>
      </c>
      <c r="C24" t="s">
        <v>988</v>
      </c>
      <c r="D24"/>
      <c r="E24" t="s">
        <v>972</v>
      </c>
      <c r="F24" t="s">
        <v>973</v>
      </c>
      <c r="G24" t="s">
        <v>107</v>
      </c>
      <c r="H24" t="s">
        <v>107</v>
      </c>
    </row>
    <row r="25">
      <c r="A25" t="s">
        <v>155</v>
      </c>
      <c r="B25" t="s">
        <v>989</v>
      </c>
      <c r="C25" t="s">
        <v>990</v>
      </c>
      <c r="D25" t="s">
        <v>107</v>
      </c>
      <c r="E25" t="s">
        <v>107</v>
      </c>
      <c r="F25" t="s">
        <v>107</v>
      </c>
      <c r="G25" t="s">
        <v>107</v>
      </c>
      <c r="H25" t="s">
        <v>107</v>
      </c>
    </row>
    <row r="26">
      <c r="A26" t="s">
        <v>159</v>
      </c>
      <c r="B26" t="s">
        <v>991</v>
      </c>
      <c r="C26" t="s">
        <v>992</v>
      </c>
      <c r="D26" t="s">
        <v>107</v>
      </c>
      <c r="E26" t="s">
        <v>107</v>
      </c>
      <c r="F26" t="s">
        <v>107</v>
      </c>
      <c r="G26" t="s">
        <v>107</v>
      </c>
      <c r="H26" t="s">
        <v>107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10" t="s">
        <v>919</v>
      </c>
    </row>
    <row r="3">
      <c r="A3" t="s">
        <v>37</v>
      </c>
      <c r="B3" t="s">
        <v>921</v>
      </c>
      <c r="C3" t="s">
        <v>922</v>
      </c>
      <c r="D3" t="s">
        <v>41</v>
      </c>
      <c r="E3" t="s">
        <v>42</v>
      </c>
      <c r="F3" t="s">
        <v>43</v>
      </c>
      <c r="G3" t="s">
        <v>44</v>
      </c>
      <c r="H3" t="s">
        <v>45</v>
      </c>
      <c r="I3" t="s">
        <v>163</v>
      </c>
      <c r="J3" t="s">
        <v>164</v>
      </c>
    </row>
    <row r="4">
      <c r="A4" t="s">
        <v>165</v>
      </c>
      <c r="B4" t="s">
        <v>993</v>
      </c>
      <c r="C4" t="s">
        <v>994</v>
      </c>
      <c r="D4" t="s">
        <v>995</v>
      </c>
      <c r="E4" t="s">
        <v>926</v>
      </c>
      <c r="F4" t="s">
        <v>927</v>
      </c>
      <c r="G4" t="s">
        <v>996</v>
      </c>
      <c r="H4" t="s">
        <v>995</v>
      </c>
      <c r="I4" t="s">
        <v>872</v>
      </c>
      <c r="J4" t="s">
        <v>873</v>
      </c>
    </row>
    <row r="5">
      <c r="A5" t="s">
        <v>174</v>
      </c>
      <c r="B5" t="s">
        <v>997</v>
      </c>
      <c r="C5" t="s">
        <v>998</v>
      </c>
      <c r="D5" t="s">
        <v>999</v>
      </c>
      <c r="E5" t="s">
        <v>926</v>
      </c>
      <c r="F5" t="s">
        <v>967</v>
      </c>
      <c r="G5" t="s">
        <v>1000</v>
      </c>
      <c r="H5" t="s">
        <v>999</v>
      </c>
      <c r="I5" t="s">
        <v>875</v>
      </c>
      <c r="J5" t="s">
        <v>876</v>
      </c>
    </row>
    <row r="6">
      <c r="A6" t="s">
        <v>182</v>
      </c>
      <c r="B6" t="s">
        <v>183</v>
      </c>
      <c r="C6" t="s">
        <v>1001</v>
      </c>
      <c r="D6" t="s">
        <v>1002</v>
      </c>
      <c r="E6" t="s">
        <v>926</v>
      </c>
      <c r="F6" t="s">
        <v>927</v>
      </c>
      <c r="G6" t="s">
        <v>1003</v>
      </c>
      <c r="H6" t="s">
        <v>1002</v>
      </c>
      <c r="I6" t="s">
        <v>877</v>
      </c>
      <c r="J6" t="s">
        <v>878</v>
      </c>
    </row>
    <row r="7">
      <c r="A7" t="s">
        <v>190</v>
      </c>
      <c r="B7" t="s">
        <v>1004</v>
      </c>
      <c r="C7" t="s">
        <v>1005</v>
      </c>
      <c r="D7" t="s">
        <v>50</v>
      </c>
      <c r="E7" t="s">
        <v>926</v>
      </c>
      <c r="F7" t="s">
        <v>967</v>
      </c>
      <c r="G7" t="s">
        <v>1006</v>
      </c>
      <c r="H7" t="s">
        <v>50</v>
      </c>
      <c r="I7" t="s">
        <v>510</v>
      </c>
      <c r="J7" t="s">
        <v>50</v>
      </c>
    </row>
    <row r="8">
      <c r="A8" t="s">
        <v>197</v>
      </c>
      <c r="B8" t="s">
        <v>85</v>
      </c>
      <c r="C8" t="s">
        <v>945</v>
      </c>
      <c r="D8" t="s">
        <v>1007</v>
      </c>
      <c r="E8" t="s">
        <v>926</v>
      </c>
      <c r="F8" t="s">
        <v>927</v>
      </c>
      <c r="G8" t="s">
        <v>1008</v>
      </c>
      <c r="H8" t="s">
        <v>1007</v>
      </c>
      <c r="I8" t="s">
        <v>513</v>
      </c>
      <c r="J8" t="s">
        <v>879</v>
      </c>
    </row>
    <row r="9">
      <c r="A9" t="s">
        <v>205</v>
      </c>
      <c r="B9" t="s">
        <v>103</v>
      </c>
      <c r="C9" t="s">
        <v>206</v>
      </c>
      <c r="D9" t="s">
        <v>1009</v>
      </c>
      <c r="E9" t="s">
        <v>958</v>
      </c>
      <c r="F9" t="s">
        <v>967</v>
      </c>
      <c r="G9" t="s">
        <v>107</v>
      </c>
      <c r="H9" t="s">
        <v>107</v>
      </c>
      <c r="I9" t="s">
        <v>107</v>
      </c>
      <c r="J9" t="s">
        <v>107</v>
      </c>
    </row>
    <row r="10">
      <c r="A10" t="s">
        <v>208</v>
      </c>
      <c r="B10" t="s">
        <v>1010</v>
      </c>
      <c r="C10" t="s">
        <v>1011</v>
      </c>
      <c r="D10" t="s">
        <v>1012</v>
      </c>
      <c r="E10" t="s">
        <v>958</v>
      </c>
      <c r="F10" t="s">
        <v>927</v>
      </c>
      <c r="G10" t="s">
        <v>107</v>
      </c>
      <c r="H10" t="s">
        <v>107</v>
      </c>
      <c r="I10" t="s">
        <v>107</v>
      </c>
      <c r="J10" t="s">
        <v>107</v>
      </c>
    </row>
    <row r="11">
      <c r="A11" t="s">
        <v>212</v>
      </c>
      <c r="B11" t="s">
        <v>1013</v>
      </c>
      <c r="C11" t="s">
        <v>971</v>
      </c>
      <c r="D11" t="s">
        <v>881</v>
      </c>
      <c r="E11" t="s">
        <v>926</v>
      </c>
      <c r="F11" t="s">
        <v>967</v>
      </c>
      <c r="G11" t="s">
        <v>1014</v>
      </c>
      <c r="H11" t="s">
        <v>881</v>
      </c>
      <c r="I11" t="s">
        <v>880</v>
      </c>
      <c r="J11" t="s">
        <v>881</v>
      </c>
    </row>
    <row r="12">
      <c r="A12" t="s">
        <v>219</v>
      </c>
      <c r="B12" t="s">
        <v>1015</v>
      </c>
      <c r="C12" t="s">
        <v>1016</v>
      </c>
      <c r="D12" t="s">
        <v>1017</v>
      </c>
      <c r="E12" t="s">
        <v>926</v>
      </c>
      <c r="F12" t="s">
        <v>927</v>
      </c>
      <c r="G12" t="s">
        <v>1018</v>
      </c>
      <c r="H12" t="s">
        <v>1017</v>
      </c>
      <c r="I12" t="s">
        <v>883</v>
      </c>
      <c r="J12" t="s">
        <v>884</v>
      </c>
    </row>
    <row r="13">
      <c r="A13" t="s">
        <v>228</v>
      </c>
      <c r="B13" t="s">
        <v>1019</v>
      </c>
      <c r="C13" t="s">
        <v>1016</v>
      </c>
      <c r="D13"/>
      <c r="E13" t="s">
        <v>972</v>
      </c>
      <c r="F13" t="s">
        <v>973</v>
      </c>
      <c r="G13" t="s">
        <v>107</v>
      </c>
      <c r="H13" t="s">
        <v>107</v>
      </c>
      <c r="I13" t="s">
        <v>107</v>
      </c>
      <c r="J13" t="s">
        <v>107</v>
      </c>
    </row>
    <row r="14">
      <c r="A14" t="s">
        <v>234</v>
      </c>
      <c r="B14" t="s">
        <v>1020</v>
      </c>
      <c r="C14" t="s">
        <v>1021</v>
      </c>
      <c r="D14" t="s">
        <v>107</v>
      </c>
      <c r="E14" t="s">
        <v>107</v>
      </c>
      <c r="F14" t="s">
        <v>107</v>
      </c>
      <c r="G14" t="s">
        <v>107</v>
      </c>
      <c r="H14" t="s">
        <v>107</v>
      </c>
      <c r="I14" t="s">
        <v>107</v>
      </c>
      <c r="J14" t="s">
        <v>107</v>
      </c>
    </row>
    <row r="15">
      <c r="A15" t="s">
        <v>237</v>
      </c>
      <c r="B15" t="s">
        <v>1022</v>
      </c>
      <c r="C15" t="s">
        <v>1023</v>
      </c>
      <c r="D15" t="s">
        <v>107</v>
      </c>
      <c r="E15" t="s">
        <v>107</v>
      </c>
      <c r="F15" t="s">
        <v>107</v>
      </c>
      <c r="G15" t="s">
        <v>107</v>
      </c>
      <c r="H15" t="s">
        <v>107</v>
      </c>
      <c r="I15" t="s">
        <v>107</v>
      </c>
      <c r="J15" t="s">
        <v>107</v>
      </c>
    </row>
    <row r="16">
      <c r="A16" t="s">
        <v>241</v>
      </c>
      <c r="B16" t="s">
        <v>1024</v>
      </c>
      <c r="C16" t="s">
        <v>1025</v>
      </c>
      <c r="D16" t="s">
        <v>107</v>
      </c>
      <c r="E16" t="s">
        <v>107</v>
      </c>
      <c r="F16" t="s">
        <v>107</v>
      </c>
      <c r="G16" t="s">
        <v>107</v>
      </c>
      <c r="H16" t="s">
        <v>107</v>
      </c>
      <c r="I16" t="s">
        <v>107</v>
      </c>
      <c r="J16" t="s">
        <v>107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3" topLeftCell="A4" activePane="bottomLeft" state="frozen"/>
      <selection pane="bottomLeft"/>
    </sheetView>
  </sheetViews>
  <sheetFormatPr defaultRowHeight="15.0" baseColWidth="10"/>
  <cols>
    <col min="1" max="1" width="38.71" hidden="0" customWidth="1"/>
    <col min="2" max="2" width="18.71" hidden="0" customWidth="1"/>
    <col min="3" max="3" width="18.71" hidden="0" customWidth="1"/>
    <col min="4" max="4" width="18.71" hidden="0" customWidth="1"/>
    <col min="5" max="5" width="18.71" hidden="0" customWidth="1"/>
    <col min="6" max="6" width="18.71" hidden="0" customWidth="1"/>
    <col min="7" max="7" width="18.71" hidden="0" customWidth="1"/>
    <col min="8" max="8" width="18.71" hidden="0" customWidth="1"/>
  </cols>
  <sheetData>
    <row r="1">
      <c r="A1" s="10" t="s">
        <v>919</v>
      </c>
    </row>
    <row r="3">
      <c r="A3" s="3" t="s">
        <v>37</v>
      </c>
      <c r="B3" s="3" t="s">
        <v>921</v>
      </c>
      <c r="C3" s="3" t="s">
        <v>922</v>
      </c>
      <c r="D3" s="3" t="s">
        <v>245</v>
      </c>
      <c r="E3" s="3" t="s">
        <v>44</v>
      </c>
      <c r="F3" s="3" t="s">
        <v>45</v>
      </c>
      <c r="G3" s="3" t="s">
        <v>163</v>
      </c>
      <c r="H3" s="3" t="s">
        <v>164</v>
      </c>
    </row>
    <row r="4">
      <c r="A4" s="4" t="s">
        <v>246</v>
      </c>
      <c r="B4" s="4" t="s">
        <v>107</v>
      </c>
      <c r="C4" s="4" t="s">
        <v>107</v>
      </c>
      <c r="D4" s="4" t="s">
        <v>107</v>
      </c>
      <c r="E4" s="4" t="s">
        <v>107</v>
      </c>
      <c r="F4" s="4" t="s">
        <v>107</v>
      </c>
      <c r="G4" s="4" t="s">
        <v>107</v>
      </c>
      <c r="H4" s="4" t="s">
        <v>107</v>
      </c>
    </row>
    <row r="5">
      <c r="A5" t="s">
        <v>247</v>
      </c>
      <c r="B5" t="s">
        <v>923</v>
      </c>
      <c r="C5" t="s">
        <v>924</v>
      </c>
      <c r="D5" t="s">
        <v>925</v>
      </c>
      <c r="E5" t="s">
        <v>928</v>
      </c>
      <c r="F5" t="s">
        <v>929</v>
      </c>
      <c r="G5" t="s">
        <v>107</v>
      </c>
      <c r="H5" t="s">
        <v>107</v>
      </c>
    </row>
    <row r="6">
      <c r="A6" t="s">
        <v>248</v>
      </c>
      <c r="B6" t="s">
        <v>930</v>
      </c>
      <c r="C6" t="s">
        <v>931</v>
      </c>
      <c r="D6" t="s">
        <v>932</v>
      </c>
      <c r="E6" t="s">
        <v>933</v>
      </c>
      <c r="F6" t="s">
        <v>932</v>
      </c>
      <c r="G6" t="s">
        <v>107</v>
      </c>
      <c r="H6" t="s">
        <v>107</v>
      </c>
    </row>
    <row r="7">
      <c r="A7" t="s">
        <v>249</v>
      </c>
      <c r="B7" t="s">
        <v>934</v>
      </c>
      <c r="C7" t="s">
        <v>935</v>
      </c>
      <c r="D7" t="s">
        <v>936</v>
      </c>
      <c r="E7" t="s">
        <v>937</v>
      </c>
      <c r="F7" t="s">
        <v>936</v>
      </c>
      <c r="G7" t="s">
        <v>107</v>
      </c>
      <c r="H7" t="s">
        <v>107</v>
      </c>
    </row>
    <row r="8">
      <c r="A8" t="s">
        <v>250</v>
      </c>
      <c r="B8" t="s">
        <v>938</v>
      </c>
      <c r="C8" t="s">
        <v>939</v>
      </c>
      <c r="D8" t="s">
        <v>925</v>
      </c>
      <c r="E8" t="s">
        <v>940</v>
      </c>
      <c r="F8" t="s">
        <v>925</v>
      </c>
      <c r="G8" t="s">
        <v>107</v>
      </c>
      <c r="H8" t="s">
        <v>107</v>
      </c>
    </row>
    <row r="9">
      <c r="A9" t="s">
        <v>251</v>
      </c>
      <c r="B9" t="s">
        <v>941</v>
      </c>
      <c r="C9" t="s">
        <v>942</v>
      </c>
      <c r="D9" t="s">
        <v>943</v>
      </c>
      <c r="E9" t="s">
        <v>944</v>
      </c>
      <c r="F9" t="s">
        <v>943</v>
      </c>
      <c r="G9" t="s">
        <v>107</v>
      </c>
      <c r="H9" t="s">
        <v>107</v>
      </c>
    </row>
    <row r="10">
      <c r="A10" t="s">
        <v>252</v>
      </c>
      <c r="B10" t="s">
        <v>85</v>
      </c>
      <c r="C10" t="s">
        <v>945</v>
      </c>
      <c r="D10" t="s">
        <v>946</v>
      </c>
      <c r="E10" t="s">
        <v>947</v>
      </c>
      <c r="F10" t="s">
        <v>946</v>
      </c>
      <c r="G10" t="s">
        <v>107</v>
      </c>
      <c r="H10" t="s">
        <v>107</v>
      </c>
    </row>
    <row r="11">
      <c r="A11" t="s">
        <v>253</v>
      </c>
      <c r="B11" t="s">
        <v>948</v>
      </c>
      <c r="C11" t="s">
        <v>949</v>
      </c>
      <c r="D11" t="s">
        <v>950</v>
      </c>
      <c r="E11" t="s">
        <v>951</v>
      </c>
      <c r="F11" t="s">
        <v>950</v>
      </c>
      <c r="G11" t="s">
        <v>107</v>
      </c>
      <c r="H11" t="s">
        <v>107</v>
      </c>
    </row>
    <row r="12">
      <c r="A12" t="s">
        <v>254</v>
      </c>
      <c r="B12" t="s">
        <v>952</v>
      </c>
      <c r="C12" t="s">
        <v>953</v>
      </c>
      <c r="D12" t="s">
        <v>954</v>
      </c>
      <c r="E12" t="s">
        <v>955</v>
      </c>
      <c r="F12" t="s">
        <v>954</v>
      </c>
      <c r="G12" t="s">
        <v>107</v>
      </c>
      <c r="H12" t="s">
        <v>107</v>
      </c>
    </row>
    <row r="13">
      <c r="A13" t="s">
        <v>255</v>
      </c>
      <c r="B13" t="s">
        <v>103</v>
      </c>
      <c r="C13" t="s">
        <v>956</v>
      </c>
      <c r="D13" t="s">
        <v>957</v>
      </c>
      <c r="E13" t="s">
        <v>107</v>
      </c>
      <c r="F13" t="s">
        <v>107</v>
      </c>
      <c r="G13" t="s">
        <v>107</v>
      </c>
      <c r="H13" t="s">
        <v>107</v>
      </c>
    </row>
    <row r="14">
      <c r="A14" t="s">
        <v>108</v>
      </c>
      <c r="B14" t="s">
        <v>959</v>
      </c>
      <c r="C14" t="s">
        <v>960</v>
      </c>
      <c r="D14" t="s">
        <v>961</v>
      </c>
      <c r="E14" t="s">
        <v>962</v>
      </c>
      <c r="F14" t="s">
        <v>963</v>
      </c>
      <c r="G14" t="s">
        <v>107</v>
      </c>
      <c r="H14" t="s">
        <v>107</v>
      </c>
    </row>
    <row r="15">
      <c r="A15" t="s">
        <v>116</v>
      </c>
      <c r="B15" t="s">
        <v>964</v>
      </c>
      <c r="C15" t="s">
        <v>965</v>
      </c>
      <c r="D15" t="s">
        <v>966</v>
      </c>
      <c r="E15" t="s">
        <v>968</v>
      </c>
      <c r="F15" t="s">
        <v>969</v>
      </c>
      <c r="G15" t="s">
        <v>107</v>
      </c>
      <c r="H15" t="s">
        <v>107</v>
      </c>
    </row>
    <row r="16">
      <c r="A16" t="s">
        <v>123</v>
      </c>
      <c r="B16" t="s">
        <v>970</v>
      </c>
      <c r="C16" t="s">
        <v>971</v>
      </c>
      <c r="D16" t="s">
        <v>1026</v>
      </c>
      <c r="E16" t="s">
        <v>107</v>
      </c>
      <c r="F16" t="s">
        <v>107</v>
      </c>
      <c r="G16" t="s">
        <v>107</v>
      </c>
      <c r="H16" t="s">
        <v>107</v>
      </c>
    </row>
    <row r="17">
      <c r="A17" t="s">
        <v>128</v>
      </c>
      <c r="B17" t="s">
        <v>974</v>
      </c>
      <c r="C17" t="s">
        <v>975</v>
      </c>
      <c r="D17" t="s">
        <v>107</v>
      </c>
      <c r="E17" t="s">
        <v>107</v>
      </c>
      <c r="F17" t="s">
        <v>107</v>
      </c>
      <c r="G17" t="s">
        <v>107</v>
      </c>
      <c r="H17" t="s">
        <v>107</v>
      </c>
    </row>
    <row r="18">
      <c r="A18" t="s">
        <v>132</v>
      </c>
      <c r="B18" t="s">
        <v>976</v>
      </c>
      <c r="C18" t="s">
        <v>977</v>
      </c>
      <c r="D18" t="s">
        <v>107</v>
      </c>
      <c r="E18" t="s">
        <v>107</v>
      </c>
      <c r="F18" t="s">
        <v>107</v>
      </c>
      <c r="G18" t="s">
        <v>107</v>
      </c>
      <c r="H18" t="s">
        <v>107</v>
      </c>
    </row>
    <row r="19">
      <c r="A19" s="4" t="s">
        <v>136</v>
      </c>
      <c r="B19" s="4" t="s">
        <v>107</v>
      </c>
      <c r="C19" s="4" t="s">
        <v>107</v>
      </c>
      <c r="D19" s="4" t="s">
        <v>107</v>
      </c>
      <c r="E19" s="4" t="s">
        <v>107</v>
      </c>
      <c r="F19" s="4" t="s">
        <v>107</v>
      </c>
      <c r="G19" s="4" t="s">
        <v>107</v>
      </c>
      <c r="H19" s="4" t="s">
        <v>107</v>
      </c>
    </row>
    <row r="20">
      <c r="A20" t="s">
        <v>256</v>
      </c>
      <c r="B20" t="s">
        <v>979</v>
      </c>
      <c r="C20" t="s">
        <v>980</v>
      </c>
      <c r="D20" t="s">
        <v>981</v>
      </c>
      <c r="E20" t="s">
        <v>982</v>
      </c>
      <c r="F20" t="s">
        <v>981</v>
      </c>
      <c r="G20" t="s">
        <v>107</v>
      </c>
      <c r="H20" t="s">
        <v>107</v>
      </c>
    </row>
    <row r="21">
      <c r="A21" t="s">
        <v>257</v>
      </c>
      <c r="B21" t="s">
        <v>983</v>
      </c>
      <c r="C21" t="s">
        <v>984</v>
      </c>
      <c r="D21" t="s">
        <v>985</v>
      </c>
      <c r="E21" t="s">
        <v>986</v>
      </c>
      <c r="F21" t="s">
        <v>985</v>
      </c>
      <c r="G21" t="s">
        <v>107</v>
      </c>
      <c r="H21" t="s">
        <v>107</v>
      </c>
    </row>
    <row r="22">
      <c r="A22" t="s">
        <v>150</v>
      </c>
      <c r="B22" t="s">
        <v>987</v>
      </c>
      <c r="C22" t="s">
        <v>988</v>
      </c>
      <c r="D22" t="s">
        <v>1026</v>
      </c>
      <c r="E22" t="s">
        <v>107</v>
      </c>
      <c r="F22" t="s">
        <v>107</v>
      </c>
      <c r="G22" t="s">
        <v>107</v>
      </c>
      <c r="H22" t="s">
        <v>107</v>
      </c>
    </row>
    <row r="23">
      <c r="A23" t="s">
        <v>155</v>
      </c>
      <c r="B23" t="s">
        <v>989</v>
      </c>
      <c r="C23" t="s">
        <v>990</v>
      </c>
      <c r="D23" t="s">
        <v>107</v>
      </c>
      <c r="E23" t="s">
        <v>107</v>
      </c>
      <c r="F23" t="s">
        <v>107</v>
      </c>
      <c r="G23" t="s">
        <v>107</v>
      </c>
      <c r="H23" t="s">
        <v>107</v>
      </c>
    </row>
    <row r="24">
      <c r="A24" t="s">
        <v>159</v>
      </c>
      <c r="B24" t="s">
        <v>991</v>
      </c>
      <c r="C24" t="s">
        <v>992</v>
      </c>
      <c r="D24" t="s">
        <v>107</v>
      </c>
      <c r="E24" t="s">
        <v>107</v>
      </c>
      <c r="F24" t="s">
        <v>107</v>
      </c>
      <c r="G24" t="s">
        <v>107</v>
      </c>
      <c r="H24" t="s">
        <v>107</v>
      </c>
    </row>
    <row r="25">
      <c r="A25" s="4" t="s">
        <v>258</v>
      </c>
      <c r="B25" s="4" t="s">
        <v>107</v>
      </c>
      <c r="C25" s="4" t="s">
        <v>107</v>
      </c>
      <c r="D25" s="4" t="s">
        <v>107</v>
      </c>
      <c r="E25" s="4" t="s">
        <v>107</v>
      </c>
      <c r="F25" s="4" t="s">
        <v>107</v>
      </c>
      <c r="G25" s="4" t="s">
        <v>107</v>
      </c>
      <c r="H25" s="4" t="s">
        <v>107</v>
      </c>
    </row>
    <row r="26">
      <c r="A26" t="s">
        <v>259</v>
      </c>
      <c r="B26" t="s">
        <v>993</v>
      </c>
      <c r="C26" t="s">
        <v>994</v>
      </c>
      <c r="D26" t="s">
        <v>995</v>
      </c>
      <c r="E26" t="s">
        <v>996</v>
      </c>
      <c r="F26" t="s">
        <v>995</v>
      </c>
      <c r="G26" t="s">
        <v>872</v>
      </c>
      <c r="H26" t="s">
        <v>873</v>
      </c>
    </row>
    <row r="27">
      <c r="A27" t="s">
        <v>260</v>
      </c>
      <c r="B27" t="s">
        <v>997</v>
      </c>
      <c r="C27" t="s">
        <v>998</v>
      </c>
      <c r="D27" t="s">
        <v>999</v>
      </c>
      <c r="E27" t="s">
        <v>1000</v>
      </c>
      <c r="F27" t="s">
        <v>999</v>
      </c>
      <c r="G27" t="s">
        <v>875</v>
      </c>
      <c r="H27" t="s">
        <v>876</v>
      </c>
    </row>
    <row r="28">
      <c r="A28" t="s">
        <v>261</v>
      </c>
      <c r="B28" t="s">
        <v>183</v>
      </c>
      <c r="C28" t="s">
        <v>1001</v>
      </c>
      <c r="D28" t="s">
        <v>1002</v>
      </c>
      <c r="E28" t="s">
        <v>1003</v>
      </c>
      <c r="F28" t="s">
        <v>1002</v>
      </c>
      <c r="G28" t="s">
        <v>877</v>
      </c>
      <c r="H28" t="s">
        <v>878</v>
      </c>
    </row>
    <row r="29">
      <c r="A29" t="s">
        <v>262</v>
      </c>
      <c r="B29" t="s">
        <v>1004</v>
      </c>
      <c r="C29" t="s">
        <v>1005</v>
      </c>
      <c r="D29" t="s">
        <v>50</v>
      </c>
      <c r="E29" t="s">
        <v>1006</v>
      </c>
      <c r="F29" t="s">
        <v>50</v>
      </c>
      <c r="G29" t="s">
        <v>510</v>
      </c>
      <c r="H29" t="s">
        <v>50</v>
      </c>
    </row>
    <row r="30">
      <c r="A30" t="s">
        <v>263</v>
      </c>
      <c r="B30" t="s">
        <v>85</v>
      </c>
      <c r="C30" t="s">
        <v>945</v>
      </c>
      <c r="D30" t="s">
        <v>1007</v>
      </c>
      <c r="E30" t="s">
        <v>1008</v>
      </c>
      <c r="F30" t="s">
        <v>1007</v>
      </c>
      <c r="G30" t="s">
        <v>513</v>
      </c>
      <c r="H30" t="s">
        <v>879</v>
      </c>
    </row>
    <row r="31">
      <c r="A31" t="s">
        <v>264</v>
      </c>
      <c r="B31" t="s">
        <v>103</v>
      </c>
      <c r="C31" t="s">
        <v>206</v>
      </c>
      <c r="D31" t="s">
        <v>1009</v>
      </c>
      <c r="E31" t="s">
        <v>107</v>
      </c>
      <c r="F31" t="s">
        <v>107</v>
      </c>
      <c r="G31" t="s">
        <v>107</v>
      </c>
      <c r="H31" t="s">
        <v>107</v>
      </c>
    </row>
    <row r="32">
      <c r="A32" t="s">
        <v>265</v>
      </c>
      <c r="B32" t="s">
        <v>1010</v>
      </c>
      <c r="C32" t="s">
        <v>1011</v>
      </c>
      <c r="D32" t="s">
        <v>1012</v>
      </c>
      <c r="E32" t="s">
        <v>107</v>
      </c>
      <c r="F32" t="s">
        <v>107</v>
      </c>
      <c r="G32" t="s">
        <v>107</v>
      </c>
      <c r="H32" t="s">
        <v>107</v>
      </c>
    </row>
    <row r="33">
      <c r="A33" t="s">
        <v>266</v>
      </c>
      <c r="B33" t="s">
        <v>1013</v>
      </c>
      <c r="C33" t="s">
        <v>971</v>
      </c>
      <c r="D33" t="s">
        <v>881</v>
      </c>
      <c r="E33" t="s">
        <v>1014</v>
      </c>
      <c r="F33" t="s">
        <v>881</v>
      </c>
      <c r="G33" t="s">
        <v>880</v>
      </c>
      <c r="H33" t="s">
        <v>881</v>
      </c>
    </row>
    <row r="34">
      <c r="A34" t="s">
        <v>267</v>
      </c>
      <c r="B34" t="s">
        <v>1015</v>
      </c>
      <c r="C34" t="s">
        <v>1016</v>
      </c>
      <c r="D34" t="s">
        <v>1017</v>
      </c>
      <c r="E34" t="s">
        <v>1018</v>
      </c>
      <c r="F34" t="s">
        <v>1017</v>
      </c>
      <c r="G34" t="s">
        <v>883</v>
      </c>
      <c r="H34" t="s">
        <v>884</v>
      </c>
    </row>
    <row r="35">
      <c r="A35" t="s">
        <v>268</v>
      </c>
      <c r="B35" t="s">
        <v>1019</v>
      </c>
      <c r="C35" t="s">
        <v>1016</v>
      </c>
      <c r="D35" t="s">
        <v>1026</v>
      </c>
      <c r="E35" t="s">
        <v>107</v>
      </c>
      <c r="F35" t="s">
        <v>107</v>
      </c>
      <c r="G35" t="s">
        <v>107</v>
      </c>
      <c r="H35" t="s">
        <v>107</v>
      </c>
    </row>
    <row r="36">
      <c r="A36" t="s">
        <v>269</v>
      </c>
      <c r="B36" t="s">
        <v>1020</v>
      </c>
      <c r="C36" t="s">
        <v>1021</v>
      </c>
      <c r="D36" t="s">
        <v>107</v>
      </c>
      <c r="E36" t="s">
        <v>107</v>
      </c>
      <c r="F36" t="s">
        <v>107</v>
      </c>
      <c r="G36" t="s">
        <v>107</v>
      </c>
      <c r="H36" t="s">
        <v>107</v>
      </c>
    </row>
    <row r="37">
      <c r="A37" t="s">
        <v>270</v>
      </c>
      <c r="B37" t="s">
        <v>1022</v>
      </c>
      <c r="C37" t="s">
        <v>1023</v>
      </c>
      <c r="D37" t="s">
        <v>107</v>
      </c>
      <c r="E37" t="s">
        <v>107</v>
      </c>
      <c r="F37" t="s">
        <v>107</v>
      </c>
      <c r="G37" t="s">
        <v>107</v>
      </c>
      <c r="H37" t="s">
        <v>107</v>
      </c>
    </row>
    <row r="38">
      <c r="A38" t="s">
        <v>271</v>
      </c>
      <c r="B38" t="s">
        <v>1024</v>
      </c>
      <c r="C38" t="s">
        <v>1025</v>
      </c>
      <c r="D38" t="s">
        <v>107</v>
      </c>
      <c r="E38" t="s">
        <v>107</v>
      </c>
      <c r="F38" t="s">
        <v>107</v>
      </c>
      <c r="G38" t="s">
        <v>107</v>
      </c>
      <c r="H38" t="s">
        <v>107</v>
      </c>
    </row>
    <row r="40">
      <c r="A40" t="s">
        <v>1027</v>
      </c>
    </row>
    <row r="41">
      <c r="A41" t="s">
        <v>1028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5" t="s">
        <v>29</v>
      </c>
      <c r="B1" s="5" t="s">
        <v>272</v>
      </c>
      <c r="C1" s="5" t="s">
        <v>273</v>
      </c>
      <c r="D1" s="5" t="s">
        <v>274</v>
      </c>
      <c r="E1" s="6" t="s">
        <v>275</v>
      </c>
      <c r="F1" s="6" t="s">
        <v>276</v>
      </c>
      <c r="G1" s="6" t="s">
        <v>277</v>
      </c>
      <c r="H1" s="6" t="s">
        <v>278</v>
      </c>
      <c r="I1" s="6" t="s">
        <v>84</v>
      </c>
      <c r="J1" s="7" t="s">
        <v>279</v>
      </c>
      <c r="K1" s="7" t="s">
        <v>280</v>
      </c>
      <c r="L1" s="7" t="s">
        <v>281</v>
      </c>
      <c r="M1" s="7" t="s">
        <v>282</v>
      </c>
      <c r="N1" s="8" t="s">
        <v>283</v>
      </c>
      <c r="O1" s="8" t="s">
        <v>284</v>
      </c>
      <c r="P1" s="8" t="s">
        <v>285</v>
      </c>
      <c r="Q1" s="8" t="s">
        <v>286</v>
      </c>
      <c r="R1" s="8" t="s">
        <v>197</v>
      </c>
      <c r="S1" s="8" t="s">
        <v>190</v>
      </c>
      <c r="T1" s="9" t="s">
        <v>287</v>
      </c>
    </row>
    <row r="2">
      <c r="A2" t="s">
        <v>30</v>
      </c>
      <c r="B2" t="n">
        <v>1.04</v>
      </c>
      <c r="C2" t="n">
        <v>1.03</v>
      </c>
      <c r="D2" t="n">
        <v>1.01</v>
      </c>
      <c r="E2" t="n">
        <v>-2.75</v>
      </c>
      <c r="F2" t="n">
        <v>-1.5</v>
      </c>
      <c r="G2" t="n">
        <v>161</v>
      </c>
      <c r="H2" t="n">
        <v>12</v>
      </c>
      <c r="I2" t="s">
        <v>288</v>
      </c>
      <c r="J2" t="n">
        <v>0</v>
      </c>
      <c r="K2" t="n">
        <v>0</v>
      </c>
      <c r="L2" t="n">
        <v>0</v>
      </c>
      <c r="M2" t="n">
        <v>12</v>
      </c>
      <c r="N2" t="n">
        <v>0</v>
      </c>
      <c r="O2" t="n">
        <v>-0.25</v>
      </c>
      <c r="P2" t="n">
        <v>167</v>
      </c>
      <c r="Q2" t="n">
        <v>12</v>
      </c>
      <c r="R2" t="s">
        <v>289</v>
      </c>
      <c r="S2" t="s">
        <v>288</v>
      </c>
      <c r="T2" t="n">
        <v>0</v>
      </c>
    </row>
    <row r="3">
      <c r="A3" t="s">
        <v>30</v>
      </c>
      <c r="B3" t="n">
        <v>0.97</v>
      </c>
      <c r="C3" t="n">
        <v>0.78</v>
      </c>
      <c r="D3" t="n">
        <v>0.93</v>
      </c>
      <c r="E3" t="n">
        <v>-3.75</v>
      </c>
      <c r="F3" t="n">
        <v>-2.25</v>
      </c>
      <c r="G3" t="n">
        <v>35</v>
      </c>
      <c r="H3" t="n">
        <v>12</v>
      </c>
      <c r="I3" t="s">
        <v>290</v>
      </c>
      <c r="J3" t="n">
        <v>0</v>
      </c>
      <c r="K3" t="n">
        <v>0</v>
      </c>
      <c r="L3" t="n">
        <v>0</v>
      </c>
      <c r="M3" t="n">
        <v>12</v>
      </c>
      <c r="N3" t="n">
        <v>0</v>
      </c>
      <c r="O3" t="n">
        <v>0</v>
      </c>
      <c r="P3" t="n">
        <v>40</v>
      </c>
      <c r="Q3" t="n">
        <v>12</v>
      </c>
      <c r="R3" t="s">
        <v>291</v>
      </c>
      <c r="S3" t="s">
        <v>292</v>
      </c>
      <c r="T3" t="n">
        <v>0</v>
      </c>
    </row>
    <row r="4">
      <c r="A4" t="s">
        <v>30</v>
      </c>
      <c r="B4" t="n">
        <v>0.93</v>
      </c>
      <c r="C4" t="n">
        <v>0.93</v>
      </c>
      <c r="D4" t="n">
        <v>0.95</v>
      </c>
      <c r="E4" t="n">
        <v>-3.25</v>
      </c>
      <c r="F4" t="n">
        <v>-1</v>
      </c>
      <c r="G4" t="n">
        <v>24</v>
      </c>
      <c r="H4" t="n">
        <v>12</v>
      </c>
      <c r="I4" t="s">
        <v>291</v>
      </c>
      <c r="J4" t="n">
        <v>0</v>
      </c>
      <c r="K4" t="n">
        <v>0</v>
      </c>
      <c r="L4" t="n">
        <v>0</v>
      </c>
      <c r="M4" t="n">
        <v>12</v>
      </c>
      <c r="N4" t="n">
        <v>0.5</v>
      </c>
      <c r="O4" t="n">
        <v>-0.5</v>
      </c>
      <c r="P4" t="n">
        <v>36</v>
      </c>
      <c r="Q4" t="n">
        <v>12</v>
      </c>
      <c r="R4" t="s">
        <v>290</v>
      </c>
      <c r="S4" t="s">
        <v>291</v>
      </c>
      <c r="T4" t="n">
        <v>0.25</v>
      </c>
    </row>
    <row r="5">
      <c r="A5" t="s">
        <v>30</v>
      </c>
      <c r="B5" t="n">
        <v>1.06</v>
      </c>
      <c r="C5" t="n">
        <v>1.05</v>
      </c>
      <c r="D5" t="n">
        <v>1.13</v>
      </c>
      <c r="E5" t="n">
        <v>-2</v>
      </c>
      <c r="F5" t="n">
        <v>-0.5</v>
      </c>
      <c r="G5" t="n">
        <v>162</v>
      </c>
      <c r="H5" t="n">
        <v>12</v>
      </c>
      <c r="I5" t="s">
        <v>288</v>
      </c>
      <c r="J5" t="n">
        <v>0</v>
      </c>
      <c r="K5" t="n">
        <v>0</v>
      </c>
      <c r="L5" t="n">
        <v>0</v>
      </c>
      <c r="M5" t="n">
        <v>12</v>
      </c>
      <c r="N5" t="n">
        <v>0.5</v>
      </c>
      <c r="O5" t="n">
        <v>-0.25</v>
      </c>
      <c r="P5" t="n">
        <v>138</v>
      </c>
      <c r="Q5" t="n">
        <v>12</v>
      </c>
      <c r="R5" t="s">
        <v>297</v>
      </c>
      <c r="S5" t="s">
        <v>288</v>
      </c>
      <c r="T5" t="n">
        <v>0.25</v>
      </c>
    </row>
    <row r="6">
      <c r="A6" t="s">
        <v>30</v>
      </c>
      <c r="B6" t="n">
        <v>1.1</v>
      </c>
      <c r="C6" t="n">
        <v>1.09</v>
      </c>
      <c r="D6" t="n">
        <v>1.12</v>
      </c>
      <c r="E6" t="n">
        <v>-5.25</v>
      </c>
      <c r="F6" t="n">
        <v>-0.5</v>
      </c>
      <c r="G6" t="n">
        <v>13</v>
      </c>
      <c r="H6" t="n">
        <v>12</v>
      </c>
      <c r="I6" t="s">
        <v>293</v>
      </c>
      <c r="J6" t="n">
        <v>0</v>
      </c>
      <c r="K6" t="n">
        <v>0</v>
      </c>
      <c r="L6" t="n">
        <v>0</v>
      </c>
      <c r="M6" t="n">
        <v>12</v>
      </c>
      <c r="N6" t="n">
        <v>0</v>
      </c>
      <c r="O6" t="n">
        <v>-0.25</v>
      </c>
      <c r="P6" t="n">
        <v>173</v>
      </c>
      <c r="Q6" t="n">
        <v>12</v>
      </c>
      <c r="R6" t="s">
        <v>293</v>
      </c>
      <c r="S6" t="s">
        <v>293</v>
      </c>
      <c r="T6" t="n">
        <v>0</v>
      </c>
    </row>
    <row r="7">
      <c r="A7" t="s">
        <v>30</v>
      </c>
      <c r="B7" t="n">
        <v>0.95</v>
      </c>
      <c r="C7" t="n">
        <v>1.14</v>
      </c>
      <c r="D7" t="n">
        <v>0.95</v>
      </c>
      <c r="E7" t="n">
        <v>-1.75</v>
      </c>
      <c r="F7" t="n">
        <v>0</v>
      </c>
      <c r="G7" t="n">
        <v>161</v>
      </c>
      <c r="H7" t="n">
        <v>12</v>
      </c>
      <c r="I7" t="s">
        <v>290</v>
      </c>
      <c r="J7" t="n">
        <v>0</v>
      </c>
      <c r="K7" t="n">
        <v>0</v>
      </c>
      <c r="L7" t="n">
        <v>0</v>
      </c>
      <c r="M7" t="n">
        <v>12</v>
      </c>
      <c r="N7" t="n">
        <v>0</v>
      </c>
      <c r="O7" t="n">
        <v>-0.25</v>
      </c>
      <c r="P7" t="n">
        <v>7</v>
      </c>
      <c r="Q7" t="n">
        <v>12</v>
      </c>
      <c r="R7" t="s">
        <v>290</v>
      </c>
      <c r="S7" t="s">
        <v>297</v>
      </c>
      <c r="T7" t="n">
        <v>0</v>
      </c>
    </row>
    <row r="8">
      <c r="A8" t="s">
        <v>30</v>
      </c>
      <c r="B8" t="n">
        <v>1.04</v>
      </c>
      <c r="C8" t="n">
        <v>0.91</v>
      </c>
      <c r="D8" t="n">
        <v>1.04</v>
      </c>
      <c r="E8" t="n">
        <v>-5.25</v>
      </c>
      <c r="F8" t="n">
        <v>0</v>
      </c>
      <c r="G8" t="n">
        <v>3</v>
      </c>
      <c r="H8" t="n">
        <v>12</v>
      </c>
      <c r="I8" t="s">
        <v>288</v>
      </c>
      <c r="J8" t="n">
        <v>0</v>
      </c>
      <c r="K8" t="n">
        <v>0</v>
      </c>
      <c r="L8" t="n">
        <v>0</v>
      </c>
      <c r="M8" t="n">
        <v>12</v>
      </c>
      <c r="N8" t="n">
        <v>0.25</v>
      </c>
      <c r="O8" t="n">
        <v>-0.5</v>
      </c>
      <c r="P8" t="n">
        <v>91</v>
      </c>
      <c r="Q8" t="n">
        <v>12</v>
      </c>
      <c r="R8" t="s">
        <v>288</v>
      </c>
      <c r="S8" t="s">
        <v>291</v>
      </c>
      <c r="T8" t="n">
        <v>0</v>
      </c>
    </row>
    <row r="9">
      <c r="A9" t="s">
        <v>30</v>
      </c>
      <c r="B9" t="n">
        <v>1.13</v>
      </c>
      <c r="C9" t="n">
        <v>1.18</v>
      </c>
      <c r="D9" t="n">
        <v>1.16</v>
      </c>
      <c r="E9" t="n">
        <v>-5.75</v>
      </c>
      <c r="F9" t="n">
        <v>-1.25</v>
      </c>
      <c r="G9" t="n">
        <v>100</v>
      </c>
      <c r="H9" t="n">
        <v>12</v>
      </c>
      <c r="I9" t="s">
        <v>297</v>
      </c>
      <c r="J9" t="n">
        <v>0</v>
      </c>
      <c r="K9" t="n">
        <v>0</v>
      </c>
      <c r="L9" t="n">
        <v>0</v>
      </c>
      <c r="M9" t="n">
        <v>12</v>
      </c>
      <c r="N9" t="n">
        <v>0</v>
      </c>
      <c r="O9" t="n">
        <v>-0.25</v>
      </c>
      <c r="P9" t="n">
        <v>103</v>
      </c>
      <c r="Q9" t="n">
        <v>12</v>
      </c>
      <c r="R9" t="s">
        <v>297</v>
      </c>
      <c r="S9" t="s">
        <v>294</v>
      </c>
      <c r="T9" t="n">
        <v>0</v>
      </c>
    </row>
    <row r="10">
      <c r="A10" t="s">
        <v>30</v>
      </c>
      <c r="B10" t="n">
        <v>0.89</v>
      </c>
      <c r="C10" t="n">
        <v>0.81</v>
      </c>
      <c r="D10" t="n">
        <v>0.85</v>
      </c>
      <c r="E10" t="n">
        <v>-2.5</v>
      </c>
      <c r="F10" t="n">
        <v>0</v>
      </c>
      <c r="G10" t="n">
        <v>1</v>
      </c>
      <c r="H10" t="n">
        <v>12</v>
      </c>
      <c r="I10" t="s">
        <v>300</v>
      </c>
      <c r="J10" t="n">
        <v>0</v>
      </c>
      <c r="K10" t="n">
        <v>0</v>
      </c>
      <c r="L10" t="n">
        <v>0</v>
      </c>
      <c r="M10" t="n">
        <v>12</v>
      </c>
      <c r="N10" t="n">
        <v>0.5</v>
      </c>
      <c r="O10" t="n">
        <v>-0.5</v>
      </c>
      <c r="P10" t="n">
        <v>23</v>
      </c>
      <c r="Q10" t="n">
        <v>12</v>
      </c>
      <c r="R10" t="s">
        <v>298</v>
      </c>
      <c r="S10" t="s">
        <v>292</v>
      </c>
      <c r="T10" t="n">
        <v>0.25</v>
      </c>
    </row>
    <row r="11">
      <c r="A11" t="s">
        <v>30</v>
      </c>
      <c r="B11" t="n">
        <v>1.12</v>
      </c>
      <c r="C11" t="n">
        <v>1.15</v>
      </c>
      <c r="D11" t="n">
        <v>1.17</v>
      </c>
      <c r="E11" t="n">
        <v>-0.75</v>
      </c>
      <c r="F11" t="n">
        <v>0</v>
      </c>
      <c r="G11" t="n">
        <v>163</v>
      </c>
      <c r="H11" t="n">
        <v>12</v>
      </c>
      <c r="I11" t="s">
        <v>293</v>
      </c>
      <c r="J11" t="n">
        <v>0</v>
      </c>
      <c r="K11" t="n">
        <v>0</v>
      </c>
      <c r="L11" t="n">
        <v>0</v>
      </c>
      <c r="M11" t="n">
        <v>12</v>
      </c>
      <c r="N11" t="n">
        <v>0</v>
      </c>
      <c r="O11" t="n">
        <v>-0.25</v>
      </c>
      <c r="P11" t="n">
        <v>149</v>
      </c>
      <c r="Q11" t="n">
        <v>12</v>
      </c>
      <c r="R11" t="s">
        <v>297</v>
      </c>
      <c r="S11" t="s">
        <v>297</v>
      </c>
      <c r="T11" t="n">
        <v>0</v>
      </c>
    </row>
    <row r="12">
      <c r="A12" t="s">
        <v>30</v>
      </c>
      <c r="B12" t="n">
        <v>1.15</v>
      </c>
      <c r="C12" t="n">
        <v>1.16</v>
      </c>
      <c r="D12" t="n">
        <v>1.12</v>
      </c>
      <c r="E12" t="n">
        <v>-2.5</v>
      </c>
      <c r="F12" t="n">
        <v>-0.5</v>
      </c>
      <c r="G12" t="n">
        <v>164</v>
      </c>
      <c r="H12" t="n">
        <v>12</v>
      </c>
      <c r="I12" t="s">
        <v>297</v>
      </c>
      <c r="J12" t="n">
        <v>0</v>
      </c>
      <c r="K12" t="n">
        <v>0</v>
      </c>
      <c r="L12" t="n">
        <v>0</v>
      </c>
      <c r="M12" t="n">
        <v>12</v>
      </c>
      <c r="N12" t="n">
        <v>1</v>
      </c>
      <c r="O12" t="n">
        <v>-0.25</v>
      </c>
      <c r="P12" t="n">
        <v>170</v>
      </c>
      <c r="Q12" t="n">
        <v>12</v>
      </c>
      <c r="R12" t="s">
        <v>293</v>
      </c>
      <c r="S12" t="s">
        <v>297</v>
      </c>
      <c r="T12" t="n">
        <v>0.75</v>
      </c>
    </row>
    <row r="13">
      <c r="A13" t="s">
        <v>30</v>
      </c>
      <c r="B13" t="n">
        <v>1.01</v>
      </c>
      <c r="C13" t="n">
        <v>0.91</v>
      </c>
      <c r="D13" t="n">
        <v>1</v>
      </c>
      <c r="E13" t="n">
        <v>-3.25</v>
      </c>
      <c r="F13" t="n">
        <v>-0.25</v>
      </c>
      <c r="G13" t="n">
        <v>47</v>
      </c>
      <c r="H13" t="n">
        <v>12</v>
      </c>
      <c r="I13" t="s">
        <v>289</v>
      </c>
      <c r="J13" t="n">
        <v>0</v>
      </c>
      <c r="K13" t="n">
        <v>0</v>
      </c>
      <c r="L13" t="n">
        <v>0</v>
      </c>
      <c r="M13" t="n">
        <v>12</v>
      </c>
      <c r="N13" t="n">
        <v>0.5</v>
      </c>
      <c r="O13" t="n">
        <v>-0.5</v>
      </c>
      <c r="P13" t="n">
        <v>48</v>
      </c>
      <c r="Q13" t="n">
        <v>12</v>
      </c>
      <c r="R13" t="s">
        <v>289</v>
      </c>
      <c r="S13" t="s">
        <v>291</v>
      </c>
      <c r="T13" t="n">
        <v>0.25</v>
      </c>
    </row>
    <row r="14">
      <c r="A14" t="s">
        <v>30</v>
      </c>
      <c r="B14" t="n">
        <v>1.03</v>
      </c>
      <c r="C14" t="n">
        <v>0.93</v>
      </c>
      <c r="D14" t="n">
        <v>1.03</v>
      </c>
      <c r="E14" t="n">
        <v>-7.25</v>
      </c>
      <c r="F14" t="n">
        <v>-0.5</v>
      </c>
      <c r="G14" t="n">
        <v>180</v>
      </c>
      <c r="H14" t="n">
        <v>12</v>
      </c>
      <c r="I14" t="s">
        <v>288</v>
      </c>
      <c r="J14" t="n">
        <v>0</v>
      </c>
      <c r="K14" t="n">
        <v>0</v>
      </c>
      <c r="L14" t="n">
        <v>0</v>
      </c>
      <c r="M14" t="n">
        <v>12</v>
      </c>
      <c r="N14" t="n">
        <v>0.5</v>
      </c>
      <c r="O14" t="n">
        <v>-0.5</v>
      </c>
      <c r="P14" t="n">
        <v>16</v>
      </c>
      <c r="Q14" t="n">
        <v>12</v>
      </c>
      <c r="R14" t="s">
        <v>288</v>
      </c>
      <c r="S14" t="s">
        <v>291</v>
      </c>
      <c r="T14" t="n">
        <v>0.25</v>
      </c>
    </row>
    <row r="15">
      <c r="A15" t="s">
        <v>30</v>
      </c>
      <c r="B15" t="n">
        <v>1.13</v>
      </c>
      <c r="C15" t="n">
        <v>0.9</v>
      </c>
      <c r="D15" t="n">
        <v>1.12</v>
      </c>
      <c r="E15" t="n">
        <v>-2</v>
      </c>
      <c r="F15" t="n">
        <v>-0.75</v>
      </c>
      <c r="G15" t="n">
        <v>85</v>
      </c>
      <c r="H15" t="n">
        <v>12</v>
      </c>
      <c r="I15" t="s">
        <v>297</v>
      </c>
      <c r="J15" t="n">
        <v>0</v>
      </c>
      <c r="K15" t="n">
        <v>0</v>
      </c>
      <c r="L15" t="n">
        <v>0</v>
      </c>
      <c r="M15" t="n">
        <v>12</v>
      </c>
      <c r="N15" t="n">
        <v>0.5</v>
      </c>
      <c r="O15" t="n">
        <v>0</v>
      </c>
      <c r="P15" t="n">
        <v>137</v>
      </c>
      <c r="Q15" t="n">
        <v>12</v>
      </c>
      <c r="R15" t="s">
        <v>293</v>
      </c>
      <c r="S15" t="s">
        <v>291</v>
      </c>
      <c r="T15" t="n">
        <v>0.5</v>
      </c>
    </row>
    <row r="16">
      <c r="A16" t="s">
        <v>30</v>
      </c>
      <c r="B16" t="n">
        <v>0.98</v>
      </c>
      <c r="C16" t="n">
        <v>0.86</v>
      </c>
      <c r="D16" t="n">
        <v>0.95</v>
      </c>
      <c r="E16" t="n">
        <v>-7.25</v>
      </c>
      <c r="F16" t="n">
        <v>-0.75</v>
      </c>
      <c r="G16" t="n">
        <v>14</v>
      </c>
      <c r="H16" t="n">
        <v>12</v>
      </c>
      <c r="I16" t="s">
        <v>289</v>
      </c>
      <c r="J16" t="n">
        <v>0</v>
      </c>
      <c r="K16" t="n">
        <v>0</v>
      </c>
      <c r="L16" t="n">
        <v>0</v>
      </c>
      <c r="M16" t="n">
        <v>12</v>
      </c>
      <c r="N16" t="n">
        <v>0</v>
      </c>
      <c r="O16" t="n">
        <v>-0.5</v>
      </c>
      <c r="P16" t="n">
        <v>167</v>
      </c>
      <c r="Q16" t="n">
        <v>12</v>
      </c>
      <c r="R16" t="s">
        <v>290</v>
      </c>
      <c r="S16" t="s">
        <v>300</v>
      </c>
      <c r="T16" t="n">
        <v>-0.25</v>
      </c>
    </row>
    <row r="17">
      <c r="A17" t="s">
        <v>30</v>
      </c>
      <c r="B17" t="n">
        <v>0.88</v>
      </c>
      <c r="C17" t="n">
        <v>0.83</v>
      </c>
      <c r="D17" t="n">
        <v>0.82</v>
      </c>
      <c r="E17" t="n">
        <v>-4.5</v>
      </c>
      <c r="F17" t="n">
        <v>-1.25</v>
      </c>
      <c r="G17" t="n">
        <v>75</v>
      </c>
      <c r="H17" t="n">
        <v>12</v>
      </c>
      <c r="I17" t="s">
        <v>300</v>
      </c>
      <c r="J17" t="n">
        <v>0</v>
      </c>
      <c r="K17" t="n">
        <v>0</v>
      </c>
      <c r="L17" t="n">
        <v>0</v>
      </c>
      <c r="M17" t="n">
        <v>12</v>
      </c>
      <c r="N17" t="n">
        <v>0.25</v>
      </c>
      <c r="O17" t="n">
        <v>-0.5</v>
      </c>
      <c r="P17" t="n">
        <v>50</v>
      </c>
      <c r="Q17" t="n">
        <v>12</v>
      </c>
      <c r="R17" t="s">
        <v>298</v>
      </c>
      <c r="S17" t="s">
        <v>298</v>
      </c>
      <c r="T17" t="n">
        <v>0</v>
      </c>
    </row>
    <row r="18">
      <c r="A18" t="s">
        <v>30</v>
      </c>
      <c r="B18" t="n">
        <v>1.08</v>
      </c>
      <c r="C18" t="n">
        <v>1.15</v>
      </c>
      <c r="D18" t="n">
        <v>1.04</v>
      </c>
      <c r="E18" t="n">
        <v>-4.75</v>
      </c>
      <c r="F18" t="n">
        <v>-0.25</v>
      </c>
      <c r="G18" t="n">
        <v>172</v>
      </c>
      <c r="H18" t="n">
        <v>12</v>
      </c>
      <c r="I18" t="s">
        <v>293</v>
      </c>
      <c r="J18" t="n">
        <v>0</v>
      </c>
      <c r="K18" t="n">
        <v>0</v>
      </c>
      <c r="L18" t="n">
        <v>0</v>
      </c>
      <c r="M18" t="n">
        <v>12</v>
      </c>
      <c r="N18" t="n">
        <v>0.5</v>
      </c>
      <c r="O18" t="n">
        <v>-0.25</v>
      </c>
      <c r="P18" t="n">
        <v>15</v>
      </c>
      <c r="Q18" t="n">
        <v>12</v>
      </c>
      <c r="R18" t="s">
        <v>288</v>
      </c>
      <c r="S18" t="s">
        <v>297</v>
      </c>
      <c r="T18" t="n">
        <v>0.25</v>
      </c>
    </row>
    <row r="19">
      <c r="A19" t="s">
        <v>30</v>
      </c>
      <c r="B19" t="n">
        <v>1.06</v>
      </c>
      <c r="C19" t="n">
        <v>1.09</v>
      </c>
      <c r="D19" t="n">
        <v>1.13</v>
      </c>
      <c r="E19" t="n">
        <v>-3.25</v>
      </c>
      <c r="F19" t="n">
        <v>-0.25</v>
      </c>
      <c r="G19" t="n">
        <v>97</v>
      </c>
      <c r="H19" t="n">
        <v>12</v>
      </c>
      <c r="I19" t="s">
        <v>288</v>
      </c>
      <c r="J19" t="n">
        <v>0</v>
      </c>
      <c r="K19" t="n">
        <v>0</v>
      </c>
      <c r="L19" t="n">
        <v>0</v>
      </c>
      <c r="M19" t="n">
        <v>12</v>
      </c>
      <c r="N19" t="n">
        <v>0.5</v>
      </c>
      <c r="O19" t="n">
        <v>-0.25</v>
      </c>
      <c r="P19" t="n">
        <v>122</v>
      </c>
      <c r="Q19" t="n">
        <v>12</v>
      </c>
      <c r="R19" t="s">
        <v>297</v>
      </c>
      <c r="S19" t="s">
        <v>293</v>
      </c>
      <c r="T19" t="n">
        <v>0.25</v>
      </c>
    </row>
    <row r="20">
      <c r="A20" t="s">
        <v>30</v>
      </c>
      <c r="B20" t="n">
        <v>1.06</v>
      </c>
      <c r="C20" t="n">
        <v>1.11</v>
      </c>
      <c r="D20" t="n">
        <v>1.06</v>
      </c>
      <c r="E20" t="n">
        <v>-3</v>
      </c>
      <c r="F20" t="n">
        <v>-0.75</v>
      </c>
      <c r="G20" t="n">
        <v>165</v>
      </c>
      <c r="H20" t="n">
        <v>12</v>
      </c>
      <c r="I20" t="s">
        <v>288</v>
      </c>
      <c r="J20" t="n">
        <v>0</v>
      </c>
      <c r="K20" t="n">
        <v>0</v>
      </c>
      <c r="L20" t="n">
        <v>0</v>
      </c>
      <c r="M20" t="n">
        <v>12</v>
      </c>
      <c r="N20" t="n">
        <v>0</v>
      </c>
      <c r="O20" t="n">
        <v>-0.5</v>
      </c>
      <c r="P20" t="n">
        <v>12</v>
      </c>
      <c r="Q20" t="n">
        <v>12</v>
      </c>
      <c r="R20" t="s">
        <v>288</v>
      </c>
      <c r="S20" t="s">
        <v>293</v>
      </c>
      <c r="T20" t="n">
        <v>-0.25</v>
      </c>
    </row>
    <row r="21">
      <c r="A21" t="s">
        <v>30</v>
      </c>
      <c r="B21" t="n">
        <v>1.02</v>
      </c>
      <c r="C21" t="n">
        <v>0.96</v>
      </c>
      <c r="D21" t="n">
        <v>0.96</v>
      </c>
      <c r="E21" t="n">
        <v>-4.25</v>
      </c>
      <c r="F21" t="n">
        <v>-0.5</v>
      </c>
      <c r="G21" t="n">
        <v>76</v>
      </c>
      <c r="H21" t="n">
        <v>12</v>
      </c>
      <c r="I21" t="s">
        <v>289</v>
      </c>
      <c r="J21" t="n">
        <v>0</v>
      </c>
      <c r="K21" t="n">
        <v>0</v>
      </c>
      <c r="L21" t="n">
        <v>0</v>
      </c>
      <c r="M21" t="n">
        <v>12</v>
      </c>
      <c r="N21" t="n">
        <v>0</v>
      </c>
      <c r="O21" t="n">
        <v>-0.25</v>
      </c>
      <c r="P21" t="n">
        <v>62</v>
      </c>
      <c r="Q21" t="n">
        <v>12</v>
      </c>
      <c r="R21" t="s">
        <v>290</v>
      </c>
      <c r="S21" t="s">
        <v>290</v>
      </c>
      <c r="T21" t="n">
        <v>0</v>
      </c>
    </row>
    <row r="22">
      <c r="A22" t="s">
        <v>30</v>
      </c>
      <c r="B22" t="n">
        <v>1.06</v>
      </c>
      <c r="C22" t="n">
        <v>0.95</v>
      </c>
      <c r="D22" t="n">
        <v>1.06</v>
      </c>
      <c r="E22" t="n">
        <v>-3.25</v>
      </c>
      <c r="F22" t="n">
        <v>-1.25</v>
      </c>
      <c r="G22" t="n">
        <v>84</v>
      </c>
      <c r="H22" t="n">
        <v>12</v>
      </c>
      <c r="I22" t="s">
        <v>288</v>
      </c>
      <c r="J22" t="n">
        <v>0</v>
      </c>
      <c r="K22" t="n">
        <v>0</v>
      </c>
      <c r="L22" t="n">
        <v>0</v>
      </c>
      <c r="M22" t="n">
        <v>12</v>
      </c>
      <c r="N22" t="n">
        <v>0.5</v>
      </c>
      <c r="O22" t="n">
        <v>-0.25</v>
      </c>
      <c r="P22" t="n">
        <v>62</v>
      </c>
      <c r="Q22" t="n">
        <v>12</v>
      </c>
      <c r="R22" t="s">
        <v>288</v>
      </c>
      <c r="S22" t="s">
        <v>290</v>
      </c>
      <c r="T22" t="n">
        <v>0.5</v>
      </c>
    </row>
    <row r="23">
      <c r="A23" t="s">
        <v>30</v>
      </c>
      <c r="B23" t="n">
        <v>1.11</v>
      </c>
      <c r="C23" t="n">
        <v>1.06</v>
      </c>
      <c r="D23" t="n">
        <v>1.09</v>
      </c>
      <c r="E23" t="n">
        <v>-6.75</v>
      </c>
      <c r="F23" t="n">
        <v>-0.75</v>
      </c>
      <c r="G23" t="n">
        <v>81</v>
      </c>
      <c r="H23" t="n">
        <v>12</v>
      </c>
      <c r="I23" t="s">
        <v>293</v>
      </c>
      <c r="J23" t="n">
        <v>0</v>
      </c>
      <c r="K23" t="n">
        <v>0</v>
      </c>
      <c r="L23" t="n">
        <v>0</v>
      </c>
      <c r="M23" t="n">
        <v>12</v>
      </c>
      <c r="N23" t="n">
        <v>-0.5</v>
      </c>
      <c r="O23" t="n">
        <v>-0.25</v>
      </c>
      <c r="P23" t="n">
        <v>34</v>
      </c>
      <c r="Q23" t="n">
        <v>12</v>
      </c>
      <c r="R23" t="s">
        <v>293</v>
      </c>
      <c r="S23" t="s">
        <v>288</v>
      </c>
      <c r="T23" t="n">
        <v>-0.5</v>
      </c>
    </row>
    <row r="24">
      <c r="A24" t="s">
        <v>30</v>
      </c>
      <c r="B24" t="n">
        <v>0.92</v>
      </c>
      <c r="C24" t="n">
        <v>0.75</v>
      </c>
      <c r="D24" t="n">
        <v>0.93</v>
      </c>
      <c r="E24" t="n">
        <v>-8.25</v>
      </c>
      <c r="F24" t="n">
        <v>-0.75</v>
      </c>
      <c r="G24" t="n">
        <v>172</v>
      </c>
      <c r="H24" t="n">
        <v>12</v>
      </c>
      <c r="I24" t="s">
        <v>291</v>
      </c>
      <c r="J24" t="n">
        <v>0</v>
      </c>
      <c r="K24" t="n">
        <v>0</v>
      </c>
      <c r="L24" t="n">
        <v>0</v>
      </c>
      <c r="M24" t="n">
        <v>12</v>
      </c>
      <c r="N24" t="n">
        <v>-0.5</v>
      </c>
      <c r="O24" t="n">
        <v>-0.25</v>
      </c>
      <c r="P24" t="n">
        <v>171</v>
      </c>
      <c r="Q24" t="n">
        <v>12</v>
      </c>
      <c r="R24" t="s">
        <v>291</v>
      </c>
      <c r="S24" t="s">
        <v>301</v>
      </c>
      <c r="T24" t="n">
        <v>-0.5</v>
      </c>
    </row>
    <row r="25">
      <c r="A25" t="s">
        <v>30</v>
      </c>
      <c r="B25" t="n">
        <v>0.99</v>
      </c>
      <c r="C25" t="n">
        <v>0.96</v>
      </c>
      <c r="D25" t="n">
        <v>1.01</v>
      </c>
      <c r="E25" t="n">
        <v>-5</v>
      </c>
      <c r="F25" t="n">
        <v>-0.25</v>
      </c>
      <c r="G25" t="n">
        <v>161</v>
      </c>
      <c r="H25" t="n">
        <v>12</v>
      </c>
      <c r="I25" t="s">
        <v>289</v>
      </c>
      <c r="J25" t="n">
        <v>0</v>
      </c>
      <c r="K25" t="n">
        <v>0</v>
      </c>
      <c r="L25" t="n">
        <v>0</v>
      </c>
      <c r="M25" t="n">
        <v>12</v>
      </c>
      <c r="N25" t="n">
        <v>0</v>
      </c>
      <c r="O25" t="n">
        <v>0</v>
      </c>
      <c r="P25" t="n">
        <v>80</v>
      </c>
      <c r="Q25" t="n">
        <v>12</v>
      </c>
      <c r="R25" t="s">
        <v>289</v>
      </c>
      <c r="S25" t="s">
        <v>290</v>
      </c>
      <c r="T25" t="n">
        <v>0</v>
      </c>
    </row>
    <row r="26">
      <c r="A26" t="s">
        <v>30</v>
      </c>
      <c r="B26" t="n">
        <v>0.93</v>
      </c>
      <c r="C26" t="n">
        <v>0.96</v>
      </c>
      <c r="D26" t="n">
        <v>0.94</v>
      </c>
      <c r="E26" t="n">
        <v>-5.75</v>
      </c>
      <c r="F26" t="n">
        <v>-1</v>
      </c>
      <c r="G26" t="n">
        <v>83</v>
      </c>
      <c r="H26" t="n">
        <v>12</v>
      </c>
      <c r="I26" t="s">
        <v>291</v>
      </c>
      <c r="J26" t="n">
        <v>0</v>
      </c>
      <c r="K26" t="n">
        <v>0</v>
      </c>
      <c r="L26" t="n">
        <v>0</v>
      </c>
      <c r="M26" t="n">
        <v>12</v>
      </c>
      <c r="N26" t="n">
        <v>0</v>
      </c>
      <c r="O26" t="n">
        <v>-0.25</v>
      </c>
      <c r="P26" t="n">
        <v>78</v>
      </c>
      <c r="Q26" t="n">
        <v>12</v>
      </c>
      <c r="R26" t="s">
        <v>290</v>
      </c>
      <c r="S26" t="s">
        <v>290</v>
      </c>
      <c r="T26" t="n">
        <v>0</v>
      </c>
    </row>
    <row r="27">
      <c r="A27" t="s">
        <v>30</v>
      </c>
      <c r="B27" t="n">
        <v>1.03</v>
      </c>
      <c r="C27" t="n">
        <v>1.08</v>
      </c>
      <c r="D27" t="n">
        <v>1.06</v>
      </c>
      <c r="E27" t="n">
        <v>-1</v>
      </c>
      <c r="F27" t="n">
        <v>-0.5</v>
      </c>
      <c r="G27" t="n">
        <v>80</v>
      </c>
      <c r="H27" t="n">
        <v>12</v>
      </c>
      <c r="I27" t="s">
        <v>288</v>
      </c>
      <c r="J27" t="n">
        <v>0</v>
      </c>
      <c r="K27" t="n">
        <v>0</v>
      </c>
      <c r="L27" t="n">
        <v>0</v>
      </c>
      <c r="M27" t="n">
        <v>12</v>
      </c>
      <c r="N27" t="n">
        <v>0</v>
      </c>
      <c r="O27" t="n">
        <v>0</v>
      </c>
      <c r="P27" t="n">
        <v>11</v>
      </c>
      <c r="Q27" t="n">
        <v>12</v>
      </c>
      <c r="R27" t="s">
        <v>288</v>
      </c>
      <c r="S27" t="s">
        <v>293</v>
      </c>
      <c r="T27" t="n">
        <v>0</v>
      </c>
    </row>
    <row r="28">
      <c r="A28" t="s">
        <v>30</v>
      </c>
      <c r="B28" t="n">
        <v>1.04</v>
      </c>
      <c r="C28" t="n">
        <v>1.1</v>
      </c>
      <c r="D28" t="n">
        <v>1.06</v>
      </c>
      <c r="E28" t="n">
        <v>-1.25</v>
      </c>
      <c r="F28" t="n">
        <v>-1</v>
      </c>
      <c r="G28" t="n">
        <v>180</v>
      </c>
      <c r="H28" t="n">
        <v>12</v>
      </c>
      <c r="I28" t="s">
        <v>288</v>
      </c>
      <c r="J28" t="n">
        <v>0</v>
      </c>
      <c r="K28" t="n">
        <v>0</v>
      </c>
      <c r="L28" t="n">
        <v>0</v>
      </c>
      <c r="M28" t="n">
        <v>12</v>
      </c>
      <c r="N28" t="n">
        <v>-0.5</v>
      </c>
      <c r="O28" t="n">
        <v>0</v>
      </c>
      <c r="P28" t="n">
        <v>178</v>
      </c>
      <c r="Q28" t="n">
        <v>12</v>
      </c>
      <c r="R28" t="s">
        <v>288</v>
      </c>
      <c r="S28" t="s">
        <v>293</v>
      </c>
      <c r="T28" t="n">
        <v>-0.5</v>
      </c>
    </row>
    <row r="29">
      <c r="A29" t="s">
        <v>30</v>
      </c>
      <c r="B29" t="n">
        <v>0.98</v>
      </c>
      <c r="C29" t="n">
        <v>1.08</v>
      </c>
      <c r="D29" t="n">
        <v>1.02</v>
      </c>
      <c r="E29" t="n">
        <v>-0.5</v>
      </c>
      <c r="F29" t="n">
        <v>-0.75</v>
      </c>
      <c r="G29" t="n">
        <v>7</v>
      </c>
      <c r="H29" t="n">
        <v>12</v>
      </c>
      <c r="I29" t="s">
        <v>289</v>
      </c>
      <c r="J29" t="n">
        <v>0</v>
      </c>
      <c r="K29" t="n">
        <v>0</v>
      </c>
      <c r="L29" t="n">
        <v>0</v>
      </c>
      <c r="M29" t="n">
        <v>12</v>
      </c>
      <c r="N29" t="n">
        <v>0</v>
      </c>
      <c r="O29" t="n">
        <v>-0.25</v>
      </c>
      <c r="P29" t="n">
        <v>24</v>
      </c>
      <c r="Q29" t="n">
        <v>12</v>
      </c>
      <c r="R29" t="s">
        <v>289</v>
      </c>
      <c r="S29" t="s">
        <v>293</v>
      </c>
      <c r="T29" t="n">
        <v>0</v>
      </c>
    </row>
    <row r="30">
      <c r="A30" t="s">
        <v>30</v>
      </c>
      <c r="B30" t="n">
        <v>1.19</v>
      </c>
      <c r="C30" t="n">
        <v>1.16</v>
      </c>
      <c r="D30" t="n">
        <v>1.23</v>
      </c>
      <c r="E30" t="n">
        <v>-2</v>
      </c>
      <c r="F30" t="n">
        <v>0</v>
      </c>
      <c r="G30" t="n">
        <v>170</v>
      </c>
      <c r="H30" t="n">
        <v>12</v>
      </c>
      <c r="I30" t="s">
        <v>294</v>
      </c>
      <c r="J30" t="n">
        <v>0</v>
      </c>
      <c r="K30" t="n">
        <v>0</v>
      </c>
      <c r="L30" t="n">
        <v>0</v>
      </c>
      <c r="M30" t="n">
        <v>12</v>
      </c>
      <c r="N30" t="n">
        <v>0.25</v>
      </c>
      <c r="O30" t="n">
        <v>-0.5</v>
      </c>
      <c r="P30" t="n">
        <v>23</v>
      </c>
      <c r="Q30" t="n">
        <v>12</v>
      </c>
      <c r="R30" t="s">
        <v>294</v>
      </c>
      <c r="S30" t="s">
        <v>297</v>
      </c>
      <c r="T30" t="n">
        <v>0</v>
      </c>
    </row>
    <row r="31">
      <c r="A31" t="s">
        <v>30</v>
      </c>
      <c r="B31" t="n">
        <v>0.86</v>
      </c>
      <c r="C31" t="n">
        <v>0.83</v>
      </c>
      <c r="D31" t="n">
        <v>0.84</v>
      </c>
      <c r="E31" t="n">
        <v>-3.75</v>
      </c>
      <c r="F31" t="n">
        <v>-1.25</v>
      </c>
      <c r="G31" t="n">
        <v>23</v>
      </c>
      <c r="H31" t="n">
        <v>12</v>
      </c>
      <c r="I31" t="s">
        <v>300</v>
      </c>
      <c r="J31" t="n">
        <v>0</v>
      </c>
      <c r="K31" t="n">
        <v>0</v>
      </c>
      <c r="L31" t="n">
        <v>0</v>
      </c>
      <c r="M31" t="n">
        <v>12</v>
      </c>
      <c r="N31" t="n">
        <v>0.5</v>
      </c>
      <c r="O31" t="n">
        <v>-0.75</v>
      </c>
      <c r="P31" t="n">
        <v>166</v>
      </c>
      <c r="Q31" t="n">
        <v>12</v>
      </c>
      <c r="R31" t="s">
        <v>298</v>
      </c>
      <c r="S31" t="s">
        <v>298</v>
      </c>
      <c r="T31" t="n">
        <v>0</v>
      </c>
    </row>
    <row r="32">
      <c r="A32" t="s">
        <v>30</v>
      </c>
      <c r="B32" t="n">
        <v>0.99</v>
      </c>
      <c r="C32" t="n">
        <v>0.82</v>
      </c>
      <c r="D32" t="n">
        <v>0.97</v>
      </c>
      <c r="E32" t="n">
        <v>-4.75</v>
      </c>
      <c r="F32" t="n">
        <v>0</v>
      </c>
      <c r="G32" t="n">
        <v>5</v>
      </c>
      <c r="H32" t="n">
        <v>12</v>
      </c>
      <c r="I32" t="s">
        <v>289</v>
      </c>
      <c r="J32" t="n">
        <v>0</v>
      </c>
      <c r="K32" t="n">
        <v>0</v>
      </c>
      <c r="L32" t="n">
        <v>0</v>
      </c>
      <c r="M32" t="n">
        <v>12</v>
      </c>
      <c r="N32" t="n">
        <v>0.5</v>
      </c>
      <c r="O32" t="n">
        <v>0</v>
      </c>
      <c r="P32" t="n">
        <v>177</v>
      </c>
      <c r="Q32" t="n">
        <v>12</v>
      </c>
      <c r="R32" t="s">
        <v>290</v>
      </c>
      <c r="S32" t="s">
        <v>298</v>
      </c>
      <c r="T32" t="n">
        <v>0.5</v>
      </c>
    </row>
    <row r="33">
      <c r="A33" t="s">
        <v>30</v>
      </c>
      <c r="B33" t="n">
        <v>0.96</v>
      </c>
      <c r="C33" t="n">
        <v>0.98</v>
      </c>
      <c r="D33" t="n">
        <v>0.97</v>
      </c>
      <c r="E33" t="n">
        <v>-6.25</v>
      </c>
      <c r="F33" t="n">
        <v>-0.25</v>
      </c>
      <c r="G33" t="n">
        <v>67</v>
      </c>
      <c r="H33" t="n">
        <v>12</v>
      </c>
      <c r="I33" t="s">
        <v>290</v>
      </c>
      <c r="J33" t="n">
        <v>0</v>
      </c>
      <c r="K33" t="n">
        <v>0</v>
      </c>
      <c r="L33" t="n">
        <v>0</v>
      </c>
      <c r="M33" t="n">
        <v>12</v>
      </c>
      <c r="N33" t="n">
        <v>0.5</v>
      </c>
      <c r="O33" t="n">
        <v>-0.25</v>
      </c>
      <c r="P33" t="n">
        <v>8</v>
      </c>
      <c r="Q33" t="n">
        <v>12</v>
      </c>
      <c r="R33" t="s">
        <v>290</v>
      </c>
      <c r="S33" t="s">
        <v>289</v>
      </c>
      <c r="T33" t="n">
        <v>0.5</v>
      </c>
    </row>
    <row r="34">
      <c r="A34" t="s">
        <v>30</v>
      </c>
      <c r="B34" t="n">
        <v>1.07</v>
      </c>
      <c r="C34" t="n">
        <v>0.94</v>
      </c>
      <c r="D34" t="n">
        <v>1.05</v>
      </c>
      <c r="E34" t="n">
        <v>-5.5</v>
      </c>
      <c r="F34" t="n">
        <v>-0.25</v>
      </c>
      <c r="G34" t="n">
        <v>11</v>
      </c>
      <c r="H34" t="n">
        <v>12</v>
      </c>
      <c r="I34" t="s">
        <v>288</v>
      </c>
      <c r="J34" t="n">
        <v>0</v>
      </c>
      <c r="K34" t="n">
        <v>0</v>
      </c>
      <c r="L34" t="n">
        <v>0</v>
      </c>
      <c r="M34" t="n">
        <v>12</v>
      </c>
      <c r="N34" t="n">
        <v>0</v>
      </c>
      <c r="O34" t="n">
        <v>-0.25</v>
      </c>
      <c r="P34" t="n">
        <v>18</v>
      </c>
      <c r="Q34" t="n">
        <v>12</v>
      </c>
      <c r="R34" t="s">
        <v>288</v>
      </c>
      <c r="S34" t="s">
        <v>290</v>
      </c>
      <c r="T34" t="n">
        <v>-0.25</v>
      </c>
    </row>
    <row r="35">
      <c r="A35" t="s">
        <v>30</v>
      </c>
      <c r="B35" t="n">
        <v>0.92</v>
      </c>
      <c r="C35" t="n">
        <v>0.84</v>
      </c>
      <c r="D35" t="n">
        <v>0.87</v>
      </c>
      <c r="E35" t="n">
        <v>-2</v>
      </c>
      <c r="F35" t="n">
        <v>-0.75</v>
      </c>
      <c r="G35" t="n">
        <v>180</v>
      </c>
      <c r="H35" t="n">
        <v>12</v>
      </c>
      <c r="I35" t="s">
        <v>291</v>
      </c>
      <c r="J35" t="n">
        <v>0</v>
      </c>
      <c r="K35" t="n">
        <v>0</v>
      </c>
      <c r="L35" t="n">
        <v>0</v>
      </c>
      <c r="M35" t="n">
        <v>12</v>
      </c>
      <c r="N35" t="n">
        <v>0</v>
      </c>
      <c r="O35" t="n">
        <v>-0.5</v>
      </c>
      <c r="P35" t="n">
        <v>10</v>
      </c>
      <c r="Q35" t="n">
        <v>12</v>
      </c>
      <c r="R35" t="s">
        <v>300</v>
      </c>
      <c r="S35" t="s">
        <v>298</v>
      </c>
      <c r="T35" t="n">
        <v>-0.25</v>
      </c>
    </row>
    <row r="36">
      <c r="A36" t="s">
        <v>30</v>
      </c>
      <c r="B36" t="n">
        <v>1.04</v>
      </c>
      <c r="C36" t="n">
        <v>1.07</v>
      </c>
      <c r="D36" t="n">
        <v>1.02</v>
      </c>
      <c r="E36" t="n">
        <v>-3</v>
      </c>
      <c r="F36" t="n">
        <v>-0.5</v>
      </c>
      <c r="G36" t="n">
        <v>84</v>
      </c>
      <c r="H36" t="n">
        <v>12</v>
      </c>
      <c r="I36" t="s">
        <v>288</v>
      </c>
      <c r="J36" t="n">
        <v>0</v>
      </c>
      <c r="K36" t="n">
        <v>0</v>
      </c>
      <c r="L36" t="n">
        <v>0</v>
      </c>
      <c r="M36" t="n">
        <v>12</v>
      </c>
      <c r="N36" t="n">
        <v>0.5</v>
      </c>
      <c r="O36" t="n">
        <v>-0.25</v>
      </c>
      <c r="P36" t="n">
        <v>101</v>
      </c>
      <c r="Q36" t="n">
        <v>12</v>
      </c>
      <c r="R36" t="s">
        <v>289</v>
      </c>
      <c r="S36" t="s">
        <v>288</v>
      </c>
      <c r="T36" t="n">
        <v>0.25</v>
      </c>
    </row>
    <row r="37">
      <c r="A37" t="s">
        <v>30</v>
      </c>
      <c r="B37" t="n">
        <v>1.02</v>
      </c>
      <c r="C37" t="n">
        <v>0.91</v>
      </c>
      <c r="D37" t="n">
        <v>1.01</v>
      </c>
      <c r="E37" t="n">
        <v>-1.5</v>
      </c>
      <c r="F37" t="n">
        <v>-0.75</v>
      </c>
      <c r="G37" t="n">
        <v>168</v>
      </c>
      <c r="H37" t="n">
        <v>12</v>
      </c>
      <c r="I37" t="s">
        <v>289</v>
      </c>
      <c r="J37" t="n">
        <v>0</v>
      </c>
      <c r="K37" t="n">
        <v>0</v>
      </c>
      <c r="L37" t="n">
        <v>0</v>
      </c>
      <c r="M37" t="n">
        <v>12</v>
      </c>
      <c r="N37" t="n">
        <v>0.5</v>
      </c>
      <c r="O37" t="n">
        <v>-0.75</v>
      </c>
      <c r="P37" t="n">
        <v>163</v>
      </c>
      <c r="Q37" t="n">
        <v>12</v>
      </c>
      <c r="R37" t="s">
        <v>289</v>
      </c>
      <c r="S37" t="s">
        <v>291</v>
      </c>
      <c r="T37" t="n">
        <v>0.25</v>
      </c>
    </row>
    <row r="38">
      <c r="A38" t="s">
        <v>30</v>
      </c>
      <c r="B38" t="n">
        <v>1</v>
      </c>
      <c r="C38" t="n">
        <v>0.99</v>
      </c>
      <c r="D38" t="n">
        <v>1.05</v>
      </c>
      <c r="E38" t="n">
        <v>-1.5</v>
      </c>
      <c r="F38" t="n">
        <v>-1.25</v>
      </c>
      <c r="G38" t="n">
        <v>99</v>
      </c>
      <c r="H38" t="n">
        <v>12</v>
      </c>
      <c r="I38" t="s">
        <v>289</v>
      </c>
      <c r="J38" t="n">
        <v>0</v>
      </c>
      <c r="K38" t="n">
        <v>0</v>
      </c>
      <c r="L38" t="n">
        <v>0</v>
      </c>
      <c r="M38" t="n">
        <v>12</v>
      </c>
      <c r="N38" t="n">
        <v>-0.25</v>
      </c>
      <c r="O38" t="n">
        <v>0</v>
      </c>
      <c r="P38" t="n">
        <v>79</v>
      </c>
      <c r="Q38" t="n">
        <v>12</v>
      </c>
      <c r="R38" t="s">
        <v>288</v>
      </c>
      <c r="S38" t="s">
        <v>289</v>
      </c>
      <c r="T38" t="n">
        <v>-0.25</v>
      </c>
    </row>
    <row r="39">
      <c r="A39" t="s">
        <v>30</v>
      </c>
      <c r="B39" t="n">
        <v>0.96</v>
      </c>
      <c r="C39" t="n">
        <v>0.94</v>
      </c>
      <c r="D39" t="n">
        <v>1.01</v>
      </c>
      <c r="E39" t="n">
        <v>-6.5</v>
      </c>
      <c r="F39" t="n">
        <v>-0.25</v>
      </c>
      <c r="G39" t="n">
        <v>138</v>
      </c>
      <c r="H39" t="n">
        <v>12</v>
      </c>
      <c r="I39" t="s">
        <v>290</v>
      </c>
      <c r="J39" t="n">
        <v>0</v>
      </c>
      <c r="K39" t="n">
        <v>0</v>
      </c>
      <c r="L39" t="n">
        <v>0</v>
      </c>
      <c r="M39" t="n">
        <v>12</v>
      </c>
      <c r="N39" t="n">
        <v>0.25</v>
      </c>
      <c r="O39" t="n">
        <v>0</v>
      </c>
      <c r="P39" t="n">
        <v>131</v>
      </c>
      <c r="Q39" t="n">
        <v>12</v>
      </c>
      <c r="R39" t="s">
        <v>289</v>
      </c>
      <c r="S39" t="s">
        <v>290</v>
      </c>
      <c r="T39" t="n">
        <v>0.25</v>
      </c>
    </row>
    <row r="40">
      <c r="A40" t="s">
        <v>30</v>
      </c>
      <c r="B40" t="n">
        <v>0.92</v>
      </c>
      <c r="C40" t="n">
        <v>0.89</v>
      </c>
      <c r="D40" t="n">
        <v>0.9</v>
      </c>
      <c r="E40" t="n">
        <v>-7</v>
      </c>
      <c r="F40" t="n">
        <v>-0.25</v>
      </c>
      <c r="G40" t="n">
        <v>80</v>
      </c>
      <c r="H40" t="n">
        <v>12</v>
      </c>
      <c r="I40" t="s">
        <v>291</v>
      </c>
      <c r="J40" t="n">
        <v>0</v>
      </c>
      <c r="K40" t="n">
        <v>0</v>
      </c>
      <c r="L40" t="n">
        <v>0</v>
      </c>
      <c r="M40" t="n">
        <v>12</v>
      </c>
      <c r="N40" t="n">
        <v>0.5</v>
      </c>
      <c r="O40" t="n">
        <v>-0.25</v>
      </c>
      <c r="P40" t="n">
        <v>56</v>
      </c>
      <c r="Q40" t="n">
        <v>12</v>
      </c>
      <c r="R40" t="s">
        <v>291</v>
      </c>
      <c r="S40" t="s">
        <v>300</v>
      </c>
      <c r="T40" t="n">
        <v>0.5</v>
      </c>
    </row>
    <row r="41">
      <c r="A41" t="s">
        <v>30</v>
      </c>
      <c r="B41" t="n">
        <v>1</v>
      </c>
      <c r="C41" t="n">
        <v>0.89</v>
      </c>
      <c r="D41" t="n">
        <v>0.98</v>
      </c>
      <c r="E41" t="n">
        <v>-5.75</v>
      </c>
      <c r="F41" t="n">
        <v>-0.25</v>
      </c>
      <c r="G41" t="n">
        <v>20</v>
      </c>
      <c r="H41" t="n">
        <v>12</v>
      </c>
      <c r="I41" t="s">
        <v>289</v>
      </c>
      <c r="J41" t="n">
        <v>0</v>
      </c>
      <c r="K41" t="n">
        <v>0</v>
      </c>
      <c r="L41" t="n">
        <v>0</v>
      </c>
      <c r="M41" t="n">
        <v>12</v>
      </c>
      <c r="N41" t="n">
        <v>0.5</v>
      </c>
      <c r="O41" t="n">
        <v>-0.25</v>
      </c>
      <c r="P41" t="n">
        <v>25</v>
      </c>
      <c r="Q41" t="n">
        <v>12</v>
      </c>
      <c r="R41" t="s">
        <v>289</v>
      </c>
      <c r="S41" t="s">
        <v>300</v>
      </c>
      <c r="T41" t="n">
        <v>0.25</v>
      </c>
    </row>
    <row r="42">
      <c r="A42" t="s">
        <v>30</v>
      </c>
      <c r="B42" t="n">
        <v>0.97</v>
      </c>
      <c r="C42" t="n">
        <v>0.96</v>
      </c>
      <c r="D42" t="n">
        <v>1.02</v>
      </c>
      <c r="E42" t="n">
        <v>-3.75</v>
      </c>
      <c r="F42" t="n">
        <v>-0.5</v>
      </c>
      <c r="G42" t="n">
        <v>85</v>
      </c>
      <c r="H42" t="n">
        <v>12</v>
      </c>
      <c r="I42" t="s">
        <v>290</v>
      </c>
      <c r="J42" t="n">
        <v>0</v>
      </c>
      <c r="K42" t="n">
        <v>0</v>
      </c>
      <c r="L42" t="n">
        <v>0</v>
      </c>
      <c r="M42" t="n">
        <v>12</v>
      </c>
      <c r="N42" t="n">
        <v>0.5</v>
      </c>
      <c r="O42" t="n">
        <v>-0.25</v>
      </c>
      <c r="P42" t="n">
        <v>78</v>
      </c>
      <c r="Q42" t="n">
        <v>12</v>
      </c>
      <c r="R42" t="s">
        <v>289</v>
      </c>
      <c r="S42" t="s">
        <v>290</v>
      </c>
      <c r="T42" t="n">
        <v>0.25</v>
      </c>
    </row>
    <row r="43">
      <c r="A43" t="s">
        <v>30</v>
      </c>
      <c r="B43" t="n">
        <v>1.05</v>
      </c>
      <c r="C43" t="n">
        <v>1.08</v>
      </c>
      <c r="D43" t="n">
        <v>1.07</v>
      </c>
      <c r="E43" t="n">
        <v>-7</v>
      </c>
      <c r="F43" t="n">
        <v>-0.25</v>
      </c>
      <c r="G43" t="n">
        <v>100</v>
      </c>
      <c r="H43" t="n">
        <v>12</v>
      </c>
      <c r="I43" t="s">
        <v>288</v>
      </c>
      <c r="J43" t="n">
        <v>0</v>
      </c>
      <c r="K43" t="n">
        <v>0</v>
      </c>
      <c r="L43" t="n">
        <v>0</v>
      </c>
      <c r="M43" t="n">
        <v>12</v>
      </c>
      <c r="N43" t="n">
        <v>0.5</v>
      </c>
      <c r="O43" t="n">
        <v>-0.25</v>
      </c>
      <c r="P43" t="n">
        <v>122</v>
      </c>
      <c r="Q43" t="n">
        <v>12</v>
      </c>
      <c r="R43" t="s">
        <v>288</v>
      </c>
      <c r="S43" t="s">
        <v>293</v>
      </c>
      <c r="T43" t="n">
        <v>0.25</v>
      </c>
    </row>
    <row r="44">
      <c r="A44" t="s">
        <v>30</v>
      </c>
      <c r="B44" t="n">
        <v>0.97</v>
      </c>
      <c r="C44" t="n">
        <v>1.02</v>
      </c>
      <c r="D44" t="n">
        <v>0.99</v>
      </c>
      <c r="E44" t="n">
        <v>-5.75</v>
      </c>
      <c r="F44" t="n">
        <v>-0.5</v>
      </c>
      <c r="G44" t="n">
        <v>95</v>
      </c>
      <c r="H44" t="n">
        <v>12</v>
      </c>
      <c r="I44" t="s">
        <v>290</v>
      </c>
      <c r="J44" t="n">
        <v>0</v>
      </c>
      <c r="K44" t="n">
        <v>0</v>
      </c>
      <c r="L44" t="n">
        <v>0</v>
      </c>
      <c r="M44" t="n">
        <v>12</v>
      </c>
      <c r="N44" t="n">
        <v>0</v>
      </c>
      <c r="O44" t="n">
        <v>-0.25</v>
      </c>
      <c r="P44" t="n">
        <v>89</v>
      </c>
      <c r="Q44" t="n">
        <v>12</v>
      </c>
      <c r="R44" t="s">
        <v>289</v>
      </c>
      <c r="S44" t="s">
        <v>289</v>
      </c>
      <c r="T44" t="n">
        <v>-0.25</v>
      </c>
    </row>
    <row r="45">
      <c r="A45" t="s">
        <v>30</v>
      </c>
      <c r="B45" t="n">
        <v>0.93</v>
      </c>
      <c r="C45" t="n">
        <v>0.92</v>
      </c>
      <c r="D45" t="n">
        <v>0.99</v>
      </c>
      <c r="E45" t="n">
        <v>-6</v>
      </c>
      <c r="F45" t="n">
        <v>-0.25</v>
      </c>
      <c r="G45" t="n">
        <v>156</v>
      </c>
      <c r="H45" t="n">
        <v>12</v>
      </c>
      <c r="I45" t="s">
        <v>291</v>
      </c>
      <c r="J45" t="n">
        <v>0</v>
      </c>
      <c r="K45" t="n">
        <v>0</v>
      </c>
      <c r="L45" t="n">
        <v>0</v>
      </c>
      <c r="M45" t="n">
        <v>12</v>
      </c>
      <c r="N45" t="n">
        <v>0.25</v>
      </c>
      <c r="O45" t="n">
        <v>0</v>
      </c>
      <c r="P45" t="n">
        <v>91</v>
      </c>
      <c r="Q45" t="n">
        <v>12</v>
      </c>
      <c r="R45" t="s">
        <v>289</v>
      </c>
      <c r="S45" t="s">
        <v>291</v>
      </c>
      <c r="T45" t="n">
        <v>0.25</v>
      </c>
    </row>
    <row r="46">
      <c r="A46" t="s">
        <v>30</v>
      </c>
      <c r="B46" t="n">
        <v>0.88</v>
      </c>
      <c r="C46" t="n">
        <v>0.71</v>
      </c>
      <c r="D46" t="n">
        <v>0.86</v>
      </c>
      <c r="E46" t="n">
        <v>-7.5</v>
      </c>
      <c r="F46" t="n">
        <v>-0.25</v>
      </c>
      <c r="G46" t="n">
        <v>79</v>
      </c>
      <c r="H46" t="n">
        <v>12</v>
      </c>
      <c r="I46" t="s">
        <v>300</v>
      </c>
      <c r="J46" t="n">
        <v>0</v>
      </c>
      <c r="K46" t="n">
        <v>0</v>
      </c>
      <c r="L46" t="n">
        <v>0</v>
      </c>
      <c r="M46" t="n">
        <v>12</v>
      </c>
      <c r="N46" t="n">
        <v>0.5</v>
      </c>
      <c r="O46" t="n">
        <v>0</v>
      </c>
      <c r="P46" t="n">
        <v>65</v>
      </c>
      <c r="Q46" t="n">
        <v>12</v>
      </c>
      <c r="R46" t="s">
        <v>300</v>
      </c>
      <c r="S46" t="s">
        <v>302</v>
      </c>
      <c r="T46" t="n">
        <v>0.5</v>
      </c>
    </row>
    <row r="47">
      <c r="A47" t="s">
        <v>30</v>
      </c>
      <c r="B47" t="n">
        <v>0.98</v>
      </c>
      <c r="C47" t="n">
        <v>1</v>
      </c>
      <c r="D47" t="n">
        <v>0.95</v>
      </c>
      <c r="E47" t="n">
        <v>-2</v>
      </c>
      <c r="F47" t="n">
        <v>-0.25</v>
      </c>
      <c r="G47" t="n">
        <v>92</v>
      </c>
      <c r="H47" t="n">
        <v>12</v>
      </c>
      <c r="I47" t="s">
        <v>289</v>
      </c>
      <c r="J47" t="n">
        <v>0</v>
      </c>
      <c r="K47" t="n">
        <v>0</v>
      </c>
      <c r="L47" t="n">
        <v>0</v>
      </c>
      <c r="M47" t="n">
        <v>12</v>
      </c>
      <c r="N47" t="n">
        <v>0</v>
      </c>
      <c r="O47" t="n">
        <v>-0.25</v>
      </c>
      <c r="P47" t="n">
        <v>69</v>
      </c>
      <c r="Q47" t="n">
        <v>12</v>
      </c>
      <c r="R47" t="s">
        <v>290</v>
      </c>
      <c r="S47" t="s">
        <v>289</v>
      </c>
      <c r="T47" t="n">
        <v>-0.25</v>
      </c>
    </row>
    <row r="48">
      <c r="A48" t="s">
        <v>30</v>
      </c>
      <c r="B48" t="n">
        <v>1.07</v>
      </c>
      <c r="C48" t="n">
        <v>1.25</v>
      </c>
      <c r="D48" t="n">
        <v>1.12</v>
      </c>
      <c r="E48" t="n">
        <v>-4.25</v>
      </c>
      <c r="F48" t="n">
        <v>-0.75</v>
      </c>
      <c r="G48" t="n">
        <v>174</v>
      </c>
      <c r="H48" t="n">
        <v>12</v>
      </c>
      <c r="I48" t="s">
        <v>288</v>
      </c>
      <c r="J48" t="n">
        <v>0</v>
      </c>
      <c r="K48" t="n">
        <v>0</v>
      </c>
      <c r="L48" t="n">
        <v>0</v>
      </c>
      <c r="M48" t="n">
        <v>12</v>
      </c>
      <c r="N48" t="n">
        <v>0</v>
      </c>
      <c r="O48" t="n">
        <v>-0.25</v>
      </c>
      <c r="P48" t="n">
        <v>32</v>
      </c>
      <c r="Q48" t="n">
        <v>12</v>
      </c>
      <c r="R48" t="s">
        <v>293</v>
      </c>
      <c r="S48" t="s">
        <v>296</v>
      </c>
      <c r="T48" t="n">
        <v>0</v>
      </c>
    </row>
    <row r="49">
      <c r="A49" t="s">
        <v>30</v>
      </c>
      <c r="B49" t="n">
        <v>1.07</v>
      </c>
      <c r="C49" t="n">
        <v>1.07</v>
      </c>
      <c r="D49" t="n">
        <v>1.07</v>
      </c>
      <c r="E49" t="n">
        <v>-1.75</v>
      </c>
      <c r="F49" t="n">
        <v>-1</v>
      </c>
      <c r="G49" t="n">
        <v>162</v>
      </c>
      <c r="H49" t="n">
        <v>12</v>
      </c>
      <c r="I49" t="s">
        <v>288</v>
      </c>
      <c r="J49" t="n">
        <v>0</v>
      </c>
      <c r="K49" t="n">
        <v>0</v>
      </c>
      <c r="L49" t="n">
        <v>0</v>
      </c>
      <c r="M49" t="n">
        <v>12</v>
      </c>
      <c r="N49" t="n">
        <v>-0.25</v>
      </c>
      <c r="O49" t="n">
        <v>0</v>
      </c>
      <c r="P49" t="n">
        <v>78</v>
      </c>
      <c r="Q49" t="n">
        <v>12</v>
      </c>
      <c r="R49" t="s">
        <v>288</v>
      </c>
      <c r="S49" t="s">
        <v>288</v>
      </c>
      <c r="T49" t="n">
        <v>-0.25</v>
      </c>
    </row>
    <row r="50">
      <c r="A50" t="s">
        <v>30</v>
      </c>
      <c r="B50" t="n">
        <v>1</v>
      </c>
      <c r="C50" t="n">
        <v>0.91</v>
      </c>
      <c r="D50" t="n">
        <v>1</v>
      </c>
      <c r="E50" t="n">
        <v>-5</v>
      </c>
      <c r="F50" t="n">
        <v>-1</v>
      </c>
      <c r="G50" t="n">
        <v>177</v>
      </c>
      <c r="H50" t="n">
        <v>12</v>
      </c>
      <c r="I50" t="s">
        <v>289</v>
      </c>
      <c r="J50" t="n">
        <v>0</v>
      </c>
      <c r="K50" t="n">
        <v>0</v>
      </c>
      <c r="L50" t="n">
        <v>0</v>
      </c>
      <c r="M50" t="n">
        <v>12</v>
      </c>
      <c r="N50" t="n">
        <v>0</v>
      </c>
      <c r="O50" t="n">
        <v>-0.25</v>
      </c>
      <c r="P50" t="n">
        <v>177</v>
      </c>
      <c r="Q50" t="n">
        <v>12</v>
      </c>
      <c r="R50" t="s">
        <v>289</v>
      </c>
      <c r="S50" t="s">
        <v>291</v>
      </c>
      <c r="T50" t="n">
        <v>0</v>
      </c>
    </row>
    <row r="51">
      <c r="A51" t="s">
        <v>30</v>
      </c>
      <c r="B51" t="n">
        <v>1.01</v>
      </c>
      <c r="C51" t="n">
        <v>0.86</v>
      </c>
      <c r="D51" t="n">
        <v>1.03</v>
      </c>
      <c r="E51" t="n">
        <v>-5</v>
      </c>
      <c r="F51" t="n">
        <v>-0.5</v>
      </c>
      <c r="G51" t="n">
        <v>86</v>
      </c>
      <c r="H51" t="n">
        <v>12</v>
      </c>
      <c r="I51" t="s">
        <v>289</v>
      </c>
      <c r="J51" t="n">
        <v>0</v>
      </c>
      <c r="K51" t="n">
        <v>0</v>
      </c>
      <c r="L51" t="n">
        <v>0</v>
      </c>
      <c r="M51" t="n">
        <v>12</v>
      </c>
      <c r="N51" t="n">
        <v>-0.5</v>
      </c>
      <c r="O51" t="n">
        <v>0</v>
      </c>
      <c r="P51" t="n">
        <v>85</v>
      </c>
      <c r="Q51" t="n">
        <v>12</v>
      </c>
      <c r="R51" t="s">
        <v>288</v>
      </c>
      <c r="S51" t="s">
        <v>300</v>
      </c>
      <c r="T51" t="n">
        <v>-0.5</v>
      </c>
    </row>
    <row r="52">
      <c r="A52" t="s">
        <v>30</v>
      </c>
      <c r="B52" t="n">
        <v>1.1</v>
      </c>
      <c r="C52" t="n">
        <v>1.19</v>
      </c>
      <c r="D52" t="n">
        <v>1.16</v>
      </c>
      <c r="E52" t="n">
        <v>-4</v>
      </c>
      <c r="F52" t="n">
        <v>0</v>
      </c>
      <c r="G52" t="n">
        <v>99</v>
      </c>
      <c r="H52" t="n">
        <v>12</v>
      </c>
      <c r="I52" t="s">
        <v>293</v>
      </c>
      <c r="J52" t="n">
        <v>0</v>
      </c>
      <c r="K52" t="n">
        <v>0</v>
      </c>
      <c r="L52" t="n">
        <v>0</v>
      </c>
      <c r="M52" t="n">
        <v>12</v>
      </c>
      <c r="N52" t="n">
        <v>0</v>
      </c>
      <c r="O52" t="n">
        <v>-0.25</v>
      </c>
      <c r="P52" t="n">
        <v>111</v>
      </c>
      <c r="Q52" t="n">
        <v>12</v>
      </c>
      <c r="R52" t="s">
        <v>297</v>
      </c>
      <c r="S52" t="s">
        <v>294</v>
      </c>
      <c r="T52" t="n">
        <v>0</v>
      </c>
    </row>
    <row r="53">
      <c r="A53" t="s">
        <v>30</v>
      </c>
      <c r="B53" t="n">
        <v>1.06</v>
      </c>
      <c r="C53" t="n">
        <v>1.07</v>
      </c>
      <c r="D53" t="n">
        <v>1.05</v>
      </c>
      <c r="E53" t="n">
        <v>-5</v>
      </c>
      <c r="F53" t="n">
        <v>-0.75</v>
      </c>
      <c r="G53" t="n">
        <v>6</v>
      </c>
      <c r="H53" t="n">
        <v>12</v>
      </c>
      <c r="I53" t="s">
        <v>288</v>
      </c>
      <c r="J53" t="n">
        <v>0</v>
      </c>
      <c r="K53" t="n">
        <v>0</v>
      </c>
      <c r="L53" t="n">
        <v>0</v>
      </c>
      <c r="M53" t="n">
        <v>12</v>
      </c>
      <c r="N53" t="n">
        <v>0.5</v>
      </c>
      <c r="O53" t="n">
        <v>0</v>
      </c>
      <c r="P53" t="n">
        <v>26</v>
      </c>
      <c r="Q53" t="n">
        <v>12</v>
      </c>
      <c r="R53" t="s">
        <v>288</v>
      </c>
      <c r="S53" t="s">
        <v>288</v>
      </c>
      <c r="T53" t="n">
        <v>0.5</v>
      </c>
    </row>
    <row r="54">
      <c r="A54" t="s">
        <v>30</v>
      </c>
      <c r="B54" t="n">
        <v>1.1</v>
      </c>
      <c r="C54" t="n">
        <v>1.08</v>
      </c>
      <c r="D54" t="n">
        <v>1.09</v>
      </c>
      <c r="E54" t="n">
        <v>-2.5</v>
      </c>
      <c r="F54" t="n">
        <v>-0.75</v>
      </c>
      <c r="G54" t="n">
        <v>178</v>
      </c>
      <c r="H54" t="n">
        <v>12</v>
      </c>
      <c r="I54" t="s">
        <v>293</v>
      </c>
      <c r="J54" t="n">
        <v>0</v>
      </c>
      <c r="K54" t="n">
        <v>0</v>
      </c>
      <c r="L54" t="n">
        <v>0</v>
      </c>
      <c r="M54" t="n">
        <v>12</v>
      </c>
      <c r="N54" t="n">
        <v>0</v>
      </c>
      <c r="O54" t="n">
        <v>-0.25</v>
      </c>
      <c r="P54" t="n">
        <v>4</v>
      </c>
      <c r="Q54" t="n">
        <v>12</v>
      </c>
      <c r="R54" t="s">
        <v>293</v>
      </c>
      <c r="S54" t="s">
        <v>293</v>
      </c>
      <c r="T54" t="n">
        <v>-0.25</v>
      </c>
    </row>
    <row r="55">
      <c r="A55" t="s">
        <v>30</v>
      </c>
      <c r="B55" t="n">
        <v>1.06</v>
      </c>
      <c r="C55" t="n">
        <v>1.04</v>
      </c>
      <c r="D55" t="n">
        <v>1.02</v>
      </c>
      <c r="E55" t="n">
        <v>-5</v>
      </c>
      <c r="F55" t="n">
        <v>0</v>
      </c>
      <c r="G55" t="n">
        <v>7</v>
      </c>
      <c r="H55" t="n">
        <v>12</v>
      </c>
      <c r="I55" t="s">
        <v>288</v>
      </c>
      <c r="J55" t="n">
        <v>0</v>
      </c>
      <c r="K55" t="n">
        <v>0</v>
      </c>
      <c r="L55" t="n">
        <v>0</v>
      </c>
      <c r="M55" t="n">
        <v>12</v>
      </c>
      <c r="N55" t="n">
        <v>0.25</v>
      </c>
      <c r="O55" t="n">
        <v>-0.5</v>
      </c>
      <c r="P55" t="n">
        <v>3</v>
      </c>
      <c r="Q55" t="n">
        <v>12</v>
      </c>
      <c r="R55" t="s">
        <v>289</v>
      </c>
      <c r="S55" t="s">
        <v>288</v>
      </c>
      <c r="T55" t="n">
        <v>0</v>
      </c>
    </row>
    <row r="56">
      <c r="A56" t="s">
        <v>30</v>
      </c>
      <c r="B56" t="n">
        <v>0.94</v>
      </c>
      <c r="C56" t="n">
        <v>0.93</v>
      </c>
      <c r="D56" t="n">
        <v>1</v>
      </c>
      <c r="E56" t="n">
        <v>-5.5</v>
      </c>
      <c r="F56" t="n">
        <v>-0.75</v>
      </c>
      <c r="G56" t="n">
        <v>170</v>
      </c>
      <c r="H56" t="n">
        <v>12</v>
      </c>
      <c r="I56" t="s">
        <v>290</v>
      </c>
      <c r="J56" t="n">
        <v>0</v>
      </c>
      <c r="K56" t="n">
        <v>0</v>
      </c>
      <c r="L56" t="n">
        <v>0</v>
      </c>
      <c r="M56" t="n">
        <v>12</v>
      </c>
      <c r="N56" t="n">
        <v>0</v>
      </c>
      <c r="O56" t="n">
        <v>-0.25</v>
      </c>
      <c r="P56" t="n">
        <v>170</v>
      </c>
      <c r="Q56" t="n">
        <v>12</v>
      </c>
      <c r="R56" t="s">
        <v>289</v>
      </c>
      <c r="S56" t="s">
        <v>291</v>
      </c>
      <c r="T56" t="n">
        <v>0</v>
      </c>
    </row>
    <row r="57">
      <c r="A57" t="s">
        <v>30</v>
      </c>
      <c r="B57" t="n">
        <v>1.03</v>
      </c>
      <c r="C57" t="n">
        <v>0.94</v>
      </c>
      <c r="D57" t="n">
        <v>1.01</v>
      </c>
      <c r="E57" t="n">
        <v>-2.5</v>
      </c>
      <c r="F57" t="n">
        <v>0</v>
      </c>
      <c r="G57" t="n">
        <v>80</v>
      </c>
      <c r="H57" t="n">
        <v>12</v>
      </c>
      <c r="I57" t="s">
        <v>288</v>
      </c>
      <c r="J57" t="n">
        <v>0</v>
      </c>
      <c r="K57" t="n">
        <v>0</v>
      </c>
      <c r="L57" t="n">
        <v>0</v>
      </c>
      <c r="M57" t="n">
        <v>12</v>
      </c>
      <c r="N57" t="n">
        <v>0.25</v>
      </c>
      <c r="O57" t="n">
        <v>0</v>
      </c>
      <c r="P57" t="n">
        <v>68</v>
      </c>
      <c r="Q57" t="n">
        <v>12</v>
      </c>
      <c r="R57" t="s">
        <v>289</v>
      </c>
      <c r="S57" t="s">
        <v>290</v>
      </c>
      <c r="T57" t="n">
        <v>0.25</v>
      </c>
    </row>
    <row r="58">
      <c r="A58" t="s">
        <v>30</v>
      </c>
      <c r="B58" t="n">
        <v>1.01</v>
      </c>
      <c r="C58" t="n">
        <v>0.89</v>
      </c>
      <c r="D58" t="n">
        <v>1.02</v>
      </c>
      <c r="E58" t="n">
        <v>-2.75</v>
      </c>
      <c r="F58" t="n">
        <v>-0.5</v>
      </c>
      <c r="G58" t="n">
        <v>167</v>
      </c>
      <c r="H58" t="n">
        <v>12</v>
      </c>
      <c r="I58" t="s">
        <v>289</v>
      </c>
      <c r="J58" t="n">
        <v>0</v>
      </c>
      <c r="K58" t="n">
        <v>0</v>
      </c>
      <c r="L58" t="n">
        <v>0</v>
      </c>
      <c r="M58" t="n">
        <v>12</v>
      </c>
      <c r="N58" t="n">
        <v>0.25</v>
      </c>
      <c r="O58" t="n">
        <v>0</v>
      </c>
      <c r="P58" t="n">
        <v>24</v>
      </c>
      <c r="Q58" t="n">
        <v>12</v>
      </c>
      <c r="R58" t="s">
        <v>289</v>
      </c>
      <c r="S58" t="s">
        <v>300</v>
      </c>
      <c r="T58" t="n">
        <v>0.25</v>
      </c>
    </row>
    <row r="59">
      <c r="A59" t="s">
        <v>30</v>
      </c>
      <c r="B59" t="n">
        <v>1.04</v>
      </c>
      <c r="C59" t="n">
        <v>1.01</v>
      </c>
      <c r="D59" t="n">
        <v>1.01</v>
      </c>
      <c r="E59" t="n">
        <v>-4.25</v>
      </c>
      <c r="F59" t="n">
        <v>-1.5</v>
      </c>
      <c r="G59" t="n">
        <v>175</v>
      </c>
      <c r="H59" t="n">
        <v>12</v>
      </c>
      <c r="I59" t="s">
        <v>288</v>
      </c>
      <c r="J59" t="n">
        <v>0</v>
      </c>
      <c r="K59" t="n">
        <v>0</v>
      </c>
      <c r="L59" t="n">
        <v>0</v>
      </c>
      <c r="M59" t="n">
        <v>12</v>
      </c>
      <c r="N59" t="n">
        <v>0</v>
      </c>
      <c r="O59" t="n">
        <v>0</v>
      </c>
      <c r="P59" t="n">
        <v>99</v>
      </c>
      <c r="Q59" t="n">
        <v>12</v>
      </c>
      <c r="R59" t="s">
        <v>289</v>
      </c>
      <c r="S59" t="s">
        <v>289</v>
      </c>
      <c r="T59" t="n">
        <v>0</v>
      </c>
    </row>
    <row r="60">
      <c r="A60" t="s">
        <v>30</v>
      </c>
      <c r="B60" t="n">
        <v>1.12</v>
      </c>
      <c r="C60" t="n">
        <v>1.04</v>
      </c>
      <c r="D60" t="n">
        <v>1.09</v>
      </c>
      <c r="E60" t="n">
        <v>-5.25</v>
      </c>
      <c r="F60" t="n">
        <v>-0.75</v>
      </c>
      <c r="G60" t="n">
        <v>173</v>
      </c>
      <c r="H60" t="n">
        <v>12</v>
      </c>
      <c r="I60" t="s">
        <v>293</v>
      </c>
      <c r="J60" t="n">
        <v>0</v>
      </c>
      <c r="K60" t="n">
        <v>0</v>
      </c>
      <c r="L60" t="n">
        <v>0</v>
      </c>
      <c r="M60" t="n">
        <v>12</v>
      </c>
      <c r="N60" t="n">
        <v>1</v>
      </c>
      <c r="O60" t="n">
        <v>-0.25</v>
      </c>
      <c r="P60" t="n">
        <v>162</v>
      </c>
      <c r="Q60" t="n">
        <v>12</v>
      </c>
      <c r="R60" t="s">
        <v>293</v>
      </c>
      <c r="S60" t="s">
        <v>288</v>
      </c>
      <c r="T60" t="n">
        <v>0.75</v>
      </c>
    </row>
    <row r="61">
      <c r="A61" t="s">
        <v>30</v>
      </c>
      <c r="B61" t="n">
        <v>1.11</v>
      </c>
      <c r="C61" t="n">
        <v>1.14</v>
      </c>
      <c r="D61" t="n">
        <v>1.12</v>
      </c>
      <c r="E61" t="n">
        <v>-3.25</v>
      </c>
      <c r="F61" t="n">
        <v>-0.5</v>
      </c>
      <c r="G61" t="n">
        <v>11</v>
      </c>
      <c r="H61" t="n">
        <v>12</v>
      </c>
      <c r="I61" t="s">
        <v>293</v>
      </c>
      <c r="J61" t="n">
        <v>0</v>
      </c>
      <c r="K61" t="n">
        <v>0</v>
      </c>
      <c r="L61" t="n">
        <v>0</v>
      </c>
      <c r="M61" t="n">
        <v>12</v>
      </c>
      <c r="N61" t="n">
        <v>0</v>
      </c>
      <c r="O61" t="n">
        <v>-0.25</v>
      </c>
      <c r="P61" t="n">
        <v>2</v>
      </c>
      <c r="Q61" t="n">
        <v>12</v>
      </c>
      <c r="R61" t="s">
        <v>293</v>
      </c>
      <c r="S61" t="s">
        <v>297</v>
      </c>
      <c r="T61" t="n">
        <v>0</v>
      </c>
    </row>
    <row r="62">
      <c r="A62" t="s">
        <v>30</v>
      </c>
      <c r="B62" t="n">
        <v>1</v>
      </c>
      <c r="C62" t="n">
        <v>1</v>
      </c>
      <c r="D62" t="n">
        <v>1.05</v>
      </c>
      <c r="E62" t="n">
        <v>-1.75</v>
      </c>
      <c r="F62" t="n">
        <v>-0.5</v>
      </c>
      <c r="G62" t="n">
        <v>76</v>
      </c>
      <c r="H62" t="n">
        <v>12</v>
      </c>
      <c r="I62" t="s">
        <v>289</v>
      </c>
      <c r="J62" t="n">
        <v>0</v>
      </c>
      <c r="K62" t="n">
        <v>0</v>
      </c>
      <c r="L62" t="n">
        <v>0</v>
      </c>
      <c r="M62" t="n">
        <v>12</v>
      </c>
      <c r="N62" t="n">
        <v>0.25</v>
      </c>
      <c r="O62" t="n">
        <v>0</v>
      </c>
      <c r="P62" t="n">
        <v>34</v>
      </c>
      <c r="Q62" t="n">
        <v>12</v>
      </c>
      <c r="R62" t="s">
        <v>288</v>
      </c>
      <c r="S62" t="s">
        <v>289</v>
      </c>
      <c r="T62" t="n">
        <v>0.25</v>
      </c>
    </row>
    <row r="63">
      <c r="A63" t="s">
        <v>30</v>
      </c>
      <c r="B63" t="n">
        <v>1.1</v>
      </c>
      <c r="C63" t="n">
        <v>1.01</v>
      </c>
      <c r="D63" t="n">
        <v>1.05</v>
      </c>
      <c r="E63" t="n">
        <v>-3.75</v>
      </c>
      <c r="F63" t="n">
        <v>-1</v>
      </c>
      <c r="G63" t="n">
        <v>13</v>
      </c>
      <c r="H63" t="n">
        <v>12</v>
      </c>
      <c r="I63" t="s">
        <v>293</v>
      </c>
      <c r="J63" t="n">
        <v>0</v>
      </c>
      <c r="K63" t="n">
        <v>0</v>
      </c>
      <c r="L63" t="n">
        <v>0</v>
      </c>
      <c r="M63" t="n">
        <v>12</v>
      </c>
      <c r="N63" t="n">
        <v>0</v>
      </c>
      <c r="O63" t="n">
        <v>-0.25</v>
      </c>
      <c r="P63" t="n">
        <v>16</v>
      </c>
      <c r="Q63" t="n">
        <v>12</v>
      </c>
      <c r="R63" t="s">
        <v>288</v>
      </c>
      <c r="S63" t="s">
        <v>289</v>
      </c>
      <c r="T63" t="n">
        <v>0</v>
      </c>
    </row>
    <row r="64">
      <c r="A64" t="s">
        <v>30</v>
      </c>
      <c r="B64" t="n">
        <v>1</v>
      </c>
      <c r="C64" t="n">
        <v>0.99</v>
      </c>
      <c r="D64" t="n">
        <v>0.99</v>
      </c>
      <c r="E64" t="n">
        <v>-4.25</v>
      </c>
      <c r="F64" t="n">
        <v>0</v>
      </c>
      <c r="G64" t="n">
        <v>95</v>
      </c>
      <c r="H64" t="n">
        <v>12</v>
      </c>
      <c r="I64" t="s">
        <v>289</v>
      </c>
      <c r="J64" t="n">
        <v>0</v>
      </c>
      <c r="K64" t="n">
        <v>0</v>
      </c>
      <c r="L64" t="n">
        <v>0</v>
      </c>
      <c r="M64" t="n">
        <v>12</v>
      </c>
      <c r="N64" t="n">
        <v>0.25</v>
      </c>
      <c r="O64" t="n">
        <v>0</v>
      </c>
      <c r="P64" t="n">
        <v>114</v>
      </c>
      <c r="Q64" t="n">
        <v>12</v>
      </c>
      <c r="R64" t="s">
        <v>289</v>
      </c>
      <c r="S64" t="s">
        <v>289</v>
      </c>
      <c r="T64" t="n">
        <v>0.25</v>
      </c>
    </row>
    <row r="65">
      <c r="A65" t="s">
        <v>30</v>
      </c>
      <c r="B65" t="n">
        <v>1.07</v>
      </c>
      <c r="C65" t="n">
        <v>1.1</v>
      </c>
      <c r="D65" t="n">
        <v>1.05</v>
      </c>
      <c r="E65" t="n">
        <v>-4</v>
      </c>
      <c r="F65" t="n">
        <v>-1.25</v>
      </c>
      <c r="G65" t="n">
        <v>169</v>
      </c>
      <c r="H65" t="n">
        <v>12</v>
      </c>
      <c r="I65" t="s">
        <v>288</v>
      </c>
      <c r="J65" t="n">
        <v>0</v>
      </c>
      <c r="K65" t="n">
        <v>0</v>
      </c>
      <c r="L65" t="n">
        <v>0</v>
      </c>
      <c r="M65" t="n">
        <v>12</v>
      </c>
      <c r="N65" t="n">
        <v>0</v>
      </c>
      <c r="O65" t="n">
        <v>-0.25</v>
      </c>
      <c r="P65" t="n">
        <v>176</v>
      </c>
      <c r="Q65" t="n">
        <v>12</v>
      </c>
      <c r="R65" t="s">
        <v>288</v>
      </c>
      <c r="S65" t="s">
        <v>293</v>
      </c>
      <c r="T65" t="n">
        <v>0</v>
      </c>
    </row>
    <row r="66">
      <c r="A66" t="s">
        <v>30</v>
      </c>
      <c r="B66" t="n">
        <v>1.1</v>
      </c>
      <c r="C66" t="n">
        <v>0.97</v>
      </c>
      <c r="D66" t="n">
        <v>1.13</v>
      </c>
      <c r="E66" t="n">
        <v>-0.75</v>
      </c>
      <c r="F66" t="n">
        <v>-1.25</v>
      </c>
      <c r="G66" t="n">
        <v>22</v>
      </c>
      <c r="H66" t="n">
        <v>12</v>
      </c>
      <c r="I66" t="s">
        <v>293</v>
      </c>
      <c r="J66" t="n">
        <v>0</v>
      </c>
      <c r="K66" t="n">
        <v>0</v>
      </c>
      <c r="L66" t="n">
        <v>0</v>
      </c>
      <c r="M66" t="n">
        <v>12</v>
      </c>
      <c r="N66" t="n">
        <v>0.5</v>
      </c>
      <c r="O66" t="n">
        <v>-0.25</v>
      </c>
      <c r="P66" t="n">
        <v>33</v>
      </c>
      <c r="Q66" t="n">
        <v>12</v>
      </c>
      <c r="R66" t="s">
        <v>297</v>
      </c>
      <c r="S66" t="s">
        <v>290</v>
      </c>
      <c r="T66" t="n">
        <v>0.25</v>
      </c>
    </row>
    <row r="67">
      <c r="A67" t="s">
        <v>30</v>
      </c>
      <c r="B67" t="n">
        <v>0.94</v>
      </c>
      <c r="C67" t="n">
        <v>0.96</v>
      </c>
      <c r="D67" t="n">
        <v>0.95</v>
      </c>
      <c r="E67" t="n">
        <v>-3</v>
      </c>
      <c r="F67" t="n">
        <v>-2.75</v>
      </c>
      <c r="G67" t="n">
        <v>0</v>
      </c>
      <c r="H67" t="n">
        <v>12</v>
      </c>
      <c r="I67" t="s">
        <v>290</v>
      </c>
      <c r="J67" t="n">
        <v>0</v>
      </c>
      <c r="K67" t="n">
        <v>0</v>
      </c>
      <c r="L67" t="n">
        <v>0</v>
      </c>
      <c r="M67" t="n">
        <v>12</v>
      </c>
      <c r="N67" t="n">
        <v>0</v>
      </c>
      <c r="O67" t="n">
        <v>-0.5</v>
      </c>
      <c r="P67" t="n">
        <v>155</v>
      </c>
      <c r="Q67" t="n">
        <v>12</v>
      </c>
      <c r="R67" t="s">
        <v>290</v>
      </c>
      <c r="S67" t="s">
        <v>290</v>
      </c>
      <c r="T67" t="n">
        <v>-0.25</v>
      </c>
    </row>
    <row r="68">
      <c r="A68" t="s">
        <v>30</v>
      </c>
      <c r="B68" t="n">
        <v>1.02</v>
      </c>
      <c r="C68" t="n">
        <v>1.04</v>
      </c>
      <c r="D68" t="n">
        <v>1.03</v>
      </c>
      <c r="E68" t="n">
        <v>-2.25</v>
      </c>
      <c r="F68" t="n">
        <v>-0.5</v>
      </c>
      <c r="G68" t="n">
        <v>86</v>
      </c>
      <c r="H68" t="n">
        <v>12</v>
      </c>
      <c r="I68" t="s">
        <v>289</v>
      </c>
      <c r="J68" t="n">
        <v>0</v>
      </c>
      <c r="K68" t="n">
        <v>0</v>
      </c>
      <c r="L68" t="n">
        <v>0</v>
      </c>
      <c r="M68" t="n">
        <v>12</v>
      </c>
      <c r="N68" t="n">
        <v>0</v>
      </c>
      <c r="O68" t="n">
        <v>-0.25</v>
      </c>
      <c r="P68" t="n">
        <v>118</v>
      </c>
      <c r="Q68" t="n">
        <v>12</v>
      </c>
      <c r="R68" t="s">
        <v>288</v>
      </c>
      <c r="S68" t="s">
        <v>288</v>
      </c>
      <c r="T68" t="n">
        <v>0</v>
      </c>
    </row>
    <row r="69">
      <c r="A69" t="s">
        <v>30</v>
      </c>
      <c r="B69" t="n">
        <v>0.98</v>
      </c>
      <c r="C69" t="n">
        <v>0.9</v>
      </c>
      <c r="D69" t="n">
        <v>0.95</v>
      </c>
      <c r="E69" t="n">
        <v>-5.5</v>
      </c>
      <c r="F69" t="n">
        <v>-0.25</v>
      </c>
      <c r="G69" t="n">
        <v>157</v>
      </c>
      <c r="H69" t="n">
        <v>12</v>
      </c>
      <c r="I69" t="s">
        <v>289</v>
      </c>
      <c r="J69" t="n">
        <v>0</v>
      </c>
      <c r="K69" t="n">
        <v>0</v>
      </c>
      <c r="L69" t="n">
        <v>0</v>
      </c>
      <c r="M69" t="n">
        <v>12</v>
      </c>
      <c r="N69" t="n">
        <v>0.25</v>
      </c>
      <c r="O69" t="n">
        <v>0</v>
      </c>
      <c r="P69" t="n">
        <v>156</v>
      </c>
      <c r="Q69" t="n">
        <v>12</v>
      </c>
      <c r="R69" t="s">
        <v>290</v>
      </c>
      <c r="S69" t="s">
        <v>291</v>
      </c>
      <c r="T69" t="n">
        <v>0.25</v>
      </c>
    </row>
    <row r="70">
      <c r="A70" t="s">
        <v>30</v>
      </c>
      <c r="B70" t="n">
        <v>1</v>
      </c>
      <c r="C70" t="n">
        <v>1.02</v>
      </c>
      <c r="D70" t="n">
        <v>1.02</v>
      </c>
      <c r="E70" t="n">
        <v>-4</v>
      </c>
      <c r="F70" t="n">
        <v>-0.25</v>
      </c>
      <c r="G70" t="n">
        <v>85</v>
      </c>
      <c r="H70" t="n">
        <v>12</v>
      </c>
      <c r="I70" t="s">
        <v>289</v>
      </c>
      <c r="J70" t="n">
        <v>0</v>
      </c>
      <c r="K70" t="n">
        <v>0</v>
      </c>
      <c r="L70" t="n">
        <v>0</v>
      </c>
      <c r="M70" t="n">
        <v>12</v>
      </c>
      <c r="N70" t="n">
        <v>-0.5</v>
      </c>
      <c r="O70" t="n">
        <v>0</v>
      </c>
      <c r="P70" t="n">
        <v>63</v>
      </c>
      <c r="Q70" t="n">
        <v>12</v>
      </c>
      <c r="R70" t="s">
        <v>289</v>
      </c>
      <c r="S70" t="s">
        <v>289</v>
      </c>
      <c r="T70" t="n">
        <v>-0.5</v>
      </c>
    </row>
    <row r="71">
      <c r="A71" t="s">
        <v>30</v>
      </c>
      <c r="B71" t="n">
        <v>0.98</v>
      </c>
      <c r="C71" t="n">
        <v>1.01</v>
      </c>
      <c r="D71" t="n">
        <v>0.99</v>
      </c>
      <c r="E71" t="n">
        <v>-4</v>
      </c>
      <c r="F71" t="n">
        <v>-0.25</v>
      </c>
      <c r="G71" t="n">
        <v>170</v>
      </c>
      <c r="H71" t="n">
        <v>12</v>
      </c>
      <c r="I71" t="s">
        <v>289</v>
      </c>
      <c r="J71" t="n">
        <v>0</v>
      </c>
      <c r="K71" t="n">
        <v>0</v>
      </c>
      <c r="L71" t="n">
        <v>0</v>
      </c>
      <c r="M71" t="n">
        <v>12</v>
      </c>
      <c r="N71" t="n">
        <v>0</v>
      </c>
      <c r="O71" t="n">
        <v>0</v>
      </c>
      <c r="P71" t="n">
        <v>157</v>
      </c>
      <c r="Q71" t="n">
        <v>12</v>
      </c>
      <c r="R71" t="s">
        <v>289</v>
      </c>
      <c r="S71" t="s">
        <v>289</v>
      </c>
      <c r="T71" t="n">
        <v>0</v>
      </c>
    </row>
    <row r="72">
      <c r="A72" t="s">
        <v>30</v>
      </c>
      <c r="B72" t="n">
        <v>0.88</v>
      </c>
      <c r="C72" t="n">
        <v>0.84</v>
      </c>
      <c r="D72" t="n">
        <v>0.86</v>
      </c>
      <c r="E72" t="n">
        <v>-0.5</v>
      </c>
      <c r="F72" t="n">
        <v>-0.5</v>
      </c>
      <c r="G72" t="n">
        <v>18</v>
      </c>
      <c r="H72" t="n">
        <v>12</v>
      </c>
      <c r="I72" t="s">
        <v>300</v>
      </c>
      <c r="J72" t="n">
        <v>0</v>
      </c>
      <c r="K72" t="n">
        <v>0</v>
      </c>
      <c r="L72" t="n">
        <v>0</v>
      </c>
      <c r="M72" t="n">
        <v>12</v>
      </c>
      <c r="N72" t="n">
        <v>0</v>
      </c>
      <c r="O72" t="n">
        <v>-0.5</v>
      </c>
      <c r="P72" t="n">
        <v>43</v>
      </c>
      <c r="Q72" t="n">
        <v>12</v>
      </c>
      <c r="R72" t="s">
        <v>300</v>
      </c>
      <c r="S72" t="s">
        <v>298</v>
      </c>
      <c r="T72" t="n">
        <v>-0.25</v>
      </c>
    </row>
    <row r="73">
      <c r="A73" t="s">
        <v>30</v>
      </c>
      <c r="B73" t="n">
        <v>1.11</v>
      </c>
      <c r="C73" t="n">
        <v>1.03</v>
      </c>
      <c r="D73" t="n">
        <v>1.06</v>
      </c>
      <c r="E73" t="n">
        <v>-5.25</v>
      </c>
      <c r="F73" t="n">
        <v>-2.25</v>
      </c>
      <c r="G73" t="n">
        <v>82</v>
      </c>
      <c r="H73" t="n">
        <v>12</v>
      </c>
      <c r="I73" t="s">
        <v>293</v>
      </c>
      <c r="J73" t="n">
        <v>0</v>
      </c>
      <c r="K73" t="n">
        <v>0</v>
      </c>
      <c r="L73" t="n">
        <v>0</v>
      </c>
      <c r="M73" t="n">
        <v>12</v>
      </c>
      <c r="N73" t="n">
        <v>0</v>
      </c>
      <c r="O73" t="n">
        <v>-0.5</v>
      </c>
      <c r="P73" t="n">
        <v>54</v>
      </c>
      <c r="Q73" t="n">
        <v>12</v>
      </c>
      <c r="R73" t="s">
        <v>288</v>
      </c>
      <c r="S73" t="s">
        <v>288</v>
      </c>
      <c r="T73" t="n">
        <v>-0.25</v>
      </c>
    </row>
    <row r="74">
      <c r="A74" t="s">
        <v>30</v>
      </c>
      <c r="B74" t="n">
        <v>0.93</v>
      </c>
      <c r="C74" t="n">
        <v>0.95</v>
      </c>
      <c r="D74" t="n">
        <v>0.92</v>
      </c>
      <c r="E74" t="n">
        <v>-2</v>
      </c>
      <c r="F74" t="n">
        <v>-0.25</v>
      </c>
      <c r="G74" t="n">
        <v>40</v>
      </c>
      <c r="H74" t="n">
        <v>12</v>
      </c>
      <c r="I74" t="s">
        <v>291</v>
      </c>
      <c r="J74" t="n">
        <v>0</v>
      </c>
      <c r="K74" t="n">
        <v>0</v>
      </c>
      <c r="L74" t="n">
        <v>0</v>
      </c>
      <c r="M74" t="n">
        <v>12</v>
      </c>
      <c r="N74" t="n">
        <v>-0.25</v>
      </c>
      <c r="O74" t="n">
        <v>0</v>
      </c>
      <c r="P74" t="n">
        <v>17</v>
      </c>
      <c r="Q74" t="n">
        <v>12</v>
      </c>
      <c r="R74" t="s">
        <v>291</v>
      </c>
      <c r="S74" t="s">
        <v>290</v>
      </c>
      <c r="T74" t="n">
        <v>-0.25</v>
      </c>
    </row>
    <row r="75">
      <c r="A75" t="s">
        <v>30</v>
      </c>
      <c r="B75" t="n">
        <v>1.23</v>
      </c>
      <c r="C75" t="n">
        <v>1.18</v>
      </c>
      <c r="D75" t="n">
        <v>1.18</v>
      </c>
      <c r="E75" t="n">
        <v>-0.75</v>
      </c>
      <c r="F75" t="n">
        <v>0</v>
      </c>
      <c r="G75" t="n">
        <v>169</v>
      </c>
      <c r="H75" t="n">
        <v>12</v>
      </c>
      <c r="I75" t="s">
        <v>294</v>
      </c>
      <c r="J75" t="n">
        <v>0</v>
      </c>
      <c r="K75" t="n">
        <v>0</v>
      </c>
      <c r="L75" t="n">
        <v>0</v>
      </c>
      <c r="M75" t="n">
        <v>12</v>
      </c>
      <c r="N75" t="n">
        <v>-0.25</v>
      </c>
      <c r="O75" t="n">
        <v>0</v>
      </c>
      <c r="P75" t="n">
        <v>145</v>
      </c>
      <c r="Q75" t="n">
        <v>12</v>
      </c>
      <c r="R75" t="s">
        <v>294</v>
      </c>
      <c r="S75" t="s">
        <v>294</v>
      </c>
      <c r="T75" t="n">
        <v>-0.25</v>
      </c>
    </row>
    <row r="76">
      <c r="A76" t="s">
        <v>30</v>
      </c>
      <c r="B76" t="n">
        <v>1.05</v>
      </c>
      <c r="C76" t="n">
        <v>0.95</v>
      </c>
      <c r="D76" t="n">
        <v>0.97</v>
      </c>
      <c r="E76" t="n">
        <v>-2.25</v>
      </c>
      <c r="F76" t="n">
        <v>-0.5</v>
      </c>
      <c r="G76" t="n">
        <v>177</v>
      </c>
      <c r="H76" t="n">
        <v>12</v>
      </c>
      <c r="I76" t="s">
        <v>288</v>
      </c>
      <c r="J76" t="n">
        <v>0</v>
      </c>
      <c r="K76" t="n">
        <v>0</v>
      </c>
      <c r="L76" t="n">
        <v>0</v>
      </c>
      <c r="M76" t="n">
        <v>12</v>
      </c>
      <c r="N76" t="n">
        <v>0.5</v>
      </c>
      <c r="O76" t="n">
        <v>-0.25</v>
      </c>
      <c r="P76" t="n">
        <v>9</v>
      </c>
      <c r="Q76" t="n">
        <v>12</v>
      </c>
      <c r="R76" t="s">
        <v>290</v>
      </c>
      <c r="S76" t="s">
        <v>290</v>
      </c>
      <c r="T76" t="n">
        <v>0.25</v>
      </c>
    </row>
    <row r="77">
      <c r="A77" t="s">
        <v>30</v>
      </c>
      <c r="B77" t="n">
        <v>1.07</v>
      </c>
      <c r="C77" t="n">
        <v>1</v>
      </c>
      <c r="D77" t="n">
        <v>1.03</v>
      </c>
      <c r="E77" t="n">
        <v>-0.5</v>
      </c>
      <c r="F77" t="n">
        <v>-0.25</v>
      </c>
      <c r="G77" t="n">
        <v>17</v>
      </c>
      <c r="H77" t="n">
        <v>12</v>
      </c>
      <c r="I77" t="s">
        <v>288</v>
      </c>
      <c r="J77" t="n">
        <v>0</v>
      </c>
      <c r="K77" t="n">
        <v>0</v>
      </c>
      <c r="L77" t="n">
        <v>0</v>
      </c>
      <c r="M77" t="n">
        <v>12</v>
      </c>
      <c r="N77" t="n">
        <v>0.5</v>
      </c>
      <c r="O77" t="n">
        <v>-0.5</v>
      </c>
      <c r="P77" t="n">
        <v>178</v>
      </c>
      <c r="Q77" t="n">
        <v>12</v>
      </c>
      <c r="R77" t="s">
        <v>288</v>
      </c>
      <c r="S77" t="s">
        <v>289</v>
      </c>
      <c r="T77" t="n">
        <v>0.25</v>
      </c>
    </row>
    <row r="78">
      <c r="A78" t="s">
        <v>30</v>
      </c>
      <c r="B78" t="n">
        <v>1.03</v>
      </c>
      <c r="C78" t="n">
        <v>0.98</v>
      </c>
      <c r="D78" t="n">
        <v>1.05</v>
      </c>
      <c r="E78" t="n">
        <v>-2</v>
      </c>
      <c r="F78" t="n">
        <v>-1.5</v>
      </c>
      <c r="G78" t="n">
        <v>16</v>
      </c>
      <c r="H78" t="n">
        <v>12</v>
      </c>
      <c r="I78" t="s">
        <v>288</v>
      </c>
      <c r="J78" t="n">
        <v>0</v>
      </c>
      <c r="K78" t="n">
        <v>0</v>
      </c>
      <c r="L78" t="n">
        <v>0</v>
      </c>
      <c r="M78" t="n">
        <v>12</v>
      </c>
      <c r="N78" t="n">
        <v>0</v>
      </c>
      <c r="O78" t="n">
        <v>0</v>
      </c>
      <c r="P78" t="n">
        <v>7</v>
      </c>
      <c r="Q78" t="n">
        <v>12</v>
      </c>
      <c r="R78" t="s">
        <v>288</v>
      </c>
      <c r="S78" t="s">
        <v>289</v>
      </c>
      <c r="T78" t="n">
        <v>0</v>
      </c>
    </row>
    <row r="79">
      <c r="A79" t="s">
        <v>30</v>
      </c>
      <c r="B79" t="n">
        <v>1.02</v>
      </c>
      <c r="C79" t="n">
        <v>1.1</v>
      </c>
      <c r="D79" t="n">
        <v>1.06</v>
      </c>
      <c r="E79" t="n">
        <v>-7</v>
      </c>
      <c r="F79" t="n">
        <v>-0.25</v>
      </c>
      <c r="G79" t="n">
        <v>5</v>
      </c>
      <c r="H79" t="n">
        <v>12</v>
      </c>
      <c r="I79" t="s">
        <v>289</v>
      </c>
      <c r="J79" t="n">
        <v>0</v>
      </c>
      <c r="K79" t="n">
        <v>0</v>
      </c>
      <c r="L79" t="n">
        <v>0</v>
      </c>
      <c r="M79" t="n">
        <v>12</v>
      </c>
      <c r="N79" t="n">
        <v>0</v>
      </c>
      <c r="O79" t="n">
        <v>0</v>
      </c>
      <c r="P79" t="n">
        <v>149</v>
      </c>
      <c r="Q79" t="n">
        <v>12</v>
      </c>
      <c r="R79" t="s">
        <v>288</v>
      </c>
      <c r="S79" t="s">
        <v>293</v>
      </c>
      <c r="T79" t="n">
        <v>0</v>
      </c>
    </row>
    <row r="80">
      <c r="A80" t="s">
        <v>30</v>
      </c>
      <c r="B80" t="n">
        <v>1.05</v>
      </c>
      <c r="C80" t="n">
        <v>0.97</v>
      </c>
      <c r="D80" t="n">
        <v>1.01</v>
      </c>
      <c r="E80" t="n">
        <v>-4.25</v>
      </c>
      <c r="F80" t="n">
        <v>-0.5</v>
      </c>
      <c r="G80" t="n">
        <v>9</v>
      </c>
      <c r="H80" t="n">
        <v>12</v>
      </c>
      <c r="I80" t="s">
        <v>288</v>
      </c>
      <c r="J80" t="n">
        <v>0</v>
      </c>
      <c r="K80" t="n">
        <v>0</v>
      </c>
      <c r="L80" t="n">
        <v>0</v>
      </c>
      <c r="M80" t="n">
        <v>12</v>
      </c>
      <c r="N80" t="n">
        <v>0.5</v>
      </c>
      <c r="O80" t="n">
        <v>-0.25</v>
      </c>
      <c r="P80" t="n">
        <v>15</v>
      </c>
      <c r="Q80" t="n">
        <v>12</v>
      </c>
      <c r="R80" t="s">
        <v>289</v>
      </c>
      <c r="S80" t="s">
        <v>290</v>
      </c>
      <c r="T80" t="n">
        <v>0.25</v>
      </c>
    </row>
    <row r="81">
      <c r="A81" t="s">
        <v>30</v>
      </c>
      <c r="B81" t="n">
        <v>0.96</v>
      </c>
      <c r="C81" t="n">
        <v>0.95</v>
      </c>
      <c r="D81" t="n">
        <v>0.96</v>
      </c>
      <c r="E81" t="n">
        <v>-2</v>
      </c>
      <c r="F81" t="n">
        <v>-0.5</v>
      </c>
      <c r="G81" t="n">
        <v>98</v>
      </c>
      <c r="H81" t="n">
        <v>12</v>
      </c>
      <c r="I81" t="s">
        <v>290</v>
      </c>
      <c r="J81" t="n">
        <v>0</v>
      </c>
      <c r="K81" t="n">
        <v>0</v>
      </c>
      <c r="L81" t="n">
        <v>0</v>
      </c>
      <c r="M81" t="n">
        <v>12</v>
      </c>
      <c r="N81" t="n">
        <v>0</v>
      </c>
      <c r="O81" t="n">
        <v>-0.25</v>
      </c>
      <c r="P81" t="n">
        <v>77</v>
      </c>
      <c r="Q81" t="n">
        <v>12</v>
      </c>
      <c r="R81" t="s">
        <v>290</v>
      </c>
      <c r="S81" t="s">
        <v>290</v>
      </c>
      <c r="T81" t="n">
        <v>-0.25</v>
      </c>
    </row>
    <row r="82">
      <c r="A82" t="s">
        <v>30</v>
      </c>
      <c r="B82" t="n">
        <v>1.02</v>
      </c>
      <c r="C82" t="n">
        <v>1.07</v>
      </c>
      <c r="D82" t="n">
        <v>1.08</v>
      </c>
      <c r="E82" t="n">
        <v>-3.25</v>
      </c>
      <c r="F82" t="n">
        <v>-1.25</v>
      </c>
      <c r="G82" t="n">
        <v>162</v>
      </c>
      <c r="H82" t="n">
        <v>12</v>
      </c>
      <c r="I82" t="s">
        <v>289</v>
      </c>
      <c r="J82" t="n">
        <v>0</v>
      </c>
      <c r="K82" t="n">
        <v>0</v>
      </c>
      <c r="L82" t="n">
        <v>0</v>
      </c>
      <c r="M82" t="n">
        <v>12</v>
      </c>
      <c r="N82" t="n">
        <v>0.5</v>
      </c>
      <c r="O82" t="n">
        <v>-0.25</v>
      </c>
      <c r="P82" t="n">
        <v>148</v>
      </c>
      <c r="Q82" t="n">
        <v>12</v>
      </c>
      <c r="R82" t="s">
        <v>293</v>
      </c>
      <c r="S82" t="s">
        <v>288</v>
      </c>
      <c r="T82" t="n">
        <v>0.25</v>
      </c>
    </row>
    <row r="83">
      <c r="A83" t="s">
        <v>30</v>
      </c>
      <c r="B83" t="n">
        <v>1.14</v>
      </c>
      <c r="C83" t="n">
        <v>1.15</v>
      </c>
      <c r="D83" t="n">
        <v>1.13</v>
      </c>
      <c r="E83" t="n">
        <v>-4.75</v>
      </c>
      <c r="F83" t="n">
        <v>-0.5</v>
      </c>
      <c r="G83" t="n">
        <v>95</v>
      </c>
      <c r="H83" t="n">
        <v>12</v>
      </c>
      <c r="I83" t="s">
        <v>297</v>
      </c>
      <c r="J83" t="n">
        <v>0</v>
      </c>
      <c r="K83" t="n">
        <v>0</v>
      </c>
      <c r="L83" t="n">
        <v>0</v>
      </c>
      <c r="M83" t="n">
        <v>12</v>
      </c>
      <c r="N83" t="n">
        <v>0</v>
      </c>
      <c r="O83" t="n">
        <v>-0.25</v>
      </c>
      <c r="P83" t="n">
        <v>95</v>
      </c>
      <c r="Q83" t="n">
        <v>12</v>
      </c>
      <c r="R83" t="s">
        <v>297</v>
      </c>
      <c r="S83" t="s">
        <v>297</v>
      </c>
      <c r="T83" t="n">
        <v>0</v>
      </c>
    </row>
    <row r="84">
      <c r="A84" t="s">
        <v>30</v>
      </c>
      <c r="B84" t="n">
        <v>1.15</v>
      </c>
      <c r="C84" t="n">
        <v>1.25</v>
      </c>
      <c r="D84" t="n">
        <v>1.16</v>
      </c>
      <c r="E84" t="n">
        <v>-4.75</v>
      </c>
      <c r="F84" t="n">
        <v>-0.5</v>
      </c>
      <c r="G84" t="n">
        <v>82</v>
      </c>
      <c r="H84" t="n">
        <v>12</v>
      </c>
      <c r="I84" t="s">
        <v>297</v>
      </c>
      <c r="J84" t="n">
        <v>0</v>
      </c>
      <c r="K84" t="n">
        <v>0</v>
      </c>
      <c r="L84" t="n">
        <v>0</v>
      </c>
      <c r="M84" t="n">
        <v>12</v>
      </c>
      <c r="N84" t="n">
        <v>0</v>
      </c>
      <c r="O84" t="n">
        <v>-0.25</v>
      </c>
      <c r="P84" t="n">
        <v>61</v>
      </c>
      <c r="Q84" t="n">
        <v>12</v>
      </c>
      <c r="R84" t="s">
        <v>297</v>
      </c>
      <c r="S84" t="s">
        <v>296</v>
      </c>
      <c r="T84" t="n">
        <v>0</v>
      </c>
    </row>
    <row r="85">
      <c r="A85" t="s">
        <v>30</v>
      </c>
      <c r="B85" t="n">
        <v>1.05</v>
      </c>
      <c r="C85" t="n">
        <v>0.92</v>
      </c>
      <c r="D85" t="n">
        <v>1.04</v>
      </c>
      <c r="E85" t="n">
        <v>-3.5</v>
      </c>
      <c r="F85" t="n">
        <v>-1.25</v>
      </c>
      <c r="G85" t="n">
        <v>102</v>
      </c>
      <c r="H85" t="n">
        <v>12</v>
      </c>
      <c r="I85" t="s">
        <v>288</v>
      </c>
      <c r="J85" t="n">
        <v>0</v>
      </c>
      <c r="K85" t="n">
        <v>0</v>
      </c>
      <c r="L85" t="n">
        <v>0</v>
      </c>
      <c r="M85" t="n">
        <v>12</v>
      </c>
      <c r="N85" t="n">
        <v>0</v>
      </c>
      <c r="O85" t="n">
        <v>-0.25</v>
      </c>
      <c r="P85" t="n">
        <v>93</v>
      </c>
      <c r="Q85" t="n">
        <v>12</v>
      </c>
      <c r="R85" t="s">
        <v>288</v>
      </c>
      <c r="S85" t="s">
        <v>291</v>
      </c>
      <c r="T85" t="n">
        <v>0</v>
      </c>
    </row>
    <row r="86">
      <c r="A86" t="s">
        <v>30</v>
      </c>
      <c r="B86" t="n">
        <v>1.03</v>
      </c>
      <c r="C86" t="n">
        <v>1.08</v>
      </c>
      <c r="D86" t="n">
        <v>1.06</v>
      </c>
      <c r="E86" t="n">
        <v>-1.25</v>
      </c>
      <c r="F86" t="n">
        <v>-0.5</v>
      </c>
      <c r="G86" t="n">
        <v>71</v>
      </c>
      <c r="H86" t="n">
        <v>12</v>
      </c>
      <c r="I86" t="s">
        <v>288</v>
      </c>
      <c r="J86" t="n">
        <v>0</v>
      </c>
      <c r="K86" t="n">
        <v>0</v>
      </c>
      <c r="L86" t="n">
        <v>0</v>
      </c>
      <c r="M86" t="n">
        <v>12</v>
      </c>
      <c r="N86" t="n">
        <v>0.25</v>
      </c>
      <c r="O86" t="n">
        <v>-0.5</v>
      </c>
      <c r="P86" t="n">
        <v>96</v>
      </c>
      <c r="Q86" t="n">
        <v>12</v>
      </c>
      <c r="R86" t="s">
        <v>288</v>
      </c>
      <c r="S86" t="s">
        <v>293</v>
      </c>
      <c r="T86" t="n">
        <v>0</v>
      </c>
    </row>
    <row r="87">
      <c r="A87" t="s">
        <v>30</v>
      </c>
      <c r="B87" t="n">
        <v>1.11</v>
      </c>
      <c r="C87" t="n">
        <v>1.17</v>
      </c>
      <c r="D87" t="n">
        <v>1.14</v>
      </c>
      <c r="E87" t="n">
        <v>-4</v>
      </c>
      <c r="F87" t="n">
        <v>0</v>
      </c>
      <c r="G87" t="n">
        <v>80</v>
      </c>
      <c r="H87" t="n">
        <v>12</v>
      </c>
      <c r="I87" t="s">
        <v>293</v>
      </c>
      <c r="J87" t="n">
        <v>0</v>
      </c>
      <c r="K87" t="n">
        <v>0</v>
      </c>
      <c r="L87" t="n">
        <v>0</v>
      </c>
      <c r="M87" t="n">
        <v>12</v>
      </c>
      <c r="N87" t="n">
        <v>0</v>
      </c>
      <c r="O87" t="n">
        <v>-0.25</v>
      </c>
      <c r="P87" t="n">
        <v>130</v>
      </c>
      <c r="Q87" t="n">
        <v>12</v>
      </c>
      <c r="R87" t="s">
        <v>297</v>
      </c>
      <c r="S87" t="s">
        <v>297</v>
      </c>
      <c r="T87" t="n">
        <v>-0.25</v>
      </c>
    </row>
    <row r="88">
      <c r="A88" t="s">
        <v>30</v>
      </c>
      <c r="B88" t="n">
        <v>0.99</v>
      </c>
      <c r="C88" t="n">
        <v>1.03</v>
      </c>
      <c r="D88" t="n">
        <v>1.03</v>
      </c>
      <c r="E88" t="n">
        <v>-6</v>
      </c>
      <c r="F88" t="n">
        <v>-1.25</v>
      </c>
      <c r="G88" t="n">
        <v>165</v>
      </c>
      <c r="H88" t="n">
        <v>12</v>
      </c>
      <c r="I88" t="s">
        <v>289</v>
      </c>
      <c r="J88" t="n">
        <v>0</v>
      </c>
      <c r="K88" t="n">
        <v>0</v>
      </c>
      <c r="L88" t="n">
        <v>0</v>
      </c>
      <c r="M88" t="n">
        <v>12</v>
      </c>
      <c r="N88" t="n">
        <v>-0.75</v>
      </c>
      <c r="O88" t="n">
        <v>0</v>
      </c>
      <c r="P88" t="n">
        <v>14</v>
      </c>
      <c r="Q88" t="n">
        <v>12</v>
      </c>
      <c r="R88" t="s">
        <v>288</v>
      </c>
      <c r="S88" t="s">
        <v>288</v>
      </c>
      <c r="T88" t="n">
        <v>-0.75</v>
      </c>
    </row>
    <row r="89">
      <c r="A89" t="s">
        <v>30</v>
      </c>
      <c r="B89" t="n">
        <v>0.94</v>
      </c>
      <c r="C89" t="n">
        <v>0.96</v>
      </c>
      <c r="D89" t="n">
        <v>0.93</v>
      </c>
      <c r="E89" t="n">
        <v>-3.75</v>
      </c>
      <c r="F89" t="n">
        <v>0</v>
      </c>
      <c r="G89" t="n">
        <v>149</v>
      </c>
      <c r="H89" t="n">
        <v>12</v>
      </c>
      <c r="I89" t="s">
        <v>290</v>
      </c>
      <c r="J89" t="n">
        <v>0</v>
      </c>
      <c r="K89" t="n">
        <v>0</v>
      </c>
      <c r="L89" t="n">
        <v>0</v>
      </c>
      <c r="M89" t="n">
        <v>12</v>
      </c>
      <c r="N89" t="n">
        <v>0</v>
      </c>
      <c r="O89" t="n">
        <v>-0.5</v>
      </c>
      <c r="P89" t="n">
        <v>143</v>
      </c>
      <c r="Q89" t="n">
        <v>12</v>
      </c>
      <c r="R89" t="s">
        <v>291</v>
      </c>
      <c r="S89" t="s">
        <v>290</v>
      </c>
      <c r="T89" t="n">
        <v>-0.25</v>
      </c>
    </row>
    <row r="90">
      <c r="A90" t="s">
        <v>30</v>
      </c>
      <c r="B90" t="n">
        <v>0.96</v>
      </c>
      <c r="C90" t="n">
        <v>1.08</v>
      </c>
      <c r="D90" t="n">
        <v>0.97</v>
      </c>
      <c r="E90" t="n">
        <v>-3.5</v>
      </c>
      <c r="F90" t="n">
        <v>-0.5</v>
      </c>
      <c r="G90" t="n">
        <v>2</v>
      </c>
      <c r="H90" t="n">
        <v>12</v>
      </c>
      <c r="I90" t="s">
        <v>290</v>
      </c>
      <c r="J90" t="n">
        <v>0</v>
      </c>
      <c r="K90" t="n">
        <v>0</v>
      </c>
      <c r="L90" t="n">
        <v>0</v>
      </c>
      <c r="M90" t="n">
        <v>12</v>
      </c>
      <c r="N90" t="n">
        <v>0.5</v>
      </c>
      <c r="O90" t="n">
        <v>-0.25</v>
      </c>
      <c r="P90" t="n">
        <v>175</v>
      </c>
      <c r="Q90" t="n">
        <v>12</v>
      </c>
      <c r="R90" t="s">
        <v>290</v>
      </c>
      <c r="S90" t="s">
        <v>293</v>
      </c>
      <c r="T90" t="n">
        <v>0.25</v>
      </c>
    </row>
    <row r="91">
      <c r="A91" t="s">
        <v>30</v>
      </c>
      <c r="B91" t="n">
        <v>1.07</v>
      </c>
      <c r="C91" t="n">
        <v>1.09</v>
      </c>
      <c r="D91" t="n">
        <v>1.17</v>
      </c>
      <c r="E91" t="n">
        <v>-2.75</v>
      </c>
      <c r="F91" t="n">
        <v>-1</v>
      </c>
      <c r="G91" t="n">
        <v>152</v>
      </c>
      <c r="H91" t="n">
        <v>12</v>
      </c>
      <c r="I91" t="s">
        <v>288</v>
      </c>
      <c r="J91" t="n">
        <v>0</v>
      </c>
      <c r="K91" t="n">
        <v>0</v>
      </c>
      <c r="L91" t="n">
        <v>0</v>
      </c>
      <c r="M91" t="n">
        <v>12</v>
      </c>
      <c r="N91" t="n">
        <v>0.25</v>
      </c>
      <c r="O91" t="n">
        <v>0</v>
      </c>
      <c r="P91" t="n">
        <v>156</v>
      </c>
      <c r="Q91" t="n">
        <v>12</v>
      </c>
      <c r="R91" t="s">
        <v>297</v>
      </c>
      <c r="S91" t="s">
        <v>293</v>
      </c>
      <c r="T91" t="n">
        <v>0.25</v>
      </c>
    </row>
    <row r="92">
      <c r="A92" t="s">
        <v>30</v>
      </c>
      <c r="B92" t="n">
        <v>0.93</v>
      </c>
      <c r="C92" t="n">
        <v>0.9</v>
      </c>
      <c r="D92" t="n">
        <v>0.92</v>
      </c>
      <c r="E92" t="n">
        <v>-2.5</v>
      </c>
      <c r="F92" t="n">
        <v>-1</v>
      </c>
      <c r="G92" t="n">
        <v>24</v>
      </c>
      <c r="H92" t="n">
        <v>12</v>
      </c>
      <c r="I92" t="s">
        <v>291</v>
      </c>
      <c r="J92" t="n">
        <v>0</v>
      </c>
      <c r="K92" t="n">
        <v>0</v>
      </c>
      <c r="L92" t="n">
        <v>0</v>
      </c>
      <c r="M92" t="n">
        <v>12</v>
      </c>
      <c r="N92" t="n">
        <v>0</v>
      </c>
      <c r="O92" t="n">
        <v>-0.25</v>
      </c>
      <c r="P92" t="n">
        <v>15</v>
      </c>
      <c r="Q92" t="n">
        <v>12</v>
      </c>
      <c r="R92" t="s">
        <v>291</v>
      </c>
      <c r="S92" t="s">
        <v>291</v>
      </c>
      <c r="T92" t="n">
        <v>-0.25</v>
      </c>
    </row>
    <row r="93">
      <c r="A93" t="s">
        <v>30</v>
      </c>
      <c r="B93" t="n">
        <v>1.05</v>
      </c>
      <c r="C93" t="n">
        <v>0.89</v>
      </c>
      <c r="D93" t="n">
        <v>1.04</v>
      </c>
      <c r="E93" t="n">
        <v>-4.25</v>
      </c>
      <c r="F93" t="n">
        <v>-1.5</v>
      </c>
      <c r="G93" t="n">
        <v>5</v>
      </c>
      <c r="H93" t="n">
        <v>12</v>
      </c>
      <c r="I93" t="s">
        <v>288</v>
      </c>
      <c r="J93" t="n">
        <v>0</v>
      </c>
      <c r="K93" t="n">
        <v>0</v>
      </c>
      <c r="L93" t="n">
        <v>0</v>
      </c>
      <c r="M93" t="n">
        <v>12</v>
      </c>
      <c r="N93" t="n">
        <v>0.5</v>
      </c>
      <c r="O93" t="n">
        <v>-0.25</v>
      </c>
      <c r="P93" t="n">
        <v>172</v>
      </c>
      <c r="Q93" t="n">
        <v>12</v>
      </c>
      <c r="R93" t="s">
        <v>288</v>
      </c>
      <c r="S93" t="s">
        <v>300</v>
      </c>
      <c r="T93" t="n">
        <v>0.5</v>
      </c>
    </row>
    <row r="94">
      <c r="A94" t="s">
        <v>30</v>
      </c>
      <c r="B94" t="n">
        <v>1.11</v>
      </c>
      <c r="C94" t="n">
        <v>0.99</v>
      </c>
      <c r="D94" t="n">
        <v>1.08</v>
      </c>
      <c r="E94" t="n">
        <v>-4</v>
      </c>
      <c r="F94" t="n">
        <v>-0.75</v>
      </c>
      <c r="G94" t="n">
        <v>88</v>
      </c>
      <c r="H94" t="n">
        <v>12</v>
      </c>
      <c r="I94" t="s">
        <v>293</v>
      </c>
      <c r="J94" t="n">
        <v>0</v>
      </c>
      <c r="K94" t="n">
        <v>0</v>
      </c>
      <c r="L94" t="n">
        <v>0</v>
      </c>
      <c r="M94" t="n">
        <v>12</v>
      </c>
      <c r="N94" t="n">
        <v>0.5</v>
      </c>
      <c r="O94" t="n">
        <v>-0.25</v>
      </c>
      <c r="P94" t="n">
        <v>81</v>
      </c>
      <c r="Q94" t="n">
        <v>12</v>
      </c>
      <c r="R94" t="s">
        <v>293</v>
      </c>
      <c r="S94" t="s">
        <v>289</v>
      </c>
      <c r="T94" t="n">
        <v>0.25</v>
      </c>
    </row>
    <row r="95">
      <c r="A95" t="s">
        <v>30</v>
      </c>
      <c r="B95" t="n">
        <v>1.18</v>
      </c>
      <c r="C95" t="n">
        <v>1.19</v>
      </c>
      <c r="D95" t="n">
        <v>1.13</v>
      </c>
      <c r="E95" t="n">
        <v>-6.25</v>
      </c>
      <c r="F95" t="n">
        <v>-0.25</v>
      </c>
      <c r="G95" t="n">
        <v>89</v>
      </c>
      <c r="H95" t="n">
        <v>12</v>
      </c>
      <c r="I95" t="s">
        <v>294</v>
      </c>
      <c r="J95" t="n">
        <v>0</v>
      </c>
      <c r="K95" t="n">
        <v>0</v>
      </c>
      <c r="L95" t="n">
        <v>0</v>
      </c>
      <c r="M95" t="n">
        <v>12</v>
      </c>
      <c r="N95" t="n">
        <v>0</v>
      </c>
      <c r="O95" t="n">
        <v>-0.25</v>
      </c>
      <c r="P95" t="n">
        <v>103</v>
      </c>
      <c r="Q95" t="n">
        <v>12</v>
      </c>
      <c r="R95" t="s">
        <v>297</v>
      </c>
      <c r="S95" t="s">
        <v>294</v>
      </c>
      <c r="T95" t="n">
        <v>0</v>
      </c>
    </row>
    <row r="96">
      <c r="A96" t="s">
        <v>30</v>
      </c>
      <c r="B96" t="n">
        <v>1</v>
      </c>
      <c r="C96" t="n">
        <v>0.94</v>
      </c>
      <c r="D96" t="n">
        <v>1.02</v>
      </c>
      <c r="E96" t="n">
        <v>-5.5</v>
      </c>
      <c r="F96" t="n">
        <v>-0.5</v>
      </c>
      <c r="G96" t="n">
        <v>173</v>
      </c>
      <c r="H96" t="n">
        <v>12</v>
      </c>
      <c r="I96" t="s">
        <v>289</v>
      </c>
      <c r="J96" t="n">
        <v>0</v>
      </c>
      <c r="K96" t="n">
        <v>0</v>
      </c>
      <c r="L96" t="n">
        <v>0</v>
      </c>
      <c r="M96" t="n">
        <v>12</v>
      </c>
      <c r="N96" t="n">
        <v>0</v>
      </c>
      <c r="O96" t="n">
        <v>-0.5</v>
      </c>
      <c r="P96" t="n">
        <v>24</v>
      </c>
      <c r="Q96" t="n">
        <v>12</v>
      </c>
      <c r="R96" t="s">
        <v>289</v>
      </c>
      <c r="S96" t="s">
        <v>290</v>
      </c>
      <c r="T96" t="n">
        <v>-0.25</v>
      </c>
    </row>
    <row r="97">
      <c r="A97" t="s">
        <v>30</v>
      </c>
      <c r="B97" t="n">
        <v>1.04</v>
      </c>
      <c r="C97" t="n">
        <v>0.87</v>
      </c>
      <c r="D97" t="n">
        <v>1.04</v>
      </c>
      <c r="E97" t="n">
        <v>-4.75</v>
      </c>
      <c r="F97" t="n">
        <v>-0.5</v>
      </c>
      <c r="G97" t="n">
        <v>2</v>
      </c>
      <c r="H97" t="n">
        <v>12</v>
      </c>
      <c r="I97" t="s">
        <v>288</v>
      </c>
      <c r="J97" t="n">
        <v>0</v>
      </c>
      <c r="K97" t="n">
        <v>0</v>
      </c>
      <c r="L97" t="n">
        <v>0</v>
      </c>
      <c r="M97" t="n">
        <v>12</v>
      </c>
      <c r="N97" t="n">
        <v>-0.5</v>
      </c>
      <c r="O97" t="n">
        <v>-0.5</v>
      </c>
      <c r="P97" t="n">
        <v>19</v>
      </c>
      <c r="Q97" t="n">
        <v>12</v>
      </c>
      <c r="R97" t="s">
        <v>288</v>
      </c>
      <c r="S97" t="s">
        <v>300</v>
      </c>
      <c r="T97" t="n">
        <v>-0.75</v>
      </c>
    </row>
    <row r="98">
      <c r="A98" t="s">
        <v>30</v>
      </c>
      <c r="B98" t="n">
        <v>1.06</v>
      </c>
      <c r="C98" t="n">
        <v>1.07</v>
      </c>
      <c r="D98" t="n">
        <v>1.09</v>
      </c>
      <c r="E98" t="n">
        <v>-4.25</v>
      </c>
      <c r="F98" t="n">
        <v>0</v>
      </c>
      <c r="G98" t="n">
        <v>1</v>
      </c>
      <c r="H98" t="n">
        <v>12</v>
      </c>
      <c r="I98" t="s">
        <v>288</v>
      </c>
      <c r="J98" t="n">
        <v>0</v>
      </c>
      <c r="K98" t="n">
        <v>0</v>
      </c>
      <c r="L98" t="n">
        <v>0</v>
      </c>
      <c r="M98" t="n">
        <v>12</v>
      </c>
      <c r="N98" t="n">
        <v>0.5</v>
      </c>
      <c r="O98" t="n">
        <v>-0.25</v>
      </c>
      <c r="P98" t="n">
        <v>13</v>
      </c>
      <c r="Q98" t="n">
        <v>12</v>
      </c>
      <c r="R98" t="s">
        <v>293</v>
      </c>
      <c r="S98" t="s">
        <v>288</v>
      </c>
      <c r="T98" t="n">
        <v>0.25</v>
      </c>
    </row>
    <row r="99">
      <c r="A99" t="s">
        <v>30</v>
      </c>
      <c r="B99" t="n">
        <v>0.91</v>
      </c>
      <c r="C99" t="n">
        <v>0.94</v>
      </c>
      <c r="D99" t="n">
        <v>0.94</v>
      </c>
      <c r="E99" t="n">
        <v>-3.5</v>
      </c>
      <c r="F99" t="n">
        <v>-1</v>
      </c>
      <c r="G99" t="n">
        <v>110</v>
      </c>
      <c r="H99" t="n">
        <v>12</v>
      </c>
      <c r="I99" t="s">
        <v>291</v>
      </c>
      <c r="J99" t="n">
        <v>0</v>
      </c>
      <c r="K99" t="n">
        <v>0</v>
      </c>
      <c r="L99" t="n">
        <v>0</v>
      </c>
      <c r="M99" t="n">
        <v>12</v>
      </c>
      <c r="N99" t="n">
        <v>0</v>
      </c>
      <c r="O99" t="n">
        <v>-0.25</v>
      </c>
      <c r="P99" t="n">
        <v>121</v>
      </c>
      <c r="Q99" t="n">
        <v>12</v>
      </c>
      <c r="R99" t="s">
        <v>290</v>
      </c>
      <c r="S99" t="s">
        <v>290</v>
      </c>
      <c r="T99" t="n">
        <v>-0.25</v>
      </c>
    </row>
    <row r="100">
      <c r="A100" t="s">
        <v>30</v>
      </c>
      <c r="B100" t="n">
        <v>1.01</v>
      </c>
      <c r="C100" t="n">
        <v>1.09</v>
      </c>
      <c r="D100" t="n">
        <v>1.01</v>
      </c>
      <c r="E100" t="n">
        <v>-6.75</v>
      </c>
      <c r="F100" t="n">
        <v>-1.25</v>
      </c>
      <c r="G100" t="n">
        <v>14</v>
      </c>
      <c r="H100" t="n">
        <v>12</v>
      </c>
      <c r="I100" t="s">
        <v>289</v>
      </c>
      <c r="J100" t="n">
        <v>0</v>
      </c>
      <c r="K100" t="n">
        <v>0</v>
      </c>
      <c r="L100" t="n">
        <v>0</v>
      </c>
      <c r="M100" t="n">
        <v>12</v>
      </c>
      <c r="N100" t="n">
        <v>0</v>
      </c>
      <c r="O100" t="n">
        <v>-0.25</v>
      </c>
      <c r="P100" t="n">
        <v>13</v>
      </c>
      <c r="Q100" t="n">
        <v>12</v>
      </c>
      <c r="R100" t="s">
        <v>289</v>
      </c>
      <c r="S100" t="s">
        <v>293</v>
      </c>
      <c r="T100" t="n">
        <v>-0.25</v>
      </c>
    </row>
    <row r="101">
      <c r="A101" t="s">
        <v>30</v>
      </c>
      <c r="B101" t="n">
        <v>0.94</v>
      </c>
      <c r="C101" t="n">
        <v>0.92</v>
      </c>
      <c r="D101" t="n">
        <v>0.95</v>
      </c>
      <c r="E101" t="n">
        <v>-3</v>
      </c>
      <c r="F101" t="n">
        <v>-1.25</v>
      </c>
      <c r="G101" t="n">
        <v>163</v>
      </c>
      <c r="H101" t="n">
        <v>12</v>
      </c>
      <c r="I101" t="s">
        <v>290</v>
      </c>
      <c r="J101" t="n">
        <v>0</v>
      </c>
      <c r="K101" t="n">
        <v>0</v>
      </c>
      <c r="L101" t="n">
        <v>0</v>
      </c>
      <c r="M101" t="n">
        <v>12</v>
      </c>
      <c r="N101" t="n">
        <v>0</v>
      </c>
      <c r="O101" t="n">
        <v>0</v>
      </c>
      <c r="P101" t="n">
        <v>5</v>
      </c>
      <c r="Q101" t="n">
        <v>12</v>
      </c>
      <c r="R101" t="s">
        <v>290</v>
      </c>
      <c r="S101" t="s">
        <v>291</v>
      </c>
      <c r="T101" t="n">
        <v>0</v>
      </c>
    </row>
    <row r="102">
      <c r="A102" t="s">
        <v>30</v>
      </c>
      <c r="B102" t="n">
        <v>1.03</v>
      </c>
      <c r="C102" t="n">
        <v>0.87</v>
      </c>
      <c r="D102" t="n">
        <v>1</v>
      </c>
      <c r="E102" t="n">
        <v>-2</v>
      </c>
      <c r="F102" t="n">
        <v>-1</v>
      </c>
      <c r="G102" t="n">
        <v>94</v>
      </c>
      <c r="H102" t="n">
        <v>12</v>
      </c>
      <c r="I102" t="s">
        <v>288</v>
      </c>
      <c r="J102" t="n">
        <v>0</v>
      </c>
      <c r="K102" t="n">
        <v>0</v>
      </c>
      <c r="L102" t="n">
        <v>0</v>
      </c>
      <c r="M102" t="n">
        <v>12</v>
      </c>
      <c r="N102" t="n">
        <v>0.5</v>
      </c>
      <c r="O102" t="n">
        <v>0</v>
      </c>
      <c r="P102" t="n">
        <v>104</v>
      </c>
      <c r="Q102" t="n">
        <v>12</v>
      </c>
      <c r="R102" t="s">
        <v>289</v>
      </c>
      <c r="S102" t="s">
        <v>300</v>
      </c>
      <c r="T102" t="n">
        <v>0.5</v>
      </c>
    </row>
    <row r="103">
      <c r="A103" t="s">
        <v>30</v>
      </c>
      <c r="B103" t="n">
        <v>0.99</v>
      </c>
      <c r="C103" t="n">
        <v>0.89</v>
      </c>
      <c r="D103" t="n">
        <v>0.99</v>
      </c>
      <c r="E103" t="n">
        <v>-0.5</v>
      </c>
      <c r="F103" t="n">
        <v>-0.75</v>
      </c>
      <c r="G103" t="n">
        <v>89</v>
      </c>
      <c r="H103" t="n">
        <v>12</v>
      </c>
      <c r="I103" t="s">
        <v>289</v>
      </c>
      <c r="J103" t="n">
        <v>0</v>
      </c>
      <c r="K103" t="n">
        <v>0</v>
      </c>
      <c r="L103" t="n">
        <v>0</v>
      </c>
      <c r="M103" t="n">
        <v>12</v>
      </c>
      <c r="N103" t="n">
        <v>0.5</v>
      </c>
      <c r="O103" t="n">
        <v>-0.25</v>
      </c>
      <c r="P103" t="n">
        <v>74</v>
      </c>
      <c r="Q103" t="n">
        <v>12</v>
      </c>
      <c r="R103" t="s">
        <v>289</v>
      </c>
      <c r="S103" t="s">
        <v>300</v>
      </c>
      <c r="T103" t="n">
        <v>0.5</v>
      </c>
    </row>
    <row r="104">
      <c r="A104" t="s">
        <v>30</v>
      </c>
      <c r="B104" t="n">
        <v>1.06</v>
      </c>
      <c r="C104" t="n">
        <v>1.02</v>
      </c>
      <c r="D104" t="n">
        <v>1.07</v>
      </c>
      <c r="E104" t="n">
        <v>-1.75</v>
      </c>
      <c r="F104" t="n">
        <v>-2.5</v>
      </c>
      <c r="G104" t="n">
        <v>20</v>
      </c>
      <c r="H104" t="n">
        <v>12</v>
      </c>
      <c r="I104" t="s">
        <v>288</v>
      </c>
      <c r="J104" t="n">
        <v>0</v>
      </c>
      <c r="K104" t="n">
        <v>0</v>
      </c>
      <c r="L104" t="n">
        <v>0</v>
      </c>
      <c r="M104" t="n">
        <v>12</v>
      </c>
      <c r="N104" t="n">
        <v>0.25</v>
      </c>
      <c r="O104" t="n">
        <v>0</v>
      </c>
      <c r="P104" t="n">
        <v>33</v>
      </c>
      <c r="Q104" t="n">
        <v>12</v>
      </c>
      <c r="R104" t="s">
        <v>288</v>
      </c>
      <c r="S104" t="s">
        <v>289</v>
      </c>
      <c r="T104" t="n">
        <v>0.25</v>
      </c>
    </row>
    <row r="105">
      <c r="A105" t="s">
        <v>30</v>
      </c>
      <c r="B105" t="n">
        <v>1.05</v>
      </c>
      <c r="C105" t="n">
        <v>0.83</v>
      </c>
      <c r="D105" t="n">
        <v>1.05</v>
      </c>
      <c r="E105" t="n">
        <v>-3.5</v>
      </c>
      <c r="F105" t="n">
        <v>-0.75</v>
      </c>
      <c r="G105" t="n">
        <v>15</v>
      </c>
      <c r="H105" t="n">
        <v>12</v>
      </c>
      <c r="I105" t="s">
        <v>288</v>
      </c>
      <c r="J105" t="n">
        <v>0</v>
      </c>
      <c r="K105" t="n">
        <v>0</v>
      </c>
      <c r="L105" t="n">
        <v>0</v>
      </c>
      <c r="M105" t="n">
        <v>12</v>
      </c>
      <c r="N105" t="n">
        <v>-0.25</v>
      </c>
      <c r="O105" t="n">
        <v>0</v>
      </c>
      <c r="P105" t="n">
        <v>108</v>
      </c>
      <c r="Q105" t="n">
        <v>12</v>
      </c>
      <c r="R105" t="s">
        <v>288</v>
      </c>
      <c r="S105" t="s">
        <v>298</v>
      </c>
      <c r="T105" t="n">
        <v>-0.25</v>
      </c>
    </row>
    <row r="106">
      <c r="A106" t="s">
        <v>30</v>
      </c>
      <c r="B106" t="n">
        <v>1.06</v>
      </c>
      <c r="C106" t="n">
        <v>1.08</v>
      </c>
      <c r="D106" t="n">
        <v>1.07</v>
      </c>
      <c r="E106" t="n">
        <v>-4</v>
      </c>
      <c r="F106" t="n">
        <v>-1</v>
      </c>
      <c r="G106" t="n">
        <v>60</v>
      </c>
      <c r="H106" t="n">
        <v>12</v>
      </c>
      <c r="I106" t="s">
        <v>288</v>
      </c>
      <c r="J106" t="n">
        <v>0</v>
      </c>
      <c r="K106" t="n">
        <v>0</v>
      </c>
      <c r="L106" t="n">
        <v>0</v>
      </c>
      <c r="M106" t="n">
        <v>12</v>
      </c>
      <c r="N106" t="n">
        <v>-0.25</v>
      </c>
      <c r="O106" t="n">
        <v>0</v>
      </c>
      <c r="P106" t="n">
        <v>130</v>
      </c>
      <c r="Q106" t="n">
        <v>12</v>
      </c>
      <c r="R106" t="s">
        <v>288</v>
      </c>
      <c r="S106" t="s">
        <v>293</v>
      </c>
      <c r="T106" t="n">
        <v>-0.25</v>
      </c>
    </row>
    <row r="107">
      <c r="A107" t="s">
        <v>30</v>
      </c>
      <c r="B107" t="n">
        <v>1</v>
      </c>
      <c r="C107" t="n">
        <v>0.81</v>
      </c>
      <c r="D107" t="n">
        <v>0.85</v>
      </c>
      <c r="E107" t="n">
        <v>-5.5</v>
      </c>
      <c r="F107" t="n">
        <v>-0.25</v>
      </c>
      <c r="G107" t="n">
        <v>99</v>
      </c>
      <c r="H107" t="n">
        <v>12</v>
      </c>
      <c r="I107" t="s">
        <v>289</v>
      </c>
      <c r="J107" t="n">
        <v>0</v>
      </c>
      <c r="K107" t="n">
        <v>0</v>
      </c>
      <c r="L107" t="n">
        <v>0</v>
      </c>
      <c r="M107" t="n">
        <v>12</v>
      </c>
      <c r="N107" t="n">
        <v>0</v>
      </c>
      <c r="O107" t="n">
        <v>-0.25</v>
      </c>
      <c r="P107" t="n">
        <v>110</v>
      </c>
      <c r="Q107" t="n">
        <v>12</v>
      </c>
      <c r="R107" t="s">
        <v>298</v>
      </c>
      <c r="S107" t="s">
        <v>292</v>
      </c>
      <c r="T107" t="n">
        <v>0</v>
      </c>
    </row>
    <row r="108">
      <c r="A108" t="s">
        <v>30</v>
      </c>
      <c r="B108" t="n">
        <v>0.91</v>
      </c>
      <c r="C108" t="n">
        <v>0.81</v>
      </c>
      <c r="D108" t="n">
        <v>0.9</v>
      </c>
      <c r="E108" t="n">
        <v>-7.25</v>
      </c>
      <c r="F108" t="n">
        <v>-0.25</v>
      </c>
      <c r="G108" t="n">
        <v>12</v>
      </c>
      <c r="H108" t="n">
        <v>12</v>
      </c>
      <c r="I108" t="s">
        <v>291</v>
      </c>
      <c r="J108" t="n">
        <v>0</v>
      </c>
      <c r="K108" t="n">
        <v>0</v>
      </c>
      <c r="L108" t="n">
        <v>0</v>
      </c>
      <c r="M108" t="n">
        <v>12</v>
      </c>
      <c r="N108" t="n">
        <v>0</v>
      </c>
      <c r="O108" t="n">
        <v>-0.25</v>
      </c>
      <c r="P108" t="n">
        <v>34</v>
      </c>
      <c r="Q108" t="n">
        <v>12</v>
      </c>
      <c r="R108" t="s">
        <v>291</v>
      </c>
      <c r="S108" t="s">
        <v>292</v>
      </c>
      <c r="T108" t="n">
        <v>-0.25</v>
      </c>
    </row>
    <row r="109">
      <c r="A109" t="s">
        <v>30</v>
      </c>
      <c r="B109" t="n">
        <v>1</v>
      </c>
      <c r="C109" t="n">
        <v>0.8</v>
      </c>
      <c r="D109" t="n">
        <v>0.97</v>
      </c>
      <c r="E109" t="n">
        <v>-3.5</v>
      </c>
      <c r="F109" t="n">
        <v>-0.5</v>
      </c>
      <c r="G109" t="n">
        <v>158</v>
      </c>
      <c r="H109" t="n">
        <v>12</v>
      </c>
      <c r="I109" t="s">
        <v>289</v>
      </c>
      <c r="J109" t="n">
        <v>0</v>
      </c>
      <c r="K109" t="n">
        <v>0</v>
      </c>
      <c r="L109" t="n">
        <v>0</v>
      </c>
      <c r="M109" t="n">
        <v>12</v>
      </c>
      <c r="N109" t="n">
        <v>-0.25</v>
      </c>
      <c r="O109" t="n">
        <v>-0.5</v>
      </c>
      <c r="P109" t="n">
        <v>158</v>
      </c>
      <c r="Q109" t="n">
        <v>12</v>
      </c>
      <c r="R109" t="s">
        <v>290</v>
      </c>
      <c r="S109" t="s">
        <v>292</v>
      </c>
      <c r="T109" t="n">
        <v>-0.5</v>
      </c>
    </row>
    <row r="110">
      <c r="A110" t="s">
        <v>30</v>
      </c>
      <c r="B110" t="n">
        <v>1.12</v>
      </c>
      <c r="C110" t="n">
        <v>1.18</v>
      </c>
      <c r="D110" t="n">
        <v>1.14</v>
      </c>
      <c r="E110" t="n">
        <v>-0.5</v>
      </c>
      <c r="F110" t="n">
        <v>-0.5</v>
      </c>
      <c r="G110" t="n">
        <v>177</v>
      </c>
      <c r="H110" t="n">
        <v>12</v>
      </c>
      <c r="I110" t="s">
        <v>293</v>
      </c>
      <c r="J110" t="n">
        <v>0</v>
      </c>
      <c r="K110" t="n">
        <v>0</v>
      </c>
      <c r="L110" t="n">
        <v>0</v>
      </c>
      <c r="M110" t="n">
        <v>12</v>
      </c>
      <c r="N110" t="n">
        <v>0</v>
      </c>
      <c r="O110" t="n">
        <v>-0.25</v>
      </c>
      <c r="P110" t="n">
        <v>14</v>
      </c>
      <c r="Q110" t="n">
        <v>12</v>
      </c>
      <c r="R110" t="s">
        <v>297</v>
      </c>
      <c r="S110" t="s">
        <v>294</v>
      </c>
      <c r="T110" t="n">
        <v>-0.25</v>
      </c>
    </row>
    <row r="111">
      <c r="A111" t="s">
        <v>30</v>
      </c>
      <c r="B111" t="n">
        <v>1.02</v>
      </c>
      <c r="C111" t="n">
        <v>0.89</v>
      </c>
      <c r="D111" t="n">
        <v>1.08</v>
      </c>
      <c r="E111" t="n">
        <v>-5.25</v>
      </c>
      <c r="F111" t="n">
        <v>-0.25</v>
      </c>
      <c r="G111" t="n">
        <v>81</v>
      </c>
      <c r="H111" t="n">
        <v>12</v>
      </c>
      <c r="I111" t="s">
        <v>289</v>
      </c>
      <c r="J111" t="n">
        <v>0</v>
      </c>
      <c r="K111" t="n">
        <v>0</v>
      </c>
      <c r="L111" t="n">
        <v>0</v>
      </c>
      <c r="M111" t="n">
        <v>12</v>
      </c>
      <c r="N111" t="n">
        <v>-0.5</v>
      </c>
      <c r="O111" t="n">
        <v>-0.25</v>
      </c>
      <c r="P111" t="n">
        <v>104</v>
      </c>
      <c r="Q111" t="n">
        <v>12</v>
      </c>
      <c r="R111" t="s">
        <v>293</v>
      </c>
      <c r="S111" t="s">
        <v>300</v>
      </c>
      <c r="T111" t="n">
        <v>-0.5</v>
      </c>
    </row>
    <row r="112">
      <c r="A112" t="s">
        <v>30</v>
      </c>
      <c r="B112" t="n">
        <v>1</v>
      </c>
      <c r="C112" t="n">
        <v>1.1</v>
      </c>
      <c r="D112" t="n">
        <v>1.05</v>
      </c>
      <c r="E112" t="n">
        <v>-3.75</v>
      </c>
      <c r="F112" t="n">
        <v>-0.5</v>
      </c>
      <c r="G112" t="n">
        <v>91</v>
      </c>
      <c r="H112" t="n">
        <v>12</v>
      </c>
      <c r="I112" t="s">
        <v>289</v>
      </c>
      <c r="J112" t="n">
        <v>0</v>
      </c>
      <c r="K112" t="n">
        <v>0</v>
      </c>
      <c r="L112" t="n">
        <v>0</v>
      </c>
      <c r="M112" t="n">
        <v>12</v>
      </c>
      <c r="N112" t="n">
        <v>0.25</v>
      </c>
      <c r="O112" t="n">
        <v>0</v>
      </c>
      <c r="P112" t="n">
        <v>93</v>
      </c>
      <c r="Q112" t="n">
        <v>12</v>
      </c>
      <c r="R112" t="s">
        <v>288</v>
      </c>
      <c r="S112" t="s">
        <v>293</v>
      </c>
      <c r="T112" t="n">
        <v>0.25</v>
      </c>
    </row>
    <row r="113">
      <c r="A113" t="s">
        <v>30</v>
      </c>
      <c r="B113" t="n">
        <v>0.94</v>
      </c>
      <c r="C113" t="n">
        <v>0.99</v>
      </c>
      <c r="D113" t="n">
        <v>0.98</v>
      </c>
      <c r="E113" t="n">
        <v>-6</v>
      </c>
      <c r="F113" t="n">
        <v>0</v>
      </c>
      <c r="G113" t="n">
        <v>166</v>
      </c>
      <c r="H113" t="n">
        <v>12</v>
      </c>
      <c r="I113" t="s">
        <v>290</v>
      </c>
      <c r="J113" t="n">
        <v>0</v>
      </c>
      <c r="K113" t="n">
        <v>0</v>
      </c>
      <c r="L113" t="n">
        <v>0</v>
      </c>
      <c r="M113" t="n">
        <v>12</v>
      </c>
      <c r="N113" t="n">
        <v>0.25</v>
      </c>
      <c r="O113" t="n">
        <v>0</v>
      </c>
      <c r="P113" t="n">
        <v>5</v>
      </c>
      <c r="Q113" t="n">
        <v>12</v>
      </c>
      <c r="R113" t="s">
        <v>289</v>
      </c>
      <c r="S113" t="s">
        <v>289</v>
      </c>
      <c r="T113" t="n">
        <v>0.25</v>
      </c>
    </row>
    <row r="114">
      <c r="A114" t="s">
        <v>30</v>
      </c>
      <c r="B114" t="n">
        <v>0.98</v>
      </c>
      <c r="C114" t="n">
        <v>0.76</v>
      </c>
      <c r="D114" t="n">
        <v>1</v>
      </c>
      <c r="E114" t="n">
        <v>-4</v>
      </c>
      <c r="F114" t="n">
        <v>0</v>
      </c>
      <c r="G114" t="n">
        <v>87</v>
      </c>
      <c r="H114" t="n">
        <v>12</v>
      </c>
      <c r="I114" t="s">
        <v>289</v>
      </c>
      <c r="J114" t="n">
        <v>0</v>
      </c>
      <c r="K114" t="n">
        <v>0</v>
      </c>
      <c r="L114" t="n">
        <v>0</v>
      </c>
      <c r="M114" t="n">
        <v>12</v>
      </c>
      <c r="N114" t="n">
        <v>-0.5</v>
      </c>
      <c r="O114" t="n">
        <v>0</v>
      </c>
      <c r="P114" t="n">
        <v>97</v>
      </c>
      <c r="Q114" t="n">
        <v>12</v>
      </c>
      <c r="R114" t="s">
        <v>289</v>
      </c>
      <c r="S114" t="s">
        <v>301</v>
      </c>
      <c r="T114" t="n">
        <v>-0.5</v>
      </c>
    </row>
    <row r="115">
      <c r="A115" t="s">
        <v>30</v>
      </c>
      <c r="B115" t="n">
        <v>0.98</v>
      </c>
      <c r="C115" t="n">
        <v>0.96</v>
      </c>
      <c r="D115" t="n">
        <v>0.97</v>
      </c>
      <c r="E115" t="n">
        <v>-6.75</v>
      </c>
      <c r="F115" t="n">
        <v>0</v>
      </c>
      <c r="G115" t="n">
        <v>146</v>
      </c>
      <c r="H115" t="n">
        <v>12</v>
      </c>
      <c r="I115" t="s">
        <v>289</v>
      </c>
      <c r="J115" t="n">
        <v>0</v>
      </c>
      <c r="K115" t="n">
        <v>0</v>
      </c>
      <c r="L115" t="n">
        <v>0</v>
      </c>
      <c r="M115" t="n">
        <v>12</v>
      </c>
      <c r="N115" t="n">
        <v>0</v>
      </c>
      <c r="O115" t="n">
        <v>-0.25</v>
      </c>
      <c r="P115" t="n">
        <v>116</v>
      </c>
      <c r="Q115" t="n">
        <v>12</v>
      </c>
      <c r="R115" t="s">
        <v>290</v>
      </c>
      <c r="S115" t="s">
        <v>290</v>
      </c>
      <c r="T115" t="n">
        <v>-0.25</v>
      </c>
    </row>
    <row r="116">
      <c r="A116" t="s">
        <v>30</v>
      </c>
      <c r="B116" t="n">
        <v>1.03</v>
      </c>
      <c r="C116" t="n">
        <v>0.98</v>
      </c>
      <c r="D116" t="n">
        <v>1.03</v>
      </c>
      <c r="E116" t="n">
        <v>-6</v>
      </c>
      <c r="F116" t="n">
        <v>-0.25</v>
      </c>
      <c r="G116" t="n">
        <v>152</v>
      </c>
      <c r="H116" t="n">
        <v>12</v>
      </c>
      <c r="I116" t="s">
        <v>288</v>
      </c>
      <c r="J116" t="n">
        <v>0</v>
      </c>
      <c r="K116" t="n">
        <v>0</v>
      </c>
      <c r="L116" t="n">
        <v>0</v>
      </c>
      <c r="M116" t="n">
        <v>12</v>
      </c>
      <c r="N116" t="n">
        <v>0</v>
      </c>
      <c r="O116" t="n">
        <v>0</v>
      </c>
      <c r="P116" t="n">
        <v>57</v>
      </c>
      <c r="Q116" t="n">
        <v>12</v>
      </c>
      <c r="R116" t="s">
        <v>288</v>
      </c>
      <c r="S116" t="s">
        <v>289</v>
      </c>
      <c r="T116" t="n">
        <v>0</v>
      </c>
    </row>
    <row r="117">
      <c r="A117" t="s">
        <v>30</v>
      </c>
      <c r="B117" t="n">
        <v>1.09</v>
      </c>
      <c r="C117" t="n">
        <v>1.14</v>
      </c>
      <c r="D117" t="n">
        <v>1.05</v>
      </c>
      <c r="E117" t="n">
        <v>-5.5</v>
      </c>
      <c r="F117" t="n">
        <v>-1.25</v>
      </c>
      <c r="G117" t="n">
        <v>105</v>
      </c>
      <c r="H117" t="n">
        <v>12</v>
      </c>
      <c r="I117" t="s">
        <v>293</v>
      </c>
      <c r="J117" t="n">
        <v>0</v>
      </c>
      <c r="K117" t="n">
        <v>0</v>
      </c>
      <c r="L117" t="n">
        <v>0</v>
      </c>
      <c r="M117" t="n">
        <v>12</v>
      </c>
      <c r="N117" t="n">
        <v>0.75</v>
      </c>
      <c r="O117" t="n">
        <v>-0.5</v>
      </c>
      <c r="P117" t="n">
        <v>107</v>
      </c>
      <c r="Q117" t="n">
        <v>12</v>
      </c>
      <c r="R117" t="s">
        <v>288</v>
      </c>
      <c r="S117" t="s">
        <v>297</v>
      </c>
      <c r="T117" t="n">
        <v>0.5</v>
      </c>
    </row>
    <row r="118">
      <c r="A118" t="s">
        <v>30</v>
      </c>
      <c r="B118" t="n">
        <v>0.98</v>
      </c>
      <c r="C118" t="n">
        <v>1.05</v>
      </c>
      <c r="D118" t="n">
        <v>0.99</v>
      </c>
      <c r="E118" t="n">
        <v>-1</v>
      </c>
      <c r="F118" t="n">
        <v>-0.5</v>
      </c>
      <c r="G118" t="n">
        <v>78</v>
      </c>
      <c r="H118" t="n">
        <v>12</v>
      </c>
      <c r="I118" t="s">
        <v>289</v>
      </c>
      <c r="J118" t="n">
        <v>0</v>
      </c>
      <c r="K118" t="n">
        <v>0</v>
      </c>
      <c r="L118" t="n">
        <v>0</v>
      </c>
      <c r="M118" t="n">
        <v>12</v>
      </c>
      <c r="N118" t="n">
        <v>0</v>
      </c>
      <c r="O118" t="n">
        <v>-0.25</v>
      </c>
      <c r="P118" t="n">
        <v>65</v>
      </c>
      <c r="Q118" t="n">
        <v>12</v>
      </c>
      <c r="R118" t="s">
        <v>289</v>
      </c>
      <c r="S118" t="s">
        <v>288</v>
      </c>
      <c r="T118" t="n">
        <v>0</v>
      </c>
    </row>
    <row r="119">
      <c r="A119" t="s">
        <v>30</v>
      </c>
      <c r="B119" t="n">
        <v>1.18</v>
      </c>
      <c r="C119" t="n">
        <v>1.13</v>
      </c>
      <c r="D119" t="n">
        <v>1.23</v>
      </c>
      <c r="E119" t="n">
        <v>-2.75</v>
      </c>
      <c r="F119" t="n">
        <v>-0.25</v>
      </c>
      <c r="G119" t="n">
        <v>179</v>
      </c>
      <c r="H119" t="n">
        <v>12</v>
      </c>
      <c r="I119" t="s">
        <v>294</v>
      </c>
      <c r="J119" t="n">
        <v>0</v>
      </c>
      <c r="K119" t="n">
        <v>0</v>
      </c>
      <c r="L119" t="n">
        <v>0</v>
      </c>
      <c r="M119" t="n">
        <v>12</v>
      </c>
      <c r="N119" t="n">
        <v>0</v>
      </c>
      <c r="O119" t="n">
        <v>-0.25</v>
      </c>
      <c r="P119" t="n">
        <v>24</v>
      </c>
      <c r="Q119" t="n">
        <v>12</v>
      </c>
      <c r="R119" t="s">
        <v>294</v>
      </c>
      <c r="S119" t="s">
        <v>297</v>
      </c>
      <c r="T119" t="n">
        <v>-0.25</v>
      </c>
    </row>
    <row r="120">
      <c r="A120" t="s">
        <v>30</v>
      </c>
      <c r="B120" t="n">
        <v>0.99</v>
      </c>
      <c r="C120" t="n">
        <v>1.01</v>
      </c>
      <c r="D120" t="n">
        <v>1.03</v>
      </c>
      <c r="E120" t="n">
        <v>-2.75</v>
      </c>
      <c r="F120" t="n">
        <v>-0.25</v>
      </c>
      <c r="G120" t="n">
        <v>102</v>
      </c>
      <c r="H120" t="n">
        <v>12</v>
      </c>
      <c r="I120" t="s">
        <v>289</v>
      </c>
      <c r="J120" t="n">
        <v>0</v>
      </c>
      <c r="K120" t="n">
        <v>0</v>
      </c>
      <c r="L120" t="n">
        <v>0</v>
      </c>
      <c r="M120" t="n">
        <v>12</v>
      </c>
      <c r="N120" t="n">
        <v>1</v>
      </c>
      <c r="O120" t="n">
        <v>-0.25</v>
      </c>
      <c r="P120" t="n">
        <v>81</v>
      </c>
      <c r="Q120" t="n">
        <v>12</v>
      </c>
      <c r="R120" t="s">
        <v>288</v>
      </c>
      <c r="S120" t="s">
        <v>289</v>
      </c>
      <c r="T120" t="n">
        <v>0.75</v>
      </c>
    </row>
    <row r="121">
      <c r="A121" t="s">
        <v>30</v>
      </c>
      <c r="B121" t="n">
        <v>0.98</v>
      </c>
      <c r="C121" t="n">
        <v>1.03</v>
      </c>
      <c r="D121" t="n">
        <v>1.03</v>
      </c>
      <c r="E121" t="n">
        <v>-1.5</v>
      </c>
      <c r="F121" t="n">
        <v>-2.75</v>
      </c>
      <c r="G121" t="n">
        <v>43</v>
      </c>
      <c r="H121" t="n">
        <v>12</v>
      </c>
      <c r="I121" t="s">
        <v>289</v>
      </c>
      <c r="J121" t="n">
        <v>0</v>
      </c>
      <c r="K121" t="n">
        <v>0</v>
      </c>
      <c r="L121" t="n">
        <v>0</v>
      </c>
      <c r="M121" t="n">
        <v>12</v>
      </c>
      <c r="N121" t="n">
        <v>0</v>
      </c>
      <c r="O121" t="n">
        <v>-0.25</v>
      </c>
      <c r="P121" t="n">
        <v>47</v>
      </c>
      <c r="Q121" t="n">
        <v>12</v>
      </c>
      <c r="R121" t="s">
        <v>288</v>
      </c>
      <c r="S121" t="s">
        <v>288</v>
      </c>
      <c r="T121" t="n">
        <v>0</v>
      </c>
    </row>
    <row r="122">
      <c r="A122" t="s">
        <v>30</v>
      </c>
      <c r="B122" t="n">
        <v>1.06</v>
      </c>
      <c r="C122" t="n">
        <v>1.22</v>
      </c>
      <c r="D122" t="n">
        <v>1.14</v>
      </c>
      <c r="E122" t="n">
        <v>-5.5</v>
      </c>
      <c r="F122" t="n">
        <v>-0.25</v>
      </c>
      <c r="G122" t="n">
        <v>76</v>
      </c>
      <c r="H122" t="n">
        <v>12</v>
      </c>
      <c r="I122" t="s">
        <v>288</v>
      </c>
      <c r="J122" t="n">
        <v>0</v>
      </c>
      <c r="K122" t="n">
        <v>0</v>
      </c>
      <c r="L122" t="n">
        <v>0</v>
      </c>
      <c r="M122" t="n">
        <v>12</v>
      </c>
      <c r="N122" t="n">
        <v>0.25</v>
      </c>
      <c r="O122" t="n">
        <v>-0.5</v>
      </c>
      <c r="P122" t="n">
        <v>66</v>
      </c>
      <c r="Q122" t="n">
        <v>12</v>
      </c>
      <c r="R122" t="s">
        <v>297</v>
      </c>
      <c r="S122" t="s">
        <v>294</v>
      </c>
      <c r="T122" t="n">
        <v>0</v>
      </c>
    </row>
    <row r="123">
      <c r="A123" t="s">
        <v>30</v>
      </c>
      <c r="B123" t="n">
        <v>1.08</v>
      </c>
      <c r="C123" t="n">
        <v>0.97</v>
      </c>
      <c r="D123" t="n">
        <v>1.14</v>
      </c>
      <c r="E123" t="n">
        <v>-2.25</v>
      </c>
      <c r="F123" t="n">
        <v>-1.5</v>
      </c>
      <c r="G123" t="n">
        <v>3</v>
      </c>
      <c r="H123" t="n">
        <v>12</v>
      </c>
      <c r="I123" t="s">
        <v>293</v>
      </c>
      <c r="J123" t="n">
        <v>0</v>
      </c>
      <c r="K123" t="n">
        <v>0</v>
      </c>
      <c r="L123" t="n">
        <v>0</v>
      </c>
      <c r="M123" t="n">
        <v>12</v>
      </c>
      <c r="N123" t="n">
        <v>0.5</v>
      </c>
      <c r="O123" t="n">
        <v>-0.25</v>
      </c>
      <c r="P123" t="n">
        <v>2</v>
      </c>
      <c r="Q123" t="n">
        <v>12</v>
      </c>
      <c r="R123" t="s">
        <v>297</v>
      </c>
      <c r="S123" t="s">
        <v>290</v>
      </c>
      <c r="T123" t="n">
        <v>0.5</v>
      </c>
    </row>
    <row r="124">
      <c r="A124" t="s">
        <v>30</v>
      </c>
      <c r="B124" t="n">
        <v>0.92</v>
      </c>
      <c r="C124" t="n">
        <v>0.91</v>
      </c>
      <c r="D124" t="n">
        <v>0.93</v>
      </c>
      <c r="E124" t="n">
        <v>-0.5</v>
      </c>
      <c r="F124" t="n">
        <v>-0.75</v>
      </c>
      <c r="G124" t="n">
        <v>32</v>
      </c>
      <c r="H124" t="n">
        <v>12</v>
      </c>
      <c r="I124" t="s">
        <v>291</v>
      </c>
      <c r="J124" t="n">
        <v>0</v>
      </c>
      <c r="K124" t="n">
        <v>0</v>
      </c>
      <c r="L124" t="n">
        <v>0</v>
      </c>
      <c r="M124" t="n">
        <v>12</v>
      </c>
      <c r="N124" t="n">
        <v>0</v>
      </c>
      <c r="O124" t="n">
        <v>-0.25</v>
      </c>
      <c r="P124" t="n">
        <v>23</v>
      </c>
      <c r="Q124" t="n">
        <v>12</v>
      </c>
      <c r="R124" t="s">
        <v>291</v>
      </c>
      <c r="S124" t="s">
        <v>291</v>
      </c>
      <c r="T124" t="n">
        <v>-0.25</v>
      </c>
    </row>
    <row r="125">
      <c r="A125" t="s">
        <v>30</v>
      </c>
      <c r="B125" t="n">
        <v>1.08</v>
      </c>
      <c r="C125" t="n">
        <v>1.02</v>
      </c>
      <c r="D125" t="n">
        <v>1.05</v>
      </c>
      <c r="E125" t="n">
        <v>-2.5</v>
      </c>
      <c r="F125" t="n">
        <v>-0.5</v>
      </c>
      <c r="G125" t="n">
        <v>40</v>
      </c>
      <c r="H125" t="n">
        <v>12</v>
      </c>
      <c r="I125" t="s">
        <v>293</v>
      </c>
      <c r="J125" t="n">
        <v>0</v>
      </c>
      <c r="K125" t="n">
        <v>0</v>
      </c>
      <c r="L125" t="n">
        <v>0</v>
      </c>
      <c r="M125" t="n">
        <v>12</v>
      </c>
      <c r="N125" t="n">
        <v>0.25</v>
      </c>
      <c r="O125" t="n">
        <v>0</v>
      </c>
      <c r="P125" t="n">
        <v>109</v>
      </c>
      <c r="Q125" t="n">
        <v>12</v>
      </c>
      <c r="R125" t="s">
        <v>288</v>
      </c>
      <c r="S125" t="s">
        <v>289</v>
      </c>
      <c r="T125" t="n">
        <v>0.25</v>
      </c>
    </row>
    <row r="126">
      <c r="A126" t="s">
        <v>30</v>
      </c>
      <c r="B126" t="n">
        <v>1.06</v>
      </c>
      <c r="C126" t="n">
        <v>1.03</v>
      </c>
      <c r="D126" t="n">
        <v>1.07</v>
      </c>
      <c r="E126" t="n">
        <v>-4</v>
      </c>
      <c r="F126" t="n">
        <v>-0.5</v>
      </c>
      <c r="G126" t="n">
        <v>2</v>
      </c>
      <c r="H126" t="n">
        <v>12</v>
      </c>
      <c r="I126" t="s">
        <v>288</v>
      </c>
      <c r="J126" t="n">
        <v>0</v>
      </c>
      <c r="K126" t="n">
        <v>0</v>
      </c>
      <c r="L126" t="n">
        <v>0</v>
      </c>
      <c r="M126" t="n">
        <v>12</v>
      </c>
      <c r="N126" t="n">
        <v>0.5</v>
      </c>
      <c r="O126" t="n">
        <v>-0.25</v>
      </c>
      <c r="P126" t="n">
        <v>171</v>
      </c>
      <c r="Q126" t="n">
        <v>12</v>
      </c>
      <c r="R126" t="s">
        <v>288</v>
      </c>
      <c r="S126" t="s">
        <v>288</v>
      </c>
      <c r="T126" t="n">
        <v>0.25</v>
      </c>
    </row>
    <row r="127">
      <c r="A127" t="s">
        <v>30</v>
      </c>
      <c r="B127" t="n">
        <v>1.01</v>
      </c>
      <c r="C127" t="n">
        <v>0.87</v>
      </c>
      <c r="D127" t="n">
        <v>0.98</v>
      </c>
      <c r="E127" t="n">
        <v>-4.75</v>
      </c>
      <c r="F127" t="n">
        <v>-1</v>
      </c>
      <c r="G127" t="n">
        <v>11</v>
      </c>
      <c r="H127" t="n">
        <v>12</v>
      </c>
      <c r="I127" t="s">
        <v>289</v>
      </c>
      <c r="J127" t="n">
        <v>0</v>
      </c>
      <c r="K127" t="n">
        <v>0</v>
      </c>
      <c r="L127" t="n">
        <v>0</v>
      </c>
      <c r="M127" t="n">
        <v>12</v>
      </c>
      <c r="N127" t="n">
        <v>-0.5</v>
      </c>
      <c r="O127" t="n">
        <v>0</v>
      </c>
      <c r="P127" t="n">
        <v>167</v>
      </c>
      <c r="Q127" t="n">
        <v>12</v>
      </c>
      <c r="R127" t="s">
        <v>289</v>
      </c>
      <c r="S127" t="s">
        <v>300</v>
      </c>
      <c r="T127" t="n">
        <v>-0.5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5" t="s">
        <v>29</v>
      </c>
      <c r="B1" s="5" t="s">
        <v>272</v>
      </c>
      <c r="C1" s="5" t="s">
        <v>273</v>
      </c>
      <c r="D1" s="5" t="s">
        <v>274</v>
      </c>
      <c r="E1" s="6" t="s">
        <v>275</v>
      </c>
      <c r="F1" s="6" t="s">
        <v>276</v>
      </c>
      <c r="G1" s="6" t="s">
        <v>277</v>
      </c>
      <c r="H1" s="6" t="s">
        <v>278</v>
      </c>
      <c r="I1" s="6" t="s">
        <v>84</v>
      </c>
      <c r="J1" s="7" t="s">
        <v>279</v>
      </c>
      <c r="K1" s="7" t="s">
        <v>280</v>
      </c>
      <c r="L1" s="7" t="s">
        <v>281</v>
      </c>
      <c r="M1" s="7" t="s">
        <v>282</v>
      </c>
      <c r="N1" s="8" t="s">
        <v>283</v>
      </c>
      <c r="O1" s="8" t="s">
        <v>284</v>
      </c>
      <c r="P1" s="8" t="s">
        <v>285</v>
      </c>
      <c r="Q1" s="8" t="s">
        <v>286</v>
      </c>
      <c r="R1" s="8" t="s">
        <v>197</v>
      </c>
      <c r="S1" s="8" t="s">
        <v>190</v>
      </c>
      <c r="T1" s="9" t="s">
        <v>287</v>
      </c>
    </row>
    <row r="2">
      <c r="A2" t="s">
        <v>31</v>
      </c>
      <c r="B2" t="n">
        <v>1.09</v>
      </c>
      <c r="C2" t="n">
        <v>0.9</v>
      </c>
      <c r="D2" t="n">
        <v>1.05</v>
      </c>
      <c r="E2" t="n">
        <v>-1.5</v>
      </c>
      <c r="F2" t="n">
        <v>-0.25</v>
      </c>
      <c r="G2" t="n">
        <v>48</v>
      </c>
      <c r="H2" t="n">
        <v>12</v>
      </c>
      <c r="I2" t="s">
        <v>293</v>
      </c>
      <c r="J2" t="n">
        <v>0</v>
      </c>
      <c r="K2" t="n">
        <v>0</v>
      </c>
      <c r="L2" t="n">
        <v>0</v>
      </c>
      <c r="M2" t="n">
        <v>12</v>
      </c>
      <c r="N2" t="n">
        <v>0.25</v>
      </c>
      <c r="O2" t="n">
        <v>0</v>
      </c>
      <c r="P2" t="n">
        <v>108</v>
      </c>
      <c r="Q2" t="n">
        <v>12</v>
      </c>
      <c r="R2" t="s">
        <v>288</v>
      </c>
      <c r="S2" t="s">
        <v>291</v>
      </c>
      <c r="T2" t="n">
        <v>0.25</v>
      </c>
    </row>
    <row r="3">
      <c r="A3" t="s">
        <v>31</v>
      </c>
      <c r="B3" t="n">
        <v>1.07</v>
      </c>
      <c r="C3" t="n">
        <v>1.12</v>
      </c>
      <c r="D3" t="n">
        <v>1.11</v>
      </c>
      <c r="E3" t="n">
        <v>-2.5</v>
      </c>
      <c r="F3" t="n">
        <v>-1.25</v>
      </c>
      <c r="G3" t="n">
        <v>12</v>
      </c>
      <c r="H3" t="n">
        <v>12</v>
      </c>
      <c r="I3" t="s">
        <v>288</v>
      </c>
      <c r="J3" t="n">
        <v>0</v>
      </c>
      <c r="K3" t="n">
        <v>0</v>
      </c>
      <c r="L3" t="n">
        <v>0</v>
      </c>
      <c r="M3" t="n">
        <v>12</v>
      </c>
      <c r="N3" t="n">
        <v>0</v>
      </c>
      <c r="O3" t="n">
        <v>-0.25</v>
      </c>
      <c r="P3" t="n">
        <v>8</v>
      </c>
      <c r="Q3" t="n">
        <v>12</v>
      </c>
      <c r="R3" t="s">
        <v>293</v>
      </c>
      <c r="S3" t="s">
        <v>293</v>
      </c>
      <c r="T3" t="n">
        <v>0</v>
      </c>
    </row>
    <row r="4">
      <c r="A4" t="s">
        <v>31</v>
      </c>
      <c r="B4" t="n">
        <v>1.13</v>
      </c>
      <c r="C4" t="n">
        <v>0.89</v>
      </c>
      <c r="D4" t="n">
        <v>1.18</v>
      </c>
      <c r="E4" t="n">
        <v>-1.25</v>
      </c>
      <c r="F4" t="n">
        <v>-1.25</v>
      </c>
      <c r="G4" t="n">
        <v>174</v>
      </c>
      <c r="H4" t="n">
        <v>12</v>
      </c>
      <c r="I4" t="s">
        <v>297</v>
      </c>
      <c r="J4" t="n">
        <v>0</v>
      </c>
      <c r="K4" t="n">
        <v>0</v>
      </c>
      <c r="L4" t="n">
        <v>0</v>
      </c>
      <c r="M4" t="n">
        <v>12</v>
      </c>
      <c r="N4" t="n">
        <v>-0.5</v>
      </c>
      <c r="O4" t="n">
        <v>-0.25</v>
      </c>
      <c r="P4" t="n">
        <v>162</v>
      </c>
      <c r="Q4" t="n">
        <v>12</v>
      </c>
      <c r="R4" t="s">
        <v>294</v>
      </c>
      <c r="S4" t="s">
        <v>300</v>
      </c>
      <c r="T4" t="n">
        <v>-0.5</v>
      </c>
    </row>
    <row r="5">
      <c r="A5" t="s">
        <v>31</v>
      </c>
      <c r="B5" t="n">
        <v>1.02</v>
      </c>
      <c r="C5" t="n">
        <v>1.04</v>
      </c>
      <c r="D5" t="n">
        <v>1.03</v>
      </c>
      <c r="E5" t="n">
        <v>-3</v>
      </c>
      <c r="F5" t="n">
        <v>-0.25</v>
      </c>
      <c r="G5" t="n">
        <v>99</v>
      </c>
      <c r="H5" t="n">
        <v>12</v>
      </c>
      <c r="I5" t="s">
        <v>289</v>
      </c>
      <c r="J5" t="n">
        <v>0</v>
      </c>
      <c r="K5" t="n">
        <v>0</v>
      </c>
      <c r="L5" t="n">
        <v>0</v>
      </c>
      <c r="M5" t="n">
        <v>12</v>
      </c>
      <c r="N5" t="n">
        <v>0.5</v>
      </c>
      <c r="O5" t="n">
        <v>-0.25</v>
      </c>
      <c r="P5" t="n">
        <v>87</v>
      </c>
      <c r="Q5" t="n">
        <v>12</v>
      </c>
      <c r="R5" t="s">
        <v>288</v>
      </c>
      <c r="S5" t="s">
        <v>288</v>
      </c>
      <c r="T5" t="n">
        <v>0.25</v>
      </c>
    </row>
    <row r="6">
      <c r="A6" t="s">
        <v>31</v>
      </c>
      <c r="B6" t="n">
        <v>0.97</v>
      </c>
      <c r="C6" t="n">
        <v>0.83</v>
      </c>
      <c r="D6" t="n">
        <v>0.99</v>
      </c>
      <c r="E6" t="n">
        <v>-1.75</v>
      </c>
      <c r="F6" t="n">
        <v>-0.25</v>
      </c>
      <c r="G6" t="n">
        <v>94</v>
      </c>
      <c r="H6" t="n">
        <v>12</v>
      </c>
      <c r="I6" t="s">
        <v>290</v>
      </c>
      <c r="J6" t="n">
        <v>0</v>
      </c>
      <c r="K6" t="n">
        <v>0</v>
      </c>
      <c r="L6" t="n">
        <v>0</v>
      </c>
      <c r="M6" t="n">
        <v>12</v>
      </c>
      <c r="N6" t="n">
        <v>0.25</v>
      </c>
      <c r="O6" t="n">
        <v>0</v>
      </c>
      <c r="P6" t="n">
        <v>154</v>
      </c>
      <c r="Q6" t="n">
        <v>12</v>
      </c>
      <c r="R6" t="s">
        <v>289</v>
      </c>
      <c r="S6" t="s">
        <v>298</v>
      </c>
      <c r="T6" t="n">
        <v>0.25</v>
      </c>
    </row>
    <row r="7">
      <c r="A7" t="s">
        <v>31</v>
      </c>
      <c r="B7" t="n">
        <v>0.87</v>
      </c>
      <c r="C7" t="n">
        <v>0.85</v>
      </c>
      <c r="D7" t="n">
        <v>0.9</v>
      </c>
      <c r="E7" t="n">
        <v>-6.5</v>
      </c>
      <c r="F7" t="n">
        <v>0</v>
      </c>
      <c r="G7" t="n">
        <v>96</v>
      </c>
      <c r="H7" t="n">
        <v>12</v>
      </c>
      <c r="I7" t="s">
        <v>300</v>
      </c>
      <c r="J7" t="n">
        <v>0</v>
      </c>
      <c r="K7" t="n">
        <v>0</v>
      </c>
      <c r="L7" t="n">
        <v>0</v>
      </c>
      <c r="M7" t="n">
        <v>12</v>
      </c>
      <c r="N7" t="n">
        <v>-0.25</v>
      </c>
      <c r="O7" t="n">
        <v>0</v>
      </c>
      <c r="P7" t="n">
        <v>82</v>
      </c>
      <c r="Q7" t="n">
        <v>12</v>
      </c>
      <c r="R7" t="s">
        <v>291</v>
      </c>
      <c r="S7" t="s">
        <v>298</v>
      </c>
      <c r="T7" t="n">
        <v>-0.25</v>
      </c>
    </row>
    <row r="8">
      <c r="A8" t="s">
        <v>31</v>
      </c>
      <c r="B8" t="n">
        <v>0.93</v>
      </c>
      <c r="C8" t="n">
        <v>0.8</v>
      </c>
      <c r="D8" t="n">
        <v>0.92</v>
      </c>
      <c r="E8" t="n">
        <v>-5.25</v>
      </c>
      <c r="F8" t="n">
        <v>-0.5</v>
      </c>
      <c r="G8" t="n">
        <v>159</v>
      </c>
      <c r="H8" t="n">
        <v>12</v>
      </c>
      <c r="I8" t="s">
        <v>291</v>
      </c>
      <c r="J8" t="n">
        <v>0</v>
      </c>
      <c r="K8" t="n">
        <v>0</v>
      </c>
      <c r="L8" t="n">
        <v>0</v>
      </c>
      <c r="M8" t="n">
        <v>12</v>
      </c>
      <c r="N8" t="n">
        <v>0.25</v>
      </c>
      <c r="O8" t="n">
        <v>-0.5</v>
      </c>
      <c r="P8" t="n">
        <v>128</v>
      </c>
      <c r="Q8" t="n">
        <v>12</v>
      </c>
      <c r="R8" t="s">
        <v>291</v>
      </c>
      <c r="S8" t="s">
        <v>292</v>
      </c>
      <c r="T8" t="n">
        <v>0</v>
      </c>
    </row>
    <row r="9">
      <c r="A9" t="s">
        <v>31</v>
      </c>
      <c r="B9" t="n">
        <v>0.9</v>
      </c>
      <c r="C9" t="n">
        <v>0.69</v>
      </c>
      <c r="D9" t="n">
        <v>0.93</v>
      </c>
      <c r="E9" t="n">
        <v>-5</v>
      </c>
      <c r="F9" t="n">
        <v>-0.25</v>
      </c>
      <c r="G9" t="n">
        <v>94</v>
      </c>
      <c r="H9" t="n">
        <v>12</v>
      </c>
      <c r="I9" t="s">
        <v>291</v>
      </c>
      <c r="J9" t="n">
        <v>0</v>
      </c>
      <c r="K9" t="n">
        <v>0</v>
      </c>
      <c r="L9" t="n">
        <v>0</v>
      </c>
      <c r="M9" t="n">
        <v>12</v>
      </c>
      <c r="N9" t="n">
        <v>-1</v>
      </c>
      <c r="O9" t="n">
        <v>0</v>
      </c>
      <c r="P9" t="n">
        <v>70</v>
      </c>
      <c r="Q9" t="n">
        <v>12</v>
      </c>
      <c r="R9" t="s">
        <v>291</v>
      </c>
      <c r="S9" t="s">
        <v>299</v>
      </c>
      <c r="T9" t="n">
        <v>-1</v>
      </c>
    </row>
    <row r="10">
      <c r="A10" t="s">
        <v>31</v>
      </c>
      <c r="B10" t="n">
        <v>1.06</v>
      </c>
      <c r="C10" t="n">
        <v>0.92</v>
      </c>
      <c r="D10" t="n">
        <v>1.07</v>
      </c>
      <c r="E10" t="n">
        <v>-2</v>
      </c>
      <c r="F10" t="n">
        <v>-1.25</v>
      </c>
      <c r="G10" t="n">
        <v>96</v>
      </c>
      <c r="H10" t="n">
        <v>12</v>
      </c>
      <c r="I10" t="s">
        <v>288</v>
      </c>
      <c r="J10" t="n">
        <v>0</v>
      </c>
      <c r="K10" t="n">
        <v>0</v>
      </c>
      <c r="L10" t="n">
        <v>0</v>
      </c>
      <c r="M10" t="n">
        <v>12</v>
      </c>
      <c r="N10" t="n">
        <v>0.25</v>
      </c>
      <c r="O10" t="n">
        <v>0</v>
      </c>
      <c r="P10" t="n">
        <v>99</v>
      </c>
      <c r="Q10" t="n">
        <v>12</v>
      </c>
      <c r="R10" t="s">
        <v>288</v>
      </c>
      <c r="S10" t="s">
        <v>291</v>
      </c>
      <c r="T10" t="n">
        <v>0.25</v>
      </c>
    </row>
    <row r="11">
      <c r="A11" t="s">
        <v>31</v>
      </c>
      <c r="B11" t="n">
        <v>0.93</v>
      </c>
      <c r="C11" t="n">
        <v>0.85</v>
      </c>
      <c r="D11" t="n">
        <v>0.98</v>
      </c>
      <c r="E11" t="n">
        <v>-4.5</v>
      </c>
      <c r="F11" t="n">
        <v>-1.25</v>
      </c>
      <c r="G11" t="n">
        <v>32</v>
      </c>
      <c r="H11" t="n">
        <v>12</v>
      </c>
      <c r="I11" t="s">
        <v>291</v>
      </c>
      <c r="J11" t="n">
        <v>0</v>
      </c>
      <c r="K11" t="n">
        <v>0</v>
      </c>
      <c r="L11" t="n">
        <v>0</v>
      </c>
      <c r="M11" t="n">
        <v>12</v>
      </c>
      <c r="N11" t="n">
        <v>0</v>
      </c>
      <c r="O11" t="n">
        <v>0</v>
      </c>
      <c r="P11" t="n">
        <v>43</v>
      </c>
      <c r="Q11" t="n">
        <v>12</v>
      </c>
      <c r="R11" t="s">
        <v>289</v>
      </c>
      <c r="S11" t="s">
        <v>298</v>
      </c>
      <c r="T11" t="n">
        <v>0</v>
      </c>
    </row>
    <row r="12">
      <c r="A12" t="s">
        <v>31</v>
      </c>
      <c r="B12" t="n">
        <v>0.97</v>
      </c>
      <c r="C12" t="n">
        <v>0.78</v>
      </c>
      <c r="D12" t="n">
        <v>0.92</v>
      </c>
      <c r="E12" t="n">
        <v>-0.5</v>
      </c>
      <c r="F12" t="n">
        <v>-0.5</v>
      </c>
      <c r="G12" t="n">
        <v>24</v>
      </c>
      <c r="H12" t="n">
        <v>12</v>
      </c>
      <c r="I12" t="s">
        <v>290</v>
      </c>
      <c r="J12" t="n">
        <v>0</v>
      </c>
      <c r="K12" t="n">
        <v>0</v>
      </c>
      <c r="L12" t="n">
        <v>0</v>
      </c>
      <c r="M12" t="n">
        <v>12</v>
      </c>
      <c r="N12" t="n">
        <v>0</v>
      </c>
      <c r="O12" t="n">
        <v>0</v>
      </c>
      <c r="P12" t="n">
        <v>17</v>
      </c>
      <c r="Q12" t="n">
        <v>12</v>
      </c>
      <c r="R12" t="s">
        <v>291</v>
      </c>
      <c r="S12" t="s">
        <v>292</v>
      </c>
      <c r="T12" t="n">
        <v>0</v>
      </c>
    </row>
    <row r="13">
      <c r="A13" t="s">
        <v>31</v>
      </c>
      <c r="B13" t="n">
        <v>0.94</v>
      </c>
      <c r="C13" t="n">
        <v>0.82</v>
      </c>
      <c r="D13" t="n">
        <v>0.87</v>
      </c>
      <c r="E13" t="n">
        <v>-1.5</v>
      </c>
      <c r="F13" t="n">
        <v>-0.25</v>
      </c>
      <c r="G13" t="n">
        <v>164</v>
      </c>
      <c r="H13" t="n">
        <v>12</v>
      </c>
      <c r="I13" t="s">
        <v>290</v>
      </c>
      <c r="J13" t="n">
        <v>0</v>
      </c>
      <c r="K13" t="n">
        <v>0</v>
      </c>
      <c r="L13" t="n">
        <v>0</v>
      </c>
      <c r="M13" t="n">
        <v>12</v>
      </c>
      <c r="N13" t="n">
        <v>0.5</v>
      </c>
      <c r="O13" t="n">
        <v>-0.25</v>
      </c>
      <c r="P13" t="n">
        <v>159</v>
      </c>
      <c r="Q13" t="n">
        <v>12</v>
      </c>
      <c r="R13" t="s">
        <v>300</v>
      </c>
      <c r="S13" t="s">
        <v>298</v>
      </c>
      <c r="T13" t="n">
        <v>0.25</v>
      </c>
    </row>
    <row r="14">
      <c r="A14" t="s">
        <v>31</v>
      </c>
      <c r="B14" t="n">
        <v>1.02</v>
      </c>
      <c r="C14" t="n">
        <v>0.85</v>
      </c>
      <c r="D14" t="n">
        <v>0.99</v>
      </c>
      <c r="E14" t="n">
        <v>-3</v>
      </c>
      <c r="F14" t="n">
        <v>-0.5</v>
      </c>
      <c r="G14" t="n">
        <v>172</v>
      </c>
      <c r="H14" t="n">
        <v>12</v>
      </c>
      <c r="I14" t="s">
        <v>289</v>
      </c>
      <c r="J14" t="n">
        <v>0</v>
      </c>
      <c r="K14" t="n">
        <v>0</v>
      </c>
      <c r="L14" t="n">
        <v>0</v>
      </c>
      <c r="M14" t="n">
        <v>12</v>
      </c>
      <c r="N14" t="n">
        <v>0.5</v>
      </c>
      <c r="O14" t="n">
        <v>-0.25</v>
      </c>
      <c r="P14" t="n">
        <v>142</v>
      </c>
      <c r="Q14" t="n">
        <v>12</v>
      </c>
      <c r="R14" t="s">
        <v>289</v>
      </c>
      <c r="S14" t="s">
        <v>298</v>
      </c>
      <c r="T14" t="n">
        <v>0.5</v>
      </c>
    </row>
    <row r="15">
      <c r="A15" t="s">
        <v>31</v>
      </c>
      <c r="B15" t="n">
        <v>1</v>
      </c>
      <c r="C15" t="n">
        <v>0.94</v>
      </c>
      <c r="D15" t="n">
        <v>1.04</v>
      </c>
      <c r="E15" t="n">
        <v>-1.75</v>
      </c>
      <c r="F15" t="n">
        <v>-1.25</v>
      </c>
      <c r="G15" t="n">
        <v>179</v>
      </c>
      <c r="H15" t="n">
        <v>12</v>
      </c>
      <c r="I15" t="s">
        <v>289</v>
      </c>
      <c r="J15" t="n">
        <v>0</v>
      </c>
      <c r="K15" t="n">
        <v>0</v>
      </c>
      <c r="L15" t="n">
        <v>0</v>
      </c>
      <c r="M15" t="n">
        <v>12</v>
      </c>
      <c r="N15" t="n">
        <v>0.25</v>
      </c>
      <c r="O15" t="n">
        <v>0</v>
      </c>
      <c r="P15" t="n">
        <v>155</v>
      </c>
      <c r="Q15" t="n">
        <v>12</v>
      </c>
      <c r="R15" t="s">
        <v>288</v>
      </c>
      <c r="S15" t="s">
        <v>290</v>
      </c>
      <c r="T15" t="n">
        <v>0.25</v>
      </c>
    </row>
    <row r="16">
      <c r="A16" t="s">
        <v>31</v>
      </c>
      <c r="B16" t="n">
        <v>0.93</v>
      </c>
      <c r="C16" t="n">
        <v>0.91</v>
      </c>
      <c r="D16" t="n">
        <v>0.92</v>
      </c>
      <c r="E16" t="n">
        <v>-3.25</v>
      </c>
      <c r="F16" t="n">
        <v>-0.25</v>
      </c>
      <c r="G16" t="n">
        <v>11</v>
      </c>
      <c r="H16" t="n">
        <v>12</v>
      </c>
      <c r="I16" t="s">
        <v>291</v>
      </c>
      <c r="J16" t="n">
        <v>0</v>
      </c>
      <c r="K16" t="n">
        <v>0</v>
      </c>
      <c r="L16" t="n">
        <v>0</v>
      </c>
      <c r="M16" t="n">
        <v>12</v>
      </c>
      <c r="N16" t="n">
        <v>0.5</v>
      </c>
      <c r="O16" t="n">
        <v>-0.25</v>
      </c>
      <c r="P16" t="n">
        <v>169</v>
      </c>
      <c r="Q16" t="n">
        <v>12</v>
      </c>
      <c r="R16" t="s">
        <v>291</v>
      </c>
      <c r="S16" t="s">
        <v>291</v>
      </c>
      <c r="T16" t="n">
        <v>0.25</v>
      </c>
    </row>
    <row r="17">
      <c r="A17" t="s">
        <v>31</v>
      </c>
      <c r="B17" t="n">
        <v>0.96</v>
      </c>
      <c r="C17" t="n">
        <v>0.98</v>
      </c>
      <c r="D17" t="n">
        <v>1</v>
      </c>
      <c r="E17" t="n">
        <v>-5.25</v>
      </c>
      <c r="F17" t="n">
        <v>-0.5</v>
      </c>
      <c r="G17" t="n">
        <v>167</v>
      </c>
      <c r="H17" t="n">
        <v>12</v>
      </c>
      <c r="I17" t="s">
        <v>290</v>
      </c>
      <c r="J17" t="n">
        <v>0</v>
      </c>
      <c r="K17" t="n">
        <v>0</v>
      </c>
      <c r="L17" t="n">
        <v>0</v>
      </c>
      <c r="M17" t="n">
        <v>12</v>
      </c>
      <c r="N17" t="n">
        <v>0</v>
      </c>
      <c r="O17" t="n">
        <v>-0.75</v>
      </c>
      <c r="P17" t="n">
        <v>3</v>
      </c>
      <c r="Q17" t="n">
        <v>12</v>
      </c>
      <c r="R17" t="s">
        <v>289</v>
      </c>
      <c r="S17" t="s">
        <v>289</v>
      </c>
      <c r="T17" t="n">
        <v>-0.25</v>
      </c>
    </row>
    <row r="18">
      <c r="A18" t="s">
        <v>31</v>
      </c>
      <c r="B18" t="n">
        <v>1.05</v>
      </c>
      <c r="C18" t="n">
        <v>0.89</v>
      </c>
      <c r="D18" t="n">
        <v>1.04</v>
      </c>
      <c r="E18" t="n">
        <v>-3.75</v>
      </c>
      <c r="F18" t="n">
        <v>-0.75</v>
      </c>
      <c r="G18" t="n">
        <v>94</v>
      </c>
      <c r="H18" t="n">
        <v>12</v>
      </c>
      <c r="I18" t="s">
        <v>288</v>
      </c>
      <c r="J18" t="n">
        <v>0</v>
      </c>
      <c r="K18" t="n">
        <v>0</v>
      </c>
      <c r="L18" t="n">
        <v>0</v>
      </c>
      <c r="M18" t="n">
        <v>12</v>
      </c>
      <c r="N18" t="n">
        <v>-0.5</v>
      </c>
      <c r="O18" t="n">
        <v>-0.25</v>
      </c>
      <c r="P18" t="n">
        <v>63</v>
      </c>
      <c r="Q18" t="n">
        <v>12</v>
      </c>
      <c r="R18" t="s">
        <v>288</v>
      </c>
      <c r="S18" t="s">
        <v>300</v>
      </c>
      <c r="T18" t="n">
        <v>-0.75</v>
      </c>
    </row>
    <row r="19">
      <c r="A19" t="s">
        <v>31</v>
      </c>
      <c r="B19" t="n">
        <v>1.09</v>
      </c>
      <c r="C19" t="n">
        <v>1</v>
      </c>
      <c r="D19" t="n">
        <v>1.11</v>
      </c>
      <c r="E19" t="n">
        <v>-4.75</v>
      </c>
      <c r="F19" t="n">
        <v>-1.5</v>
      </c>
      <c r="G19" t="n">
        <v>174</v>
      </c>
      <c r="H19" t="n">
        <v>12</v>
      </c>
      <c r="I19" t="s">
        <v>293</v>
      </c>
      <c r="J19" t="n">
        <v>0</v>
      </c>
      <c r="K19" t="n">
        <v>0</v>
      </c>
      <c r="L19" t="n">
        <v>0</v>
      </c>
      <c r="M19" t="n">
        <v>12</v>
      </c>
      <c r="N19" t="n">
        <v>0</v>
      </c>
      <c r="O19" t="n">
        <v>-0.25</v>
      </c>
      <c r="P19" t="n">
        <v>1</v>
      </c>
      <c r="Q19" t="n">
        <v>12</v>
      </c>
      <c r="R19" t="s">
        <v>293</v>
      </c>
      <c r="S19" t="s">
        <v>289</v>
      </c>
      <c r="T19" t="n">
        <v>0</v>
      </c>
    </row>
    <row r="20">
      <c r="A20" t="s">
        <v>31</v>
      </c>
      <c r="B20" t="n">
        <v>1.01</v>
      </c>
      <c r="C20" t="n">
        <v>0.92</v>
      </c>
      <c r="D20" t="n">
        <v>1</v>
      </c>
      <c r="E20" t="n">
        <v>-4.25</v>
      </c>
      <c r="F20" t="n">
        <v>-0.5</v>
      </c>
      <c r="G20" t="n">
        <v>9</v>
      </c>
      <c r="H20" t="n">
        <v>12</v>
      </c>
      <c r="I20" t="s">
        <v>289</v>
      </c>
      <c r="J20" t="n">
        <v>0</v>
      </c>
      <c r="K20" t="n">
        <v>0</v>
      </c>
      <c r="L20" t="n">
        <v>0</v>
      </c>
      <c r="M20" t="n">
        <v>12</v>
      </c>
      <c r="N20" t="n">
        <v>1</v>
      </c>
      <c r="O20" t="n">
        <v>-0.25</v>
      </c>
      <c r="P20" t="n">
        <v>175</v>
      </c>
      <c r="Q20" t="n">
        <v>12</v>
      </c>
      <c r="R20" t="s">
        <v>289</v>
      </c>
      <c r="S20" t="s">
        <v>291</v>
      </c>
      <c r="T20" t="n">
        <v>0.75</v>
      </c>
    </row>
    <row r="21">
      <c r="A21" t="s">
        <v>31</v>
      </c>
      <c r="B21" t="n">
        <v>1.07</v>
      </c>
      <c r="C21" t="n">
        <v>1.09</v>
      </c>
      <c r="D21" t="n">
        <v>1.14</v>
      </c>
      <c r="E21" t="n">
        <v>-8</v>
      </c>
      <c r="F21" t="n">
        <v>-0.5</v>
      </c>
      <c r="G21" t="n">
        <v>89</v>
      </c>
      <c r="H21" t="n">
        <v>12</v>
      </c>
      <c r="I21" t="s">
        <v>288</v>
      </c>
      <c r="J21" t="n">
        <v>0</v>
      </c>
      <c r="K21" t="n">
        <v>0</v>
      </c>
      <c r="L21" t="n">
        <v>0</v>
      </c>
      <c r="M21" t="n">
        <v>12</v>
      </c>
      <c r="N21" t="n">
        <v>0</v>
      </c>
      <c r="O21" t="n">
        <v>-0.5</v>
      </c>
      <c r="P21" t="n">
        <v>109</v>
      </c>
      <c r="Q21" t="n">
        <v>12</v>
      </c>
      <c r="R21" t="s">
        <v>297</v>
      </c>
      <c r="S21" t="s">
        <v>293</v>
      </c>
      <c r="T21" t="n">
        <v>-0.25</v>
      </c>
    </row>
    <row r="22">
      <c r="A22" t="s">
        <v>31</v>
      </c>
      <c r="B22" t="n">
        <v>0.96</v>
      </c>
      <c r="C22" t="n">
        <v>0.9</v>
      </c>
      <c r="D22" t="n">
        <v>0.97</v>
      </c>
      <c r="E22" t="n">
        <v>-6</v>
      </c>
      <c r="F22" t="n">
        <v>-1.5</v>
      </c>
      <c r="G22" t="n">
        <v>100</v>
      </c>
      <c r="H22" t="n">
        <v>12</v>
      </c>
      <c r="I22" t="s">
        <v>290</v>
      </c>
      <c r="J22" t="n">
        <v>0</v>
      </c>
      <c r="K22" t="n">
        <v>0</v>
      </c>
      <c r="L22" t="n">
        <v>0</v>
      </c>
      <c r="M22" t="n">
        <v>12</v>
      </c>
      <c r="N22" t="n">
        <v>0</v>
      </c>
      <c r="O22" t="n">
        <v>-0.5</v>
      </c>
      <c r="P22" t="n">
        <v>95</v>
      </c>
      <c r="Q22" t="n">
        <v>12</v>
      </c>
      <c r="R22" t="s">
        <v>290</v>
      </c>
      <c r="S22" t="s">
        <v>291</v>
      </c>
      <c r="T22" t="n">
        <v>-0.25</v>
      </c>
    </row>
    <row r="23">
      <c r="A23" t="s">
        <v>31</v>
      </c>
      <c r="B23" t="n">
        <v>0.91</v>
      </c>
      <c r="C23" t="n">
        <v>0.68</v>
      </c>
      <c r="D23" t="n">
        <v>0.91</v>
      </c>
      <c r="E23" t="n">
        <v>-1.25</v>
      </c>
      <c r="F23" t="n">
        <v>-0.25</v>
      </c>
      <c r="G23" t="n">
        <v>100</v>
      </c>
      <c r="H23" t="n">
        <v>12</v>
      </c>
      <c r="I23" t="s">
        <v>291</v>
      </c>
      <c r="J23" t="n">
        <v>0</v>
      </c>
      <c r="K23" t="n">
        <v>0</v>
      </c>
      <c r="L23" t="n">
        <v>0</v>
      </c>
      <c r="M23" t="n">
        <v>12</v>
      </c>
      <c r="N23" t="n">
        <v>-0.5</v>
      </c>
      <c r="O23" t="n">
        <v>-0.5</v>
      </c>
      <c r="P23" t="n">
        <v>74</v>
      </c>
      <c r="Q23" t="n">
        <v>12</v>
      </c>
      <c r="R23" t="s">
        <v>291</v>
      </c>
      <c r="S23" t="s">
        <v>299</v>
      </c>
      <c r="T23" t="n">
        <v>-0.75</v>
      </c>
    </row>
    <row r="24">
      <c r="A24" t="s">
        <v>31</v>
      </c>
      <c r="B24" t="n">
        <v>1.12</v>
      </c>
      <c r="C24" t="n">
        <v>0.91</v>
      </c>
      <c r="D24" t="n">
        <v>1.08</v>
      </c>
      <c r="E24" t="n">
        <v>-6</v>
      </c>
      <c r="F24" t="n">
        <v>-0.5</v>
      </c>
      <c r="G24" t="n">
        <v>4</v>
      </c>
      <c r="H24" t="n">
        <v>12</v>
      </c>
      <c r="I24" t="s">
        <v>293</v>
      </c>
      <c r="J24" t="n">
        <v>0</v>
      </c>
      <c r="K24" t="n">
        <v>0</v>
      </c>
      <c r="L24" t="n">
        <v>0</v>
      </c>
      <c r="M24" t="n">
        <v>12</v>
      </c>
      <c r="N24" t="n">
        <v>0</v>
      </c>
      <c r="O24" t="n">
        <v>-0.25</v>
      </c>
      <c r="P24" t="n">
        <v>179</v>
      </c>
      <c r="Q24" t="n">
        <v>12</v>
      </c>
      <c r="R24" t="s">
        <v>293</v>
      </c>
      <c r="S24" t="s">
        <v>291</v>
      </c>
      <c r="T24" t="n">
        <v>-0.25</v>
      </c>
    </row>
    <row r="25">
      <c r="A25" t="s">
        <v>31</v>
      </c>
      <c r="B25" t="n">
        <v>1.09</v>
      </c>
      <c r="C25" t="n">
        <v>0.91</v>
      </c>
      <c r="D25" t="n">
        <v>1.13</v>
      </c>
      <c r="E25" t="n">
        <v>-4.25</v>
      </c>
      <c r="F25" t="n">
        <v>-0.75</v>
      </c>
      <c r="G25" t="n">
        <v>159</v>
      </c>
      <c r="H25" t="n">
        <v>12</v>
      </c>
      <c r="I25" t="s">
        <v>293</v>
      </c>
      <c r="J25" t="n">
        <v>0</v>
      </c>
      <c r="K25" t="n">
        <v>0</v>
      </c>
      <c r="L25" t="n">
        <v>0</v>
      </c>
      <c r="M25" t="n">
        <v>12</v>
      </c>
      <c r="N25" t="n">
        <v>-0.5</v>
      </c>
      <c r="O25" t="n">
        <v>-0.25</v>
      </c>
      <c r="P25" t="n">
        <v>175</v>
      </c>
      <c r="Q25" t="n">
        <v>12</v>
      </c>
      <c r="R25" t="s">
        <v>297</v>
      </c>
      <c r="S25" t="s">
        <v>291</v>
      </c>
      <c r="T25" t="n">
        <v>-0.75</v>
      </c>
    </row>
    <row r="26">
      <c r="A26" t="s">
        <v>31</v>
      </c>
      <c r="B26" t="n">
        <v>0.94</v>
      </c>
      <c r="C26" t="n">
        <v>0.87</v>
      </c>
      <c r="D26" t="n">
        <v>0.93</v>
      </c>
      <c r="E26" t="n">
        <v>-4.75</v>
      </c>
      <c r="F26" t="n">
        <v>-1</v>
      </c>
      <c r="G26" t="n">
        <v>180</v>
      </c>
      <c r="H26" t="n">
        <v>12</v>
      </c>
      <c r="I26" t="s">
        <v>290</v>
      </c>
      <c r="J26" t="n">
        <v>0</v>
      </c>
      <c r="K26" t="n">
        <v>0</v>
      </c>
      <c r="L26" t="n">
        <v>0</v>
      </c>
      <c r="M26" t="n">
        <v>12</v>
      </c>
      <c r="N26" t="n">
        <v>0</v>
      </c>
      <c r="O26" t="n">
        <v>-0.25</v>
      </c>
      <c r="P26" t="n">
        <v>13</v>
      </c>
      <c r="Q26" t="n">
        <v>12</v>
      </c>
      <c r="R26" t="s">
        <v>291</v>
      </c>
      <c r="S26" t="s">
        <v>300</v>
      </c>
      <c r="T26" t="n">
        <v>0</v>
      </c>
    </row>
    <row r="27">
      <c r="A27" t="s">
        <v>31</v>
      </c>
      <c r="B27" t="n">
        <v>0.94</v>
      </c>
      <c r="C27" t="n">
        <v>0.8</v>
      </c>
      <c r="D27" t="n">
        <v>0.97</v>
      </c>
      <c r="E27" t="n">
        <v>-6</v>
      </c>
      <c r="F27" t="n">
        <v>-1.25</v>
      </c>
      <c r="G27" t="n">
        <v>179</v>
      </c>
      <c r="H27" t="n">
        <v>12</v>
      </c>
      <c r="I27" t="s">
        <v>290</v>
      </c>
      <c r="J27" t="n">
        <v>0</v>
      </c>
      <c r="K27" t="n">
        <v>0</v>
      </c>
      <c r="L27" t="n">
        <v>0</v>
      </c>
      <c r="M27" t="n">
        <v>12</v>
      </c>
      <c r="N27" t="n">
        <v>-0.5</v>
      </c>
      <c r="O27" t="n">
        <v>0</v>
      </c>
      <c r="P27" t="n">
        <v>12</v>
      </c>
      <c r="Q27" t="n">
        <v>12</v>
      </c>
      <c r="R27" t="s">
        <v>290</v>
      </c>
      <c r="S27" t="s">
        <v>292</v>
      </c>
      <c r="T27" t="n">
        <v>-0.5</v>
      </c>
    </row>
    <row r="28">
      <c r="A28" t="s">
        <v>31</v>
      </c>
      <c r="B28" t="n">
        <v>1.03</v>
      </c>
      <c r="C28" t="n">
        <v>0.88</v>
      </c>
      <c r="D28" t="n">
        <v>1.04</v>
      </c>
      <c r="E28" t="n">
        <v>-4.75</v>
      </c>
      <c r="F28" t="n">
        <v>-0.75</v>
      </c>
      <c r="G28" t="n">
        <v>6</v>
      </c>
      <c r="H28" t="n">
        <v>12</v>
      </c>
      <c r="I28" t="s">
        <v>288</v>
      </c>
      <c r="J28" t="n">
        <v>0</v>
      </c>
      <c r="K28" t="n">
        <v>0</v>
      </c>
      <c r="L28" t="n">
        <v>0</v>
      </c>
      <c r="M28" t="n">
        <v>12</v>
      </c>
      <c r="N28" t="n">
        <v>0.75</v>
      </c>
      <c r="O28" t="n">
        <v>0</v>
      </c>
      <c r="P28" t="n">
        <v>23</v>
      </c>
      <c r="Q28" t="n">
        <v>12</v>
      </c>
      <c r="R28" t="s">
        <v>288</v>
      </c>
      <c r="S28" t="s">
        <v>300</v>
      </c>
      <c r="T28" t="n">
        <v>0.75</v>
      </c>
    </row>
    <row r="29">
      <c r="A29" t="s">
        <v>31</v>
      </c>
      <c r="B29" t="n">
        <v>1.08</v>
      </c>
      <c r="C29" t="n">
        <v>0.88</v>
      </c>
      <c r="D29" t="n">
        <v>1.1</v>
      </c>
      <c r="E29" t="n">
        <v>-2.75</v>
      </c>
      <c r="F29" t="n">
        <v>-0.25</v>
      </c>
      <c r="G29" t="n">
        <v>157</v>
      </c>
      <c r="H29" t="n">
        <v>12</v>
      </c>
      <c r="I29" t="s">
        <v>293</v>
      </c>
      <c r="J29" t="n">
        <v>0</v>
      </c>
      <c r="K29" t="n">
        <v>0</v>
      </c>
      <c r="L29" t="n">
        <v>0</v>
      </c>
      <c r="M29" t="n">
        <v>12</v>
      </c>
      <c r="N29" t="n">
        <v>0.5</v>
      </c>
      <c r="O29" t="n">
        <v>-0.25</v>
      </c>
      <c r="P29" t="n">
        <v>128</v>
      </c>
      <c r="Q29" t="n">
        <v>12</v>
      </c>
      <c r="R29" t="s">
        <v>293</v>
      </c>
      <c r="S29" t="s">
        <v>300</v>
      </c>
      <c r="T29" t="n">
        <v>0.5</v>
      </c>
    </row>
    <row r="30">
      <c r="A30" t="s">
        <v>31</v>
      </c>
      <c r="B30" t="n">
        <v>1.05</v>
      </c>
      <c r="C30" t="n">
        <v>1.01</v>
      </c>
      <c r="D30" t="n">
        <v>1.07</v>
      </c>
      <c r="E30" t="n">
        <v>-5</v>
      </c>
      <c r="F30" t="n">
        <v>-1.5</v>
      </c>
      <c r="G30" t="n">
        <v>0</v>
      </c>
      <c r="H30" t="n">
        <v>12</v>
      </c>
      <c r="I30" t="s">
        <v>288</v>
      </c>
      <c r="J30" t="n">
        <v>0</v>
      </c>
      <c r="K30" t="n">
        <v>0</v>
      </c>
      <c r="L30" t="n">
        <v>0</v>
      </c>
      <c r="M30" t="n">
        <v>12</v>
      </c>
      <c r="N30" t="n">
        <v>0</v>
      </c>
      <c r="O30" t="n">
        <v>0</v>
      </c>
      <c r="P30" t="n">
        <v>5</v>
      </c>
      <c r="Q30" t="n">
        <v>12</v>
      </c>
      <c r="R30" t="s">
        <v>288</v>
      </c>
      <c r="S30" t="s">
        <v>289</v>
      </c>
      <c r="T30" t="n">
        <v>0</v>
      </c>
    </row>
    <row r="31">
      <c r="A31" t="s">
        <v>31</v>
      </c>
      <c r="B31" t="n">
        <v>1.07</v>
      </c>
      <c r="C31" t="n">
        <v>0.91</v>
      </c>
      <c r="D31" t="n">
        <v>1.02</v>
      </c>
      <c r="E31" t="n">
        <v>-2</v>
      </c>
      <c r="F31" t="n">
        <v>0</v>
      </c>
      <c r="G31" t="n">
        <v>100</v>
      </c>
      <c r="H31" t="n">
        <v>12</v>
      </c>
      <c r="I31" t="s">
        <v>288</v>
      </c>
      <c r="J31" t="n">
        <v>0</v>
      </c>
      <c r="K31" t="n">
        <v>0</v>
      </c>
      <c r="L31" t="n">
        <v>0</v>
      </c>
      <c r="M31" t="n">
        <v>12</v>
      </c>
      <c r="N31" t="n">
        <v>-0.5</v>
      </c>
      <c r="O31" t="n">
        <v>-0.5</v>
      </c>
      <c r="P31" t="n">
        <v>87</v>
      </c>
      <c r="Q31" t="n">
        <v>12</v>
      </c>
      <c r="R31" t="s">
        <v>289</v>
      </c>
      <c r="S31" t="s">
        <v>291</v>
      </c>
      <c r="T31" t="n">
        <v>-0.75</v>
      </c>
    </row>
    <row r="32">
      <c r="A32" t="s">
        <v>31</v>
      </c>
      <c r="B32" t="n">
        <v>0.94</v>
      </c>
      <c r="C32" t="n">
        <v>0.91</v>
      </c>
      <c r="D32" t="n">
        <v>0.94</v>
      </c>
      <c r="E32" t="n">
        <v>-6.25</v>
      </c>
      <c r="F32" t="n">
        <v>-0.75</v>
      </c>
      <c r="G32" t="n">
        <v>13</v>
      </c>
      <c r="H32" t="n">
        <v>12</v>
      </c>
      <c r="I32" t="s">
        <v>290</v>
      </c>
      <c r="J32" t="n">
        <v>0</v>
      </c>
      <c r="K32" t="n">
        <v>0</v>
      </c>
      <c r="L32" t="n">
        <v>0</v>
      </c>
      <c r="M32" t="n">
        <v>12</v>
      </c>
      <c r="N32" t="n">
        <v>0</v>
      </c>
      <c r="O32" t="n">
        <v>0</v>
      </c>
      <c r="P32" t="n">
        <v>9</v>
      </c>
      <c r="Q32" t="n">
        <v>12</v>
      </c>
      <c r="R32" t="s">
        <v>290</v>
      </c>
      <c r="S32" t="s">
        <v>291</v>
      </c>
      <c r="T32" t="n">
        <v>0</v>
      </c>
    </row>
    <row r="33">
      <c r="A33" t="s">
        <v>31</v>
      </c>
      <c r="B33" t="n">
        <v>1.01</v>
      </c>
      <c r="C33" t="n">
        <v>0.84</v>
      </c>
      <c r="D33" t="n">
        <v>0.98</v>
      </c>
      <c r="E33" t="n">
        <v>-5.25</v>
      </c>
      <c r="F33" t="n">
        <v>-0.5</v>
      </c>
      <c r="G33" t="n">
        <v>38</v>
      </c>
      <c r="H33" t="n">
        <v>12</v>
      </c>
      <c r="I33" t="s">
        <v>289</v>
      </c>
      <c r="J33" t="n">
        <v>0</v>
      </c>
      <c r="K33" t="n">
        <v>0</v>
      </c>
      <c r="L33" t="n">
        <v>0</v>
      </c>
      <c r="M33" t="n">
        <v>12</v>
      </c>
      <c r="N33" t="n">
        <v>0</v>
      </c>
      <c r="O33" t="n">
        <v>-0.5</v>
      </c>
      <c r="P33" t="n">
        <v>3</v>
      </c>
      <c r="Q33" t="n">
        <v>12</v>
      </c>
      <c r="R33" t="s">
        <v>289</v>
      </c>
      <c r="S33" t="s">
        <v>298</v>
      </c>
      <c r="T33" t="n">
        <v>-0.25</v>
      </c>
    </row>
    <row r="34">
      <c r="A34" t="s">
        <v>31</v>
      </c>
      <c r="B34" t="n">
        <v>0.97</v>
      </c>
      <c r="C34" t="n">
        <v>0.78</v>
      </c>
      <c r="D34" t="n">
        <v>0.93</v>
      </c>
      <c r="E34" t="n">
        <v>-5.5</v>
      </c>
      <c r="F34" t="n">
        <v>-0.5</v>
      </c>
      <c r="G34" t="n">
        <v>179</v>
      </c>
      <c r="H34" t="n">
        <v>12</v>
      </c>
      <c r="I34" t="s">
        <v>290</v>
      </c>
      <c r="J34" t="n">
        <v>0</v>
      </c>
      <c r="K34" t="n">
        <v>0</v>
      </c>
      <c r="L34" t="n">
        <v>0</v>
      </c>
      <c r="M34" t="n">
        <v>12</v>
      </c>
      <c r="N34" t="n">
        <v>-0.5</v>
      </c>
      <c r="O34" t="n">
        <v>-0.75</v>
      </c>
      <c r="P34" t="n">
        <v>0</v>
      </c>
      <c r="Q34" t="n">
        <v>12</v>
      </c>
      <c r="R34" t="s">
        <v>291</v>
      </c>
      <c r="S34" t="s">
        <v>292</v>
      </c>
      <c r="T34" t="n">
        <v>-1</v>
      </c>
    </row>
    <row r="35">
      <c r="A35" t="s">
        <v>31</v>
      </c>
      <c r="B35" t="n">
        <v>1.01</v>
      </c>
      <c r="C35" t="n">
        <v>1.12</v>
      </c>
      <c r="D35" t="n">
        <v>1.07</v>
      </c>
      <c r="E35" t="n">
        <v>-5.5</v>
      </c>
      <c r="F35" t="n">
        <v>-0.75</v>
      </c>
      <c r="G35" t="n">
        <v>21</v>
      </c>
      <c r="H35" t="n">
        <v>12</v>
      </c>
      <c r="I35" t="s">
        <v>289</v>
      </c>
      <c r="J35" t="n">
        <v>0</v>
      </c>
      <c r="K35" t="n">
        <v>0</v>
      </c>
      <c r="L35" t="n">
        <v>0</v>
      </c>
      <c r="M35" t="n">
        <v>12</v>
      </c>
      <c r="N35" t="n">
        <v>0.5</v>
      </c>
      <c r="O35" t="n">
        <v>-0.5</v>
      </c>
      <c r="P35" t="n">
        <v>28</v>
      </c>
      <c r="Q35" t="n">
        <v>12</v>
      </c>
      <c r="R35" t="s">
        <v>288</v>
      </c>
      <c r="S35" t="s">
        <v>293</v>
      </c>
      <c r="T35" t="n">
        <v>0.25</v>
      </c>
    </row>
    <row r="36">
      <c r="A36" t="s">
        <v>31</v>
      </c>
      <c r="B36" t="n">
        <v>1</v>
      </c>
      <c r="C36" t="n">
        <v>0.94</v>
      </c>
      <c r="D36" t="n">
        <v>0.96</v>
      </c>
      <c r="E36" t="n">
        <v>-2.75</v>
      </c>
      <c r="F36" t="n">
        <v>-1</v>
      </c>
      <c r="G36" t="n">
        <v>77</v>
      </c>
      <c r="H36" t="n">
        <v>12</v>
      </c>
      <c r="I36" t="s">
        <v>289</v>
      </c>
      <c r="J36" t="n">
        <v>0</v>
      </c>
      <c r="K36" t="n">
        <v>0</v>
      </c>
      <c r="L36" t="n">
        <v>0</v>
      </c>
      <c r="M36" t="n">
        <v>12</v>
      </c>
      <c r="N36" t="n">
        <v>0</v>
      </c>
      <c r="O36" t="n">
        <v>0</v>
      </c>
      <c r="P36" t="n">
        <v>72</v>
      </c>
      <c r="Q36" t="n">
        <v>12</v>
      </c>
      <c r="R36" t="s">
        <v>290</v>
      </c>
      <c r="S36" t="s">
        <v>290</v>
      </c>
      <c r="T36" t="n">
        <v>0</v>
      </c>
    </row>
    <row r="37">
      <c r="A37" t="s">
        <v>31</v>
      </c>
      <c r="B37" t="n">
        <v>1.15</v>
      </c>
      <c r="C37" t="n">
        <v>0.83</v>
      </c>
      <c r="D37" t="n">
        <v>1.08</v>
      </c>
      <c r="E37" t="n">
        <v>-4.5</v>
      </c>
      <c r="F37" t="n">
        <v>-2.5</v>
      </c>
      <c r="G37" t="n">
        <v>104</v>
      </c>
      <c r="H37" t="n">
        <v>12</v>
      </c>
      <c r="I37" t="s">
        <v>297</v>
      </c>
      <c r="J37" t="n">
        <v>0</v>
      </c>
      <c r="K37" t="n">
        <v>0</v>
      </c>
      <c r="L37" t="n">
        <v>0</v>
      </c>
      <c r="M37" t="n">
        <v>12</v>
      </c>
      <c r="N37" t="n">
        <v>1</v>
      </c>
      <c r="O37" t="n">
        <v>-0.25</v>
      </c>
      <c r="P37" t="n">
        <v>105</v>
      </c>
      <c r="Q37" t="n">
        <v>12</v>
      </c>
      <c r="R37" t="s">
        <v>293</v>
      </c>
      <c r="S37" t="s">
        <v>298</v>
      </c>
      <c r="T37" t="n">
        <v>0.75</v>
      </c>
    </row>
    <row r="38">
      <c r="A38" t="s">
        <v>31</v>
      </c>
      <c r="B38" t="n">
        <v>0.94</v>
      </c>
      <c r="C38" t="n">
        <v>0.77</v>
      </c>
      <c r="D38" t="n">
        <v>0.94</v>
      </c>
      <c r="E38" t="n">
        <v>-4.25</v>
      </c>
      <c r="F38" t="n">
        <v>-0.25</v>
      </c>
      <c r="G38" t="n">
        <v>10</v>
      </c>
      <c r="H38" t="n">
        <v>12</v>
      </c>
      <c r="I38" t="s">
        <v>290</v>
      </c>
      <c r="J38" t="n">
        <v>0</v>
      </c>
      <c r="K38" t="n">
        <v>0</v>
      </c>
      <c r="L38" t="n">
        <v>0</v>
      </c>
      <c r="M38" t="n">
        <v>12</v>
      </c>
      <c r="N38" t="n">
        <v>-0.5</v>
      </c>
      <c r="O38" t="n">
        <v>-0.25</v>
      </c>
      <c r="P38" t="n">
        <v>172</v>
      </c>
      <c r="Q38" t="n">
        <v>12</v>
      </c>
      <c r="R38" t="s">
        <v>290</v>
      </c>
      <c r="S38" t="s">
        <v>301</v>
      </c>
      <c r="T38" t="n">
        <v>-0.5</v>
      </c>
    </row>
    <row r="39">
      <c r="A39" t="s">
        <v>31</v>
      </c>
      <c r="B39" t="n">
        <v>1.04</v>
      </c>
      <c r="C39" t="n">
        <v>0.85</v>
      </c>
      <c r="D39" t="n">
        <v>1.11</v>
      </c>
      <c r="E39" t="n">
        <v>-5.75</v>
      </c>
      <c r="F39" t="n">
        <v>-0.5</v>
      </c>
      <c r="G39" t="n">
        <v>87</v>
      </c>
      <c r="H39" t="n">
        <v>12</v>
      </c>
      <c r="I39" t="s">
        <v>288</v>
      </c>
      <c r="J39" t="n">
        <v>0</v>
      </c>
      <c r="K39" t="n">
        <v>0</v>
      </c>
      <c r="L39" t="n">
        <v>0</v>
      </c>
      <c r="M39" t="n">
        <v>12</v>
      </c>
      <c r="N39" t="n">
        <v>-0.5</v>
      </c>
      <c r="O39" t="n">
        <v>-0.25</v>
      </c>
      <c r="P39" t="n">
        <v>90</v>
      </c>
      <c r="Q39" t="n">
        <v>12</v>
      </c>
      <c r="R39" t="s">
        <v>293</v>
      </c>
      <c r="S39" t="s">
        <v>298</v>
      </c>
      <c r="T39" t="n">
        <v>-0.75</v>
      </c>
    </row>
    <row r="40">
      <c r="A40" t="s">
        <v>31</v>
      </c>
      <c r="B40" t="n">
        <v>1.13</v>
      </c>
      <c r="C40" t="n">
        <v>1.04</v>
      </c>
      <c r="D40" t="n">
        <v>1.08</v>
      </c>
      <c r="E40" t="n">
        <v>-3.5</v>
      </c>
      <c r="F40" t="n">
        <v>-1.25</v>
      </c>
      <c r="G40" t="n">
        <v>165</v>
      </c>
      <c r="H40" t="n">
        <v>12</v>
      </c>
      <c r="I40" t="s">
        <v>297</v>
      </c>
      <c r="J40" t="n">
        <v>0</v>
      </c>
      <c r="K40" t="n">
        <v>0</v>
      </c>
      <c r="L40" t="n">
        <v>0</v>
      </c>
      <c r="M40" t="n">
        <v>12</v>
      </c>
      <c r="N40" t="n">
        <v>0.5</v>
      </c>
      <c r="O40" t="n">
        <v>-0.25</v>
      </c>
      <c r="P40" t="n">
        <v>156</v>
      </c>
      <c r="Q40" t="n">
        <v>12</v>
      </c>
      <c r="R40" t="s">
        <v>293</v>
      </c>
      <c r="S40" t="s">
        <v>288</v>
      </c>
      <c r="T40" t="n">
        <v>0.25</v>
      </c>
    </row>
    <row r="41">
      <c r="A41" t="s">
        <v>31</v>
      </c>
      <c r="B41" t="n">
        <v>1.05</v>
      </c>
      <c r="C41" t="n">
        <v>0.87</v>
      </c>
      <c r="D41" t="n">
        <v>1.08</v>
      </c>
      <c r="E41" t="n">
        <v>0</v>
      </c>
      <c r="F41" t="n">
        <v>-1.25</v>
      </c>
      <c r="G41" t="n">
        <v>13</v>
      </c>
      <c r="H41" t="n">
        <v>12</v>
      </c>
      <c r="I41" t="s">
        <v>288</v>
      </c>
      <c r="J41" t="n">
        <v>0</v>
      </c>
      <c r="K41" t="n">
        <v>0</v>
      </c>
      <c r="L41" t="n">
        <v>0</v>
      </c>
      <c r="M41" t="n">
        <v>12</v>
      </c>
      <c r="N41" t="n">
        <v>0</v>
      </c>
      <c r="O41" t="n">
        <v>-0.5</v>
      </c>
      <c r="P41" t="n">
        <v>164</v>
      </c>
      <c r="Q41" t="n">
        <v>12</v>
      </c>
      <c r="R41" t="s">
        <v>293</v>
      </c>
      <c r="S41" t="s">
        <v>300</v>
      </c>
      <c r="T41" t="n">
        <v>-0.25</v>
      </c>
    </row>
    <row r="42">
      <c r="A42" t="s">
        <v>31</v>
      </c>
      <c r="B42" t="n">
        <v>0.91</v>
      </c>
      <c r="C42" t="n">
        <v>0.79</v>
      </c>
      <c r="D42" t="n">
        <v>0.88</v>
      </c>
      <c r="E42" t="n">
        <v>-6.75</v>
      </c>
      <c r="F42" t="n">
        <v>0</v>
      </c>
      <c r="G42" t="n">
        <v>84</v>
      </c>
      <c r="H42" t="n">
        <v>12</v>
      </c>
      <c r="I42" t="s">
        <v>291</v>
      </c>
      <c r="J42" t="n">
        <v>0</v>
      </c>
      <c r="K42" t="n">
        <v>0</v>
      </c>
      <c r="L42" t="n">
        <v>0</v>
      </c>
      <c r="M42" t="n">
        <v>12</v>
      </c>
      <c r="N42" t="n">
        <v>0</v>
      </c>
      <c r="O42" t="n">
        <v>-0.25</v>
      </c>
      <c r="P42" t="n">
        <v>161</v>
      </c>
      <c r="Q42" t="n">
        <v>12</v>
      </c>
      <c r="R42" t="s">
        <v>300</v>
      </c>
      <c r="S42" t="s">
        <v>292</v>
      </c>
      <c r="T42" t="n">
        <v>0</v>
      </c>
    </row>
    <row r="43">
      <c r="A43" t="s">
        <v>31</v>
      </c>
      <c r="B43" t="n">
        <v>0.98</v>
      </c>
      <c r="C43" t="n">
        <v>0.8</v>
      </c>
      <c r="D43" t="n">
        <v>0.95</v>
      </c>
      <c r="E43" t="n">
        <v>-3.25</v>
      </c>
      <c r="F43" t="n">
        <v>-1</v>
      </c>
      <c r="G43" t="n">
        <v>176</v>
      </c>
      <c r="H43" t="n">
        <v>12</v>
      </c>
      <c r="I43" t="s">
        <v>289</v>
      </c>
      <c r="J43" t="n">
        <v>0</v>
      </c>
      <c r="K43" t="n">
        <v>0</v>
      </c>
      <c r="L43" t="n">
        <v>0</v>
      </c>
      <c r="M43" t="n">
        <v>12</v>
      </c>
      <c r="N43" t="n">
        <v>-0.5</v>
      </c>
      <c r="O43" t="n">
        <v>-0.25</v>
      </c>
      <c r="P43" t="n">
        <v>31</v>
      </c>
      <c r="Q43" t="n">
        <v>12</v>
      </c>
      <c r="R43" t="s">
        <v>290</v>
      </c>
      <c r="S43" t="s">
        <v>292</v>
      </c>
      <c r="T43" t="n">
        <v>-0.5</v>
      </c>
    </row>
    <row r="44">
      <c r="A44" t="s">
        <v>31</v>
      </c>
      <c r="B44" t="n">
        <v>0.95</v>
      </c>
      <c r="C44" t="n">
        <v>0.89</v>
      </c>
      <c r="D44" t="n">
        <v>0.94</v>
      </c>
      <c r="E44" t="n">
        <v>-3.5</v>
      </c>
      <c r="F44" t="n">
        <v>-2.75</v>
      </c>
      <c r="G44" t="n">
        <v>8</v>
      </c>
      <c r="H44" t="n">
        <v>12</v>
      </c>
      <c r="I44" t="s">
        <v>290</v>
      </c>
      <c r="J44" t="n">
        <v>0</v>
      </c>
      <c r="K44" t="n">
        <v>0</v>
      </c>
      <c r="L44" t="n">
        <v>0</v>
      </c>
      <c r="M44" t="n">
        <v>12</v>
      </c>
      <c r="N44" t="n">
        <v>0</v>
      </c>
      <c r="O44" t="n">
        <v>-0.25</v>
      </c>
      <c r="P44" t="n">
        <v>177</v>
      </c>
      <c r="Q44" t="n">
        <v>12</v>
      </c>
      <c r="R44" t="s">
        <v>290</v>
      </c>
      <c r="S44" t="s">
        <v>300</v>
      </c>
      <c r="T44" t="n">
        <v>-0.25</v>
      </c>
    </row>
    <row r="45">
      <c r="A45" t="s">
        <v>31</v>
      </c>
      <c r="B45" t="n">
        <v>0.97</v>
      </c>
      <c r="C45" t="n">
        <v>0.77</v>
      </c>
      <c r="D45" t="n">
        <v>0.93</v>
      </c>
      <c r="E45" t="n">
        <v>-3.5</v>
      </c>
      <c r="F45" t="n">
        <v>0</v>
      </c>
      <c r="G45" t="n">
        <v>174</v>
      </c>
      <c r="H45" t="n">
        <v>12</v>
      </c>
      <c r="I45" t="s">
        <v>290</v>
      </c>
      <c r="J45" t="n">
        <v>0</v>
      </c>
      <c r="K45" t="n">
        <v>0</v>
      </c>
      <c r="L45" t="n">
        <v>0</v>
      </c>
      <c r="M45" t="n">
        <v>12</v>
      </c>
      <c r="N45" t="n">
        <v>0.5</v>
      </c>
      <c r="O45" t="n">
        <v>-0.25</v>
      </c>
      <c r="P45" t="n">
        <v>116</v>
      </c>
      <c r="Q45" t="n">
        <v>12</v>
      </c>
      <c r="R45" t="s">
        <v>291</v>
      </c>
      <c r="S45" t="s">
        <v>301</v>
      </c>
      <c r="T45" t="n">
        <v>0.25</v>
      </c>
    </row>
    <row r="46">
      <c r="A46" t="s">
        <v>31</v>
      </c>
      <c r="B46" t="n">
        <v>1.04</v>
      </c>
      <c r="C46" t="n">
        <v>0.87</v>
      </c>
      <c r="D46" t="n">
        <v>1</v>
      </c>
      <c r="E46" t="n">
        <v>-0.75</v>
      </c>
      <c r="F46" t="n">
        <v>-0.75</v>
      </c>
      <c r="G46" t="n">
        <v>103</v>
      </c>
      <c r="H46" t="n">
        <v>12</v>
      </c>
      <c r="I46" t="s">
        <v>288</v>
      </c>
      <c r="J46" t="n">
        <v>0</v>
      </c>
      <c r="K46" t="n">
        <v>0</v>
      </c>
      <c r="L46" t="n">
        <v>0</v>
      </c>
      <c r="M46" t="n">
        <v>12</v>
      </c>
      <c r="N46" t="n">
        <v>0</v>
      </c>
      <c r="O46" t="n">
        <v>0</v>
      </c>
      <c r="P46" t="n">
        <v>88</v>
      </c>
      <c r="Q46" t="n">
        <v>12</v>
      </c>
      <c r="R46" t="s">
        <v>289</v>
      </c>
      <c r="S46" t="s">
        <v>300</v>
      </c>
      <c r="T46" t="n">
        <v>0</v>
      </c>
    </row>
    <row r="47">
      <c r="A47" t="s">
        <v>31</v>
      </c>
      <c r="B47" t="n">
        <v>1.01</v>
      </c>
      <c r="C47" t="n">
        <v>0.85</v>
      </c>
      <c r="D47" t="n">
        <v>0.99</v>
      </c>
      <c r="E47" t="n">
        <v>-6</v>
      </c>
      <c r="F47" t="n">
        <v>-0.5</v>
      </c>
      <c r="G47" t="n">
        <v>2</v>
      </c>
      <c r="H47" t="n">
        <v>12</v>
      </c>
      <c r="I47" t="s">
        <v>289</v>
      </c>
      <c r="J47" t="n">
        <v>0</v>
      </c>
      <c r="K47" t="n">
        <v>0</v>
      </c>
      <c r="L47" t="n">
        <v>0</v>
      </c>
      <c r="M47" t="n">
        <v>12</v>
      </c>
      <c r="N47" t="n">
        <v>-0.5</v>
      </c>
      <c r="O47" t="n">
        <v>-0.25</v>
      </c>
      <c r="P47" t="n">
        <v>0</v>
      </c>
      <c r="Q47" t="n">
        <v>12</v>
      </c>
      <c r="R47" t="s">
        <v>289</v>
      </c>
      <c r="S47" t="s">
        <v>298</v>
      </c>
      <c r="T47" t="n">
        <v>-0.5</v>
      </c>
    </row>
    <row r="48">
      <c r="A48" t="s">
        <v>31</v>
      </c>
      <c r="B48" t="n">
        <v>0.96</v>
      </c>
      <c r="C48" t="n">
        <v>0.81</v>
      </c>
      <c r="D48" t="n">
        <v>0.96</v>
      </c>
      <c r="E48" t="n">
        <v>-2.5</v>
      </c>
      <c r="F48" t="n">
        <v>-0.75</v>
      </c>
      <c r="G48" t="n">
        <v>81</v>
      </c>
      <c r="H48" t="n">
        <v>12</v>
      </c>
      <c r="I48" t="s">
        <v>290</v>
      </c>
      <c r="J48" t="n">
        <v>0</v>
      </c>
      <c r="K48" t="n">
        <v>0</v>
      </c>
      <c r="L48" t="n">
        <v>0</v>
      </c>
      <c r="M48" t="n">
        <v>12</v>
      </c>
      <c r="N48" t="n">
        <v>-0.25</v>
      </c>
      <c r="O48" t="n">
        <v>-0.5</v>
      </c>
      <c r="P48" t="n">
        <v>85</v>
      </c>
      <c r="Q48" t="n">
        <v>12</v>
      </c>
      <c r="R48" t="s">
        <v>290</v>
      </c>
      <c r="S48" t="s">
        <v>292</v>
      </c>
      <c r="T48" t="n">
        <v>-0.5</v>
      </c>
    </row>
    <row r="49">
      <c r="A49" t="s">
        <v>31</v>
      </c>
      <c r="B49" t="n">
        <v>1.06</v>
      </c>
      <c r="C49" t="n">
        <v>1</v>
      </c>
      <c r="D49" t="n">
        <v>1.14</v>
      </c>
      <c r="E49" t="n">
        <v>-1</v>
      </c>
      <c r="F49" t="n">
        <v>-1.5</v>
      </c>
      <c r="G49" t="n">
        <v>165</v>
      </c>
      <c r="H49" t="n">
        <v>12</v>
      </c>
      <c r="I49" t="s">
        <v>288</v>
      </c>
      <c r="J49" t="n">
        <v>0</v>
      </c>
      <c r="K49" t="n">
        <v>0</v>
      </c>
      <c r="L49" t="n">
        <v>0</v>
      </c>
      <c r="M49" t="n">
        <v>12</v>
      </c>
      <c r="N49" t="n">
        <v>0</v>
      </c>
      <c r="O49" t="n">
        <v>-0.5</v>
      </c>
      <c r="P49" t="n">
        <v>179</v>
      </c>
      <c r="Q49" t="n">
        <v>12</v>
      </c>
      <c r="R49" t="s">
        <v>297</v>
      </c>
      <c r="S49" t="s">
        <v>289</v>
      </c>
      <c r="T49" t="n">
        <v>-0.25</v>
      </c>
    </row>
    <row r="50">
      <c r="A50" t="s">
        <v>31</v>
      </c>
      <c r="B50" t="n">
        <v>1</v>
      </c>
      <c r="C50" t="n">
        <v>0.93</v>
      </c>
      <c r="D50" t="n">
        <v>1</v>
      </c>
      <c r="E50" t="n">
        <v>-2</v>
      </c>
      <c r="F50" t="n">
        <v>-1.25</v>
      </c>
      <c r="G50" t="n">
        <v>102</v>
      </c>
      <c r="H50" t="n">
        <v>12</v>
      </c>
      <c r="I50" t="s">
        <v>289</v>
      </c>
      <c r="J50" t="n">
        <v>0</v>
      </c>
      <c r="K50" t="n">
        <v>0</v>
      </c>
      <c r="L50" t="n">
        <v>0</v>
      </c>
      <c r="M50" t="n">
        <v>12</v>
      </c>
      <c r="N50" t="n">
        <v>0.25</v>
      </c>
      <c r="O50" t="n">
        <v>-0.5</v>
      </c>
      <c r="P50" t="n">
        <v>100</v>
      </c>
      <c r="Q50" t="n">
        <v>12</v>
      </c>
      <c r="R50" t="s">
        <v>289</v>
      </c>
      <c r="S50" t="s">
        <v>291</v>
      </c>
      <c r="T50" t="n">
        <v>0</v>
      </c>
    </row>
    <row r="51">
      <c r="A51" t="s">
        <v>31</v>
      </c>
      <c r="B51" t="n">
        <v>1.05</v>
      </c>
      <c r="C51" t="n">
        <v>0.94</v>
      </c>
      <c r="D51" t="n">
        <v>1</v>
      </c>
      <c r="E51" t="n">
        <v>-5.75</v>
      </c>
      <c r="F51" t="n">
        <v>-0.5</v>
      </c>
      <c r="G51" t="n">
        <v>18</v>
      </c>
      <c r="H51" t="n">
        <v>12</v>
      </c>
      <c r="I51" t="s">
        <v>288</v>
      </c>
      <c r="J51" t="n">
        <v>0</v>
      </c>
      <c r="K51" t="n">
        <v>0</v>
      </c>
      <c r="L51" t="n">
        <v>0</v>
      </c>
      <c r="M51" t="n">
        <v>12</v>
      </c>
      <c r="N51" t="n">
        <v>0</v>
      </c>
      <c r="O51" t="n">
        <v>-0.25</v>
      </c>
      <c r="P51" t="n">
        <v>166</v>
      </c>
      <c r="Q51" t="n">
        <v>12</v>
      </c>
      <c r="R51" t="s">
        <v>289</v>
      </c>
      <c r="S51" t="s">
        <v>290</v>
      </c>
      <c r="T51" t="n">
        <v>0</v>
      </c>
    </row>
    <row r="52">
      <c r="A52" t="s">
        <v>31</v>
      </c>
      <c r="B52" t="n">
        <v>1.01</v>
      </c>
      <c r="C52" t="n">
        <v>0.96</v>
      </c>
      <c r="D52" t="n">
        <v>1</v>
      </c>
      <c r="E52" t="n">
        <v>-3.75</v>
      </c>
      <c r="F52" t="n">
        <v>-0.5</v>
      </c>
      <c r="G52" t="n">
        <v>167</v>
      </c>
      <c r="H52" t="n">
        <v>12</v>
      </c>
      <c r="I52" t="s">
        <v>289</v>
      </c>
      <c r="J52" t="n">
        <v>0</v>
      </c>
      <c r="K52" t="n">
        <v>0</v>
      </c>
      <c r="L52" t="n">
        <v>0</v>
      </c>
      <c r="M52" t="n">
        <v>12</v>
      </c>
      <c r="N52" t="n">
        <v>-0.25</v>
      </c>
      <c r="O52" t="n">
        <v>0</v>
      </c>
      <c r="P52" t="n">
        <v>64</v>
      </c>
      <c r="Q52" t="n">
        <v>12</v>
      </c>
      <c r="R52" t="s">
        <v>289</v>
      </c>
      <c r="S52" t="s">
        <v>290</v>
      </c>
      <c r="T52" t="n">
        <v>-0.25</v>
      </c>
    </row>
    <row r="53">
      <c r="A53" t="s">
        <v>31</v>
      </c>
      <c r="B53" t="n">
        <v>1.01</v>
      </c>
      <c r="C53" t="n">
        <v>0.73</v>
      </c>
      <c r="D53" t="n">
        <v>0.96</v>
      </c>
      <c r="E53" t="n">
        <v>-1.25</v>
      </c>
      <c r="F53" t="n">
        <v>0</v>
      </c>
      <c r="G53" t="n">
        <v>178</v>
      </c>
      <c r="H53" t="n">
        <v>12</v>
      </c>
      <c r="I53" t="s">
        <v>289</v>
      </c>
      <c r="J53" t="n">
        <v>0</v>
      </c>
      <c r="K53" t="n">
        <v>0</v>
      </c>
      <c r="L53" t="n">
        <v>0</v>
      </c>
      <c r="M53" t="n">
        <v>12</v>
      </c>
      <c r="N53" t="n">
        <v>0.5</v>
      </c>
      <c r="O53" t="n">
        <v>-0.25</v>
      </c>
      <c r="P53" t="n">
        <v>41</v>
      </c>
      <c r="Q53" t="n">
        <v>12</v>
      </c>
      <c r="R53" t="s">
        <v>290</v>
      </c>
      <c r="S53" t="s">
        <v>302</v>
      </c>
      <c r="T53" t="n">
        <v>0.5</v>
      </c>
    </row>
    <row r="54">
      <c r="A54" t="s">
        <v>31</v>
      </c>
      <c r="B54" t="n">
        <v>0.94</v>
      </c>
      <c r="C54" t="n">
        <v>0.79</v>
      </c>
      <c r="D54" t="n">
        <v>0.89</v>
      </c>
      <c r="E54" t="n">
        <v>-5</v>
      </c>
      <c r="F54" t="n">
        <v>-1</v>
      </c>
      <c r="G54" t="n">
        <v>18</v>
      </c>
      <c r="H54" t="n">
        <v>12</v>
      </c>
      <c r="I54" t="s">
        <v>290</v>
      </c>
      <c r="J54" t="n">
        <v>0</v>
      </c>
      <c r="K54" t="n">
        <v>0</v>
      </c>
      <c r="L54" t="n">
        <v>0</v>
      </c>
      <c r="M54" t="n">
        <v>12</v>
      </c>
      <c r="N54" t="n">
        <v>-0.5</v>
      </c>
      <c r="O54" t="n">
        <v>-0.25</v>
      </c>
      <c r="P54" t="n">
        <v>174</v>
      </c>
      <c r="Q54" t="n">
        <v>12</v>
      </c>
      <c r="R54" t="s">
        <v>300</v>
      </c>
      <c r="S54" t="s">
        <v>292</v>
      </c>
      <c r="T54" t="n">
        <v>-0.5</v>
      </c>
    </row>
    <row r="55">
      <c r="A55" t="s">
        <v>31</v>
      </c>
      <c r="B55" t="n">
        <v>1.25</v>
      </c>
      <c r="C55" t="n">
        <v>1.24</v>
      </c>
      <c r="D55" t="n">
        <v>1.28</v>
      </c>
      <c r="E55" t="n">
        <v>-0.5</v>
      </c>
      <c r="F55" t="n">
        <v>-2.75</v>
      </c>
      <c r="G55" t="n">
        <v>20</v>
      </c>
      <c r="H55" t="n">
        <v>12</v>
      </c>
      <c r="I55" t="s">
        <v>296</v>
      </c>
      <c r="J55" t="n">
        <v>0</v>
      </c>
      <c r="K55" t="n">
        <v>0</v>
      </c>
      <c r="L55" t="n">
        <v>0</v>
      </c>
      <c r="M55" t="n">
        <v>12</v>
      </c>
      <c r="N55" t="n">
        <v>-0.25</v>
      </c>
      <c r="O55" t="n">
        <v>0</v>
      </c>
      <c r="P55" t="n">
        <v>26</v>
      </c>
      <c r="Q55" t="n">
        <v>12</v>
      </c>
      <c r="R55" t="s">
        <v>296</v>
      </c>
      <c r="S55" t="s">
        <v>296</v>
      </c>
      <c r="T55" t="n">
        <v>-0.25</v>
      </c>
    </row>
    <row r="56">
      <c r="A56" t="s">
        <v>31</v>
      </c>
      <c r="B56" t="n">
        <v>1</v>
      </c>
      <c r="C56" t="n">
        <v>0.95</v>
      </c>
      <c r="D56" t="n">
        <v>0.97</v>
      </c>
      <c r="E56" t="n">
        <v>-4.75</v>
      </c>
      <c r="F56" t="n">
        <v>-0.5</v>
      </c>
      <c r="G56" t="n">
        <v>12</v>
      </c>
      <c r="H56" t="n">
        <v>12</v>
      </c>
      <c r="I56" t="s">
        <v>289</v>
      </c>
      <c r="J56" t="n">
        <v>0</v>
      </c>
      <c r="K56" t="n">
        <v>0</v>
      </c>
      <c r="L56" t="n">
        <v>0</v>
      </c>
      <c r="M56" t="n">
        <v>12</v>
      </c>
      <c r="N56" t="n">
        <v>0</v>
      </c>
      <c r="O56" t="n">
        <v>-0.25</v>
      </c>
      <c r="P56" t="n">
        <v>54</v>
      </c>
      <c r="Q56" t="n">
        <v>12</v>
      </c>
      <c r="R56" t="s">
        <v>290</v>
      </c>
      <c r="S56" t="s">
        <v>290</v>
      </c>
      <c r="T56" t="n">
        <v>0</v>
      </c>
    </row>
    <row r="57">
      <c r="A57" t="s">
        <v>31</v>
      </c>
      <c r="B57" t="n">
        <v>0.91</v>
      </c>
      <c r="C57" t="n">
        <v>0.83</v>
      </c>
      <c r="D57" t="n">
        <v>0.95</v>
      </c>
      <c r="E57" t="n">
        <v>-2.5</v>
      </c>
      <c r="F57" t="n">
        <v>-0.25</v>
      </c>
      <c r="G57" t="n">
        <v>37</v>
      </c>
      <c r="H57" t="n">
        <v>12</v>
      </c>
      <c r="I57" t="s">
        <v>291</v>
      </c>
      <c r="J57" t="n">
        <v>0</v>
      </c>
      <c r="K57" t="n">
        <v>0</v>
      </c>
      <c r="L57" t="n">
        <v>0</v>
      </c>
      <c r="M57" t="n">
        <v>12</v>
      </c>
      <c r="N57" t="n">
        <v>0</v>
      </c>
      <c r="O57" t="n">
        <v>-0.25</v>
      </c>
      <c r="P57" t="n">
        <v>48</v>
      </c>
      <c r="Q57" t="n">
        <v>12</v>
      </c>
      <c r="R57" t="s">
        <v>290</v>
      </c>
      <c r="S57" t="s">
        <v>298</v>
      </c>
      <c r="T57" t="n">
        <v>-0.25</v>
      </c>
    </row>
    <row r="58">
      <c r="A58" t="s">
        <v>31</v>
      </c>
      <c r="B58" t="n">
        <v>1.14</v>
      </c>
      <c r="C58" t="n">
        <v>0.81</v>
      </c>
      <c r="D58" t="n">
        <v>1.1</v>
      </c>
      <c r="E58" t="n">
        <v>-4.75</v>
      </c>
      <c r="F58" t="n">
        <v>-1</v>
      </c>
      <c r="G58" t="n">
        <v>12</v>
      </c>
      <c r="H58" t="n">
        <v>12</v>
      </c>
      <c r="I58" t="s">
        <v>297</v>
      </c>
      <c r="J58" t="n">
        <v>0</v>
      </c>
      <c r="K58" t="n">
        <v>0</v>
      </c>
      <c r="L58" t="n">
        <v>0</v>
      </c>
      <c r="M58" t="n">
        <v>12</v>
      </c>
      <c r="N58" t="n">
        <v>-1</v>
      </c>
      <c r="O58" t="n">
        <v>-0.25</v>
      </c>
      <c r="P58" t="n">
        <v>32</v>
      </c>
      <c r="Q58" t="n">
        <v>12</v>
      </c>
      <c r="R58" t="s">
        <v>293</v>
      </c>
      <c r="S58" t="s">
        <v>292</v>
      </c>
      <c r="T58" t="n">
        <v>-1</v>
      </c>
    </row>
    <row r="59">
      <c r="A59" t="s">
        <v>31</v>
      </c>
      <c r="B59" t="n">
        <v>1</v>
      </c>
      <c r="C59" t="n">
        <v>0.92</v>
      </c>
      <c r="D59" t="n">
        <v>0.95</v>
      </c>
      <c r="E59" t="n">
        <v>-3.25</v>
      </c>
      <c r="F59" t="n">
        <v>-0.75</v>
      </c>
      <c r="G59" t="n">
        <v>180</v>
      </c>
      <c r="H59" t="n">
        <v>12</v>
      </c>
      <c r="I59" t="s">
        <v>289</v>
      </c>
      <c r="J59" t="n">
        <v>0</v>
      </c>
      <c r="K59" t="n">
        <v>0</v>
      </c>
      <c r="L59" t="n">
        <v>0</v>
      </c>
      <c r="M59" t="n">
        <v>12</v>
      </c>
      <c r="N59" t="n">
        <v>-0.25</v>
      </c>
      <c r="O59" t="n">
        <v>-0.5</v>
      </c>
      <c r="P59" t="n">
        <v>167</v>
      </c>
      <c r="Q59" t="n">
        <v>12</v>
      </c>
      <c r="R59" t="s">
        <v>290</v>
      </c>
      <c r="S59" t="s">
        <v>291</v>
      </c>
      <c r="T59" t="n">
        <v>-0.5</v>
      </c>
    </row>
    <row r="60">
      <c r="A60" t="s">
        <v>31</v>
      </c>
      <c r="B60" t="n">
        <v>0.98</v>
      </c>
      <c r="C60" t="n">
        <v>0.82</v>
      </c>
      <c r="D60" t="n">
        <v>1.01</v>
      </c>
      <c r="E60" t="n">
        <v>-4</v>
      </c>
      <c r="F60" t="n">
        <v>-0.25</v>
      </c>
      <c r="G60" t="n">
        <v>78</v>
      </c>
      <c r="H60" t="n">
        <v>12</v>
      </c>
      <c r="I60" t="s">
        <v>289</v>
      </c>
      <c r="J60" t="n">
        <v>0</v>
      </c>
      <c r="K60" t="n">
        <v>0</v>
      </c>
      <c r="L60" t="n">
        <v>0</v>
      </c>
      <c r="M60" t="n">
        <v>12</v>
      </c>
      <c r="N60" t="n">
        <v>-1</v>
      </c>
      <c r="O60" t="n">
        <v>-0.25</v>
      </c>
      <c r="P60" t="n">
        <v>78</v>
      </c>
      <c r="Q60" t="n">
        <v>12</v>
      </c>
      <c r="R60" t="s">
        <v>289</v>
      </c>
      <c r="S60" t="s">
        <v>298</v>
      </c>
      <c r="T60" t="n">
        <v>-1</v>
      </c>
    </row>
    <row r="61">
      <c r="A61" t="s">
        <v>31</v>
      </c>
      <c r="B61" t="n">
        <v>0.97</v>
      </c>
      <c r="C61" t="n">
        <v>0.59</v>
      </c>
      <c r="D61" t="n">
        <v>0.93</v>
      </c>
      <c r="E61" t="n">
        <v>-3.25</v>
      </c>
      <c r="F61" t="n">
        <v>-0.25</v>
      </c>
      <c r="G61" t="n">
        <v>169</v>
      </c>
      <c r="H61" t="n">
        <v>12</v>
      </c>
      <c r="I61" t="s">
        <v>290</v>
      </c>
      <c r="J61" t="n">
        <v>0</v>
      </c>
      <c r="K61" t="n">
        <v>0</v>
      </c>
      <c r="L61" t="n">
        <v>0</v>
      </c>
      <c r="M61" t="n">
        <v>12</v>
      </c>
      <c r="N61" t="n">
        <v>-1</v>
      </c>
      <c r="O61" t="n">
        <v>0</v>
      </c>
      <c r="P61" t="n">
        <v>82</v>
      </c>
      <c r="Q61" t="n">
        <v>12</v>
      </c>
      <c r="R61" t="s">
        <v>291</v>
      </c>
      <c r="S61" t="s">
        <v>303</v>
      </c>
      <c r="T61" t="n">
        <v>-1</v>
      </c>
    </row>
    <row r="62">
      <c r="A62" t="s">
        <v>31</v>
      </c>
      <c r="B62" t="n">
        <v>1.04</v>
      </c>
      <c r="C62" t="n">
        <v>0.89</v>
      </c>
      <c r="D62" t="n">
        <v>1.04</v>
      </c>
      <c r="E62" t="n">
        <v>-4</v>
      </c>
      <c r="F62" t="n">
        <v>-0.25</v>
      </c>
      <c r="G62" t="n">
        <v>12</v>
      </c>
      <c r="H62" t="n">
        <v>12</v>
      </c>
      <c r="I62" t="s">
        <v>288</v>
      </c>
      <c r="J62" t="n">
        <v>0</v>
      </c>
      <c r="K62" t="n">
        <v>0</v>
      </c>
      <c r="L62" t="n">
        <v>0</v>
      </c>
      <c r="M62" t="n">
        <v>12</v>
      </c>
      <c r="N62" t="n">
        <v>0.5</v>
      </c>
      <c r="O62" t="n">
        <v>-0.25</v>
      </c>
      <c r="P62" t="n">
        <v>3</v>
      </c>
      <c r="Q62" t="n">
        <v>12</v>
      </c>
      <c r="R62" t="s">
        <v>288</v>
      </c>
      <c r="S62" t="s">
        <v>300</v>
      </c>
      <c r="T62" t="n">
        <v>0.25</v>
      </c>
    </row>
    <row r="63">
      <c r="A63" t="s">
        <v>31</v>
      </c>
      <c r="B63" t="n">
        <v>1.08</v>
      </c>
      <c r="C63" t="n">
        <v>1.06</v>
      </c>
      <c r="D63" t="n">
        <v>1.17</v>
      </c>
      <c r="E63" t="n">
        <v>-4.5</v>
      </c>
      <c r="F63" t="n">
        <v>-0.75</v>
      </c>
      <c r="G63" t="n">
        <v>77</v>
      </c>
      <c r="H63" t="n">
        <v>12</v>
      </c>
      <c r="I63" t="s">
        <v>293</v>
      </c>
      <c r="J63" t="n">
        <v>0</v>
      </c>
      <c r="K63" t="n">
        <v>0</v>
      </c>
      <c r="L63" t="n">
        <v>0</v>
      </c>
      <c r="M63" t="n">
        <v>12</v>
      </c>
      <c r="N63" t="n">
        <v>-1</v>
      </c>
      <c r="O63" t="n">
        <v>-0.25</v>
      </c>
      <c r="P63" t="n">
        <v>117</v>
      </c>
      <c r="Q63" t="n">
        <v>12</v>
      </c>
      <c r="R63" t="s">
        <v>297</v>
      </c>
      <c r="S63" t="s">
        <v>288</v>
      </c>
      <c r="T63" t="n">
        <v>-1</v>
      </c>
    </row>
    <row r="64">
      <c r="A64" t="s">
        <v>31</v>
      </c>
      <c r="B64" t="n">
        <v>1.05</v>
      </c>
      <c r="C64" t="n">
        <v>0.85</v>
      </c>
      <c r="D64" t="n">
        <v>1.06</v>
      </c>
      <c r="E64" t="n">
        <v>-3</v>
      </c>
      <c r="F64" t="n">
        <v>-0.75</v>
      </c>
      <c r="G64" t="n">
        <v>7</v>
      </c>
      <c r="H64" t="n">
        <v>12</v>
      </c>
      <c r="I64" t="s">
        <v>288</v>
      </c>
      <c r="J64" t="n">
        <v>0</v>
      </c>
      <c r="K64" t="n">
        <v>0</v>
      </c>
      <c r="L64" t="n">
        <v>0</v>
      </c>
      <c r="M64" t="n">
        <v>12</v>
      </c>
      <c r="N64" t="n">
        <v>-0.75</v>
      </c>
      <c r="O64" t="n">
        <v>0</v>
      </c>
      <c r="P64" t="n">
        <v>13</v>
      </c>
      <c r="Q64" t="n">
        <v>12</v>
      </c>
      <c r="R64" t="s">
        <v>288</v>
      </c>
      <c r="S64" t="s">
        <v>298</v>
      </c>
      <c r="T64" t="n">
        <v>-0.75</v>
      </c>
    </row>
    <row r="65">
      <c r="A65" t="s">
        <v>31</v>
      </c>
      <c r="B65" t="n">
        <v>0.96</v>
      </c>
      <c r="C65" t="n">
        <v>0.92</v>
      </c>
      <c r="D65" t="n">
        <v>1</v>
      </c>
      <c r="E65" t="n">
        <v>-5.25</v>
      </c>
      <c r="F65" t="n">
        <v>-0.5</v>
      </c>
      <c r="G65" t="n">
        <v>156</v>
      </c>
      <c r="H65" t="n">
        <v>12</v>
      </c>
      <c r="I65" t="s">
        <v>290</v>
      </c>
      <c r="J65" t="n">
        <v>0</v>
      </c>
      <c r="K65" t="n">
        <v>0</v>
      </c>
      <c r="L65" t="n">
        <v>0</v>
      </c>
      <c r="M65" t="n">
        <v>12</v>
      </c>
      <c r="N65" t="n">
        <v>0.5</v>
      </c>
      <c r="O65" t="n">
        <v>-0.5</v>
      </c>
      <c r="P65" t="n">
        <v>1</v>
      </c>
      <c r="Q65" t="n">
        <v>12</v>
      </c>
      <c r="R65" t="s">
        <v>289</v>
      </c>
      <c r="S65" t="s">
        <v>291</v>
      </c>
      <c r="T65" t="n">
        <v>0.25</v>
      </c>
    </row>
    <row r="66">
      <c r="A66" t="s">
        <v>31</v>
      </c>
      <c r="B66" t="n">
        <v>0.97</v>
      </c>
      <c r="C66" t="n">
        <v>0.76</v>
      </c>
      <c r="D66" t="n">
        <v>0.96</v>
      </c>
      <c r="E66" t="n">
        <v>-3.75</v>
      </c>
      <c r="F66" t="n">
        <v>-0.5</v>
      </c>
      <c r="G66" t="n">
        <v>174</v>
      </c>
      <c r="H66" t="n">
        <v>12</v>
      </c>
      <c r="I66" t="s">
        <v>290</v>
      </c>
      <c r="J66" t="n">
        <v>0</v>
      </c>
      <c r="K66" t="n">
        <v>0</v>
      </c>
      <c r="L66" t="n">
        <v>0</v>
      </c>
      <c r="M66" t="n">
        <v>12</v>
      </c>
      <c r="N66" t="n">
        <v>1</v>
      </c>
      <c r="O66" t="n">
        <v>-0.25</v>
      </c>
      <c r="P66" t="n">
        <v>9</v>
      </c>
      <c r="Q66" t="n">
        <v>12</v>
      </c>
      <c r="R66" t="s">
        <v>290</v>
      </c>
      <c r="S66" t="s">
        <v>301</v>
      </c>
      <c r="T66" t="n">
        <v>0.75</v>
      </c>
    </row>
    <row r="67">
      <c r="A67" t="s">
        <v>31</v>
      </c>
      <c r="B67" t="n">
        <v>1.08</v>
      </c>
      <c r="C67" t="n">
        <v>1.01</v>
      </c>
      <c r="D67" t="n">
        <v>1.1</v>
      </c>
      <c r="E67" t="n">
        <v>-1.75</v>
      </c>
      <c r="F67" t="n">
        <v>-1</v>
      </c>
      <c r="G67" t="n">
        <v>59</v>
      </c>
      <c r="H67" t="n">
        <v>12</v>
      </c>
      <c r="I67" t="s">
        <v>293</v>
      </c>
      <c r="J67" t="n">
        <v>0</v>
      </c>
      <c r="K67" t="n">
        <v>0</v>
      </c>
      <c r="L67" t="n">
        <v>0</v>
      </c>
      <c r="M67" t="n">
        <v>12</v>
      </c>
      <c r="N67" t="n">
        <v>0.5</v>
      </c>
      <c r="O67" t="n">
        <v>-0.5</v>
      </c>
      <c r="P67" t="n">
        <v>84</v>
      </c>
      <c r="Q67" t="n">
        <v>12</v>
      </c>
      <c r="R67" t="s">
        <v>293</v>
      </c>
      <c r="S67" t="s">
        <v>289</v>
      </c>
      <c r="T67" t="n">
        <v>0.25</v>
      </c>
    </row>
    <row r="68">
      <c r="A68" t="s">
        <v>31</v>
      </c>
      <c r="B68" t="n">
        <v>1.09</v>
      </c>
      <c r="C68" t="n">
        <v>0.94</v>
      </c>
      <c r="D68" t="n">
        <v>1.11</v>
      </c>
      <c r="E68" t="n">
        <v>-7.5</v>
      </c>
      <c r="F68" t="n">
        <v>-0.5</v>
      </c>
      <c r="G68" t="n">
        <v>76</v>
      </c>
      <c r="H68" t="n">
        <v>12</v>
      </c>
      <c r="I68" t="s">
        <v>293</v>
      </c>
      <c r="J68" t="n">
        <v>0</v>
      </c>
      <c r="K68" t="n">
        <v>0</v>
      </c>
      <c r="L68" t="n">
        <v>0</v>
      </c>
      <c r="M68" t="n">
        <v>12</v>
      </c>
      <c r="N68" t="n">
        <v>0.5</v>
      </c>
      <c r="O68" t="n">
        <v>-0.25</v>
      </c>
      <c r="P68" t="n">
        <v>50</v>
      </c>
      <c r="Q68" t="n">
        <v>12</v>
      </c>
      <c r="R68" t="s">
        <v>293</v>
      </c>
      <c r="S68" t="s">
        <v>290</v>
      </c>
      <c r="T68" t="n">
        <v>0.25</v>
      </c>
    </row>
    <row r="69">
      <c r="A69" t="s">
        <v>31</v>
      </c>
      <c r="B69" t="n">
        <v>1.02</v>
      </c>
      <c r="C69" t="n">
        <v>0.8</v>
      </c>
      <c r="D69" t="n">
        <v>1.03</v>
      </c>
      <c r="E69" t="n">
        <v>-3.5</v>
      </c>
      <c r="F69" t="n">
        <v>0</v>
      </c>
      <c r="G69" t="n">
        <v>179</v>
      </c>
      <c r="H69" t="n">
        <v>12</v>
      </c>
      <c r="I69" t="s">
        <v>289</v>
      </c>
      <c r="J69" t="n">
        <v>0</v>
      </c>
      <c r="K69" t="n">
        <v>0</v>
      </c>
      <c r="L69" t="n">
        <v>0</v>
      </c>
      <c r="M69" t="n">
        <v>12</v>
      </c>
      <c r="N69" t="n">
        <v>-0.75</v>
      </c>
      <c r="O69" t="n">
        <v>0</v>
      </c>
      <c r="P69" t="n">
        <v>20</v>
      </c>
      <c r="Q69" t="n">
        <v>12</v>
      </c>
      <c r="R69" t="s">
        <v>288</v>
      </c>
      <c r="S69" t="s">
        <v>292</v>
      </c>
      <c r="T69" t="n">
        <v>-0.75</v>
      </c>
    </row>
    <row r="70">
      <c r="A70" t="s">
        <v>31</v>
      </c>
      <c r="B70" t="n">
        <v>1.01</v>
      </c>
      <c r="C70" t="n">
        <v>0.94</v>
      </c>
      <c r="D70" t="n">
        <v>1.02</v>
      </c>
      <c r="E70" t="n">
        <v>-4.25</v>
      </c>
      <c r="F70" t="n">
        <v>-0.25</v>
      </c>
      <c r="G70" t="n">
        <v>100</v>
      </c>
      <c r="H70" t="n">
        <v>12</v>
      </c>
      <c r="I70" t="s">
        <v>289</v>
      </c>
      <c r="J70" t="n">
        <v>0</v>
      </c>
      <c r="K70" t="n">
        <v>0</v>
      </c>
      <c r="L70" t="n">
        <v>0</v>
      </c>
      <c r="M70" t="n">
        <v>12</v>
      </c>
      <c r="N70" t="n">
        <v>0</v>
      </c>
      <c r="O70" t="n">
        <v>-0.25</v>
      </c>
      <c r="P70" t="n">
        <v>102</v>
      </c>
      <c r="Q70" t="n">
        <v>12</v>
      </c>
      <c r="R70" t="s">
        <v>289</v>
      </c>
      <c r="S70" t="s">
        <v>290</v>
      </c>
      <c r="T70" t="n">
        <v>0</v>
      </c>
    </row>
    <row r="71">
      <c r="A71" t="s">
        <v>31</v>
      </c>
      <c r="B71" t="n">
        <v>0.87</v>
      </c>
      <c r="C71" t="n">
        <v>0.64</v>
      </c>
      <c r="D71" t="n">
        <v>0.84</v>
      </c>
      <c r="E71" t="n">
        <v>-3.75</v>
      </c>
      <c r="F71" t="n">
        <v>-0.75</v>
      </c>
      <c r="G71" t="n">
        <v>172</v>
      </c>
      <c r="H71" t="n">
        <v>12</v>
      </c>
      <c r="I71" t="s">
        <v>300</v>
      </c>
      <c r="J71" t="n">
        <v>0</v>
      </c>
      <c r="K71" t="n">
        <v>0</v>
      </c>
      <c r="L71" t="n">
        <v>0</v>
      </c>
      <c r="M71" t="n">
        <v>12</v>
      </c>
      <c r="N71" t="n">
        <v>0</v>
      </c>
      <c r="O71" t="n">
        <v>-0.25</v>
      </c>
      <c r="P71" t="n">
        <v>159</v>
      </c>
      <c r="Q71" t="n">
        <v>12</v>
      </c>
      <c r="R71" t="s">
        <v>298</v>
      </c>
      <c r="S71" t="s">
        <v>304</v>
      </c>
      <c r="T71" t="n">
        <v>-0.25</v>
      </c>
    </row>
    <row r="72">
      <c r="A72" t="s">
        <v>31</v>
      </c>
      <c r="B72" t="n">
        <v>1.09</v>
      </c>
      <c r="C72" t="n">
        <v>1.05</v>
      </c>
      <c r="D72" t="n">
        <v>1.18</v>
      </c>
      <c r="E72" t="n">
        <v>-3.25</v>
      </c>
      <c r="F72" t="n">
        <v>-0.5</v>
      </c>
      <c r="G72" t="n">
        <v>1</v>
      </c>
      <c r="H72" t="n">
        <v>12</v>
      </c>
      <c r="I72" t="s">
        <v>293</v>
      </c>
      <c r="J72" t="n">
        <v>0</v>
      </c>
      <c r="K72" t="n">
        <v>0</v>
      </c>
      <c r="L72" t="n">
        <v>0</v>
      </c>
      <c r="M72" t="n">
        <v>12</v>
      </c>
      <c r="N72" t="n">
        <v>0</v>
      </c>
      <c r="O72" t="n">
        <v>-0.25</v>
      </c>
      <c r="P72" t="n">
        <v>148</v>
      </c>
      <c r="Q72" t="n">
        <v>12</v>
      </c>
      <c r="R72" t="s">
        <v>294</v>
      </c>
      <c r="S72" t="s">
        <v>288</v>
      </c>
      <c r="T72" t="n">
        <v>-0.25</v>
      </c>
    </row>
    <row r="73">
      <c r="A73" t="s">
        <v>31</v>
      </c>
      <c r="B73" t="n">
        <v>1.12</v>
      </c>
      <c r="C73" t="n">
        <v>0.78</v>
      </c>
      <c r="D73" t="n">
        <v>1.06</v>
      </c>
      <c r="E73" t="n">
        <v>-6.75</v>
      </c>
      <c r="F73" t="n">
        <v>0</v>
      </c>
      <c r="G73" t="n">
        <v>22</v>
      </c>
      <c r="H73" t="n">
        <v>12</v>
      </c>
      <c r="I73" t="s">
        <v>293</v>
      </c>
      <c r="J73" t="n">
        <v>0</v>
      </c>
      <c r="K73" t="n">
        <v>0</v>
      </c>
      <c r="L73" t="n">
        <v>0</v>
      </c>
      <c r="M73" t="n">
        <v>12</v>
      </c>
      <c r="N73" t="n">
        <v>0</v>
      </c>
      <c r="O73" t="n">
        <v>-0.25</v>
      </c>
      <c r="P73" t="n">
        <v>97</v>
      </c>
      <c r="Q73" t="n">
        <v>12</v>
      </c>
      <c r="R73" t="s">
        <v>288</v>
      </c>
      <c r="S73" t="s">
        <v>292</v>
      </c>
      <c r="T73" t="n">
        <v>-0.25</v>
      </c>
    </row>
    <row r="74">
      <c r="A74" t="s">
        <v>31</v>
      </c>
      <c r="B74" t="n">
        <v>1.01</v>
      </c>
      <c r="C74" t="n">
        <v>0.89</v>
      </c>
      <c r="D74" t="n">
        <v>0.99</v>
      </c>
      <c r="E74" t="n">
        <v>-6</v>
      </c>
      <c r="F74" t="n">
        <v>0</v>
      </c>
      <c r="G74" t="n">
        <v>87</v>
      </c>
      <c r="H74" t="n">
        <v>12</v>
      </c>
      <c r="I74" t="s">
        <v>289</v>
      </c>
      <c r="J74" t="n">
        <v>0</v>
      </c>
      <c r="K74" t="n">
        <v>0</v>
      </c>
      <c r="L74" t="n">
        <v>0</v>
      </c>
      <c r="M74" t="n">
        <v>12</v>
      </c>
      <c r="N74" t="n">
        <v>-0.5</v>
      </c>
      <c r="O74" t="n">
        <v>-0.25</v>
      </c>
      <c r="P74" t="n">
        <v>160</v>
      </c>
      <c r="Q74" t="n">
        <v>12</v>
      </c>
      <c r="R74" t="s">
        <v>289</v>
      </c>
      <c r="S74" t="s">
        <v>300</v>
      </c>
      <c r="T74" t="n">
        <v>-0.5</v>
      </c>
    </row>
    <row r="75">
      <c r="A75" t="s">
        <v>31</v>
      </c>
      <c r="B75" t="n">
        <v>1.02</v>
      </c>
      <c r="C75" t="n">
        <v>0.88</v>
      </c>
      <c r="D75" t="n">
        <v>1.03</v>
      </c>
      <c r="E75" t="n">
        <v>-2.5</v>
      </c>
      <c r="F75" t="n">
        <v>-0.25</v>
      </c>
      <c r="G75" t="n">
        <v>177</v>
      </c>
      <c r="H75" t="n">
        <v>12</v>
      </c>
      <c r="I75" t="s">
        <v>289</v>
      </c>
      <c r="J75" t="n">
        <v>0</v>
      </c>
      <c r="K75" t="n">
        <v>0</v>
      </c>
      <c r="L75" t="n">
        <v>0</v>
      </c>
      <c r="M75" t="n">
        <v>12</v>
      </c>
      <c r="N75" t="n">
        <v>1</v>
      </c>
      <c r="O75" t="n">
        <v>-0.25</v>
      </c>
      <c r="P75" t="n">
        <v>161</v>
      </c>
      <c r="Q75" t="n">
        <v>12</v>
      </c>
      <c r="R75" t="s">
        <v>288</v>
      </c>
      <c r="S75" t="s">
        <v>300</v>
      </c>
      <c r="T75" t="n">
        <v>0.75</v>
      </c>
    </row>
    <row r="76">
      <c r="A76" t="s">
        <v>31</v>
      </c>
      <c r="B76" t="n">
        <v>0.95</v>
      </c>
      <c r="C76" t="n">
        <v>0.68</v>
      </c>
      <c r="D76" t="n">
        <v>0.89</v>
      </c>
      <c r="E76" t="n">
        <v>-6.25</v>
      </c>
      <c r="F76" t="n">
        <v>-0.25</v>
      </c>
      <c r="G76" t="n">
        <v>84</v>
      </c>
      <c r="H76" t="n">
        <v>12</v>
      </c>
      <c r="I76" t="s">
        <v>290</v>
      </c>
      <c r="J76" t="n">
        <v>0</v>
      </c>
      <c r="K76" t="n">
        <v>0</v>
      </c>
      <c r="L76" t="n">
        <v>0</v>
      </c>
      <c r="M76" t="n">
        <v>12</v>
      </c>
      <c r="N76" t="n">
        <v>0.5</v>
      </c>
      <c r="O76" t="n">
        <v>0</v>
      </c>
      <c r="P76" t="n">
        <v>66</v>
      </c>
      <c r="Q76" t="n">
        <v>12</v>
      </c>
      <c r="R76" t="s">
        <v>300</v>
      </c>
      <c r="S76" t="s">
        <v>299</v>
      </c>
      <c r="T76" t="n">
        <v>0.5</v>
      </c>
    </row>
    <row r="77">
      <c r="A77" t="s">
        <v>31</v>
      </c>
      <c r="B77" t="n">
        <v>1.07</v>
      </c>
      <c r="C77" t="n">
        <v>0.83</v>
      </c>
      <c r="D77" t="n">
        <v>0.99</v>
      </c>
      <c r="E77" t="n">
        <v>-4.25</v>
      </c>
      <c r="F77" t="n">
        <v>-2</v>
      </c>
      <c r="G77" t="n">
        <v>39</v>
      </c>
      <c r="H77" t="n">
        <v>12</v>
      </c>
      <c r="I77" t="s">
        <v>288</v>
      </c>
      <c r="J77" t="n">
        <v>0</v>
      </c>
      <c r="K77" t="n">
        <v>0</v>
      </c>
      <c r="L77" t="n">
        <v>0</v>
      </c>
      <c r="M77" t="n">
        <v>12</v>
      </c>
      <c r="N77" t="n">
        <v>0</v>
      </c>
      <c r="O77" t="n">
        <v>-0.25</v>
      </c>
      <c r="P77" t="n">
        <v>32</v>
      </c>
      <c r="Q77" t="n">
        <v>12</v>
      </c>
      <c r="R77" t="s">
        <v>289</v>
      </c>
      <c r="S77" t="s">
        <v>298</v>
      </c>
      <c r="T77" t="n">
        <v>0</v>
      </c>
    </row>
    <row r="78">
      <c r="A78" t="s">
        <v>31</v>
      </c>
      <c r="B78" t="n">
        <v>1.03</v>
      </c>
      <c r="C78" t="n">
        <v>0.92</v>
      </c>
      <c r="D78" t="n">
        <v>1.02</v>
      </c>
      <c r="E78" t="n">
        <v>-3.75</v>
      </c>
      <c r="F78" t="n">
        <v>-0.25</v>
      </c>
      <c r="G78" t="n">
        <v>140</v>
      </c>
      <c r="H78" t="n">
        <v>12</v>
      </c>
      <c r="I78" t="s">
        <v>288</v>
      </c>
      <c r="J78" t="n">
        <v>0</v>
      </c>
      <c r="K78" t="n">
        <v>0</v>
      </c>
      <c r="L78" t="n">
        <v>0</v>
      </c>
      <c r="M78" t="n">
        <v>12</v>
      </c>
      <c r="N78" t="n">
        <v>-0.5</v>
      </c>
      <c r="O78" t="n">
        <v>-0.25</v>
      </c>
      <c r="P78" t="n">
        <v>142</v>
      </c>
      <c r="Q78" t="n">
        <v>12</v>
      </c>
      <c r="R78" t="s">
        <v>289</v>
      </c>
      <c r="S78" t="s">
        <v>291</v>
      </c>
      <c r="T78" t="n">
        <v>-0.5</v>
      </c>
    </row>
    <row r="79">
      <c r="A79" t="s">
        <v>31</v>
      </c>
      <c r="B79" t="n">
        <v>0.96</v>
      </c>
      <c r="C79" t="n">
        <v>0.85</v>
      </c>
      <c r="D79" t="n">
        <v>1</v>
      </c>
      <c r="E79" t="n">
        <v>-3.75</v>
      </c>
      <c r="F79" t="n">
        <v>-0.5</v>
      </c>
      <c r="G79" t="n">
        <v>170</v>
      </c>
      <c r="H79" t="n">
        <v>12</v>
      </c>
      <c r="I79" t="s">
        <v>290</v>
      </c>
      <c r="J79" t="n">
        <v>0</v>
      </c>
      <c r="K79" t="n">
        <v>0</v>
      </c>
      <c r="L79" t="n">
        <v>0</v>
      </c>
      <c r="M79" t="n">
        <v>12</v>
      </c>
      <c r="N79" t="n">
        <v>0</v>
      </c>
      <c r="O79" t="n">
        <v>-0.25</v>
      </c>
      <c r="P79" t="n">
        <v>172</v>
      </c>
      <c r="Q79" t="n">
        <v>12</v>
      </c>
      <c r="R79" t="s">
        <v>289</v>
      </c>
      <c r="S79" t="s">
        <v>298</v>
      </c>
      <c r="T79" t="n">
        <v>-0.25</v>
      </c>
    </row>
    <row r="80">
      <c r="A80" t="s">
        <v>31</v>
      </c>
      <c r="B80" t="n">
        <v>1.02</v>
      </c>
      <c r="C80" t="n">
        <v>0.92</v>
      </c>
      <c r="D80" t="n">
        <v>1</v>
      </c>
      <c r="E80" t="n">
        <v>-1.75</v>
      </c>
      <c r="F80" t="n">
        <v>-1</v>
      </c>
      <c r="G80" t="n">
        <v>56</v>
      </c>
      <c r="H80" t="n">
        <v>12</v>
      </c>
      <c r="I80" t="s">
        <v>289</v>
      </c>
      <c r="J80" t="n">
        <v>0</v>
      </c>
      <c r="K80" t="n">
        <v>0</v>
      </c>
      <c r="L80" t="n">
        <v>0</v>
      </c>
      <c r="M80" t="n">
        <v>12</v>
      </c>
      <c r="N80" t="n">
        <v>0</v>
      </c>
      <c r="O80" t="n">
        <v>0</v>
      </c>
      <c r="P80" t="n">
        <v>53</v>
      </c>
      <c r="Q80" t="n">
        <v>12</v>
      </c>
      <c r="R80" t="s">
        <v>289</v>
      </c>
      <c r="S80" t="s">
        <v>291</v>
      </c>
      <c r="T80" t="n">
        <v>0</v>
      </c>
    </row>
    <row r="81">
      <c r="A81" t="s">
        <v>31</v>
      </c>
      <c r="B81" t="n">
        <v>0.99</v>
      </c>
      <c r="C81" t="n">
        <v>0.94</v>
      </c>
      <c r="D81" t="n">
        <v>1.02</v>
      </c>
      <c r="E81" t="n">
        <v>-8.75</v>
      </c>
      <c r="F81" t="n">
        <v>-1</v>
      </c>
      <c r="G81" t="n">
        <v>101</v>
      </c>
      <c r="H81" t="n">
        <v>12</v>
      </c>
      <c r="I81" t="s">
        <v>289</v>
      </c>
      <c r="J81" t="n">
        <v>0</v>
      </c>
      <c r="K81" t="n">
        <v>0</v>
      </c>
      <c r="L81" t="n">
        <v>0</v>
      </c>
      <c r="M81" t="n">
        <v>12</v>
      </c>
      <c r="N81" t="n">
        <v>0</v>
      </c>
      <c r="O81" t="n">
        <v>0</v>
      </c>
      <c r="P81" t="n">
        <v>32</v>
      </c>
      <c r="Q81" t="n">
        <v>12</v>
      </c>
      <c r="R81" t="s">
        <v>289</v>
      </c>
      <c r="S81" t="s">
        <v>290</v>
      </c>
      <c r="T81" t="n">
        <v>0</v>
      </c>
    </row>
    <row r="82">
      <c r="A82" t="s">
        <v>31</v>
      </c>
      <c r="B82" t="n">
        <v>0.99</v>
      </c>
      <c r="C82" t="n">
        <v>0.88</v>
      </c>
      <c r="D82" t="n">
        <v>0.96</v>
      </c>
      <c r="E82" t="n">
        <v>-4.5</v>
      </c>
      <c r="F82" t="n">
        <v>0</v>
      </c>
      <c r="G82" t="n">
        <v>155</v>
      </c>
      <c r="H82" t="n">
        <v>12</v>
      </c>
      <c r="I82" t="s">
        <v>289</v>
      </c>
      <c r="J82" t="n">
        <v>0</v>
      </c>
      <c r="K82" t="n">
        <v>0</v>
      </c>
      <c r="L82" t="n">
        <v>0</v>
      </c>
      <c r="M82" t="n">
        <v>12</v>
      </c>
      <c r="N82" t="n">
        <v>0</v>
      </c>
      <c r="O82" t="n">
        <v>-0.25</v>
      </c>
      <c r="P82" t="n">
        <v>161</v>
      </c>
      <c r="Q82" t="n">
        <v>12</v>
      </c>
      <c r="R82" t="s">
        <v>290</v>
      </c>
      <c r="S82" t="s">
        <v>300</v>
      </c>
      <c r="T82" t="n">
        <v>-0.25</v>
      </c>
    </row>
    <row r="83">
      <c r="A83" t="s">
        <v>31</v>
      </c>
      <c r="B83" t="n">
        <v>1.04</v>
      </c>
      <c r="C83" t="n">
        <v>1.02</v>
      </c>
      <c r="D83" t="n">
        <v>1.06</v>
      </c>
      <c r="E83" t="n">
        <v>-3</v>
      </c>
      <c r="F83" t="n">
        <v>-2</v>
      </c>
      <c r="G83" t="n">
        <v>170</v>
      </c>
      <c r="H83" t="n">
        <v>12</v>
      </c>
      <c r="I83" t="s">
        <v>288</v>
      </c>
      <c r="J83" t="n">
        <v>0</v>
      </c>
      <c r="K83" t="n">
        <v>0</v>
      </c>
      <c r="L83" t="n">
        <v>0</v>
      </c>
      <c r="M83" t="n">
        <v>12</v>
      </c>
      <c r="N83" t="n">
        <v>-0.25</v>
      </c>
      <c r="O83" t="n">
        <v>0</v>
      </c>
      <c r="P83" t="n">
        <v>164</v>
      </c>
      <c r="Q83" t="n">
        <v>12</v>
      </c>
      <c r="R83" t="s">
        <v>288</v>
      </c>
      <c r="S83" t="s">
        <v>289</v>
      </c>
      <c r="T83" t="n">
        <v>-0.25</v>
      </c>
    </row>
    <row r="84">
      <c r="A84" t="s">
        <v>31</v>
      </c>
      <c r="B84" t="n">
        <v>1.08</v>
      </c>
      <c r="C84" t="n">
        <v>0.87</v>
      </c>
      <c r="D84" t="n">
        <v>1.07</v>
      </c>
      <c r="E84" t="n">
        <v>-8</v>
      </c>
      <c r="F84" t="n">
        <v>-0.5</v>
      </c>
      <c r="G84" t="n">
        <v>103</v>
      </c>
      <c r="H84" t="n">
        <v>12</v>
      </c>
      <c r="I84" t="s">
        <v>293</v>
      </c>
      <c r="J84" t="n">
        <v>0</v>
      </c>
      <c r="K84" t="n">
        <v>0</v>
      </c>
      <c r="L84" t="n">
        <v>0</v>
      </c>
      <c r="M84" t="n">
        <v>12</v>
      </c>
      <c r="N84" t="n">
        <v>0.5</v>
      </c>
      <c r="O84" t="n">
        <v>-0.25</v>
      </c>
      <c r="P84" t="n">
        <v>103</v>
      </c>
      <c r="Q84" t="n">
        <v>12</v>
      </c>
      <c r="R84" t="s">
        <v>288</v>
      </c>
      <c r="S84" t="s">
        <v>300</v>
      </c>
      <c r="T84" t="n">
        <v>0.5</v>
      </c>
    </row>
    <row r="85">
      <c r="A85" t="s">
        <v>31</v>
      </c>
      <c r="B85" t="n">
        <v>1.03</v>
      </c>
      <c r="C85" t="n">
        <v>0.72</v>
      </c>
      <c r="D85" t="n">
        <v>1.02</v>
      </c>
      <c r="E85" t="n">
        <v>-2.25</v>
      </c>
      <c r="F85" t="n">
        <v>0</v>
      </c>
      <c r="G85" t="n">
        <v>10</v>
      </c>
      <c r="H85" t="n">
        <v>12</v>
      </c>
      <c r="I85" t="s">
        <v>288</v>
      </c>
      <c r="J85" t="n">
        <v>0</v>
      </c>
      <c r="K85" t="n">
        <v>0</v>
      </c>
      <c r="L85" t="n">
        <v>0</v>
      </c>
      <c r="M85" t="n">
        <v>12</v>
      </c>
      <c r="N85" t="n">
        <v>-1</v>
      </c>
      <c r="O85" t="n">
        <v>0</v>
      </c>
      <c r="P85" t="n">
        <v>141</v>
      </c>
      <c r="Q85" t="n">
        <v>12</v>
      </c>
      <c r="R85" t="s">
        <v>289</v>
      </c>
      <c r="S85" t="s">
        <v>302</v>
      </c>
      <c r="T85" t="n">
        <v>-1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306</v>
      </c>
      <c r="B1" t="s">
        <v>307</v>
      </c>
      <c r="C1" t="s">
        <v>308</v>
      </c>
      <c r="D1" t="s">
        <v>309</v>
      </c>
      <c r="E1" t="s">
        <v>310</v>
      </c>
    </row>
    <row r="2">
      <c r="A2" t="s">
        <v>311</v>
      </c>
      <c r="B2" t="n">
        <v>-1.5</v>
      </c>
      <c r="C2" t="n">
        <v>161</v>
      </c>
      <c r="D2" t="n">
        <v>-0.25</v>
      </c>
      <c r="E2" t="n">
        <v>167</v>
      </c>
    </row>
    <row r="3">
      <c r="A3" t="s">
        <v>311</v>
      </c>
      <c r="B3" t="n">
        <v>-2.25</v>
      </c>
      <c r="C3" t="n">
        <v>35</v>
      </c>
      <c r="D3" t="n">
        <v>0</v>
      </c>
      <c r="E3" t="n">
        <v>40</v>
      </c>
    </row>
    <row r="4">
      <c r="A4" t="s">
        <v>311</v>
      </c>
      <c r="B4" t="n">
        <v>-1</v>
      </c>
      <c r="C4" t="n">
        <v>24</v>
      </c>
      <c r="D4" t="n">
        <v>-0.5</v>
      </c>
      <c r="E4" t="n">
        <v>36</v>
      </c>
    </row>
    <row r="5">
      <c r="A5" t="s">
        <v>311</v>
      </c>
      <c r="B5" t="n">
        <v>-0.5</v>
      </c>
      <c r="C5" t="n">
        <v>162</v>
      </c>
      <c r="D5" t="n">
        <v>-0.25</v>
      </c>
      <c r="E5" t="n">
        <v>138</v>
      </c>
    </row>
    <row r="6">
      <c r="A6" t="s">
        <v>311</v>
      </c>
      <c r="B6" t="n">
        <v>-0.5</v>
      </c>
      <c r="C6" t="n">
        <v>13</v>
      </c>
      <c r="D6" t="n">
        <v>-0.25</v>
      </c>
      <c r="E6" t="n">
        <v>173</v>
      </c>
    </row>
    <row r="7">
      <c r="A7" t="s">
        <v>312</v>
      </c>
      <c r="B7" t="n">
        <v>0</v>
      </c>
      <c r="C7" t="n">
        <v>161</v>
      </c>
      <c r="D7" t="n">
        <v>-0.25</v>
      </c>
      <c r="E7" t="n">
        <v>7</v>
      </c>
    </row>
    <row r="8">
      <c r="A8" t="s">
        <v>312</v>
      </c>
      <c r="B8" t="n">
        <v>0</v>
      </c>
      <c r="C8" t="n">
        <v>3</v>
      </c>
      <c r="D8" t="n">
        <v>-0.5</v>
      </c>
      <c r="E8" t="n">
        <v>91</v>
      </c>
    </row>
    <row r="9">
      <c r="A9" t="s">
        <v>311</v>
      </c>
      <c r="B9" t="n">
        <v>-1.25</v>
      </c>
      <c r="C9" t="n">
        <v>100</v>
      </c>
      <c r="D9" t="n">
        <v>-0.25</v>
      </c>
      <c r="E9" t="n">
        <v>103</v>
      </c>
    </row>
    <row r="10">
      <c r="A10" t="s">
        <v>312</v>
      </c>
      <c r="B10" t="n">
        <v>0</v>
      </c>
      <c r="C10" t="n">
        <v>1</v>
      </c>
      <c r="D10" t="n">
        <v>-0.5</v>
      </c>
      <c r="E10" t="n">
        <v>23</v>
      </c>
    </row>
    <row r="11">
      <c r="A11" t="s">
        <v>311</v>
      </c>
      <c r="B11" t="n">
        <v>0</v>
      </c>
      <c r="C11" t="n">
        <v>163</v>
      </c>
      <c r="D11" t="n">
        <v>-0.25</v>
      </c>
      <c r="E11" t="n">
        <v>149</v>
      </c>
    </row>
    <row r="12">
      <c r="A12" t="s">
        <v>312</v>
      </c>
      <c r="B12" t="n">
        <v>-0.5</v>
      </c>
      <c r="C12" t="n">
        <v>164</v>
      </c>
      <c r="D12" t="n">
        <v>-0.25</v>
      </c>
      <c r="E12" t="n">
        <v>170</v>
      </c>
    </row>
    <row r="13">
      <c r="A13" t="s">
        <v>312</v>
      </c>
      <c r="B13" t="n">
        <v>-0.25</v>
      </c>
      <c r="C13" t="n">
        <v>47</v>
      </c>
      <c r="D13" t="n">
        <v>-0.5</v>
      </c>
      <c r="E13" t="n">
        <v>48</v>
      </c>
    </row>
    <row r="14">
      <c r="A14" t="s">
        <v>312</v>
      </c>
      <c r="B14" t="n">
        <v>-0.5</v>
      </c>
      <c r="C14" t="n">
        <v>180</v>
      </c>
      <c r="D14" t="n">
        <v>-0.5</v>
      </c>
      <c r="E14" t="n">
        <v>16</v>
      </c>
    </row>
    <row r="15">
      <c r="A15" t="s">
        <v>311</v>
      </c>
      <c r="B15" t="n">
        <v>-0.75</v>
      </c>
      <c r="C15" t="n">
        <v>85</v>
      </c>
      <c r="D15" t="n">
        <v>0</v>
      </c>
      <c r="E15" t="n">
        <v>137</v>
      </c>
    </row>
    <row r="16">
      <c r="A16" t="s">
        <v>312</v>
      </c>
      <c r="B16" t="n">
        <v>-0.75</v>
      </c>
      <c r="C16" t="n">
        <v>14</v>
      </c>
      <c r="D16" t="n">
        <v>-0.5</v>
      </c>
      <c r="E16" t="n">
        <v>167</v>
      </c>
    </row>
    <row r="17">
      <c r="A17" t="s">
        <v>311</v>
      </c>
      <c r="B17" t="n">
        <v>-1.25</v>
      </c>
      <c r="C17" t="n">
        <v>75</v>
      </c>
      <c r="D17" t="n">
        <v>-0.5</v>
      </c>
      <c r="E17" t="n">
        <v>50</v>
      </c>
    </row>
    <row r="18">
      <c r="A18" t="s">
        <v>312</v>
      </c>
      <c r="B18" t="n">
        <v>-0.25</v>
      </c>
      <c r="C18" t="n">
        <v>172</v>
      </c>
      <c r="D18" t="n">
        <v>-0.25</v>
      </c>
      <c r="E18" t="n">
        <v>15</v>
      </c>
    </row>
    <row r="19">
      <c r="A19" t="s">
        <v>311</v>
      </c>
      <c r="B19" t="n">
        <v>-0.25</v>
      </c>
      <c r="C19" t="n">
        <v>97</v>
      </c>
      <c r="D19" t="n">
        <v>-0.25</v>
      </c>
      <c r="E19" t="n">
        <v>122</v>
      </c>
    </row>
    <row r="20">
      <c r="A20" t="s">
        <v>311</v>
      </c>
      <c r="B20" t="n">
        <v>-0.75</v>
      </c>
      <c r="C20" t="n">
        <v>165</v>
      </c>
      <c r="D20" t="n">
        <v>-0.5</v>
      </c>
      <c r="E20" t="n">
        <v>12</v>
      </c>
    </row>
    <row r="21">
      <c r="A21" t="s">
        <v>311</v>
      </c>
      <c r="B21" t="n">
        <v>-0.5</v>
      </c>
      <c r="C21" t="n">
        <v>76</v>
      </c>
      <c r="D21" t="n">
        <v>-0.25</v>
      </c>
      <c r="E21" t="n">
        <v>62</v>
      </c>
    </row>
    <row r="22">
      <c r="A22" t="s">
        <v>312</v>
      </c>
      <c r="B22" t="n">
        <v>-1.25</v>
      </c>
      <c r="C22" t="n">
        <v>84</v>
      </c>
      <c r="D22" t="n">
        <v>-0.25</v>
      </c>
      <c r="E22" t="n">
        <v>62</v>
      </c>
    </row>
    <row r="23">
      <c r="A23" t="s">
        <v>311</v>
      </c>
      <c r="B23" t="n">
        <v>-0.75</v>
      </c>
      <c r="C23" t="n">
        <v>81</v>
      </c>
      <c r="D23" t="n">
        <v>-0.25</v>
      </c>
      <c r="E23" t="n">
        <v>34</v>
      </c>
    </row>
    <row r="24">
      <c r="A24" t="s">
        <v>312</v>
      </c>
      <c r="B24" t="n">
        <v>-0.75</v>
      </c>
      <c r="C24" t="n">
        <v>172</v>
      </c>
      <c r="D24" t="n">
        <v>-0.25</v>
      </c>
      <c r="E24" t="n">
        <v>171</v>
      </c>
    </row>
    <row r="25">
      <c r="A25" t="s">
        <v>311</v>
      </c>
      <c r="B25" t="n">
        <v>-0.25</v>
      </c>
      <c r="C25" t="n">
        <v>161</v>
      </c>
      <c r="D25" t="n">
        <v>0</v>
      </c>
      <c r="E25" t="n">
        <v>80</v>
      </c>
    </row>
    <row r="26">
      <c r="A26" t="s">
        <v>312</v>
      </c>
      <c r="B26" t="n">
        <v>-1</v>
      </c>
      <c r="C26" t="n">
        <v>83</v>
      </c>
      <c r="D26" t="n">
        <v>-0.25</v>
      </c>
      <c r="E26" t="n">
        <v>78</v>
      </c>
    </row>
    <row r="27">
      <c r="A27" t="s">
        <v>312</v>
      </c>
      <c r="B27" t="n">
        <v>-0.5</v>
      </c>
      <c r="C27" t="n">
        <v>80</v>
      </c>
      <c r="D27" t="n">
        <v>0</v>
      </c>
      <c r="E27" t="n">
        <v>11</v>
      </c>
    </row>
    <row r="28">
      <c r="A28" t="s">
        <v>312</v>
      </c>
      <c r="B28" t="n">
        <v>-1</v>
      </c>
      <c r="C28" t="n">
        <v>180</v>
      </c>
      <c r="D28" t="n">
        <v>0</v>
      </c>
      <c r="E28" t="n">
        <v>178</v>
      </c>
    </row>
    <row r="29">
      <c r="A29" t="s">
        <v>312</v>
      </c>
      <c r="B29" t="n">
        <v>-0.75</v>
      </c>
      <c r="C29" t="n">
        <v>7</v>
      </c>
      <c r="D29" t="n">
        <v>-0.25</v>
      </c>
      <c r="E29" t="n">
        <v>24</v>
      </c>
    </row>
    <row r="30">
      <c r="A30" t="s">
        <v>311</v>
      </c>
      <c r="B30" t="n">
        <v>0</v>
      </c>
      <c r="C30" t="n">
        <v>170</v>
      </c>
      <c r="D30" t="n">
        <v>-0.5</v>
      </c>
      <c r="E30" t="n">
        <v>23</v>
      </c>
    </row>
    <row r="31">
      <c r="A31" t="s">
        <v>312</v>
      </c>
      <c r="B31" t="n">
        <v>-1.25</v>
      </c>
      <c r="C31" t="n">
        <v>23</v>
      </c>
      <c r="D31" t="n">
        <v>-0.75</v>
      </c>
      <c r="E31" t="n">
        <v>166</v>
      </c>
    </row>
    <row r="32">
      <c r="A32" t="s">
        <v>311</v>
      </c>
      <c r="B32" t="n">
        <v>0</v>
      </c>
      <c r="C32" t="n">
        <v>5</v>
      </c>
      <c r="D32" t="n">
        <v>0</v>
      </c>
      <c r="E32" t="n">
        <v>177</v>
      </c>
    </row>
    <row r="33">
      <c r="A33" t="s">
        <v>312</v>
      </c>
      <c r="B33" t="n">
        <v>-0.25</v>
      </c>
      <c r="C33" t="n">
        <v>67</v>
      </c>
      <c r="D33" t="n">
        <v>-0.25</v>
      </c>
      <c r="E33" t="n">
        <v>8</v>
      </c>
    </row>
    <row r="34">
      <c r="A34" t="s">
        <v>312</v>
      </c>
      <c r="B34" t="n">
        <v>-0.25</v>
      </c>
      <c r="C34" t="n">
        <v>11</v>
      </c>
      <c r="D34" t="n">
        <v>-0.25</v>
      </c>
      <c r="E34" t="n">
        <v>18</v>
      </c>
    </row>
    <row r="35">
      <c r="A35" t="s">
        <v>311</v>
      </c>
      <c r="B35" t="n">
        <v>-0.75</v>
      </c>
      <c r="C35" t="n">
        <v>180</v>
      </c>
      <c r="D35" t="n">
        <v>-0.5</v>
      </c>
      <c r="E35" t="n">
        <v>10</v>
      </c>
    </row>
    <row r="36">
      <c r="A36" t="s">
        <v>312</v>
      </c>
      <c r="B36" t="n">
        <v>-0.5</v>
      </c>
      <c r="C36" t="n">
        <v>84</v>
      </c>
      <c r="D36" t="n">
        <v>-0.25</v>
      </c>
      <c r="E36" t="n">
        <v>101</v>
      </c>
    </row>
    <row r="37">
      <c r="A37" t="s">
        <v>311</v>
      </c>
      <c r="B37" t="n">
        <v>-0.75</v>
      </c>
      <c r="C37" t="n">
        <v>168</v>
      </c>
      <c r="D37" t="n">
        <v>-0.75</v>
      </c>
      <c r="E37" t="n">
        <v>163</v>
      </c>
    </row>
    <row r="38">
      <c r="A38" t="s">
        <v>311</v>
      </c>
      <c r="B38" t="n">
        <v>-1.25</v>
      </c>
      <c r="C38" t="n">
        <v>99</v>
      </c>
      <c r="D38" t="n">
        <v>0</v>
      </c>
      <c r="E38" t="n">
        <v>79</v>
      </c>
    </row>
    <row r="39">
      <c r="A39" t="s">
        <v>312</v>
      </c>
      <c r="B39" t="n">
        <v>-0.25</v>
      </c>
      <c r="C39" t="n">
        <v>138</v>
      </c>
      <c r="D39" t="n">
        <v>0</v>
      </c>
      <c r="E39" t="n">
        <v>131</v>
      </c>
    </row>
    <row r="40">
      <c r="A40" t="s">
        <v>311</v>
      </c>
      <c r="B40" t="n">
        <v>-0.25</v>
      </c>
      <c r="C40" t="n">
        <v>80</v>
      </c>
      <c r="D40" t="n">
        <v>-0.25</v>
      </c>
      <c r="E40" t="n">
        <v>56</v>
      </c>
    </row>
    <row r="41">
      <c r="A41" t="s">
        <v>312</v>
      </c>
      <c r="B41" t="n">
        <v>-0.25</v>
      </c>
      <c r="C41" t="n">
        <v>20</v>
      </c>
      <c r="D41" t="n">
        <v>-0.25</v>
      </c>
      <c r="E41" t="n">
        <v>25</v>
      </c>
    </row>
    <row r="42">
      <c r="A42" t="s">
        <v>311</v>
      </c>
      <c r="B42" t="n">
        <v>-0.5</v>
      </c>
      <c r="C42" t="n">
        <v>85</v>
      </c>
      <c r="D42" t="n">
        <v>-0.25</v>
      </c>
      <c r="E42" t="n">
        <v>78</v>
      </c>
    </row>
    <row r="43">
      <c r="A43" t="s">
        <v>311</v>
      </c>
      <c r="B43" t="n">
        <v>-0.25</v>
      </c>
      <c r="C43" t="n">
        <v>100</v>
      </c>
      <c r="D43" t="n">
        <v>-0.25</v>
      </c>
      <c r="E43" t="n">
        <v>122</v>
      </c>
    </row>
    <row r="44">
      <c r="A44" t="s">
        <v>312</v>
      </c>
      <c r="B44" t="n">
        <v>-0.5</v>
      </c>
      <c r="C44" t="n">
        <v>95</v>
      </c>
      <c r="D44" t="n">
        <v>-0.25</v>
      </c>
      <c r="E44" t="n">
        <v>89</v>
      </c>
    </row>
    <row r="45">
      <c r="A45" t="s">
        <v>312</v>
      </c>
      <c r="B45" t="n">
        <v>-0.25</v>
      </c>
      <c r="C45" t="n">
        <v>156</v>
      </c>
      <c r="D45" t="n">
        <v>0</v>
      </c>
      <c r="E45" t="n">
        <v>91</v>
      </c>
    </row>
    <row r="46">
      <c r="A46" t="s">
        <v>311</v>
      </c>
      <c r="B46" t="n">
        <v>-0.25</v>
      </c>
      <c r="C46" t="n">
        <v>79</v>
      </c>
      <c r="D46" t="n">
        <v>0</v>
      </c>
      <c r="E46" t="n">
        <v>65</v>
      </c>
    </row>
    <row r="47">
      <c r="A47" t="s">
        <v>311</v>
      </c>
      <c r="B47" t="n">
        <v>-0.25</v>
      </c>
      <c r="C47" t="n">
        <v>92</v>
      </c>
      <c r="D47" t="n">
        <v>-0.25</v>
      </c>
      <c r="E47" t="n">
        <v>69</v>
      </c>
    </row>
    <row r="48">
      <c r="A48" t="s">
        <v>311</v>
      </c>
      <c r="B48" t="n">
        <v>-0.75</v>
      </c>
      <c r="C48" t="n">
        <v>174</v>
      </c>
      <c r="D48" t="n">
        <v>-0.25</v>
      </c>
      <c r="E48" t="n">
        <v>32</v>
      </c>
    </row>
    <row r="49">
      <c r="A49" t="s">
        <v>312</v>
      </c>
      <c r="B49" t="n">
        <v>-1</v>
      </c>
      <c r="C49" t="n">
        <v>162</v>
      </c>
      <c r="D49" t="n">
        <v>0</v>
      </c>
      <c r="E49" t="n">
        <v>78</v>
      </c>
    </row>
    <row r="50">
      <c r="A50" t="s">
        <v>311</v>
      </c>
      <c r="B50" t="n">
        <v>-1</v>
      </c>
      <c r="C50" t="n">
        <v>177</v>
      </c>
      <c r="D50" t="n">
        <v>-0.25</v>
      </c>
      <c r="E50" t="n">
        <v>177</v>
      </c>
    </row>
    <row r="51">
      <c r="A51" t="s">
        <v>312</v>
      </c>
      <c r="B51" t="n">
        <v>-0.5</v>
      </c>
      <c r="C51" t="n">
        <v>86</v>
      </c>
      <c r="D51" t="n">
        <v>0</v>
      </c>
      <c r="E51" t="n">
        <v>85</v>
      </c>
    </row>
    <row r="52">
      <c r="A52" t="s">
        <v>311</v>
      </c>
      <c r="B52" t="n">
        <v>0</v>
      </c>
      <c r="C52" t="n">
        <v>99</v>
      </c>
      <c r="D52" t="n">
        <v>-0.25</v>
      </c>
      <c r="E52" t="n">
        <v>111</v>
      </c>
    </row>
    <row r="53">
      <c r="A53" t="s">
        <v>312</v>
      </c>
      <c r="B53" t="n">
        <v>-0.75</v>
      </c>
      <c r="C53" t="n">
        <v>6</v>
      </c>
      <c r="D53" t="n">
        <v>0</v>
      </c>
      <c r="E53" t="n">
        <v>26</v>
      </c>
    </row>
    <row r="54">
      <c r="A54" t="s">
        <v>311</v>
      </c>
      <c r="B54" t="n">
        <v>-0.75</v>
      </c>
      <c r="C54" t="n">
        <v>178</v>
      </c>
      <c r="D54" t="n">
        <v>-0.25</v>
      </c>
      <c r="E54" t="n">
        <v>4</v>
      </c>
    </row>
    <row r="55">
      <c r="A55" t="s">
        <v>312</v>
      </c>
      <c r="B55" t="n">
        <v>0</v>
      </c>
      <c r="C55" t="n">
        <v>7</v>
      </c>
      <c r="D55" t="n">
        <v>-0.5</v>
      </c>
      <c r="E55" t="n">
        <v>3</v>
      </c>
    </row>
    <row r="56">
      <c r="A56" t="s">
        <v>312</v>
      </c>
      <c r="B56" t="n">
        <v>-0.75</v>
      </c>
      <c r="C56" t="n">
        <v>170</v>
      </c>
      <c r="D56" t="n">
        <v>-0.25</v>
      </c>
      <c r="E56" t="n">
        <v>170</v>
      </c>
    </row>
    <row r="57">
      <c r="A57" t="s">
        <v>311</v>
      </c>
      <c r="B57" t="n">
        <v>0</v>
      </c>
      <c r="C57" t="n">
        <v>80</v>
      </c>
      <c r="D57" t="n">
        <v>0</v>
      </c>
      <c r="E57" t="n">
        <v>68</v>
      </c>
    </row>
    <row r="58">
      <c r="A58" t="s">
        <v>312</v>
      </c>
      <c r="B58" t="n">
        <v>-0.5</v>
      </c>
      <c r="C58" t="n">
        <v>167</v>
      </c>
      <c r="D58" t="n">
        <v>0</v>
      </c>
      <c r="E58" t="n">
        <v>24</v>
      </c>
    </row>
    <row r="59">
      <c r="A59" t="s">
        <v>311</v>
      </c>
      <c r="B59" t="n">
        <v>-1.5</v>
      </c>
      <c r="C59" t="n">
        <v>175</v>
      </c>
      <c r="D59" t="n">
        <v>0</v>
      </c>
      <c r="E59" t="n">
        <v>99</v>
      </c>
    </row>
    <row r="60">
      <c r="A60" t="s">
        <v>312</v>
      </c>
      <c r="B60" t="n">
        <v>-0.75</v>
      </c>
      <c r="C60" t="n">
        <v>173</v>
      </c>
      <c r="D60" t="n">
        <v>-0.25</v>
      </c>
      <c r="E60" t="n">
        <v>162</v>
      </c>
    </row>
    <row r="61">
      <c r="A61" t="s">
        <v>312</v>
      </c>
      <c r="B61" t="n">
        <v>-0.5</v>
      </c>
      <c r="C61" t="n">
        <v>11</v>
      </c>
      <c r="D61" t="n">
        <v>-0.25</v>
      </c>
      <c r="E61" t="n">
        <v>2</v>
      </c>
    </row>
    <row r="62">
      <c r="A62" t="s">
        <v>311</v>
      </c>
      <c r="B62" t="n">
        <v>-0.5</v>
      </c>
      <c r="C62" t="n">
        <v>76</v>
      </c>
      <c r="D62" t="n">
        <v>0</v>
      </c>
      <c r="E62" t="n">
        <v>34</v>
      </c>
    </row>
    <row r="63">
      <c r="A63" t="s">
        <v>312</v>
      </c>
      <c r="B63" t="n">
        <v>-1</v>
      </c>
      <c r="C63" t="n">
        <v>13</v>
      </c>
      <c r="D63" t="n">
        <v>-0.25</v>
      </c>
      <c r="E63" t="n">
        <v>16</v>
      </c>
    </row>
    <row r="64">
      <c r="A64" t="s">
        <v>311</v>
      </c>
      <c r="B64" t="n">
        <v>0</v>
      </c>
      <c r="C64" t="n">
        <v>95</v>
      </c>
      <c r="D64" t="n">
        <v>0</v>
      </c>
      <c r="E64" t="n">
        <v>114</v>
      </c>
    </row>
    <row r="65">
      <c r="A65" t="s">
        <v>312</v>
      </c>
      <c r="B65" t="n">
        <v>-1.25</v>
      </c>
      <c r="C65" t="n">
        <v>169</v>
      </c>
      <c r="D65" t="n">
        <v>-0.25</v>
      </c>
      <c r="E65" t="n">
        <v>176</v>
      </c>
    </row>
    <row r="66">
      <c r="A66" t="s">
        <v>311</v>
      </c>
      <c r="B66" t="n">
        <v>-1.25</v>
      </c>
      <c r="C66" t="n">
        <v>22</v>
      </c>
      <c r="D66" t="n">
        <v>-0.25</v>
      </c>
      <c r="E66" t="n">
        <v>33</v>
      </c>
    </row>
    <row r="67">
      <c r="A67" t="s">
        <v>312</v>
      </c>
      <c r="B67" t="n">
        <v>-2.75</v>
      </c>
      <c r="C67" t="n">
        <v>0</v>
      </c>
      <c r="D67" t="n">
        <v>-0.5</v>
      </c>
      <c r="E67" t="n">
        <v>155</v>
      </c>
    </row>
    <row r="68">
      <c r="A68" t="s">
        <v>312</v>
      </c>
      <c r="B68" t="n">
        <v>-0.5</v>
      </c>
      <c r="C68" t="n">
        <v>86</v>
      </c>
      <c r="D68" t="n">
        <v>-0.25</v>
      </c>
      <c r="E68" t="n">
        <v>118</v>
      </c>
    </row>
    <row r="69">
      <c r="A69" t="s">
        <v>311</v>
      </c>
      <c r="B69" t="n">
        <v>-0.25</v>
      </c>
      <c r="C69" t="n">
        <v>157</v>
      </c>
      <c r="D69" t="n">
        <v>0</v>
      </c>
      <c r="E69" t="n">
        <v>156</v>
      </c>
    </row>
    <row r="70">
      <c r="A70" t="s">
        <v>312</v>
      </c>
      <c r="B70" t="n">
        <v>-0.25</v>
      </c>
      <c r="C70" t="n">
        <v>85</v>
      </c>
      <c r="D70" t="n">
        <v>0</v>
      </c>
      <c r="E70" t="n">
        <v>63</v>
      </c>
    </row>
    <row r="71">
      <c r="A71" t="s">
        <v>312</v>
      </c>
      <c r="B71" t="n">
        <v>-0.25</v>
      </c>
      <c r="C71" t="n">
        <v>170</v>
      </c>
      <c r="D71" t="n">
        <v>0</v>
      </c>
      <c r="E71" t="n">
        <v>157</v>
      </c>
    </row>
    <row r="72">
      <c r="A72" t="s">
        <v>311</v>
      </c>
      <c r="B72" t="n">
        <v>-0.5</v>
      </c>
      <c r="C72" t="n">
        <v>18</v>
      </c>
      <c r="D72" t="n">
        <v>-0.5</v>
      </c>
      <c r="E72" t="n">
        <v>43</v>
      </c>
    </row>
    <row r="73">
      <c r="A73" t="s">
        <v>312</v>
      </c>
      <c r="B73" t="n">
        <v>-2.25</v>
      </c>
      <c r="C73" t="n">
        <v>82</v>
      </c>
      <c r="D73" t="n">
        <v>-0.5</v>
      </c>
      <c r="E73" t="n">
        <v>54</v>
      </c>
    </row>
    <row r="74">
      <c r="A74" t="s">
        <v>311</v>
      </c>
      <c r="B74" t="n">
        <v>-0.25</v>
      </c>
      <c r="C74" t="n">
        <v>40</v>
      </c>
      <c r="D74" t="n">
        <v>0</v>
      </c>
      <c r="E74" t="n">
        <v>17</v>
      </c>
    </row>
    <row r="75">
      <c r="A75" t="s">
        <v>312</v>
      </c>
      <c r="B75" t="n">
        <v>0</v>
      </c>
      <c r="C75" t="n">
        <v>169</v>
      </c>
      <c r="D75" t="n">
        <v>0</v>
      </c>
      <c r="E75" t="n">
        <v>145</v>
      </c>
    </row>
    <row r="76">
      <c r="A76" t="s">
        <v>311</v>
      </c>
      <c r="B76" t="n">
        <v>-0.5</v>
      </c>
      <c r="C76" t="n">
        <v>177</v>
      </c>
      <c r="D76" t="n">
        <v>-0.25</v>
      </c>
      <c r="E76" t="n">
        <v>9</v>
      </c>
    </row>
    <row r="77">
      <c r="A77" t="s">
        <v>312</v>
      </c>
      <c r="B77" t="n">
        <v>-0.25</v>
      </c>
      <c r="C77" t="n">
        <v>17</v>
      </c>
      <c r="D77" t="n">
        <v>-0.5</v>
      </c>
      <c r="E77" t="n">
        <v>178</v>
      </c>
    </row>
    <row r="78">
      <c r="A78" t="s">
        <v>311</v>
      </c>
      <c r="B78" t="n">
        <v>-1.5</v>
      </c>
      <c r="C78" t="n">
        <v>16</v>
      </c>
      <c r="D78" t="n">
        <v>0</v>
      </c>
      <c r="E78" t="n">
        <v>7</v>
      </c>
    </row>
    <row r="79">
      <c r="A79" t="s">
        <v>312</v>
      </c>
      <c r="B79" t="n">
        <v>-0.25</v>
      </c>
      <c r="C79" t="n">
        <v>5</v>
      </c>
      <c r="D79" t="n">
        <v>0</v>
      </c>
      <c r="E79" t="n">
        <v>149</v>
      </c>
    </row>
    <row r="80">
      <c r="A80" t="s">
        <v>311</v>
      </c>
      <c r="B80" t="n">
        <v>-0.5</v>
      </c>
      <c r="C80" t="n">
        <v>9</v>
      </c>
      <c r="D80" t="n">
        <v>-0.25</v>
      </c>
      <c r="E80" t="n">
        <v>15</v>
      </c>
    </row>
    <row r="81">
      <c r="A81" t="s">
        <v>311</v>
      </c>
      <c r="B81" t="n">
        <v>-0.5</v>
      </c>
      <c r="C81" t="n">
        <v>98</v>
      </c>
      <c r="D81" t="n">
        <v>-0.25</v>
      </c>
      <c r="E81" t="n">
        <v>77</v>
      </c>
    </row>
    <row r="82">
      <c r="A82" t="s">
        <v>312</v>
      </c>
      <c r="B82" t="n">
        <v>-1.25</v>
      </c>
      <c r="C82" t="n">
        <v>162</v>
      </c>
      <c r="D82" t="n">
        <v>-0.25</v>
      </c>
      <c r="E82" t="n">
        <v>148</v>
      </c>
    </row>
    <row r="83">
      <c r="A83" t="s">
        <v>312</v>
      </c>
      <c r="B83" t="n">
        <v>-0.5</v>
      </c>
      <c r="C83" t="n">
        <v>95</v>
      </c>
      <c r="D83" t="n">
        <v>-0.25</v>
      </c>
      <c r="E83" t="n">
        <v>95</v>
      </c>
    </row>
    <row r="84">
      <c r="A84" t="s">
        <v>312</v>
      </c>
      <c r="B84" t="n">
        <v>-0.5</v>
      </c>
      <c r="C84" t="n">
        <v>82</v>
      </c>
      <c r="D84" t="n">
        <v>-0.25</v>
      </c>
      <c r="E84" t="n">
        <v>61</v>
      </c>
    </row>
    <row r="85">
      <c r="A85" t="s">
        <v>312</v>
      </c>
      <c r="B85" t="n">
        <v>-1.25</v>
      </c>
      <c r="C85" t="n">
        <v>102</v>
      </c>
      <c r="D85" t="n">
        <v>-0.25</v>
      </c>
      <c r="E85" t="n">
        <v>93</v>
      </c>
    </row>
    <row r="86">
      <c r="A86" t="s">
        <v>312</v>
      </c>
      <c r="B86" t="n">
        <v>-0.5</v>
      </c>
      <c r="C86" t="n">
        <v>71</v>
      </c>
      <c r="D86" t="n">
        <v>-0.5</v>
      </c>
      <c r="E86" t="n">
        <v>96</v>
      </c>
    </row>
    <row r="87">
      <c r="A87" t="s">
        <v>311</v>
      </c>
      <c r="B87" t="n">
        <v>0</v>
      </c>
      <c r="C87" t="n">
        <v>80</v>
      </c>
      <c r="D87" t="n">
        <v>-0.25</v>
      </c>
      <c r="E87" t="n">
        <v>130</v>
      </c>
    </row>
    <row r="88">
      <c r="A88" t="s">
        <v>312</v>
      </c>
      <c r="B88" t="n">
        <v>-1.25</v>
      </c>
      <c r="C88" t="n">
        <v>165</v>
      </c>
      <c r="D88" t="n">
        <v>0</v>
      </c>
      <c r="E88" t="n">
        <v>14</v>
      </c>
    </row>
    <row r="89">
      <c r="A89" t="s">
        <v>311</v>
      </c>
      <c r="B89" t="n">
        <v>0</v>
      </c>
      <c r="C89" t="n">
        <v>149</v>
      </c>
      <c r="D89" t="n">
        <v>-0.5</v>
      </c>
      <c r="E89" t="n">
        <v>143</v>
      </c>
    </row>
    <row r="90">
      <c r="A90" t="s">
        <v>312</v>
      </c>
      <c r="B90" t="n">
        <v>-0.5</v>
      </c>
      <c r="C90" t="n">
        <v>2</v>
      </c>
      <c r="D90" t="n">
        <v>-0.25</v>
      </c>
      <c r="E90" t="n">
        <v>175</v>
      </c>
    </row>
    <row r="91">
      <c r="A91" t="s">
        <v>312</v>
      </c>
      <c r="B91" t="n">
        <v>-1</v>
      </c>
      <c r="C91" t="n">
        <v>152</v>
      </c>
      <c r="D91" t="n">
        <v>0</v>
      </c>
      <c r="E91" t="n">
        <v>156</v>
      </c>
    </row>
    <row r="92">
      <c r="A92" t="s">
        <v>311</v>
      </c>
      <c r="B92" t="n">
        <v>-1</v>
      </c>
      <c r="C92" t="n">
        <v>24</v>
      </c>
      <c r="D92" t="n">
        <v>-0.25</v>
      </c>
      <c r="E92" t="n">
        <v>15</v>
      </c>
    </row>
    <row r="93">
      <c r="A93" t="s">
        <v>311</v>
      </c>
      <c r="B93" t="n">
        <v>-1.5</v>
      </c>
      <c r="C93" t="n">
        <v>5</v>
      </c>
      <c r="D93" t="n">
        <v>-0.25</v>
      </c>
      <c r="E93" t="n">
        <v>172</v>
      </c>
    </row>
    <row r="94">
      <c r="A94" t="s">
        <v>312</v>
      </c>
      <c r="B94" t="n">
        <v>-0.75</v>
      </c>
      <c r="C94" t="n">
        <v>88</v>
      </c>
      <c r="D94" t="n">
        <v>-0.25</v>
      </c>
      <c r="E94" t="n">
        <v>81</v>
      </c>
    </row>
    <row r="95">
      <c r="A95" t="s">
        <v>311</v>
      </c>
      <c r="B95" t="n">
        <v>-0.25</v>
      </c>
      <c r="C95" t="n">
        <v>89</v>
      </c>
      <c r="D95" t="n">
        <v>-0.25</v>
      </c>
      <c r="E95" t="n">
        <v>103</v>
      </c>
    </row>
    <row r="96">
      <c r="A96" t="s">
        <v>311</v>
      </c>
      <c r="B96" t="n">
        <v>-0.5</v>
      </c>
      <c r="C96" t="n">
        <v>173</v>
      </c>
      <c r="D96" t="n">
        <v>-0.5</v>
      </c>
      <c r="E96" t="n">
        <v>24</v>
      </c>
    </row>
    <row r="97">
      <c r="A97" t="s">
        <v>312</v>
      </c>
      <c r="B97" t="n">
        <v>-0.5</v>
      </c>
      <c r="C97" t="n">
        <v>2</v>
      </c>
      <c r="D97" t="n">
        <v>-0.5</v>
      </c>
      <c r="E97" t="n">
        <v>19</v>
      </c>
    </row>
    <row r="98">
      <c r="A98" t="s">
        <v>312</v>
      </c>
      <c r="B98" t="n">
        <v>0</v>
      </c>
      <c r="C98" t="n">
        <v>1</v>
      </c>
      <c r="D98" t="n">
        <v>-0.25</v>
      </c>
      <c r="E98" t="n">
        <v>13</v>
      </c>
    </row>
    <row r="99">
      <c r="A99" t="s">
        <v>312</v>
      </c>
      <c r="B99" t="n">
        <v>-1</v>
      </c>
      <c r="C99" t="n">
        <v>110</v>
      </c>
      <c r="D99" t="n">
        <v>-0.25</v>
      </c>
      <c r="E99" t="n">
        <v>121</v>
      </c>
    </row>
    <row r="100">
      <c r="A100" t="s">
        <v>312</v>
      </c>
      <c r="B100" t="n">
        <v>-1.25</v>
      </c>
      <c r="C100" t="n">
        <v>14</v>
      </c>
      <c r="D100" t="n">
        <v>-0.25</v>
      </c>
      <c r="E100" t="n">
        <v>13</v>
      </c>
    </row>
    <row r="101">
      <c r="A101" t="s">
        <v>312</v>
      </c>
      <c r="B101" t="n">
        <v>-1.25</v>
      </c>
      <c r="C101" t="n">
        <v>163</v>
      </c>
      <c r="D101" t="n">
        <v>0</v>
      </c>
      <c r="E101" t="n">
        <v>5</v>
      </c>
    </row>
    <row r="102">
      <c r="A102" t="s">
        <v>311</v>
      </c>
      <c r="B102" t="n">
        <v>-1</v>
      </c>
      <c r="C102" t="n">
        <v>94</v>
      </c>
      <c r="D102" t="n">
        <v>0</v>
      </c>
      <c r="E102" t="n">
        <v>104</v>
      </c>
    </row>
    <row r="103">
      <c r="A103" t="s">
        <v>312</v>
      </c>
      <c r="B103" t="n">
        <v>-0.75</v>
      </c>
      <c r="C103" t="n">
        <v>89</v>
      </c>
      <c r="D103" t="n">
        <v>-0.25</v>
      </c>
      <c r="E103" t="n">
        <v>74</v>
      </c>
    </row>
    <row r="104">
      <c r="A104" t="s">
        <v>311</v>
      </c>
      <c r="B104" t="n">
        <v>-2.5</v>
      </c>
      <c r="C104" t="n">
        <v>20</v>
      </c>
      <c r="D104" t="n">
        <v>0</v>
      </c>
      <c r="E104" t="n">
        <v>33</v>
      </c>
    </row>
    <row r="105">
      <c r="A105" t="s">
        <v>311</v>
      </c>
      <c r="B105" t="n">
        <v>-0.75</v>
      </c>
      <c r="C105" t="n">
        <v>15</v>
      </c>
      <c r="D105" t="n">
        <v>0</v>
      </c>
      <c r="E105" t="n">
        <v>108</v>
      </c>
    </row>
    <row r="106">
      <c r="A106" t="s">
        <v>312</v>
      </c>
      <c r="B106" t="n">
        <v>-1</v>
      </c>
      <c r="C106" t="n">
        <v>60</v>
      </c>
      <c r="D106" t="n">
        <v>0</v>
      </c>
      <c r="E106" t="n">
        <v>130</v>
      </c>
    </row>
    <row r="107">
      <c r="A107" t="s">
        <v>311</v>
      </c>
      <c r="B107" t="n">
        <v>-0.25</v>
      </c>
      <c r="C107" t="n">
        <v>99</v>
      </c>
      <c r="D107" t="n">
        <v>-0.25</v>
      </c>
      <c r="E107" t="n">
        <v>110</v>
      </c>
    </row>
    <row r="108">
      <c r="A108" t="s">
        <v>311</v>
      </c>
      <c r="B108" t="n">
        <v>-0.25</v>
      </c>
      <c r="C108" t="n">
        <v>12</v>
      </c>
      <c r="D108" t="n">
        <v>-0.25</v>
      </c>
      <c r="E108" t="n">
        <v>34</v>
      </c>
    </row>
    <row r="109">
      <c r="A109" t="s">
        <v>312</v>
      </c>
      <c r="B109" t="n">
        <v>-0.5</v>
      </c>
      <c r="C109" t="n">
        <v>158</v>
      </c>
      <c r="D109" t="n">
        <v>-0.5</v>
      </c>
      <c r="E109" t="n">
        <v>158</v>
      </c>
    </row>
    <row r="110">
      <c r="A110" t="s">
        <v>312</v>
      </c>
      <c r="B110" t="n">
        <v>-0.5</v>
      </c>
      <c r="C110" t="n">
        <v>177</v>
      </c>
      <c r="D110" t="n">
        <v>-0.25</v>
      </c>
      <c r="E110" t="n">
        <v>14</v>
      </c>
    </row>
    <row r="111">
      <c r="A111" t="s">
        <v>311</v>
      </c>
      <c r="B111" t="n">
        <v>-0.25</v>
      </c>
      <c r="C111" t="n">
        <v>81</v>
      </c>
      <c r="D111" t="n">
        <v>-0.25</v>
      </c>
      <c r="E111" t="n">
        <v>104</v>
      </c>
    </row>
    <row r="112">
      <c r="A112" t="s">
        <v>311</v>
      </c>
      <c r="B112" t="n">
        <v>-0.5</v>
      </c>
      <c r="C112" t="n">
        <v>91</v>
      </c>
      <c r="D112" t="n">
        <v>0</v>
      </c>
      <c r="E112" t="n">
        <v>93</v>
      </c>
    </row>
    <row r="113">
      <c r="A113" t="s">
        <v>311</v>
      </c>
      <c r="B113" t="n">
        <v>0</v>
      </c>
      <c r="C113" t="n">
        <v>166</v>
      </c>
      <c r="D113" t="n">
        <v>0</v>
      </c>
      <c r="E113" t="n">
        <v>5</v>
      </c>
    </row>
    <row r="114">
      <c r="A114" t="s">
        <v>312</v>
      </c>
      <c r="B114" t="n">
        <v>0</v>
      </c>
      <c r="C114" t="n">
        <v>87</v>
      </c>
      <c r="D114" t="n">
        <v>0</v>
      </c>
      <c r="E114" t="n">
        <v>97</v>
      </c>
    </row>
    <row r="115">
      <c r="A115" t="s">
        <v>312</v>
      </c>
      <c r="B115" t="n">
        <v>0</v>
      </c>
      <c r="C115" t="n">
        <v>146</v>
      </c>
      <c r="D115" t="n">
        <v>-0.25</v>
      </c>
      <c r="E115" t="n">
        <v>116</v>
      </c>
    </row>
    <row r="116">
      <c r="A116" t="s">
        <v>311</v>
      </c>
      <c r="B116" t="n">
        <v>-0.25</v>
      </c>
      <c r="C116" t="n">
        <v>152</v>
      </c>
      <c r="D116" t="n">
        <v>0</v>
      </c>
      <c r="E116" t="n">
        <v>57</v>
      </c>
    </row>
    <row r="117">
      <c r="A117" t="s">
        <v>311</v>
      </c>
      <c r="B117" t="n">
        <v>-1.25</v>
      </c>
      <c r="C117" t="n">
        <v>105</v>
      </c>
      <c r="D117" t="n">
        <v>-0.5</v>
      </c>
      <c r="E117" t="n">
        <v>107</v>
      </c>
    </row>
    <row r="118">
      <c r="A118" t="s">
        <v>312</v>
      </c>
      <c r="B118" t="n">
        <v>-0.5</v>
      </c>
      <c r="C118" t="n">
        <v>78</v>
      </c>
      <c r="D118" t="n">
        <v>-0.25</v>
      </c>
      <c r="E118" t="n">
        <v>65</v>
      </c>
    </row>
    <row r="119">
      <c r="A119" t="s">
        <v>311</v>
      </c>
      <c r="B119" t="n">
        <v>-0.25</v>
      </c>
      <c r="C119" t="n">
        <v>179</v>
      </c>
      <c r="D119" t="n">
        <v>-0.25</v>
      </c>
      <c r="E119" t="n">
        <v>24</v>
      </c>
    </row>
    <row r="120">
      <c r="A120" t="s">
        <v>312</v>
      </c>
      <c r="B120" t="n">
        <v>-0.25</v>
      </c>
      <c r="C120" t="n">
        <v>102</v>
      </c>
      <c r="D120" t="n">
        <v>-0.25</v>
      </c>
      <c r="E120" t="n">
        <v>81</v>
      </c>
    </row>
    <row r="121">
      <c r="A121" t="s">
        <v>311</v>
      </c>
      <c r="B121" t="n">
        <v>-2.75</v>
      </c>
      <c r="C121" t="n">
        <v>43</v>
      </c>
      <c r="D121" t="n">
        <v>-0.25</v>
      </c>
      <c r="E121" t="n">
        <v>47</v>
      </c>
    </row>
    <row r="122">
      <c r="A122" t="s">
        <v>311</v>
      </c>
      <c r="B122" t="n">
        <v>-0.25</v>
      </c>
      <c r="C122" t="n">
        <v>76</v>
      </c>
      <c r="D122" t="n">
        <v>-0.5</v>
      </c>
      <c r="E122" t="n">
        <v>66</v>
      </c>
    </row>
    <row r="123">
      <c r="A123" t="s">
        <v>311</v>
      </c>
      <c r="B123" t="n">
        <v>-1.5</v>
      </c>
      <c r="C123" t="n">
        <v>3</v>
      </c>
      <c r="D123" t="n">
        <v>-0.25</v>
      </c>
      <c r="E123" t="n">
        <v>2</v>
      </c>
    </row>
    <row r="124">
      <c r="A124" t="s">
        <v>312</v>
      </c>
      <c r="B124" t="n">
        <v>-0.75</v>
      </c>
      <c r="C124" t="n">
        <v>32</v>
      </c>
      <c r="D124" t="n">
        <v>-0.25</v>
      </c>
      <c r="E124" t="n">
        <v>23</v>
      </c>
    </row>
    <row r="125">
      <c r="A125" t="s">
        <v>312</v>
      </c>
      <c r="B125" t="n">
        <v>-0.5</v>
      </c>
      <c r="C125" t="n">
        <v>40</v>
      </c>
      <c r="D125" t="n">
        <v>0</v>
      </c>
      <c r="E125" t="n">
        <v>109</v>
      </c>
    </row>
    <row r="126">
      <c r="A126" t="s">
        <v>312</v>
      </c>
      <c r="B126" t="n">
        <v>-0.5</v>
      </c>
      <c r="C126" t="n">
        <v>2</v>
      </c>
      <c r="D126" t="n">
        <v>-0.25</v>
      </c>
      <c r="E126" t="n">
        <v>171</v>
      </c>
    </row>
    <row r="127">
      <c r="A127" t="s">
        <v>312</v>
      </c>
      <c r="B127" t="n">
        <v>-1</v>
      </c>
      <c r="C127" t="n">
        <v>11</v>
      </c>
      <c r="D127" t="n">
        <v>0</v>
      </c>
      <c r="E127" t="n">
        <v>167</v>
      </c>
    </row>
  </sheetData>
  <pageMargins left="0.7" right="0.7" top="0.75" bottom="0.75" header="0.3" footer="0.3"/>
  <pageSetup paperSize="9" orientation="portrait" horizontalDpi="300" verticalDpi="300" r:id="rId2"/>
  <tableParts count="1">
    <tablePart r:id="rId6"/>
  </tableParts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306</v>
      </c>
      <c r="B1" t="s">
        <v>307</v>
      </c>
      <c r="C1" t="s">
        <v>308</v>
      </c>
      <c r="D1" t="s">
        <v>309</v>
      </c>
      <c r="E1" t="s">
        <v>310</v>
      </c>
    </row>
    <row r="2">
      <c r="A2" t="s">
        <v>312</v>
      </c>
      <c r="B2" t="n">
        <v>-0.25</v>
      </c>
      <c r="C2" t="n">
        <v>48</v>
      </c>
      <c r="D2" t="n">
        <v>0</v>
      </c>
      <c r="E2" t="n">
        <v>108</v>
      </c>
    </row>
    <row r="3">
      <c r="A3" t="s">
        <v>311</v>
      </c>
      <c r="B3" t="n">
        <v>-1.25</v>
      </c>
      <c r="C3" t="n">
        <v>12</v>
      </c>
      <c r="D3" t="n">
        <v>-0.25</v>
      </c>
      <c r="E3" t="n">
        <v>8</v>
      </c>
    </row>
    <row r="4">
      <c r="A4" t="s">
        <v>312</v>
      </c>
      <c r="B4" t="n">
        <v>-1.25</v>
      </c>
      <c r="C4" t="n">
        <v>174</v>
      </c>
      <c r="D4" t="n">
        <v>-0.25</v>
      </c>
      <c r="E4" t="n">
        <v>162</v>
      </c>
    </row>
    <row r="5">
      <c r="A5" t="s">
        <v>311</v>
      </c>
      <c r="B5" t="n">
        <v>-0.25</v>
      </c>
      <c r="C5" t="n">
        <v>99</v>
      </c>
      <c r="D5" t="n">
        <v>-0.25</v>
      </c>
      <c r="E5" t="n">
        <v>87</v>
      </c>
    </row>
    <row r="6">
      <c r="A6" t="s">
        <v>312</v>
      </c>
      <c r="B6" t="n">
        <v>-0.25</v>
      </c>
      <c r="C6" t="n">
        <v>94</v>
      </c>
      <c r="D6" t="n">
        <v>0</v>
      </c>
      <c r="E6" t="n">
        <v>154</v>
      </c>
    </row>
    <row r="7">
      <c r="A7" t="s">
        <v>311</v>
      </c>
      <c r="B7" t="n">
        <v>0</v>
      </c>
      <c r="C7" t="n">
        <v>96</v>
      </c>
      <c r="D7" t="n">
        <v>0</v>
      </c>
      <c r="E7" t="n">
        <v>82</v>
      </c>
    </row>
    <row r="8">
      <c r="A8" t="s">
        <v>311</v>
      </c>
      <c r="B8" t="n">
        <v>-0.5</v>
      </c>
      <c r="C8" t="n">
        <v>159</v>
      </c>
      <c r="D8" t="n">
        <v>-0.5</v>
      </c>
      <c r="E8" t="n">
        <v>128</v>
      </c>
    </row>
    <row r="9">
      <c r="A9" t="s">
        <v>312</v>
      </c>
      <c r="B9" t="n">
        <v>-0.25</v>
      </c>
      <c r="C9" t="n">
        <v>94</v>
      </c>
      <c r="D9" t="n">
        <v>0</v>
      </c>
      <c r="E9" t="n">
        <v>70</v>
      </c>
    </row>
    <row r="10">
      <c r="A10" t="s">
        <v>311</v>
      </c>
      <c r="B10" t="n">
        <v>-1.25</v>
      </c>
      <c r="C10" t="n">
        <v>96</v>
      </c>
      <c r="D10" t="n">
        <v>0</v>
      </c>
      <c r="E10" t="n">
        <v>99</v>
      </c>
    </row>
    <row r="11">
      <c r="A11" t="s">
        <v>311</v>
      </c>
      <c r="B11" t="n">
        <v>-1.25</v>
      </c>
      <c r="C11" t="n">
        <v>32</v>
      </c>
      <c r="D11" t="n">
        <v>0</v>
      </c>
      <c r="E11" t="n">
        <v>43</v>
      </c>
    </row>
    <row r="12">
      <c r="A12" t="s">
        <v>311</v>
      </c>
      <c r="B12" t="n">
        <v>-0.5</v>
      </c>
      <c r="C12" t="n">
        <v>24</v>
      </c>
      <c r="D12" t="n">
        <v>0</v>
      </c>
      <c r="E12" t="n">
        <v>17</v>
      </c>
    </row>
    <row r="13">
      <c r="A13" t="s">
        <v>312</v>
      </c>
      <c r="B13" t="n">
        <v>-0.25</v>
      </c>
      <c r="C13" t="n">
        <v>164</v>
      </c>
      <c r="D13" t="n">
        <v>-0.25</v>
      </c>
      <c r="E13" t="n">
        <v>159</v>
      </c>
    </row>
    <row r="14">
      <c r="A14" t="s">
        <v>311</v>
      </c>
      <c r="B14" t="n">
        <v>-0.5</v>
      </c>
      <c r="C14" t="n">
        <v>172</v>
      </c>
      <c r="D14" t="n">
        <v>-0.25</v>
      </c>
      <c r="E14" t="n">
        <v>142</v>
      </c>
    </row>
    <row r="15">
      <c r="A15" t="s">
        <v>312</v>
      </c>
      <c r="B15" t="n">
        <v>-1.25</v>
      </c>
      <c r="C15" t="n">
        <v>179</v>
      </c>
      <c r="D15" t="n">
        <v>0</v>
      </c>
      <c r="E15" t="n">
        <v>155</v>
      </c>
    </row>
    <row r="16">
      <c r="A16" t="s">
        <v>311</v>
      </c>
      <c r="B16" t="n">
        <v>-0.25</v>
      </c>
      <c r="C16" t="n">
        <v>11</v>
      </c>
      <c r="D16" t="n">
        <v>-0.25</v>
      </c>
      <c r="E16" t="n">
        <v>169</v>
      </c>
    </row>
    <row r="17">
      <c r="A17" t="s">
        <v>312</v>
      </c>
      <c r="B17" t="n">
        <v>-0.5</v>
      </c>
      <c r="C17" t="n">
        <v>167</v>
      </c>
      <c r="D17" t="n">
        <v>-0.75</v>
      </c>
      <c r="E17" t="n">
        <v>3</v>
      </c>
    </row>
    <row r="18">
      <c r="A18" t="s">
        <v>311</v>
      </c>
      <c r="B18" t="n">
        <v>-0.75</v>
      </c>
      <c r="C18" t="n">
        <v>94</v>
      </c>
      <c r="D18" t="n">
        <v>-0.25</v>
      </c>
      <c r="E18" t="n">
        <v>63</v>
      </c>
    </row>
    <row r="19">
      <c r="A19" t="s">
        <v>312</v>
      </c>
      <c r="B19" t="n">
        <v>-1.5</v>
      </c>
      <c r="C19" t="n">
        <v>174</v>
      </c>
      <c r="D19" t="n">
        <v>-0.25</v>
      </c>
      <c r="E19" t="n">
        <v>1</v>
      </c>
    </row>
    <row r="20">
      <c r="A20" t="s">
        <v>311</v>
      </c>
      <c r="B20" t="n">
        <v>-0.5</v>
      </c>
      <c r="C20" t="n">
        <v>9</v>
      </c>
      <c r="D20" t="n">
        <v>-0.25</v>
      </c>
      <c r="E20" t="n">
        <v>175</v>
      </c>
    </row>
    <row r="21">
      <c r="A21" t="s">
        <v>311</v>
      </c>
      <c r="B21" t="n">
        <v>-0.5</v>
      </c>
      <c r="C21" t="n">
        <v>89</v>
      </c>
      <c r="D21" t="n">
        <v>-0.5</v>
      </c>
      <c r="E21" t="n">
        <v>109</v>
      </c>
    </row>
    <row r="22">
      <c r="A22" t="s">
        <v>312</v>
      </c>
      <c r="B22" t="n">
        <v>-1.5</v>
      </c>
      <c r="C22" t="n">
        <v>100</v>
      </c>
      <c r="D22" t="n">
        <v>-0.5</v>
      </c>
      <c r="E22" t="n">
        <v>95</v>
      </c>
    </row>
    <row r="23">
      <c r="A23" t="s">
        <v>311</v>
      </c>
      <c r="B23" t="n">
        <v>-0.25</v>
      </c>
      <c r="C23" t="n">
        <v>100</v>
      </c>
      <c r="D23" t="n">
        <v>-0.5</v>
      </c>
      <c r="E23" t="n">
        <v>74</v>
      </c>
    </row>
    <row r="24">
      <c r="A24" t="s">
        <v>312</v>
      </c>
      <c r="B24" t="n">
        <v>-0.5</v>
      </c>
      <c r="C24" t="n">
        <v>4</v>
      </c>
      <c r="D24" t="n">
        <v>-0.25</v>
      </c>
      <c r="E24" t="n">
        <v>179</v>
      </c>
    </row>
    <row r="25">
      <c r="A25" t="s">
        <v>311</v>
      </c>
      <c r="B25" t="n">
        <v>-0.75</v>
      </c>
      <c r="C25" t="n">
        <v>159</v>
      </c>
      <c r="D25" t="n">
        <v>-0.25</v>
      </c>
      <c r="E25" t="n">
        <v>175</v>
      </c>
    </row>
    <row r="26">
      <c r="A26" t="s">
        <v>312</v>
      </c>
      <c r="B26" t="n">
        <v>-1</v>
      </c>
      <c r="C26" t="n">
        <v>180</v>
      </c>
      <c r="D26" t="n">
        <v>-0.25</v>
      </c>
      <c r="E26" t="n">
        <v>13</v>
      </c>
    </row>
    <row r="27">
      <c r="A27" t="s">
        <v>311</v>
      </c>
      <c r="B27" t="n">
        <v>-1.25</v>
      </c>
      <c r="C27" t="n">
        <v>179</v>
      </c>
      <c r="D27" t="n">
        <v>0</v>
      </c>
      <c r="E27" t="n">
        <v>12</v>
      </c>
    </row>
    <row r="28">
      <c r="A28" t="s">
        <v>312</v>
      </c>
      <c r="B28" t="n">
        <v>-0.75</v>
      </c>
      <c r="C28" t="n">
        <v>6</v>
      </c>
      <c r="D28" t="n">
        <v>0</v>
      </c>
      <c r="E28" t="n">
        <v>23</v>
      </c>
    </row>
    <row r="29">
      <c r="A29" t="s">
        <v>312</v>
      </c>
      <c r="B29" t="n">
        <v>-0.25</v>
      </c>
      <c r="C29" t="n">
        <v>157</v>
      </c>
      <c r="D29" t="n">
        <v>-0.25</v>
      </c>
      <c r="E29" t="n">
        <v>128</v>
      </c>
    </row>
    <row r="30">
      <c r="A30" t="s">
        <v>311</v>
      </c>
      <c r="B30" t="n">
        <v>-1.5</v>
      </c>
      <c r="C30" t="n">
        <v>0</v>
      </c>
      <c r="D30" t="n">
        <v>0</v>
      </c>
      <c r="E30" t="n">
        <v>5</v>
      </c>
    </row>
    <row r="31">
      <c r="A31" t="s">
        <v>311</v>
      </c>
      <c r="B31" t="n">
        <v>0</v>
      </c>
      <c r="C31" t="n">
        <v>100</v>
      </c>
      <c r="D31" t="n">
        <v>-0.5</v>
      </c>
      <c r="E31" t="n">
        <v>87</v>
      </c>
    </row>
    <row r="32">
      <c r="A32" t="s">
        <v>312</v>
      </c>
      <c r="B32" t="n">
        <v>-0.75</v>
      </c>
      <c r="C32" t="n">
        <v>13</v>
      </c>
      <c r="D32" t="n">
        <v>0</v>
      </c>
      <c r="E32" t="n">
        <v>9</v>
      </c>
    </row>
    <row r="33">
      <c r="A33" t="s">
        <v>311</v>
      </c>
      <c r="B33" t="n">
        <v>-0.5</v>
      </c>
      <c r="C33" t="n">
        <v>38</v>
      </c>
      <c r="D33" t="n">
        <v>-0.5</v>
      </c>
      <c r="E33" t="n">
        <v>3</v>
      </c>
    </row>
    <row r="34">
      <c r="A34" t="s">
        <v>312</v>
      </c>
      <c r="B34" t="n">
        <v>-0.5</v>
      </c>
      <c r="C34" t="n">
        <v>179</v>
      </c>
      <c r="D34" t="n">
        <v>-0.75</v>
      </c>
      <c r="E34" t="n">
        <v>0</v>
      </c>
    </row>
    <row r="35">
      <c r="A35" t="s">
        <v>311</v>
      </c>
      <c r="B35" t="n">
        <v>-0.75</v>
      </c>
      <c r="C35" t="n">
        <v>21</v>
      </c>
      <c r="D35" t="n">
        <v>-0.5</v>
      </c>
      <c r="E35" t="n">
        <v>28</v>
      </c>
    </row>
    <row r="36">
      <c r="A36" t="s">
        <v>312</v>
      </c>
      <c r="B36" t="n">
        <v>-1</v>
      </c>
      <c r="C36" t="n">
        <v>77</v>
      </c>
      <c r="D36" t="n">
        <v>0</v>
      </c>
      <c r="E36" t="n">
        <v>72</v>
      </c>
    </row>
    <row r="37">
      <c r="A37" t="s">
        <v>312</v>
      </c>
      <c r="B37" t="n">
        <v>-2.5</v>
      </c>
      <c r="C37" t="n">
        <v>104</v>
      </c>
      <c r="D37" t="n">
        <v>-0.25</v>
      </c>
      <c r="E37" t="n">
        <v>105</v>
      </c>
    </row>
    <row r="38">
      <c r="A38" t="s">
        <v>312</v>
      </c>
      <c r="B38" t="n">
        <v>-0.25</v>
      </c>
      <c r="C38" t="n">
        <v>10</v>
      </c>
      <c r="D38" t="n">
        <v>-0.25</v>
      </c>
      <c r="E38" t="n">
        <v>172</v>
      </c>
    </row>
    <row r="39">
      <c r="A39" t="s">
        <v>312</v>
      </c>
      <c r="B39" t="n">
        <v>-0.5</v>
      </c>
      <c r="C39" t="n">
        <v>87</v>
      </c>
      <c r="D39" t="n">
        <v>-0.25</v>
      </c>
      <c r="E39" t="n">
        <v>90</v>
      </c>
    </row>
    <row r="40">
      <c r="A40" t="s">
        <v>311</v>
      </c>
      <c r="B40" t="n">
        <v>-1.25</v>
      </c>
      <c r="C40" t="n">
        <v>165</v>
      </c>
      <c r="D40" t="n">
        <v>-0.25</v>
      </c>
      <c r="E40" t="n">
        <v>156</v>
      </c>
    </row>
    <row r="41">
      <c r="A41" t="s">
        <v>311</v>
      </c>
      <c r="B41" t="n">
        <v>-1.25</v>
      </c>
      <c r="C41" t="n">
        <v>13</v>
      </c>
      <c r="D41" t="n">
        <v>-0.5</v>
      </c>
      <c r="E41" t="n">
        <v>164</v>
      </c>
    </row>
    <row r="42">
      <c r="A42" t="s">
        <v>312</v>
      </c>
      <c r="B42" t="n">
        <v>0</v>
      </c>
      <c r="C42" t="n">
        <v>84</v>
      </c>
      <c r="D42" t="n">
        <v>-0.25</v>
      </c>
      <c r="E42" t="n">
        <v>161</v>
      </c>
    </row>
    <row r="43">
      <c r="A43" t="s">
        <v>311</v>
      </c>
      <c r="B43" t="n">
        <v>-1</v>
      </c>
      <c r="C43" t="n">
        <v>176</v>
      </c>
      <c r="D43" t="n">
        <v>-0.25</v>
      </c>
      <c r="E43" t="n">
        <v>31</v>
      </c>
    </row>
    <row r="44">
      <c r="A44" t="s">
        <v>312</v>
      </c>
      <c r="B44" t="n">
        <v>-2.75</v>
      </c>
      <c r="C44" t="n">
        <v>8</v>
      </c>
      <c r="D44" t="n">
        <v>-0.25</v>
      </c>
      <c r="E44" t="n">
        <v>177</v>
      </c>
    </row>
    <row r="45">
      <c r="A45" t="s">
        <v>311</v>
      </c>
      <c r="B45" t="n">
        <v>0</v>
      </c>
      <c r="C45" t="n">
        <v>174</v>
      </c>
      <c r="D45" t="n">
        <v>-0.25</v>
      </c>
      <c r="E45" t="n">
        <v>116</v>
      </c>
    </row>
    <row r="46">
      <c r="A46" t="s">
        <v>311</v>
      </c>
      <c r="B46" t="n">
        <v>-0.75</v>
      </c>
      <c r="C46" t="n">
        <v>103</v>
      </c>
      <c r="D46" t="n">
        <v>0</v>
      </c>
      <c r="E46" t="n">
        <v>88</v>
      </c>
    </row>
    <row r="47">
      <c r="A47" t="s">
        <v>312</v>
      </c>
      <c r="B47" t="n">
        <v>-0.5</v>
      </c>
      <c r="C47" t="n">
        <v>2</v>
      </c>
      <c r="D47" t="n">
        <v>-0.25</v>
      </c>
      <c r="E47" t="n">
        <v>0</v>
      </c>
    </row>
    <row r="48">
      <c r="A48" t="s">
        <v>311</v>
      </c>
      <c r="B48" t="n">
        <v>-0.75</v>
      </c>
      <c r="C48" t="n">
        <v>81</v>
      </c>
      <c r="D48" t="n">
        <v>-0.5</v>
      </c>
      <c r="E48" t="n">
        <v>85</v>
      </c>
    </row>
    <row r="49">
      <c r="A49" t="s">
        <v>312</v>
      </c>
      <c r="B49" t="n">
        <v>-1.5</v>
      </c>
      <c r="C49" t="n">
        <v>165</v>
      </c>
      <c r="D49" t="n">
        <v>-0.5</v>
      </c>
      <c r="E49" t="n">
        <v>179</v>
      </c>
    </row>
    <row r="50">
      <c r="A50" t="s">
        <v>312</v>
      </c>
      <c r="B50" t="n">
        <v>-1.25</v>
      </c>
      <c r="C50" t="n">
        <v>102</v>
      </c>
      <c r="D50" t="n">
        <v>-0.5</v>
      </c>
      <c r="E50" t="n">
        <v>100</v>
      </c>
    </row>
    <row r="51">
      <c r="A51" t="s">
        <v>311</v>
      </c>
      <c r="B51" t="n">
        <v>-0.5</v>
      </c>
      <c r="C51" t="n">
        <v>18</v>
      </c>
      <c r="D51" t="n">
        <v>-0.25</v>
      </c>
      <c r="E51" t="n">
        <v>166</v>
      </c>
    </row>
    <row r="52">
      <c r="A52" t="s">
        <v>311</v>
      </c>
      <c r="B52" t="n">
        <v>-0.5</v>
      </c>
      <c r="C52" t="n">
        <v>167</v>
      </c>
      <c r="D52" t="n">
        <v>0</v>
      </c>
      <c r="E52" t="n">
        <v>64</v>
      </c>
    </row>
    <row r="53">
      <c r="A53" t="s">
        <v>311</v>
      </c>
      <c r="B53" t="n">
        <v>0</v>
      </c>
      <c r="C53" t="n">
        <v>178</v>
      </c>
      <c r="D53" t="n">
        <v>-0.25</v>
      </c>
      <c r="E53" t="n">
        <v>41</v>
      </c>
    </row>
    <row r="54">
      <c r="A54" t="s">
        <v>312</v>
      </c>
      <c r="B54" t="n">
        <v>-1</v>
      </c>
      <c r="C54" t="n">
        <v>18</v>
      </c>
      <c r="D54" t="n">
        <v>-0.25</v>
      </c>
      <c r="E54" t="n">
        <v>174</v>
      </c>
    </row>
    <row r="55">
      <c r="A55" t="s">
        <v>312</v>
      </c>
      <c r="B55" t="n">
        <v>-2.75</v>
      </c>
      <c r="C55" t="n">
        <v>20</v>
      </c>
      <c r="D55" t="n">
        <v>0</v>
      </c>
      <c r="E55" t="n">
        <v>26</v>
      </c>
    </row>
    <row r="56">
      <c r="A56" t="s">
        <v>311</v>
      </c>
      <c r="B56" t="n">
        <v>-0.5</v>
      </c>
      <c r="C56" t="n">
        <v>12</v>
      </c>
      <c r="D56" t="n">
        <v>-0.25</v>
      </c>
      <c r="E56" t="n">
        <v>54</v>
      </c>
    </row>
    <row r="57">
      <c r="A57" t="s">
        <v>312</v>
      </c>
      <c r="B57" t="n">
        <v>-0.25</v>
      </c>
      <c r="C57" t="n">
        <v>37</v>
      </c>
      <c r="D57" t="n">
        <v>-0.25</v>
      </c>
      <c r="E57" t="n">
        <v>48</v>
      </c>
    </row>
    <row r="58">
      <c r="A58" t="s">
        <v>311</v>
      </c>
      <c r="B58" t="n">
        <v>-1</v>
      </c>
      <c r="C58" t="n">
        <v>12</v>
      </c>
      <c r="D58" t="n">
        <v>-0.25</v>
      </c>
      <c r="E58" t="n">
        <v>32</v>
      </c>
    </row>
    <row r="59">
      <c r="A59" t="s">
        <v>311</v>
      </c>
      <c r="B59" t="n">
        <v>-0.75</v>
      </c>
      <c r="C59" t="n">
        <v>180</v>
      </c>
      <c r="D59" t="n">
        <v>-0.5</v>
      </c>
      <c r="E59" t="n">
        <v>167</v>
      </c>
    </row>
    <row r="60">
      <c r="A60" t="s">
        <v>311</v>
      </c>
      <c r="B60" t="n">
        <v>-0.25</v>
      </c>
      <c r="C60" t="n">
        <v>78</v>
      </c>
      <c r="D60" t="n">
        <v>-0.25</v>
      </c>
      <c r="E60" t="n">
        <v>78</v>
      </c>
    </row>
    <row r="61">
      <c r="A61" t="s">
        <v>312</v>
      </c>
      <c r="B61" t="n">
        <v>-0.25</v>
      </c>
      <c r="C61" t="n">
        <v>169</v>
      </c>
      <c r="D61" t="n">
        <v>0</v>
      </c>
      <c r="E61" t="n">
        <v>82</v>
      </c>
    </row>
    <row r="62">
      <c r="A62" t="s">
        <v>311</v>
      </c>
      <c r="B62" t="n">
        <v>-0.25</v>
      </c>
      <c r="C62" t="n">
        <v>12</v>
      </c>
      <c r="D62" t="n">
        <v>-0.25</v>
      </c>
      <c r="E62" t="n">
        <v>3</v>
      </c>
    </row>
    <row r="63">
      <c r="A63" t="s">
        <v>312</v>
      </c>
      <c r="B63" t="n">
        <v>-0.75</v>
      </c>
      <c r="C63" t="n">
        <v>77</v>
      </c>
      <c r="D63" t="n">
        <v>-0.25</v>
      </c>
      <c r="E63" t="n">
        <v>117</v>
      </c>
    </row>
    <row r="64">
      <c r="A64" t="s">
        <v>311</v>
      </c>
      <c r="B64" t="n">
        <v>-0.75</v>
      </c>
      <c r="C64" t="n">
        <v>7</v>
      </c>
      <c r="D64" t="n">
        <v>0</v>
      </c>
      <c r="E64" t="n">
        <v>13</v>
      </c>
    </row>
    <row r="65">
      <c r="A65" t="s">
        <v>311</v>
      </c>
      <c r="B65" t="n">
        <v>-0.5</v>
      </c>
      <c r="C65" t="n">
        <v>156</v>
      </c>
      <c r="D65" t="n">
        <v>-0.5</v>
      </c>
      <c r="E65" t="n">
        <v>1</v>
      </c>
    </row>
    <row r="66">
      <c r="A66" t="s">
        <v>312</v>
      </c>
      <c r="B66" t="n">
        <v>-0.5</v>
      </c>
      <c r="C66" t="n">
        <v>174</v>
      </c>
      <c r="D66" t="n">
        <v>-0.25</v>
      </c>
      <c r="E66" t="n">
        <v>9</v>
      </c>
    </row>
    <row r="67">
      <c r="A67" t="s">
        <v>311</v>
      </c>
      <c r="B67" t="n">
        <v>-1</v>
      </c>
      <c r="C67" t="n">
        <v>59</v>
      </c>
      <c r="D67" t="n">
        <v>-0.5</v>
      </c>
      <c r="E67" t="n">
        <v>84</v>
      </c>
    </row>
    <row r="68">
      <c r="A68" t="s">
        <v>312</v>
      </c>
      <c r="B68" t="n">
        <v>-0.5</v>
      </c>
      <c r="C68" t="n">
        <v>76</v>
      </c>
      <c r="D68" t="n">
        <v>-0.25</v>
      </c>
      <c r="E68" t="n">
        <v>50</v>
      </c>
    </row>
    <row r="69">
      <c r="A69" t="s">
        <v>311</v>
      </c>
      <c r="B69" t="n">
        <v>0</v>
      </c>
      <c r="C69" t="n">
        <v>179</v>
      </c>
      <c r="D69" t="n">
        <v>0</v>
      </c>
      <c r="E69" t="n">
        <v>20</v>
      </c>
    </row>
    <row r="70">
      <c r="A70" t="s">
        <v>312</v>
      </c>
      <c r="B70" t="n">
        <v>-0.25</v>
      </c>
      <c r="C70" t="n">
        <v>100</v>
      </c>
      <c r="D70" t="n">
        <v>-0.25</v>
      </c>
      <c r="E70" t="n">
        <v>102</v>
      </c>
    </row>
    <row r="71">
      <c r="A71" t="s">
        <v>311</v>
      </c>
      <c r="B71" t="n">
        <v>-0.75</v>
      </c>
      <c r="C71" t="n">
        <v>172</v>
      </c>
      <c r="D71" t="n">
        <v>-0.25</v>
      </c>
      <c r="E71" t="n">
        <v>159</v>
      </c>
    </row>
    <row r="72">
      <c r="A72" t="s">
        <v>312</v>
      </c>
      <c r="B72" t="n">
        <v>-0.5</v>
      </c>
      <c r="C72" t="n">
        <v>1</v>
      </c>
      <c r="D72" t="n">
        <v>-0.25</v>
      </c>
      <c r="E72" t="n">
        <v>148</v>
      </c>
    </row>
    <row r="73">
      <c r="A73" t="s">
        <v>312</v>
      </c>
      <c r="B73" t="n">
        <v>0</v>
      </c>
      <c r="C73" t="n">
        <v>22</v>
      </c>
      <c r="D73" t="n">
        <v>-0.25</v>
      </c>
      <c r="E73" t="n">
        <v>97</v>
      </c>
    </row>
    <row r="74">
      <c r="A74" t="s">
        <v>311</v>
      </c>
      <c r="B74" t="n">
        <v>0</v>
      </c>
      <c r="C74" t="n">
        <v>87</v>
      </c>
      <c r="D74" t="n">
        <v>-0.25</v>
      </c>
      <c r="E74" t="n">
        <v>160</v>
      </c>
    </row>
    <row r="75">
      <c r="A75" t="s">
        <v>311</v>
      </c>
      <c r="B75" t="n">
        <v>-0.25</v>
      </c>
      <c r="C75" t="n">
        <v>177</v>
      </c>
      <c r="D75" t="n">
        <v>-0.25</v>
      </c>
      <c r="E75" t="n">
        <v>161</v>
      </c>
    </row>
    <row r="76">
      <c r="A76" t="s">
        <v>311</v>
      </c>
      <c r="B76" t="n">
        <v>-0.25</v>
      </c>
      <c r="C76" t="n">
        <v>84</v>
      </c>
      <c r="D76" t="n">
        <v>0</v>
      </c>
      <c r="E76" t="n">
        <v>66</v>
      </c>
    </row>
    <row r="77">
      <c r="A77" t="s">
        <v>311</v>
      </c>
      <c r="B77" t="n">
        <v>-2</v>
      </c>
      <c r="C77" t="n">
        <v>39</v>
      </c>
      <c r="D77" t="n">
        <v>-0.25</v>
      </c>
      <c r="E77" t="n">
        <v>32</v>
      </c>
    </row>
    <row r="78">
      <c r="A78" t="s">
        <v>312</v>
      </c>
      <c r="B78" t="n">
        <v>-0.25</v>
      </c>
      <c r="C78" t="n">
        <v>140</v>
      </c>
      <c r="D78" t="n">
        <v>-0.25</v>
      </c>
      <c r="E78" t="n">
        <v>142</v>
      </c>
    </row>
    <row r="79">
      <c r="A79" t="s">
        <v>311</v>
      </c>
      <c r="B79" t="n">
        <v>-0.5</v>
      </c>
      <c r="C79" t="n">
        <v>170</v>
      </c>
      <c r="D79" t="n">
        <v>-0.25</v>
      </c>
      <c r="E79" t="n">
        <v>172</v>
      </c>
    </row>
    <row r="80">
      <c r="A80" t="s">
        <v>312</v>
      </c>
      <c r="B80" t="n">
        <v>-1</v>
      </c>
      <c r="C80" t="n">
        <v>56</v>
      </c>
      <c r="D80" t="n">
        <v>0</v>
      </c>
      <c r="E80" t="n">
        <v>53</v>
      </c>
    </row>
    <row r="81">
      <c r="A81" t="s">
        <v>312</v>
      </c>
      <c r="B81" t="n">
        <v>-1</v>
      </c>
      <c r="C81" t="n">
        <v>101</v>
      </c>
      <c r="D81" t="n">
        <v>0</v>
      </c>
      <c r="E81" t="n">
        <v>32</v>
      </c>
    </row>
    <row r="82">
      <c r="A82" t="s">
        <v>312</v>
      </c>
      <c r="B82" t="n">
        <v>0</v>
      </c>
      <c r="C82" t="n">
        <v>155</v>
      </c>
      <c r="D82" t="n">
        <v>-0.25</v>
      </c>
      <c r="E82" t="n">
        <v>161</v>
      </c>
    </row>
    <row r="83">
      <c r="A83" t="s">
        <v>312</v>
      </c>
      <c r="B83" t="n">
        <v>-2</v>
      </c>
      <c r="C83" t="n">
        <v>170</v>
      </c>
      <c r="D83" t="n">
        <v>0</v>
      </c>
      <c r="E83" t="n">
        <v>164</v>
      </c>
    </row>
    <row r="84">
      <c r="A84" t="s">
        <v>311</v>
      </c>
      <c r="B84" t="n">
        <v>-0.5</v>
      </c>
      <c r="C84" t="n">
        <v>103</v>
      </c>
      <c r="D84" t="n">
        <v>-0.25</v>
      </c>
      <c r="E84" t="n">
        <v>103</v>
      </c>
    </row>
    <row r="85">
      <c r="A85" t="s">
        <v>311</v>
      </c>
      <c r="B85" t="n">
        <v>0</v>
      </c>
      <c r="C85" t="n">
        <v>10</v>
      </c>
      <c r="D85" t="n">
        <v>0</v>
      </c>
      <c r="E85" t="n">
        <v>141</v>
      </c>
    </row>
  </sheetData>
  <pageMargins left="0.7" right="0.7" top="0.75" bottom="0.75" header="0.3" footer="0.3"/>
  <pageSetup paperSize="9" orientation="portrait" horizontalDpi="300" verticalDpi="300" r:id="rId2"/>
  <tableParts count="1">
    <tablePart r:id="rId7"/>
  </tableParts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1" t="s">
        <v>566</v>
      </c>
    </row>
    <row r="2">
      <c r="A2" t="s">
        <v>567</v>
      </c>
      <c r="B2" t="s">
        <v>5</v>
      </c>
    </row>
    <row r="3">
      <c r="A3" t="s">
        <v>568</v>
      </c>
      <c r="B3" t="s">
        <v>569</v>
      </c>
    </row>
    <row r="4">
      <c r="A4" t="s">
        <v>570</v>
      </c>
      <c r="B4" t="s">
        <v>571</v>
      </c>
    </row>
    <row r="5">
      <c r="A5" t="s">
        <v>572</v>
      </c>
      <c r="B5" t="s">
        <v>573</v>
      </c>
    </row>
    <row r="6">
      <c r="A6" t="s">
        <v>574</v>
      </c>
      <c r="B6" t="s">
        <v>575</v>
      </c>
    </row>
    <row r="7">
      <c r="A7" t="s">
        <v>576</v>
      </c>
      <c r="B7" t="s">
        <v>577</v>
      </c>
    </row>
    <row r="8">
      <c r="A8" t="s">
        <v>578</v>
      </c>
      <c r="B8" t="s">
        <v>579</v>
      </c>
    </row>
    <row r="9">
      <c r="A9" t="s">
        <v>580</v>
      </c>
      <c r="B9" t="s">
        <v>581</v>
      </c>
    </row>
    <row r="10">
      <c r="A10" t="s">
        <v>582</v>
      </c>
      <c r="B10" t="s">
        <v>583</v>
      </c>
    </row>
    <row r="11">
      <c r="A11" t="s">
        <v>584</v>
      </c>
      <c r="B11" t="s">
        <v>30</v>
      </c>
    </row>
    <row r="12">
      <c r="A12" t="s">
        <v>585</v>
      </c>
      <c r="B12" t="s">
        <v>586</v>
      </c>
    </row>
    <row r="14">
      <c r="A14" s="1" t="s">
        <v>587</v>
      </c>
    </row>
    <row r="15">
      <c r="A15" t="s">
        <v>588</v>
      </c>
    </row>
    <row r="16">
      <c r="A16" t="s">
        <v>327</v>
      </c>
    </row>
    <row r="17">
      <c r="A17" t="s">
        <v>55</v>
      </c>
    </row>
    <row r="18">
      <c r="A18" t="s">
        <v>89</v>
      </c>
    </row>
    <row r="19">
      <c r="A19" t="s">
        <v>77</v>
      </c>
    </row>
    <row r="21">
      <c r="A21" s="1" t="s">
        <v>589</v>
      </c>
    </row>
    <row r="22">
      <c r="A22" t="s">
        <v>590</v>
      </c>
      <c r="B22" t="s">
        <v>591</v>
      </c>
      <c r="C22" t="s">
        <v>592</v>
      </c>
      <c r="D22" t="s">
        <v>593</v>
      </c>
      <c r="E22" t="s">
        <v>594</v>
      </c>
    </row>
    <row r="23">
      <c r="A23" t="s">
        <v>595</v>
      </c>
      <c r="B23" t="s">
        <v>570</v>
      </c>
      <c r="C23" t="n">
        <v>0.629993746655071</v>
      </c>
      <c r="D23" t="n">
        <v>0.0436525497076999</v>
      </c>
      <c r="E23" t="s">
        <v>596</v>
      </c>
    </row>
    <row r="24">
      <c r="A24" t="s">
        <v>327</v>
      </c>
      <c r="B24" t="s">
        <v>597</v>
      </c>
      <c r="C24" t="n">
        <v>0.487778863959393</v>
      </c>
      <c r="D24" t="n">
        <v>-0.0125298299606889</v>
      </c>
      <c r="E24" t="s">
        <v>596</v>
      </c>
    </row>
    <row r="25">
      <c r="A25" t="s">
        <v>55</v>
      </c>
      <c r="B25" t="s">
        <v>597</v>
      </c>
      <c r="C25" t="n">
        <v>-0.354064527374938</v>
      </c>
      <c r="D25" t="n">
        <v>-0.0763804372130272</v>
      </c>
      <c r="E25" t="s">
        <v>596</v>
      </c>
    </row>
    <row r="26">
      <c r="A26" t="s">
        <v>89</v>
      </c>
      <c r="B26" t="s">
        <v>597</v>
      </c>
      <c r="C26" t="n">
        <v>-0.334952953775147</v>
      </c>
      <c r="D26" t="n">
        <v>-0.0255777540860296</v>
      </c>
      <c r="E26" t="s">
        <v>596</v>
      </c>
    </row>
    <row r="27">
      <c r="A27" t="s">
        <v>77</v>
      </c>
      <c r="B27" t="s">
        <v>597</v>
      </c>
      <c r="C27" t="n">
        <v>0.312891630659996</v>
      </c>
      <c r="D27" t="n">
        <v>0.0326952746548983</v>
      </c>
      <c r="E27" t="s">
        <v>596</v>
      </c>
    </row>
    <row r="29">
      <c r="A29" s="1" t="s">
        <v>598</v>
      </c>
    </row>
    <row r="30">
      <c r="A30" t="s">
        <v>586</v>
      </c>
      <c r="B30" t="s">
        <v>29</v>
      </c>
      <c r="C30" t="s">
        <v>599</v>
      </c>
      <c r="D30" t="s">
        <v>600</v>
      </c>
    </row>
    <row r="31">
      <c r="A31" t="s">
        <v>1029</v>
      </c>
      <c r="B31" t="s">
        <v>32</v>
      </c>
      <c r="C31" t="n">
        <v>0.466844083951456</v>
      </c>
      <c r="D31" t="n">
        <v>1</v>
      </c>
    </row>
    <row r="32">
      <c r="A32" t="s">
        <v>1029</v>
      </c>
      <c r="B32" t="s">
        <v>32</v>
      </c>
      <c r="C32" t="n">
        <v>0.509882318379581</v>
      </c>
      <c r="D32" t="n">
        <v>1</v>
      </c>
    </row>
    <row r="33">
      <c r="A33" t="s">
        <v>1030</v>
      </c>
      <c r="B33" t="s">
        <v>32</v>
      </c>
      <c r="C33" t="n">
        <v>0.287951839913671</v>
      </c>
      <c r="D33" t="n">
        <v>1</v>
      </c>
    </row>
    <row r="34">
      <c r="A34" t="s">
        <v>603</v>
      </c>
      <c r="B34" t="s">
        <v>30</v>
      </c>
      <c r="C34" t="n">
        <v>0.485681083440267</v>
      </c>
      <c r="D34" t="n">
        <v>1.5377358490566</v>
      </c>
    </row>
    <row r="35">
      <c r="A35" t="s">
        <v>1031</v>
      </c>
      <c r="B35" t="s">
        <v>30</v>
      </c>
      <c r="C35" t="n">
        <v>0.0917170755058511</v>
      </c>
      <c r="D35" t="n">
        <v>0.768867924528302</v>
      </c>
    </row>
    <row r="36">
      <c r="A36" t="s">
        <v>1032</v>
      </c>
      <c r="B36" t="s">
        <v>32</v>
      </c>
      <c r="C36" t="n">
        <v>0.170717461996845</v>
      </c>
      <c r="D36" t="n">
        <v>1</v>
      </c>
    </row>
    <row r="37">
      <c r="A37" t="s">
        <v>1032</v>
      </c>
      <c r="B37" t="s">
        <v>32</v>
      </c>
      <c r="C37" t="n">
        <v>0.331711270215642</v>
      </c>
      <c r="D37" t="n">
        <v>1</v>
      </c>
    </row>
    <row r="38">
      <c r="A38" t="s">
        <v>1033</v>
      </c>
      <c r="B38" t="s">
        <v>32</v>
      </c>
      <c r="C38" t="n">
        <v>0.17422870396757</v>
      </c>
      <c r="D38" t="n">
        <v>1</v>
      </c>
    </row>
    <row r="39">
      <c r="A39" t="s">
        <v>1033</v>
      </c>
      <c r="B39" t="s">
        <v>32</v>
      </c>
      <c r="C39" t="n">
        <v>0.452158340509829</v>
      </c>
      <c r="D39" t="n">
        <v>1</v>
      </c>
    </row>
    <row r="40">
      <c r="A40" t="s">
        <v>607</v>
      </c>
      <c r="B40" t="s">
        <v>30</v>
      </c>
      <c r="C40" t="n">
        <v>0.179246134806946</v>
      </c>
      <c r="D40" t="n">
        <v>0.768867924528302</v>
      </c>
    </row>
    <row r="41">
      <c r="A41" t="s">
        <v>1034</v>
      </c>
      <c r="B41" t="s">
        <v>32</v>
      </c>
      <c r="C41" t="n">
        <v>0.39881144672572</v>
      </c>
      <c r="D41" t="n">
        <v>1</v>
      </c>
    </row>
    <row r="42">
      <c r="A42" t="s">
        <v>1034</v>
      </c>
      <c r="B42" t="s">
        <v>32</v>
      </c>
      <c r="C42" t="n">
        <v>0.183273287962011</v>
      </c>
      <c r="D42" t="n">
        <v>1</v>
      </c>
    </row>
    <row r="43">
      <c r="A43" t="s">
        <v>1035</v>
      </c>
      <c r="B43" t="s">
        <v>30</v>
      </c>
      <c r="C43" t="n">
        <v>0.27059972674412</v>
      </c>
      <c r="D43" t="n">
        <v>0.768867924528302</v>
      </c>
    </row>
    <row r="44">
      <c r="A44" t="s">
        <v>1036</v>
      </c>
      <c r="B44" t="s">
        <v>30</v>
      </c>
      <c r="C44" t="n">
        <v>0.382485423114391</v>
      </c>
      <c r="D44" t="n">
        <v>1.5377358490566</v>
      </c>
    </row>
    <row r="45">
      <c r="A45" t="s">
        <v>1037</v>
      </c>
      <c r="B45" t="s">
        <v>30</v>
      </c>
      <c r="C45" t="n">
        <v>0.245935300009909</v>
      </c>
      <c r="D45" t="n">
        <v>0.768867924528302</v>
      </c>
    </row>
    <row r="46">
      <c r="A46" t="s">
        <v>1038</v>
      </c>
      <c r="B46" t="s">
        <v>30</v>
      </c>
      <c r="C46" t="n">
        <v>0.183516993840355</v>
      </c>
      <c r="D46" t="n">
        <v>0.768867924528302</v>
      </c>
    </row>
    <row r="47">
      <c r="A47" t="s">
        <v>1038</v>
      </c>
      <c r="B47" t="s">
        <v>30</v>
      </c>
      <c r="C47" t="n">
        <v>0.140184258379096</v>
      </c>
      <c r="D47" t="n">
        <v>0.768867924528302</v>
      </c>
    </row>
    <row r="48">
      <c r="A48" t="s">
        <v>1039</v>
      </c>
      <c r="B48" t="s">
        <v>32</v>
      </c>
      <c r="C48" t="n">
        <v>0.434730431283434</v>
      </c>
      <c r="D48" t="n">
        <v>1</v>
      </c>
    </row>
    <row r="49">
      <c r="A49" t="s">
        <v>1039</v>
      </c>
      <c r="B49" t="s">
        <v>32</v>
      </c>
      <c r="C49" t="n">
        <v>0.286967262169278</v>
      </c>
      <c r="D49" t="n">
        <v>1</v>
      </c>
    </row>
    <row r="50">
      <c r="A50" t="s">
        <v>1040</v>
      </c>
      <c r="B50" t="s">
        <v>30</v>
      </c>
      <c r="C50" t="n">
        <v>0.234836045926532</v>
      </c>
      <c r="D50" t="n">
        <v>0.768867924528302</v>
      </c>
    </row>
    <row r="51">
      <c r="A51" t="s">
        <v>1040</v>
      </c>
      <c r="B51" t="s">
        <v>30</v>
      </c>
      <c r="C51" t="n">
        <v>0.269056312067882</v>
      </c>
      <c r="D51" t="n">
        <v>0.768867924528302</v>
      </c>
    </row>
    <row r="52">
      <c r="A52" t="s">
        <v>610</v>
      </c>
      <c r="B52" t="s">
        <v>30</v>
      </c>
      <c r="C52" t="n">
        <v>0.540265899420762</v>
      </c>
      <c r="D52" t="n">
        <v>1.5377358490566</v>
      </c>
    </row>
    <row r="53">
      <c r="A53" t="s">
        <v>1041</v>
      </c>
      <c r="B53" t="s">
        <v>30</v>
      </c>
      <c r="C53" t="n">
        <v>0.23014983656847</v>
      </c>
      <c r="D53" t="n">
        <v>0.768867924528302</v>
      </c>
    </row>
    <row r="54">
      <c r="A54" t="s">
        <v>1042</v>
      </c>
      <c r="B54" t="s">
        <v>32</v>
      </c>
      <c r="C54" t="n">
        <v>0.255742943263679</v>
      </c>
      <c r="D54" t="n">
        <v>1</v>
      </c>
    </row>
    <row r="55">
      <c r="A55" t="s">
        <v>1042</v>
      </c>
      <c r="B55" t="s">
        <v>32</v>
      </c>
      <c r="C55" t="n">
        <v>0.210170509173929</v>
      </c>
      <c r="D55" t="n">
        <v>1</v>
      </c>
    </row>
    <row r="56">
      <c r="A56" t="s">
        <v>611</v>
      </c>
      <c r="B56" t="s">
        <v>30</v>
      </c>
      <c r="C56" t="n">
        <v>0.270483089762021</v>
      </c>
      <c r="D56" t="n">
        <v>0.768867924528302</v>
      </c>
    </row>
    <row r="57">
      <c r="A57" t="s">
        <v>612</v>
      </c>
      <c r="B57" t="s">
        <v>30</v>
      </c>
      <c r="C57" t="n">
        <v>0.387510814577479</v>
      </c>
      <c r="D57" t="n">
        <v>1.5377358490566</v>
      </c>
    </row>
    <row r="58">
      <c r="A58" t="s">
        <v>612</v>
      </c>
      <c r="B58" t="s">
        <v>30</v>
      </c>
      <c r="C58" t="n">
        <v>0.620130194173607</v>
      </c>
      <c r="D58" t="n">
        <v>1.5377358490566</v>
      </c>
    </row>
    <row r="59">
      <c r="A59" t="s">
        <v>1043</v>
      </c>
      <c r="B59" t="s">
        <v>30</v>
      </c>
      <c r="C59" t="n">
        <v>0.246352777297812</v>
      </c>
      <c r="D59" t="n">
        <v>0.768867924528302</v>
      </c>
    </row>
    <row r="60">
      <c r="A60" t="s">
        <v>614</v>
      </c>
      <c r="B60" t="s">
        <v>30</v>
      </c>
      <c r="C60" t="n">
        <v>0.19050382076028</v>
      </c>
      <c r="D60" t="n">
        <v>0.768867924528302</v>
      </c>
    </row>
    <row r="61">
      <c r="A61" t="s">
        <v>614</v>
      </c>
      <c r="B61" t="s">
        <v>30</v>
      </c>
      <c r="C61" t="n">
        <v>0.209089187010943</v>
      </c>
      <c r="D61" t="n">
        <v>0.768867924528302</v>
      </c>
    </row>
    <row r="62">
      <c r="A62" t="s">
        <v>1044</v>
      </c>
      <c r="B62" t="s">
        <v>30</v>
      </c>
      <c r="C62" t="n">
        <v>0.230678836510004</v>
      </c>
      <c r="D62" t="n">
        <v>0.768867924528302</v>
      </c>
    </row>
    <row r="63">
      <c r="A63" t="s">
        <v>615</v>
      </c>
      <c r="B63" t="s">
        <v>30</v>
      </c>
      <c r="C63" t="n">
        <v>0.234925934027035</v>
      </c>
      <c r="D63" t="n">
        <v>0.768867924528302</v>
      </c>
    </row>
    <row r="64">
      <c r="A64" t="s">
        <v>615</v>
      </c>
      <c r="B64" t="s">
        <v>30</v>
      </c>
      <c r="C64" t="n">
        <v>0.162722675882304</v>
      </c>
      <c r="D64" t="n">
        <v>0.768867924528302</v>
      </c>
    </row>
    <row r="65">
      <c r="A65" t="s">
        <v>616</v>
      </c>
      <c r="B65" t="s">
        <v>30</v>
      </c>
      <c r="C65" t="n">
        <v>0.240863166505413</v>
      </c>
      <c r="D65" t="n">
        <v>0.768867924528302</v>
      </c>
    </row>
    <row r="66">
      <c r="A66" t="s">
        <v>617</v>
      </c>
      <c r="B66" t="s">
        <v>30</v>
      </c>
      <c r="C66" t="n">
        <v>0.539401152714326</v>
      </c>
      <c r="D66" t="n">
        <v>1.5377358490566</v>
      </c>
    </row>
    <row r="67">
      <c r="A67" t="s">
        <v>618</v>
      </c>
      <c r="B67" t="s">
        <v>30</v>
      </c>
      <c r="C67" t="n">
        <v>0.428346749180729</v>
      </c>
      <c r="D67" t="n">
        <v>0.768867924528302</v>
      </c>
    </row>
    <row r="68">
      <c r="A68" t="s">
        <v>618</v>
      </c>
      <c r="B68" t="s">
        <v>30</v>
      </c>
      <c r="C68" t="n">
        <v>0.256038798554547</v>
      </c>
      <c r="D68" t="n">
        <v>0.768867924528302</v>
      </c>
    </row>
    <row r="69">
      <c r="A69" t="s">
        <v>1045</v>
      </c>
      <c r="B69" t="s">
        <v>32</v>
      </c>
      <c r="C69" t="n">
        <v>0.371723856883116</v>
      </c>
      <c r="D69" t="n">
        <v>1</v>
      </c>
    </row>
    <row r="70">
      <c r="A70" t="s">
        <v>1045</v>
      </c>
      <c r="B70" t="s">
        <v>32</v>
      </c>
      <c r="C70" t="n">
        <v>0.545231848268399</v>
      </c>
      <c r="D70" t="n">
        <v>1</v>
      </c>
    </row>
    <row r="71">
      <c r="A71" t="s">
        <v>1046</v>
      </c>
      <c r="B71" t="s">
        <v>32</v>
      </c>
      <c r="C71" t="n">
        <v>0.142182883757431</v>
      </c>
      <c r="D71" t="n">
        <v>1</v>
      </c>
    </row>
    <row r="72">
      <c r="A72" t="s">
        <v>1046</v>
      </c>
      <c r="B72" t="s">
        <v>32</v>
      </c>
      <c r="C72" t="n">
        <v>0.213651203883783</v>
      </c>
      <c r="D72" t="n">
        <v>1</v>
      </c>
    </row>
    <row r="73">
      <c r="A73" t="s">
        <v>1047</v>
      </c>
      <c r="B73" t="s">
        <v>30</v>
      </c>
      <c r="C73" t="n">
        <v>0.174741897325276</v>
      </c>
      <c r="D73" t="n">
        <v>0.768867924528302</v>
      </c>
    </row>
    <row r="74">
      <c r="A74" t="s">
        <v>621</v>
      </c>
      <c r="B74" t="s">
        <v>30</v>
      </c>
      <c r="C74" t="n">
        <v>0.479659565955952</v>
      </c>
      <c r="D74" t="n">
        <v>1.5377358490566</v>
      </c>
    </row>
    <row r="75">
      <c r="A75" t="s">
        <v>1048</v>
      </c>
      <c r="B75" t="s">
        <v>32</v>
      </c>
      <c r="C75" t="n">
        <v>0.25026908718118</v>
      </c>
      <c r="D75" t="n">
        <v>1</v>
      </c>
    </row>
    <row r="76">
      <c r="A76" t="s">
        <v>1048</v>
      </c>
      <c r="B76" t="s">
        <v>32</v>
      </c>
      <c r="C76" t="n">
        <v>0.189068980517823</v>
      </c>
      <c r="D76" t="n">
        <v>1</v>
      </c>
    </row>
    <row r="77">
      <c r="A77" t="s">
        <v>623</v>
      </c>
      <c r="B77" t="s">
        <v>30</v>
      </c>
      <c r="C77" t="n">
        <v>0.292020548581864</v>
      </c>
      <c r="D77" t="n">
        <v>0.768867924528302</v>
      </c>
    </row>
    <row r="78">
      <c r="A78" t="s">
        <v>624</v>
      </c>
      <c r="B78" t="s">
        <v>30</v>
      </c>
      <c r="C78" t="n">
        <v>0.246023739945384</v>
      </c>
      <c r="D78" t="n">
        <v>0.768867924528302</v>
      </c>
    </row>
    <row r="79">
      <c r="A79" t="s">
        <v>1049</v>
      </c>
      <c r="B79" t="s">
        <v>30</v>
      </c>
      <c r="C79" t="n">
        <v>0.259226656029848</v>
      </c>
      <c r="D79" t="n">
        <v>0.768867924528302</v>
      </c>
    </row>
    <row r="80">
      <c r="A80" t="s">
        <v>625</v>
      </c>
      <c r="B80" t="s">
        <v>30</v>
      </c>
      <c r="C80" t="n">
        <v>0.425941433007919</v>
      </c>
      <c r="D80" t="n">
        <v>1.5377358490566</v>
      </c>
    </row>
    <row r="81">
      <c r="A81" t="s">
        <v>625</v>
      </c>
      <c r="B81" t="s">
        <v>30</v>
      </c>
      <c r="C81" t="n">
        <v>0.416292453895878</v>
      </c>
      <c r="D81" t="n">
        <v>1.5377358490566</v>
      </c>
    </row>
    <row r="82">
      <c r="A82" t="s">
        <v>1050</v>
      </c>
      <c r="B82" t="s">
        <v>30</v>
      </c>
      <c r="C82" t="n">
        <v>0.174515482588</v>
      </c>
      <c r="D82" t="n">
        <v>0.768867924528302</v>
      </c>
    </row>
    <row r="83">
      <c r="A83" t="s">
        <v>626</v>
      </c>
      <c r="B83" t="s">
        <v>30</v>
      </c>
      <c r="C83" t="n">
        <v>0.600752679773113</v>
      </c>
      <c r="D83" t="n">
        <v>1.5377358490566</v>
      </c>
    </row>
    <row r="84">
      <c r="A84" t="s">
        <v>626</v>
      </c>
      <c r="B84" t="s">
        <v>30</v>
      </c>
      <c r="C84" t="n">
        <v>0.527097379352737</v>
      </c>
      <c r="D84" t="n">
        <v>1.5377358490566</v>
      </c>
    </row>
    <row r="85">
      <c r="A85" t="s">
        <v>627</v>
      </c>
      <c r="B85" t="s">
        <v>30</v>
      </c>
      <c r="C85" t="n">
        <v>0.388611629947879</v>
      </c>
      <c r="D85" t="n">
        <v>1.5377358490566</v>
      </c>
    </row>
    <row r="86">
      <c r="A86" t="s">
        <v>1051</v>
      </c>
      <c r="B86" t="s">
        <v>30</v>
      </c>
      <c r="C86" t="n">
        <v>0.163160064314084</v>
      </c>
      <c r="D86" t="n">
        <v>0.768867924528302</v>
      </c>
    </row>
    <row r="87">
      <c r="A87" t="s">
        <v>1051</v>
      </c>
      <c r="B87" t="s">
        <v>30</v>
      </c>
      <c r="C87" t="n">
        <v>0.212436630899544</v>
      </c>
      <c r="D87" t="n">
        <v>0.768867924528302</v>
      </c>
    </row>
    <row r="88">
      <c r="A88" t="s">
        <v>628</v>
      </c>
      <c r="B88" t="s">
        <v>30</v>
      </c>
      <c r="C88" t="n">
        <v>0.280613692683847</v>
      </c>
      <c r="D88" t="n">
        <v>0.768867924528302</v>
      </c>
    </row>
    <row r="89">
      <c r="A89" t="s">
        <v>629</v>
      </c>
      <c r="B89" t="s">
        <v>30</v>
      </c>
      <c r="C89" t="n">
        <v>0.259869884108476</v>
      </c>
      <c r="D89" t="n">
        <v>0.768867924528302</v>
      </c>
    </row>
    <row r="90">
      <c r="A90" t="s">
        <v>1052</v>
      </c>
      <c r="B90" t="s">
        <v>32</v>
      </c>
      <c r="C90" t="n">
        <v>0.395459830672535</v>
      </c>
      <c r="D90" t="n">
        <v>1</v>
      </c>
    </row>
    <row r="91">
      <c r="A91" t="s">
        <v>1052</v>
      </c>
      <c r="B91" t="s">
        <v>32</v>
      </c>
      <c r="C91" t="n">
        <v>0.271811975689882</v>
      </c>
      <c r="D91" t="n">
        <v>1</v>
      </c>
    </row>
    <row r="92">
      <c r="A92" t="s">
        <v>630</v>
      </c>
      <c r="B92" t="s">
        <v>30</v>
      </c>
      <c r="C92" t="n">
        <v>0.22109719249019</v>
      </c>
      <c r="D92" t="n">
        <v>0.768867924528302</v>
      </c>
    </row>
    <row r="93">
      <c r="A93" t="s">
        <v>630</v>
      </c>
      <c r="B93" t="s">
        <v>30</v>
      </c>
      <c r="C93" t="n">
        <v>0.201238116125501</v>
      </c>
      <c r="D93" t="n">
        <v>0.768867924528302</v>
      </c>
    </row>
    <row r="94">
      <c r="A94" t="s">
        <v>1053</v>
      </c>
      <c r="B94" t="s">
        <v>30</v>
      </c>
      <c r="C94" t="n">
        <v>0.280095905958277</v>
      </c>
      <c r="D94" t="n">
        <v>0.768867924528302</v>
      </c>
    </row>
    <row r="95">
      <c r="A95" t="s">
        <v>1054</v>
      </c>
      <c r="B95" t="s">
        <v>32</v>
      </c>
      <c r="C95" t="n">
        <v>0.243165849704669</v>
      </c>
      <c r="D95" t="n">
        <v>1</v>
      </c>
    </row>
    <row r="96">
      <c r="A96" t="s">
        <v>1054</v>
      </c>
      <c r="B96" t="s">
        <v>32</v>
      </c>
      <c r="C96" t="n">
        <v>0.505222848500826</v>
      </c>
      <c r="D96" t="n">
        <v>1</v>
      </c>
    </row>
    <row r="97">
      <c r="A97" t="s">
        <v>1055</v>
      </c>
      <c r="B97" t="s">
        <v>30</v>
      </c>
      <c r="C97" t="n">
        <v>0.327558572400951</v>
      </c>
      <c r="D97" t="n">
        <v>0.768867924528302</v>
      </c>
    </row>
    <row r="98">
      <c r="A98" t="s">
        <v>1056</v>
      </c>
      <c r="B98" t="s">
        <v>30</v>
      </c>
      <c r="C98" t="n">
        <v>0.258190100874366</v>
      </c>
      <c r="D98" t="n">
        <v>0.768867924528302</v>
      </c>
    </row>
    <row r="99">
      <c r="A99" t="s">
        <v>1057</v>
      </c>
      <c r="B99" t="s">
        <v>32</v>
      </c>
      <c r="C99" t="n">
        <v>0.413054491546803</v>
      </c>
      <c r="D99" t="n">
        <v>1</v>
      </c>
    </row>
    <row r="100">
      <c r="A100" t="s">
        <v>1057</v>
      </c>
      <c r="B100" t="s">
        <v>32</v>
      </c>
      <c r="C100" t="n">
        <v>0.201833081206584</v>
      </c>
      <c r="D100" t="n">
        <v>1</v>
      </c>
    </row>
    <row r="101">
      <c r="A101" t="s">
        <v>1058</v>
      </c>
      <c r="B101" t="s">
        <v>30</v>
      </c>
      <c r="C101" t="n">
        <v>0.243286156929372</v>
      </c>
      <c r="D101" t="n">
        <v>0.768867924528302</v>
      </c>
    </row>
    <row r="102">
      <c r="A102" t="s">
        <v>631</v>
      </c>
      <c r="B102" t="s">
        <v>30</v>
      </c>
      <c r="C102" t="n">
        <v>0.213238458229245</v>
      </c>
      <c r="D102" t="n">
        <v>0.768867924528302</v>
      </c>
    </row>
    <row r="103">
      <c r="A103" t="s">
        <v>631</v>
      </c>
      <c r="B103" t="s">
        <v>30</v>
      </c>
      <c r="C103" t="n">
        <v>0.344413516330434</v>
      </c>
      <c r="D103" t="n">
        <v>0.768867924528302</v>
      </c>
    </row>
    <row r="104">
      <c r="A104" t="s">
        <v>1059</v>
      </c>
      <c r="B104" t="s">
        <v>32</v>
      </c>
      <c r="C104" t="n">
        <v>0.273513764723997</v>
      </c>
      <c r="D104" t="n">
        <v>1</v>
      </c>
    </row>
    <row r="105">
      <c r="A105" t="s">
        <v>1059</v>
      </c>
      <c r="B105" t="s">
        <v>32</v>
      </c>
      <c r="C105" t="n">
        <v>0.167302112716327</v>
      </c>
      <c r="D105" t="n">
        <v>1</v>
      </c>
    </row>
    <row r="106">
      <c r="A106" t="s">
        <v>1060</v>
      </c>
      <c r="B106" t="s">
        <v>32</v>
      </c>
      <c r="C106" t="n">
        <v>0.458726358574952</v>
      </c>
      <c r="D106" t="n">
        <v>1</v>
      </c>
    </row>
    <row r="107">
      <c r="A107" t="s">
        <v>632</v>
      </c>
      <c r="B107" t="s">
        <v>30</v>
      </c>
      <c r="C107" t="n">
        <v>0.460088104155032</v>
      </c>
      <c r="D107" t="n">
        <v>0.768867924528302</v>
      </c>
    </row>
    <row r="108">
      <c r="A108" t="s">
        <v>1061</v>
      </c>
      <c r="B108" t="s">
        <v>32</v>
      </c>
      <c r="C108" t="n">
        <v>0.417711791058826</v>
      </c>
      <c r="D108" t="n">
        <v>1</v>
      </c>
    </row>
    <row r="109">
      <c r="A109" t="s">
        <v>1062</v>
      </c>
      <c r="B109" t="s">
        <v>30</v>
      </c>
      <c r="C109" t="n">
        <v>0.17239353291722</v>
      </c>
      <c r="D109" t="n">
        <v>0.768867924528302</v>
      </c>
    </row>
    <row r="110">
      <c r="A110" t="s">
        <v>1063</v>
      </c>
      <c r="B110" t="s">
        <v>30</v>
      </c>
      <c r="C110" t="n">
        <v>0.282777740704957</v>
      </c>
      <c r="D110" t="n">
        <v>0.768867924528302</v>
      </c>
    </row>
    <row r="111">
      <c r="A111" t="s">
        <v>1064</v>
      </c>
      <c r="B111" t="s">
        <v>32</v>
      </c>
      <c r="C111" t="n">
        <v>0.098265730721427</v>
      </c>
      <c r="D111" t="n">
        <v>1</v>
      </c>
    </row>
    <row r="112">
      <c r="A112" t="s">
        <v>633</v>
      </c>
      <c r="B112" t="s">
        <v>30</v>
      </c>
      <c r="C112" t="n">
        <v>0.285395883664788</v>
      </c>
      <c r="D112" t="n">
        <v>0.768867924528302</v>
      </c>
    </row>
    <row r="113">
      <c r="A113" t="s">
        <v>1065</v>
      </c>
      <c r="B113" t="s">
        <v>30</v>
      </c>
      <c r="C113" t="n">
        <v>0.276180166596393</v>
      </c>
      <c r="D113" t="n">
        <v>0.768867924528302</v>
      </c>
    </row>
    <row r="114">
      <c r="A114" t="s">
        <v>634</v>
      </c>
      <c r="B114" t="s">
        <v>30</v>
      </c>
      <c r="C114" t="n">
        <v>0.250311762554536</v>
      </c>
      <c r="D114" t="n">
        <v>0.768867924528302</v>
      </c>
    </row>
    <row r="115">
      <c r="A115" t="s">
        <v>1066</v>
      </c>
      <c r="B115" t="s">
        <v>32</v>
      </c>
      <c r="C115" t="n">
        <v>0.237602196524857</v>
      </c>
      <c r="D115" t="n">
        <v>1</v>
      </c>
    </row>
    <row r="116">
      <c r="A116" t="s">
        <v>635</v>
      </c>
      <c r="B116" t="s">
        <v>30</v>
      </c>
      <c r="C116" t="n">
        <v>0.405464527444944</v>
      </c>
      <c r="D116" t="n">
        <v>1.5377358490566</v>
      </c>
    </row>
    <row r="117">
      <c r="A117" t="s">
        <v>1067</v>
      </c>
      <c r="B117" t="s">
        <v>32</v>
      </c>
      <c r="C117" t="n">
        <v>0.545044571748574</v>
      </c>
      <c r="D117" t="n">
        <v>1</v>
      </c>
    </row>
    <row r="118">
      <c r="A118" t="s">
        <v>1067</v>
      </c>
      <c r="B118" t="s">
        <v>32</v>
      </c>
      <c r="C118" t="n">
        <v>0.481947226045881</v>
      </c>
      <c r="D118" t="n">
        <v>1</v>
      </c>
    </row>
    <row r="119">
      <c r="A119" t="s">
        <v>1068</v>
      </c>
      <c r="B119" t="s">
        <v>30</v>
      </c>
      <c r="C119" t="n">
        <v>0.139558384962584</v>
      </c>
      <c r="D119" t="n">
        <v>0.768867924528302</v>
      </c>
    </row>
    <row r="120">
      <c r="A120" t="s">
        <v>1068</v>
      </c>
      <c r="B120" t="s">
        <v>30</v>
      </c>
      <c r="C120" t="n">
        <v>0.185126318553918</v>
      </c>
      <c r="D120" t="n">
        <v>0.768867924528302</v>
      </c>
    </row>
    <row r="121">
      <c r="A121" t="s">
        <v>1069</v>
      </c>
      <c r="B121" t="s">
        <v>30</v>
      </c>
      <c r="C121" t="n">
        <v>0.35049095213571</v>
      </c>
      <c r="D121" t="n">
        <v>0.768867924528302</v>
      </c>
    </row>
    <row r="122">
      <c r="A122" t="s">
        <v>637</v>
      </c>
      <c r="B122" t="s">
        <v>30</v>
      </c>
      <c r="C122" t="n">
        <v>0.568858095212926</v>
      </c>
      <c r="D122" t="n">
        <v>1.5377358490566</v>
      </c>
    </row>
    <row r="123">
      <c r="A123" t="s">
        <v>637</v>
      </c>
      <c r="B123" t="s">
        <v>30</v>
      </c>
      <c r="C123" t="n">
        <v>0.645565107404665</v>
      </c>
      <c r="D123" t="n">
        <v>1.5377358490566</v>
      </c>
    </row>
    <row r="124">
      <c r="A124" t="s">
        <v>639</v>
      </c>
      <c r="B124" t="s">
        <v>30</v>
      </c>
      <c r="C124" t="n">
        <v>0.38295078788115</v>
      </c>
      <c r="D124" t="n">
        <v>1.5377358490566</v>
      </c>
    </row>
    <row r="125">
      <c r="A125" t="s">
        <v>639</v>
      </c>
      <c r="B125" t="s">
        <v>30</v>
      </c>
      <c r="C125" t="n">
        <v>0.29074457674736</v>
      </c>
      <c r="D125" t="n">
        <v>0.768867924528302</v>
      </c>
    </row>
    <row r="126">
      <c r="A126" t="s">
        <v>640</v>
      </c>
      <c r="B126" t="s">
        <v>30</v>
      </c>
      <c r="C126" t="n">
        <v>0.336362274224694</v>
      </c>
      <c r="D126" t="n">
        <v>0.768867924528302</v>
      </c>
    </row>
    <row r="127">
      <c r="A127" t="s">
        <v>640</v>
      </c>
      <c r="B127" t="s">
        <v>30</v>
      </c>
      <c r="C127" t="n">
        <v>0.417777881523418</v>
      </c>
      <c r="D127" t="n">
        <v>1.5377358490566</v>
      </c>
    </row>
    <row r="128">
      <c r="A128" t="s">
        <v>1070</v>
      </c>
      <c r="B128" t="s">
        <v>32</v>
      </c>
      <c r="C128" t="n">
        <v>0.425872372768977</v>
      </c>
      <c r="D128" t="n">
        <v>1</v>
      </c>
    </row>
    <row r="129">
      <c r="A129" t="s">
        <v>1071</v>
      </c>
      <c r="B129" t="s">
        <v>32</v>
      </c>
      <c r="C129" t="n">
        <v>0.275146351340883</v>
      </c>
      <c r="D129" t="n">
        <v>1</v>
      </c>
    </row>
    <row r="130">
      <c r="A130" t="s">
        <v>642</v>
      </c>
      <c r="B130" t="s">
        <v>30</v>
      </c>
      <c r="C130" t="n">
        <v>0.415855044812314</v>
      </c>
      <c r="D130" t="n">
        <v>0.768867924528302</v>
      </c>
    </row>
    <row r="131">
      <c r="A131" t="s">
        <v>643</v>
      </c>
      <c r="B131" t="s">
        <v>30</v>
      </c>
      <c r="C131" t="n">
        <v>0.497495204367941</v>
      </c>
      <c r="D131" t="n">
        <v>1.5377358490566</v>
      </c>
    </row>
    <row r="132">
      <c r="A132" t="s">
        <v>643</v>
      </c>
      <c r="B132" t="s">
        <v>30</v>
      </c>
      <c r="C132" t="n">
        <v>0.5065224228466</v>
      </c>
      <c r="D132" t="n">
        <v>1.5377358490566</v>
      </c>
    </row>
    <row r="133">
      <c r="A133" t="s">
        <v>1072</v>
      </c>
      <c r="B133" t="s">
        <v>32</v>
      </c>
      <c r="C133" t="n">
        <v>0.444625937883751</v>
      </c>
      <c r="D133" t="n">
        <v>1</v>
      </c>
    </row>
    <row r="134">
      <c r="A134" t="s">
        <v>649</v>
      </c>
      <c r="B134" t="s">
        <v>30</v>
      </c>
      <c r="C134" t="n">
        <v>0.169148246257195</v>
      </c>
      <c r="D134" t="n">
        <v>0.768867924528302</v>
      </c>
    </row>
    <row r="135">
      <c r="A135" t="s">
        <v>649</v>
      </c>
      <c r="B135" t="s">
        <v>30</v>
      </c>
      <c r="C135" t="n">
        <v>0.426149627211619</v>
      </c>
      <c r="D135" t="n">
        <v>1.5377358490566</v>
      </c>
    </row>
    <row r="136">
      <c r="A136" t="s">
        <v>650</v>
      </c>
      <c r="B136" t="s">
        <v>30</v>
      </c>
      <c r="C136" t="n">
        <v>0.251686357746664</v>
      </c>
      <c r="D136" t="n">
        <v>0.768867924528302</v>
      </c>
    </row>
    <row r="137">
      <c r="A137" t="s">
        <v>651</v>
      </c>
      <c r="B137" t="s">
        <v>30</v>
      </c>
      <c r="C137" t="n">
        <v>0.359654760034119</v>
      </c>
      <c r="D137" t="n">
        <v>0.768867924528302</v>
      </c>
    </row>
    <row r="138">
      <c r="A138" t="s">
        <v>1073</v>
      </c>
      <c r="B138" t="s">
        <v>32</v>
      </c>
      <c r="C138" t="n">
        <v>0.290490486882136</v>
      </c>
      <c r="D138" t="n">
        <v>1</v>
      </c>
    </row>
    <row r="139">
      <c r="A139" t="s">
        <v>1074</v>
      </c>
      <c r="B139" t="s">
        <v>32</v>
      </c>
      <c r="C139" t="n">
        <v>0.351765070202662</v>
      </c>
      <c r="D139" t="n">
        <v>1</v>
      </c>
    </row>
    <row r="140">
      <c r="A140" t="s">
        <v>1075</v>
      </c>
      <c r="B140" t="s">
        <v>32</v>
      </c>
      <c r="C140" t="n">
        <v>0.410565687036889</v>
      </c>
      <c r="D140" t="n">
        <v>1</v>
      </c>
    </row>
    <row r="141">
      <c r="A141" t="s">
        <v>1075</v>
      </c>
      <c r="B141" t="s">
        <v>32</v>
      </c>
      <c r="C141" t="n">
        <v>0.180150111770826</v>
      </c>
      <c r="D141" t="n">
        <v>1</v>
      </c>
    </row>
    <row r="142">
      <c r="A142" t="s">
        <v>1076</v>
      </c>
      <c r="B142" t="s">
        <v>32</v>
      </c>
      <c r="C142" t="n">
        <v>0.229962605994946</v>
      </c>
      <c r="D142" t="n">
        <v>1</v>
      </c>
    </row>
    <row r="143">
      <c r="A143" t="s">
        <v>1076</v>
      </c>
      <c r="B143" t="s">
        <v>32</v>
      </c>
      <c r="C143" t="n">
        <v>0.431429547512894</v>
      </c>
      <c r="D143" t="n">
        <v>1</v>
      </c>
    </row>
    <row r="144">
      <c r="A144" t="s">
        <v>1077</v>
      </c>
      <c r="B144" t="s">
        <v>32</v>
      </c>
      <c r="C144" t="n">
        <v>0.350462602973895</v>
      </c>
      <c r="D144" t="n">
        <v>1</v>
      </c>
    </row>
    <row r="145">
      <c r="A145" t="s">
        <v>1077</v>
      </c>
      <c r="B145" t="s">
        <v>32</v>
      </c>
      <c r="C145" t="n">
        <v>0.554784734537885</v>
      </c>
      <c r="D145" t="n">
        <v>1</v>
      </c>
    </row>
    <row r="146">
      <c r="A146" t="s">
        <v>653</v>
      </c>
      <c r="B146" t="s">
        <v>30</v>
      </c>
      <c r="C146" t="n">
        <v>0.405203249895666</v>
      </c>
      <c r="D146" t="n">
        <v>1.5377358490566</v>
      </c>
    </row>
    <row r="147">
      <c r="A147" t="s">
        <v>653</v>
      </c>
      <c r="B147" t="s">
        <v>30</v>
      </c>
      <c r="C147" t="n">
        <v>0.499181698172312</v>
      </c>
      <c r="D147" t="n">
        <v>1.5377358490566</v>
      </c>
    </row>
    <row r="148">
      <c r="A148" t="s">
        <v>1078</v>
      </c>
      <c r="B148" t="s">
        <v>30</v>
      </c>
      <c r="C148" t="n">
        <v>0.295512722549141</v>
      </c>
      <c r="D148" t="n">
        <v>0.768867924528302</v>
      </c>
    </row>
    <row r="149">
      <c r="A149" t="s">
        <v>1079</v>
      </c>
      <c r="B149" t="s">
        <v>32</v>
      </c>
      <c r="C149" t="n">
        <v>0.508252724580159</v>
      </c>
      <c r="D149" t="n">
        <v>1</v>
      </c>
    </row>
    <row r="150">
      <c r="A150" t="s">
        <v>1080</v>
      </c>
      <c r="B150" t="s">
        <v>32</v>
      </c>
      <c r="C150" t="n">
        <v>0.51953775092658</v>
      </c>
      <c r="D150" t="n">
        <v>1</v>
      </c>
    </row>
    <row r="151">
      <c r="A151" t="s">
        <v>1080</v>
      </c>
      <c r="B151" t="s">
        <v>32</v>
      </c>
      <c r="C151" t="n">
        <v>0.567512620220183</v>
      </c>
      <c r="D151" t="n">
        <v>1</v>
      </c>
    </row>
    <row r="152">
      <c r="A152" t="s">
        <v>1081</v>
      </c>
      <c r="B152" t="s">
        <v>32</v>
      </c>
      <c r="C152" t="n">
        <v>0.427627536652055</v>
      </c>
      <c r="D152" t="n">
        <v>1</v>
      </c>
    </row>
    <row r="153">
      <c r="A153" t="s">
        <v>1081</v>
      </c>
      <c r="B153" t="s">
        <v>32</v>
      </c>
      <c r="C153" t="n">
        <v>0.401155709308037</v>
      </c>
      <c r="D153" t="n">
        <v>1</v>
      </c>
    </row>
    <row r="154">
      <c r="A154" t="s">
        <v>658</v>
      </c>
      <c r="B154" t="s">
        <v>30</v>
      </c>
      <c r="C154" t="n">
        <v>0.467286441956205</v>
      </c>
      <c r="D154" t="n">
        <v>0.768867924528302</v>
      </c>
    </row>
    <row r="155">
      <c r="A155" t="s">
        <v>658</v>
      </c>
      <c r="B155" t="s">
        <v>30</v>
      </c>
      <c r="C155" t="n">
        <v>0.330566511183901</v>
      </c>
      <c r="D155" t="n">
        <v>0.768867924528302</v>
      </c>
    </row>
    <row r="156">
      <c r="A156" t="s">
        <v>1082</v>
      </c>
      <c r="B156" t="s">
        <v>32</v>
      </c>
      <c r="C156" t="n">
        <v>0.376600926182958</v>
      </c>
      <c r="D156" t="n">
        <v>1</v>
      </c>
    </row>
    <row r="157">
      <c r="A157" t="s">
        <v>662</v>
      </c>
      <c r="B157" t="s">
        <v>30</v>
      </c>
      <c r="C157" t="n">
        <v>0.444113171708989</v>
      </c>
      <c r="D157" t="n">
        <v>0.768867924528302</v>
      </c>
    </row>
    <row r="158">
      <c r="A158" t="s">
        <v>662</v>
      </c>
      <c r="B158" t="s">
        <v>30</v>
      </c>
      <c r="C158" t="n">
        <v>0.260840921610579</v>
      </c>
      <c r="D158" t="n">
        <v>0.768867924528302</v>
      </c>
    </row>
    <row r="159">
      <c r="A159" t="s">
        <v>663</v>
      </c>
      <c r="B159" t="s">
        <v>30</v>
      </c>
      <c r="C159" t="n">
        <v>0.32156523016862</v>
      </c>
      <c r="D159" t="n">
        <v>0.768867924528302</v>
      </c>
    </row>
    <row r="160">
      <c r="A160" t="s">
        <v>664</v>
      </c>
      <c r="B160" t="s">
        <v>30</v>
      </c>
      <c r="C160" t="n">
        <v>0.447811899641386</v>
      </c>
      <c r="D160" t="n">
        <v>0.768867924528302</v>
      </c>
    </row>
    <row r="161">
      <c r="A161" t="s">
        <v>665</v>
      </c>
      <c r="B161" t="s">
        <v>30</v>
      </c>
      <c r="C161" t="n">
        <v>0.486857269957127</v>
      </c>
      <c r="D161" t="n">
        <v>1.5377358490566</v>
      </c>
    </row>
    <row r="162">
      <c r="A162" t="s">
        <v>1083</v>
      </c>
      <c r="B162" t="s">
        <v>32</v>
      </c>
      <c r="C162" t="n">
        <v>0.555787635004177</v>
      </c>
      <c r="D162" t="n">
        <v>1</v>
      </c>
    </row>
    <row r="163">
      <c r="A163" t="s">
        <v>1083</v>
      </c>
      <c r="B163" t="s">
        <v>32</v>
      </c>
      <c r="C163" t="n">
        <v>0.353298488215339</v>
      </c>
      <c r="D163" t="n">
        <v>1</v>
      </c>
    </row>
    <row r="164">
      <c r="A164" t="s">
        <v>669</v>
      </c>
      <c r="B164" t="s">
        <v>30</v>
      </c>
      <c r="C164" t="n">
        <v>0.165522961584454</v>
      </c>
      <c r="D164" t="n">
        <v>0.768867924528302</v>
      </c>
    </row>
    <row r="165">
      <c r="A165" t="s">
        <v>1084</v>
      </c>
      <c r="B165" t="s">
        <v>30</v>
      </c>
      <c r="C165" t="n">
        <v>0.1049932260339</v>
      </c>
      <c r="D165" t="n">
        <v>0.768867924528302</v>
      </c>
    </row>
    <row r="166">
      <c r="A166" t="s">
        <v>1085</v>
      </c>
      <c r="B166" t="s">
        <v>32</v>
      </c>
      <c r="C166" t="n">
        <v>0.285319624356338</v>
      </c>
      <c r="D166" t="n">
        <v>1</v>
      </c>
    </row>
    <row r="167">
      <c r="A167" t="s">
        <v>1085</v>
      </c>
      <c r="B167" t="s">
        <v>32</v>
      </c>
      <c r="C167" t="n">
        <v>0.265447420868599</v>
      </c>
      <c r="D167" t="n">
        <v>1</v>
      </c>
    </row>
    <row r="168">
      <c r="A168" t="s">
        <v>1086</v>
      </c>
      <c r="B168" t="s">
        <v>32</v>
      </c>
      <c r="C168" t="n">
        <v>0.321202023173379</v>
      </c>
      <c r="D168" t="n">
        <v>1</v>
      </c>
    </row>
    <row r="169">
      <c r="A169" t="s">
        <v>671</v>
      </c>
      <c r="B169" t="s">
        <v>30</v>
      </c>
      <c r="C169" t="n">
        <v>0.373834880448775</v>
      </c>
      <c r="D169" t="n">
        <v>1.5377358490566</v>
      </c>
    </row>
    <row r="170">
      <c r="A170" t="s">
        <v>672</v>
      </c>
      <c r="B170" t="s">
        <v>30</v>
      </c>
      <c r="C170" t="n">
        <v>0.385083330969068</v>
      </c>
      <c r="D170" t="n">
        <v>1.5377358490566</v>
      </c>
    </row>
    <row r="171">
      <c r="A171" t="s">
        <v>672</v>
      </c>
      <c r="B171" t="s">
        <v>30</v>
      </c>
      <c r="C171" t="n">
        <v>0.320474521518778</v>
      </c>
      <c r="D171" t="n">
        <v>0.768867924528302</v>
      </c>
    </row>
    <row r="172">
      <c r="A172" t="s">
        <v>1087</v>
      </c>
      <c r="B172" t="s">
        <v>32</v>
      </c>
      <c r="C172" t="n">
        <v>0.658228620369985</v>
      </c>
      <c r="D172" t="n">
        <v>1</v>
      </c>
    </row>
    <row r="173">
      <c r="A173" t="s">
        <v>673</v>
      </c>
      <c r="B173" t="s">
        <v>30</v>
      </c>
      <c r="C173" t="n">
        <v>0.473284131886369</v>
      </c>
      <c r="D173" t="n">
        <v>0.768867924528302</v>
      </c>
    </row>
    <row r="174">
      <c r="A174" t="s">
        <v>673</v>
      </c>
      <c r="B174" t="s">
        <v>30</v>
      </c>
      <c r="C174" t="n">
        <v>0.453652885539114</v>
      </c>
      <c r="D174" t="n">
        <v>1.5377358490566</v>
      </c>
    </row>
    <row r="175">
      <c r="A175" t="s">
        <v>675</v>
      </c>
      <c r="B175" t="s">
        <v>30</v>
      </c>
      <c r="C175" t="n">
        <v>0.275453782419956</v>
      </c>
      <c r="D175" t="n">
        <v>0.768867924528302</v>
      </c>
    </row>
    <row r="176">
      <c r="A176" t="s">
        <v>1088</v>
      </c>
      <c r="B176" t="s">
        <v>32</v>
      </c>
      <c r="C176" t="n">
        <v>0.380083764518811</v>
      </c>
      <c r="D176" t="n">
        <v>1</v>
      </c>
    </row>
    <row r="177">
      <c r="A177" t="s">
        <v>1088</v>
      </c>
      <c r="B177" t="s">
        <v>32</v>
      </c>
      <c r="C177" t="n">
        <v>0.417141233199189</v>
      </c>
      <c r="D177" t="n">
        <v>1</v>
      </c>
    </row>
    <row r="178">
      <c r="A178" t="s">
        <v>677</v>
      </c>
      <c r="B178" t="s">
        <v>30</v>
      </c>
      <c r="C178" t="n">
        <v>0.455862949903174</v>
      </c>
      <c r="D178" t="n">
        <v>1.5377358490566</v>
      </c>
    </row>
    <row r="179">
      <c r="A179" t="s">
        <v>1089</v>
      </c>
      <c r="B179" t="s">
        <v>32</v>
      </c>
      <c r="C179" t="n">
        <v>0.221755697094665</v>
      </c>
      <c r="D179" t="n">
        <v>1</v>
      </c>
    </row>
    <row r="180">
      <c r="A180" t="s">
        <v>1089</v>
      </c>
      <c r="B180" t="s">
        <v>32</v>
      </c>
      <c r="C180" t="n">
        <v>0.222576175411718</v>
      </c>
      <c r="D180" t="n">
        <v>1</v>
      </c>
    </row>
    <row r="181">
      <c r="A181" t="s">
        <v>1090</v>
      </c>
      <c r="B181" t="s">
        <v>32</v>
      </c>
      <c r="C181" t="n">
        <v>0.31531423984693</v>
      </c>
      <c r="D181" t="n">
        <v>1</v>
      </c>
    </row>
    <row r="182">
      <c r="A182" t="s">
        <v>1091</v>
      </c>
      <c r="B182" t="s">
        <v>30</v>
      </c>
      <c r="C182" t="n">
        <v>0.247167914857608</v>
      </c>
      <c r="D182" t="n">
        <v>0.768867924528302</v>
      </c>
    </row>
    <row r="183">
      <c r="A183" t="s">
        <v>1092</v>
      </c>
      <c r="B183" t="s">
        <v>30</v>
      </c>
      <c r="C183" t="n">
        <v>0.177882515827473</v>
      </c>
      <c r="D183" t="n">
        <v>0.768867924528302</v>
      </c>
    </row>
    <row r="184">
      <c r="A184" t="s">
        <v>1093</v>
      </c>
      <c r="B184" t="s">
        <v>30</v>
      </c>
      <c r="C184" t="n">
        <v>0.314650303746711</v>
      </c>
      <c r="D184" t="n">
        <v>0.768867924528302</v>
      </c>
    </row>
    <row r="185">
      <c r="A185" t="s">
        <v>679</v>
      </c>
      <c r="B185" t="s">
        <v>30</v>
      </c>
      <c r="C185" t="n">
        <v>0.415311208750354</v>
      </c>
      <c r="D185" t="n">
        <v>1.5377358490566</v>
      </c>
    </row>
    <row r="186">
      <c r="A186" t="s">
        <v>1094</v>
      </c>
      <c r="B186" t="s">
        <v>32</v>
      </c>
      <c r="C186" t="n">
        <v>0.429767114284698</v>
      </c>
      <c r="D186" t="n">
        <v>1</v>
      </c>
    </row>
    <row r="187">
      <c r="A187" t="s">
        <v>682</v>
      </c>
      <c r="B187" t="s">
        <v>30</v>
      </c>
      <c r="C187" t="n">
        <v>0.313923319101788</v>
      </c>
      <c r="D187" t="n">
        <v>0.768867924528302</v>
      </c>
    </row>
    <row r="188">
      <c r="A188" t="s">
        <v>682</v>
      </c>
      <c r="B188" t="s">
        <v>30</v>
      </c>
      <c r="C188" t="n">
        <v>0.201472713642755</v>
      </c>
      <c r="D188" t="n">
        <v>0.768867924528302</v>
      </c>
    </row>
    <row r="189">
      <c r="A189" t="s">
        <v>683</v>
      </c>
      <c r="B189" t="s">
        <v>30</v>
      </c>
      <c r="C189" t="n">
        <v>0.355059877230523</v>
      </c>
      <c r="D189" t="n">
        <v>0.768867924528302</v>
      </c>
    </row>
    <row r="190">
      <c r="A190" t="s">
        <v>685</v>
      </c>
      <c r="B190" t="s">
        <v>30</v>
      </c>
      <c r="C190" t="n">
        <v>0.185084725547186</v>
      </c>
      <c r="D190" t="n">
        <v>0.768867924528302</v>
      </c>
    </row>
    <row r="191">
      <c r="A191" t="s">
        <v>685</v>
      </c>
      <c r="B191" t="s">
        <v>30</v>
      </c>
      <c r="C191" t="n">
        <v>0.162162020665261</v>
      </c>
      <c r="D191" t="n">
        <v>0.768867924528302</v>
      </c>
    </row>
    <row r="192">
      <c r="A192" t="s">
        <v>1095</v>
      </c>
      <c r="B192" t="s">
        <v>32</v>
      </c>
      <c r="C192" t="n">
        <v>0.249457732849077</v>
      </c>
      <c r="D192" t="n">
        <v>1</v>
      </c>
    </row>
    <row r="193">
      <c r="A193" t="s">
        <v>1096</v>
      </c>
      <c r="B193" t="s">
        <v>32</v>
      </c>
      <c r="C193" t="n">
        <v>0.168625952072467</v>
      </c>
      <c r="D193" t="n">
        <v>1</v>
      </c>
    </row>
    <row r="194">
      <c r="A194" t="s">
        <v>1096</v>
      </c>
      <c r="B194" t="s">
        <v>32</v>
      </c>
      <c r="C194" t="n">
        <v>0.409850562637247</v>
      </c>
      <c r="D194" t="n">
        <v>1</v>
      </c>
    </row>
    <row r="195">
      <c r="A195" t="s">
        <v>1097</v>
      </c>
      <c r="B195" t="s">
        <v>32</v>
      </c>
      <c r="C195" t="n">
        <v>0.64687197623396</v>
      </c>
      <c r="D195" t="n">
        <v>1</v>
      </c>
    </row>
    <row r="196">
      <c r="A196" t="s">
        <v>1097</v>
      </c>
      <c r="B196" t="s">
        <v>32</v>
      </c>
      <c r="C196" t="n">
        <v>0.503670206037918</v>
      </c>
      <c r="D196" t="n">
        <v>1</v>
      </c>
    </row>
    <row r="197">
      <c r="A197" t="s">
        <v>688</v>
      </c>
      <c r="B197" t="s">
        <v>30</v>
      </c>
      <c r="C197" t="n">
        <v>0.187864878590261</v>
      </c>
      <c r="D197" t="n">
        <v>0.768867924528302</v>
      </c>
    </row>
    <row r="198">
      <c r="A198" t="s">
        <v>689</v>
      </c>
      <c r="B198" t="s">
        <v>30</v>
      </c>
      <c r="C198" t="n">
        <v>0.244180486671721</v>
      </c>
      <c r="D198" t="n">
        <v>0.768867924528302</v>
      </c>
    </row>
    <row r="199">
      <c r="A199" t="s">
        <v>690</v>
      </c>
      <c r="B199" t="s">
        <v>30</v>
      </c>
      <c r="C199" t="n">
        <v>0.370405958096191</v>
      </c>
      <c r="D199" t="n">
        <v>1.5377358490566</v>
      </c>
    </row>
    <row r="200">
      <c r="A200" t="s">
        <v>692</v>
      </c>
      <c r="B200" t="s">
        <v>30</v>
      </c>
      <c r="C200" t="n">
        <v>0.346184040188061</v>
      </c>
      <c r="D200" t="n">
        <v>0.768867924528302</v>
      </c>
    </row>
    <row r="201">
      <c r="A201" t="s">
        <v>1098</v>
      </c>
      <c r="B201" t="s">
        <v>32</v>
      </c>
      <c r="C201" t="n">
        <v>0.420740342221255</v>
      </c>
      <c r="D201" t="n">
        <v>1</v>
      </c>
    </row>
    <row r="202">
      <c r="A202" t="s">
        <v>1099</v>
      </c>
      <c r="B202" t="s">
        <v>32</v>
      </c>
      <c r="C202" t="n">
        <v>0.185222250739888</v>
      </c>
      <c r="D202" t="n">
        <v>1</v>
      </c>
    </row>
    <row r="203">
      <c r="A203" t="s">
        <v>694</v>
      </c>
      <c r="B203" t="s">
        <v>30</v>
      </c>
      <c r="C203" t="n">
        <v>0.339055508070433</v>
      </c>
      <c r="D203" t="n">
        <v>0.768867924528302</v>
      </c>
    </row>
    <row r="204">
      <c r="A204" t="s">
        <v>1100</v>
      </c>
      <c r="B204" t="s">
        <v>32</v>
      </c>
      <c r="C204" t="n">
        <v>0.490088233601894</v>
      </c>
      <c r="D204" t="n">
        <v>1</v>
      </c>
    </row>
    <row r="205">
      <c r="A205" t="s">
        <v>695</v>
      </c>
      <c r="B205" t="s">
        <v>30</v>
      </c>
      <c r="C205" t="n">
        <v>0.361259988875485</v>
      </c>
      <c r="D205" t="n">
        <v>1.5377358490566</v>
      </c>
    </row>
    <row r="206">
      <c r="A206" t="s">
        <v>1101</v>
      </c>
      <c r="B206" t="s">
        <v>32</v>
      </c>
      <c r="C206" t="n">
        <v>0.170031778112476</v>
      </c>
      <c r="D206" t="n">
        <v>1</v>
      </c>
    </row>
    <row r="207">
      <c r="A207" t="s">
        <v>1102</v>
      </c>
      <c r="B207" t="s">
        <v>30</v>
      </c>
      <c r="C207" t="n">
        <v>0.250472207548891</v>
      </c>
      <c r="D207" t="n">
        <v>0.768867924528302</v>
      </c>
    </row>
    <row r="208">
      <c r="A208" t="s">
        <v>1103</v>
      </c>
      <c r="B208" t="s">
        <v>32</v>
      </c>
      <c r="C208" t="n">
        <v>0.574842248241602</v>
      </c>
      <c r="D208" t="n">
        <v>1</v>
      </c>
    </row>
    <row r="209">
      <c r="A209" t="s">
        <v>1103</v>
      </c>
      <c r="B209" t="s">
        <v>32</v>
      </c>
      <c r="C209" t="n">
        <v>0.641965539898024</v>
      </c>
      <c r="D209" t="n">
        <v>1</v>
      </c>
    </row>
    <row r="210">
      <c r="A210" t="s">
        <v>1104</v>
      </c>
      <c r="B210" t="s">
        <v>32</v>
      </c>
      <c r="C210" t="n">
        <v>0.551070963651085</v>
      </c>
      <c r="D210" t="n">
        <v>1</v>
      </c>
    </row>
    <row r="211">
      <c r="A211" t="s">
        <v>697</v>
      </c>
      <c r="B211" t="s">
        <v>30</v>
      </c>
      <c r="C211" t="n">
        <v>0.423138465522233</v>
      </c>
      <c r="D211" t="n">
        <v>1.5377358490566</v>
      </c>
    </row>
    <row r="212">
      <c r="A212" t="s">
        <v>698</v>
      </c>
      <c r="B212" t="s">
        <v>30</v>
      </c>
      <c r="C212" t="n">
        <v>0.265867710423472</v>
      </c>
      <c r="D212" t="n">
        <v>0.768867924528302</v>
      </c>
    </row>
    <row r="213">
      <c r="A213" t="s">
        <v>1105</v>
      </c>
      <c r="B213" t="s">
        <v>32</v>
      </c>
      <c r="C213" t="n">
        <v>0.384529399566367</v>
      </c>
      <c r="D213" t="n">
        <v>1</v>
      </c>
    </row>
    <row r="214">
      <c r="A214" t="s">
        <v>699</v>
      </c>
      <c r="B214" t="s">
        <v>30</v>
      </c>
      <c r="C214" t="n">
        <v>0.260368326153465</v>
      </c>
      <c r="D214" t="n">
        <v>0.768867924528302</v>
      </c>
    </row>
    <row r="215">
      <c r="A215" t="s">
        <v>1106</v>
      </c>
      <c r="B215" t="s">
        <v>32</v>
      </c>
      <c r="C215" t="n">
        <v>0.401814093431848</v>
      </c>
      <c r="D215" t="n">
        <v>1</v>
      </c>
    </row>
    <row r="216">
      <c r="A216" t="s">
        <v>1106</v>
      </c>
      <c r="B216" t="s">
        <v>32</v>
      </c>
      <c r="C216" t="n">
        <v>0.2497571875292</v>
      </c>
      <c r="D216" t="n">
        <v>1</v>
      </c>
    </row>
    <row r="217">
      <c r="A217" t="s">
        <v>700</v>
      </c>
      <c r="B217" t="s">
        <v>30</v>
      </c>
      <c r="C217" t="n">
        <v>0.282261818834124</v>
      </c>
      <c r="D217" t="n">
        <v>0.768867924528302</v>
      </c>
    </row>
    <row r="218">
      <c r="A218" t="s">
        <v>1107</v>
      </c>
      <c r="B218" t="s">
        <v>30</v>
      </c>
      <c r="C218" t="n">
        <v>0.169366821007363</v>
      </c>
      <c r="D218" t="n">
        <v>0.768867924528302</v>
      </c>
    </row>
    <row r="219">
      <c r="A219" t="s">
        <v>701</v>
      </c>
      <c r="B219" t="s">
        <v>30</v>
      </c>
      <c r="C219" t="n">
        <v>0.446903732221175</v>
      </c>
      <c r="D219" t="n">
        <v>0.768867924528302</v>
      </c>
    </row>
    <row r="220">
      <c r="A220" t="s">
        <v>701</v>
      </c>
      <c r="B220" t="s">
        <v>30</v>
      </c>
      <c r="C220" t="n">
        <v>0.267587307783645</v>
      </c>
      <c r="D220" t="n">
        <v>0.768867924528302</v>
      </c>
    </row>
    <row r="221">
      <c r="A221" t="s">
        <v>1108</v>
      </c>
      <c r="B221" t="s">
        <v>32</v>
      </c>
      <c r="C221" t="n">
        <v>0.427926161459184</v>
      </c>
      <c r="D221" t="n">
        <v>1</v>
      </c>
    </row>
    <row r="222">
      <c r="A222" t="s">
        <v>1108</v>
      </c>
      <c r="B222" t="s">
        <v>32</v>
      </c>
      <c r="C222" t="n">
        <v>0.367188854352056</v>
      </c>
      <c r="D222" t="n">
        <v>1</v>
      </c>
    </row>
    <row r="223">
      <c r="A223" t="s">
        <v>1109</v>
      </c>
      <c r="B223" t="s">
        <v>32</v>
      </c>
      <c r="C223" t="n">
        <v>0.507422205040409</v>
      </c>
      <c r="D223" t="n">
        <v>1</v>
      </c>
    </row>
    <row r="224">
      <c r="A224" t="s">
        <v>1109</v>
      </c>
      <c r="B224" t="s">
        <v>32</v>
      </c>
      <c r="C224" t="n">
        <v>0.505481872331197</v>
      </c>
      <c r="D224" t="n">
        <v>1</v>
      </c>
    </row>
    <row r="225">
      <c r="A225" t="s">
        <v>703</v>
      </c>
      <c r="B225" t="s">
        <v>30</v>
      </c>
      <c r="C225" t="n">
        <v>0.589410410048549</v>
      </c>
      <c r="D225" t="n">
        <v>0.768867924528302</v>
      </c>
    </row>
    <row r="226">
      <c r="A226" t="s">
        <v>705</v>
      </c>
      <c r="B226" t="s">
        <v>30</v>
      </c>
      <c r="C226" t="n">
        <v>0.277988365274995</v>
      </c>
      <c r="D226" t="n">
        <v>0.768867924528302</v>
      </c>
    </row>
    <row r="227">
      <c r="A227" t="s">
        <v>707</v>
      </c>
      <c r="B227" t="s">
        <v>30</v>
      </c>
      <c r="C227" t="n">
        <v>0.422171715642157</v>
      </c>
      <c r="D227" t="n">
        <v>0.768867924528302</v>
      </c>
    </row>
    <row r="228">
      <c r="A228" t="s">
        <v>708</v>
      </c>
      <c r="B228" t="s">
        <v>30</v>
      </c>
      <c r="C228" t="n">
        <v>0.245951968938219</v>
      </c>
      <c r="D228" t="n">
        <v>0.768867924528302</v>
      </c>
    </row>
    <row r="229">
      <c r="A229" t="s">
        <v>708</v>
      </c>
      <c r="B229" t="s">
        <v>30</v>
      </c>
      <c r="C229" t="n">
        <v>0.278229868724512</v>
      </c>
      <c r="D229" t="n">
        <v>0.768867924528302</v>
      </c>
    </row>
    <row r="230">
      <c r="A230" t="s">
        <v>709</v>
      </c>
      <c r="B230" t="s">
        <v>30</v>
      </c>
      <c r="C230" t="n">
        <v>0.573476178662572</v>
      </c>
      <c r="D230" t="n">
        <v>0.768867924528302</v>
      </c>
    </row>
    <row r="231">
      <c r="A231" t="s">
        <v>1110</v>
      </c>
      <c r="B231" t="s">
        <v>30</v>
      </c>
      <c r="C231" t="n">
        <v>0.240995485141267</v>
      </c>
      <c r="D231" t="n">
        <v>0.768867924528302</v>
      </c>
    </row>
    <row r="232">
      <c r="A232" t="s">
        <v>1111</v>
      </c>
      <c r="B232" t="s">
        <v>32</v>
      </c>
      <c r="C232" t="n">
        <v>0.41892152602474</v>
      </c>
      <c r="D232" t="n">
        <v>1</v>
      </c>
    </row>
    <row r="233">
      <c r="A233" t="s">
        <v>1111</v>
      </c>
      <c r="B233" t="s">
        <v>32</v>
      </c>
      <c r="C233" t="n">
        <v>0.407736331819749</v>
      </c>
      <c r="D233" t="n">
        <v>1</v>
      </c>
    </row>
    <row r="234">
      <c r="A234" t="s">
        <v>1112</v>
      </c>
      <c r="B234" t="s">
        <v>32</v>
      </c>
      <c r="C234" t="n">
        <v>0.270103831697048</v>
      </c>
      <c r="D234" t="n">
        <v>1</v>
      </c>
    </row>
    <row r="235">
      <c r="A235" t="s">
        <v>1112</v>
      </c>
      <c r="B235" t="s">
        <v>32</v>
      </c>
      <c r="C235" t="n">
        <v>0.269506538670683</v>
      </c>
      <c r="D235" t="n">
        <v>1</v>
      </c>
    </row>
    <row r="236">
      <c r="A236" t="s">
        <v>711</v>
      </c>
      <c r="B236" t="s">
        <v>30</v>
      </c>
      <c r="C236" t="n">
        <v>0.555922449807755</v>
      </c>
      <c r="D236" t="n">
        <v>1.5377358490566</v>
      </c>
    </row>
    <row r="237">
      <c r="A237" t="s">
        <v>1113</v>
      </c>
      <c r="B237" t="s">
        <v>30</v>
      </c>
      <c r="C237" t="n">
        <v>0.242742691988041</v>
      </c>
      <c r="D237" t="n">
        <v>0.768867924528302</v>
      </c>
    </row>
    <row r="238">
      <c r="A238" t="s">
        <v>1113</v>
      </c>
      <c r="B238" t="s">
        <v>30</v>
      </c>
      <c r="C238" t="n">
        <v>0.258339358680522</v>
      </c>
      <c r="D238" t="n">
        <v>0.768867924528302</v>
      </c>
    </row>
    <row r="239">
      <c r="A239" t="s">
        <v>1114</v>
      </c>
      <c r="B239" t="s">
        <v>32</v>
      </c>
      <c r="C239" t="n">
        <v>0.376966421189559</v>
      </c>
      <c r="D239" t="n">
        <v>1</v>
      </c>
    </row>
    <row r="240">
      <c r="A240" t="s">
        <v>1115</v>
      </c>
      <c r="B240" t="s">
        <v>32</v>
      </c>
      <c r="C240" t="n">
        <v>0.623366273970649</v>
      </c>
      <c r="D240" t="n">
        <v>1</v>
      </c>
    </row>
    <row r="241">
      <c r="A241" t="s">
        <v>1116</v>
      </c>
      <c r="B241" t="s">
        <v>32</v>
      </c>
      <c r="C241" t="n">
        <v>0.256609259626387</v>
      </c>
      <c r="D241" t="n">
        <v>1</v>
      </c>
    </row>
    <row r="242">
      <c r="A242" t="s">
        <v>1116</v>
      </c>
      <c r="B242" t="s">
        <v>32</v>
      </c>
      <c r="C242" t="n">
        <v>0.244879027242243</v>
      </c>
      <c r="D242" t="n">
        <v>1</v>
      </c>
    </row>
    <row r="243">
      <c r="A243" t="s">
        <v>1117</v>
      </c>
      <c r="B243" t="s">
        <v>32</v>
      </c>
      <c r="C243" t="n">
        <v>0.452513544517481</v>
      </c>
      <c r="D243" t="n">
        <v>1</v>
      </c>
    </row>
    <row r="244">
      <c r="A244" t="s">
        <v>1117</v>
      </c>
      <c r="B244" t="s">
        <v>32</v>
      </c>
      <c r="C244" t="n">
        <v>0.275036138461028</v>
      </c>
      <c r="D244" t="n">
        <v>1</v>
      </c>
    </row>
    <row r="245">
      <c r="A245" t="s">
        <v>1118</v>
      </c>
      <c r="B245" t="s">
        <v>32</v>
      </c>
      <c r="C245" t="n">
        <v>0.395099509534557</v>
      </c>
      <c r="D245" t="n">
        <v>1</v>
      </c>
    </row>
    <row r="246">
      <c r="A246" t="s">
        <v>1119</v>
      </c>
      <c r="B246" t="s">
        <v>32</v>
      </c>
      <c r="C246" t="n">
        <v>0.381970206966373</v>
      </c>
      <c r="D246" t="n">
        <v>1</v>
      </c>
    </row>
    <row r="247">
      <c r="A247" t="s">
        <v>1119</v>
      </c>
      <c r="B247" t="s">
        <v>32</v>
      </c>
      <c r="C247" t="n">
        <v>0.279496046059146</v>
      </c>
      <c r="D247" t="n">
        <v>1</v>
      </c>
    </row>
    <row r="248">
      <c r="A248" t="s">
        <v>1120</v>
      </c>
      <c r="B248" t="s">
        <v>32</v>
      </c>
      <c r="C248" t="n">
        <v>0.454577493852841</v>
      </c>
      <c r="D248" t="n">
        <v>1</v>
      </c>
    </row>
    <row r="249">
      <c r="A249" t="s">
        <v>1120</v>
      </c>
      <c r="B249" t="s">
        <v>32</v>
      </c>
      <c r="C249" t="n">
        <v>0.39786276399176</v>
      </c>
      <c r="D249" t="n">
        <v>1</v>
      </c>
    </row>
    <row r="250">
      <c r="A250" t="s">
        <v>720</v>
      </c>
      <c r="B250" t="s">
        <v>30</v>
      </c>
      <c r="C250" t="n">
        <v>0.536307813002863</v>
      </c>
      <c r="D250" t="n">
        <v>1.5377358490566</v>
      </c>
    </row>
    <row r="251">
      <c r="A251" t="s">
        <v>1121</v>
      </c>
      <c r="B251" t="s">
        <v>30</v>
      </c>
      <c r="C251" t="n">
        <v>0.419419125826619</v>
      </c>
      <c r="D251" t="n">
        <v>1.5377358490566</v>
      </c>
    </row>
    <row r="252">
      <c r="A252" t="s">
        <v>721</v>
      </c>
      <c r="B252" t="s">
        <v>30</v>
      </c>
      <c r="C252" t="n">
        <v>0.265005186566393</v>
      </c>
      <c r="D252" t="n">
        <v>0.768867924528302</v>
      </c>
    </row>
    <row r="253">
      <c r="A253" t="s">
        <v>721</v>
      </c>
      <c r="B253" t="s">
        <v>30</v>
      </c>
      <c r="C253" t="n">
        <v>0.251773841940549</v>
      </c>
      <c r="D253" t="n">
        <v>0.768867924528302</v>
      </c>
    </row>
    <row r="254">
      <c r="A254" t="s">
        <v>724</v>
      </c>
      <c r="B254" t="s">
        <v>30</v>
      </c>
      <c r="C254" t="n">
        <v>0.36080435437837</v>
      </c>
      <c r="D254" t="n">
        <v>1.5377358490566</v>
      </c>
    </row>
    <row r="255">
      <c r="A255" t="s">
        <v>726</v>
      </c>
      <c r="B255" t="s">
        <v>30</v>
      </c>
      <c r="C255" t="n">
        <v>0.57555609034149</v>
      </c>
      <c r="D255" t="n">
        <v>1.5377358490566</v>
      </c>
    </row>
    <row r="256">
      <c r="A256" t="s">
        <v>727</v>
      </c>
      <c r="B256" t="s">
        <v>30</v>
      </c>
      <c r="C256" t="n">
        <v>0.339295529121448</v>
      </c>
      <c r="D256" t="n">
        <v>0.768867924528302</v>
      </c>
    </row>
    <row r="257">
      <c r="A257" t="s">
        <v>727</v>
      </c>
      <c r="B257" t="s">
        <v>30</v>
      </c>
      <c r="C257" t="n">
        <v>0.246541088369791</v>
      </c>
      <c r="D257" t="n">
        <v>0.768867924528302</v>
      </c>
    </row>
    <row r="258">
      <c r="A258" t="s">
        <v>1122</v>
      </c>
      <c r="B258" t="s">
        <v>32</v>
      </c>
      <c r="C258" t="n">
        <v>0.251715095151475</v>
      </c>
      <c r="D258" t="n">
        <v>1</v>
      </c>
    </row>
    <row r="259">
      <c r="A259" t="s">
        <v>1123</v>
      </c>
      <c r="B259" t="s">
        <v>30</v>
      </c>
      <c r="C259" t="n">
        <v>0.183465561582901</v>
      </c>
      <c r="D259" t="n">
        <v>0.768867924528302</v>
      </c>
    </row>
    <row r="260">
      <c r="A260" t="s">
        <v>1124</v>
      </c>
      <c r="B260" t="s">
        <v>32</v>
      </c>
      <c r="C260" t="n">
        <v>0.378320564552321</v>
      </c>
      <c r="D260" t="n">
        <v>1</v>
      </c>
    </row>
    <row r="261">
      <c r="A261" t="s">
        <v>1124</v>
      </c>
      <c r="B261" t="s">
        <v>32</v>
      </c>
      <c r="C261" t="n">
        <v>0.174504737875264</v>
      </c>
      <c r="D261" t="n">
        <v>1</v>
      </c>
    </row>
    <row r="262">
      <c r="A262" t="s">
        <v>1125</v>
      </c>
      <c r="B262" t="s">
        <v>32</v>
      </c>
      <c r="C262" t="n">
        <v>0.386921807228518</v>
      </c>
      <c r="D262" t="n">
        <v>1</v>
      </c>
    </row>
    <row r="263">
      <c r="A263" t="s">
        <v>1126</v>
      </c>
      <c r="B263" t="s">
        <v>30</v>
      </c>
      <c r="C263" t="n">
        <v>0.421071554488719</v>
      </c>
      <c r="D263" t="n">
        <v>1.5377358490566</v>
      </c>
    </row>
    <row r="264">
      <c r="A264" t="s">
        <v>1126</v>
      </c>
      <c r="B264" t="s">
        <v>30</v>
      </c>
      <c r="C264" t="n">
        <v>0.171647407352752</v>
      </c>
      <c r="D264" t="n">
        <v>0.768867924528302</v>
      </c>
    </row>
    <row r="265">
      <c r="A265" t="s">
        <v>1127</v>
      </c>
      <c r="B265" t="s">
        <v>30</v>
      </c>
      <c r="C265" t="n">
        <v>0.179190913908512</v>
      </c>
      <c r="D265" t="n">
        <v>0.768867924528302</v>
      </c>
    </row>
    <row r="266">
      <c r="A266" t="s">
        <v>729</v>
      </c>
      <c r="B266" t="s">
        <v>30</v>
      </c>
      <c r="C266" t="n">
        <v>0.252046075437649</v>
      </c>
      <c r="D266" t="n">
        <v>0.768867924528302</v>
      </c>
    </row>
    <row r="267">
      <c r="A267" t="s">
        <v>729</v>
      </c>
      <c r="B267" t="s">
        <v>30</v>
      </c>
      <c r="C267" t="n">
        <v>0.356274036752321</v>
      </c>
      <c r="D267" t="n">
        <v>1.5377358490566</v>
      </c>
    </row>
    <row r="268">
      <c r="A268" t="s">
        <v>731</v>
      </c>
      <c r="B268" t="s">
        <v>30</v>
      </c>
      <c r="C268" t="n">
        <v>0.412546158292365</v>
      </c>
      <c r="D268" t="n">
        <v>1.5377358490566</v>
      </c>
    </row>
    <row r="269">
      <c r="A269" t="s">
        <v>732</v>
      </c>
      <c r="B269" t="s">
        <v>30</v>
      </c>
      <c r="C269" t="n">
        <v>0.430834677776543</v>
      </c>
      <c r="D269" t="n">
        <v>0.768867924528302</v>
      </c>
    </row>
    <row r="270">
      <c r="A270" t="s">
        <v>732</v>
      </c>
      <c r="B270" t="s">
        <v>30</v>
      </c>
      <c r="C270" t="n">
        <v>0.451995791721937</v>
      </c>
      <c r="D270" t="n">
        <v>1.5377358490566</v>
      </c>
    </row>
    <row r="271">
      <c r="A271" t="s">
        <v>733</v>
      </c>
      <c r="B271" t="s">
        <v>30</v>
      </c>
      <c r="C271" t="n">
        <v>0.619029783185169</v>
      </c>
      <c r="D271" t="n">
        <v>1.5377358490566</v>
      </c>
    </row>
    <row r="272">
      <c r="A272" t="s">
        <v>734</v>
      </c>
      <c r="B272" t="s">
        <v>30</v>
      </c>
      <c r="C272" t="n">
        <v>0.221496891037428</v>
      </c>
      <c r="D272" t="n">
        <v>0.768867924528302</v>
      </c>
    </row>
    <row r="273">
      <c r="A273" t="s">
        <v>1128</v>
      </c>
      <c r="B273" t="s">
        <v>32</v>
      </c>
      <c r="C273" t="n">
        <v>0.288803196868856</v>
      </c>
      <c r="D273" t="n">
        <v>1</v>
      </c>
    </row>
    <row r="274">
      <c r="A274" t="s">
        <v>737</v>
      </c>
      <c r="B274" t="s">
        <v>30</v>
      </c>
      <c r="C274" t="n">
        <v>0.400474960222755</v>
      </c>
      <c r="D274" t="n">
        <v>1.5377358490566</v>
      </c>
    </row>
    <row r="275">
      <c r="A275" t="s">
        <v>737</v>
      </c>
      <c r="B275" t="s">
        <v>30</v>
      </c>
      <c r="C275" t="n">
        <v>0.360896556812034</v>
      </c>
      <c r="D275" t="n">
        <v>1.5377358490566</v>
      </c>
    </row>
    <row r="276">
      <c r="A276" t="s">
        <v>738</v>
      </c>
      <c r="B276" t="s">
        <v>30</v>
      </c>
      <c r="C276" t="n">
        <v>0.224978269428268</v>
      </c>
      <c r="D276" t="n">
        <v>0.768867924528302</v>
      </c>
    </row>
    <row r="277">
      <c r="A277" t="s">
        <v>739</v>
      </c>
      <c r="B277" t="s">
        <v>30</v>
      </c>
      <c r="C277" t="n">
        <v>0.415452639275268</v>
      </c>
      <c r="D277" t="n">
        <v>0.768867924528302</v>
      </c>
    </row>
    <row r="278">
      <c r="A278" t="s">
        <v>740</v>
      </c>
      <c r="B278" t="s">
        <v>30</v>
      </c>
      <c r="C278" t="n">
        <v>0.521121143944085</v>
      </c>
      <c r="D278" t="n">
        <v>1.5377358490566</v>
      </c>
    </row>
    <row r="279">
      <c r="A279" t="s">
        <v>1129</v>
      </c>
      <c r="B279" t="s">
        <v>30</v>
      </c>
      <c r="C279" t="n">
        <v>0.329000389475484</v>
      </c>
      <c r="D279" t="n">
        <v>0.768867924528302</v>
      </c>
    </row>
    <row r="280">
      <c r="A280" t="s">
        <v>742</v>
      </c>
      <c r="B280" t="s">
        <v>30</v>
      </c>
      <c r="C280" t="n">
        <v>0.366464593265957</v>
      </c>
      <c r="D280" t="n">
        <v>1.5377358490566</v>
      </c>
    </row>
    <row r="281">
      <c r="A281" t="s">
        <v>1130</v>
      </c>
      <c r="B281" t="s">
        <v>30</v>
      </c>
      <c r="C281" t="n">
        <v>0.278432530316125</v>
      </c>
      <c r="D281" t="n">
        <v>0.768867924528302</v>
      </c>
    </row>
    <row r="282">
      <c r="A282" t="s">
        <v>1131</v>
      </c>
      <c r="B282" t="s">
        <v>32</v>
      </c>
      <c r="C282" t="n">
        <v>0.343068094100371</v>
      </c>
      <c r="D282" t="n">
        <v>1</v>
      </c>
    </row>
    <row r="283">
      <c r="A283" t="s">
        <v>744</v>
      </c>
      <c r="B283" t="s">
        <v>30</v>
      </c>
      <c r="C283" t="n">
        <v>0.21171820666264</v>
      </c>
      <c r="D283" t="n">
        <v>0.768867924528302</v>
      </c>
    </row>
    <row r="284">
      <c r="A284" t="s">
        <v>745</v>
      </c>
      <c r="B284" t="s">
        <v>30</v>
      </c>
      <c r="C284" t="n">
        <v>0.514548920807677</v>
      </c>
      <c r="D284" t="n">
        <v>1.5377358490566</v>
      </c>
    </row>
    <row r="285">
      <c r="A285" t="s">
        <v>1132</v>
      </c>
      <c r="B285" t="s">
        <v>32</v>
      </c>
      <c r="C285" t="n">
        <v>0.591759502632171</v>
      </c>
      <c r="D285" t="n">
        <v>1</v>
      </c>
    </row>
    <row r="286">
      <c r="A286" t="s">
        <v>1132</v>
      </c>
      <c r="B286" t="s">
        <v>32</v>
      </c>
      <c r="C286" t="n">
        <v>0.391385894173829</v>
      </c>
      <c r="D286" t="n">
        <v>1</v>
      </c>
    </row>
    <row r="287">
      <c r="A287" t="s">
        <v>747</v>
      </c>
      <c r="B287" t="s">
        <v>30</v>
      </c>
      <c r="C287" t="n">
        <v>0.219668975668836</v>
      </c>
      <c r="D287" t="n">
        <v>0.768867924528302</v>
      </c>
    </row>
    <row r="288">
      <c r="A288" t="s">
        <v>748</v>
      </c>
      <c r="B288" t="s">
        <v>30</v>
      </c>
      <c r="C288" t="n">
        <v>0.264960661095887</v>
      </c>
      <c r="D288" t="n">
        <v>0.768867924528302</v>
      </c>
    </row>
    <row r="289">
      <c r="A289" t="s">
        <v>748</v>
      </c>
      <c r="B289" t="s">
        <v>30</v>
      </c>
      <c r="C289" t="n">
        <v>0.428197225994051</v>
      </c>
      <c r="D289" t="n">
        <v>1.5377358490566</v>
      </c>
    </row>
    <row r="290">
      <c r="A290" t="s">
        <v>749</v>
      </c>
      <c r="B290" t="s">
        <v>30</v>
      </c>
      <c r="C290" t="n">
        <v>0.28562438976395</v>
      </c>
      <c r="D290" t="n">
        <v>0.768867924528302</v>
      </c>
    </row>
    <row r="291">
      <c r="A291" t="s">
        <v>750</v>
      </c>
      <c r="B291" t="s">
        <v>30</v>
      </c>
      <c r="C291" t="n">
        <v>0.252325606953141</v>
      </c>
      <c r="D291" t="n">
        <v>0.768867924528302</v>
      </c>
    </row>
    <row r="292">
      <c r="A292" t="s">
        <v>1133</v>
      </c>
      <c r="B292" t="s">
        <v>32</v>
      </c>
      <c r="C292" t="n">
        <v>0.26527276409451</v>
      </c>
      <c r="D292" t="n">
        <v>1</v>
      </c>
    </row>
    <row r="293">
      <c r="A293" t="s">
        <v>1133</v>
      </c>
      <c r="B293" t="s">
        <v>32</v>
      </c>
      <c r="C293" t="n">
        <v>0.280937473449667</v>
      </c>
      <c r="D293" t="n">
        <v>1</v>
      </c>
    </row>
    <row r="294">
      <c r="A294" t="s">
        <v>1134</v>
      </c>
      <c r="B294" t="s">
        <v>30</v>
      </c>
      <c r="C294" t="n">
        <v>0.16150663393305</v>
      </c>
      <c r="D294" t="n">
        <v>0.768867924528302</v>
      </c>
    </row>
    <row r="295">
      <c r="A295" t="s">
        <v>751</v>
      </c>
      <c r="B295" t="s">
        <v>30</v>
      </c>
      <c r="C295" t="n">
        <v>0.482883202599594</v>
      </c>
      <c r="D295" t="n">
        <v>0.768867924528302</v>
      </c>
    </row>
    <row r="296">
      <c r="A296" t="s">
        <v>752</v>
      </c>
      <c r="B296" t="s">
        <v>30</v>
      </c>
      <c r="C296" t="n">
        <v>0.362767837194072</v>
      </c>
      <c r="D296" t="n">
        <v>1.5377358490566</v>
      </c>
    </row>
    <row r="297">
      <c r="A297" t="s">
        <v>752</v>
      </c>
      <c r="B297" t="s">
        <v>30</v>
      </c>
      <c r="C297" t="n">
        <v>0.40223875170672</v>
      </c>
      <c r="D297" t="n">
        <v>1.5377358490566</v>
      </c>
    </row>
    <row r="298">
      <c r="A298" t="s">
        <v>1135</v>
      </c>
      <c r="B298" t="s">
        <v>30</v>
      </c>
      <c r="C298" t="n">
        <v>0.271495269641557</v>
      </c>
      <c r="D298" t="n">
        <v>0.768867924528302</v>
      </c>
    </row>
    <row r="299">
      <c r="A299" t="s">
        <v>754</v>
      </c>
      <c r="B299" t="s">
        <v>30</v>
      </c>
      <c r="C299" t="n">
        <v>0.347235650493425</v>
      </c>
      <c r="D299" t="n">
        <v>0.768867924528302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10" t="s">
        <v>755</v>
      </c>
    </row>
    <row r="3">
      <c r="A3" s="1" t="s">
        <v>756</v>
      </c>
    </row>
    <row r="4">
      <c r="A4" t="s">
        <v>314</v>
      </c>
      <c r="B4" t="s">
        <v>315</v>
      </c>
      <c r="C4" t="s">
        <v>316</v>
      </c>
      <c r="D4" t="s">
        <v>317</v>
      </c>
      <c r="E4" t="s">
        <v>318</v>
      </c>
      <c r="F4" t="s">
        <v>319</v>
      </c>
      <c r="G4" t="s">
        <v>320</v>
      </c>
      <c r="H4" t="s">
        <v>321</v>
      </c>
      <c r="I4" t="s">
        <v>322</v>
      </c>
      <c r="J4" t="s">
        <v>323</v>
      </c>
      <c r="K4" t="s">
        <v>324</v>
      </c>
      <c r="L4" t="s">
        <v>325</v>
      </c>
      <c r="M4" t="s">
        <v>326</v>
      </c>
      <c r="N4" t="s">
        <v>1</v>
      </c>
    </row>
    <row r="5">
      <c r="A5" t="s">
        <v>327</v>
      </c>
      <c r="B5" t="s">
        <v>328</v>
      </c>
      <c r="C5" t="n">
        <v>33.5801886792453</v>
      </c>
      <c r="D5" t="n">
        <v>0.514283812348227</v>
      </c>
      <c r="E5" t="n">
        <v>4263.44391959171</v>
      </c>
      <c r="F5" t="n">
        <v>0</v>
      </c>
      <c r="G5" t="s">
        <v>329</v>
      </c>
      <c r="H5" t="n">
        <v>33.5801886792453</v>
      </c>
      <c r="I5" t="n">
        <v>32.5721924070428</v>
      </c>
      <c r="J5" t="n">
        <v>34.5881849514478</v>
      </c>
      <c r="K5" t="s">
        <v>1136</v>
      </c>
      <c r="L5" t="s">
        <v>758</v>
      </c>
      <c r="M5" t="s">
        <v>332</v>
      </c>
      <c r="N5"/>
    </row>
    <row r="6">
      <c r="A6" t="s">
        <v>327</v>
      </c>
      <c r="B6" t="s">
        <v>335</v>
      </c>
      <c r="C6" t="n">
        <v>-0.0707547169811312</v>
      </c>
      <c r="D6" t="n">
        <v>0.875245777605781</v>
      </c>
      <c r="E6" t="n">
        <v>0.00653507758080717</v>
      </c>
      <c r="F6" t="n">
        <v>0.935569334575077</v>
      </c>
      <c r="G6" t="s">
        <v>329</v>
      </c>
      <c r="H6" t="n">
        <v>-0.0707547169811312</v>
      </c>
      <c r="I6" t="n">
        <v>-1.78623644108846</v>
      </c>
      <c r="J6" t="n">
        <v>1.6447270071262</v>
      </c>
      <c r="K6" t="s">
        <v>1137</v>
      </c>
      <c r="L6" t="s">
        <v>758</v>
      </c>
      <c r="M6" t="s">
        <v>332</v>
      </c>
      <c r="N6"/>
    </row>
    <row r="7">
      <c r="A7" t="s">
        <v>55</v>
      </c>
      <c r="B7" t="s">
        <v>328</v>
      </c>
      <c r="C7" t="n">
        <v>-4.5577853304927</v>
      </c>
      <c r="D7" t="n">
        <v>0.16692776415251</v>
      </c>
      <c r="E7" t="n">
        <v>745.505032792084</v>
      </c>
      <c r="F7" t="n">
        <v>0</v>
      </c>
      <c r="G7" t="s">
        <v>329</v>
      </c>
      <c r="H7" t="n">
        <v>-4.5577853304927</v>
      </c>
      <c r="I7" t="n">
        <v>-4.88496374823162</v>
      </c>
      <c r="J7" t="n">
        <v>-4.23060691275378</v>
      </c>
      <c r="K7" t="s">
        <v>1138</v>
      </c>
      <c r="L7" t="s">
        <v>758</v>
      </c>
      <c r="M7" t="s">
        <v>332</v>
      </c>
      <c r="N7"/>
    </row>
    <row r="8">
      <c r="A8" t="s">
        <v>55</v>
      </c>
      <c r="B8" t="s">
        <v>335</v>
      </c>
      <c r="C8" t="n">
        <v>-0.123876559336908</v>
      </c>
      <c r="D8" t="n">
        <v>0.232072302802502</v>
      </c>
      <c r="E8" t="n">
        <v>0.284925714053672</v>
      </c>
      <c r="F8" t="n">
        <v>0.593490754440874</v>
      </c>
      <c r="G8" t="s">
        <v>329</v>
      </c>
      <c r="H8" t="n">
        <v>-0.123876559336908</v>
      </c>
      <c r="I8" t="n">
        <v>-0.578738272829812</v>
      </c>
      <c r="J8" t="n">
        <v>0.330985154155996</v>
      </c>
      <c r="K8" t="s">
        <v>1139</v>
      </c>
      <c r="L8" t="s">
        <v>758</v>
      </c>
      <c r="M8" t="s">
        <v>332</v>
      </c>
      <c r="N8"/>
    </row>
    <row r="9">
      <c r="A9" t="s">
        <v>62</v>
      </c>
      <c r="B9" t="s">
        <v>328</v>
      </c>
      <c r="C9" t="n">
        <v>-4.24292452830189</v>
      </c>
      <c r="D9" t="n">
        <v>0.171245171260148</v>
      </c>
      <c r="E9" t="n">
        <v>613.894786488948</v>
      </c>
      <c r="F9" t="n">
        <v>0</v>
      </c>
      <c r="G9" t="s">
        <v>329</v>
      </c>
      <c r="H9" t="n">
        <v>-4.24292452830189</v>
      </c>
      <c r="I9" t="n">
        <v>-4.57856506397178</v>
      </c>
      <c r="J9" t="n">
        <v>-3.907283992632</v>
      </c>
      <c r="K9" t="s">
        <v>1140</v>
      </c>
      <c r="L9" t="s">
        <v>758</v>
      </c>
      <c r="M9" t="s">
        <v>332</v>
      </c>
      <c r="N9"/>
    </row>
    <row r="10">
      <c r="A10" t="s">
        <v>62</v>
      </c>
      <c r="B10" t="s">
        <v>335</v>
      </c>
      <c r="C10" t="n">
        <v>-0.143867924528302</v>
      </c>
      <c r="D10" t="n">
        <v>0.23434001160141</v>
      </c>
      <c r="E10" t="n">
        <v>0.376907745775057</v>
      </c>
      <c r="F10" t="n">
        <v>0.539262822278188</v>
      </c>
      <c r="G10" t="s">
        <v>329</v>
      </c>
      <c r="H10" t="n">
        <v>-0.143867924528302</v>
      </c>
      <c r="I10" t="n">
        <v>-0.603174347267066</v>
      </c>
      <c r="J10" t="n">
        <v>0.315438498210462</v>
      </c>
      <c r="K10" t="s">
        <v>1141</v>
      </c>
      <c r="L10" t="s">
        <v>758</v>
      </c>
      <c r="M10" t="s">
        <v>332</v>
      </c>
      <c r="N10"/>
    </row>
    <row r="11">
      <c r="A11" t="s">
        <v>69</v>
      </c>
      <c r="B11" t="s">
        <v>328</v>
      </c>
      <c r="C11" t="n">
        <v>-0.623820754716981</v>
      </c>
      <c r="D11" t="n">
        <v>0.0431215581060505</v>
      </c>
      <c r="E11" t="n">
        <v>209.281456920914</v>
      </c>
      <c r="F11" t="n">
        <v>0</v>
      </c>
      <c r="G11" t="s">
        <v>329</v>
      </c>
      <c r="H11" t="n">
        <v>-0.623820754716981</v>
      </c>
      <c r="I11" t="n">
        <v>-0.70833900860484</v>
      </c>
      <c r="J11" t="n">
        <v>-0.539302500829122</v>
      </c>
      <c r="K11" t="s">
        <v>1142</v>
      </c>
      <c r="L11" t="s">
        <v>758</v>
      </c>
      <c r="M11" t="s">
        <v>332</v>
      </c>
      <c r="N11"/>
    </row>
    <row r="12">
      <c r="A12" t="s">
        <v>69</v>
      </c>
      <c r="B12" t="s">
        <v>335</v>
      </c>
      <c r="C12" t="n">
        <v>0.0389150943396226</v>
      </c>
      <c r="D12" t="n">
        <v>0.059565145170347</v>
      </c>
      <c r="E12" t="n">
        <v>0.426826884133893</v>
      </c>
      <c r="F12" t="n">
        <v>0.513550069572957</v>
      </c>
      <c r="G12" t="s">
        <v>329</v>
      </c>
      <c r="H12" t="n">
        <v>0.0389150943396226</v>
      </c>
      <c r="I12" t="n">
        <v>-0.0778325901942575</v>
      </c>
      <c r="J12" t="n">
        <v>0.155662778873503</v>
      </c>
      <c r="K12" t="s">
        <v>1143</v>
      </c>
      <c r="L12" t="s">
        <v>758</v>
      </c>
      <c r="M12" t="s">
        <v>332</v>
      </c>
      <c r="N12"/>
    </row>
    <row r="13">
      <c r="A13" t="s">
        <v>77</v>
      </c>
      <c r="B13" t="s">
        <v>328</v>
      </c>
      <c r="C13" t="n">
        <v>1.12815173051447</v>
      </c>
      <c r="D13" t="n">
        <v>0.0202829605642021</v>
      </c>
      <c r="E13" t="n">
        <v>3093.65824212482</v>
      </c>
      <c r="F13" t="n">
        <v>0</v>
      </c>
      <c r="G13" t="s">
        <v>329</v>
      </c>
      <c r="H13" t="n">
        <v>1.12815173051447</v>
      </c>
      <c r="I13" t="n">
        <v>1.08839712780864</v>
      </c>
      <c r="J13" t="n">
        <v>1.16790633322031</v>
      </c>
      <c r="K13" t="s">
        <v>1144</v>
      </c>
      <c r="L13" t="s">
        <v>758</v>
      </c>
      <c r="M13" t="s">
        <v>332</v>
      </c>
      <c r="N13"/>
    </row>
    <row r="14">
      <c r="A14" t="s">
        <v>77</v>
      </c>
      <c r="B14" t="s">
        <v>335</v>
      </c>
      <c r="C14" t="n">
        <v>0.0065889697840396</v>
      </c>
      <c r="D14" t="n">
        <v>0.0283565762391467</v>
      </c>
      <c r="E14" t="n">
        <v>0.0539917551459262</v>
      </c>
      <c r="F14" t="n">
        <v>0.816257435560018</v>
      </c>
      <c r="G14" t="s">
        <v>329</v>
      </c>
      <c r="H14" t="n">
        <v>0.0065889697840396</v>
      </c>
      <c r="I14" t="n">
        <v>-0.048989919644688</v>
      </c>
      <c r="J14" t="n">
        <v>0.0621678592127672</v>
      </c>
      <c r="K14" t="s">
        <v>1145</v>
      </c>
      <c r="L14" t="s">
        <v>758</v>
      </c>
      <c r="M14" t="s">
        <v>332</v>
      </c>
      <c r="N14"/>
    </row>
    <row r="15">
      <c r="A15" t="s">
        <v>84</v>
      </c>
      <c r="B15" t="s">
        <v>328</v>
      </c>
      <c r="C15" t="n">
        <v>-0.0115405680996383</v>
      </c>
      <c r="D15" t="n">
        <v>0.00287341981557124</v>
      </c>
      <c r="E15" t="n">
        <v>16.1308113192932</v>
      </c>
      <c r="F15" t="n">
        <v>0.0000591144447668057</v>
      </c>
      <c r="G15" t="s">
        <v>329</v>
      </c>
      <c r="H15" t="n">
        <v>-0.0115405680996383</v>
      </c>
      <c r="I15" t="n">
        <v>-0.017172470938158</v>
      </c>
      <c r="J15" t="n">
        <v>-0.00590866526111868</v>
      </c>
      <c r="K15" t="s">
        <v>1146</v>
      </c>
      <c r="L15" t="s">
        <v>758</v>
      </c>
      <c r="M15" t="s">
        <v>332</v>
      </c>
      <c r="N15"/>
    </row>
    <row r="16">
      <c r="A16" t="s">
        <v>84</v>
      </c>
      <c r="B16" t="s">
        <v>335</v>
      </c>
      <c r="C16" t="n">
        <v>-0.0031805638089369</v>
      </c>
      <c r="D16" t="n">
        <v>0.00403496238660817</v>
      </c>
      <c r="E16" t="n">
        <v>0.621339901843918</v>
      </c>
      <c r="F16" t="n">
        <v>0.430549805508018</v>
      </c>
      <c r="G16" t="s">
        <v>329</v>
      </c>
      <c r="H16" t="n">
        <v>-0.0031805638089369</v>
      </c>
      <c r="I16" t="n">
        <v>-0.0110890900866889</v>
      </c>
      <c r="J16" t="n">
        <v>0.00472796246881512</v>
      </c>
      <c r="K16" t="s">
        <v>1147</v>
      </c>
      <c r="L16" t="s">
        <v>758</v>
      </c>
      <c r="M16" t="s">
        <v>332</v>
      </c>
      <c r="N16"/>
    </row>
    <row r="17">
      <c r="A17" t="s">
        <v>89</v>
      </c>
      <c r="B17" t="s">
        <v>328</v>
      </c>
      <c r="C17" t="n">
        <v>539.075471698113</v>
      </c>
      <c r="D17" t="n">
        <v>2.18763926000408</v>
      </c>
      <c r="E17" t="n">
        <v>60722.2318454222</v>
      </c>
      <c r="F17" t="n">
        <v>0</v>
      </c>
      <c r="G17" t="s">
        <v>329</v>
      </c>
      <c r="H17" t="n">
        <v>539.075471698113</v>
      </c>
      <c r="I17" t="n">
        <v>534.787698748505</v>
      </c>
      <c r="J17" t="n">
        <v>543.363244647721</v>
      </c>
      <c r="K17" t="s">
        <v>1148</v>
      </c>
      <c r="L17" t="s">
        <v>758</v>
      </c>
      <c r="M17" t="s">
        <v>332</v>
      </c>
      <c r="N17"/>
    </row>
    <row r="18">
      <c r="A18" t="s">
        <v>89</v>
      </c>
      <c r="B18" t="s">
        <v>335</v>
      </c>
      <c r="C18" t="n">
        <v>-0.650943396226372</v>
      </c>
      <c r="D18" t="n">
        <v>3.31781443054327</v>
      </c>
      <c r="E18" t="n">
        <v>0.0384930450051019</v>
      </c>
      <c r="F18" t="n">
        <v>0.844456410516177</v>
      </c>
      <c r="G18" t="s">
        <v>329</v>
      </c>
      <c r="H18" t="n">
        <v>-0.650943396226372</v>
      </c>
      <c r="I18" t="n">
        <v>-7.15385968009117</v>
      </c>
      <c r="J18" t="n">
        <v>5.85197288763843</v>
      </c>
      <c r="K18" t="s">
        <v>1149</v>
      </c>
      <c r="L18" t="s">
        <v>758</v>
      </c>
      <c r="M18" t="s">
        <v>332</v>
      </c>
      <c r="N18"/>
    </row>
    <row r="19">
      <c r="A19" t="s">
        <v>95</v>
      </c>
      <c r="B19" t="s">
        <v>328</v>
      </c>
      <c r="C19" t="n">
        <v>43.6591981132075</v>
      </c>
      <c r="D19" t="n">
        <v>0.124575542803053</v>
      </c>
      <c r="E19" t="n">
        <v>122824.762553979</v>
      </c>
      <c r="F19" t="n">
        <v>0</v>
      </c>
      <c r="G19" t="s">
        <v>329</v>
      </c>
      <c r="H19" t="n">
        <v>43.6591981132075</v>
      </c>
      <c r="I19" t="n">
        <v>43.4150300493136</v>
      </c>
      <c r="J19" t="n">
        <v>43.9033661771015</v>
      </c>
      <c r="K19" t="s">
        <v>1150</v>
      </c>
      <c r="L19" t="s">
        <v>758</v>
      </c>
      <c r="M19" t="s">
        <v>332</v>
      </c>
      <c r="N19"/>
    </row>
    <row r="20">
      <c r="A20" t="s">
        <v>95</v>
      </c>
      <c r="B20" t="s">
        <v>335</v>
      </c>
      <c r="C20" t="n">
        <v>0.138726415094336</v>
      </c>
      <c r="D20" t="n">
        <v>0.177284509927194</v>
      </c>
      <c r="E20" t="n">
        <v>0.612317603043477</v>
      </c>
      <c r="F20" t="n">
        <v>0.433916523743512</v>
      </c>
      <c r="G20" t="s">
        <v>329</v>
      </c>
      <c r="H20" t="n">
        <v>0.138726415094336</v>
      </c>
      <c r="I20" t="n">
        <v>-0.208751224362965</v>
      </c>
      <c r="J20" t="n">
        <v>0.486204054551637</v>
      </c>
      <c r="K20" t="s">
        <v>1151</v>
      </c>
      <c r="L20" t="s">
        <v>758</v>
      </c>
      <c r="M20" t="s">
        <v>332</v>
      </c>
      <c r="N20"/>
    </row>
    <row r="21">
      <c r="A21" t="s">
        <v>102</v>
      </c>
      <c r="B21"/>
      <c r="C21"/>
      <c r="D21"/>
      <c r="E21"/>
      <c r="F21"/>
      <c r="G21"/>
      <c r="H21"/>
      <c r="I21"/>
      <c r="J21"/>
      <c r="K21"/>
      <c r="L21" t="s">
        <v>358</v>
      </c>
      <c r="M21"/>
      <c r="N21"/>
    </row>
    <row r="22">
      <c r="A22" t="s">
        <v>23</v>
      </c>
      <c r="B22" t="s">
        <v>328</v>
      </c>
      <c r="C22" t="n">
        <v>0.421213465076303</v>
      </c>
      <c r="D22" t="n">
        <v>0.20392199303806</v>
      </c>
      <c r="E22" t="n">
        <v>4.26654526756263</v>
      </c>
      <c r="F22" t="n">
        <v>0.0388698809830572</v>
      </c>
      <c r="G22" t="s">
        <v>359</v>
      </c>
      <c r="H22" t="n">
        <v>1.52380952380952</v>
      </c>
      <c r="I22" t="n">
        <v>1.0217597222626</v>
      </c>
      <c r="J22" t="n">
        <v>2.2725455058169</v>
      </c>
      <c r="K22" t="s">
        <v>1152</v>
      </c>
      <c r="L22" t="s">
        <v>775</v>
      </c>
      <c r="M22" t="s">
        <v>332</v>
      </c>
      <c r="N22"/>
    </row>
    <row r="23">
      <c r="A23" t="s">
        <v>23</v>
      </c>
      <c r="B23" t="s">
        <v>335</v>
      </c>
      <c r="C23" t="n">
        <v>-0.345705912568158</v>
      </c>
      <c r="D23" t="n">
        <v>0.326082862949259</v>
      </c>
      <c r="E23" t="n">
        <v>1.12397761987218</v>
      </c>
      <c r="F23" t="n">
        <v>0.28906357882784</v>
      </c>
      <c r="G23" t="s">
        <v>359</v>
      </c>
      <c r="H23" t="n">
        <v>0.707720588235294</v>
      </c>
      <c r="I23" t="n">
        <v>0.37350334301198</v>
      </c>
      <c r="J23" t="n">
        <v>1.34100119954227</v>
      </c>
      <c r="K23" t="s">
        <v>1153</v>
      </c>
      <c r="L23" t="s">
        <v>775</v>
      </c>
      <c r="M23" t="s">
        <v>332</v>
      </c>
      <c r="N23"/>
    </row>
    <row r="24">
      <c r="A24" t="s">
        <v>364</v>
      </c>
      <c r="B24" t="s">
        <v>328</v>
      </c>
      <c r="C24" t="n">
        <v>-0.906405972641613</v>
      </c>
      <c r="D24" t="n">
        <v>0.231340697132268</v>
      </c>
      <c r="E24" t="n">
        <v>15.3511684487075</v>
      </c>
      <c r="F24" t="n">
        <v>0.0000892657048648937</v>
      </c>
      <c r="G24" t="s">
        <v>359</v>
      </c>
      <c r="H24" t="n">
        <v>0.403973509933775</v>
      </c>
      <c r="I24" t="n">
        <v>0.256703453173236</v>
      </c>
      <c r="J24" t="n">
        <v>0.6357319884516</v>
      </c>
      <c r="K24" t="s">
        <v>1154</v>
      </c>
      <c r="L24" t="s">
        <v>775</v>
      </c>
      <c r="M24" t="s">
        <v>332</v>
      </c>
      <c r="N24"/>
    </row>
    <row r="25">
      <c r="A25" t="s">
        <v>364</v>
      </c>
      <c r="B25" t="s">
        <v>335</v>
      </c>
      <c r="C25" t="n">
        <v>-0.896403332773027</v>
      </c>
      <c r="D25" t="n">
        <v>0.428472510408616</v>
      </c>
      <c r="E25" t="n">
        <v>4.37684328747695</v>
      </c>
      <c r="F25" t="n">
        <v>0.0364304074092932</v>
      </c>
      <c r="G25" t="s">
        <v>359</v>
      </c>
      <c r="H25" t="n">
        <v>0.408034588362457</v>
      </c>
      <c r="I25" t="n">
        <v>0.176186981469303</v>
      </c>
      <c r="J25" t="n">
        <v>0.944974616805769</v>
      </c>
      <c r="K25" t="s">
        <v>1155</v>
      </c>
      <c r="L25" t="s">
        <v>775</v>
      </c>
      <c r="M25" t="s">
        <v>332</v>
      </c>
      <c r="N25"/>
    </row>
    <row r="26">
      <c r="A26" t="s">
        <v>368</v>
      </c>
      <c r="B26"/>
      <c r="C26"/>
      <c r="D26"/>
      <c r="E26"/>
      <c r="F26"/>
      <c r="G26"/>
      <c r="H26"/>
      <c r="I26"/>
      <c r="J26"/>
      <c r="K26"/>
      <c r="L26" t="s">
        <v>369</v>
      </c>
      <c r="M26"/>
      <c r="N26"/>
    </row>
    <row r="28">
      <c r="A28" s="1" t="s">
        <v>779</v>
      </c>
    </row>
    <row r="29">
      <c r="A29" t="s">
        <v>314</v>
      </c>
      <c r="B29" t="s">
        <v>315</v>
      </c>
      <c r="C29" t="s">
        <v>316</v>
      </c>
      <c r="D29" t="s">
        <v>317</v>
      </c>
      <c r="E29" t="s">
        <v>318</v>
      </c>
      <c r="F29" t="s">
        <v>319</v>
      </c>
      <c r="G29" t="s">
        <v>320</v>
      </c>
      <c r="H29" t="s">
        <v>321</v>
      </c>
      <c r="I29" t="s">
        <v>322</v>
      </c>
      <c r="J29" t="s">
        <v>323</v>
      </c>
      <c r="K29" t="s">
        <v>324</v>
      </c>
      <c r="L29" t="s">
        <v>325</v>
      </c>
      <c r="M29" t="s">
        <v>326</v>
      </c>
      <c r="N29" t="s">
        <v>1</v>
      </c>
    </row>
    <row r="30">
      <c r="A30" t="s">
        <v>137</v>
      </c>
      <c r="B30" t="s">
        <v>328</v>
      </c>
      <c r="C30" t="n">
        <v>6.5188679245283</v>
      </c>
      <c r="D30" t="n">
        <v>0.0252160367321067</v>
      </c>
      <c r="E30" t="n">
        <v>66832.9617055597</v>
      </c>
      <c r="F30" t="n">
        <v>0</v>
      </c>
      <c r="G30" t="s">
        <v>329</v>
      </c>
      <c r="H30" t="n">
        <v>6.5188679245283</v>
      </c>
      <c r="I30" t="n">
        <v>6.46944449253337</v>
      </c>
      <c r="J30" t="n">
        <v>6.56829135652323</v>
      </c>
      <c r="K30" t="s">
        <v>1156</v>
      </c>
      <c r="L30" t="s">
        <v>758</v>
      </c>
      <c r="M30" t="s">
        <v>332</v>
      </c>
      <c r="N30"/>
    </row>
    <row r="31">
      <c r="A31" t="s">
        <v>137</v>
      </c>
      <c r="B31" t="s">
        <v>335</v>
      </c>
      <c r="C31" t="n">
        <v>-0.0112264150943397</v>
      </c>
      <c r="D31" t="n">
        <v>0.0347788998799592</v>
      </c>
      <c r="E31" t="n">
        <v>0.104195871515771</v>
      </c>
      <c r="F31" t="n">
        <v>0.746851368642792</v>
      </c>
      <c r="G31" t="s">
        <v>329</v>
      </c>
      <c r="H31" t="n">
        <v>-0.0112264150943397</v>
      </c>
      <c r="I31" t="n">
        <v>-0.0793930588590598</v>
      </c>
      <c r="J31" t="n">
        <v>0.0569402286703804</v>
      </c>
      <c r="K31" t="s">
        <v>1157</v>
      </c>
      <c r="L31" t="s">
        <v>758</v>
      </c>
      <c r="M31" t="s">
        <v>332</v>
      </c>
      <c r="N31"/>
    </row>
    <row r="32">
      <c r="A32" t="s">
        <v>143</v>
      </c>
      <c r="B32" t="s">
        <v>328</v>
      </c>
      <c r="C32" t="n">
        <v>69.5330188679245</v>
      </c>
      <c r="D32" t="n">
        <v>2.30570834992771</v>
      </c>
      <c r="E32" t="n">
        <v>909.43868902235</v>
      </c>
      <c r="F32" t="n">
        <v>0</v>
      </c>
      <c r="G32" t="s">
        <v>329</v>
      </c>
      <c r="H32" t="n">
        <v>69.5330188679245</v>
      </c>
      <c r="I32" t="n">
        <v>65.0138305020662</v>
      </c>
      <c r="J32" t="n">
        <v>74.0522072337828</v>
      </c>
      <c r="K32" t="s">
        <v>1158</v>
      </c>
      <c r="L32" t="s">
        <v>758</v>
      </c>
      <c r="M32" t="s">
        <v>332</v>
      </c>
      <c r="N32"/>
    </row>
    <row r="33">
      <c r="A33" t="s">
        <v>143</v>
      </c>
      <c r="B33" t="s">
        <v>335</v>
      </c>
      <c r="C33" t="n">
        <v>1.05188679245284</v>
      </c>
      <c r="D33" t="n">
        <v>3.25953045797013</v>
      </c>
      <c r="E33" t="n">
        <v>0.104142480374449</v>
      </c>
      <c r="F33" t="n">
        <v>0.746914014103994</v>
      </c>
      <c r="G33" t="s">
        <v>329</v>
      </c>
      <c r="H33" t="n">
        <v>1.05188679245284</v>
      </c>
      <c r="I33" t="n">
        <v>-5.33679290516861</v>
      </c>
      <c r="J33" t="n">
        <v>7.44056649007428</v>
      </c>
      <c r="K33" t="s">
        <v>1159</v>
      </c>
      <c r="L33" t="s">
        <v>758</v>
      </c>
      <c r="M33" t="s">
        <v>332</v>
      </c>
      <c r="N33"/>
    </row>
    <row r="34">
      <c r="A34" t="s">
        <v>376</v>
      </c>
      <c r="B34"/>
      <c r="C34"/>
      <c r="D34"/>
      <c r="E34"/>
      <c r="F34"/>
      <c r="G34"/>
      <c r="H34"/>
      <c r="I34"/>
      <c r="J34"/>
      <c r="K34"/>
      <c r="L34" t="s">
        <v>369</v>
      </c>
      <c r="M34"/>
      <c r="N34"/>
    </row>
    <row r="36">
      <c r="A36" s="1" t="s">
        <v>784</v>
      </c>
    </row>
    <row r="37">
      <c r="A37" t="s">
        <v>314</v>
      </c>
      <c r="B37" t="s">
        <v>315</v>
      </c>
      <c r="C37" t="s">
        <v>316</v>
      </c>
      <c r="D37" t="s">
        <v>317</v>
      </c>
      <c r="E37" t="s">
        <v>318</v>
      </c>
      <c r="F37" t="s">
        <v>319</v>
      </c>
      <c r="G37" t="s">
        <v>320</v>
      </c>
      <c r="H37" t="s">
        <v>321</v>
      </c>
      <c r="I37" t="s">
        <v>322</v>
      </c>
      <c r="J37" t="s">
        <v>323</v>
      </c>
      <c r="K37" t="s">
        <v>324</v>
      </c>
      <c r="L37" t="s">
        <v>325</v>
      </c>
      <c r="M37" t="s">
        <v>326</v>
      </c>
      <c r="N37" t="s">
        <v>1</v>
      </c>
    </row>
    <row r="38">
      <c r="A38" t="s">
        <v>165</v>
      </c>
      <c r="B38" t="s">
        <v>328</v>
      </c>
      <c r="C38" t="n">
        <v>191.25</v>
      </c>
      <c r="D38" t="n">
        <v>7.36718444299609</v>
      </c>
      <c r="E38" t="n">
        <v>673.906743030467</v>
      </c>
      <c r="F38" t="n">
        <v>0</v>
      </c>
      <c r="G38" t="s">
        <v>329</v>
      </c>
      <c r="H38" t="n">
        <v>191.25</v>
      </c>
      <c r="I38" t="n">
        <v>176.810318491728</v>
      </c>
      <c r="J38" t="n">
        <v>205.689681508272</v>
      </c>
      <c r="K38" t="s">
        <v>1160</v>
      </c>
      <c r="L38" t="s">
        <v>758</v>
      </c>
      <c r="M38" t="s">
        <v>332</v>
      </c>
      <c r="N38"/>
    </row>
    <row r="39">
      <c r="A39" t="s">
        <v>165</v>
      </c>
      <c r="B39" t="s">
        <v>335</v>
      </c>
      <c r="C39" t="n">
        <v>-6.97641509433961</v>
      </c>
      <c r="D39" t="n">
        <v>11.1560064044379</v>
      </c>
      <c r="E39" t="n">
        <v>0.391063350018562</v>
      </c>
      <c r="F39" t="n">
        <v>0.531740988855553</v>
      </c>
      <c r="G39" t="s">
        <v>329</v>
      </c>
      <c r="H39" t="n">
        <v>-6.97641509433961</v>
      </c>
      <c r="I39" t="n">
        <v>-28.842187647038</v>
      </c>
      <c r="J39" t="n">
        <v>14.8893574583588</v>
      </c>
      <c r="K39" t="s">
        <v>1161</v>
      </c>
      <c r="L39" t="s">
        <v>758</v>
      </c>
      <c r="M39" t="s">
        <v>332</v>
      </c>
      <c r="N39"/>
    </row>
    <row r="40">
      <c r="A40" t="s">
        <v>174</v>
      </c>
      <c r="B40" t="s">
        <v>328</v>
      </c>
      <c r="C40" t="n">
        <v>0.00943396226415092</v>
      </c>
      <c r="D40" t="n">
        <v>0.027917157599244</v>
      </c>
      <c r="E40" t="n">
        <v>0.114194680282081</v>
      </c>
      <c r="F40" t="n">
        <v>0.73541817457328</v>
      </c>
      <c r="G40" t="s">
        <v>329</v>
      </c>
      <c r="H40" t="n">
        <v>0.00943396226415092</v>
      </c>
      <c r="I40" t="n">
        <v>-0.0452836666303673</v>
      </c>
      <c r="J40" t="n">
        <v>0.0641515911586692</v>
      </c>
      <c r="K40" t="s">
        <v>1162</v>
      </c>
      <c r="L40" t="s">
        <v>758</v>
      </c>
      <c r="M40" t="s">
        <v>332</v>
      </c>
      <c r="N40"/>
    </row>
    <row r="41">
      <c r="A41" t="s">
        <v>174</v>
      </c>
      <c r="B41" t="s">
        <v>335</v>
      </c>
      <c r="C41" t="n">
        <v>-0.148584905660377</v>
      </c>
      <c r="D41" t="n">
        <v>0.0452545030655166</v>
      </c>
      <c r="E41" t="n">
        <v>10.7801743559793</v>
      </c>
      <c r="F41" t="n">
        <v>0.00102593017259944</v>
      </c>
      <c r="G41" t="s">
        <v>329</v>
      </c>
      <c r="H41" t="n">
        <v>-0.148584905660377</v>
      </c>
      <c r="I41" t="n">
        <v>-0.23728373166879</v>
      </c>
      <c r="J41" t="n">
        <v>-0.0598860796519647</v>
      </c>
      <c r="K41" t="s">
        <v>1163</v>
      </c>
      <c r="L41" t="s">
        <v>758</v>
      </c>
      <c r="M41" t="s">
        <v>332</v>
      </c>
      <c r="N41"/>
    </row>
    <row r="42">
      <c r="A42" t="s">
        <v>182</v>
      </c>
      <c r="B42" t="s">
        <v>328</v>
      </c>
      <c r="C42" t="n">
        <v>-0.213443396226415</v>
      </c>
      <c r="D42" t="n">
        <v>0.0137679111563313</v>
      </c>
      <c r="E42" t="n">
        <v>240.341814447113</v>
      </c>
      <c r="F42" t="n">
        <v>0</v>
      </c>
      <c r="G42" t="s">
        <v>329</v>
      </c>
      <c r="H42" t="n">
        <v>-0.213443396226415</v>
      </c>
      <c r="I42" t="n">
        <v>-0.240428502092825</v>
      </c>
      <c r="J42" t="n">
        <v>-0.186458290360006</v>
      </c>
      <c r="K42" t="s">
        <v>1164</v>
      </c>
      <c r="L42" t="s">
        <v>758</v>
      </c>
      <c r="M42" t="s">
        <v>332</v>
      </c>
      <c r="N42"/>
    </row>
    <row r="43">
      <c r="A43" t="s">
        <v>182</v>
      </c>
      <c r="B43" t="s">
        <v>335</v>
      </c>
      <c r="C43" t="n">
        <v>-0.00825471698113207</v>
      </c>
      <c r="D43" t="n">
        <v>0.0232255701572466</v>
      </c>
      <c r="E43" t="n">
        <v>0.126319851719339</v>
      </c>
      <c r="F43" t="n">
        <v>0.722278682020354</v>
      </c>
      <c r="G43" t="s">
        <v>329</v>
      </c>
      <c r="H43" t="n">
        <v>-0.00825471698113207</v>
      </c>
      <c r="I43" t="n">
        <v>-0.0537768344893353</v>
      </c>
      <c r="J43" t="n">
        <v>0.0372674005270712</v>
      </c>
      <c r="K43" t="s">
        <v>1165</v>
      </c>
      <c r="L43" t="s">
        <v>758</v>
      </c>
      <c r="M43" t="s">
        <v>332</v>
      </c>
      <c r="N43"/>
    </row>
    <row r="44">
      <c r="A44" t="s">
        <v>190</v>
      </c>
      <c r="B44" t="s">
        <v>328</v>
      </c>
      <c r="C44" t="n">
        <v>0.00278849630184759</v>
      </c>
      <c r="D44" t="n">
        <v>0.00476284619528922</v>
      </c>
      <c r="E44" t="n">
        <v>0.342773336013421</v>
      </c>
      <c r="F44" t="n">
        <v>0.558232757511957</v>
      </c>
      <c r="G44" t="s">
        <v>329</v>
      </c>
      <c r="H44" t="n">
        <v>0.00278849630184759</v>
      </c>
      <c r="I44" t="n">
        <v>-0.00654668224091928</v>
      </c>
      <c r="J44" t="n">
        <v>0.0121236748446145</v>
      </c>
      <c r="K44" t="s">
        <v>1166</v>
      </c>
      <c r="L44" t="s">
        <v>758</v>
      </c>
      <c r="M44" t="s">
        <v>332</v>
      </c>
      <c r="N44"/>
    </row>
    <row r="45">
      <c r="A45" t="s">
        <v>190</v>
      </c>
      <c r="B45" t="s">
        <v>335</v>
      </c>
      <c r="C45" t="n">
        <v>0.0175754411001544</v>
      </c>
      <c r="D45" t="n">
        <v>0.00670232911937158</v>
      </c>
      <c r="E45" t="n">
        <v>6.87639738977534</v>
      </c>
      <c r="F45" t="n">
        <v>0.0087341440171459</v>
      </c>
      <c r="G45" t="s">
        <v>329</v>
      </c>
      <c r="H45" t="n">
        <v>0.0175754411001544</v>
      </c>
      <c r="I45" t="n">
        <v>0.00443887602618608</v>
      </c>
      <c r="J45" t="n">
        <v>0.0307120061741227</v>
      </c>
      <c r="K45" t="s">
        <v>1167</v>
      </c>
      <c r="L45" t="s">
        <v>758</v>
      </c>
      <c r="M45" t="s">
        <v>332</v>
      </c>
      <c r="N45"/>
    </row>
    <row r="46">
      <c r="A46" t="s">
        <v>197</v>
      </c>
      <c r="B46" t="s">
        <v>328</v>
      </c>
      <c r="C46" t="n">
        <v>-0.0135870125823329</v>
      </c>
      <c r="D46" t="n">
        <v>0.0032260432684258</v>
      </c>
      <c r="E46" t="n">
        <v>17.738119618417</v>
      </c>
      <c r="F46" t="n">
        <v>0.0000253495617248412</v>
      </c>
      <c r="G46" t="s">
        <v>329</v>
      </c>
      <c r="H46" t="n">
        <v>-0.0135870125823329</v>
      </c>
      <c r="I46" t="n">
        <v>-0.0199100573884475</v>
      </c>
      <c r="J46" t="n">
        <v>-0.00726396777621834</v>
      </c>
      <c r="K46" t="s">
        <v>1168</v>
      </c>
      <c r="L46" t="s">
        <v>758</v>
      </c>
      <c r="M46" t="s">
        <v>332</v>
      </c>
      <c r="N46"/>
    </row>
    <row r="47">
      <c r="A47" t="s">
        <v>197</v>
      </c>
      <c r="B47" t="s">
        <v>335</v>
      </c>
      <c r="C47" t="n">
        <v>-0.00168447666774791</v>
      </c>
      <c r="D47" t="n">
        <v>0.0044540962356773</v>
      </c>
      <c r="E47" t="n">
        <v>0.143024621517244</v>
      </c>
      <c r="F47" t="n">
        <v>0.705292453452103</v>
      </c>
      <c r="G47" t="s">
        <v>329</v>
      </c>
      <c r="H47" t="n">
        <v>-0.00168447666774791</v>
      </c>
      <c r="I47" t="n">
        <v>-0.0104145052896754</v>
      </c>
      <c r="J47" t="n">
        <v>0.00704555195417959</v>
      </c>
      <c r="K47" t="s">
        <v>1169</v>
      </c>
      <c r="L47" t="s">
        <v>758</v>
      </c>
      <c r="M47" t="s">
        <v>332</v>
      </c>
      <c r="N47"/>
    </row>
    <row r="48">
      <c r="A48" t="s">
        <v>205</v>
      </c>
      <c r="B48"/>
      <c r="C48"/>
      <c r="D48"/>
      <c r="E48"/>
      <c r="F48"/>
      <c r="G48"/>
      <c r="H48"/>
      <c r="I48"/>
      <c r="J48"/>
      <c r="K48"/>
      <c r="L48" t="s">
        <v>358</v>
      </c>
      <c r="M48"/>
      <c r="N48"/>
    </row>
    <row r="49">
      <c r="A49" t="s">
        <v>208</v>
      </c>
      <c r="B49"/>
      <c r="C49"/>
      <c r="D49"/>
      <c r="E49"/>
      <c r="F49"/>
      <c r="G49"/>
      <c r="H49"/>
      <c r="I49"/>
      <c r="J49"/>
      <c r="K49"/>
      <c r="L49" t="s">
        <v>358</v>
      </c>
      <c r="M49"/>
      <c r="N49"/>
    </row>
    <row r="50">
      <c r="A50" t="s">
        <v>392</v>
      </c>
      <c r="B50" t="s">
        <v>328</v>
      </c>
      <c r="C50" t="n">
        <v>-1.65542302567592</v>
      </c>
      <c r="D50" t="n">
        <v>0.2061180023329</v>
      </c>
      <c r="E50" t="n">
        <v>64.5039238144842</v>
      </c>
      <c r="F50" t="n">
        <v>0.000000000000000999200722162641</v>
      </c>
      <c r="G50" t="s">
        <v>359</v>
      </c>
      <c r="H50" t="n">
        <v>0.191011235955056</v>
      </c>
      <c r="I50" t="n">
        <v>0.127528640243482</v>
      </c>
      <c r="J50" t="n">
        <v>0.286094889676696</v>
      </c>
      <c r="K50" t="s">
        <v>1170</v>
      </c>
      <c r="L50" t="s">
        <v>775</v>
      </c>
      <c r="M50" t="s">
        <v>332</v>
      </c>
      <c r="N50"/>
    </row>
    <row r="51">
      <c r="A51" t="s">
        <v>392</v>
      </c>
      <c r="B51" t="s">
        <v>335</v>
      </c>
      <c r="C51" t="n">
        <v>1.69316335365877</v>
      </c>
      <c r="D51" t="n">
        <v>0.288399437721148</v>
      </c>
      <c r="E51" t="n">
        <v>34.46742995362</v>
      </c>
      <c r="F51" t="n">
        <v>0.00000000433443869685135</v>
      </c>
      <c r="G51" t="s">
        <v>359</v>
      </c>
      <c r="H51" t="n">
        <v>5.43665158371041</v>
      </c>
      <c r="I51" t="n">
        <v>3.08916385043126</v>
      </c>
      <c r="J51" t="n">
        <v>9.56801965636578</v>
      </c>
      <c r="K51" t="s">
        <v>1171</v>
      </c>
      <c r="L51" t="s">
        <v>775</v>
      </c>
      <c r="M51" t="s">
        <v>332</v>
      </c>
      <c r="N51"/>
    </row>
    <row r="52">
      <c r="A52" t="s">
        <v>396</v>
      </c>
      <c r="B52" t="s">
        <v>328</v>
      </c>
      <c r="C52" t="n">
        <v>-3.3770998300831</v>
      </c>
      <c r="D52" t="n">
        <v>0.512481846315078</v>
      </c>
      <c r="E52" t="n">
        <v>43.424099990583</v>
      </c>
      <c r="F52" t="n">
        <v>0.0000000000440726344308473</v>
      </c>
      <c r="G52" t="s">
        <v>359</v>
      </c>
      <c r="H52" t="n">
        <v>0.0341463414634146</v>
      </c>
      <c r="I52" t="n">
        <v>0.0125057811591254</v>
      </c>
      <c r="J52" t="n">
        <v>0.093234690460364</v>
      </c>
      <c r="K52" t="s">
        <v>1172</v>
      </c>
      <c r="L52" t="s">
        <v>775</v>
      </c>
      <c r="M52" t="s">
        <v>332</v>
      </c>
      <c r="N52"/>
    </row>
    <row r="53">
      <c r="A53" t="s">
        <v>396</v>
      </c>
      <c r="B53" t="s">
        <v>335</v>
      </c>
      <c r="C53" t="n">
        <v>0.727890129003818</v>
      </c>
      <c r="D53" t="n">
        <v>0.643490415979061</v>
      </c>
      <c r="E53" t="n">
        <v>1.27952122313534</v>
      </c>
      <c r="F53" t="n">
        <v>0.257988074722354</v>
      </c>
      <c r="G53" t="s">
        <v>359</v>
      </c>
      <c r="H53" t="n">
        <v>2.07070707070707</v>
      </c>
      <c r="I53" t="n">
        <v>0.586635804882815</v>
      </c>
      <c r="J53" t="n">
        <v>7.30918184159043</v>
      </c>
      <c r="K53" t="s">
        <v>1173</v>
      </c>
      <c r="L53" t="s">
        <v>775</v>
      </c>
      <c r="M53" t="s">
        <v>332</v>
      </c>
      <c r="N53"/>
    </row>
    <row r="54">
      <c r="A54" t="s">
        <v>400</v>
      </c>
      <c r="B54"/>
      <c r="C54"/>
      <c r="D54"/>
      <c r="E54"/>
      <c r="F54"/>
      <c r="G54"/>
      <c r="H54"/>
      <c r="I54"/>
      <c r="J54"/>
      <c r="K54"/>
      <c r="L54" t="s">
        <v>369</v>
      </c>
      <c r="M54"/>
      <c r="N54"/>
    </row>
  </sheetData>
  <pageMargins left="0.7" right="0.7" top="0.75" bottom="0.75" header="0.3" footer="0.3"/>
  <pageSetup paperSize="9" orientation="portrait" horizontalDpi="300" verticalDpi="300"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10" t="s">
        <v>755</v>
      </c>
    </row>
    <row r="3">
      <c r="A3" s="1" t="s">
        <v>799</v>
      </c>
    </row>
    <row r="4">
      <c r="A4" t="s">
        <v>314</v>
      </c>
      <c r="B4" t="s">
        <v>315</v>
      </c>
      <c r="C4" t="s">
        <v>316</v>
      </c>
      <c r="D4" t="s">
        <v>317</v>
      </c>
      <c r="E4" t="s">
        <v>318</v>
      </c>
      <c r="F4" t="s">
        <v>319</v>
      </c>
      <c r="G4" t="s">
        <v>320</v>
      </c>
      <c r="H4" t="s">
        <v>321</v>
      </c>
      <c r="I4" t="s">
        <v>322</v>
      </c>
      <c r="J4" t="s">
        <v>323</v>
      </c>
      <c r="K4" t="s">
        <v>324</v>
      </c>
      <c r="L4" t="s">
        <v>325</v>
      </c>
      <c r="M4" t="s">
        <v>326</v>
      </c>
      <c r="N4" t="s">
        <v>1</v>
      </c>
    </row>
    <row r="5">
      <c r="A5" t="s">
        <v>327</v>
      </c>
      <c r="B5" t="s">
        <v>328</v>
      </c>
      <c r="C5" t="n">
        <v>34.3296734091214</v>
      </c>
      <c r="D5" t="n">
        <v>0.991264061550282</v>
      </c>
      <c r="E5" t="n">
        <v>1199.390546934</v>
      </c>
      <c r="F5" t="n">
        <v>0</v>
      </c>
      <c r="G5" t="s">
        <v>329</v>
      </c>
      <c r="H5" t="n">
        <v>34.3296734091214</v>
      </c>
      <c r="I5" t="n">
        <v>32.3867958484829</v>
      </c>
      <c r="J5" t="n">
        <v>36.27255096976</v>
      </c>
      <c r="K5" t="s">
        <v>1174</v>
      </c>
      <c r="L5" t="s">
        <v>801</v>
      </c>
      <c r="M5" t="s">
        <v>55</v>
      </c>
      <c r="N5"/>
    </row>
    <row r="6">
      <c r="A6" t="s">
        <v>327</v>
      </c>
      <c r="B6" t="s">
        <v>335</v>
      </c>
      <c r="C6" t="n">
        <v>-0.0503843873406659</v>
      </c>
      <c r="D6" t="n">
        <v>0.874814225016599</v>
      </c>
      <c r="E6" t="n">
        <v>0.00331711319163703</v>
      </c>
      <c r="F6" t="n">
        <v>0.95407172231525</v>
      </c>
      <c r="G6" t="s">
        <v>329</v>
      </c>
      <c r="H6" t="n">
        <v>-0.0503843873406659</v>
      </c>
      <c r="I6" t="n">
        <v>-1.7650202683732</v>
      </c>
      <c r="J6" t="n">
        <v>1.66425149369187</v>
      </c>
      <c r="K6" t="s">
        <v>1175</v>
      </c>
      <c r="L6" t="s">
        <v>801</v>
      </c>
      <c r="M6" t="s">
        <v>55</v>
      </c>
      <c r="N6"/>
    </row>
    <row r="7">
      <c r="A7" t="s">
        <v>327</v>
      </c>
      <c r="B7" t="s">
        <v>55</v>
      </c>
      <c r="C7" t="n">
        <v>0.164440550734564</v>
      </c>
      <c r="D7" t="n">
        <v>0.208089662875927</v>
      </c>
      <c r="E7" t="n">
        <v>0.624477552811902</v>
      </c>
      <c r="F7" t="n">
        <v>0.429388249623191</v>
      </c>
      <c r="G7" t="s">
        <v>329</v>
      </c>
      <c r="H7" t="n">
        <v>0.164440550734564</v>
      </c>
      <c r="I7" t="n">
        <v>-0.243415188502253</v>
      </c>
      <c r="J7" t="n">
        <v>0.572296289971382</v>
      </c>
      <c r="K7" t="s">
        <v>1176</v>
      </c>
      <c r="L7" t="s">
        <v>801</v>
      </c>
      <c r="M7" t="s">
        <v>55</v>
      </c>
      <c r="N7"/>
    </row>
    <row r="8">
      <c r="A8" t="s">
        <v>55</v>
      </c>
      <c r="B8" t="s">
        <v>328</v>
      </c>
      <c r="C8" t="n">
        <v>-5.12156910113142</v>
      </c>
      <c r="D8" t="n">
        <v>0.71259519670487</v>
      </c>
      <c r="E8" t="n">
        <v>51.6559427504276</v>
      </c>
      <c r="F8" t="n">
        <v>0.000000000000661248833466743</v>
      </c>
      <c r="G8" t="s">
        <v>329</v>
      </c>
      <c r="H8" t="n">
        <v>-5.12156910113142</v>
      </c>
      <c r="I8" t="n">
        <v>-6.51825568667297</v>
      </c>
      <c r="J8" t="n">
        <v>-3.72488251558988</v>
      </c>
      <c r="K8" t="s">
        <v>1177</v>
      </c>
      <c r="L8" t="s">
        <v>801</v>
      </c>
      <c r="M8" t="s">
        <v>327</v>
      </c>
      <c r="N8"/>
    </row>
    <row r="9">
      <c r="A9" t="s">
        <v>55</v>
      </c>
      <c r="B9" t="s">
        <v>335</v>
      </c>
      <c r="C9" t="n">
        <v>-0.12268864578731</v>
      </c>
      <c r="D9" t="n">
        <v>0.230770255166902</v>
      </c>
      <c r="E9" t="n">
        <v>0.282650062046973</v>
      </c>
      <c r="F9" t="n">
        <v>0.594969509667052</v>
      </c>
      <c r="G9" t="s">
        <v>329</v>
      </c>
      <c r="H9" t="n">
        <v>-0.12268864578731</v>
      </c>
      <c r="I9" t="n">
        <v>-0.574998345914438</v>
      </c>
      <c r="J9" t="n">
        <v>0.329621054339817</v>
      </c>
      <c r="K9" t="s">
        <v>1178</v>
      </c>
      <c r="L9" t="s">
        <v>801</v>
      </c>
      <c r="M9" t="s">
        <v>327</v>
      </c>
      <c r="N9"/>
    </row>
    <row r="10">
      <c r="A10" t="s">
        <v>55</v>
      </c>
      <c r="B10" t="s">
        <v>327</v>
      </c>
      <c r="C10" t="n">
        <v>0.0167891781676372</v>
      </c>
      <c r="D10" t="n">
        <v>0.0213495239468586</v>
      </c>
      <c r="E10" t="n">
        <v>0.6184185166108</v>
      </c>
      <c r="F10" t="n">
        <v>0.431635582825983</v>
      </c>
      <c r="G10" t="s">
        <v>329</v>
      </c>
      <c r="H10" t="n">
        <v>0.0167891781676372</v>
      </c>
      <c r="I10" t="n">
        <v>-0.0250558887682057</v>
      </c>
      <c r="J10" t="n">
        <v>0.0586342451034801</v>
      </c>
      <c r="K10" t="s">
        <v>1179</v>
      </c>
      <c r="L10" t="s">
        <v>801</v>
      </c>
      <c r="M10" t="s">
        <v>327</v>
      </c>
      <c r="N10"/>
    </row>
    <row r="11">
      <c r="A11" t="s">
        <v>62</v>
      </c>
      <c r="B11" t="s">
        <v>328</v>
      </c>
      <c r="C11" t="n">
        <v>0.316607421037768</v>
      </c>
      <c r="D11" t="n">
        <v>0.0984960288367867</v>
      </c>
      <c r="E11" t="n">
        <v>10.3324839282967</v>
      </c>
      <c r="F11" t="n">
        <v>0.00130709182007471</v>
      </c>
      <c r="G11" t="s">
        <v>329</v>
      </c>
      <c r="H11" t="n">
        <v>0.316607421037768</v>
      </c>
      <c r="I11" t="n">
        <v>0.123555204517666</v>
      </c>
      <c r="J11" t="n">
        <v>0.50965963755787</v>
      </c>
      <c r="K11" t="s">
        <v>1180</v>
      </c>
      <c r="L11" t="s">
        <v>758</v>
      </c>
      <c r="M11" t="s">
        <v>411</v>
      </c>
      <c r="N11"/>
    </row>
    <row r="12">
      <c r="A12" t="s">
        <v>62</v>
      </c>
      <c r="B12" t="s">
        <v>335</v>
      </c>
      <c r="C12" t="n">
        <v>-0.019466569089162</v>
      </c>
      <c r="D12" t="n">
        <v>0.0308605288935726</v>
      </c>
      <c r="E12" t="n">
        <v>0.397898316181763</v>
      </c>
      <c r="F12" t="n">
        <v>0.52817665468463</v>
      </c>
      <c r="G12" t="s">
        <v>329</v>
      </c>
      <c r="H12" t="n">
        <v>-0.019466569089162</v>
      </c>
      <c r="I12" t="n">
        <v>-0.0799532057205643</v>
      </c>
      <c r="J12" t="n">
        <v>0.0410200675422402</v>
      </c>
      <c r="K12" t="s">
        <v>1181</v>
      </c>
      <c r="L12" t="s">
        <v>758</v>
      </c>
      <c r="M12" t="s">
        <v>411</v>
      </c>
      <c r="N12"/>
    </row>
    <row r="13">
      <c r="A13" t="s">
        <v>62</v>
      </c>
      <c r="B13" t="s">
        <v>327</v>
      </c>
      <c r="C13" t="n">
        <v>0.000485364895614473</v>
      </c>
      <c r="D13" t="n">
        <v>0.00263687301481364</v>
      </c>
      <c r="E13" t="n">
        <v>0.0338811617463627</v>
      </c>
      <c r="F13" t="n">
        <v>0.853959826146094</v>
      </c>
      <c r="G13" t="s">
        <v>329</v>
      </c>
      <c r="H13" t="n">
        <v>0.000485364895614473</v>
      </c>
      <c r="I13" t="n">
        <v>-0.00468290621342027</v>
      </c>
      <c r="J13" t="n">
        <v>0.00565363600464922</v>
      </c>
      <c r="K13" t="s">
        <v>1182</v>
      </c>
      <c r="L13" t="s">
        <v>758</v>
      </c>
      <c r="M13" t="s">
        <v>411</v>
      </c>
      <c r="N13"/>
    </row>
    <row r="14">
      <c r="A14" t="s">
        <v>62</v>
      </c>
      <c r="B14" t="s">
        <v>55</v>
      </c>
      <c r="C14" t="n">
        <v>1.00395921753911</v>
      </c>
      <c r="D14" t="n">
        <v>0.00795809521659473</v>
      </c>
      <c r="E14" t="n">
        <v>15915.2652341017</v>
      </c>
      <c r="F14" t="n">
        <v>0</v>
      </c>
      <c r="G14" t="s">
        <v>329</v>
      </c>
      <c r="H14" t="n">
        <v>1.00395921753911</v>
      </c>
      <c r="I14" t="n">
        <v>0.988361350914581</v>
      </c>
      <c r="J14" t="n">
        <v>1.01955708416363</v>
      </c>
      <c r="K14" t="s">
        <v>1183</v>
      </c>
      <c r="L14" t="s">
        <v>758</v>
      </c>
      <c r="M14" t="s">
        <v>411</v>
      </c>
      <c r="N14"/>
    </row>
    <row r="15">
      <c r="A15" t="s">
        <v>69</v>
      </c>
      <c r="B15" t="s">
        <v>328</v>
      </c>
      <c r="C15" t="n">
        <v>-0.658594378116686</v>
      </c>
      <c r="D15" t="n">
        <v>0.197830147457979</v>
      </c>
      <c r="E15" t="n">
        <v>11.0828406493324</v>
      </c>
      <c r="F15" t="n">
        <v>0.000871302241460925</v>
      </c>
      <c r="G15" t="s">
        <v>329</v>
      </c>
      <c r="H15" t="n">
        <v>-0.658594378116686</v>
      </c>
      <c r="I15" t="n">
        <v>-1.04634146713432</v>
      </c>
      <c r="J15" t="n">
        <v>-0.270847289099047</v>
      </c>
      <c r="K15" t="s">
        <v>1184</v>
      </c>
      <c r="L15" t="s">
        <v>758</v>
      </c>
      <c r="M15" t="s">
        <v>411</v>
      </c>
      <c r="N15"/>
    </row>
    <row r="16">
      <c r="A16" t="s">
        <v>69</v>
      </c>
      <c r="B16" t="s">
        <v>335</v>
      </c>
      <c r="C16" t="n">
        <v>0.0383941083717917</v>
      </c>
      <c r="D16" t="n">
        <v>0.0596954295433803</v>
      </c>
      <c r="E16" t="n">
        <v>0.413663316660064</v>
      </c>
      <c r="F16" t="n">
        <v>0.520115982337829</v>
      </c>
      <c r="G16" t="s">
        <v>329</v>
      </c>
      <c r="H16" t="n">
        <v>0.0383941083717917</v>
      </c>
      <c r="I16" t="n">
        <v>-0.0786089335332337</v>
      </c>
      <c r="J16" t="n">
        <v>0.155397150276817</v>
      </c>
      <c r="K16" t="s">
        <v>1185</v>
      </c>
      <c r="L16" t="s">
        <v>758</v>
      </c>
      <c r="M16" t="s">
        <v>411</v>
      </c>
      <c r="N16"/>
    </row>
    <row r="17">
      <c r="A17" t="s">
        <v>69</v>
      </c>
      <c r="B17" t="s">
        <v>327</v>
      </c>
      <c r="C17" t="n">
        <v>0.000431274553786093</v>
      </c>
      <c r="D17" t="n">
        <v>0.00525003385924255</v>
      </c>
      <c r="E17" t="n">
        <v>0.00674813030844657</v>
      </c>
      <c r="F17" t="n">
        <v>0.934529815409906</v>
      </c>
      <c r="G17" t="s">
        <v>329</v>
      </c>
      <c r="H17" t="n">
        <v>0.000431274553786093</v>
      </c>
      <c r="I17" t="n">
        <v>-0.0098587918103293</v>
      </c>
      <c r="J17" t="n">
        <v>0.0107213409179015</v>
      </c>
      <c r="K17" t="s">
        <v>1186</v>
      </c>
      <c r="L17" t="s">
        <v>758</v>
      </c>
      <c r="M17" t="s">
        <v>411</v>
      </c>
      <c r="N17"/>
    </row>
    <row r="18">
      <c r="A18" t="s">
        <v>69</v>
      </c>
      <c r="B18" t="s">
        <v>55</v>
      </c>
      <c r="C18" t="n">
        <v>-0.00445201803938771</v>
      </c>
      <c r="D18" t="n">
        <v>0.0161917404369973</v>
      </c>
      <c r="E18" t="n">
        <v>0.0756008649633742</v>
      </c>
      <c r="F18" t="n">
        <v>0.783349954680157</v>
      </c>
      <c r="G18" t="s">
        <v>329</v>
      </c>
      <c r="H18" t="n">
        <v>-0.00445201803938771</v>
      </c>
      <c r="I18" t="n">
        <v>-0.0361878292959023</v>
      </c>
      <c r="J18" t="n">
        <v>0.0272837932171269</v>
      </c>
      <c r="K18" t="s">
        <v>1187</v>
      </c>
      <c r="L18" t="s">
        <v>758</v>
      </c>
      <c r="M18" t="s">
        <v>411</v>
      </c>
      <c r="N18"/>
    </row>
    <row r="19">
      <c r="A19" t="s">
        <v>77</v>
      </c>
      <c r="B19" t="s">
        <v>328</v>
      </c>
      <c r="C19" t="n">
        <v>0.65601868832468</v>
      </c>
      <c r="D19" t="n">
        <v>0.0390399993316441</v>
      </c>
      <c r="E19" t="n">
        <v>282.366271934328</v>
      </c>
      <c r="F19" t="n">
        <v>0</v>
      </c>
      <c r="G19" t="s">
        <v>329</v>
      </c>
      <c r="H19" t="n">
        <v>0.65601868832468</v>
      </c>
      <c r="I19" t="n">
        <v>0.579500289634658</v>
      </c>
      <c r="J19" t="n">
        <v>0.732537087014703</v>
      </c>
      <c r="K19" t="s">
        <v>1188</v>
      </c>
      <c r="L19" t="s">
        <v>758</v>
      </c>
      <c r="M19" t="s">
        <v>411</v>
      </c>
      <c r="N19"/>
    </row>
    <row r="20">
      <c r="A20" t="s">
        <v>77</v>
      </c>
      <c r="B20" t="s">
        <v>335</v>
      </c>
      <c r="C20" t="n">
        <v>-0.00703148646851287</v>
      </c>
      <c r="D20" t="n">
        <v>0.0125040976422826</v>
      </c>
      <c r="E20" t="n">
        <v>0.31622017739579</v>
      </c>
      <c r="F20" t="n">
        <v>0.573888083752172</v>
      </c>
      <c r="G20" t="s">
        <v>329</v>
      </c>
      <c r="H20" t="n">
        <v>-0.00703148646851287</v>
      </c>
      <c r="I20" t="n">
        <v>-0.0315395178473868</v>
      </c>
      <c r="J20" t="n">
        <v>0.0174765449103611</v>
      </c>
      <c r="K20" t="s">
        <v>1189</v>
      </c>
      <c r="L20" t="s">
        <v>758</v>
      </c>
      <c r="M20" t="s">
        <v>411</v>
      </c>
      <c r="N20"/>
    </row>
    <row r="21">
      <c r="A21" t="s">
        <v>77</v>
      </c>
      <c r="B21" t="s">
        <v>327</v>
      </c>
      <c r="C21" t="n">
        <v>-0.00080157786766667</v>
      </c>
      <c r="D21" t="n">
        <v>0.00103500463229112</v>
      </c>
      <c r="E21" t="n">
        <v>0.599800533526815</v>
      </c>
      <c r="F21" t="n">
        <v>0.438654141696162</v>
      </c>
      <c r="G21" t="s">
        <v>329</v>
      </c>
      <c r="H21" t="n">
        <v>-0.00080157786766667</v>
      </c>
      <c r="I21" t="n">
        <v>-0.00283018694695726</v>
      </c>
      <c r="J21" t="n">
        <v>0.00122703121162392</v>
      </c>
      <c r="K21" t="s">
        <v>430</v>
      </c>
      <c r="L21" t="s">
        <v>758</v>
      </c>
      <c r="M21" t="s">
        <v>411</v>
      </c>
      <c r="N21"/>
    </row>
    <row r="22">
      <c r="A22" t="s">
        <v>77</v>
      </c>
      <c r="B22" t="s">
        <v>55</v>
      </c>
      <c r="C22" t="n">
        <v>-0.109494006856439</v>
      </c>
      <c r="D22" t="n">
        <v>0.00357615581745057</v>
      </c>
      <c r="E22" t="n">
        <v>937.449390348346</v>
      </c>
      <c r="F22" t="n">
        <v>0</v>
      </c>
      <c r="G22" t="s">
        <v>329</v>
      </c>
      <c r="H22" t="n">
        <v>-0.109494006856439</v>
      </c>
      <c r="I22" t="n">
        <v>-0.116503272258642</v>
      </c>
      <c r="J22" t="n">
        <v>-0.102484741454236</v>
      </c>
      <c r="K22" t="s">
        <v>1190</v>
      </c>
      <c r="L22" t="s">
        <v>758</v>
      </c>
      <c r="M22" t="s">
        <v>411</v>
      </c>
      <c r="N22"/>
    </row>
    <row r="23">
      <c r="A23" t="s">
        <v>84</v>
      </c>
      <c r="B23" t="s">
        <v>328</v>
      </c>
      <c r="C23" t="n">
        <v>-0.0289799143533749</v>
      </c>
      <c r="D23" t="n">
        <v>0.0131984652167457</v>
      </c>
      <c r="E23" t="n">
        <v>4.82111322186578</v>
      </c>
      <c r="F23" t="n">
        <v>0.0281131829024411</v>
      </c>
      <c r="G23" t="s">
        <v>329</v>
      </c>
      <c r="H23" t="n">
        <v>-0.0289799143533749</v>
      </c>
      <c r="I23" t="n">
        <v>-0.0548489061781965</v>
      </c>
      <c r="J23" t="n">
        <v>-0.00311092252855321</v>
      </c>
      <c r="K23" t="s">
        <v>1191</v>
      </c>
      <c r="L23" t="s">
        <v>758</v>
      </c>
      <c r="M23" t="s">
        <v>411</v>
      </c>
      <c r="N23"/>
    </row>
    <row r="24">
      <c r="A24" t="s">
        <v>84</v>
      </c>
      <c r="B24" t="s">
        <v>335</v>
      </c>
      <c r="C24" t="n">
        <v>-0.00343900678420305</v>
      </c>
      <c r="D24" t="n">
        <v>0.00401322255510359</v>
      </c>
      <c r="E24" t="n">
        <v>0.734310226158168</v>
      </c>
      <c r="F24" t="n">
        <v>0.391489634192093</v>
      </c>
      <c r="G24" t="s">
        <v>329</v>
      </c>
      <c r="H24" t="n">
        <v>-0.00343900678420305</v>
      </c>
      <c r="I24" t="n">
        <v>-0.0113049229922061</v>
      </c>
      <c r="J24" t="n">
        <v>0.00442690942379999</v>
      </c>
      <c r="K24" t="s">
        <v>1192</v>
      </c>
      <c r="L24" t="s">
        <v>758</v>
      </c>
      <c r="M24" t="s">
        <v>411</v>
      </c>
      <c r="N24"/>
    </row>
    <row r="25">
      <c r="A25" t="s">
        <v>84</v>
      </c>
      <c r="B25" t="s">
        <v>327</v>
      </c>
      <c r="C25" t="n">
        <v>0.000219173711108797</v>
      </c>
      <c r="D25" t="n">
        <v>0.000335423210675373</v>
      </c>
      <c r="E25" t="n">
        <v>0.426963450127716</v>
      </c>
      <c r="F25" t="n">
        <v>0.513482710994933</v>
      </c>
      <c r="G25" t="s">
        <v>329</v>
      </c>
      <c r="H25" t="n">
        <v>0.000219173711108797</v>
      </c>
      <c r="I25" t="n">
        <v>-0.000438255781814934</v>
      </c>
      <c r="J25" t="n">
        <v>0.000876603204032527</v>
      </c>
      <c r="K25" t="s">
        <v>429</v>
      </c>
      <c r="L25" t="s">
        <v>758</v>
      </c>
      <c r="M25" t="s">
        <v>411</v>
      </c>
      <c r="N25"/>
    </row>
    <row r="26">
      <c r="A26" t="s">
        <v>84</v>
      </c>
      <c r="B26" t="s">
        <v>55</v>
      </c>
      <c r="C26" t="n">
        <v>-0.00221148012692453</v>
      </c>
      <c r="D26" t="n">
        <v>0.00129209077382885</v>
      </c>
      <c r="E26" t="n">
        <v>2.92940913281939</v>
      </c>
      <c r="F26" t="n">
        <v>0.0869793206257244</v>
      </c>
      <c r="G26" t="s">
        <v>329</v>
      </c>
      <c r="H26" t="n">
        <v>-0.00221148012692453</v>
      </c>
      <c r="I26" t="n">
        <v>-0.00474397804362907</v>
      </c>
      <c r="J26" t="n">
        <v>0.000321017789780009</v>
      </c>
      <c r="K26" t="s">
        <v>821</v>
      </c>
      <c r="L26" t="s">
        <v>758</v>
      </c>
      <c r="M26" t="s">
        <v>411</v>
      </c>
      <c r="N26"/>
    </row>
    <row r="27">
      <c r="A27" t="s">
        <v>89</v>
      </c>
      <c r="B27" t="s">
        <v>328</v>
      </c>
      <c r="C27" t="n">
        <v>515.959459720367</v>
      </c>
      <c r="D27" t="n">
        <v>10.549794828416</v>
      </c>
      <c r="E27" t="n">
        <v>2391.90062038199</v>
      </c>
      <c r="F27" t="n">
        <v>0</v>
      </c>
      <c r="G27" t="s">
        <v>329</v>
      </c>
      <c r="H27" t="n">
        <v>515.959459720367</v>
      </c>
      <c r="I27" t="n">
        <v>495.281861856671</v>
      </c>
      <c r="J27" t="n">
        <v>536.637057584062</v>
      </c>
      <c r="K27" t="s">
        <v>1193</v>
      </c>
      <c r="L27" t="s">
        <v>758</v>
      </c>
      <c r="M27" t="s">
        <v>411</v>
      </c>
      <c r="N27"/>
    </row>
    <row r="28">
      <c r="A28" t="s">
        <v>89</v>
      </c>
      <c r="B28" t="s">
        <v>335</v>
      </c>
      <c r="C28" t="n">
        <v>-0.711436060998091</v>
      </c>
      <c r="D28" t="n">
        <v>3.3119430769759</v>
      </c>
      <c r="E28" t="n">
        <v>0.046143020707457</v>
      </c>
      <c r="F28" t="n">
        <v>0.829916028405904</v>
      </c>
      <c r="G28" t="s">
        <v>329</v>
      </c>
      <c r="H28" t="n">
        <v>-0.711436060998091</v>
      </c>
      <c r="I28" t="n">
        <v>-7.20284449187085</v>
      </c>
      <c r="J28" t="n">
        <v>5.77997236987467</v>
      </c>
      <c r="K28" t="s">
        <v>1194</v>
      </c>
      <c r="L28" t="s">
        <v>758</v>
      </c>
      <c r="M28" t="s">
        <v>411</v>
      </c>
      <c r="N28"/>
    </row>
    <row r="29">
      <c r="A29" t="s">
        <v>89</v>
      </c>
      <c r="B29" t="s">
        <v>327</v>
      </c>
      <c r="C29" t="n">
        <v>0.577344050430846</v>
      </c>
      <c r="D29" t="n">
        <v>0.269655584012428</v>
      </c>
      <c r="E29" t="n">
        <v>4.58406274381176</v>
      </c>
      <c r="F29" t="n">
        <v>0.0322706154940541</v>
      </c>
      <c r="G29" t="s">
        <v>329</v>
      </c>
      <c r="H29" t="n">
        <v>0.577344050430846</v>
      </c>
      <c r="I29" t="n">
        <v>0.0488191057664867</v>
      </c>
      <c r="J29" t="n">
        <v>1.1058689950952</v>
      </c>
      <c r="K29" t="s">
        <v>1195</v>
      </c>
      <c r="L29" t="s">
        <v>758</v>
      </c>
      <c r="M29" t="s">
        <v>411</v>
      </c>
      <c r="N29"/>
    </row>
    <row r="30">
      <c r="A30" t="s">
        <v>89</v>
      </c>
      <c r="B30" t="s">
        <v>55</v>
      </c>
      <c r="C30" t="n">
        <v>-0.818092464007302</v>
      </c>
      <c r="D30" t="n">
        <v>1.01700497678621</v>
      </c>
      <c r="E30" t="n">
        <v>0.647080970008543</v>
      </c>
      <c r="F30" t="n">
        <v>0.421158246224908</v>
      </c>
      <c r="G30" t="s">
        <v>329</v>
      </c>
      <c r="H30" t="n">
        <v>-0.818092464007302</v>
      </c>
      <c r="I30" t="n">
        <v>-2.81142221850828</v>
      </c>
      <c r="J30" t="n">
        <v>1.17523729049368</v>
      </c>
      <c r="K30" t="s">
        <v>1196</v>
      </c>
      <c r="L30" t="s">
        <v>758</v>
      </c>
      <c r="M30" t="s">
        <v>411</v>
      </c>
      <c r="N30"/>
    </row>
    <row r="31">
      <c r="A31" t="s">
        <v>95</v>
      </c>
      <c r="B31" t="s">
        <v>328</v>
      </c>
      <c r="C31" t="n">
        <v>43.1372907680239</v>
      </c>
      <c r="D31" t="n">
        <v>0.53684477052176</v>
      </c>
      <c r="E31" t="n">
        <v>6456.66535450385</v>
      </c>
      <c r="F31" t="n">
        <v>0</v>
      </c>
      <c r="G31" t="s">
        <v>329</v>
      </c>
      <c r="H31" t="n">
        <v>43.1372907680239</v>
      </c>
      <c r="I31" t="n">
        <v>42.0850750178013</v>
      </c>
      <c r="J31" t="n">
        <v>44.1895065182466</v>
      </c>
      <c r="K31" t="s">
        <v>1197</v>
      </c>
      <c r="L31" t="s">
        <v>758</v>
      </c>
      <c r="M31" t="s">
        <v>411</v>
      </c>
      <c r="N31"/>
    </row>
    <row r="32">
      <c r="A32" t="s">
        <v>95</v>
      </c>
      <c r="B32" t="s">
        <v>335</v>
      </c>
      <c r="C32" t="n">
        <v>0.137241911557887</v>
      </c>
      <c r="D32" t="n">
        <v>0.177607009691781</v>
      </c>
      <c r="E32" t="n">
        <v>0.597108580890522</v>
      </c>
      <c r="F32" t="n">
        <v>0.439683364860152</v>
      </c>
      <c r="G32" t="s">
        <v>329</v>
      </c>
      <c r="H32" t="n">
        <v>0.137241911557887</v>
      </c>
      <c r="I32" t="n">
        <v>-0.210867827438003</v>
      </c>
      <c r="J32" t="n">
        <v>0.485351650553777</v>
      </c>
      <c r="K32" t="s">
        <v>1198</v>
      </c>
      <c r="L32" t="s">
        <v>758</v>
      </c>
      <c r="M32" t="s">
        <v>411</v>
      </c>
      <c r="N32"/>
    </row>
    <row r="33">
      <c r="A33" t="s">
        <v>95</v>
      </c>
      <c r="B33" t="s">
        <v>327</v>
      </c>
      <c r="C33" t="n">
        <v>0.0129144092800081</v>
      </c>
      <c r="D33" t="n">
        <v>0.014830103682215</v>
      </c>
      <c r="E33" t="n">
        <v>0.758334329879721</v>
      </c>
      <c r="F33" t="n">
        <v>0.383850293013008</v>
      </c>
      <c r="G33" t="s">
        <v>329</v>
      </c>
      <c r="H33" t="n">
        <v>0.0129144092800081</v>
      </c>
      <c r="I33" t="n">
        <v>-0.0161525939371332</v>
      </c>
      <c r="J33" t="n">
        <v>0.0419814124971495</v>
      </c>
      <c r="K33" t="s">
        <v>1199</v>
      </c>
      <c r="L33" t="s">
        <v>758</v>
      </c>
      <c r="M33" t="s">
        <v>411</v>
      </c>
      <c r="N33"/>
    </row>
    <row r="34">
      <c r="A34" t="s">
        <v>95</v>
      </c>
      <c r="B34" t="s">
        <v>55</v>
      </c>
      <c r="C34" t="n">
        <v>-0.0193600704029652</v>
      </c>
      <c r="D34" t="n">
        <v>0.0436746512397307</v>
      </c>
      <c r="E34" t="n">
        <v>0.196496569752732</v>
      </c>
      <c r="F34" t="n">
        <v>0.657563700355747</v>
      </c>
      <c r="G34" t="s">
        <v>329</v>
      </c>
      <c r="H34" t="n">
        <v>-0.0193600704029652</v>
      </c>
      <c r="I34" t="n">
        <v>-0.104962386832837</v>
      </c>
      <c r="J34" t="n">
        <v>0.066242246026907</v>
      </c>
      <c r="K34" t="s">
        <v>1200</v>
      </c>
      <c r="L34" t="s">
        <v>758</v>
      </c>
      <c r="M34" t="s">
        <v>411</v>
      </c>
      <c r="N34"/>
    </row>
    <row r="35">
      <c r="A35" t="s">
        <v>102</v>
      </c>
      <c r="B35"/>
      <c r="C35"/>
      <c r="D35"/>
      <c r="E35"/>
      <c r="F35"/>
      <c r="G35"/>
      <c r="H35"/>
      <c r="I35"/>
      <c r="J35"/>
      <c r="K35"/>
      <c r="L35" t="s">
        <v>358</v>
      </c>
      <c r="M35"/>
      <c r="N35"/>
    </row>
    <row r="36">
      <c r="A36" t="s">
        <v>23</v>
      </c>
      <c r="B36" t="s">
        <v>328</v>
      </c>
      <c r="C36" t="n">
        <v>-0.105664797122732</v>
      </c>
      <c r="D36" t="n">
        <v>0.984760821728803</v>
      </c>
      <c r="E36" t="n">
        <v>0.0115132814904575</v>
      </c>
      <c r="F36" t="n">
        <v>0.914551016000384</v>
      </c>
      <c r="G36" t="s">
        <v>359</v>
      </c>
      <c r="H36" t="n">
        <v>0.899726188341603</v>
      </c>
      <c r="I36" t="n">
        <v>0.130576501222692</v>
      </c>
      <c r="J36" t="n">
        <v>6.19948617406386</v>
      </c>
      <c r="K36" t="s">
        <v>1201</v>
      </c>
      <c r="L36" t="s">
        <v>775</v>
      </c>
      <c r="M36" t="s">
        <v>411</v>
      </c>
      <c r="N36"/>
    </row>
    <row r="37">
      <c r="A37" t="s">
        <v>23</v>
      </c>
      <c r="B37" t="s">
        <v>335</v>
      </c>
      <c r="C37" t="n">
        <v>-0.336124882857218</v>
      </c>
      <c r="D37" t="n">
        <v>0.329294940748957</v>
      </c>
      <c r="E37" t="n">
        <v>1.04191241066666</v>
      </c>
      <c r="F37" t="n">
        <v>0.307377112561573</v>
      </c>
      <c r="G37" t="s">
        <v>359</v>
      </c>
      <c r="H37" t="n">
        <v>0.714533867213071</v>
      </c>
      <c r="I37" t="n">
        <v>0.374732452844851</v>
      </c>
      <c r="J37" t="n">
        <v>1.36246178711896</v>
      </c>
      <c r="K37" t="s">
        <v>1202</v>
      </c>
      <c r="L37" t="s">
        <v>775</v>
      </c>
      <c r="M37" t="s">
        <v>411</v>
      </c>
      <c r="N37"/>
    </row>
    <row r="38">
      <c r="A38" t="s">
        <v>23</v>
      </c>
      <c r="B38" t="s">
        <v>327</v>
      </c>
      <c r="C38" t="n">
        <v>0.031088234707249</v>
      </c>
      <c r="D38" t="n">
        <v>0.0271576738454302</v>
      </c>
      <c r="E38" t="n">
        <v>1.31040936319442</v>
      </c>
      <c r="F38" t="n">
        <v>0.252320551307591</v>
      </c>
      <c r="G38" t="s">
        <v>359</v>
      </c>
      <c r="H38" t="n">
        <v>1.03157652072335</v>
      </c>
      <c r="I38" t="n">
        <v>0.978102502624533</v>
      </c>
      <c r="J38" t="n">
        <v>1.0879740264975</v>
      </c>
      <c r="K38" t="s">
        <v>1203</v>
      </c>
      <c r="L38" t="s">
        <v>775</v>
      </c>
      <c r="M38" t="s">
        <v>411</v>
      </c>
      <c r="N38"/>
    </row>
    <row r="39">
      <c r="A39" t="s">
        <v>23</v>
      </c>
      <c r="B39" t="s">
        <v>55</v>
      </c>
      <c r="C39" t="n">
        <v>0.11180467792398</v>
      </c>
      <c r="D39" t="n">
        <v>0.0787154844522469</v>
      </c>
      <c r="E39" t="n">
        <v>2.01743524817894</v>
      </c>
      <c r="F39" t="n">
        <v>0.155501598887608</v>
      </c>
      <c r="G39" t="s">
        <v>359</v>
      </c>
      <c r="H39" t="n">
        <v>1.11829441172569</v>
      </c>
      <c r="I39" t="n">
        <v>0.958411865083202</v>
      </c>
      <c r="J39" t="n">
        <v>1.30484861139354</v>
      </c>
      <c r="K39" t="s">
        <v>1204</v>
      </c>
      <c r="L39" t="s">
        <v>775</v>
      </c>
      <c r="M39" t="s">
        <v>411</v>
      </c>
      <c r="N39"/>
    </row>
    <row r="40">
      <c r="A40" t="s">
        <v>364</v>
      </c>
      <c r="B40" t="s">
        <v>328</v>
      </c>
      <c r="C40" t="n">
        <v>-2.11199570135615</v>
      </c>
      <c r="D40" t="n">
        <v>1.30358147089034</v>
      </c>
      <c r="E40" t="n">
        <v>2.62488150175974</v>
      </c>
      <c r="F40" t="n">
        <v>0.10520035862591</v>
      </c>
      <c r="G40" t="s">
        <v>359</v>
      </c>
      <c r="H40" t="n">
        <v>0.120996252933559</v>
      </c>
      <c r="I40" t="n">
        <v>0.00940028393509477</v>
      </c>
      <c r="J40" t="n">
        <v>1.55740968305274</v>
      </c>
      <c r="K40" t="s">
        <v>1205</v>
      </c>
      <c r="L40" t="s">
        <v>775</v>
      </c>
      <c r="M40" t="s">
        <v>411</v>
      </c>
      <c r="N40"/>
    </row>
    <row r="41">
      <c r="A41" t="s">
        <v>364</v>
      </c>
      <c r="B41" t="s">
        <v>335</v>
      </c>
      <c r="C41" t="n">
        <v>-0.898104980058934</v>
      </c>
      <c r="D41" t="n">
        <v>0.439581971176367</v>
      </c>
      <c r="E41" t="n">
        <v>4.17421164080114</v>
      </c>
      <c r="F41" t="n">
        <v>0.0410436533618621</v>
      </c>
      <c r="G41" t="s">
        <v>359</v>
      </c>
      <c r="H41" t="n">
        <v>0.40734084783086</v>
      </c>
      <c r="I41" t="n">
        <v>0.172098955734793</v>
      </c>
      <c r="J41" t="n">
        <v>0.964134649179736</v>
      </c>
      <c r="K41" t="s">
        <v>1206</v>
      </c>
      <c r="L41" t="s">
        <v>775</v>
      </c>
      <c r="M41" t="s">
        <v>411</v>
      </c>
      <c r="N41"/>
    </row>
    <row r="42">
      <c r="A42" t="s">
        <v>364</v>
      </c>
      <c r="B42" t="s">
        <v>327</v>
      </c>
      <c r="C42" t="n">
        <v>0.0428687022167361</v>
      </c>
      <c r="D42" t="n">
        <v>0.0358025250457433</v>
      </c>
      <c r="E42" t="n">
        <v>1.43368373351988</v>
      </c>
      <c r="F42" t="n">
        <v>0.231164190832019</v>
      </c>
      <c r="G42" t="s">
        <v>359</v>
      </c>
      <c r="H42" t="n">
        <v>1.04380083711704</v>
      </c>
      <c r="I42" t="n">
        <v>0.973065144455968</v>
      </c>
      <c r="J42" t="n">
        <v>1.11967856805247</v>
      </c>
      <c r="K42" t="s">
        <v>1207</v>
      </c>
      <c r="L42" t="s">
        <v>775</v>
      </c>
      <c r="M42" t="s">
        <v>411</v>
      </c>
      <c r="N42"/>
    </row>
    <row r="43">
      <c r="A43" t="s">
        <v>364</v>
      </c>
      <c r="B43" t="s">
        <v>55</v>
      </c>
      <c r="C43" t="n">
        <v>0.054393187705827</v>
      </c>
      <c r="D43" t="n">
        <v>0.0920639236308246</v>
      </c>
      <c r="E43" t="n">
        <v>0.349068020144433</v>
      </c>
      <c r="F43" t="n">
        <v>0.554641175937209</v>
      </c>
      <c r="G43" t="s">
        <v>359</v>
      </c>
      <c r="H43" t="n">
        <v>1.05589968732218</v>
      </c>
      <c r="I43" t="n">
        <v>0.881568913544996</v>
      </c>
      <c r="J43" t="n">
        <v>1.26470447466632</v>
      </c>
      <c r="K43" t="s">
        <v>1208</v>
      </c>
      <c r="L43" t="s">
        <v>775</v>
      </c>
      <c r="M43" t="s">
        <v>411</v>
      </c>
      <c r="N43"/>
    </row>
    <row r="44">
      <c r="A44" t="s">
        <v>368</v>
      </c>
      <c r="B44"/>
      <c r="C44"/>
      <c r="D44"/>
      <c r="E44"/>
      <c r="F44"/>
      <c r="G44"/>
      <c r="H44"/>
      <c r="I44"/>
      <c r="J44"/>
      <c r="K44"/>
      <c r="L44" t="s">
        <v>369</v>
      </c>
      <c r="M44"/>
      <c r="N44"/>
    </row>
    <row r="46">
      <c r="A46" s="1" t="s">
        <v>838</v>
      </c>
    </row>
    <row r="47">
      <c r="A47" t="s">
        <v>314</v>
      </c>
      <c r="B47" t="s">
        <v>315</v>
      </c>
      <c r="C47" t="s">
        <v>316</v>
      </c>
      <c r="D47" t="s">
        <v>317</v>
      </c>
      <c r="E47" t="s">
        <v>318</v>
      </c>
      <c r="F47" t="s">
        <v>319</v>
      </c>
      <c r="G47" t="s">
        <v>320</v>
      </c>
      <c r="H47" t="s">
        <v>321</v>
      </c>
      <c r="I47" t="s">
        <v>322</v>
      </c>
      <c r="J47" t="s">
        <v>323</v>
      </c>
      <c r="K47" t="s">
        <v>324</v>
      </c>
      <c r="L47" t="s">
        <v>325</v>
      </c>
      <c r="M47" t="s">
        <v>326</v>
      </c>
      <c r="N47" t="s">
        <v>1</v>
      </c>
    </row>
    <row r="48">
      <c r="A48" t="s">
        <v>137</v>
      </c>
      <c r="B48" t="s">
        <v>328</v>
      </c>
      <c r="C48" t="n">
        <v>6.51177693567394</v>
      </c>
      <c r="D48" t="n">
        <v>0.117433856517992</v>
      </c>
      <c r="E48" t="n">
        <v>3074.76822011418</v>
      </c>
      <c r="F48" t="n">
        <v>0</v>
      </c>
      <c r="G48" t="s">
        <v>329</v>
      </c>
      <c r="H48" t="n">
        <v>6.51177693567394</v>
      </c>
      <c r="I48" t="n">
        <v>6.28160657689867</v>
      </c>
      <c r="J48" t="n">
        <v>6.7419472944492</v>
      </c>
      <c r="K48" t="s">
        <v>1209</v>
      </c>
      <c r="L48" t="s">
        <v>758</v>
      </c>
      <c r="M48" t="s">
        <v>411</v>
      </c>
      <c r="N48"/>
    </row>
    <row r="49">
      <c r="A49" t="s">
        <v>137</v>
      </c>
      <c r="B49" t="s">
        <v>335</v>
      </c>
      <c r="C49" t="n">
        <v>-0.0109109469427695</v>
      </c>
      <c r="D49" t="n">
        <v>0.034829582041465</v>
      </c>
      <c r="E49" t="n">
        <v>0.0981360022003131</v>
      </c>
      <c r="F49" t="n">
        <v>0.754078075355234</v>
      </c>
      <c r="G49" t="s">
        <v>329</v>
      </c>
      <c r="H49" t="n">
        <v>-0.0109109469427695</v>
      </c>
      <c r="I49" t="n">
        <v>-0.0791769277440409</v>
      </c>
      <c r="J49" t="n">
        <v>0.0573550338585018</v>
      </c>
      <c r="K49" t="s">
        <v>1157</v>
      </c>
      <c r="L49" t="s">
        <v>758</v>
      </c>
      <c r="M49" t="s">
        <v>411</v>
      </c>
      <c r="N49"/>
    </row>
    <row r="50">
      <c r="A50" t="s">
        <v>137</v>
      </c>
      <c r="B50" t="s">
        <v>327</v>
      </c>
      <c r="C50" t="n">
        <v>0.000516755276488533</v>
      </c>
      <c r="D50" t="n">
        <v>0.00318806346469353</v>
      </c>
      <c r="E50" t="n">
        <v>0.0262733785383054</v>
      </c>
      <c r="F50" t="n">
        <v>0.871234469727877</v>
      </c>
      <c r="G50" t="s">
        <v>329</v>
      </c>
      <c r="H50" t="n">
        <v>0.000516755276488533</v>
      </c>
      <c r="I50" t="n">
        <v>-0.00573184911431078</v>
      </c>
      <c r="J50" t="n">
        <v>0.00676535966728785</v>
      </c>
      <c r="K50" t="s">
        <v>1210</v>
      </c>
      <c r="L50" t="s">
        <v>758</v>
      </c>
      <c r="M50" t="s">
        <v>411</v>
      </c>
      <c r="N50"/>
    </row>
    <row r="51">
      <c r="A51" t="s">
        <v>137</v>
      </c>
      <c r="B51" t="s">
        <v>55</v>
      </c>
      <c r="C51" t="n">
        <v>0.00225147743630262</v>
      </c>
      <c r="D51" t="n">
        <v>0.0111283544323613</v>
      </c>
      <c r="E51" t="n">
        <v>0.0409329739758831</v>
      </c>
      <c r="F51" t="n">
        <v>0.839667354566424</v>
      </c>
      <c r="G51" t="s">
        <v>329</v>
      </c>
      <c r="H51" t="n">
        <v>0.00225147743630262</v>
      </c>
      <c r="I51" t="n">
        <v>-0.0195600972511255</v>
      </c>
      <c r="J51" t="n">
        <v>0.0240630521237308</v>
      </c>
      <c r="K51" t="s">
        <v>1211</v>
      </c>
      <c r="L51" t="s">
        <v>758</v>
      </c>
      <c r="M51" t="s">
        <v>411</v>
      </c>
      <c r="N51"/>
    </row>
    <row r="52">
      <c r="A52" t="s">
        <v>143</v>
      </c>
      <c r="B52" t="s">
        <v>328</v>
      </c>
      <c r="C52" t="n">
        <v>5.26570007820148</v>
      </c>
      <c r="D52" t="n">
        <v>3.1368292980108</v>
      </c>
      <c r="E52" t="n">
        <v>2.81793172790076</v>
      </c>
      <c r="F52" t="n">
        <v>0.0932164478808812</v>
      </c>
      <c r="G52" t="s">
        <v>329</v>
      </c>
      <c r="H52" t="n">
        <v>5.26570007820148</v>
      </c>
      <c r="I52" t="n">
        <v>-0.882485345899687</v>
      </c>
      <c r="J52" t="n">
        <v>11.4138855023027</v>
      </c>
      <c r="K52" t="s">
        <v>1212</v>
      </c>
      <c r="L52" t="s">
        <v>758</v>
      </c>
      <c r="M52" t="s">
        <v>411</v>
      </c>
      <c r="N52"/>
    </row>
    <row r="53">
      <c r="A53" t="s">
        <v>143</v>
      </c>
      <c r="B53" t="s">
        <v>335</v>
      </c>
      <c r="C53" t="n">
        <v>-0.63587750296827</v>
      </c>
      <c r="D53" t="n">
        <v>0.915353964137139</v>
      </c>
      <c r="E53" t="n">
        <v>0.482579408638311</v>
      </c>
      <c r="F53" t="n">
        <v>0.487256267776129</v>
      </c>
      <c r="G53" t="s">
        <v>329</v>
      </c>
      <c r="H53" t="n">
        <v>-0.63587750296827</v>
      </c>
      <c r="I53" t="n">
        <v>-2.42997127267706</v>
      </c>
      <c r="J53" t="n">
        <v>1.15821626674052</v>
      </c>
      <c r="K53" t="s">
        <v>1213</v>
      </c>
      <c r="L53" t="s">
        <v>758</v>
      </c>
      <c r="M53" t="s">
        <v>411</v>
      </c>
      <c r="N53"/>
    </row>
    <row r="54">
      <c r="A54" t="s">
        <v>143</v>
      </c>
      <c r="B54" t="s">
        <v>327</v>
      </c>
      <c r="C54" t="n">
        <v>0.0599576108170907</v>
      </c>
      <c r="D54" t="n">
        <v>0.0808895548843161</v>
      </c>
      <c r="E54" t="n">
        <v>0.549419091470904</v>
      </c>
      <c r="F54" t="n">
        <v>0.458555150211173</v>
      </c>
      <c r="G54" t="s">
        <v>329</v>
      </c>
      <c r="H54" t="n">
        <v>0.0599576108170907</v>
      </c>
      <c r="I54" t="n">
        <v>-0.0985859167561689</v>
      </c>
      <c r="J54" t="n">
        <v>0.21850113839035</v>
      </c>
      <c r="K54" t="s">
        <v>1214</v>
      </c>
      <c r="L54" t="s">
        <v>758</v>
      </c>
      <c r="M54" t="s">
        <v>411</v>
      </c>
      <c r="N54"/>
    </row>
    <row r="55">
      <c r="A55" t="s">
        <v>143</v>
      </c>
      <c r="B55" t="s">
        <v>55</v>
      </c>
      <c r="C55" t="n">
        <v>-13.6588115480636</v>
      </c>
      <c r="D55" t="n">
        <v>0.262478884822676</v>
      </c>
      <c r="E55" t="n">
        <v>2707.9278054672</v>
      </c>
      <c r="F55" t="n">
        <v>0</v>
      </c>
      <c r="G55" t="s">
        <v>329</v>
      </c>
      <c r="H55" t="n">
        <v>-13.6588115480636</v>
      </c>
      <c r="I55" t="n">
        <v>-14.173270162316</v>
      </c>
      <c r="J55" t="n">
        <v>-13.1443529338111</v>
      </c>
      <c r="K55" t="s">
        <v>1215</v>
      </c>
      <c r="L55" t="s">
        <v>758</v>
      </c>
      <c r="M55" t="s">
        <v>411</v>
      </c>
      <c r="N55"/>
    </row>
    <row r="56">
      <c r="A56" t="s">
        <v>376</v>
      </c>
      <c r="B56"/>
      <c r="C56"/>
      <c r="D56"/>
      <c r="E56"/>
      <c r="F56"/>
      <c r="G56"/>
      <c r="H56"/>
      <c r="I56"/>
      <c r="J56"/>
      <c r="K56"/>
      <c r="L56" t="s">
        <v>369</v>
      </c>
      <c r="M56"/>
      <c r="N56"/>
    </row>
    <row r="58">
      <c r="A58" s="1" t="s">
        <v>847</v>
      </c>
    </row>
    <row r="59">
      <c r="A59" t="s">
        <v>314</v>
      </c>
      <c r="B59" t="s">
        <v>315</v>
      </c>
      <c r="C59" t="s">
        <v>316</v>
      </c>
      <c r="D59" t="s">
        <v>317</v>
      </c>
      <c r="E59" t="s">
        <v>318</v>
      </c>
      <c r="F59" t="s">
        <v>319</v>
      </c>
      <c r="G59" t="s">
        <v>320</v>
      </c>
      <c r="H59" t="s">
        <v>321</v>
      </c>
      <c r="I59" t="s">
        <v>322</v>
      </c>
      <c r="J59" t="s">
        <v>323</v>
      </c>
      <c r="K59" t="s">
        <v>324</v>
      </c>
      <c r="L59" t="s">
        <v>325</v>
      </c>
      <c r="M59" t="s">
        <v>326</v>
      </c>
      <c r="N59" t="s">
        <v>1</v>
      </c>
    </row>
    <row r="60">
      <c r="A60" t="s">
        <v>165</v>
      </c>
      <c r="B60" t="s">
        <v>328</v>
      </c>
      <c r="C60" t="n">
        <v>164.595290538452</v>
      </c>
      <c r="D60" t="n">
        <v>41.469848271021</v>
      </c>
      <c r="E60" t="n">
        <v>15.7532409954109</v>
      </c>
      <c r="F60" t="n">
        <v>0.0000721642002869949</v>
      </c>
      <c r="G60" t="s">
        <v>329</v>
      </c>
      <c r="H60" t="n">
        <v>164.595290538452</v>
      </c>
      <c r="I60" t="n">
        <v>83.3143879272512</v>
      </c>
      <c r="J60" t="n">
        <v>245.876193149653</v>
      </c>
      <c r="K60" t="s">
        <v>1216</v>
      </c>
      <c r="L60" t="s">
        <v>758</v>
      </c>
      <c r="M60" t="s">
        <v>411</v>
      </c>
      <c r="N60"/>
    </row>
    <row r="61">
      <c r="A61" t="s">
        <v>165</v>
      </c>
      <c r="B61" t="s">
        <v>335</v>
      </c>
      <c r="C61" t="n">
        <v>-7.45100414508297</v>
      </c>
      <c r="D61" t="n">
        <v>11.1690834824327</v>
      </c>
      <c r="E61" t="n">
        <v>0.445035377378944</v>
      </c>
      <c r="F61" t="n">
        <v>0.50470205244145</v>
      </c>
      <c r="G61" t="s">
        <v>329</v>
      </c>
      <c r="H61" t="n">
        <v>-7.45100414508297</v>
      </c>
      <c r="I61" t="n">
        <v>-29.3424077706511</v>
      </c>
      <c r="J61" t="n">
        <v>14.4403994804851</v>
      </c>
      <c r="K61" t="s">
        <v>1217</v>
      </c>
      <c r="L61" t="s">
        <v>758</v>
      </c>
      <c r="M61" t="s">
        <v>411</v>
      </c>
      <c r="N61"/>
    </row>
    <row r="62">
      <c r="A62" t="s">
        <v>165</v>
      </c>
      <c r="B62" t="s">
        <v>327</v>
      </c>
      <c r="C62" t="n">
        <v>0.254071122437832</v>
      </c>
      <c r="D62" t="n">
        <v>1.14873199604909</v>
      </c>
      <c r="E62" t="n">
        <v>0.0489185050863847</v>
      </c>
      <c r="F62" t="n">
        <v>0.824955955275674</v>
      </c>
      <c r="G62" t="s">
        <v>329</v>
      </c>
      <c r="H62" t="n">
        <v>0.254071122437832</v>
      </c>
      <c r="I62" t="n">
        <v>-1.99744358981839</v>
      </c>
      <c r="J62" t="n">
        <v>2.50558583469406</v>
      </c>
      <c r="K62" t="s">
        <v>1218</v>
      </c>
      <c r="L62" t="s">
        <v>758</v>
      </c>
      <c r="M62" t="s">
        <v>411</v>
      </c>
      <c r="N62"/>
    </row>
    <row r="63">
      <c r="A63" t="s">
        <v>165</v>
      </c>
      <c r="B63" t="s">
        <v>55</v>
      </c>
      <c r="C63" t="n">
        <v>-3.97626301328644</v>
      </c>
      <c r="D63" t="n">
        <v>3.05619262823831</v>
      </c>
      <c r="E63" t="n">
        <v>1.69273416277061</v>
      </c>
      <c r="F63" t="n">
        <v>0.193240938161442</v>
      </c>
      <c r="G63" t="s">
        <v>329</v>
      </c>
      <c r="H63" t="n">
        <v>-3.97626301328644</v>
      </c>
      <c r="I63" t="n">
        <v>-9.96640056463352</v>
      </c>
      <c r="J63" t="n">
        <v>2.01387453806064</v>
      </c>
      <c r="K63" t="s">
        <v>1219</v>
      </c>
      <c r="L63" t="s">
        <v>758</v>
      </c>
      <c r="M63" t="s">
        <v>411</v>
      </c>
      <c r="N63"/>
    </row>
    <row r="64">
      <c r="A64" t="s">
        <v>174</v>
      </c>
      <c r="B64" t="s">
        <v>328</v>
      </c>
      <c r="C64" t="n">
        <v>0.030871126444255</v>
      </c>
      <c r="D64" t="n">
        <v>0.149386001385146</v>
      </c>
      <c r="E64" t="n">
        <v>0.0427056314544641</v>
      </c>
      <c r="F64" t="n">
        <v>0.836280546098705</v>
      </c>
      <c r="G64" t="s">
        <v>329</v>
      </c>
      <c r="H64" t="n">
        <v>0.030871126444255</v>
      </c>
      <c r="I64" t="n">
        <v>-0.26192543627063</v>
      </c>
      <c r="J64" t="n">
        <v>0.32366768915914</v>
      </c>
      <c r="K64" t="s">
        <v>1220</v>
      </c>
      <c r="L64" t="s">
        <v>758</v>
      </c>
      <c r="M64" t="s">
        <v>411</v>
      </c>
      <c r="N64"/>
    </row>
    <row r="65">
      <c r="A65" t="s">
        <v>174</v>
      </c>
      <c r="B65" t="s">
        <v>335</v>
      </c>
      <c r="C65" t="n">
        <v>-0.148076029386813</v>
      </c>
      <c r="D65" t="n">
        <v>0.0455971308056223</v>
      </c>
      <c r="E65" t="n">
        <v>10.5461632484241</v>
      </c>
      <c r="F65" t="n">
        <v>0.00116429522435413</v>
      </c>
      <c r="G65" t="s">
        <v>329</v>
      </c>
      <c r="H65" t="n">
        <v>-0.148076029386813</v>
      </c>
      <c r="I65" t="n">
        <v>-0.237446405765833</v>
      </c>
      <c r="J65" t="n">
        <v>-0.0587056530077937</v>
      </c>
      <c r="K65" t="s">
        <v>1221</v>
      </c>
      <c r="L65" t="s">
        <v>758</v>
      </c>
      <c r="M65" t="s">
        <v>411</v>
      </c>
      <c r="N65"/>
    </row>
    <row r="66">
      <c r="A66" t="s">
        <v>174</v>
      </c>
      <c r="B66" t="s">
        <v>327</v>
      </c>
      <c r="C66" t="n">
        <v>-0.000075009391953032</v>
      </c>
      <c r="D66" t="n">
        <v>0.00417795786705245</v>
      </c>
      <c r="E66" t="n">
        <v>0.000322331818201406</v>
      </c>
      <c r="F66" t="n">
        <v>0.985675867824186</v>
      </c>
      <c r="G66" t="s">
        <v>329</v>
      </c>
      <c r="H66" t="n">
        <v>-0.000075009391953032</v>
      </c>
      <c r="I66" t="n">
        <v>-0.00826380681137584</v>
      </c>
      <c r="J66" t="n">
        <v>0.00811378802746977</v>
      </c>
      <c r="K66" t="s">
        <v>1222</v>
      </c>
      <c r="L66" t="s">
        <v>758</v>
      </c>
      <c r="M66" t="s">
        <v>411</v>
      </c>
      <c r="N66"/>
    </row>
    <row r="67">
      <c r="A67" t="s">
        <v>174</v>
      </c>
      <c r="B67" t="s">
        <v>55</v>
      </c>
      <c r="C67" t="n">
        <v>0.00415077351691785</v>
      </c>
      <c r="D67" t="n">
        <v>0.0134254841158916</v>
      </c>
      <c r="E67" t="n">
        <v>0.0955868531195313</v>
      </c>
      <c r="F67" t="n">
        <v>0.75719127314097</v>
      </c>
      <c r="G67" t="s">
        <v>329</v>
      </c>
      <c r="H67" t="n">
        <v>0.00415077351691785</v>
      </c>
      <c r="I67" t="n">
        <v>-0.0221631753502298</v>
      </c>
      <c r="J67" t="n">
        <v>0.0304647223840655</v>
      </c>
      <c r="K67" t="s">
        <v>1223</v>
      </c>
      <c r="L67" t="s">
        <v>758</v>
      </c>
      <c r="M67" t="s">
        <v>411</v>
      </c>
      <c r="N67"/>
    </row>
    <row r="68">
      <c r="A68" t="s">
        <v>182</v>
      </c>
      <c r="B68" t="s">
        <v>328</v>
      </c>
      <c r="C68" t="n">
        <v>-0.164922722366349</v>
      </c>
      <c r="D68" t="n">
        <v>0.0758860276281811</v>
      </c>
      <c r="E68" t="n">
        <v>4.72321103972918</v>
      </c>
      <c r="F68" t="n">
        <v>0.0297581236053047</v>
      </c>
      <c r="G68" t="s">
        <v>329</v>
      </c>
      <c r="H68" t="n">
        <v>-0.164922722366349</v>
      </c>
      <c r="I68" t="n">
        <v>-0.313659336517584</v>
      </c>
      <c r="J68" t="n">
        <v>-0.0161861082151144</v>
      </c>
      <c r="K68" t="s">
        <v>1224</v>
      </c>
      <c r="L68" t="s">
        <v>758</v>
      </c>
      <c r="M68" t="s">
        <v>411</v>
      </c>
      <c r="N68"/>
    </row>
    <row r="69">
      <c r="A69" t="s">
        <v>182</v>
      </c>
      <c r="B69" t="s">
        <v>335</v>
      </c>
      <c r="C69" t="n">
        <v>-0.00703470593011577</v>
      </c>
      <c r="D69" t="n">
        <v>0.0232712925245242</v>
      </c>
      <c r="E69" t="n">
        <v>0.0913799432884312</v>
      </c>
      <c r="F69" t="n">
        <v>0.762430119297043</v>
      </c>
      <c r="G69" t="s">
        <v>329</v>
      </c>
      <c r="H69" t="n">
        <v>-0.00703470593011577</v>
      </c>
      <c r="I69" t="n">
        <v>-0.0526464392781832</v>
      </c>
      <c r="J69" t="n">
        <v>0.0385770274179516</v>
      </c>
      <c r="K69" t="s">
        <v>1225</v>
      </c>
      <c r="L69" t="s">
        <v>758</v>
      </c>
      <c r="M69" t="s">
        <v>411</v>
      </c>
      <c r="N69"/>
    </row>
    <row r="70">
      <c r="A70" t="s">
        <v>182</v>
      </c>
      <c r="B70" t="s">
        <v>327</v>
      </c>
      <c r="C70" t="n">
        <v>-0.000100400991738913</v>
      </c>
      <c r="D70" t="n">
        <v>0.00207498911171428</v>
      </c>
      <c r="E70" t="n">
        <v>0.00234123151311828</v>
      </c>
      <c r="F70" t="n">
        <v>0.961408398241063</v>
      </c>
      <c r="G70" t="s">
        <v>329</v>
      </c>
      <c r="H70" t="n">
        <v>-0.000100400991738913</v>
      </c>
      <c r="I70" t="n">
        <v>-0.00416737965069891</v>
      </c>
      <c r="J70" t="n">
        <v>0.00396657766722108</v>
      </c>
      <c r="K70" t="s">
        <v>1226</v>
      </c>
      <c r="L70" t="s">
        <v>758</v>
      </c>
      <c r="M70" t="s">
        <v>411</v>
      </c>
      <c r="N70"/>
    </row>
    <row r="71">
      <c r="A71" t="s">
        <v>182</v>
      </c>
      <c r="B71" t="s">
        <v>55</v>
      </c>
      <c r="C71" t="n">
        <v>0.00990594912661431</v>
      </c>
      <c r="D71" t="n">
        <v>0.00606945922215199</v>
      </c>
      <c r="E71" t="n">
        <v>2.66374219776286</v>
      </c>
      <c r="F71" t="n">
        <v>0.102658951679761</v>
      </c>
      <c r="G71" t="s">
        <v>329</v>
      </c>
      <c r="H71" t="n">
        <v>0.00990594912661431</v>
      </c>
      <c r="I71" t="n">
        <v>-0.00199019094880359</v>
      </c>
      <c r="J71" t="n">
        <v>0.0218020892020322</v>
      </c>
      <c r="K71" t="s">
        <v>1227</v>
      </c>
      <c r="L71" t="s">
        <v>758</v>
      </c>
      <c r="M71" t="s">
        <v>411</v>
      </c>
      <c r="N71"/>
    </row>
    <row r="72">
      <c r="A72" t="s">
        <v>190</v>
      </c>
      <c r="B72" t="s">
        <v>328</v>
      </c>
      <c r="C72" t="n">
        <v>-0.0406979396462867</v>
      </c>
      <c r="D72" t="n">
        <v>0.0215728649852542</v>
      </c>
      <c r="E72" t="n">
        <v>3.55900989900714</v>
      </c>
      <c r="F72" t="n">
        <v>0.0592230537942624</v>
      </c>
      <c r="G72" t="s">
        <v>329</v>
      </c>
      <c r="H72" t="n">
        <v>-0.0406979396462867</v>
      </c>
      <c r="I72" t="n">
        <v>-0.0829807550173849</v>
      </c>
      <c r="J72" t="n">
        <v>0.00158487572481154</v>
      </c>
      <c r="K72" t="s">
        <v>1228</v>
      </c>
      <c r="L72" t="s">
        <v>758</v>
      </c>
      <c r="M72" t="s">
        <v>411</v>
      </c>
      <c r="N72"/>
    </row>
    <row r="73">
      <c r="A73" t="s">
        <v>190</v>
      </c>
      <c r="B73" t="s">
        <v>335</v>
      </c>
      <c r="C73" t="n">
        <v>0.0172047297067426</v>
      </c>
      <c r="D73" t="n">
        <v>0.00674579818293933</v>
      </c>
      <c r="E73" t="n">
        <v>6.50472618880246</v>
      </c>
      <c r="F73" t="n">
        <v>0.0107588130499913</v>
      </c>
      <c r="G73" t="s">
        <v>329</v>
      </c>
      <c r="H73" t="n">
        <v>0.0172047297067426</v>
      </c>
      <c r="I73" t="n">
        <v>0.00398296526818157</v>
      </c>
      <c r="J73" t="n">
        <v>0.0304264941453037</v>
      </c>
      <c r="K73" t="s">
        <v>1229</v>
      </c>
      <c r="L73" t="s">
        <v>758</v>
      </c>
      <c r="M73" t="s">
        <v>411</v>
      </c>
      <c r="N73"/>
    </row>
    <row r="74">
      <c r="A74" t="s">
        <v>190</v>
      </c>
      <c r="B74" t="s">
        <v>327</v>
      </c>
      <c r="C74" t="n">
        <v>0.000824875866586551</v>
      </c>
      <c r="D74" t="n">
        <v>0.000563259298526043</v>
      </c>
      <c r="E74" t="n">
        <v>2.14466989361322</v>
      </c>
      <c r="F74" t="n">
        <v>0.143065806037137</v>
      </c>
      <c r="G74" t="s">
        <v>329</v>
      </c>
      <c r="H74" t="n">
        <v>0.000824875866586551</v>
      </c>
      <c r="I74" t="n">
        <v>-0.000279112358524493</v>
      </c>
      <c r="J74" t="n">
        <v>0.0019288640916976</v>
      </c>
      <c r="K74" t="s">
        <v>1230</v>
      </c>
      <c r="L74" t="s">
        <v>758</v>
      </c>
      <c r="M74" t="s">
        <v>411</v>
      </c>
      <c r="N74"/>
    </row>
    <row r="75">
      <c r="A75" t="s">
        <v>190</v>
      </c>
      <c r="B75" t="s">
        <v>55</v>
      </c>
      <c r="C75" t="n">
        <v>-0.00346373239774664</v>
      </c>
      <c r="D75" t="n">
        <v>0.00211088956970109</v>
      </c>
      <c r="E75" t="n">
        <v>2.69251192593604</v>
      </c>
      <c r="F75" t="n">
        <v>0.100820761507266</v>
      </c>
      <c r="G75" t="s">
        <v>329</v>
      </c>
      <c r="H75" t="n">
        <v>-0.00346373239774664</v>
      </c>
      <c r="I75" t="n">
        <v>-0.00760107595436077</v>
      </c>
      <c r="J75" t="n">
        <v>0.00067361115886749</v>
      </c>
      <c r="K75" t="s">
        <v>903</v>
      </c>
      <c r="L75" t="s">
        <v>758</v>
      </c>
      <c r="M75" t="s">
        <v>411</v>
      </c>
      <c r="N75"/>
    </row>
    <row r="76">
      <c r="A76" t="s">
        <v>197</v>
      </c>
      <c r="B76" t="s">
        <v>328</v>
      </c>
      <c r="C76" t="n">
        <v>-0.0315603323050021</v>
      </c>
      <c r="D76" t="n">
        <v>0.0149685008776596</v>
      </c>
      <c r="E76" t="n">
        <v>4.44556045296884</v>
      </c>
      <c r="F76" t="n">
        <v>0.0349921028347058</v>
      </c>
      <c r="G76" t="s">
        <v>329</v>
      </c>
      <c r="H76" t="n">
        <v>-0.0315603323050021</v>
      </c>
      <c r="I76" t="n">
        <v>-0.0608985940252149</v>
      </c>
      <c r="J76" t="n">
        <v>-0.0022220705847892</v>
      </c>
      <c r="K76" t="s">
        <v>1231</v>
      </c>
      <c r="L76" t="s">
        <v>758</v>
      </c>
      <c r="M76" t="s">
        <v>411</v>
      </c>
      <c r="N76"/>
    </row>
    <row r="77">
      <c r="A77" t="s">
        <v>197</v>
      </c>
      <c r="B77" t="s">
        <v>335</v>
      </c>
      <c r="C77" t="n">
        <v>-0.00196796727138849</v>
      </c>
      <c r="D77" t="n">
        <v>0.00446513296754146</v>
      </c>
      <c r="E77" t="n">
        <v>0.194252649245173</v>
      </c>
      <c r="F77" t="n">
        <v>0.659400494392765</v>
      </c>
      <c r="G77" t="s">
        <v>329</v>
      </c>
      <c r="H77" t="n">
        <v>-0.00196796727138849</v>
      </c>
      <c r="I77" t="n">
        <v>-0.0107196278877698</v>
      </c>
      <c r="J77" t="n">
        <v>0.00678369334499278</v>
      </c>
      <c r="K77" t="s">
        <v>1232</v>
      </c>
      <c r="L77" t="s">
        <v>758</v>
      </c>
      <c r="M77" t="s">
        <v>411</v>
      </c>
      <c r="N77"/>
    </row>
    <row r="78">
      <c r="A78" t="s">
        <v>197</v>
      </c>
      <c r="B78" t="s">
        <v>327</v>
      </c>
      <c r="C78" t="n">
        <v>0.000208461554700781</v>
      </c>
      <c r="D78" t="n">
        <v>0.000386255866680873</v>
      </c>
      <c r="E78" t="n">
        <v>0.291274031708144</v>
      </c>
      <c r="F78" t="n">
        <v>0.589405255260882</v>
      </c>
      <c r="G78" t="s">
        <v>329</v>
      </c>
      <c r="H78" t="n">
        <v>0.000208461554700781</v>
      </c>
      <c r="I78" t="n">
        <v>-0.00054859994399373</v>
      </c>
      <c r="J78" t="n">
        <v>0.000965523053395292</v>
      </c>
      <c r="K78" t="s">
        <v>548</v>
      </c>
      <c r="L78" t="s">
        <v>758</v>
      </c>
      <c r="M78" t="s">
        <v>411</v>
      </c>
      <c r="N78"/>
    </row>
    <row r="79">
      <c r="A79" t="s">
        <v>197</v>
      </c>
      <c r="B79" t="s">
        <v>55</v>
      </c>
      <c r="C79" t="n">
        <v>-0.00240755994145558</v>
      </c>
      <c r="D79" t="n">
        <v>0.00140478274622867</v>
      </c>
      <c r="E79" t="n">
        <v>2.93721601995975</v>
      </c>
      <c r="F79" t="n">
        <v>0.0865598045362022</v>
      </c>
      <c r="G79" t="s">
        <v>329</v>
      </c>
      <c r="H79" t="n">
        <v>-0.00240755994145558</v>
      </c>
      <c r="I79" t="n">
        <v>-0.00516093412406379</v>
      </c>
      <c r="J79" t="n">
        <v>0.000345814241152618</v>
      </c>
      <c r="K79" t="s">
        <v>821</v>
      </c>
      <c r="L79" t="s">
        <v>758</v>
      </c>
      <c r="M79" t="s">
        <v>411</v>
      </c>
      <c r="N79"/>
    </row>
    <row r="80">
      <c r="A80" t="s">
        <v>205</v>
      </c>
      <c r="B80"/>
      <c r="C80"/>
      <c r="D80"/>
      <c r="E80"/>
      <c r="F80"/>
      <c r="G80"/>
      <c r="H80"/>
      <c r="I80"/>
      <c r="J80"/>
      <c r="K80"/>
      <c r="L80" t="s">
        <v>358</v>
      </c>
      <c r="M80"/>
      <c r="N80"/>
    </row>
    <row r="81">
      <c r="A81" t="s">
        <v>208</v>
      </c>
      <c r="B81"/>
      <c r="C81"/>
      <c r="D81"/>
      <c r="E81"/>
      <c r="F81"/>
      <c r="G81"/>
      <c r="H81"/>
      <c r="I81"/>
      <c r="J81"/>
      <c r="K81"/>
      <c r="L81" t="s">
        <v>358</v>
      </c>
      <c r="M81"/>
      <c r="N81"/>
    </row>
    <row r="82">
      <c r="A82" t="s">
        <v>392</v>
      </c>
      <c r="B82" t="s">
        <v>328</v>
      </c>
      <c r="C82" t="n">
        <v>-1.32414253760358</v>
      </c>
      <c r="D82" t="n">
        <v>0.896847291012461</v>
      </c>
      <c r="E82" t="n">
        <v>2.17987943045467</v>
      </c>
      <c r="F82" t="n">
        <v>0.139825415420185</v>
      </c>
      <c r="G82" t="s">
        <v>359</v>
      </c>
      <c r="H82" t="n">
        <v>0.266030972873856</v>
      </c>
      <c r="I82" t="n">
        <v>0.0458691166617081</v>
      </c>
      <c r="J82" t="n">
        <v>1.54292220297523</v>
      </c>
      <c r="K82" t="s">
        <v>1233</v>
      </c>
      <c r="L82" t="s">
        <v>775</v>
      </c>
      <c r="M82" t="s">
        <v>411</v>
      </c>
      <c r="N82"/>
    </row>
    <row r="83">
      <c r="A83" t="s">
        <v>392</v>
      </c>
      <c r="B83" t="s">
        <v>335</v>
      </c>
      <c r="C83" t="n">
        <v>1.69159625209076</v>
      </c>
      <c r="D83" t="n">
        <v>0.289694402600716</v>
      </c>
      <c r="E83" t="n">
        <v>34.0967684706769</v>
      </c>
      <c r="F83" t="n">
        <v>0.00000000524382781641464</v>
      </c>
      <c r="G83" t="s">
        <v>359</v>
      </c>
      <c r="H83" t="n">
        <v>5.42813847068744</v>
      </c>
      <c r="I83" t="n">
        <v>3.07650810903385</v>
      </c>
      <c r="J83" t="n">
        <v>9.57731499892265</v>
      </c>
      <c r="K83" t="s">
        <v>1234</v>
      </c>
      <c r="L83" t="s">
        <v>775</v>
      </c>
      <c r="M83" t="s">
        <v>411</v>
      </c>
      <c r="N83"/>
    </row>
    <row r="84">
      <c r="A84" t="s">
        <v>392</v>
      </c>
      <c r="B84" t="s">
        <v>327</v>
      </c>
      <c r="C84" t="n">
        <v>-0.0151730089939832</v>
      </c>
      <c r="D84" t="n">
        <v>0.0263957475943018</v>
      </c>
      <c r="E84" t="n">
        <v>0.330426976786484</v>
      </c>
      <c r="F84" t="n">
        <v>0.565407776780155</v>
      </c>
      <c r="G84" t="s">
        <v>359</v>
      </c>
      <c r="H84" t="n">
        <v>0.984941521119821</v>
      </c>
      <c r="I84" t="n">
        <v>0.935280612613051</v>
      </c>
      <c r="J84" t="n">
        <v>1.03723929154852</v>
      </c>
      <c r="K84" t="s">
        <v>1235</v>
      </c>
      <c r="L84" t="s">
        <v>775</v>
      </c>
      <c r="M84" t="s">
        <v>411</v>
      </c>
      <c r="N84"/>
    </row>
    <row r="85">
      <c r="A85" t="s">
        <v>392</v>
      </c>
      <c r="B85" t="s">
        <v>55</v>
      </c>
      <c r="C85" t="n">
        <v>-0.0382080306451597</v>
      </c>
      <c r="D85" t="n">
        <v>0.0854501371477486</v>
      </c>
      <c r="E85" t="n">
        <v>0.199932675926694</v>
      </c>
      <c r="F85" t="n">
        <v>0.654775193555535</v>
      </c>
      <c r="G85" t="s">
        <v>359</v>
      </c>
      <c r="H85" t="n">
        <v>0.962512687927101</v>
      </c>
      <c r="I85" t="n">
        <v>0.814085159863587</v>
      </c>
      <c r="J85" t="n">
        <v>1.13800216500187</v>
      </c>
      <c r="K85" t="s">
        <v>1236</v>
      </c>
      <c r="L85" t="s">
        <v>775</v>
      </c>
      <c r="M85" t="s">
        <v>411</v>
      </c>
      <c r="N85"/>
    </row>
    <row r="86">
      <c r="A86" t="s">
        <v>396</v>
      </c>
      <c r="B86" t="s">
        <v>328</v>
      </c>
      <c r="C86" t="n">
        <v>-6.17786911678752</v>
      </c>
      <c r="D86" t="n">
        <v>2.40907397685834</v>
      </c>
      <c r="E86" t="n">
        <v>6.5762321149375</v>
      </c>
      <c r="F86" t="n">
        <v>0.0103349435741085</v>
      </c>
      <c r="G86" t="s">
        <v>359</v>
      </c>
      <c r="H86" t="n">
        <v>0.00207484439849678</v>
      </c>
      <c r="I86" t="n">
        <v>0.0000184646195922333</v>
      </c>
      <c r="J86" t="n">
        <v>0.233147466508557</v>
      </c>
      <c r="K86" t="s">
        <v>1237</v>
      </c>
      <c r="L86" t="s">
        <v>775</v>
      </c>
      <c r="M86" t="s">
        <v>411</v>
      </c>
      <c r="N86"/>
    </row>
    <row r="87">
      <c r="A87" t="s">
        <v>396</v>
      </c>
      <c r="B87" t="s">
        <v>335</v>
      </c>
      <c r="C87" t="n">
        <v>0.748718379986192</v>
      </c>
      <c r="D87" t="n">
        <v>0.597950815294107</v>
      </c>
      <c r="E87" t="n">
        <v>1.56785561039228</v>
      </c>
      <c r="F87" t="n">
        <v>0.210518704527622</v>
      </c>
      <c r="G87" t="s">
        <v>359</v>
      </c>
      <c r="H87" t="n">
        <v>2.11428856491867</v>
      </c>
      <c r="I87" t="n">
        <v>0.654904917510542</v>
      </c>
      <c r="J87" t="n">
        <v>6.82574831280589</v>
      </c>
      <c r="K87" t="s">
        <v>1238</v>
      </c>
      <c r="L87" t="s">
        <v>775</v>
      </c>
      <c r="M87" t="s">
        <v>411</v>
      </c>
      <c r="N87"/>
    </row>
    <row r="88">
      <c r="A88" t="s">
        <v>396</v>
      </c>
      <c r="B88" t="s">
        <v>327</v>
      </c>
      <c r="C88" t="n">
        <v>0.0301798953568944</v>
      </c>
      <c r="D88" t="n">
        <v>0.0598364844841324</v>
      </c>
      <c r="E88" t="n">
        <v>0.254391923663745</v>
      </c>
      <c r="F88" t="n">
        <v>0.613999426671547</v>
      </c>
      <c r="G88" t="s">
        <v>359</v>
      </c>
      <c r="H88" t="n">
        <v>1.03063992461463</v>
      </c>
      <c r="I88" t="n">
        <v>0.916585786096214</v>
      </c>
      <c r="J88" t="n">
        <v>1.15888623882516</v>
      </c>
      <c r="K88" t="s">
        <v>1239</v>
      </c>
      <c r="L88" t="s">
        <v>775</v>
      </c>
      <c r="M88" t="s">
        <v>411</v>
      </c>
      <c r="N88"/>
    </row>
    <row r="89">
      <c r="A89" t="s">
        <v>396</v>
      </c>
      <c r="B89" t="s">
        <v>55</v>
      </c>
      <c r="C89" t="n">
        <v>-0.348498006685156</v>
      </c>
      <c r="D89" t="n">
        <v>0.252380977574964</v>
      </c>
      <c r="E89" t="n">
        <v>1.90672192450559</v>
      </c>
      <c r="F89" t="n">
        <v>0.167327847672464</v>
      </c>
      <c r="G89" t="s">
        <v>359</v>
      </c>
      <c r="H89" t="n">
        <v>0.705747321799138</v>
      </c>
      <c r="I89" t="n">
        <v>0.430346438935002</v>
      </c>
      <c r="J89" t="n">
        <v>1.1573914343506</v>
      </c>
      <c r="K89" t="s">
        <v>1240</v>
      </c>
      <c r="L89" t="s">
        <v>775</v>
      </c>
      <c r="M89" t="s">
        <v>411</v>
      </c>
      <c r="N89"/>
    </row>
    <row r="90">
      <c r="A90" t="s">
        <v>400</v>
      </c>
      <c r="B90"/>
      <c r="C90"/>
      <c r="D90"/>
      <c r="E90"/>
      <c r="F90"/>
      <c r="G90"/>
      <c r="H90"/>
      <c r="I90"/>
      <c r="J90"/>
      <c r="K90"/>
      <c r="L90" t="s">
        <v>369</v>
      </c>
      <c r="M90"/>
      <c r="N90"/>
    </row>
  </sheetData>
  <pageMargins left="0.7" right="0.7" top="0.75" bottom="0.75" header="0.3" footer="0.3"/>
  <pageSetup paperSize="9" orientation="portrait" horizontalDpi="300" verticalDpi="300" r:id="rId2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10" t="s">
        <v>492</v>
      </c>
    </row>
    <row r="3">
      <c r="A3" s="1" t="s">
        <v>1241</v>
      </c>
    </row>
    <row r="4">
      <c r="A4" t="s">
        <v>314</v>
      </c>
      <c r="B4" t="s">
        <v>494</v>
      </c>
      <c r="C4" t="s">
        <v>163</v>
      </c>
      <c r="D4" t="s">
        <v>495</v>
      </c>
      <c r="E4" t="s">
        <v>496</v>
      </c>
      <c r="F4" t="s">
        <v>1</v>
      </c>
    </row>
    <row r="5">
      <c r="A5" t="s">
        <v>165</v>
      </c>
      <c r="B5" t="s">
        <v>501</v>
      </c>
      <c r="C5" t="s">
        <v>1242</v>
      </c>
      <c r="D5" t="s">
        <v>1243</v>
      </c>
      <c r="E5" t="s">
        <v>1244</v>
      </c>
      <c r="F5" t="s">
        <v>107</v>
      </c>
    </row>
    <row r="6">
      <c r="A6" t="s">
        <v>174</v>
      </c>
      <c r="B6" t="s">
        <v>501</v>
      </c>
      <c r="C6" t="s">
        <v>1245</v>
      </c>
      <c r="D6" t="s">
        <v>512</v>
      </c>
      <c r="E6" t="s">
        <v>1244</v>
      </c>
      <c r="F6" t="s">
        <v>107</v>
      </c>
    </row>
    <row r="7">
      <c r="A7" t="s">
        <v>182</v>
      </c>
      <c r="B7" t="s">
        <v>501</v>
      </c>
      <c r="C7" t="s">
        <v>1246</v>
      </c>
      <c r="D7" t="s">
        <v>1247</v>
      </c>
      <c r="E7" t="s">
        <v>1244</v>
      </c>
      <c r="F7" t="s">
        <v>107</v>
      </c>
    </row>
    <row r="8">
      <c r="A8" t="s">
        <v>190</v>
      </c>
      <c r="B8" t="s">
        <v>501</v>
      </c>
      <c r="C8" t="s">
        <v>1248</v>
      </c>
      <c r="D8" t="s">
        <v>1249</v>
      </c>
      <c r="E8" t="s">
        <v>1244</v>
      </c>
      <c r="F8" t="s">
        <v>107</v>
      </c>
    </row>
    <row r="9">
      <c r="A9" t="s">
        <v>197</v>
      </c>
      <c r="B9" t="s">
        <v>501</v>
      </c>
      <c r="C9" t="s">
        <v>515</v>
      </c>
      <c r="D9" t="s">
        <v>1250</v>
      </c>
      <c r="E9" t="s">
        <v>1244</v>
      </c>
      <c r="F9" t="s">
        <v>107</v>
      </c>
    </row>
    <row r="10">
      <c r="A10" t="s">
        <v>205</v>
      </c>
      <c r="B10" t="s">
        <v>107</v>
      </c>
      <c r="C10" t="s">
        <v>107</v>
      </c>
      <c r="D10" t="s">
        <v>107</v>
      </c>
      <c r="E10"/>
      <c r="F10" t="s">
        <v>517</v>
      </c>
    </row>
    <row r="11">
      <c r="A11" t="s">
        <v>208</v>
      </c>
      <c r="B11" t="s">
        <v>107</v>
      </c>
      <c r="C11" t="s">
        <v>107</v>
      </c>
      <c r="D11" t="s">
        <v>107</v>
      </c>
      <c r="E11"/>
      <c r="F11" t="s">
        <v>517</v>
      </c>
    </row>
    <row r="12">
      <c r="A12" t="s">
        <v>392</v>
      </c>
      <c r="B12" t="s">
        <v>501</v>
      </c>
      <c r="C12" t="s">
        <v>1251</v>
      </c>
      <c r="D12" t="s">
        <v>50</v>
      </c>
      <c r="E12" t="s">
        <v>1252</v>
      </c>
      <c r="F12" t="s">
        <v>107</v>
      </c>
    </row>
    <row r="13">
      <c r="A13" t="s">
        <v>396</v>
      </c>
      <c r="B13" t="s">
        <v>501</v>
      </c>
      <c r="C13" t="s">
        <v>1253</v>
      </c>
      <c r="D13" t="s">
        <v>1254</v>
      </c>
      <c r="E13" t="s">
        <v>1255</v>
      </c>
      <c r="F13" t="s">
        <v>1256</v>
      </c>
    </row>
    <row r="14">
      <c r="A14" t="s">
        <v>400</v>
      </c>
      <c r="B14" t="s">
        <v>107</v>
      </c>
      <c r="C14" t="s">
        <v>107</v>
      </c>
      <c r="D14" t="s">
        <v>107</v>
      </c>
      <c r="E14"/>
      <c r="F14" t="s">
        <v>527</v>
      </c>
    </row>
    <row r="16">
      <c r="A16" s="1" t="s">
        <v>528</v>
      </c>
    </row>
    <row r="17">
      <c r="A17" t="s">
        <v>314</v>
      </c>
      <c r="B17" t="s">
        <v>315</v>
      </c>
      <c r="C17" t="s">
        <v>316</v>
      </c>
      <c r="D17" t="s">
        <v>317</v>
      </c>
      <c r="E17" t="s">
        <v>318</v>
      </c>
      <c r="F17" t="s">
        <v>319</v>
      </c>
      <c r="G17" t="s">
        <v>320</v>
      </c>
      <c r="H17" t="s">
        <v>321</v>
      </c>
      <c r="I17" t="s">
        <v>322</v>
      </c>
      <c r="J17" t="s">
        <v>323</v>
      </c>
      <c r="K17" t="s">
        <v>324</v>
      </c>
      <c r="L17" t="s">
        <v>325</v>
      </c>
    </row>
    <row r="18">
      <c r="A18" t="s">
        <v>165</v>
      </c>
      <c r="B18" t="s">
        <v>328</v>
      </c>
      <c r="C18" t="n">
        <v>56.0140351657795</v>
      </c>
      <c r="D18" t="n">
        <v>126.032939117918</v>
      </c>
      <c r="E18" t="n">
        <v>0.197526601192587</v>
      </c>
      <c r="F18" t="n">
        <v>0.65672475327721</v>
      </c>
      <c r="G18" t="s">
        <v>329</v>
      </c>
      <c r="H18" t="n">
        <v>56.0140351657795</v>
      </c>
      <c r="I18" t="n">
        <v>-191.01052550534</v>
      </c>
      <c r="J18" t="n">
        <v>303.038595836899</v>
      </c>
      <c r="K18" t="s">
        <v>1257</v>
      </c>
      <c r="L18" t="s">
        <v>888</v>
      </c>
    </row>
    <row r="19">
      <c r="A19" t="s">
        <v>165</v>
      </c>
      <c r="B19" t="s">
        <v>335</v>
      </c>
      <c r="C19" t="n">
        <v>-7.30128575313329</v>
      </c>
      <c r="D19" t="n">
        <v>11.129066976314</v>
      </c>
      <c r="E19" t="n">
        <v>0.430408837172406</v>
      </c>
      <c r="F19" t="n">
        <v>0.511788406251521</v>
      </c>
      <c r="G19" t="s">
        <v>329</v>
      </c>
      <c r="H19" t="n">
        <v>-7.30128575313329</v>
      </c>
      <c r="I19" t="n">
        <v>-29.1142570267088</v>
      </c>
      <c r="J19" t="n">
        <v>14.5116855204422</v>
      </c>
      <c r="K19" t="s">
        <v>1258</v>
      </c>
      <c r="L19" t="s">
        <v>888</v>
      </c>
    </row>
    <row r="20">
      <c r="A20" t="s">
        <v>165</v>
      </c>
      <c r="B20" t="s">
        <v>327</v>
      </c>
      <c r="C20" t="n">
        <v>0.132571767020057</v>
      </c>
      <c r="D20" t="n">
        <v>1.13712060180496</v>
      </c>
      <c r="E20" t="n">
        <v>0.0135921773950347</v>
      </c>
      <c r="F20" t="n">
        <v>0.907188533492193</v>
      </c>
      <c r="G20" t="s">
        <v>329</v>
      </c>
      <c r="H20" t="n">
        <v>0.132571767020057</v>
      </c>
      <c r="I20" t="n">
        <v>-2.09618461251767</v>
      </c>
      <c r="J20" t="n">
        <v>2.36132814655778</v>
      </c>
      <c r="K20" t="s">
        <v>1259</v>
      </c>
      <c r="L20" t="s">
        <v>888</v>
      </c>
    </row>
    <row r="21">
      <c r="A21" t="s">
        <v>165</v>
      </c>
      <c r="B21" t="s">
        <v>55</v>
      </c>
      <c r="C21" t="n">
        <v>-3.80409928011062</v>
      </c>
      <c r="D21" t="n">
        <v>3.06196706571077</v>
      </c>
      <c r="E21" t="n">
        <v>1.5434858596506</v>
      </c>
      <c r="F21" t="n">
        <v>0.214099686835547</v>
      </c>
      <c r="G21" t="s">
        <v>329</v>
      </c>
      <c r="H21" t="n">
        <v>-3.80409928011062</v>
      </c>
      <c r="I21" t="n">
        <v>-9.80555472890372</v>
      </c>
      <c r="J21" t="n">
        <v>2.19735616868249</v>
      </c>
      <c r="K21" t="s">
        <v>1260</v>
      </c>
      <c r="L21" t="s">
        <v>888</v>
      </c>
    </row>
    <row r="22">
      <c r="A22" t="s">
        <v>165</v>
      </c>
      <c r="B22" t="s">
        <v>89</v>
      </c>
      <c r="C22" t="n">
        <v>0.210445323420411</v>
      </c>
      <c r="D22" t="n">
        <v>0.222455351447397</v>
      </c>
      <c r="E22" t="n">
        <v>0.894937781220688</v>
      </c>
      <c r="F22" t="n">
        <v>0.344142714476577</v>
      </c>
      <c r="G22" t="s">
        <v>329</v>
      </c>
      <c r="H22" t="n">
        <v>0.210445323420411</v>
      </c>
      <c r="I22" t="n">
        <v>-0.225567165416486</v>
      </c>
      <c r="J22" t="n">
        <v>0.646457812257308</v>
      </c>
      <c r="K22" t="s">
        <v>1261</v>
      </c>
      <c r="L22" t="s">
        <v>888</v>
      </c>
    </row>
    <row r="23">
      <c r="A23" t="s">
        <v>174</v>
      </c>
      <c r="B23" t="s">
        <v>328</v>
      </c>
      <c r="C23" t="n">
        <v>-0.11994598084575</v>
      </c>
      <c r="D23" t="n">
        <v>0.413534162010231</v>
      </c>
      <c r="E23" t="n">
        <v>0.0841295596240152</v>
      </c>
      <c r="F23" t="n">
        <v>0.77177725170581</v>
      </c>
      <c r="G23" t="s">
        <v>329</v>
      </c>
      <c r="H23" t="n">
        <v>-0.11994598084575</v>
      </c>
      <c r="I23" t="n">
        <v>-0.930472938385802</v>
      </c>
      <c r="J23" t="n">
        <v>0.690580976694302</v>
      </c>
      <c r="K23" t="s">
        <v>1262</v>
      </c>
      <c r="L23" t="s">
        <v>888</v>
      </c>
    </row>
    <row r="24">
      <c r="A24" t="s">
        <v>174</v>
      </c>
      <c r="B24" t="s">
        <v>335</v>
      </c>
      <c r="C24" t="n">
        <v>-0.147868073651687</v>
      </c>
      <c r="D24" t="n">
        <v>0.0455669674579929</v>
      </c>
      <c r="E24" t="n">
        <v>10.5304899249394</v>
      </c>
      <c r="F24" t="n">
        <v>0.00117421080488311</v>
      </c>
      <c r="G24" t="s">
        <v>329</v>
      </c>
      <c r="H24" t="n">
        <v>-0.147868073651687</v>
      </c>
      <c r="I24" t="n">
        <v>-0.237179329869353</v>
      </c>
      <c r="J24" t="n">
        <v>-0.058556817434021</v>
      </c>
      <c r="K24" t="s">
        <v>1221</v>
      </c>
      <c r="L24" t="s">
        <v>888</v>
      </c>
    </row>
    <row r="25">
      <c r="A25" t="s">
        <v>174</v>
      </c>
      <c r="B25" t="s">
        <v>327</v>
      </c>
      <c r="C25" t="n">
        <v>-0.000243769471755162</v>
      </c>
      <c r="D25" t="n">
        <v>0.00420285324411605</v>
      </c>
      <c r="E25" t="n">
        <v>0.00336410994934512</v>
      </c>
      <c r="F25" t="n">
        <v>0.953747873539234</v>
      </c>
      <c r="G25" t="s">
        <v>329</v>
      </c>
      <c r="H25" t="n">
        <v>-0.000243769471755162</v>
      </c>
      <c r="I25" t="n">
        <v>-0.00848136183022261</v>
      </c>
      <c r="J25" t="n">
        <v>0.00799382288671229</v>
      </c>
      <c r="K25" t="s">
        <v>1222</v>
      </c>
      <c r="L25" t="s">
        <v>888</v>
      </c>
    </row>
    <row r="26">
      <c r="A26" t="s">
        <v>174</v>
      </c>
      <c r="B26" t="s">
        <v>55</v>
      </c>
      <c r="C26" t="n">
        <v>0.00438990536457155</v>
      </c>
      <c r="D26" t="n">
        <v>0.0134316792926515</v>
      </c>
      <c r="E26" t="n">
        <v>0.106819290444227</v>
      </c>
      <c r="F26" t="n">
        <v>0.743794799579608</v>
      </c>
      <c r="G26" t="s">
        <v>329</v>
      </c>
      <c r="H26" t="n">
        <v>0.00438990536457155</v>
      </c>
      <c r="I26" t="n">
        <v>-0.0219361860490254</v>
      </c>
      <c r="J26" t="n">
        <v>0.0307159967781685</v>
      </c>
      <c r="K26" t="s">
        <v>1263</v>
      </c>
      <c r="L26" t="s">
        <v>888</v>
      </c>
    </row>
    <row r="27">
      <c r="A27" t="s">
        <v>174</v>
      </c>
      <c r="B27" t="s">
        <v>89</v>
      </c>
      <c r="C27" t="n">
        <v>0.00029230418097527</v>
      </c>
      <c r="D27" t="n">
        <v>0.000754737044781575</v>
      </c>
      <c r="E27" t="n">
        <v>0.149995669455872</v>
      </c>
      <c r="F27" t="n">
        <v>0.698539496760113</v>
      </c>
      <c r="G27" t="s">
        <v>329</v>
      </c>
      <c r="H27" t="n">
        <v>0.00029230418097527</v>
      </c>
      <c r="I27" t="n">
        <v>-0.00118698042679662</v>
      </c>
      <c r="J27" t="n">
        <v>0.00177158878874716</v>
      </c>
      <c r="K27" t="s">
        <v>1264</v>
      </c>
      <c r="L27" t="s">
        <v>888</v>
      </c>
    </row>
    <row r="28">
      <c r="A28" t="s">
        <v>182</v>
      </c>
      <c r="B28" t="s">
        <v>328</v>
      </c>
      <c r="C28" t="n">
        <v>0.187238221611918</v>
      </c>
      <c r="D28" t="n">
        <v>0.245222982731533</v>
      </c>
      <c r="E28" t="n">
        <v>0.582997475117995</v>
      </c>
      <c r="F28" t="n">
        <v>0.445139799042911</v>
      </c>
      <c r="G28" t="s">
        <v>329</v>
      </c>
      <c r="H28" t="n">
        <v>0.187238221611918</v>
      </c>
      <c r="I28" t="n">
        <v>-0.293398824541887</v>
      </c>
      <c r="J28" t="n">
        <v>0.667875267765722</v>
      </c>
      <c r="K28" t="s">
        <v>1265</v>
      </c>
      <c r="L28" t="s">
        <v>888</v>
      </c>
    </row>
    <row r="29">
      <c r="A29" t="s">
        <v>182</v>
      </c>
      <c r="B29" t="s">
        <v>335</v>
      </c>
      <c r="C29" t="n">
        <v>-0.0075202867060881</v>
      </c>
      <c r="D29" t="n">
        <v>0.0232963957403454</v>
      </c>
      <c r="E29" t="n">
        <v>0.104205664158661</v>
      </c>
      <c r="F29" t="n">
        <v>0.746839880558474</v>
      </c>
      <c r="G29" t="s">
        <v>329</v>
      </c>
      <c r="H29" t="n">
        <v>-0.0075202867060881</v>
      </c>
      <c r="I29" t="n">
        <v>-0.0531812223571651</v>
      </c>
      <c r="J29" t="n">
        <v>0.0381406489449889</v>
      </c>
      <c r="K29" t="s">
        <v>1266</v>
      </c>
      <c r="L29" t="s">
        <v>888</v>
      </c>
    </row>
    <row r="30">
      <c r="A30" t="s">
        <v>182</v>
      </c>
      <c r="B30" t="s">
        <v>327</v>
      </c>
      <c r="C30" t="n">
        <v>0.000293657149786683</v>
      </c>
      <c r="D30" t="n">
        <v>0.00201793612111318</v>
      </c>
      <c r="E30" t="n">
        <v>0.0211770923213492</v>
      </c>
      <c r="F30" t="n">
        <v>0.884297554054287</v>
      </c>
      <c r="G30" t="s">
        <v>329</v>
      </c>
      <c r="H30" t="n">
        <v>0.000293657149786683</v>
      </c>
      <c r="I30" t="n">
        <v>-0.00366149764759515</v>
      </c>
      <c r="J30" t="n">
        <v>0.00424881194716852</v>
      </c>
      <c r="K30" t="s">
        <v>1226</v>
      </c>
      <c r="L30" t="s">
        <v>888</v>
      </c>
    </row>
    <row r="31">
      <c r="A31" t="s">
        <v>182</v>
      </c>
      <c r="B31" t="s">
        <v>55</v>
      </c>
      <c r="C31" t="n">
        <v>0.00934757150806564</v>
      </c>
      <c r="D31" t="n">
        <v>0.00616159165844974</v>
      </c>
      <c r="E31" t="n">
        <v>2.30150416750354</v>
      </c>
      <c r="F31" t="n">
        <v>0.129248780072071</v>
      </c>
      <c r="G31" t="s">
        <v>329</v>
      </c>
      <c r="H31" t="n">
        <v>0.00934757150806564</v>
      </c>
      <c r="I31" t="n">
        <v>-0.00272914814249585</v>
      </c>
      <c r="J31" t="n">
        <v>0.0214242911586271</v>
      </c>
      <c r="K31" t="s">
        <v>1267</v>
      </c>
      <c r="L31" t="s">
        <v>888</v>
      </c>
    </row>
    <row r="32">
      <c r="A32" t="s">
        <v>182</v>
      </c>
      <c r="B32" t="s">
        <v>89</v>
      </c>
      <c r="C32" t="n">
        <v>-0.000682536073995284</v>
      </c>
      <c r="D32" t="n">
        <v>0.000443216825320314</v>
      </c>
      <c r="E32" t="n">
        <v>2.37147604884819</v>
      </c>
      <c r="F32" t="n">
        <v>0.123570163505855</v>
      </c>
      <c r="G32" t="s">
        <v>329</v>
      </c>
      <c r="H32" t="n">
        <v>-0.000682536073995284</v>
      </c>
      <c r="I32" t="n">
        <v>-0.0015512410516231</v>
      </c>
      <c r="J32" t="n">
        <v>0.000186168903632532</v>
      </c>
      <c r="K32" t="s">
        <v>905</v>
      </c>
      <c r="L32" t="s">
        <v>888</v>
      </c>
    </row>
    <row r="33">
      <c r="A33" t="s">
        <v>190</v>
      </c>
      <c r="B33" t="s">
        <v>328</v>
      </c>
      <c r="C33" t="n">
        <v>-0.0710834425640331</v>
      </c>
      <c r="D33" t="n">
        <v>0.0709498577914855</v>
      </c>
      <c r="E33" t="n">
        <v>1.00376915567621</v>
      </c>
      <c r="F33" t="n">
        <v>0.316400198083765</v>
      </c>
      <c r="G33" t="s">
        <v>329</v>
      </c>
      <c r="H33" t="n">
        <v>-0.0710834425640331</v>
      </c>
      <c r="I33" t="n">
        <v>-0.210145163835345</v>
      </c>
      <c r="J33" t="n">
        <v>0.0679782787072784</v>
      </c>
      <c r="K33" t="s">
        <v>1268</v>
      </c>
      <c r="L33" t="s">
        <v>888</v>
      </c>
    </row>
    <row r="34">
      <c r="A34" t="s">
        <v>190</v>
      </c>
      <c r="B34" t="s">
        <v>335</v>
      </c>
      <c r="C34" t="n">
        <v>0.0172466270730957</v>
      </c>
      <c r="D34" t="n">
        <v>0.00678249129993159</v>
      </c>
      <c r="E34" t="n">
        <v>6.46591296674178</v>
      </c>
      <c r="F34" t="n">
        <v>0.010996313382409</v>
      </c>
      <c r="G34" t="s">
        <v>329</v>
      </c>
      <c r="H34" t="n">
        <v>0.0172466270730957</v>
      </c>
      <c r="I34" t="n">
        <v>0.00395294412522982</v>
      </c>
      <c r="J34" t="n">
        <v>0.0305403100209617</v>
      </c>
      <c r="K34" t="s">
        <v>1167</v>
      </c>
      <c r="L34" t="s">
        <v>888</v>
      </c>
    </row>
    <row r="35">
      <c r="A35" t="s">
        <v>190</v>
      </c>
      <c r="B35" t="s">
        <v>327</v>
      </c>
      <c r="C35" t="n">
        <v>0.000790875347750405</v>
      </c>
      <c r="D35" t="n">
        <v>0.000569124104619737</v>
      </c>
      <c r="E35" t="n">
        <v>1.93108822960287</v>
      </c>
      <c r="F35" t="n">
        <v>0.164639436272888</v>
      </c>
      <c r="G35" t="s">
        <v>329</v>
      </c>
      <c r="H35" t="n">
        <v>0.000790875347750405</v>
      </c>
      <c r="I35" t="n">
        <v>-0.00032460789730428</v>
      </c>
      <c r="J35" t="n">
        <v>0.00190635859280509</v>
      </c>
      <c r="K35" t="s">
        <v>1230</v>
      </c>
      <c r="L35" t="s">
        <v>888</v>
      </c>
    </row>
    <row r="36">
      <c r="A36" t="s">
        <v>190</v>
      </c>
      <c r="B36" t="s">
        <v>55</v>
      </c>
      <c r="C36" t="n">
        <v>-0.00341555390138657</v>
      </c>
      <c r="D36" t="n">
        <v>0.00212524695924247</v>
      </c>
      <c r="E36" t="n">
        <v>2.58287554204668</v>
      </c>
      <c r="F36" t="n">
        <v>0.108025259588029</v>
      </c>
      <c r="G36" t="s">
        <v>329</v>
      </c>
      <c r="H36" t="n">
        <v>-0.00341555390138657</v>
      </c>
      <c r="I36" t="n">
        <v>-0.00758103794150181</v>
      </c>
      <c r="J36" t="n">
        <v>0.000749930138728667</v>
      </c>
      <c r="K36" t="s">
        <v>903</v>
      </c>
      <c r="L36" t="s">
        <v>888</v>
      </c>
    </row>
    <row r="37">
      <c r="A37" t="s">
        <v>190</v>
      </c>
      <c r="B37" t="s">
        <v>89</v>
      </c>
      <c r="C37" t="n">
        <v>0.0000588912604378149</v>
      </c>
      <c r="D37" t="n">
        <v>0.000129814622530221</v>
      </c>
      <c r="E37" t="n">
        <v>0.205804311775251</v>
      </c>
      <c r="F37" t="n">
        <v>0.650076007866396</v>
      </c>
      <c r="G37" t="s">
        <v>329</v>
      </c>
      <c r="H37" t="n">
        <v>0.0000588912604378149</v>
      </c>
      <c r="I37" t="n">
        <v>-0.000195545399721417</v>
      </c>
      <c r="J37" t="n">
        <v>0.000313327920597047</v>
      </c>
      <c r="K37" t="s">
        <v>549</v>
      </c>
      <c r="L37" t="s">
        <v>888</v>
      </c>
    </row>
    <row r="38">
      <c r="A38" t="s">
        <v>197</v>
      </c>
      <c r="B38" t="s">
        <v>328</v>
      </c>
      <c r="C38" t="n">
        <v>-0.0593035579045607</v>
      </c>
      <c r="D38" t="n">
        <v>0.045689031042995</v>
      </c>
      <c r="E38" t="n">
        <v>1.68475829580635</v>
      </c>
      <c r="F38" t="n">
        <v>0.19429338487932</v>
      </c>
      <c r="G38" t="s">
        <v>329</v>
      </c>
      <c r="H38" t="n">
        <v>-0.0593035579045607</v>
      </c>
      <c r="I38" t="n">
        <v>-0.148854058748831</v>
      </c>
      <c r="J38" t="n">
        <v>0.0302469429397094</v>
      </c>
      <c r="K38" t="s">
        <v>1269</v>
      </c>
      <c r="L38" t="s">
        <v>888</v>
      </c>
    </row>
    <row r="39">
      <c r="A39" t="s">
        <v>197</v>
      </c>
      <c r="B39" t="s">
        <v>335</v>
      </c>
      <c r="C39" t="n">
        <v>-0.00192971323656446</v>
      </c>
      <c r="D39" t="n">
        <v>0.0044820538601465</v>
      </c>
      <c r="E39" t="n">
        <v>0.185366568132764</v>
      </c>
      <c r="F39" t="n">
        <v>0.666801291230283</v>
      </c>
      <c r="G39" t="s">
        <v>329</v>
      </c>
      <c r="H39" t="n">
        <v>-0.00192971323656446</v>
      </c>
      <c r="I39" t="n">
        <v>-0.0107145388024516</v>
      </c>
      <c r="J39" t="n">
        <v>0.00685511232932268</v>
      </c>
      <c r="K39" t="s">
        <v>1232</v>
      </c>
      <c r="L39" t="s">
        <v>888</v>
      </c>
    </row>
    <row r="40">
      <c r="A40" t="s">
        <v>197</v>
      </c>
      <c r="B40" t="s">
        <v>327</v>
      </c>
      <c r="C40" t="n">
        <v>0.000177417669492536</v>
      </c>
      <c r="D40" t="n">
        <v>0.000388930482957867</v>
      </c>
      <c r="E40" t="n">
        <v>0.20808931211631</v>
      </c>
      <c r="F40" t="n">
        <v>0.648269121079301</v>
      </c>
      <c r="G40" t="s">
        <v>329</v>
      </c>
      <c r="H40" t="n">
        <v>0.000177417669492536</v>
      </c>
      <c r="I40" t="n">
        <v>-0.000584886077104883</v>
      </c>
      <c r="J40" t="n">
        <v>0.000939721416089955</v>
      </c>
      <c r="K40" t="s">
        <v>548</v>
      </c>
      <c r="L40" t="s">
        <v>888</v>
      </c>
    </row>
    <row r="41">
      <c r="A41" t="s">
        <v>197</v>
      </c>
      <c r="B41" t="s">
        <v>55</v>
      </c>
      <c r="C41" t="n">
        <v>-0.00236357097417789</v>
      </c>
      <c r="D41" t="n">
        <v>0.00141069998288305</v>
      </c>
      <c r="E41" t="n">
        <v>2.80716521598385</v>
      </c>
      <c r="F41" t="n">
        <v>0.0938440711530231</v>
      </c>
      <c r="G41" t="s">
        <v>329</v>
      </c>
      <c r="H41" t="n">
        <v>-0.00236357097417789</v>
      </c>
      <c r="I41" t="n">
        <v>-0.00512854294062867</v>
      </c>
      <c r="J41" t="n">
        <v>0.000401400992272886</v>
      </c>
      <c r="K41" t="s">
        <v>821</v>
      </c>
      <c r="L41" t="s">
        <v>888</v>
      </c>
    </row>
    <row r="42">
      <c r="A42" t="s">
        <v>197</v>
      </c>
      <c r="B42" t="s">
        <v>89</v>
      </c>
      <c r="C42" t="n">
        <v>0.0000537701656145517</v>
      </c>
      <c r="D42" t="n">
        <v>0.0000832871305570829</v>
      </c>
      <c r="E42" t="n">
        <v>0.416799268949347</v>
      </c>
      <c r="F42" t="n">
        <v>0.518538483027666</v>
      </c>
      <c r="G42" t="s">
        <v>329</v>
      </c>
      <c r="H42" t="n">
        <v>0.0000537701656145517</v>
      </c>
      <c r="I42" t="n">
        <v>-0.000109472610277331</v>
      </c>
      <c r="J42" t="n">
        <v>0.000217012941506434</v>
      </c>
      <c r="K42" t="s">
        <v>549</v>
      </c>
      <c r="L42" t="s">
        <v>888</v>
      </c>
    </row>
    <row r="43">
      <c r="A43" t="s">
        <v>392</v>
      </c>
      <c r="B43" t="s">
        <v>328</v>
      </c>
      <c r="C43" t="n">
        <v>-0.920358774183437</v>
      </c>
      <c r="D43" t="n">
        <v>3.39335421220867</v>
      </c>
      <c r="E43" t="n">
        <v>0.0735624056363572</v>
      </c>
      <c r="F43" t="n">
        <v>0.786218829715465</v>
      </c>
      <c r="G43" t="s">
        <v>359</v>
      </c>
      <c r="H43" t="n">
        <v>0.398376088386367</v>
      </c>
      <c r="I43" t="n">
        <v>0.000515005473030958</v>
      </c>
      <c r="J43" t="n">
        <v>308.158876184375</v>
      </c>
      <c r="K43" t="s">
        <v>1270</v>
      </c>
      <c r="L43" t="s">
        <v>909</v>
      </c>
    </row>
    <row r="44">
      <c r="A44" t="s">
        <v>392</v>
      </c>
      <c r="B44" t="s">
        <v>335</v>
      </c>
      <c r="C44" t="n">
        <v>1.69130506157689</v>
      </c>
      <c r="D44" t="n">
        <v>0.290005990684528</v>
      </c>
      <c r="E44" t="n">
        <v>34.0118267860022</v>
      </c>
      <c r="F44" t="n">
        <v>0.00000000547781009441195</v>
      </c>
      <c r="G44" t="s">
        <v>359</v>
      </c>
      <c r="H44" t="n">
        <v>5.42655807836562</v>
      </c>
      <c r="I44" t="n">
        <v>3.07373464753911</v>
      </c>
      <c r="J44" t="n">
        <v>9.58037565196181</v>
      </c>
      <c r="K44" t="s">
        <v>1271</v>
      </c>
      <c r="L44" t="s">
        <v>909</v>
      </c>
    </row>
    <row r="45">
      <c r="A45" t="s">
        <v>392</v>
      </c>
      <c r="B45" t="s">
        <v>327</v>
      </c>
      <c r="C45" t="n">
        <v>-0.0148782674618676</v>
      </c>
      <c r="D45" t="n">
        <v>0.0267168141630961</v>
      </c>
      <c r="E45" t="n">
        <v>0.31012400509573</v>
      </c>
      <c r="F45" t="n">
        <v>0.577604100836083</v>
      </c>
      <c r="G45" t="s">
        <v>359</v>
      </c>
      <c r="H45" t="n">
        <v>0.985231867079205</v>
      </c>
      <c r="I45" t="n">
        <v>0.934967767806822</v>
      </c>
      <c r="J45" t="n">
        <v>1.03819817680489</v>
      </c>
      <c r="K45" t="s">
        <v>1272</v>
      </c>
      <c r="L45" t="s">
        <v>909</v>
      </c>
    </row>
    <row r="46">
      <c r="A46" t="s">
        <v>392</v>
      </c>
      <c r="B46" t="s">
        <v>55</v>
      </c>
      <c r="C46" t="n">
        <v>-0.0386455365339068</v>
      </c>
      <c r="D46" t="n">
        <v>0.0849492141459842</v>
      </c>
      <c r="E46" t="n">
        <v>0.206956919373253</v>
      </c>
      <c r="F46" t="n">
        <v>0.649163067104119</v>
      </c>
      <c r="G46" t="s">
        <v>359</v>
      </c>
      <c r="H46" t="n">
        <v>0.962091675062659</v>
      </c>
      <c r="I46" t="n">
        <v>0.814528389631614</v>
      </c>
      <c r="J46" t="n">
        <v>1.13638812717566</v>
      </c>
      <c r="K46" t="s">
        <v>1273</v>
      </c>
      <c r="L46" t="s">
        <v>909</v>
      </c>
    </row>
    <row r="47">
      <c r="A47" t="s">
        <v>392</v>
      </c>
      <c r="B47" t="s">
        <v>89</v>
      </c>
      <c r="C47" t="n">
        <v>-0.00077154762773401</v>
      </c>
      <c r="D47" t="n">
        <v>0.00630179504547854</v>
      </c>
      <c r="E47" t="n">
        <v>0.0149898377377718</v>
      </c>
      <c r="F47" t="n">
        <v>0.902556110536695</v>
      </c>
      <c r="G47" t="s">
        <v>359</v>
      </c>
      <c r="H47" t="n">
        <v>0.999228749938603</v>
      </c>
      <c r="I47" t="n">
        <v>0.986962666080678</v>
      </c>
      <c r="J47" t="n">
        <v>1.01164727807672</v>
      </c>
      <c r="K47" t="s">
        <v>1274</v>
      </c>
      <c r="L47" t="s">
        <v>909</v>
      </c>
    </row>
    <row r="48">
      <c r="A48" t="s">
        <v>396</v>
      </c>
      <c r="B48" t="s">
        <v>328</v>
      </c>
      <c r="C48" t="n">
        <v>2.58025848033528</v>
      </c>
      <c r="D48" t="n">
        <v>5.04176695687069</v>
      </c>
      <c r="E48" t="n">
        <v>0.261915314528065</v>
      </c>
      <c r="F48" t="n">
        <v>0.608807351116151</v>
      </c>
      <c r="G48" t="s">
        <v>359</v>
      </c>
      <c r="H48" t="n">
        <v>13.2005498012567</v>
      </c>
      <c r="I48" t="n">
        <v>0.000674455570249778</v>
      </c>
      <c r="J48" t="n">
        <v>258363.223230441</v>
      </c>
      <c r="K48" t="s">
        <v>1275</v>
      </c>
      <c r="L48" t="s">
        <v>909</v>
      </c>
    </row>
    <row r="49">
      <c r="A49" t="s">
        <v>396</v>
      </c>
      <c r="B49" t="s">
        <v>335</v>
      </c>
      <c r="C49" t="n">
        <v>0.719167630083383</v>
      </c>
      <c r="D49" t="n">
        <v>0.614400954744282</v>
      </c>
      <c r="E49" t="n">
        <v>1.37011335361143</v>
      </c>
      <c r="F49" t="n">
        <v>0.241792408943598</v>
      </c>
      <c r="G49" t="s">
        <v>359</v>
      </c>
      <c r="H49" t="n">
        <v>2.05272387374265</v>
      </c>
      <c r="I49" t="n">
        <v>0.615661338855435</v>
      </c>
      <c r="J49" t="n">
        <v>6.84414472032073</v>
      </c>
      <c r="K49" t="s">
        <v>1276</v>
      </c>
      <c r="L49" t="s">
        <v>909</v>
      </c>
    </row>
    <row r="50">
      <c r="A50" t="s">
        <v>396</v>
      </c>
      <c r="B50" t="s">
        <v>327</v>
      </c>
      <c r="C50" t="n">
        <v>0.0371424246065072</v>
      </c>
      <c r="D50" t="n">
        <v>0.0640488626485313</v>
      </c>
      <c r="E50" t="n">
        <v>0.336292867730875</v>
      </c>
      <c r="F50" t="n">
        <v>0.561976905204934</v>
      </c>
      <c r="G50" t="s">
        <v>359</v>
      </c>
      <c r="H50" t="n">
        <v>1.03784082438351</v>
      </c>
      <c r="I50" t="n">
        <v>0.91540073651098</v>
      </c>
      <c r="J50" t="n">
        <v>1.17665797480393</v>
      </c>
      <c r="K50" t="s">
        <v>1277</v>
      </c>
      <c r="L50" t="s">
        <v>909</v>
      </c>
    </row>
    <row r="51">
      <c r="A51" t="s">
        <v>396</v>
      </c>
      <c r="B51" t="s">
        <v>55</v>
      </c>
      <c r="C51" t="n">
        <v>-0.368659224096929</v>
      </c>
      <c r="D51" t="n">
        <v>0.261077734092025</v>
      </c>
      <c r="E51" t="n">
        <v>1.99393290258451</v>
      </c>
      <c r="F51" t="n">
        <v>0.157930266614177</v>
      </c>
      <c r="G51" t="s">
        <v>359</v>
      </c>
      <c r="H51" t="n">
        <v>0.691661071720521</v>
      </c>
      <c r="I51" t="n">
        <v>0.414628814069006</v>
      </c>
      <c r="J51" t="n">
        <v>1.15379110640864</v>
      </c>
      <c r="K51" t="s">
        <v>1278</v>
      </c>
      <c r="L51" t="s">
        <v>909</v>
      </c>
    </row>
    <row r="52">
      <c r="A52" t="s">
        <v>396</v>
      </c>
      <c r="B52" t="s">
        <v>89</v>
      </c>
      <c r="C52" t="n">
        <v>-0.0169888453085297</v>
      </c>
      <c r="D52" t="n">
        <v>0.00886990693910863</v>
      </c>
      <c r="E52" t="n">
        <v>3.66850906972421</v>
      </c>
      <c r="F52" t="n">
        <v>0.0554497645781054</v>
      </c>
      <c r="G52" t="s">
        <v>359</v>
      </c>
      <c r="H52" t="n">
        <v>0.983154651360548</v>
      </c>
      <c r="I52" t="n">
        <v>0.966210206944961</v>
      </c>
      <c r="J52" t="n">
        <v>1.00039625077873</v>
      </c>
      <c r="K52" t="s">
        <v>1279</v>
      </c>
      <c r="L52" t="s">
        <v>909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10" t="s">
        <v>1280</v>
      </c>
    </row>
    <row r="3">
      <c r="A3" s="1" t="s">
        <v>920</v>
      </c>
    </row>
    <row r="4">
      <c r="A4" t="s">
        <v>37</v>
      </c>
      <c r="B4" t="s">
        <v>1281</v>
      </c>
      <c r="C4" t="s">
        <v>1282</v>
      </c>
      <c r="D4" t="s">
        <v>41</v>
      </c>
      <c r="E4" t="s">
        <v>42</v>
      </c>
      <c r="F4" t="s">
        <v>43</v>
      </c>
      <c r="G4" t="s">
        <v>44</v>
      </c>
      <c r="H4" t="s">
        <v>45</v>
      </c>
    </row>
    <row r="5">
      <c r="A5" t="s">
        <v>46</v>
      </c>
      <c r="B5" t="s">
        <v>1283</v>
      </c>
      <c r="C5" t="s">
        <v>49</v>
      </c>
      <c r="D5" t="s">
        <v>1284</v>
      </c>
      <c r="E5" t="s">
        <v>926</v>
      </c>
      <c r="F5" t="s">
        <v>927</v>
      </c>
      <c r="G5" t="s">
        <v>1285</v>
      </c>
      <c r="H5" t="s">
        <v>1286</v>
      </c>
    </row>
    <row r="6">
      <c r="A6" t="s">
        <v>55</v>
      </c>
      <c r="B6" t="s">
        <v>1287</v>
      </c>
      <c r="C6" t="s">
        <v>1288</v>
      </c>
      <c r="D6" t="s">
        <v>1289</v>
      </c>
      <c r="E6" t="s">
        <v>926</v>
      </c>
      <c r="F6" t="s">
        <v>927</v>
      </c>
      <c r="G6" t="s">
        <v>1290</v>
      </c>
      <c r="H6" t="s">
        <v>1289</v>
      </c>
    </row>
    <row r="7">
      <c r="A7" t="s">
        <v>62</v>
      </c>
      <c r="B7" t="s">
        <v>1291</v>
      </c>
      <c r="C7" t="s">
        <v>1292</v>
      </c>
      <c r="D7" t="s">
        <v>1293</v>
      </c>
      <c r="E7" t="s">
        <v>926</v>
      </c>
      <c r="F7" t="s">
        <v>927</v>
      </c>
      <c r="G7" t="s">
        <v>1294</v>
      </c>
      <c r="H7" t="s">
        <v>1293</v>
      </c>
    </row>
    <row r="8">
      <c r="A8" t="s">
        <v>69</v>
      </c>
      <c r="B8" t="s">
        <v>1295</v>
      </c>
      <c r="C8" t="s">
        <v>1296</v>
      </c>
      <c r="D8" t="s">
        <v>1297</v>
      </c>
      <c r="E8" t="s">
        <v>926</v>
      </c>
      <c r="F8" t="s">
        <v>927</v>
      </c>
      <c r="G8" t="s">
        <v>1298</v>
      </c>
      <c r="H8" t="s">
        <v>1297</v>
      </c>
    </row>
    <row r="9">
      <c r="A9" t="s">
        <v>77</v>
      </c>
      <c r="B9" t="s">
        <v>1299</v>
      </c>
      <c r="C9" t="s">
        <v>80</v>
      </c>
      <c r="D9" t="s">
        <v>1300</v>
      </c>
      <c r="E9" t="s">
        <v>926</v>
      </c>
      <c r="F9" t="s">
        <v>927</v>
      </c>
      <c r="G9" t="s">
        <v>1301</v>
      </c>
      <c r="H9" t="s">
        <v>1300</v>
      </c>
    </row>
    <row r="10">
      <c r="A10" t="s">
        <v>84</v>
      </c>
      <c r="B10" t="s">
        <v>85</v>
      </c>
      <c r="C10" t="s">
        <v>85</v>
      </c>
      <c r="D10" t="s">
        <v>1302</v>
      </c>
      <c r="E10" t="s">
        <v>926</v>
      </c>
      <c r="F10" t="s">
        <v>927</v>
      </c>
      <c r="G10" t="s">
        <v>1303</v>
      </c>
      <c r="H10" t="s">
        <v>1302</v>
      </c>
    </row>
    <row r="11">
      <c r="A11" t="s">
        <v>89</v>
      </c>
      <c r="B11" t="s">
        <v>1304</v>
      </c>
      <c r="C11" t="s">
        <v>1305</v>
      </c>
      <c r="D11" t="s">
        <v>1306</v>
      </c>
      <c r="E11" t="s">
        <v>926</v>
      </c>
      <c r="F11" t="s">
        <v>927</v>
      </c>
      <c r="G11" t="s">
        <v>1307</v>
      </c>
      <c r="H11" t="s">
        <v>1306</v>
      </c>
    </row>
    <row r="12">
      <c r="A12" t="s">
        <v>95</v>
      </c>
      <c r="B12" t="s">
        <v>1308</v>
      </c>
      <c r="C12" t="s">
        <v>1309</v>
      </c>
      <c r="D12" t="s">
        <v>1310</v>
      </c>
      <c r="E12" t="s">
        <v>926</v>
      </c>
      <c r="F12" t="s">
        <v>927</v>
      </c>
      <c r="G12" t="s">
        <v>1311</v>
      </c>
      <c r="H12" t="s">
        <v>1310</v>
      </c>
    </row>
    <row r="13">
      <c r="A13" t="s">
        <v>102</v>
      </c>
      <c r="B13" t="s">
        <v>103</v>
      </c>
      <c r="C13" t="s">
        <v>105</v>
      </c>
      <c r="D13" t="s">
        <v>50</v>
      </c>
      <c r="E13" t="s">
        <v>958</v>
      </c>
      <c r="F13" t="s">
        <v>967</v>
      </c>
      <c r="G13" t="s">
        <v>107</v>
      </c>
      <c r="H13" t="s">
        <v>107</v>
      </c>
    </row>
    <row r="14">
      <c r="A14" t="s">
        <v>108</v>
      </c>
      <c r="B14" t="s">
        <v>1312</v>
      </c>
      <c r="C14" t="s">
        <v>111</v>
      </c>
      <c r="D14" t="s">
        <v>1313</v>
      </c>
      <c r="E14" t="s">
        <v>926</v>
      </c>
      <c r="F14" t="s">
        <v>927</v>
      </c>
      <c r="G14" t="s">
        <v>1314</v>
      </c>
      <c r="H14" t="s">
        <v>1315</v>
      </c>
    </row>
    <row r="15">
      <c r="A15" t="s">
        <v>116</v>
      </c>
      <c r="B15" t="s">
        <v>1316</v>
      </c>
      <c r="C15" t="s">
        <v>119</v>
      </c>
      <c r="D15" t="s">
        <v>1317</v>
      </c>
      <c r="E15" t="s">
        <v>926</v>
      </c>
      <c r="F15" t="s">
        <v>927</v>
      </c>
      <c r="G15" t="s">
        <v>1318</v>
      </c>
      <c r="H15" t="s">
        <v>1319</v>
      </c>
    </row>
    <row r="16">
      <c r="A16" t="s">
        <v>123</v>
      </c>
      <c r="B16" t="s">
        <v>1320</v>
      </c>
      <c r="C16" t="s">
        <v>1321</v>
      </c>
      <c r="D16"/>
      <c r="E16" t="s">
        <v>972</v>
      </c>
      <c r="F16" t="s">
        <v>973</v>
      </c>
      <c r="G16" t="s">
        <v>107</v>
      </c>
      <c r="H16" t="s">
        <v>107</v>
      </c>
    </row>
    <row r="17">
      <c r="A17" t="s">
        <v>128</v>
      </c>
      <c r="B17" t="s">
        <v>1322</v>
      </c>
      <c r="C17" t="s">
        <v>1323</v>
      </c>
      <c r="D17" t="s">
        <v>107</v>
      </c>
      <c r="E17" t="s">
        <v>107</v>
      </c>
      <c r="F17" t="s">
        <v>107</v>
      </c>
      <c r="G17" t="s">
        <v>107</v>
      </c>
      <c r="H17" t="s">
        <v>107</v>
      </c>
    </row>
    <row r="18">
      <c r="A18" t="s">
        <v>132</v>
      </c>
      <c r="B18" t="s">
        <v>1324</v>
      </c>
      <c r="C18" t="s">
        <v>1325</v>
      </c>
      <c r="D18" t="s">
        <v>107</v>
      </c>
      <c r="E18" t="s">
        <v>107</v>
      </c>
      <c r="F18" t="s">
        <v>107</v>
      </c>
      <c r="G18" t="s">
        <v>107</v>
      </c>
      <c r="H18" t="s">
        <v>107</v>
      </c>
    </row>
    <row r="20">
      <c r="A20" s="1" t="s">
        <v>978</v>
      </c>
    </row>
    <row r="21">
      <c r="A21" t="s">
        <v>37</v>
      </c>
      <c r="B21" t="s">
        <v>1281</v>
      </c>
      <c r="C21" t="s">
        <v>1282</v>
      </c>
      <c r="D21" t="s">
        <v>41</v>
      </c>
      <c r="E21" t="s">
        <v>42</v>
      </c>
      <c r="F21" t="s">
        <v>43</v>
      </c>
      <c r="G21" t="s">
        <v>44</v>
      </c>
      <c r="H21" t="s">
        <v>45</v>
      </c>
    </row>
    <row r="22">
      <c r="A22" t="s">
        <v>137</v>
      </c>
      <c r="B22" t="s">
        <v>1326</v>
      </c>
      <c r="C22" t="s">
        <v>138</v>
      </c>
      <c r="D22" t="s">
        <v>1247</v>
      </c>
      <c r="E22" t="s">
        <v>926</v>
      </c>
      <c r="F22" t="s">
        <v>927</v>
      </c>
      <c r="G22" t="s">
        <v>1327</v>
      </c>
      <c r="H22" t="s">
        <v>1247</v>
      </c>
    </row>
    <row r="23">
      <c r="A23" t="s">
        <v>143</v>
      </c>
      <c r="B23" t="s">
        <v>1328</v>
      </c>
      <c r="C23" t="s">
        <v>1329</v>
      </c>
      <c r="D23" t="s">
        <v>1247</v>
      </c>
      <c r="E23" t="s">
        <v>926</v>
      </c>
      <c r="F23" t="s">
        <v>927</v>
      </c>
      <c r="G23" t="s">
        <v>1330</v>
      </c>
      <c r="H23" t="s">
        <v>1247</v>
      </c>
    </row>
    <row r="24">
      <c r="A24" t="s">
        <v>150</v>
      </c>
      <c r="B24" t="s">
        <v>1331</v>
      </c>
      <c r="C24" t="s">
        <v>1332</v>
      </c>
      <c r="D24"/>
      <c r="E24" t="s">
        <v>972</v>
      </c>
      <c r="F24" t="s">
        <v>973</v>
      </c>
      <c r="G24" t="s">
        <v>107</v>
      </c>
      <c r="H24" t="s">
        <v>107</v>
      </c>
    </row>
    <row r="25">
      <c r="A25" t="s">
        <v>155</v>
      </c>
      <c r="B25" t="s">
        <v>1333</v>
      </c>
      <c r="C25" t="s">
        <v>1334</v>
      </c>
      <c r="D25" t="s">
        <v>107</v>
      </c>
      <c r="E25" t="s">
        <v>107</v>
      </c>
      <c r="F25" t="s">
        <v>107</v>
      </c>
      <c r="G25" t="s">
        <v>107</v>
      </c>
      <c r="H25" t="s">
        <v>107</v>
      </c>
    </row>
    <row r="26">
      <c r="A26" t="s">
        <v>159</v>
      </c>
      <c r="B26" t="s">
        <v>1335</v>
      </c>
      <c r="C26" t="s">
        <v>1336</v>
      </c>
      <c r="D26" t="s">
        <v>107</v>
      </c>
      <c r="E26" t="s">
        <v>107</v>
      </c>
      <c r="F26" t="s">
        <v>107</v>
      </c>
      <c r="G26" t="s">
        <v>107</v>
      </c>
      <c r="H26" t="s">
        <v>107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10" t="s">
        <v>1280</v>
      </c>
    </row>
    <row r="3">
      <c r="A3" t="s">
        <v>37</v>
      </c>
      <c r="B3" t="s">
        <v>1281</v>
      </c>
      <c r="C3" t="s">
        <v>1282</v>
      </c>
      <c r="D3" t="s">
        <v>41</v>
      </c>
      <c r="E3" t="s">
        <v>42</v>
      </c>
      <c r="F3" t="s">
        <v>43</v>
      </c>
      <c r="G3" t="s">
        <v>44</v>
      </c>
      <c r="H3" t="s">
        <v>45</v>
      </c>
      <c r="I3" t="s">
        <v>163</v>
      </c>
      <c r="J3" t="s">
        <v>164</v>
      </c>
    </row>
    <row r="4">
      <c r="A4" t="s">
        <v>165</v>
      </c>
      <c r="B4" t="s">
        <v>1337</v>
      </c>
      <c r="C4" t="s">
        <v>1338</v>
      </c>
      <c r="D4" t="s">
        <v>1339</v>
      </c>
      <c r="E4" t="s">
        <v>926</v>
      </c>
      <c r="F4" t="s">
        <v>927</v>
      </c>
      <c r="G4" t="s">
        <v>1340</v>
      </c>
      <c r="H4" t="s">
        <v>1339</v>
      </c>
      <c r="I4" t="s">
        <v>1242</v>
      </c>
      <c r="J4" t="s">
        <v>1243</v>
      </c>
    </row>
    <row r="5">
      <c r="A5" t="s">
        <v>174</v>
      </c>
      <c r="B5" t="s">
        <v>1341</v>
      </c>
      <c r="C5" t="s">
        <v>1342</v>
      </c>
      <c r="D5" t="s">
        <v>512</v>
      </c>
      <c r="E5" t="s">
        <v>926</v>
      </c>
      <c r="F5" t="s">
        <v>967</v>
      </c>
      <c r="G5" t="s">
        <v>1343</v>
      </c>
      <c r="H5" t="s">
        <v>512</v>
      </c>
      <c r="I5" t="s">
        <v>1245</v>
      </c>
      <c r="J5" t="s">
        <v>512</v>
      </c>
    </row>
    <row r="6">
      <c r="A6" t="s">
        <v>182</v>
      </c>
      <c r="B6" t="s">
        <v>184</v>
      </c>
      <c r="C6" t="s">
        <v>183</v>
      </c>
      <c r="D6" t="s">
        <v>1344</v>
      </c>
      <c r="E6" t="s">
        <v>926</v>
      </c>
      <c r="F6" t="s">
        <v>927</v>
      </c>
      <c r="G6" t="s">
        <v>1345</v>
      </c>
      <c r="H6" t="s">
        <v>1344</v>
      </c>
      <c r="I6" t="s">
        <v>1246</v>
      </c>
      <c r="J6" t="s">
        <v>1247</v>
      </c>
    </row>
    <row r="7">
      <c r="A7" t="s">
        <v>190</v>
      </c>
      <c r="B7" t="s">
        <v>1346</v>
      </c>
      <c r="C7" t="s">
        <v>193</v>
      </c>
      <c r="D7" t="s">
        <v>1009</v>
      </c>
      <c r="E7" t="s">
        <v>926</v>
      </c>
      <c r="F7" t="s">
        <v>967</v>
      </c>
      <c r="G7" t="s">
        <v>1347</v>
      </c>
      <c r="H7" t="s">
        <v>1009</v>
      </c>
      <c r="I7" t="s">
        <v>1248</v>
      </c>
      <c r="J7" t="s">
        <v>1249</v>
      </c>
    </row>
    <row r="8">
      <c r="A8" t="s">
        <v>197</v>
      </c>
      <c r="B8" t="s">
        <v>198</v>
      </c>
      <c r="C8" t="s">
        <v>199</v>
      </c>
      <c r="D8" t="s">
        <v>1348</v>
      </c>
      <c r="E8" t="s">
        <v>926</v>
      </c>
      <c r="F8" t="s">
        <v>927</v>
      </c>
      <c r="G8" t="s">
        <v>1349</v>
      </c>
      <c r="H8" t="s">
        <v>1348</v>
      </c>
      <c r="I8" t="s">
        <v>515</v>
      </c>
      <c r="J8" t="s">
        <v>1250</v>
      </c>
    </row>
    <row r="9">
      <c r="A9" t="s">
        <v>205</v>
      </c>
      <c r="B9" t="s">
        <v>103</v>
      </c>
      <c r="C9" t="s">
        <v>206</v>
      </c>
      <c r="D9" t="s">
        <v>1350</v>
      </c>
      <c r="E9" t="s">
        <v>958</v>
      </c>
      <c r="F9" t="s">
        <v>927</v>
      </c>
      <c r="G9" t="s">
        <v>107</v>
      </c>
      <c r="H9" t="s">
        <v>107</v>
      </c>
      <c r="I9" t="s">
        <v>107</v>
      </c>
      <c r="J9" t="s">
        <v>107</v>
      </c>
    </row>
    <row r="10">
      <c r="A10" t="s">
        <v>208</v>
      </c>
      <c r="B10" t="s">
        <v>1351</v>
      </c>
      <c r="C10" t="s">
        <v>1352</v>
      </c>
      <c r="D10" t="s">
        <v>50</v>
      </c>
      <c r="E10" t="s">
        <v>958</v>
      </c>
      <c r="F10" t="s">
        <v>967</v>
      </c>
      <c r="G10" t="s">
        <v>107</v>
      </c>
      <c r="H10" t="s">
        <v>107</v>
      </c>
      <c r="I10" t="s">
        <v>107</v>
      </c>
      <c r="J10" t="s">
        <v>107</v>
      </c>
    </row>
    <row r="11">
      <c r="A11" t="s">
        <v>212</v>
      </c>
      <c r="B11" t="s">
        <v>1353</v>
      </c>
      <c r="C11" t="s">
        <v>1354</v>
      </c>
      <c r="D11" t="s">
        <v>50</v>
      </c>
      <c r="E11" t="s">
        <v>926</v>
      </c>
      <c r="F11" t="s">
        <v>967</v>
      </c>
      <c r="G11" t="s">
        <v>1355</v>
      </c>
      <c r="H11" t="s">
        <v>50</v>
      </c>
      <c r="I11" t="s">
        <v>1251</v>
      </c>
      <c r="J11" t="s">
        <v>50</v>
      </c>
    </row>
    <row r="12">
      <c r="A12" t="s">
        <v>219</v>
      </c>
      <c r="B12" t="s">
        <v>1356</v>
      </c>
      <c r="C12" t="s">
        <v>1357</v>
      </c>
      <c r="D12" t="s">
        <v>1358</v>
      </c>
      <c r="E12" t="s">
        <v>926</v>
      </c>
      <c r="F12" t="s">
        <v>927</v>
      </c>
      <c r="G12" t="s">
        <v>1359</v>
      </c>
      <c r="H12" t="s">
        <v>1358</v>
      </c>
      <c r="I12" t="s">
        <v>1253</v>
      </c>
      <c r="J12" t="s">
        <v>1254</v>
      </c>
    </row>
    <row r="13">
      <c r="A13" t="s">
        <v>228</v>
      </c>
      <c r="B13" t="s">
        <v>1360</v>
      </c>
      <c r="C13" t="s">
        <v>1361</v>
      </c>
      <c r="D13"/>
      <c r="E13" t="s">
        <v>972</v>
      </c>
      <c r="F13" t="s">
        <v>973</v>
      </c>
      <c r="G13" t="s">
        <v>107</v>
      </c>
      <c r="H13" t="s">
        <v>107</v>
      </c>
      <c r="I13" t="s">
        <v>107</v>
      </c>
      <c r="J13" t="s">
        <v>107</v>
      </c>
    </row>
    <row r="14">
      <c r="A14" t="s">
        <v>234</v>
      </c>
      <c r="B14" t="s">
        <v>1362</v>
      </c>
      <c r="C14" t="s">
        <v>1361</v>
      </c>
      <c r="D14" t="s">
        <v>107</v>
      </c>
      <c r="E14" t="s">
        <v>107</v>
      </c>
      <c r="F14" t="s">
        <v>107</v>
      </c>
      <c r="G14" t="s">
        <v>107</v>
      </c>
      <c r="H14" t="s">
        <v>107</v>
      </c>
      <c r="I14" t="s">
        <v>107</v>
      </c>
      <c r="J14" t="s">
        <v>107</v>
      </c>
    </row>
    <row r="15">
      <c r="A15" t="s">
        <v>237</v>
      </c>
      <c r="B15" t="s">
        <v>1363</v>
      </c>
      <c r="C15" t="s">
        <v>1364</v>
      </c>
      <c r="D15" t="s">
        <v>107</v>
      </c>
      <c r="E15" t="s">
        <v>107</v>
      </c>
      <c r="F15" t="s">
        <v>107</v>
      </c>
      <c r="G15" t="s">
        <v>107</v>
      </c>
      <c r="H15" t="s">
        <v>107</v>
      </c>
      <c r="I15" t="s">
        <v>107</v>
      </c>
      <c r="J15" t="s">
        <v>107</v>
      </c>
    </row>
    <row r="16">
      <c r="A16" t="s">
        <v>241</v>
      </c>
      <c r="B16" t="s">
        <v>1365</v>
      </c>
      <c r="C16" t="s">
        <v>1366</v>
      </c>
      <c r="D16" t="s">
        <v>107</v>
      </c>
      <c r="E16" t="s">
        <v>107</v>
      </c>
      <c r="F16" t="s">
        <v>107</v>
      </c>
      <c r="G16" t="s">
        <v>107</v>
      </c>
      <c r="H16" t="s">
        <v>107</v>
      </c>
      <c r="I16" t="s">
        <v>107</v>
      </c>
      <c r="J16" t="s">
        <v>107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3" topLeftCell="A4" activePane="bottomLeft" state="frozen"/>
      <selection pane="bottomLeft"/>
    </sheetView>
  </sheetViews>
  <sheetFormatPr defaultRowHeight="15.0" baseColWidth="10"/>
  <cols>
    <col min="1" max="1" width="38.71" hidden="0" customWidth="1"/>
    <col min="2" max="2" width="18.71" hidden="0" customWidth="1"/>
    <col min="3" max="3" width="18.71" hidden="0" customWidth="1"/>
    <col min="4" max="4" width="18.71" hidden="0" customWidth="1"/>
    <col min="5" max="5" width="18.71" hidden="0" customWidth="1"/>
    <col min="6" max="6" width="18.71" hidden="0" customWidth="1"/>
    <col min="7" max="7" width="18.71" hidden="0" customWidth="1"/>
    <col min="8" max="8" width="18.71" hidden="0" customWidth="1"/>
  </cols>
  <sheetData>
    <row r="1">
      <c r="A1" s="10" t="s">
        <v>1280</v>
      </c>
    </row>
    <row r="3">
      <c r="A3" s="3" t="s">
        <v>37</v>
      </c>
      <c r="B3" s="3" t="s">
        <v>1281</v>
      </c>
      <c r="C3" s="3" t="s">
        <v>1282</v>
      </c>
      <c r="D3" s="3" t="s">
        <v>245</v>
      </c>
      <c r="E3" s="3" t="s">
        <v>44</v>
      </c>
      <c r="F3" s="3" t="s">
        <v>45</v>
      </c>
      <c r="G3" s="3" t="s">
        <v>163</v>
      </c>
      <c r="H3" s="3" t="s">
        <v>164</v>
      </c>
    </row>
    <row r="4">
      <c r="A4" s="4" t="s">
        <v>246</v>
      </c>
      <c r="B4" s="4" t="s">
        <v>107</v>
      </c>
      <c r="C4" s="4" t="s">
        <v>107</v>
      </c>
      <c r="D4" s="4" t="s">
        <v>107</v>
      </c>
      <c r="E4" s="4" t="s">
        <v>107</v>
      </c>
      <c r="F4" s="4" t="s">
        <v>107</v>
      </c>
      <c r="G4" s="4" t="s">
        <v>107</v>
      </c>
      <c r="H4" s="4" t="s">
        <v>107</v>
      </c>
    </row>
    <row r="5">
      <c r="A5" t="s">
        <v>247</v>
      </c>
      <c r="B5" t="s">
        <v>1283</v>
      </c>
      <c r="C5" t="s">
        <v>49</v>
      </c>
      <c r="D5" t="s">
        <v>1284</v>
      </c>
      <c r="E5" t="s">
        <v>1285</v>
      </c>
      <c r="F5" t="s">
        <v>1286</v>
      </c>
      <c r="G5" t="s">
        <v>107</v>
      </c>
      <c r="H5" t="s">
        <v>107</v>
      </c>
    </row>
    <row r="6">
      <c r="A6" t="s">
        <v>248</v>
      </c>
      <c r="B6" t="s">
        <v>1287</v>
      </c>
      <c r="C6" t="s">
        <v>1288</v>
      </c>
      <c r="D6" t="s">
        <v>1289</v>
      </c>
      <c r="E6" t="s">
        <v>1290</v>
      </c>
      <c r="F6" t="s">
        <v>1289</v>
      </c>
      <c r="G6" t="s">
        <v>107</v>
      </c>
      <c r="H6" t="s">
        <v>107</v>
      </c>
    </row>
    <row r="7">
      <c r="A7" t="s">
        <v>249</v>
      </c>
      <c r="B7" t="s">
        <v>1291</v>
      </c>
      <c r="C7" t="s">
        <v>1292</v>
      </c>
      <c r="D7" t="s">
        <v>1293</v>
      </c>
      <c r="E7" t="s">
        <v>1294</v>
      </c>
      <c r="F7" t="s">
        <v>1293</v>
      </c>
      <c r="G7" t="s">
        <v>107</v>
      </c>
      <c r="H7" t="s">
        <v>107</v>
      </c>
    </row>
    <row r="8">
      <c r="A8" t="s">
        <v>250</v>
      </c>
      <c r="B8" t="s">
        <v>1295</v>
      </c>
      <c r="C8" t="s">
        <v>1296</v>
      </c>
      <c r="D8" t="s">
        <v>1297</v>
      </c>
      <c r="E8" t="s">
        <v>1298</v>
      </c>
      <c r="F8" t="s">
        <v>1297</v>
      </c>
      <c r="G8" t="s">
        <v>107</v>
      </c>
      <c r="H8" t="s">
        <v>107</v>
      </c>
    </row>
    <row r="9">
      <c r="A9" t="s">
        <v>251</v>
      </c>
      <c r="B9" t="s">
        <v>1299</v>
      </c>
      <c r="C9" t="s">
        <v>80</v>
      </c>
      <c r="D9" t="s">
        <v>1300</v>
      </c>
      <c r="E9" t="s">
        <v>1301</v>
      </c>
      <c r="F9" t="s">
        <v>1300</v>
      </c>
      <c r="G9" t="s">
        <v>107</v>
      </c>
      <c r="H9" t="s">
        <v>107</v>
      </c>
    </row>
    <row r="10">
      <c r="A10" t="s">
        <v>252</v>
      </c>
      <c r="B10" t="s">
        <v>85</v>
      </c>
      <c r="C10" t="s">
        <v>85</v>
      </c>
      <c r="D10" t="s">
        <v>1302</v>
      </c>
      <c r="E10" t="s">
        <v>1303</v>
      </c>
      <c r="F10" t="s">
        <v>1302</v>
      </c>
      <c r="G10" t="s">
        <v>107</v>
      </c>
      <c r="H10" t="s">
        <v>107</v>
      </c>
    </row>
    <row r="11">
      <c r="A11" t="s">
        <v>253</v>
      </c>
      <c r="B11" t="s">
        <v>1304</v>
      </c>
      <c r="C11" t="s">
        <v>1305</v>
      </c>
      <c r="D11" t="s">
        <v>1306</v>
      </c>
      <c r="E11" t="s">
        <v>1307</v>
      </c>
      <c r="F11" t="s">
        <v>1306</v>
      </c>
      <c r="G11" t="s">
        <v>107</v>
      </c>
      <c r="H11" t="s">
        <v>107</v>
      </c>
    </row>
    <row r="12">
      <c r="A12" t="s">
        <v>254</v>
      </c>
      <c r="B12" t="s">
        <v>1308</v>
      </c>
      <c r="C12" t="s">
        <v>1309</v>
      </c>
      <c r="D12" t="s">
        <v>1310</v>
      </c>
      <c r="E12" t="s">
        <v>1311</v>
      </c>
      <c r="F12" t="s">
        <v>1310</v>
      </c>
      <c r="G12" t="s">
        <v>107</v>
      </c>
      <c r="H12" t="s">
        <v>107</v>
      </c>
    </row>
    <row r="13">
      <c r="A13" t="s">
        <v>255</v>
      </c>
      <c r="B13" t="s">
        <v>103</v>
      </c>
      <c r="C13" t="s">
        <v>105</v>
      </c>
      <c r="D13" t="s">
        <v>50</v>
      </c>
      <c r="E13" t="s">
        <v>107</v>
      </c>
      <c r="F13" t="s">
        <v>107</v>
      </c>
      <c r="G13" t="s">
        <v>107</v>
      </c>
      <c r="H13" t="s">
        <v>107</v>
      </c>
    </row>
    <row r="14">
      <c r="A14" t="s">
        <v>108</v>
      </c>
      <c r="B14" t="s">
        <v>1312</v>
      </c>
      <c r="C14" t="s">
        <v>111</v>
      </c>
      <c r="D14" t="s">
        <v>1313</v>
      </c>
      <c r="E14" t="s">
        <v>1314</v>
      </c>
      <c r="F14" t="s">
        <v>1315</v>
      </c>
      <c r="G14" t="s">
        <v>107</v>
      </c>
      <c r="H14" t="s">
        <v>107</v>
      </c>
    </row>
    <row r="15">
      <c r="A15" t="s">
        <v>116</v>
      </c>
      <c r="B15" t="s">
        <v>1316</v>
      </c>
      <c r="C15" t="s">
        <v>119</v>
      </c>
      <c r="D15" t="s">
        <v>1317</v>
      </c>
      <c r="E15" t="s">
        <v>1318</v>
      </c>
      <c r="F15" t="s">
        <v>1319</v>
      </c>
      <c r="G15" t="s">
        <v>107</v>
      </c>
      <c r="H15" t="s">
        <v>107</v>
      </c>
    </row>
    <row r="16">
      <c r="A16" t="s">
        <v>123</v>
      </c>
      <c r="B16" t="s">
        <v>1320</v>
      </c>
      <c r="C16" t="s">
        <v>1321</v>
      </c>
      <c r="D16" t="s">
        <v>1026</v>
      </c>
      <c r="E16" t="s">
        <v>107</v>
      </c>
      <c r="F16" t="s">
        <v>107</v>
      </c>
      <c r="G16" t="s">
        <v>107</v>
      </c>
      <c r="H16" t="s">
        <v>107</v>
      </c>
    </row>
    <row r="17">
      <c r="A17" t="s">
        <v>128</v>
      </c>
      <c r="B17" t="s">
        <v>1322</v>
      </c>
      <c r="C17" t="s">
        <v>1323</v>
      </c>
      <c r="D17" t="s">
        <v>107</v>
      </c>
      <c r="E17" t="s">
        <v>107</v>
      </c>
      <c r="F17" t="s">
        <v>107</v>
      </c>
      <c r="G17" t="s">
        <v>107</v>
      </c>
      <c r="H17" t="s">
        <v>107</v>
      </c>
    </row>
    <row r="18">
      <c r="A18" t="s">
        <v>132</v>
      </c>
      <c r="B18" t="s">
        <v>1324</v>
      </c>
      <c r="C18" t="s">
        <v>1325</v>
      </c>
      <c r="D18" t="s">
        <v>107</v>
      </c>
      <c r="E18" t="s">
        <v>107</v>
      </c>
      <c r="F18" t="s">
        <v>107</v>
      </c>
      <c r="G18" t="s">
        <v>107</v>
      </c>
      <c r="H18" t="s">
        <v>107</v>
      </c>
    </row>
    <row r="19">
      <c r="A19" s="4" t="s">
        <v>136</v>
      </c>
      <c r="B19" s="4" t="s">
        <v>107</v>
      </c>
      <c r="C19" s="4" t="s">
        <v>107</v>
      </c>
      <c r="D19" s="4" t="s">
        <v>107</v>
      </c>
      <c r="E19" s="4" t="s">
        <v>107</v>
      </c>
      <c r="F19" s="4" t="s">
        <v>107</v>
      </c>
      <c r="G19" s="4" t="s">
        <v>107</v>
      </c>
      <c r="H19" s="4" t="s">
        <v>107</v>
      </c>
    </row>
    <row r="20">
      <c r="A20" t="s">
        <v>256</v>
      </c>
      <c r="B20" t="s">
        <v>1326</v>
      </c>
      <c r="C20" t="s">
        <v>138</v>
      </c>
      <c r="D20" t="s">
        <v>1247</v>
      </c>
      <c r="E20" t="s">
        <v>1327</v>
      </c>
      <c r="F20" t="s">
        <v>1247</v>
      </c>
      <c r="G20" t="s">
        <v>107</v>
      </c>
      <c r="H20" t="s">
        <v>107</v>
      </c>
    </row>
    <row r="21">
      <c r="A21" t="s">
        <v>257</v>
      </c>
      <c r="B21" t="s">
        <v>1328</v>
      </c>
      <c r="C21" t="s">
        <v>1329</v>
      </c>
      <c r="D21" t="s">
        <v>1247</v>
      </c>
      <c r="E21" t="s">
        <v>1330</v>
      </c>
      <c r="F21" t="s">
        <v>1247</v>
      </c>
      <c r="G21" t="s">
        <v>107</v>
      </c>
      <c r="H21" t="s">
        <v>107</v>
      </c>
    </row>
    <row r="22">
      <c r="A22" t="s">
        <v>150</v>
      </c>
      <c r="B22" t="s">
        <v>1331</v>
      </c>
      <c r="C22" t="s">
        <v>1332</v>
      </c>
      <c r="D22" t="s">
        <v>1026</v>
      </c>
      <c r="E22" t="s">
        <v>107</v>
      </c>
      <c r="F22" t="s">
        <v>107</v>
      </c>
      <c r="G22" t="s">
        <v>107</v>
      </c>
      <c r="H22" t="s">
        <v>107</v>
      </c>
    </row>
    <row r="23">
      <c r="A23" t="s">
        <v>155</v>
      </c>
      <c r="B23" t="s">
        <v>1333</v>
      </c>
      <c r="C23" t="s">
        <v>1334</v>
      </c>
      <c r="D23" t="s">
        <v>107</v>
      </c>
      <c r="E23" t="s">
        <v>107</v>
      </c>
      <c r="F23" t="s">
        <v>107</v>
      </c>
      <c r="G23" t="s">
        <v>107</v>
      </c>
      <c r="H23" t="s">
        <v>107</v>
      </c>
    </row>
    <row r="24">
      <c r="A24" t="s">
        <v>159</v>
      </c>
      <c r="B24" t="s">
        <v>1335</v>
      </c>
      <c r="C24" t="s">
        <v>1336</v>
      </c>
      <c r="D24" t="s">
        <v>107</v>
      </c>
      <c r="E24" t="s">
        <v>107</v>
      </c>
      <c r="F24" t="s">
        <v>107</v>
      </c>
      <c r="G24" t="s">
        <v>107</v>
      </c>
      <c r="H24" t="s">
        <v>107</v>
      </c>
    </row>
    <row r="25">
      <c r="A25" s="4" t="s">
        <v>258</v>
      </c>
      <c r="B25" s="4" t="s">
        <v>107</v>
      </c>
      <c r="C25" s="4" t="s">
        <v>107</v>
      </c>
      <c r="D25" s="4" t="s">
        <v>107</v>
      </c>
      <c r="E25" s="4" t="s">
        <v>107</v>
      </c>
      <c r="F25" s="4" t="s">
        <v>107</v>
      </c>
      <c r="G25" s="4" t="s">
        <v>107</v>
      </c>
      <c r="H25" s="4" t="s">
        <v>107</v>
      </c>
    </row>
    <row r="26">
      <c r="A26" t="s">
        <v>259</v>
      </c>
      <c r="B26" t="s">
        <v>1337</v>
      </c>
      <c r="C26" t="s">
        <v>1338</v>
      </c>
      <c r="D26" t="s">
        <v>1339</v>
      </c>
      <c r="E26" t="s">
        <v>1340</v>
      </c>
      <c r="F26" t="s">
        <v>1339</v>
      </c>
      <c r="G26" t="s">
        <v>1242</v>
      </c>
      <c r="H26" t="s">
        <v>1243</v>
      </c>
    </row>
    <row r="27">
      <c r="A27" t="s">
        <v>260</v>
      </c>
      <c r="B27" t="s">
        <v>1341</v>
      </c>
      <c r="C27" t="s">
        <v>1342</v>
      </c>
      <c r="D27" t="s">
        <v>512</v>
      </c>
      <c r="E27" t="s">
        <v>1343</v>
      </c>
      <c r="F27" t="s">
        <v>512</v>
      </c>
      <c r="G27" t="s">
        <v>1245</v>
      </c>
      <c r="H27" t="s">
        <v>512</v>
      </c>
    </row>
    <row r="28">
      <c r="A28" t="s">
        <v>261</v>
      </c>
      <c r="B28" t="s">
        <v>184</v>
      </c>
      <c r="C28" t="s">
        <v>183</v>
      </c>
      <c r="D28" t="s">
        <v>1344</v>
      </c>
      <c r="E28" t="s">
        <v>1345</v>
      </c>
      <c r="F28" t="s">
        <v>1344</v>
      </c>
      <c r="G28" t="s">
        <v>1246</v>
      </c>
      <c r="H28" t="s">
        <v>1247</v>
      </c>
    </row>
    <row r="29">
      <c r="A29" t="s">
        <v>262</v>
      </c>
      <c r="B29" t="s">
        <v>1346</v>
      </c>
      <c r="C29" t="s">
        <v>193</v>
      </c>
      <c r="D29" t="s">
        <v>1009</v>
      </c>
      <c r="E29" t="s">
        <v>1347</v>
      </c>
      <c r="F29" t="s">
        <v>1009</v>
      </c>
      <c r="G29" t="s">
        <v>1248</v>
      </c>
      <c r="H29" t="s">
        <v>1249</v>
      </c>
    </row>
    <row r="30">
      <c r="A30" t="s">
        <v>263</v>
      </c>
      <c r="B30" t="s">
        <v>198</v>
      </c>
      <c r="C30" t="s">
        <v>199</v>
      </c>
      <c r="D30" t="s">
        <v>1348</v>
      </c>
      <c r="E30" t="s">
        <v>1349</v>
      </c>
      <c r="F30" t="s">
        <v>1348</v>
      </c>
      <c r="G30" t="s">
        <v>515</v>
      </c>
      <c r="H30" t="s">
        <v>1250</v>
      </c>
    </row>
    <row r="31">
      <c r="A31" t="s">
        <v>264</v>
      </c>
      <c r="B31" t="s">
        <v>103</v>
      </c>
      <c r="C31" t="s">
        <v>206</v>
      </c>
      <c r="D31" t="s">
        <v>1350</v>
      </c>
      <c r="E31" t="s">
        <v>107</v>
      </c>
      <c r="F31" t="s">
        <v>107</v>
      </c>
      <c r="G31" t="s">
        <v>107</v>
      </c>
      <c r="H31" t="s">
        <v>107</v>
      </c>
    </row>
    <row r="32">
      <c r="A32" t="s">
        <v>265</v>
      </c>
      <c r="B32" t="s">
        <v>1351</v>
      </c>
      <c r="C32" t="s">
        <v>1352</v>
      </c>
      <c r="D32" t="s">
        <v>50</v>
      </c>
      <c r="E32" t="s">
        <v>107</v>
      </c>
      <c r="F32" t="s">
        <v>107</v>
      </c>
      <c r="G32" t="s">
        <v>107</v>
      </c>
      <c r="H32" t="s">
        <v>107</v>
      </c>
    </row>
    <row r="33">
      <c r="A33" t="s">
        <v>266</v>
      </c>
      <c r="B33" t="s">
        <v>1353</v>
      </c>
      <c r="C33" t="s">
        <v>1354</v>
      </c>
      <c r="D33" t="s">
        <v>50</v>
      </c>
      <c r="E33" t="s">
        <v>1355</v>
      </c>
      <c r="F33" t="s">
        <v>50</v>
      </c>
      <c r="G33" t="s">
        <v>1251</v>
      </c>
      <c r="H33" t="s">
        <v>50</v>
      </c>
    </row>
    <row r="34">
      <c r="A34" t="s">
        <v>267</v>
      </c>
      <c r="B34" t="s">
        <v>1356</v>
      </c>
      <c r="C34" t="s">
        <v>1357</v>
      </c>
      <c r="D34" t="s">
        <v>1358</v>
      </c>
      <c r="E34" t="s">
        <v>1359</v>
      </c>
      <c r="F34" t="s">
        <v>1358</v>
      </c>
      <c r="G34" t="s">
        <v>1253</v>
      </c>
      <c r="H34" t="s">
        <v>1254</v>
      </c>
    </row>
    <row r="35">
      <c r="A35" t="s">
        <v>268</v>
      </c>
      <c r="B35" t="s">
        <v>1360</v>
      </c>
      <c r="C35" t="s">
        <v>1361</v>
      </c>
      <c r="D35" t="s">
        <v>1026</v>
      </c>
      <c r="E35" t="s">
        <v>107</v>
      </c>
      <c r="F35" t="s">
        <v>107</v>
      </c>
      <c r="G35" t="s">
        <v>107</v>
      </c>
      <c r="H35" t="s">
        <v>107</v>
      </c>
    </row>
    <row r="36">
      <c r="A36" t="s">
        <v>269</v>
      </c>
      <c r="B36" t="s">
        <v>1362</v>
      </c>
      <c r="C36" t="s">
        <v>1361</v>
      </c>
      <c r="D36" t="s">
        <v>107</v>
      </c>
      <c r="E36" t="s">
        <v>107</v>
      </c>
      <c r="F36" t="s">
        <v>107</v>
      </c>
      <c r="G36" t="s">
        <v>107</v>
      </c>
      <c r="H36" t="s">
        <v>107</v>
      </c>
    </row>
    <row r="37">
      <c r="A37" t="s">
        <v>270</v>
      </c>
      <c r="B37" t="s">
        <v>1363</v>
      </c>
      <c r="C37" t="s">
        <v>1364</v>
      </c>
      <c r="D37" t="s">
        <v>107</v>
      </c>
      <c r="E37" t="s">
        <v>107</v>
      </c>
      <c r="F37" t="s">
        <v>107</v>
      </c>
      <c r="G37" t="s">
        <v>107</v>
      </c>
      <c r="H37" t="s">
        <v>107</v>
      </c>
    </row>
    <row r="38">
      <c r="A38" t="s">
        <v>271</v>
      </c>
      <c r="B38" t="s">
        <v>1365</v>
      </c>
      <c r="C38" t="s">
        <v>1366</v>
      </c>
      <c r="D38" t="s">
        <v>107</v>
      </c>
      <c r="E38" t="s">
        <v>107</v>
      </c>
      <c r="F38" t="s">
        <v>107</v>
      </c>
      <c r="G38" t="s">
        <v>107</v>
      </c>
      <c r="H38" t="s">
        <v>107</v>
      </c>
    </row>
    <row r="40">
      <c r="A40" t="s">
        <v>1027</v>
      </c>
    </row>
    <row r="41">
      <c r="A41" t="s">
        <v>1028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5" t="s">
        <v>29</v>
      </c>
      <c r="B1" s="5" t="s">
        <v>272</v>
      </c>
      <c r="C1" s="5" t="s">
        <v>273</v>
      </c>
      <c r="D1" s="5" t="s">
        <v>274</v>
      </c>
      <c r="E1" s="6" t="s">
        <v>275</v>
      </c>
      <c r="F1" s="6" t="s">
        <v>276</v>
      </c>
      <c r="G1" s="6" t="s">
        <v>277</v>
      </c>
      <c r="H1" s="6" t="s">
        <v>278</v>
      </c>
      <c r="I1" s="6" t="s">
        <v>84</v>
      </c>
      <c r="J1" s="7" t="s">
        <v>279</v>
      </c>
      <c r="K1" s="7" t="s">
        <v>280</v>
      </c>
      <c r="L1" s="7" t="s">
        <v>281</v>
      </c>
      <c r="M1" s="7" t="s">
        <v>282</v>
      </c>
      <c r="N1" s="8" t="s">
        <v>283</v>
      </c>
      <c r="O1" s="8" t="s">
        <v>284</v>
      </c>
      <c r="P1" s="8" t="s">
        <v>285</v>
      </c>
      <c r="Q1" s="8" t="s">
        <v>286</v>
      </c>
      <c r="R1" s="8" t="s">
        <v>197</v>
      </c>
      <c r="S1" s="8" t="s">
        <v>190</v>
      </c>
      <c r="T1" s="9" t="s">
        <v>287</v>
      </c>
    </row>
    <row r="2">
      <c r="A2" t="s">
        <v>30</v>
      </c>
      <c r="B2" t="n">
        <v>1.04</v>
      </c>
      <c r="C2" t="n">
        <v>1.03</v>
      </c>
      <c r="D2" t="n">
        <v>1.01</v>
      </c>
      <c r="E2" t="n">
        <v>-2.75</v>
      </c>
      <c r="F2" t="n">
        <v>-1.5</v>
      </c>
      <c r="G2" t="n">
        <v>161</v>
      </c>
      <c r="H2" t="n">
        <v>12</v>
      </c>
      <c r="I2" t="s">
        <v>288</v>
      </c>
      <c r="J2" t="n">
        <v>0</v>
      </c>
      <c r="K2" t="n">
        <v>0</v>
      </c>
      <c r="L2" t="n">
        <v>0</v>
      </c>
      <c r="M2" t="n">
        <v>12</v>
      </c>
      <c r="N2" t="n">
        <v>0</v>
      </c>
      <c r="O2" t="n">
        <v>-0.25</v>
      </c>
      <c r="P2" t="n">
        <v>167</v>
      </c>
      <c r="Q2" t="n">
        <v>12</v>
      </c>
      <c r="R2" t="s">
        <v>289</v>
      </c>
      <c r="S2" t="s">
        <v>288</v>
      </c>
      <c r="T2" t="n">
        <v>0</v>
      </c>
    </row>
    <row r="3">
      <c r="A3" t="s">
        <v>30</v>
      </c>
      <c r="B3" t="n">
        <v>1.2</v>
      </c>
      <c r="C3" t="n">
        <v>1.25</v>
      </c>
      <c r="D3" t="n">
        <v>1.3</v>
      </c>
      <c r="E3" t="n">
        <v>-1.75</v>
      </c>
      <c r="F3" t="n">
        <v>-1</v>
      </c>
      <c r="G3" t="n">
        <v>103</v>
      </c>
      <c r="H3" t="n">
        <v>12</v>
      </c>
      <c r="I3" t="s">
        <v>294</v>
      </c>
      <c r="J3" t="n">
        <v>0</v>
      </c>
      <c r="K3" t="n">
        <v>0</v>
      </c>
      <c r="L3" t="n">
        <v>0</v>
      </c>
      <c r="M3" t="n">
        <v>12</v>
      </c>
      <c r="N3" t="n">
        <v>0.25</v>
      </c>
      <c r="O3" t="n">
        <v>-0.5</v>
      </c>
      <c r="P3" t="n">
        <v>78</v>
      </c>
      <c r="Q3" t="n">
        <v>12</v>
      </c>
      <c r="R3" t="s">
        <v>295</v>
      </c>
      <c r="S3" t="s">
        <v>296</v>
      </c>
      <c r="T3" t="n">
        <v>0</v>
      </c>
    </row>
    <row r="4">
      <c r="A4" t="s">
        <v>30</v>
      </c>
      <c r="B4" t="n">
        <v>1.06</v>
      </c>
      <c r="C4" t="n">
        <v>1.05</v>
      </c>
      <c r="D4" t="n">
        <v>1.13</v>
      </c>
      <c r="E4" t="n">
        <v>-2</v>
      </c>
      <c r="F4" t="n">
        <v>-0.5</v>
      </c>
      <c r="G4" t="n">
        <v>162</v>
      </c>
      <c r="H4" t="n">
        <v>12</v>
      </c>
      <c r="I4" t="s">
        <v>288</v>
      </c>
      <c r="J4" t="n">
        <v>0</v>
      </c>
      <c r="K4" t="n">
        <v>0</v>
      </c>
      <c r="L4" t="n">
        <v>0</v>
      </c>
      <c r="M4" t="n">
        <v>12</v>
      </c>
      <c r="N4" t="n">
        <v>0.5</v>
      </c>
      <c r="O4" t="n">
        <v>-0.25</v>
      </c>
      <c r="P4" t="n">
        <v>138</v>
      </c>
      <c r="Q4" t="n">
        <v>12</v>
      </c>
      <c r="R4" t="s">
        <v>297</v>
      </c>
      <c r="S4" t="s">
        <v>288</v>
      </c>
      <c r="T4" t="n">
        <v>0.25</v>
      </c>
    </row>
    <row r="5">
      <c r="A5" t="s">
        <v>30</v>
      </c>
      <c r="B5" t="n">
        <v>0.97</v>
      </c>
      <c r="C5" t="n">
        <v>0.83</v>
      </c>
      <c r="D5" t="n">
        <v>0.93</v>
      </c>
      <c r="E5" t="n">
        <v>-5.5</v>
      </c>
      <c r="F5" t="n">
        <v>-1</v>
      </c>
      <c r="G5" t="n">
        <v>102</v>
      </c>
      <c r="H5" t="n">
        <v>12</v>
      </c>
      <c r="I5" t="s">
        <v>290</v>
      </c>
      <c r="J5" t="n">
        <v>0</v>
      </c>
      <c r="K5" t="n">
        <v>0</v>
      </c>
      <c r="L5" t="n">
        <v>0</v>
      </c>
      <c r="M5" t="n">
        <v>12</v>
      </c>
      <c r="N5" t="n">
        <v>-0.25</v>
      </c>
      <c r="O5" t="n">
        <v>0</v>
      </c>
      <c r="P5" t="n">
        <v>88</v>
      </c>
      <c r="Q5" t="n">
        <v>12</v>
      </c>
      <c r="R5" t="s">
        <v>291</v>
      </c>
      <c r="S5" t="s">
        <v>298</v>
      </c>
      <c r="T5" t="n">
        <v>-0.25</v>
      </c>
    </row>
    <row r="6">
      <c r="A6" t="s">
        <v>30</v>
      </c>
      <c r="B6" t="n">
        <v>0.83</v>
      </c>
      <c r="C6" t="n">
        <v>0.7</v>
      </c>
      <c r="D6" t="n">
        <v>0.8</v>
      </c>
      <c r="E6" t="n">
        <v>-7</v>
      </c>
      <c r="F6" t="n">
        <v>0</v>
      </c>
      <c r="G6" t="n">
        <v>8</v>
      </c>
      <c r="H6" t="n">
        <v>12</v>
      </c>
      <c r="I6" t="s">
        <v>298</v>
      </c>
      <c r="J6" t="n">
        <v>0</v>
      </c>
      <c r="K6" t="n">
        <v>0</v>
      </c>
      <c r="L6" t="n">
        <v>0</v>
      </c>
      <c r="M6" t="n">
        <v>12</v>
      </c>
      <c r="N6" t="n">
        <v>0</v>
      </c>
      <c r="O6" t="n">
        <v>-0.25</v>
      </c>
      <c r="P6" t="n">
        <v>75</v>
      </c>
      <c r="Q6" t="n">
        <v>12</v>
      </c>
      <c r="R6" t="s">
        <v>292</v>
      </c>
      <c r="S6" t="s">
        <v>299</v>
      </c>
      <c r="T6" t="n">
        <v>-0.25</v>
      </c>
    </row>
    <row r="7">
      <c r="A7" t="s">
        <v>30</v>
      </c>
      <c r="B7" t="n">
        <v>1.15</v>
      </c>
      <c r="C7" t="n">
        <v>1.04</v>
      </c>
      <c r="D7" t="n">
        <v>1.15</v>
      </c>
      <c r="E7" t="n">
        <v>-5.75</v>
      </c>
      <c r="F7" t="n">
        <v>-0.75</v>
      </c>
      <c r="G7" t="n">
        <v>17</v>
      </c>
      <c r="H7" t="n">
        <v>12</v>
      </c>
      <c r="I7" t="s">
        <v>297</v>
      </c>
      <c r="J7" t="n">
        <v>0</v>
      </c>
      <c r="K7" t="n">
        <v>0</v>
      </c>
      <c r="L7" t="n">
        <v>0</v>
      </c>
      <c r="M7" t="n">
        <v>12</v>
      </c>
      <c r="N7" t="n">
        <v>-0.5</v>
      </c>
      <c r="O7" t="n">
        <v>-0.25</v>
      </c>
      <c r="P7" t="n">
        <v>20</v>
      </c>
      <c r="Q7" t="n">
        <v>12</v>
      </c>
      <c r="R7" t="s">
        <v>297</v>
      </c>
      <c r="S7" t="s">
        <v>288</v>
      </c>
      <c r="T7" t="n">
        <v>-0.75</v>
      </c>
    </row>
    <row r="8">
      <c r="A8" t="s">
        <v>30</v>
      </c>
      <c r="B8" t="n">
        <v>1.06</v>
      </c>
      <c r="C8" t="n">
        <v>1.01</v>
      </c>
      <c r="D8" t="n">
        <v>1.09</v>
      </c>
      <c r="E8" t="n">
        <v>-2.75</v>
      </c>
      <c r="F8" t="n">
        <v>-0.25</v>
      </c>
      <c r="G8" t="n">
        <v>7</v>
      </c>
      <c r="H8" t="n">
        <v>12</v>
      </c>
      <c r="I8" t="s">
        <v>288</v>
      </c>
      <c r="J8" t="n">
        <v>0</v>
      </c>
      <c r="K8" t="n">
        <v>0</v>
      </c>
      <c r="L8" t="n">
        <v>0</v>
      </c>
      <c r="M8" t="n">
        <v>12</v>
      </c>
      <c r="N8" t="n">
        <v>0</v>
      </c>
      <c r="O8" t="n">
        <v>0</v>
      </c>
      <c r="P8" t="n">
        <v>178</v>
      </c>
      <c r="Q8" t="n">
        <v>12</v>
      </c>
      <c r="R8" t="s">
        <v>293</v>
      </c>
      <c r="S8" t="s">
        <v>289</v>
      </c>
      <c r="T8" t="n">
        <v>0</v>
      </c>
    </row>
    <row r="9">
      <c r="A9" t="s">
        <v>30</v>
      </c>
      <c r="B9" t="n">
        <v>1</v>
      </c>
      <c r="C9" t="n">
        <v>0.92</v>
      </c>
      <c r="D9" t="n">
        <v>0.95</v>
      </c>
      <c r="E9" t="n">
        <v>-1.5</v>
      </c>
      <c r="F9" t="n">
        <v>0</v>
      </c>
      <c r="G9" t="n">
        <v>97</v>
      </c>
      <c r="H9" t="n">
        <v>12</v>
      </c>
      <c r="I9" t="s">
        <v>289</v>
      </c>
      <c r="J9" t="n">
        <v>0</v>
      </c>
      <c r="K9" t="n">
        <v>0</v>
      </c>
      <c r="L9" t="n">
        <v>0</v>
      </c>
      <c r="M9" t="n">
        <v>12</v>
      </c>
      <c r="N9" t="n">
        <v>-0.5</v>
      </c>
      <c r="O9" t="n">
        <v>-0.25</v>
      </c>
      <c r="P9" t="n">
        <v>122</v>
      </c>
      <c r="Q9" t="n">
        <v>12</v>
      </c>
      <c r="R9" t="s">
        <v>290</v>
      </c>
      <c r="S9" t="s">
        <v>291</v>
      </c>
      <c r="T9" t="n">
        <v>-0.5</v>
      </c>
    </row>
    <row r="10">
      <c r="A10" t="s">
        <v>30</v>
      </c>
      <c r="B10" t="n">
        <v>1.05</v>
      </c>
      <c r="C10" t="n">
        <v>0.9</v>
      </c>
      <c r="D10" t="n">
        <v>1.06</v>
      </c>
      <c r="E10" t="n">
        <v>-6</v>
      </c>
      <c r="F10" t="n">
        <v>-1.5</v>
      </c>
      <c r="G10" t="n">
        <v>161</v>
      </c>
      <c r="H10" t="n">
        <v>12</v>
      </c>
      <c r="I10" t="s">
        <v>288</v>
      </c>
      <c r="J10" t="n">
        <v>0</v>
      </c>
      <c r="K10" t="n">
        <v>0</v>
      </c>
      <c r="L10" t="n">
        <v>0</v>
      </c>
      <c r="M10" t="n">
        <v>12</v>
      </c>
      <c r="N10" t="n">
        <v>0.5</v>
      </c>
      <c r="O10" t="n">
        <v>-0.25</v>
      </c>
      <c r="P10" t="n">
        <v>12</v>
      </c>
      <c r="Q10" t="n">
        <v>12</v>
      </c>
      <c r="R10" t="s">
        <v>288</v>
      </c>
      <c r="S10" t="s">
        <v>291</v>
      </c>
      <c r="T10" t="n">
        <v>0.25</v>
      </c>
    </row>
    <row r="11">
      <c r="A11" t="s">
        <v>30</v>
      </c>
      <c r="B11" t="n">
        <v>1.11</v>
      </c>
      <c r="C11" t="n">
        <v>1.14</v>
      </c>
      <c r="D11" t="n">
        <v>1.08</v>
      </c>
      <c r="E11" t="n">
        <v>-4.25</v>
      </c>
      <c r="F11" t="n">
        <v>-2.5</v>
      </c>
      <c r="G11" t="n">
        <v>3</v>
      </c>
      <c r="H11" t="n">
        <v>12</v>
      </c>
      <c r="I11" t="s">
        <v>293</v>
      </c>
      <c r="J11" t="n">
        <v>0</v>
      </c>
      <c r="K11" t="n">
        <v>0</v>
      </c>
      <c r="L11" t="n">
        <v>0</v>
      </c>
      <c r="M11" t="n">
        <v>12</v>
      </c>
      <c r="N11" t="n">
        <v>0</v>
      </c>
      <c r="O11" t="n">
        <v>0</v>
      </c>
      <c r="P11" t="n">
        <v>9</v>
      </c>
      <c r="Q11" t="n">
        <v>12</v>
      </c>
      <c r="R11" t="s">
        <v>293</v>
      </c>
      <c r="S11" t="s">
        <v>297</v>
      </c>
      <c r="T11" t="n">
        <v>0</v>
      </c>
    </row>
    <row r="12">
      <c r="A12" t="s">
        <v>30</v>
      </c>
      <c r="B12" t="n">
        <v>1.1</v>
      </c>
      <c r="C12" t="n">
        <v>1.09</v>
      </c>
      <c r="D12" t="n">
        <v>1.12</v>
      </c>
      <c r="E12" t="n">
        <v>-5.25</v>
      </c>
      <c r="F12" t="n">
        <v>-0.5</v>
      </c>
      <c r="G12" t="n">
        <v>13</v>
      </c>
      <c r="H12" t="n">
        <v>12</v>
      </c>
      <c r="I12" t="s">
        <v>293</v>
      </c>
      <c r="J12" t="n">
        <v>0</v>
      </c>
      <c r="K12" t="n">
        <v>0</v>
      </c>
      <c r="L12" t="n">
        <v>0</v>
      </c>
      <c r="M12" t="n">
        <v>12</v>
      </c>
      <c r="N12" t="n">
        <v>0</v>
      </c>
      <c r="O12" t="n">
        <v>-0.25</v>
      </c>
      <c r="P12" t="n">
        <v>173</v>
      </c>
      <c r="Q12" t="n">
        <v>12</v>
      </c>
      <c r="R12" t="s">
        <v>293</v>
      </c>
      <c r="S12" t="s">
        <v>293</v>
      </c>
      <c r="T12" t="n">
        <v>0</v>
      </c>
    </row>
    <row r="13">
      <c r="A13" t="s">
        <v>30</v>
      </c>
      <c r="B13" t="n">
        <v>1.02</v>
      </c>
      <c r="C13" t="n">
        <v>0.99</v>
      </c>
      <c r="D13" t="n">
        <v>0.96</v>
      </c>
      <c r="E13" t="n">
        <v>-3.75</v>
      </c>
      <c r="F13" t="n">
        <v>0</v>
      </c>
      <c r="G13" t="n">
        <v>159</v>
      </c>
      <c r="H13" t="n">
        <v>12</v>
      </c>
      <c r="I13" t="s">
        <v>289</v>
      </c>
      <c r="J13" t="n">
        <v>0</v>
      </c>
      <c r="K13" t="n">
        <v>0</v>
      </c>
      <c r="L13" t="n">
        <v>0</v>
      </c>
      <c r="M13" t="n">
        <v>12</v>
      </c>
      <c r="N13" t="n">
        <v>0.5</v>
      </c>
      <c r="O13" t="n">
        <v>0</v>
      </c>
      <c r="P13" t="n">
        <v>159</v>
      </c>
      <c r="Q13" t="n">
        <v>12</v>
      </c>
      <c r="R13" t="s">
        <v>290</v>
      </c>
      <c r="S13" t="s">
        <v>289</v>
      </c>
      <c r="T13" t="n">
        <v>0.5</v>
      </c>
    </row>
    <row r="14">
      <c r="A14" t="s">
        <v>30</v>
      </c>
      <c r="B14" t="n">
        <v>0.95</v>
      </c>
      <c r="C14" t="n">
        <v>1.14</v>
      </c>
      <c r="D14" t="n">
        <v>0.95</v>
      </c>
      <c r="E14" t="n">
        <v>-1.75</v>
      </c>
      <c r="F14" t="n">
        <v>0</v>
      </c>
      <c r="G14" t="n">
        <v>161</v>
      </c>
      <c r="H14" t="n">
        <v>12</v>
      </c>
      <c r="I14" t="s">
        <v>290</v>
      </c>
      <c r="J14" t="n">
        <v>0</v>
      </c>
      <c r="K14" t="n">
        <v>0</v>
      </c>
      <c r="L14" t="n">
        <v>0</v>
      </c>
      <c r="M14" t="n">
        <v>12</v>
      </c>
      <c r="N14" t="n">
        <v>0</v>
      </c>
      <c r="O14" t="n">
        <v>-0.25</v>
      </c>
      <c r="P14" t="n">
        <v>7</v>
      </c>
      <c r="Q14" t="n">
        <v>12</v>
      </c>
      <c r="R14" t="s">
        <v>290</v>
      </c>
      <c r="S14" t="s">
        <v>297</v>
      </c>
      <c r="T14" t="n">
        <v>0</v>
      </c>
    </row>
    <row r="15">
      <c r="A15" t="s">
        <v>30</v>
      </c>
      <c r="B15" t="n">
        <v>1.04</v>
      </c>
      <c r="C15" t="n">
        <v>0.91</v>
      </c>
      <c r="D15" t="n">
        <v>1.04</v>
      </c>
      <c r="E15" t="n">
        <v>-5.25</v>
      </c>
      <c r="F15" t="n">
        <v>0</v>
      </c>
      <c r="G15" t="n">
        <v>3</v>
      </c>
      <c r="H15" t="n">
        <v>12</v>
      </c>
      <c r="I15" t="s">
        <v>288</v>
      </c>
      <c r="J15" t="n">
        <v>0</v>
      </c>
      <c r="K15" t="n">
        <v>0</v>
      </c>
      <c r="L15" t="n">
        <v>0</v>
      </c>
      <c r="M15" t="n">
        <v>12</v>
      </c>
      <c r="N15" t="n">
        <v>0.25</v>
      </c>
      <c r="O15" t="n">
        <v>-0.5</v>
      </c>
      <c r="P15" t="n">
        <v>91</v>
      </c>
      <c r="Q15" t="n">
        <v>12</v>
      </c>
      <c r="R15" t="s">
        <v>288</v>
      </c>
      <c r="S15" t="s">
        <v>291</v>
      </c>
      <c r="T15" t="n">
        <v>0</v>
      </c>
    </row>
    <row r="16">
      <c r="A16" t="s">
        <v>30</v>
      </c>
      <c r="B16" t="n">
        <v>1.13</v>
      </c>
      <c r="C16" t="n">
        <v>1.18</v>
      </c>
      <c r="D16" t="n">
        <v>1.16</v>
      </c>
      <c r="E16" t="n">
        <v>-5.75</v>
      </c>
      <c r="F16" t="n">
        <v>-1.25</v>
      </c>
      <c r="G16" t="n">
        <v>100</v>
      </c>
      <c r="H16" t="n">
        <v>12</v>
      </c>
      <c r="I16" t="s">
        <v>297</v>
      </c>
      <c r="J16" t="n">
        <v>0</v>
      </c>
      <c r="K16" t="n">
        <v>0</v>
      </c>
      <c r="L16" t="n">
        <v>0</v>
      </c>
      <c r="M16" t="n">
        <v>12</v>
      </c>
      <c r="N16" t="n">
        <v>0</v>
      </c>
      <c r="O16" t="n">
        <v>-0.25</v>
      </c>
      <c r="P16" t="n">
        <v>103</v>
      </c>
      <c r="Q16" t="n">
        <v>12</v>
      </c>
      <c r="R16" t="s">
        <v>297</v>
      </c>
      <c r="S16" t="s">
        <v>294</v>
      </c>
      <c r="T16" t="n">
        <v>0</v>
      </c>
    </row>
    <row r="17">
      <c r="A17" t="s">
        <v>30</v>
      </c>
      <c r="B17" t="n">
        <v>0.92</v>
      </c>
      <c r="C17" t="n">
        <v>0.87</v>
      </c>
      <c r="D17" t="n">
        <v>0.92</v>
      </c>
      <c r="E17" t="n">
        <v>-3.25</v>
      </c>
      <c r="F17" t="n">
        <v>0</v>
      </c>
      <c r="G17" t="n">
        <v>3</v>
      </c>
      <c r="H17" t="n">
        <v>12</v>
      </c>
      <c r="I17" t="s">
        <v>291</v>
      </c>
      <c r="J17" t="n">
        <v>0</v>
      </c>
      <c r="K17" t="n">
        <v>0</v>
      </c>
      <c r="L17" t="n">
        <v>0</v>
      </c>
      <c r="M17" t="n">
        <v>12</v>
      </c>
      <c r="N17" t="n">
        <v>0</v>
      </c>
      <c r="O17" t="n">
        <v>-0.25</v>
      </c>
      <c r="P17" t="n">
        <v>140</v>
      </c>
      <c r="Q17" t="n">
        <v>12</v>
      </c>
      <c r="R17" t="s">
        <v>291</v>
      </c>
      <c r="S17" t="s">
        <v>300</v>
      </c>
      <c r="T17" t="n">
        <v>0</v>
      </c>
    </row>
    <row r="18">
      <c r="A18" t="s">
        <v>30</v>
      </c>
      <c r="B18" t="n">
        <v>0.89</v>
      </c>
      <c r="C18" t="n">
        <v>0.81</v>
      </c>
      <c r="D18" t="n">
        <v>0.85</v>
      </c>
      <c r="E18" t="n">
        <v>-2.5</v>
      </c>
      <c r="F18" t="n">
        <v>0</v>
      </c>
      <c r="G18" t="n">
        <v>1</v>
      </c>
      <c r="H18" t="n">
        <v>12</v>
      </c>
      <c r="I18" t="s">
        <v>300</v>
      </c>
      <c r="J18" t="n">
        <v>0</v>
      </c>
      <c r="K18" t="n">
        <v>0</v>
      </c>
      <c r="L18" t="n">
        <v>0</v>
      </c>
      <c r="M18" t="n">
        <v>12</v>
      </c>
      <c r="N18" t="n">
        <v>0.5</v>
      </c>
      <c r="O18" t="n">
        <v>-0.5</v>
      </c>
      <c r="P18" t="n">
        <v>23</v>
      </c>
      <c r="Q18" t="n">
        <v>12</v>
      </c>
      <c r="R18" t="s">
        <v>298</v>
      </c>
      <c r="S18" t="s">
        <v>292</v>
      </c>
      <c r="T18" t="n">
        <v>0.25</v>
      </c>
    </row>
    <row r="19">
      <c r="A19" t="s">
        <v>30</v>
      </c>
      <c r="B19" t="n">
        <v>1.12</v>
      </c>
      <c r="C19" t="n">
        <v>1.15</v>
      </c>
      <c r="D19" t="n">
        <v>1.17</v>
      </c>
      <c r="E19" t="n">
        <v>-0.75</v>
      </c>
      <c r="F19" t="n">
        <v>0</v>
      </c>
      <c r="G19" t="n">
        <v>163</v>
      </c>
      <c r="H19" t="n">
        <v>12</v>
      </c>
      <c r="I19" t="s">
        <v>293</v>
      </c>
      <c r="J19" t="n">
        <v>0</v>
      </c>
      <c r="K19" t="n">
        <v>0</v>
      </c>
      <c r="L19" t="n">
        <v>0</v>
      </c>
      <c r="M19" t="n">
        <v>12</v>
      </c>
      <c r="N19" t="n">
        <v>0</v>
      </c>
      <c r="O19" t="n">
        <v>-0.25</v>
      </c>
      <c r="P19" t="n">
        <v>149</v>
      </c>
      <c r="Q19" t="n">
        <v>12</v>
      </c>
      <c r="R19" t="s">
        <v>297</v>
      </c>
      <c r="S19" t="s">
        <v>297</v>
      </c>
      <c r="T19" t="n">
        <v>0</v>
      </c>
    </row>
    <row r="20">
      <c r="A20" t="s">
        <v>30</v>
      </c>
      <c r="B20" t="n">
        <v>0.97</v>
      </c>
      <c r="C20" t="n">
        <v>1</v>
      </c>
      <c r="D20" t="n">
        <v>0.95</v>
      </c>
      <c r="E20" t="n">
        <v>-5</v>
      </c>
      <c r="F20" t="n">
        <v>-1</v>
      </c>
      <c r="G20" t="n">
        <v>159</v>
      </c>
      <c r="H20" t="n">
        <v>12</v>
      </c>
      <c r="I20" t="s">
        <v>290</v>
      </c>
      <c r="J20" t="n">
        <v>0</v>
      </c>
      <c r="K20" t="n">
        <v>0</v>
      </c>
      <c r="L20" t="n">
        <v>0</v>
      </c>
      <c r="M20" t="n">
        <v>12</v>
      </c>
      <c r="N20" t="n">
        <v>0.25</v>
      </c>
      <c r="O20" t="n">
        <v>-0.5</v>
      </c>
      <c r="P20" t="n">
        <v>169</v>
      </c>
      <c r="Q20" t="n">
        <v>12</v>
      </c>
      <c r="R20" t="s">
        <v>290</v>
      </c>
      <c r="S20" t="s">
        <v>289</v>
      </c>
      <c r="T20" t="n">
        <v>0</v>
      </c>
    </row>
    <row r="21">
      <c r="A21" t="s">
        <v>30</v>
      </c>
      <c r="B21" t="n">
        <v>1.15</v>
      </c>
      <c r="C21" t="n">
        <v>1.16</v>
      </c>
      <c r="D21" t="n">
        <v>1.12</v>
      </c>
      <c r="E21" t="n">
        <v>-2.5</v>
      </c>
      <c r="F21" t="n">
        <v>-0.5</v>
      </c>
      <c r="G21" t="n">
        <v>164</v>
      </c>
      <c r="H21" t="n">
        <v>12</v>
      </c>
      <c r="I21" t="s">
        <v>297</v>
      </c>
      <c r="J21" t="n">
        <v>0</v>
      </c>
      <c r="K21" t="n">
        <v>0</v>
      </c>
      <c r="L21" t="n">
        <v>0</v>
      </c>
      <c r="M21" t="n">
        <v>12</v>
      </c>
      <c r="N21" t="n">
        <v>1</v>
      </c>
      <c r="O21" t="n">
        <v>-0.25</v>
      </c>
      <c r="P21" t="n">
        <v>170</v>
      </c>
      <c r="Q21" t="n">
        <v>12</v>
      </c>
      <c r="R21" t="s">
        <v>293</v>
      </c>
      <c r="S21" t="s">
        <v>297</v>
      </c>
      <c r="T21" t="n">
        <v>0.75</v>
      </c>
    </row>
    <row r="22">
      <c r="A22" t="s">
        <v>30</v>
      </c>
      <c r="B22" t="n">
        <v>1.11</v>
      </c>
      <c r="C22" t="n">
        <v>1.25</v>
      </c>
      <c r="D22" t="n">
        <v>1.14</v>
      </c>
      <c r="E22" t="n">
        <v>-2</v>
      </c>
      <c r="F22" t="n">
        <v>-0.25</v>
      </c>
      <c r="G22" t="n">
        <v>10</v>
      </c>
      <c r="H22" t="n">
        <v>12</v>
      </c>
      <c r="I22" t="s">
        <v>293</v>
      </c>
      <c r="J22" t="n">
        <v>0</v>
      </c>
      <c r="K22" t="n">
        <v>0</v>
      </c>
      <c r="L22" t="n">
        <v>0</v>
      </c>
      <c r="M22" t="n">
        <v>12</v>
      </c>
      <c r="N22" t="n">
        <v>0</v>
      </c>
      <c r="O22" t="n">
        <v>-0.5</v>
      </c>
      <c r="P22" t="n">
        <v>28</v>
      </c>
      <c r="Q22" t="n">
        <v>12</v>
      </c>
      <c r="R22" t="s">
        <v>297</v>
      </c>
      <c r="S22" t="s">
        <v>296</v>
      </c>
      <c r="T22" t="n">
        <v>-0.25</v>
      </c>
    </row>
    <row r="23">
      <c r="A23" t="s">
        <v>30</v>
      </c>
      <c r="B23" t="n">
        <v>1.01</v>
      </c>
      <c r="C23" t="n">
        <v>0.91</v>
      </c>
      <c r="D23" t="n">
        <v>1</v>
      </c>
      <c r="E23" t="n">
        <v>-3.25</v>
      </c>
      <c r="F23" t="n">
        <v>-0.25</v>
      </c>
      <c r="G23" t="n">
        <v>47</v>
      </c>
      <c r="H23" t="n">
        <v>12</v>
      </c>
      <c r="I23" t="s">
        <v>289</v>
      </c>
      <c r="J23" t="n">
        <v>0</v>
      </c>
      <c r="K23" t="n">
        <v>0</v>
      </c>
      <c r="L23" t="n">
        <v>0</v>
      </c>
      <c r="M23" t="n">
        <v>12</v>
      </c>
      <c r="N23" t="n">
        <v>0.5</v>
      </c>
      <c r="O23" t="n">
        <v>-0.5</v>
      </c>
      <c r="P23" t="n">
        <v>48</v>
      </c>
      <c r="Q23" t="n">
        <v>12</v>
      </c>
      <c r="R23" t="s">
        <v>289</v>
      </c>
      <c r="S23" t="s">
        <v>291</v>
      </c>
      <c r="T23" t="n">
        <v>0.25</v>
      </c>
    </row>
    <row r="24">
      <c r="A24" t="s">
        <v>30</v>
      </c>
      <c r="B24" t="n">
        <v>1.03</v>
      </c>
      <c r="C24" t="n">
        <v>0.93</v>
      </c>
      <c r="D24" t="n">
        <v>1.03</v>
      </c>
      <c r="E24" t="n">
        <v>-7.25</v>
      </c>
      <c r="F24" t="n">
        <v>-0.5</v>
      </c>
      <c r="G24" t="n">
        <v>180</v>
      </c>
      <c r="H24" t="n">
        <v>12</v>
      </c>
      <c r="I24" t="s">
        <v>288</v>
      </c>
      <c r="J24" t="n">
        <v>0</v>
      </c>
      <c r="K24" t="n">
        <v>0</v>
      </c>
      <c r="L24" t="n">
        <v>0</v>
      </c>
      <c r="M24" t="n">
        <v>12</v>
      </c>
      <c r="N24" t="n">
        <v>0.5</v>
      </c>
      <c r="O24" t="n">
        <v>-0.5</v>
      </c>
      <c r="P24" t="n">
        <v>16</v>
      </c>
      <c r="Q24" t="n">
        <v>12</v>
      </c>
      <c r="R24" t="s">
        <v>288</v>
      </c>
      <c r="S24" t="s">
        <v>291</v>
      </c>
      <c r="T24" t="n">
        <v>0.25</v>
      </c>
    </row>
    <row r="25">
      <c r="A25" t="s">
        <v>30</v>
      </c>
      <c r="B25" t="n">
        <v>0.98</v>
      </c>
      <c r="C25" t="n">
        <v>0.86</v>
      </c>
      <c r="D25" t="n">
        <v>0.95</v>
      </c>
      <c r="E25" t="n">
        <v>-7.25</v>
      </c>
      <c r="F25" t="n">
        <v>-0.75</v>
      </c>
      <c r="G25" t="n">
        <v>14</v>
      </c>
      <c r="H25" t="n">
        <v>12</v>
      </c>
      <c r="I25" t="s">
        <v>289</v>
      </c>
      <c r="J25" t="n">
        <v>0</v>
      </c>
      <c r="K25" t="n">
        <v>0</v>
      </c>
      <c r="L25" t="n">
        <v>0</v>
      </c>
      <c r="M25" t="n">
        <v>12</v>
      </c>
      <c r="N25" t="n">
        <v>0</v>
      </c>
      <c r="O25" t="n">
        <v>-0.5</v>
      </c>
      <c r="P25" t="n">
        <v>167</v>
      </c>
      <c r="Q25" t="n">
        <v>12</v>
      </c>
      <c r="R25" t="s">
        <v>290</v>
      </c>
      <c r="S25" t="s">
        <v>300</v>
      </c>
      <c r="T25" t="n">
        <v>-0.25</v>
      </c>
    </row>
    <row r="26">
      <c r="A26" t="s">
        <v>30</v>
      </c>
      <c r="B26" t="n">
        <v>0.88</v>
      </c>
      <c r="C26" t="n">
        <v>0.83</v>
      </c>
      <c r="D26" t="n">
        <v>0.82</v>
      </c>
      <c r="E26" t="n">
        <v>-4.5</v>
      </c>
      <c r="F26" t="n">
        <v>-1.25</v>
      </c>
      <c r="G26" t="n">
        <v>75</v>
      </c>
      <c r="H26" t="n">
        <v>12</v>
      </c>
      <c r="I26" t="s">
        <v>300</v>
      </c>
      <c r="J26" t="n">
        <v>0</v>
      </c>
      <c r="K26" t="n">
        <v>0</v>
      </c>
      <c r="L26" t="n">
        <v>0</v>
      </c>
      <c r="M26" t="n">
        <v>12</v>
      </c>
      <c r="N26" t="n">
        <v>0.25</v>
      </c>
      <c r="O26" t="n">
        <v>-0.5</v>
      </c>
      <c r="P26" t="n">
        <v>50</v>
      </c>
      <c r="Q26" t="n">
        <v>12</v>
      </c>
      <c r="R26" t="s">
        <v>298</v>
      </c>
      <c r="S26" t="s">
        <v>298</v>
      </c>
      <c r="T26" t="n">
        <v>0</v>
      </c>
    </row>
    <row r="27">
      <c r="A27" t="s">
        <v>30</v>
      </c>
      <c r="B27" t="n">
        <v>0.99</v>
      </c>
      <c r="C27" t="n">
        <v>0.92</v>
      </c>
      <c r="D27" t="n">
        <v>0.98</v>
      </c>
      <c r="E27" t="n">
        <v>-0.5</v>
      </c>
      <c r="F27" t="n">
        <v>-0.5</v>
      </c>
      <c r="G27" t="n">
        <v>23</v>
      </c>
      <c r="H27" t="n">
        <v>12</v>
      </c>
      <c r="I27" t="s">
        <v>289</v>
      </c>
      <c r="J27" t="n">
        <v>0</v>
      </c>
      <c r="K27" t="n">
        <v>0</v>
      </c>
      <c r="L27" t="n">
        <v>0</v>
      </c>
      <c r="M27" t="n">
        <v>12</v>
      </c>
      <c r="N27" t="n">
        <v>0.5</v>
      </c>
      <c r="O27" t="n">
        <v>-0.25</v>
      </c>
      <c r="P27" t="n">
        <v>49</v>
      </c>
      <c r="Q27" t="n">
        <v>12</v>
      </c>
      <c r="R27" t="s">
        <v>289</v>
      </c>
      <c r="S27" t="s">
        <v>291</v>
      </c>
      <c r="T27" t="n">
        <v>0.5</v>
      </c>
    </row>
    <row r="28">
      <c r="A28" t="s">
        <v>30</v>
      </c>
      <c r="B28" t="n">
        <v>1.08</v>
      </c>
      <c r="C28" t="n">
        <v>1.15</v>
      </c>
      <c r="D28" t="n">
        <v>1.04</v>
      </c>
      <c r="E28" t="n">
        <v>-4.75</v>
      </c>
      <c r="F28" t="n">
        <v>-0.25</v>
      </c>
      <c r="G28" t="n">
        <v>172</v>
      </c>
      <c r="H28" t="n">
        <v>12</v>
      </c>
      <c r="I28" t="s">
        <v>293</v>
      </c>
      <c r="J28" t="n">
        <v>0</v>
      </c>
      <c r="K28" t="n">
        <v>0</v>
      </c>
      <c r="L28" t="n">
        <v>0</v>
      </c>
      <c r="M28" t="n">
        <v>12</v>
      </c>
      <c r="N28" t="n">
        <v>0.5</v>
      </c>
      <c r="O28" t="n">
        <v>-0.25</v>
      </c>
      <c r="P28" t="n">
        <v>15</v>
      </c>
      <c r="Q28" t="n">
        <v>12</v>
      </c>
      <c r="R28" t="s">
        <v>288</v>
      </c>
      <c r="S28" t="s">
        <v>297</v>
      </c>
      <c r="T28" t="n">
        <v>0.25</v>
      </c>
    </row>
    <row r="29">
      <c r="A29" t="s">
        <v>30</v>
      </c>
      <c r="B29" t="n">
        <v>1.06</v>
      </c>
      <c r="C29" t="n">
        <v>1.11</v>
      </c>
      <c r="D29" t="n">
        <v>1.06</v>
      </c>
      <c r="E29" t="n">
        <v>-3</v>
      </c>
      <c r="F29" t="n">
        <v>-0.75</v>
      </c>
      <c r="G29" t="n">
        <v>165</v>
      </c>
      <c r="H29" t="n">
        <v>12</v>
      </c>
      <c r="I29" t="s">
        <v>288</v>
      </c>
      <c r="J29" t="n">
        <v>0</v>
      </c>
      <c r="K29" t="n">
        <v>0</v>
      </c>
      <c r="L29" t="n">
        <v>0</v>
      </c>
      <c r="M29" t="n">
        <v>12</v>
      </c>
      <c r="N29" t="n">
        <v>0</v>
      </c>
      <c r="O29" t="n">
        <v>-0.5</v>
      </c>
      <c r="P29" t="n">
        <v>12</v>
      </c>
      <c r="Q29" t="n">
        <v>12</v>
      </c>
      <c r="R29" t="s">
        <v>288</v>
      </c>
      <c r="S29" t="s">
        <v>293</v>
      </c>
      <c r="T29" t="n">
        <v>-0.25</v>
      </c>
    </row>
    <row r="30">
      <c r="A30" t="s">
        <v>30</v>
      </c>
      <c r="B30" t="n">
        <v>1.02</v>
      </c>
      <c r="C30" t="n">
        <v>0.96</v>
      </c>
      <c r="D30" t="n">
        <v>0.96</v>
      </c>
      <c r="E30" t="n">
        <v>-4.25</v>
      </c>
      <c r="F30" t="n">
        <v>-0.5</v>
      </c>
      <c r="G30" t="n">
        <v>76</v>
      </c>
      <c r="H30" t="n">
        <v>12</v>
      </c>
      <c r="I30" t="s">
        <v>289</v>
      </c>
      <c r="J30" t="n">
        <v>0</v>
      </c>
      <c r="K30" t="n">
        <v>0</v>
      </c>
      <c r="L30" t="n">
        <v>0</v>
      </c>
      <c r="M30" t="n">
        <v>12</v>
      </c>
      <c r="N30" t="n">
        <v>0</v>
      </c>
      <c r="O30" t="n">
        <v>-0.25</v>
      </c>
      <c r="P30" t="n">
        <v>62</v>
      </c>
      <c r="Q30" t="n">
        <v>12</v>
      </c>
      <c r="R30" t="s">
        <v>290</v>
      </c>
      <c r="S30" t="s">
        <v>290</v>
      </c>
      <c r="T30" t="n">
        <v>0</v>
      </c>
    </row>
    <row r="31">
      <c r="A31" t="s">
        <v>30</v>
      </c>
      <c r="B31" t="n">
        <v>0.9</v>
      </c>
      <c r="C31" t="n">
        <v>0.91</v>
      </c>
      <c r="D31" t="n">
        <v>0.91</v>
      </c>
      <c r="E31" t="n">
        <v>-3.5</v>
      </c>
      <c r="F31" t="n">
        <v>0</v>
      </c>
      <c r="G31" t="n">
        <v>170</v>
      </c>
      <c r="H31" t="n">
        <v>12</v>
      </c>
      <c r="I31" t="s">
        <v>291</v>
      </c>
      <c r="J31" t="n">
        <v>0</v>
      </c>
      <c r="K31" t="n">
        <v>0</v>
      </c>
      <c r="L31" t="n">
        <v>0</v>
      </c>
      <c r="M31" t="n">
        <v>12</v>
      </c>
      <c r="N31" t="n">
        <v>0</v>
      </c>
      <c r="O31" t="n">
        <v>-0.25</v>
      </c>
      <c r="P31" t="n">
        <v>165</v>
      </c>
      <c r="Q31" t="n">
        <v>12</v>
      </c>
      <c r="R31" t="s">
        <v>291</v>
      </c>
      <c r="S31" t="s">
        <v>291</v>
      </c>
      <c r="T31" t="n">
        <v>0</v>
      </c>
    </row>
    <row r="32">
      <c r="A32" t="s">
        <v>30</v>
      </c>
      <c r="B32" t="n">
        <v>1.06</v>
      </c>
      <c r="C32" t="n">
        <v>0.95</v>
      </c>
      <c r="D32" t="n">
        <v>1.06</v>
      </c>
      <c r="E32" t="n">
        <v>-3.25</v>
      </c>
      <c r="F32" t="n">
        <v>-1.25</v>
      </c>
      <c r="G32" t="n">
        <v>84</v>
      </c>
      <c r="H32" t="n">
        <v>12</v>
      </c>
      <c r="I32" t="s">
        <v>288</v>
      </c>
      <c r="J32" t="n">
        <v>0</v>
      </c>
      <c r="K32" t="n">
        <v>0</v>
      </c>
      <c r="L32" t="n">
        <v>0</v>
      </c>
      <c r="M32" t="n">
        <v>12</v>
      </c>
      <c r="N32" t="n">
        <v>0.5</v>
      </c>
      <c r="O32" t="n">
        <v>-0.25</v>
      </c>
      <c r="P32" t="n">
        <v>62</v>
      </c>
      <c r="Q32" t="n">
        <v>12</v>
      </c>
      <c r="R32" t="s">
        <v>288</v>
      </c>
      <c r="S32" t="s">
        <v>290</v>
      </c>
      <c r="T32" t="n">
        <v>0.5</v>
      </c>
    </row>
    <row r="33">
      <c r="A33" t="s">
        <v>30</v>
      </c>
      <c r="B33" t="n">
        <v>1.11</v>
      </c>
      <c r="C33" t="n">
        <v>1.06</v>
      </c>
      <c r="D33" t="n">
        <v>1.09</v>
      </c>
      <c r="E33" t="n">
        <v>-6.75</v>
      </c>
      <c r="F33" t="n">
        <v>-0.75</v>
      </c>
      <c r="G33" t="n">
        <v>81</v>
      </c>
      <c r="H33" t="n">
        <v>12</v>
      </c>
      <c r="I33" t="s">
        <v>293</v>
      </c>
      <c r="J33" t="n">
        <v>0</v>
      </c>
      <c r="K33" t="n">
        <v>0</v>
      </c>
      <c r="L33" t="n">
        <v>0</v>
      </c>
      <c r="M33" t="n">
        <v>12</v>
      </c>
      <c r="N33" t="n">
        <v>-0.5</v>
      </c>
      <c r="O33" t="n">
        <v>-0.25</v>
      </c>
      <c r="P33" t="n">
        <v>34</v>
      </c>
      <c r="Q33" t="n">
        <v>12</v>
      </c>
      <c r="R33" t="s">
        <v>293</v>
      </c>
      <c r="S33" t="s">
        <v>288</v>
      </c>
      <c r="T33" t="n">
        <v>-0.5</v>
      </c>
    </row>
    <row r="34">
      <c r="A34" t="s">
        <v>30</v>
      </c>
      <c r="B34" t="n">
        <v>1.01</v>
      </c>
      <c r="C34" t="n">
        <v>1.07</v>
      </c>
      <c r="D34" t="n">
        <v>1.02</v>
      </c>
      <c r="E34" t="n">
        <v>-2.5</v>
      </c>
      <c r="F34" t="n">
        <v>-0.5</v>
      </c>
      <c r="G34" t="n">
        <v>149</v>
      </c>
      <c r="H34" t="n">
        <v>12</v>
      </c>
      <c r="I34" t="s">
        <v>289</v>
      </c>
      <c r="J34" t="n">
        <v>0</v>
      </c>
      <c r="K34" t="n">
        <v>0</v>
      </c>
      <c r="L34" t="n">
        <v>0</v>
      </c>
      <c r="M34" t="n">
        <v>12</v>
      </c>
      <c r="N34" t="n">
        <v>0</v>
      </c>
      <c r="O34" t="n">
        <v>-0.25</v>
      </c>
      <c r="P34" t="n">
        <v>161</v>
      </c>
      <c r="Q34" t="n">
        <v>12</v>
      </c>
      <c r="R34" t="s">
        <v>289</v>
      </c>
      <c r="S34" t="s">
        <v>288</v>
      </c>
      <c r="T34" t="n">
        <v>0</v>
      </c>
    </row>
    <row r="35">
      <c r="A35" t="s">
        <v>30</v>
      </c>
      <c r="B35" t="n">
        <v>0.92</v>
      </c>
      <c r="C35" t="n">
        <v>0.75</v>
      </c>
      <c r="D35" t="n">
        <v>0.93</v>
      </c>
      <c r="E35" t="n">
        <v>-8.25</v>
      </c>
      <c r="F35" t="n">
        <v>-0.75</v>
      </c>
      <c r="G35" t="n">
        <v>172</v>
      </c>
      <c r="H35" t="n">
        <v>12</v>
      </c>
      <c r="I35" t="s">
        <v>291</v>
      </c>
      <c r="J35" t="n">
        <v>0</v>
      </c>
      <c r="K35" t="n">
        <v>0</v>
      </c>
      <c r="L35" t="n">
        <v>0</v>
      </c>
      <c r="M35" t="n">
        <v>12</v>
      </c>
      <c r="N35" t="n">
        <v>-0.5</v>
      </c>
      <c r="O35" t="n">
        <v>-0.25</v>
      </c>
      <c r="P35" t="n">
        <v>171</v>
      </c>
      <c r="Q35" t="n">
        <v>12</v>
      </c>
      <c r="R35" t="s">
        <v>291</v>
      </c>
      <c r="S35" t="s">
        <v>301</v>
      </c>
      <c r="T35" t="n">
        <v>-0.5</v>
      </c>
    </row>
    <row r="36">
      <c r="A36" t="s">
        <v>30</v>
      </c>
      <c r="B36" t="n">
        <v>0.99</v>
      </c>
      <c r="C36" t="n">
        <v>0.96</v>
      </c>
      <c r="D36" t="n">
        <v>1.01</v>
      </c>
      <c r="E36" t="n">
        <v>-5</v>
      </c>
      <c r="F36" t="n">
        <v>-0.25</v>
      </c>
      <c r="G36" t="n">
        <v>161</v>
      </c>
      <c r="H36" t="n">
        <v>12</v>
      </c>
      <c r="I36" t="s">
        <v>289</v>
      </c>
      <c r="J36" t="n">
        <v>0</v>
      </c>
      <c r="K36" t="n">
        <v>0</v>
      </c>
      <c r="L36" t="n">
        <v>0</v>
      </c>
      <c r="M36" t="n">
        <v>12</v>
      </c>
      <c r="N36" t="n">
        <v>0</v>
      </c>
      <c r="O36" t="n">
        <v>0</v>
      </c>
      <c r="P36" t="n">
        <v>80</v>
      </c>
      <c r="Q36" t="n">
        <v>12</v>
      </c>
      <c r="R36" t="s">
        <v>289</v>
      </c>
      <c r="S36" t="s">
        <v>290</v>
      </c>
      <c r="T36" t="n">
        <v>0</v>
      </c>
    </row>
    <row r="37">
      <c r="A37" t="s">
        <v>30</v>
      </c>
      <c r="B37" t="n">
        <v>0.93</v>
      </c>
      <c r="C37" t="n">
        <v>0.96</v>
      </c>
      <c r="D37" t="n">
        <v>0.94</v>
      </c>
      <c r="E37" t="n">
        <v>-5.75</v>
      </c>
      <c r="F37" t="n">
        <v>-1</v>
      </c>
      <c r="G37" t="n">
        <v>83</v>
      </c>
      <c r="H37" t="n">
        <v>12</v>
      </c>
      <c r="I37" t="s">
        <v>291</v>
      </c>
      <c r="J37" t="n">
        <v>0</v>
      </c>
      <c r="K37" t="n">
        <v>0</v>
      </c>
      <c r="L37" t="n">
        <v>0</v>
      </c>
      <c r="M37" t="n">
        <v>12</v>
      </c>
      <c r="N37" t="n">
        <v>0</v>
      </c>
      <c r="O37" t="n">
        <v>-0.25</v>
      </c>
      <c r="P37" t="n">
        <v>78</v>
      </c>
      <c r="Q37" t="n">
        <v>12</v>
      </c>
      <c r="R37" t="s">
        <v>290</v>
      </c>
      <c r="S37" t="s">
        <v>290</v>
      </c>
      <c r="T37" t="n">
        <v>0</v>
      </c>
    </row>
    <row r="38">
      <c r="A38" t="s">
        <v>30</v>
      </c>
      <c r="B38" t="n">
        <v>0.91</v>
      </c>
      <c r="C38" t="n">
        <v>0.89</v>
      </c>
      <c r="D38" t="n">
        <v>0.88</v>
      </c>
      <c r="E38" t="n">
        <v>-4</v>
      </c>
      <c r="F38" t="n">
        <v>0</v>
      </c>
      <c r="G38" t="n">
        <v>100</v>
      </c>
      <c r="H38" t="n">
        <v>12</v>
      </c>
      <c r="I38" t="s">
        <v>291</v>
      </c>
      <c r="J38" t="n">
        <v>0</v>
      </c>
      <c r="K38" t="n">
        <v>0</v>
      </c>
      <c r="L38" t="n">
        <v>0</v>
      </c>
      <c r="M38" t="n">
        <v>12</v>
      </c>
      <c r="N38" t="n">
        <v>0</v>
      </c>
      <c r="O38" t="n">
        <v>0</v>
      </c>
      <c r="P38" t="n">
        <v>124</v>
      </c>
      <c r="Q38" t="n">
        <v>12</v>
      </c>
      <c r="R38" t="s">
        <v>300</v>
      </c>
      <c r="S38" t="s">
        <v>300</v>
      </c>
      <c r="T38" t="n">
        <v>0</v>
      </c>
    </row>
    <row r="39">
      <c r="A39" t="s">
        <v>30</v>
      </c>
      <c r="B39" t="n">
        <v>1.04</v>
      </c>
      <c r="C39" t="n">
        <v>1.09</v>
      </c>
      <c r="D39" t="n">
        <v>1.03</v>
      </c>
      <c r="E39" t="n">
        <v>-3.25</v>
      </c>
      <c r="F39" t="n">
        <v>-0.5</v>
      </c>
      <c r="G39" t="n">
        <v>82</v>
      </c>
      <c r="H39" t="n">
        <v>12</v>
      </c>
      <c r="I39" t="s">
        <v>288</v>
      </c>
      <c r="J39" t="n">
        <v>0</v>
      </c>
      <c r="K39" t="n">
        <v>0</v>
      </c>
      <c r="L39" t="n">
        <v>0</v>
      </c>
      <c r="M39" t="n">
        <v>12</v>
      </c>
      <c r="N39" t="n">
        <v>0.5</v>
      </c>
      <c r="O39" t="n">
        <v>-0.5</v>
      </c>
      <c r="P39" t="n">
        <v>86</v>
      </c>
      <c r="Q39" t="n">
        <v>12</v>
      </c>
      <c r="R39" t="s">
        <v>288</v>
      </c>
      <c r="S39" t="s">
        <v>293</v>
      </c>
      <c r="T39" t="n">
        <v>0.25</v>
      </c>
    </row>
    <row r="40">
      <c r="A40" t="s">
        <v>30</v>
      </c>
      <c r="B40" t="n">
        <v>1.03</v>
      </c>
      <c r="C40" t="n">
        <v>1.08</v>
      </c>
      <c r="D40" t="n">
        <v>1.06</v>
      </c>
      <c r="E40" t="n">
        <v>-1</v>
      </c>
      <c r="F40" t="n">
        <v>-0.5</v>
      </c>
      <c r="G40" t="n">
        <v>80</v>
      </c>
      <c r="H40" t="n">
        <v>12</v>
      </c>
      <c r="I40" t="s">
        <v>288</v>
      </c>
      <c r="J40" t="n">
        <v>0</v>
      </c>
      <c r="K40" t="n">
        <v>0</v>
      </c>
      <c r="L40" t="n">
        <v>0</v>
      </c>
      <c r="M40" t="n">
        <v>12</v>
      </c>
      <c r="N40" t="n">
        <v>0</v>
      </c>
      <c r="O40" t="n">
        <v>0</v>
      </c>
      <c r="P40" t="n">
        <v>11</v>
      </c>
      <c r="Q40" t="n">
        <v>12</v>
      </c>
      <c r="R40" t="s">
        <v>288</v>
      </c>
      <c r="S40" t="s">
        <v>293</v>
      </c>
      <c r="T40" t="n">
        <v>0</v>
      </c>
    </row>
    <row r="41">
      <c r="A41" t="s">
        <v>30</v>
      </c>
      <c r="B41" t="n">
        <v>1.04</v>
      </c>
      <c r="C41" t="n">
        <v>1.1</v>
      </c>
      <c r="D41" t="n">
        <v>1.06</v>
      </c>
      <c r="E41" t="n">
        <v>-1.25</v>
      </c>
      <c r="F41" t="n">
        <v>-1</v>
      </c>
      <c r="G41" t="n">
        <v>180</v>
      </c>
      <c r="H41" t="n">
        <v>12</v>
      </c>
      <c r="I41" t="s">
        <v>288</v>
      </c>
      <c r="J41" t="n">
        <v>0</v>
      </c>
      <c r="K41" t="n">
        <v>0</v>
      </c>
      <c r="L41" t="n">
        <v>0</v>
      </c>
      <c r="M41" t="n">
        <v>12</v>
      </c>
      <c r="N41" t="n">
        <v>-0.5</v>
      </c>
      <c r="O41" t="n">
        <v>0</v>
      </c>
      <c r="P41" t="n">
        <v>178</v>
      </c>
      <c r="Q41" t="n">
        <v>12</v>
      </c>
      <c r="R41" t="s">
        <v>288</v>
      </c>
      <c r="S41" t="s">
        <v>293</v>
      </c>
      <c r="T41" t="n">
        <v>-0.5</v>
      </c>
    </row>
    <row r="42">
      <c r="A42" t="s">
        <v>30</v>
      </c>
      <c r="B42" t="n">
        <v>0.98</v>
      </c>
      <c r="C42" t="n">
        <v>1.08</v>
      </c>
      <c r="D42" t="n">
        <v>1.02</v>
      </c>
      <c r="E42" t="n">
        <v>-0.5</v>
      </c>
      <c r="F42" t="n">
        <v>-0.75</v>
      </c>
      <c r="G42" t="n">
        <v>7</v>
      </c>
      <c r="H42" t="n">
        <v>12</v>
      </c>
      <c r="I42" t="s">
        <v>289</v>
      </c>
      <c r="J42" t="n">
        <v>0</v>
      </c>
      <c r="K42" t="n">
        <v>0</v>
      </c>
      <c r="L42" t="n">
        <v>0</v>
      </c>
      <c r="M42" t="n">
        <v>12</v>
      </c>
      <c r="N42" t="n">
        <v>0</v>
      </c>
      <c r="O42" t="n">
        <v>-0.25</v>
      </c>
      <c r="P42" t="n">
        <v>24</v>
      </c>
      <c r="Q42" t="n">
        <v>12</v>
      </c>
      <c r="R42" t="s">
        <v>289</v>
      </c>
      <c r="S42" t="s">
        <v>293</v>
      </c>
      <c r="T42" t="n">
        <v>0</v>
      </c>
    </row>
    <row r="43">
      <c r="A43" t="s">
        <v>30</v>
      </c>
      <c r="B43" t="n">
        <v>1.19</v>
      </c>
      <c r="C43" t="n">
        <v>1.16</v>
      </c>
      <c r="D43" t="n">
        <v>1.23</v>
      </c>
      <c r="E43" t="n">
        <v>-2</v>
      </c>
      <c r="F43" t="n">
        <v>0</v>
      </c>
      <c r="G43" t="n">
        <v>170</v>
      </c>
      <c r="H43" t="n">
        <v>12</v>
      </c>
      <c r="I43" t="s">
        <v>294</v>
      </c>
      <c r="J43" t="n">
        <v>0</v>
      </c>
      <c r="K43" t="n">
        <v>0</v>
      </c>
      <c r="L43" t="n">
        <v>0</v>
      </c>
      <c r="M43" t="n">
        <v>12</v>
      </c>
      <c r="N43" t="n">
        <v>0.25</v>
      </c>
      <c r="O43" t="n">
        <v>-0.5</v>
      </c>
      <c r="P43" t="n">
        <v>23</v>
      </c>
      <c r="Q43" t="n">
        <v>12</v>
      </c>
      <c r="R43" t="s">
        <v>294</v>
      </c>
      <c r="S43" t="s">
        <v>297</v>
      </c>
      <c r="T43" t="n">
        <v>0</v>
      </c>
    </row>
    <row r="44">
      <c r="A44" t="s">
        <v>30</v>
      </c>
      <c r="B44" t="n">
        <v>1.05</v>
      </c>
      <c r="C44" t="n">
        <v>0.96</v>
      </c>
      <c r="D44" t="n">
        <v>1.02</v>
      </c>
      <c r="E44" t="n">
        <v>-4.5</v>
      </c>
      <c r="F44" t="n">
        <v>-0.25</v>
      </c>
      <c r="G44" t="n">
        <v>165</v>
      </c>
      <c r="H44" t="n">
        <v>12</v>
      </c>
      <c r="I44" t="s">
        <v>288</v>
      </c>
      <c r="J44" t="n">
        <v>0</v>
      </c>
      <c r="K44" t="n">
        <v>0</v>
      </c>
      <c r="L44" t="n">
        <v>0</v>
      </c>
      <c r="M44" t="n">
        <v>12</v>
      </c>
      <c r="N44" t="n">
        <v>0.5</v>
      </c>
      <c r="O44" t="n">
        <v>-0.25</v>
      </c>
      <c r="P44" t="n">
        <v>164</v>
      </c>
      <c r="Q44" t="n">
        <v>12</v>
      </c>
      <c r="R44" t="s">
        <v>289</v>
      </c>
      <c r="S44" t="s">
        <v>290</v>
      </c>
      <c r="T44" t="n">
        <v>0.25</v>
      </c>
    </row>
    <row r="45">
      <c r="A45" t="s">
        <v>30</v>
      </c>
      <c r="B45" t="n">
        <v>1.13</v>
      </c>
      <c r="C45" t="n">
        <v>1.05</v>
      </c>
      <c r="D45" t="n">
        <v>1.14</v>
      </c>
      <c r="E45" t="n">
        <v>-6</v>
      </c>
      <c r="F45" t="n">
        <v>-0.5</v>
      </c>
      <c r="G45" t="n">
        <v>86</v>
      </c>
      <c r="H45" t="n">
        <v>12</v>
      </c>
      <c r="I45" t="s">
        <v>297</v>
      </c>
      <c r="J45" t="n">
        <v>0</v>
      </c>
      <c r="K45" t="n">
        <v>0</v>
      </c>
      <c r="L45" t="n">
        <v>0</v>
      </c>
      <c r="M45" t="n">
        <v>12</v>
      </c>
      <c r="N45" t="n">
        <v>0</v>
      </c>
      <c r="O45" t="n">
        <v>-0.25</v>
      </c>
      <c r="P45" t="n">
        <v>106</v>
      </c>
      <c r="Q45" t="n">
        <v>12</v>
      </c>
      <c r="R45" t="s">
        <v>297</v>
      </c>
      <c r="S45" t="s">
        <v>288</v>
      </c>
      <c r="T45" t="n">
        <v>-0.25</v>
      </c>
    </row>
    <row r="46">
      <c r="A46" t="s">
        <v>30</v>
      </c>
      <c r="B46" t="n">
        <v>1</v>
      </c>
      <c r="C46" t="n">
        <v>1.07</v>
      </c>
      <c r="D46" t="n">
        <v>0.97</v>
      </c>
      <c r="E46" t="n">
        <v>-6.25</v>
      </c>
      <c r="F46" t="n">
        <v>-0.25</v>
      </c>
      <c r="G46" t="n">
        <v>91</v>
      </c>
      <c r="H46" t="n">
        <v>12</v>
      </c>
      <c r="I46" t="s">
        <v>289</v>
      </c>
      <c r="J46" t="n">
        <v>0</v>
      </c>
      <c r="K46" t="n">
        <v>0</v>
      </c>
      <c r="L46" t="n">
        <v>0</v>
      </c>
      <c r="M46" t="n">
        <v>12</v>
      </c>
      <c r="N46" t="n">
        <v>-0.25</v>
      </c>
      <c r="O46" t="n">
        <v>0</v>
      </c>
      <c r="P46" t="n">
        <v>164</v>
      </c>
      <c r="Q46" t="n">
        <v>12</v>
      </c>
      <c r="R46" t="s">
        <v>290</v>
      </c>
      <c r="S46" t="s">
        <v>288</v>
      </c>
      <c r="T46" t="n">
        <v>-0.25</v>
      </c>
    </row>
    <row r="47">
      <c r="A47" t="s">
        <v>30</v>
      </c>
      <c r="B47" t="n">
        <v>0.93</v>
      </c>
      <c r="C47" t="n">
        <v>0.87</v>
      </c>
      <c r="D47" t="n">
        <v>0.94</v>
      </c>
      <c r="E47" t="n">
        <v>-5</v>
      </c>
      <c r="F47" t="n">
        <v>-0.75</v>
      </c>
      <c r="G47" t="n">
        <v>88</v>
      </c>
      <c r="H47" t="n">
        <v>12</v>
      </c>
      <c r="I47" t="s">
        <v>291</v>
      </c>
      <c r="J47" t="n">
        <v>0</v>
      </c>
      <c r="K47" t="n">
        <v>0</v>
      </c>
      <c r="L47" t="n">
        <v>0</v>
      </c>
      <c r="M47" t="n">
        <v>12</v>
      </c>
      <c r="N47" t="n">
        <v>0.5</v>
      </c>
      <c r="O47" t="n">
        <v>-0.5</v>
      </c>
      <c r="P47" t="n">
        <v>148</v>
      </c>
      <c r="Q47" t="n">
        <v>12</v>
      </c>
      <c r="R47" t="s">
        <v>290</v>
      </c>
      <c r="S47" t="s">
        <v>300</v>
      </c>
      <c r="T47" t="n">
        <v>0.25</v>
      </c>
    </row>
    <row r="48">
      <c r="A48" t="s">
        <v>30</v>
      </c>
      <c r="B48" t="n">
        <v>0.86</v>
      </c>
      <c r="C48" t="n">
        <v>0.83</v>
      </c>
      <c r="D48" t="n">
        <v>0.84</v>
      </c>
      <c r="E48" t="n">
        <v>-3.75</v>
      </c>
      <c r="F48" t="n">
        <v>-1.25</v>
      </c>
      <c r="G48" t="n">
        <v>23</v>
      </c>
      <c r="H48" t="n">
        <v>12</v>
      </c>
      <c r="I48" t="s">
        <v>300</v>
      </c>
      <c r="J48" t="n">
        <v>0</v>
      </c>
      <c r="K48" t="n">
        <v>0</v>
      </c>
      <c r="L48" t="n">
        <v>0</v>
      </c>
      <c r="M48" t="n">
        <v>12</v>
      </c>
      <c r="N48" t="n">
        <v>0.5</v>
      </c>
      <c r="O48" t="n">
        <v>-0.75</v>
      </c>
      <c r="P48" t="n">
        <v>166</v>
      </c>
      <c r="Q48" t="n">
        <v>12</v>
      </c>
      <c r="R48" t="s">
        <v>298</v>
      </c>
      <c r="S48" t="s">
        <v>298</v>
      </c>
      <c r="T48" t="n">
        <v>0</v>
      </c>
    </row>
    <row r="49">
      <c r="A49" t="s">
        <v>30</v>
      </c>
      <c r="B49" t="n">
        <v>0.99</v>
      </c>
      <c r="C49" t="n">
        <v>0.82</v>
      </c>
      <c r="D49" t="n">
        <v>0.97</v>
      </c>
      <c r="E49" t="n">
        <v>-4.75</v>
      </c>
      <c r="F49" t="n">
        <v>0</v>
      </c>
      <c r="G49" t="n">
        <v>5</v>
      </c>
      <c r="H49" t="n">
        <v>12</v>
      </c>
      <c r="I49" t="s">
        <v>289</v>
      </c>
      <c r="J49" t="n">
        <v>0</v>
      </c>
      <c r="K49" t="n">
        <v>0</v>
      </c>
      <c r="L49" t="n">
        <v>0</v>
      </c>
      <c r="M49" t="n">
        <v>12</v>
      </c>
      <c r="N49" t="n">
        <v>0.5</v>
      </c>
      <c r="O49" t="n">
        <v>0</v>
      </c>
      <c r="P49" t="n">
        <v>177</v>
      </c>
      <c r="Q49" t="n">
        <v>12</v>
      </c>
      <c r="R49" t="s">
        <v>290</v>
      </c>
      <c r="S49" t="s">
        <v>298</v>
      </c>
      <c r="T49" t="n">
        <v>0.5</v>
      </c>
    </row>
    <row r="50">
      <c r="A50" t="s">
        <v>30</v>
      </c>
      <c r="B50" t="n">
        <v>0.96</v>
      </c>
      <c r="C50" t="n">
        <v>0.98</v>
      </c>
      <c r="D50" t="n">
        <v>0.97</v>
      </c>
      <c r="E50" t="n">
        <v>-6.25</v>
      </c>
      <c r="F50" t="n">
        <v>-0.25</v>
      </c>
      <c r="G50" t="n">
        <v>67</v>
      </c>
      <c r="H50" t="n">
        <v>12</v>
      </c>
      <c r="I50" t="s">
        <v>290</v>
      </c>
      <c r="J50" t="n">
        <v>0</v>
      </c>
      <c r="K50" t="n">
        <v>0</v>
      </c>
      <c r="L50" t="n">
        <v>0</v>
      </c>
      <c r="M50" t="n">
        <v>12</v>
      </c>
      <c r="N50" t="n">
        <v>0.5</v>
      </c>
      <c r="O50" t="n">
        <v>-0.25</v>
      </c>
      <c r="P50" t="n">
        <v>8</v>
      </c>
      <c r="Q50" t="n">
        <v>12</v>
      </c>
      <c r="R50" t="s">
        <v>290</v>
      </c>
      <c r="S50" t="s">
        <v>289</v>
      </c>
      <c r="T50" t="n">
        <v>0.5</v>
      </c>
    </row>
    <row r="51">
      <c r="A51" t="s">
        <v>30</v>
      </c>
      <c r="B51" t="n">
        <v>1.07</v>
      </c>
      <c r="C51" t="n">
        <v>1.11</v>
      </c>
      <c r="D51" t="n">
        <v>1.12</v>
      </c>
      <c r="E51" t="n">
        <v>-2.5</v>
      </c>
      <c r="F51" t="n">
        <v>-0.75</v>
      </c>
      <c r="G51" t="n">
        <v>100</v>
      </c>
      <c r="H51" t="n">
        <v>12</v>
      </c>
      <c r="I51" t="s">
        <v>288</v>
      </c>
      <c r="J51" t="n">
        <v>0</v>
      </c>
      <c r="K51" t="n">
        <v>0</v>
      </c>
      <c r="L51" t="n">
        <v>0</v>
      </c>
      <c r="M51" t="n">
        <v>12</v>
      </c>
      <c r="N51" t="n">
        <v>-0.25</v>
      </c>
      <c r="O51" t="n">
        <v>0</v>
      </c>
      <c r="P51" t="n">
        <v>86</v>
      </c>
      <c r="Q51" t="n">
        <v>12</v>
      </c>
      <c r="R51" t="s">
        <v>293</v>
      </c>
      <c r="S51" t="s">
        <v>293</v>
      </c>
      <c r="T51" t="n">
        <v>-0.25</v>
      </c>
    </row>
    <row r="52">
      <c r="A52" t="s">
        <v>30</v>
      </c>
      <c r="B52" t="n">
        <v>1.1</v>
      </c>
      <c r="C52" t="n">
        <v>1.13</v>
      </c>
      <c r="D52" t="n">
        <v>1.14</v>
      </c>
      <c r="E52" t="n">
        <v>-5.25</v>
      </c>
      <c r="F52" t="n">
        <v>-1.5</v>
      </c>
      <c r="G52" t="n">
        <v>96</v>
      </c>
      <c r="H52" t="n">
        <v>12</v>
      </c>
      <c r="I52" t="s">
        <v>293</v>
      </c>
      <c r="J52" t="n">
        <v>0</v>
      </c>
      <c r="K52" t="n">
        <v>0</v>
      </c>
      <c r="L52" t="n">
        <v>0</v>
      </c>
      <c r="M52" t="n">
        <v>12</v>
      </c>
      <c r="N52" t="n">
        <v>-0.5</v>
      </c>
      <c r="O52" t="n">
        <v>0</v>
      </c>
      <c r="P52" t="n">
        <v>21</v>
      </c>
      <c r="Q52" t="n">
        <v>12</v>
      </c>
      <c r="R52" t="s">
        <v>297</v>
      </c>
      <c r="S52" t="s">
        <v>297</v>
      </c>
      <c r="T52" t="n">
        <v>-0.5</v>
      </c>
    </row>
    <row r="53">
      <c r="A53" t="s">
        <v>30</v>
      </c>
      <c r="B53" t="n">
        <v>1.07</v>
      </c>
      <c r="C53" t="n">
        <v>0.94</v>
      </c>
      <c r="D53" t="n">
        <v>1.05</v>
      </c>
      <c r="E53" t="n">
        <v>-5.5</v>
      </c>
      <c r="F53" t="n">
        <v>-0.25</v>
      </c>
      <c r="G53" t="n">
        <v>11</v>
      </c>
      <c r="H53" t="n">
        <v>12</v>
      </c>
      <c r="I53" t="s">
        <v>288</v>
      </c>
      <c r="J53" t="n">
        <v>0</v>
      </c>
      <c r="K53" t="n">
        <v>0</v>
      </c>
      <c r="L53" t="n">
        <v>0</v>
      </c>
      <c r="M53" t="n">
        <v>12</v>
      </c>
      <c r="N53" t="n">
        <v>0</v>
      </c>
      <c r="O53" t="n">
        <v>-0.25</v>
      </c>
      <c r="P53" t="n">
        <v>18</v>
      </c>
      <c r="Q53" t="n">
        <v>12</v>
      </c>
      <c r="R53" t="s">
        <v>288</v>
      </c>
      <c r="S53" t="s">
        <v>290</v>
      </c>
      <c r="T53" t="n">
        <v>-0.25</v>
      </c>
    </row>
    <row r="54">
      <c r="A54" t="s">
        <v>30</v>
      </c>
      <c r="B54" t="n">
        <v>1.18</v>
      </c>
      <c r="C54" t="n">
        <v>1.24</v>
      </c>
      <c r="D54" t="n">
        <v>1.2</v>
      </c>
      <c r="E54" t="n">
        <v>-5</v>
      </c>
      <c r="F54" t="n">
        <v>-0.25</v>
      </c>
      <c r="G54" t="n">
        <v>155</v>
      </c>
      <c r="H54" t="n">
        <v>12</v>
      </c>
      <c r="I54" t="s">
        <v>294</v>
      </c>
      <c r="J54" t="n">
        <v>0</v>
      </c>
      <c r="K54" t="n">
        <v>0</v>
      </c>
      <c r="L54" t="n">
        <v>0</v>
      </c>
      <c r="M54" t="n">
        <v>12</v>
      </c>
      <c r="N54" t="n">
        <v>0</v>
      </c>
      <c r="O54" t="n">
        <v>-0.25</v>
      </c>
      <c r="P54" t="n">
        <v>160</v>
      </c>
      <c r="Q54" t="n">
        <v>12</v>
      </c>
      <c r="R54" t="s">
        <v>294</v>
      </c>
      <c r="S54" t="s">
        <v>296</v>
      </c>
      <c r="T54" t="n">
        <v>-0.25</v>
      </c>
    </row>
    <row r="55">
      <c r="A55" t="s">
        <v>30</v>
      </c>
      <c r="B55" t="n">
        <v>1.04</v>
      </c>
      <c r="C55" t="n">
        <v>1.07</v>
      </c>
      <c r="D55" t="n">
        <v>1.02</v>
      </c>
      <c r="E55" t="n">
        <v>-3</v>
      </c>
      <c r="F55" t="n">
        <v>-0.5</v>
      </c>
      <c r="G55" t="n">
        <v>84</v>
      </c>
      <c r="H55" t="n">
        <v>12</v>
      </c>
      <c r="I55" t="s">
        <v>288</v>
      </c>
      <c r="J55" t="n">
        <v>0</v>
      </c>
      <c r="K55" t="n">
        <v>0</v>
      </c>
      <c r="L55" t="n">
        <v>0</v>
      </c>
      <c r="M55" t="n">
        <v>12</v>
      </c>
      <c r="N55" t="n">
        <v>0.5</v>
      </c>
      <c r="O55" t="n">
        <v>-0.25</v>
      </c>
      <c r="P55" t="n">
        <v>101</v>
      </c>
      <c r="Q55" t="n">
        <v>12</v>
      </c>
      <c r="R55" t="s">
        <v>289</v>
      </c>
      <c r="S55" t="s">
        <v>288</v>
      </c>
      <c r="T55" t="n">
        <v>0.25</v>
      </c>
    </row>
    <row r="56">
      <c r="A56" t="s">
        <v>30</v>
      </c>
      <c r="B56" t="n">
        <v>1</v>
      </c>
      <c r="C56" t="n">
        <v>0.99</v>
      </c>
      <c r="D56" t="n">
        <v>1.05</v>
      </c>
      <c r="E56" t="n">
        <v>-1.5</v>
      </c>
      <c r="F56" t="n">
        <v>-1.25</v>
      </c>
      <c r="G56" t="n">
        <v>99</v>
      </c>
      <c r="H56" t="n">
        <v>12</v>
      </c>
      <c r="I56" t="s">
        <v>289</v>
      </c>
      <c r="J56" t="n">
        <v>0</v>
      </c>
      <c r="K56" t="n">
        <v>0</v>
      </c>
      <c r="L56" t="n">
        <v>0</v>
      </c>
      <c r="M56" t="n">
        <v>12</v>
      </c>
      <c r="N56" t="n">
        <v>-0.25</v>
      </c>
      <c r="O56" t="n">
        <v>0</v>
      </c>
      <c r="P56" t="n">
        <v>79</v>
      </c>
      <c r="Q56" t="n">
        <v>12</v>
      </c>
      <c r="R56" t="s">
        <v>288</v>
      </c>
      <c r="S56" t="s">
        <v>289</v>
      </c>
      <c r="T56" t="n">
        <v>-0.25</v>
      </c>
    </row>
    <row r="57">
      <c r="A57" t="s">
        <v>30</v>
      </c>
      <c r="B57" t="n">
        <v>1.03</v>
      </c>
      <c r="C57" t="n">
        <v>1.03</v>
      </c>
      <c r="D57" t="n">
        <v>1.01</v>
      </c>
      <c r="E57" t="n">
        <v>-3.5</v>
      </c>
      <c r="F57" t="n">
        <v>-0.75</v>
      </c>
      <c r="G57" t="n">
        <v>96</v>
      </c>
      <c r="H57" t="n">
        <v>12</v>
      </c>
      <c r="I57" t="s">
        <v>288</v>
      </c>
      <c r="J57" t="n">
        <v>0</v>
      </c>
      <c r="K57" t="n">
        <v>0</v>
      </c>
      <c r="L57" t="n">
        <v>0</v>
      </c>
      <c r="M57" t="n">
        <v>12</v>
      </c>
      <c r="N57" t="n">
        <v>-0.5</v>
      </c>
      <c r="O57" t="n">
        <v>0</v>
      </c>
      <c r="P57" t="n">
        <v>6</v>
      </c>
      <c r="Q57" t="n">
        <v>12</v>
      </c>
      <c r="R57" t="s">
        <v>289</v>
      </c>
      <c r="S57" t="s">
        <v>288</v>
      </c>
      <c r="T57" t="n">
        <v>-0.5</v>
      </c>
    </row>
    <row r="58">
      <c r="A58" t="s">
        <v>30</v>
      </c>
      <c r="B58" t="n">
        <v>1.12</v>
      </c>
      <c r="C58" t="n">
        <v>1.22</v>
      </c>
      <c r="D58" t="n">
        <v>1.14</v>
      </c>
      <c r="E58" t="n">
        <v>-6</v>
      </c>
      <c r="F58" t="n">
        <v>0</v>
      </c>
      <c r="G58" t="n">
        <v>93</v>
      </c>
      <c r="H58" t="n">
        <v>12</v>
      </c>
      <c r="I58" t="s">
        <v>293</v>
      </c>
      <c r="J58" t="n">
        <v>0</v>
      </c>
      <c r="K58" t="n">
        <v>0</v>
      </c>
      <c r="L58" t="n">
        <v>0</v>
      </c>
      <c r="M58" t="n">
        <v>12</v>
      </c>
      <c r="N58" t="n">
        <v>0</v>
      </c>
      <c r="O58" t="n">
        <v>-0.5</v>
      </c>
      <c r="P58" t="n">
        <v>70</v>
      </c>
      <c r="Q58" t="n">
        <v>12</v>
      </c>
      <c r="R58" t="s">
        <v>297</v>
      </c>
      <c r="S58" t="s">
        <v>294</v>
      </c>
      <c r="T58" t="n">
        <v>-0.25</v>
      </c>
    </row>
    <row r="59">
      <c r="A59" t="s">
        <v>30</v>
      </c>
      <c r="B59" t="n">
        <v>0.98</v>
      </c>
      <c r="C59" t="n">
        <v>0.98</v>
      </c>
      <c r="D59" t="n">
        <v>0.97</v>
      </c>
      <c r="E59" t="n">
        <v>-6.25</v>
      </c>
      <c r="F59" t="n">
        <v>-0.25</v>
      </c>
      <c r="G59" t="n">
        <v>40</v>
      </c>
      <c r="H59" t="n">
        <v>12</v>
      </c>
      <c r="I59" t="s">
        <v>289</v>
      </c>
      <c r="J59" t="n">
        <v>0</v>
      </c>
      <c r="K59" t="n">
        <v>0</v>
      </c>
      <c r="L59" t="n">
        <v>0</v>
      </c>
      <c r="M59" t="n">
        <v>12</v>
      </c>
      <c r="N59" t="n">
        <v>0.25</v>
      </c>
      <c r="O59" t="n">
        <v>0</v>
      </c>
      <c r="P59" t="n">
        <v>139</v>
      </c>
      <c r="Q59" t="n">
        <v>12</v>
      </c>
      <c r="R59" t="s">
        <v>290</v>
      </c>
      <c r="S59" t="s">
        <v>289</v>
      </c>
      <c r="T59" t="n">
        <v>0.25</v>
      </c>
    </row>
    <row r="60">
      <c r="A60" t="s">
        <v>30</v>
      </c>
      <c r="B60" t="n">
        <v>0.96</v>
      </c>
      <c r="C60" t="n">
        <v>0.94</v>
      </c>
      <c r="D60" t="n">
        <v>1.01</v>
      </c>
      <c r="E60" t="n">
        <v>-6.5</v>
      </c>
      <c r="F60" t="n">
        <v>-0.25</v>
      </c>
      <c r="G60" t="n">
        <v>138</v>
      </c>
      <c r="H60" t="n">
        <v>12</v>
      </c>
      <c r="I60" t="s">
        <v>290</v>
      </c>
      <c r="J60" t="n">
        <v>0</v>
      </c>
      <c r="K60" t="n">
        <v>0</v>
      </c>
      <c r="L60" t="n">
        <v>0</v>
      </c>
      <c r="M60" t="n">
        <v>12</v>
      </c>
      <c r="N60" t="n">
        <v>0.25</v>
      </c>
      <c r="O60" t="n">
        <v>0</v>
      </c>
      <c r="P60" t="n">
        <v>131</v>
      </c>
      <c r="Q60" t="n">
        <v>12</v>
      </c>
      <c r="R60" t="s">
        <v>289</v>
      </c>
      <c r="S60" t="s">
        <v>290</v>
      </c>
      <c r="T60" t="n">
        <v>0.25</v>
      </c>
    </row>
    <row r="61">
      <c r="A61" t="s">
        <v>30</v>
      </c>
      <c r="B61" t="n">
        <v>0.92</v>
      </c>
      <c r="C61" t="n">
        <v>0.89</v>
      </c>
      <c r="D61" t="n">
        <v>0.9</v>
      </c>
      <c r="E61" t="n">
        <v>-7</v>
      </c>
      <c r="F61" t="n">
        <v>-0.25</v>
      </c>
      <c r="G61" t="n">
        <v>80</v>
      </c>
      <c r="H61" t="n">
        <v>12</v>
      </c>
      <c r="I61" t="s">
        <v>291</v>
      </c>
      <c r="J61" t="n">
        <v>0</v>
      </c>
      <c r="K61" t="n">
        <v>0</v>
      </c>
      <c r="L61" t="n">
        <v>0</v>
      </c>
      <c r="M61" t="n">
        <v>12</v>
      </c>
      <c r="N61" t="n">
        <v>0.5</v>
      </c>
      <c r="O61" t="n">
        <v>-0.25</v>
      </c>
      <c r="P61" t="n">
        <v>56</v>
      </c>
      <c r="Q61" t="n">
        <v>12</v>
      </c>
      <c r="R61" t="s">
        <v>291</v>
      </c>
      <c r="S61" t="s">
        <v>300</v>
      </c>
      <c r="T61" t="n">
        <v>0.5</v>
      </c>
    </row>
    <row r="62">
      <c r="A62" t="s">
        <v>30</v>
      </c>
      <c r="B62" t="n">
        <v>1</v>
      </c>
      <c r="C62" t="n">
        <v>0.89</v>
      </c>
      <c r="D62" t="n">
        <v>0.98</v>
      </c>
      <c r="E62" t="n">
        <v>-5.75</v>
      </c>
      <c r="F62" t="n">
        <v>-0.25</v>
      </c>
      <c r="G62" t="n">
        <v>20</v>
      </c>
      <c r="H62" t="n">
        <v>12</v>
      </c>
      <c r="I62" t="s">
        <v>289</v>
      </c>
      <c r="J62" t="n">
        <v>0</v>
      </c>
      <c r="K62" t="n">
        <v>0</v>
      </c>
      <c r="L62" t="n">
        <v>0</v>
      </c>
      <c r="M62" t="n">
        <v>12</v>
      </c>
      <c r="N62" t="n">
        <v>0.5</v>
      </c>
      <c r="O62" t="n">
        <v>-0.25</v>
      </c>
      <c r="P62" t="n">
        <v>25</v>
      </c>
      <c r="Q62" t="n">
        <v>12</v>
      </c>
      <c r="R62" t="s">
        <v>289</v>
      </c>
      <c r="S62" t="s">
        <v>300</v>
      </c>
      <c r="T62" t="n">
        <v>0.25</v>
      </c>
    </row>
    <row r="63">
      <c r="A63" t="s">
        <v>30</v>
      </c>
      <c r="B63" t="n">
        <v>0.97</v>
      </c>
      <c r="C63" t="n">
        <v>0.96</v>
      </c>
      <c r="D63" t="n">
        <v>1.02</v>
      </c>
      <c r="E63" t="n">
        <v>-3.75</v>
      </c>
      <c r="F63" t="n">
        <v>-0.5</v>
      </c>
      <c r="G63" t="n">
        <v>85</v>
      </c>
      <c r="H63" t="n">
        <v>12</v>
      </c>
      <c r="I63" t="s">
        <v>290</v>
      </c>
      <c r="J63" t="n">
        <v>0</v>
      </c>
      <c r="K63" t="n">
        <v>0</v>
      </c>
      <c r="L63" t="n">
        <v>0</v>
      </c>
      <c r="M63" t="n">
        <v>12</v>
      </c>
      <c r="N63" t="n">
        <v>0.5</v>
      </c>
      <c r="O63" t="n">
        <v>-0.25</v>
      </c>
      <c r="P63" t="n">
        <v>78</v>
      </c>
      <c r="Q63" t="n">
        <v>12</v>
      </c>
      <c r="R63" t="s">
        <v>289</v>
      </c>
      <c r="S63" t="s">
        <v>290</v>
      </c>
      <c r="T63" t="n">
        <v>0.25</v>
      </c>
    </row>
    <row r="64">
      <c r="A64" t="s">
        <v>30</v>
      </c>
      <c r="B64" t="n">
        <v>1.02</v>
      </c>
      <c r="C64" t="n">
        <v>0.94</v>
      </c>
      <c r="D64" t="n">
        <v>1.03</v>
      </c>
      <c r="E64" t="n">
        <v>-6.5</v>
      </c>
      <c r="F64" t="n">
        <v>-0.25</v>
      </c>
      <c r="G64" t="n">
        <v>87</v>
      </c>
      <c r="H64" t="n">
        <v>12</v>
      </c>
      <c r="I64" t="s">
        <v>289</v>
      </c>
      <c r="J64" t="n">
        <v>0</v>
      </c>
      <c r="K64" t="n">
        <v>0</v>
      </c>
      <c r="L64" t="n">
        <v>0</v>
      </c>
      <c r="M64" t="n">
        <v>12</v>
      </c>
      <c r="N64" t="n">
        <v>-0.25</v>
      </c>
      <c r="O64" t="n">
        <v>0</v>
      </c>
      <c r="P64" t="n">
        <v>149</v>
      </c>
      <c r="Q64" t="n">
        <v>12</v>
      </c>
      <c r="R64" t="s">
        <v>288</v>
      </c>
      <c r="S64" t="s">
        <v>290</v>
      </c>
      <c r="T64" t="n">
        <v>-0.25</v>
      </c>
    </row>
    <row r="65">
      <c r="A65" t="s">
        <v>30</v>
      </c>
      <c r="B65" t="n">
        <v>1.05</v>
      </c>
      <c r="C65" t="n">
        <v>1.08</v>
      </c>
      <c r="D65" t="n">
        <v>1.07</v>
      </c>
      <c r="E65" t="n">
        <v>-7</v>
      </c>
      <c r="F65" t="n">
        <v>-0.25</v>
      </c>
      <c r="G65" t="n">
        <v>100</v>
      </c>
      <c r="H65" t="n">
        <v>12</v>
      </c>
      <c r="I65" t="s">
        <v>288</v>
      </c>
      <c r="J65" t="n">
        <v>0</v>
      </c>
      <c r="K65" t="n">
        <v>0</v>
      </c>
      <c r="L65" t="n">
        <v>0</v>
      </c>
      <c r="M65" t="n">
        <v>12</v>
      </c>
      <c r="N65" t="n">
        <v>0.5</v>
      </c>
      <c r="O65" t="n">
        <v>-0.25</v>
      </c>
      <c r="P65" t="n">
        <v>122</v>
      </c>
      <c r="Q65" t="n">
        <v>12</v>
      </c>
      <c r="R65" t="s">
        <v>288</v>
      </c>
      <c r="S65" t="s">
        <v>293</v>
      </c>
      <c r="T65" t="n">
        <v>0.25</v>
      </c>
    </row>
    <row r="66">
      <c r="A66" t="s">
        <v>30</v>
      </c>
      <c r="B66" t="n">
        <v>0.97</v>
      </c>
      <c r="C66" t="n">
        <v>1.02</v>
      </c>
      <c r="D66" t="n">
        <v>0.99</v>
      </c>
      <c r="E66" t="n">
        <v>-5.75</v>
      </c>
      <c r="F66" t="n">
        <v>-0.5</v>
      </c>
      <c r="G66" t="n">
        <v>95</v>
      </c>
      <c r="H66" t="n">
        <v>12</v>
      </c>
      <c r="I66" t="s">
        <v>290</v>
      </c>
      <c r="J66" t="n">
        <v>0</v>
      </c>
      <c r="K66" t="n">
        <v>0</v>
      </c>
      <c r="L66" t="n">
        <v>0</v>
      </c>
      <c r="M66" t="n">
        <v>12</v>
      </c>
      <c r="N66" t="n">
        <v>0</v>
      </c>
      <c r="O66" t="n">
        <v>-0.25</v>
      </c>
      <c r="P66" t="n">
        <v>89</v>
      </c>
      <c r="Q66" t="n">
        <v>12</v>
      </c>
      <c r="R66" t="s">
        <v>289</v>
      </c>
      <c r="S66" t="s">
        <v>289</v>
      </c>
      <c r="T66" t="n">
        <v>-0.25</v>
      </c>
    </row>
    <row r="67">
      <c r="A67" t="s">
        <v>30</v>
      </c>
      <c r="B67" t="n">
        <v>0.93</v>
      </c>
      <c r="C67" t="n">
        <v>0.92</v>
      </c>
      <c r="D67" t="n">
        <v>0.99</v>
      </c>
      <c r="E67" t="n">
        <v>-6</v>
      </c>
      <c r="F67" t="n">
        <v>-0.25</v>
      </c>
      <c r="G67" t="n">
        <v>156</v>
      </c>
      <c r="H67" t="n">
        <v>12</v>
      </c>
      <c r="I67" t="s">
        <v>291</v>
      </c>
      <c r="J67" t="n">
        <v>0</v>
      </c>
      <c r="K67" t="n">
        <v>0</v>
      </c>
      <c r="L67" t="n">
        <v>0</v>
      </c>
      <c r="M67" t="n">
        <v>12</v>
      </c>
      <c r="N67" t="n">
        <v>0.25</v>
      </c>
      <c r="O67" t="n">
        <v>0</v>
      </c>
      <c r="P67" t="n">
        <v>91</v>
      </c>
      <c r="Q67" t="n">
        <v>12</v>
      </c>
      <c r="R67" t="s">
        <v>289</v>
      </c>
      <c r="S67" t="s">
        <v>291</v>
      </c>
      <c r="T67" t="n">
        <v>0.25</v>
      </c>
    </row>
    <row r="68">
      <c r="A68" t="s">
        <v>30</v>
      </c>
      <c r="B68" t="n">
        <v>0.88</v>
      </c>
      <c r="C68" t="n">
        <v>0.71</v>
      </c>
      <c r="D68" t="n">
        <v>0.86</v>
      </c>
      <c r="E68" t="n">
        <v>-7.5</v>
      </c>
      <c r="F68" t="n">
        <v>-0.25</v>
      </c>
      <c r="G68" t="n">
        <v>79</v>
      </c>
      <c r="H68" t="n">
        <v>12</v>
      </c>
      <c r="I68" t="s">
        <v>300</v>
      </c>
      <c r="J68" t="n">
        <v>0</v>
      </c>
      <c r="K68" t="n">
        <v>0</v>
      </c>
      <c r="L68" t="n">
        <v>0</v>
      </c>
      <c r="M68" t="n">
        <v>12</v>
      </c>
      <c r="N68" t="n">
        <v>0.5</v>
      </c>
      <c r="O68" t="n">
        <v>0</v>
      </c>
      <c r="P68" t="n">
        <v>65</v>
      </c>
      <c r="Q68" t="n">
        <v>12</v>
      </c>
      <c r="R68" t="s">
        <v>300</v>
      </c>
      <c r="S68" t="s">
        <v>302</v>
      </c>
      <c r="T68" t="n">
        <v>0.5</v>
      </c>
    </row>
    <row r="69">
      <c r="A69" t="s">
        <v>30</v>
      </c>
      <c r="B69" t="n">
        <v>1.03</v>
      </c>
      <c r="C69" t="n">
        <v>1.05</v>
      </c>
      <c r="D69" t="n">
        <v>1.02</v>
      </c>
      <c r="E69" t="n">
        <v>-1.5</v>
      </c>
      <c r="F69" t="n">
        <v>-0.75</v>
      </c>
      <c r="G69" t="n">
        <v>104</v>
      </c>
      <c r="H69" t="n">
        <v>12</v>
      </c>
      <c r="I69" t="s">
        <v>288</v>
      </c>
      <c r="J69" t="n">
        <v>0</v>
      </c>
      <c r="K69" t="n">
        <v>0</v>
      </c>
      <c r="L69" t="n">
        <v>0</v>
      </c>
      <c r="M69" t="n">
        <v>12</v>
      </c>
      <c r="N69" t="n">
        <v>0</v>
      </c>
      <c r="O69" t="n">
        <v>-0.25</v>
      </c>
      <c r="P69" t="n">
        <v>103</v>
      </c>
      <c r="Q69" t="n">
        <v>12</v>
      </c>
      <c r="R69" t="s">
        <v>289</v>
      </c>
      <c r="S69" t="s">
        <v>288</v>
      </c>
      <c r="T69" t="n">
        <v>0</v>
      </c>
    </row>
    <row r="70">
      <c r="A70" t="s">
        <v>30</v>
      </c>
      <c r="B70" t="n">
        <v>1.07</v>
      </c>
      <c r="C70" t="n">
        <v>1.25</v>
      </c>
      <c r="D70" t="n">
        <v>1.12</v>
      </c>
      <c r="E70" t="n">
        <v>-4.25</v>
      </c>
      <c r="F70" t="n">
        <v>-0.75</v>
      </c>
      <c r="G70" t="n">
        <v>174</v>
      </c>
      <c r="H70" t="n">
        <v>12</v>
      </c>
      <c r="I70" t="s">
        <v>288</v>
      </c>
      <c r="J70" t="n">
        <v>0</v>
      </c>
      <c r="K70" t="n">
        <v>0</v>
      </c>
      <c r="L70" t="n">
        <v>0</v>
      </c>
      <c r="M70" t="n">
        <v>12</v>
      </c>
      <c r="N70" t="n">
        <v>0</v>
      </c>
      <c r="O70" t="n">
        <v>-0.25</v>
      </c>
      <c r="P70" t="n">
        <v>32</v>
      </c>
      <c r="Q70" t="n">
        <v>12</v>
      </c>
      <c r="R70" t="s">
        <v>293</v>
      </c>
      <c r="S70" t="s">
        <v>296</v>
      </c>
      <c r="T70" t="n">
        <v>0</v>
      </c>
    </row>
    <row r="71">
      <c r="A71" t="s">
        <v>30</v>
      </c>
      <c r="B71" t="n">
        <v>1.07</v>
      </c>
      <c r="C71" t="n">
        <v>1.07</v>
      </c>
      <c r="D71" t="n">
        <v>1.07</v>
      </c>
      <c r="E71" t="n">
        <v>-1.75</v>
      </c>
      <c r="F71" t="n">
        <v>-1</v>
      </c>
      <c r="G71" t="n">
        <v>162</v>
      </c>
      <c r="H71" t="n">
        <v>12</v>
      </c>
      <c r="I71" t="s">
        <v>288</v>
      </c>
      <c r="J71" t="n">
        <v>0</v>
      </c>
      <c r="K71" t="n">
        <v>0</v>
      </c>
      <c r="L71" t="n">
        <v>0</v>
      </c>
      <c r="M71" t="n">
        <v>12</v>
      </c>
      <c r="N71" t="n">
        <v>-0.25</v>
      </c>
      <c r="O71" t="n">
        <v>0</v>
      </c>
      <c r="P71" t="n">
        <v>78</v>
      </c>
      <c r="Q71" t="n">
        <v>12</v>
      </c>
      <c r="R71" t="s">
        <v>288</v>
      </c>
      <c r="S71" t="s">
        <v>288</v>
      </c>
      <c r="T71" t="n">
        <v>-0.25</v>
      </c>
    </row>
    <row r="72">
      <c r="A72" t="s">
        <v>30</v>
      </c>
      <c r="B72" t="n">
        <v>1</v>
      </c>
      <c r="C72" t="n">
        <v>0.91</v>
      </c>
      <c r="D72" t="n">
        <v>1</v>
      </c>
      <c r="E72" t="n">
        <v>-5</v>
      </c>
      <c r="F72" t="n">
        <v>-1</v>
      </c>
      <c r="G72" t="n">
        <v>177</v>
      </c>
      <c r="H72" t="n">
        <v>12</v>
      </c>
      <c r="I72" t="s">
        <v>289</v>
      </c>
      <c r="J72" t="n">
        <v>0</v>
      </c>
      <c r="K72" t="n">
        <v>0</v>
      </c>
      <c r="L72" t="n">
        <v>0</v>
      </c>
      <c r="M72" t="n">
        <v>12</v>
      </c>
      <c r="N72" t="n">
        <v>0</v>
      </c>
      <c r="O72" t="n">
        <v>-0.25</v>
      </c>
      <c r="P72" t="n">
        <v>177</v>
      </c>
      <c r="Q72" t="n">
        <v>12</v>
      </c>
      <c r="R72" t="s">
        <v>289</v>
      </c>
      <c r="S72" t="s">
        <v>291</v>
      </c>
      <c r="T72" t="n">
        <v>0</v>
      </c>
    </row>
    <row r="73">
      <c r="A73" t="s">
        <v>30</v>
      </c>
      <c r="B73" t="n">
        <v>1.01</v>
      </c>
      <c r="C73" t="n">
        <v>0.86</v>
      </c>
      <c r="D73" t="n">
        <v>1.03</v>
      </c>
      <c r="E73" t="n">
        <v>-5</v>
      </c>
      <c r="F73" t="n">
        <v>-0.5</v>
      </c>
      <c r="G73" t="n">
        <v>86</v>
      </c>
      <c r="H73" t="n">
        <v>12</v>
      </c>
      <c r="I73" t="s">
        <v>289</v>
      </c>
      <c r="J73" t="n">
        <v>0</v>
      </c>
      <c r="K73" t="n">
        <v>0</v>
      </c>
      <c r="L73" t="n">
        <v>0</v>
      </c>
      <c r="M73" t="n">
        <v>12</v>
      </c>
      <c r="N73" t="n">
        <v>-0.5</v>
      </c>
      <c r="O73" t="n">
        <v>0</v>
      </c>
      <c r="P73" t="n">
        <v>85</v>
      </c>
      <c r="Q73" t="n">
        <v>12</v>
      </c>
      <c r="R73" t="s">
        <v>288</v>
      </c>
      <c r="S73" t="s">
        <v>300</v>
      </c>
      <c r="T73" t="n">
        <v>-0.5</v>
      </c>
    </row>
    <row r="74">
      <c r="A74" t="s">
        <v>30</v>
      </c>
      <c r="B74" t="n">
        <v>1.1</v>
      </c>
      <c r="C74" t="n">
        <v>1.19</v>
      </c>
      <c r="D74" t="n">
        <v>1.16</v>
      </c>
      <c r="E74" t="n">
        <v>-4</v>
      </c>
      <c r="F74" t="n">
        <v>0</v>
      </c>
      <c r="G74" t="n">
        <v>99</v>
      </c>
      <c r="H74" t="n">
        <v>12</v>
      </c>
      <c r="I74" t="s">
        <v>293</v>
      </c>
      <c r="J74" t="n">
        <v>0</v>
      </c>
      <c r="K74" t="n">
        <v>0</v>
      </c>
      <c r="L74" t="n">
        <v>0</v>
      </c>
      <c r="M74" t="n">
        <v>12</v>
      </c>
      <c r="N74" t="n">
        <v>0</v>
      </c>
      <c r="O74" t="n">
        <v>-0.25</v>
      </c>
      <c r="P74" t="n">
        <v>111</v>
      </c>
      <c r="Q74" t="n">
        <v>12</v>
      </c>
      <c r="R74" t="s">
        <v>297</v>
      </c>
      <c r="S74" t="s">
        <v>294</v>
      </c>
      <c r="T74" t="n">
        <v>0</v>
      </c>
    </row>
    <row r="75">
      <c r="A75" t="s">
        <v>30</v>
      </c>
      <c r="B75" t="n">
        <v>1.11</v>
      </c>
      <c r="C75" t="n">
        <v>1.14</v>
      </c>
      <c r="D75" t="n">
        <v>1.17</v>
      </c>
      <c r="E75" t="n">
        <v>-3</v>
      </c>
      <c r="F75" t="n">
        <v>-0.25</v>
      </c>
      <c r="G75" t="n">
        <v>99</v>
      </c>
      <c r="H75" t="n">
        <v>12</v>
      </c>
      <c r="I75" t="s">
        <v>293</v>
      </c>
      <c r="J75" t="n">
        <v>0</v>
      </c>
      <c r="K75" t="n">
        <v>0</v>
      </c>
      <c r="L75" t="n">
        <v>0</v>
      </c>
      <c r="M75" t="n">
        <v>12</v>
      </c>
      <c r="N75" t="n">
        <v>0.25</v>
      </c>
      <c r="O75" t="n">
        <v>0</v>
      </c>
      <c r="P75" t="n">
        <v>64</v>
      </c>
      <c r="Q75" t="n">
        <v>12</v>
      </c>
      <c r="R75" t="s">
        <v>297</v>
      </c>
      <c r="S75" t="s">
        <v>297</v>
      </c>
      <c r="T75" t="n">
        <v>0.25</v>
      </c>
    </row>
    <row r="76">
      <c r="A76" t="s">
        <v>30</v>
      </c>
      <c r="B76" t="n">
        <v>1.06</v>
      </c>
      <c r="C76" t="n">
        <v>1.07</v>
      </c>
      <c r="D76" t="n">
        <v>1.05</v>
      </c>
      <c r="E76" t="n">
        <v>-5</v>
      </c>
      <c r="F76" t="n">
        <v>-0.75</v>
      </c>
      <c r="G76" t="n">
        <v>6</v>
      </c>
      <c r="H76" t="n">
        <v>12</v>
      </c>
      <c r="I76" t="s">
        <v>288</v>
      </c>
      <c r="J76" t="n">
        <v>0</v>
      </c>
      <c r="K76" t="n">
        <v>0</v>
      </c>
      <c r="L76" t="n">
        <v>0</v>
      </c>
      <c r="M76" t="n">
        <v>12</v>
      </c>
      <c r="N76" t="n">
        <v>0.5</v>
      </c>
      <c r="O76" t="n">
        <v>0</v>
      </c>
      <c r="P76" t="n">
        <v>26</v>
      </c>
      <c r="Q76" t="n">
        <v>12</v>
      </c>
      <c r="R76" t="s">
        <v>288</v>
      </c>
      <c r="S76" t="s">
        <v>288</v>
      </c>
      <c r="T76" t="n">
        <v>0.5</v>
      </c>
    </row>
    <row r="77">
      <c r="A77" t="s">
        <v>30</v>
      </c>
      <c r="B77" t="n">
        <v>1.1</v>
      </c>
      <c r="C77" t="n">
        <v>1.08</v>
      </c>
      <c r="D77" t="n">
        <v>1.09</v>
      </c>
      <c r="E77" t="n">
        <v>-2.5</v>
      </c>
      <c r="F77" t="n">
        <v>-0.75</v>
      </c>
      <c r="G77" t="n">
        <v>178</v>
      </c>
      <c r="H77" t="n">
        <v>12</v>
      </c>
      <c r="I77" t="s">
        <v>293</v>
      </c>
      <c r="J77" t="n">
        <v>0</v>
      </c>
      <c r="K77" t="n">
        <v>0</v>
      </c>
      <c r="L77" t="n">
        <v>0</v>
      </c>
      <c r="M77" t="n">
        <v>12</v>
      </c>
      <c r="N77" t="n">
        <v>0</v>
      </c>
      <c r="O77" t="n">
        <v>-0.25</v>
      </c>
      <c r="P77" t="n">
        <v>4</v>
      </c>
      <c r="Q77" t="n">
        <v>12</v>
      </c>
      <c r="R77" t="s">
        <v>293</v>
      </c>
      <c r="S77" t="s">
        <v>293</v>
      </c>
      <c r="T77" t="n">
        <v>-0.25</v>
      </c>
    </row>
    <row r="78">
      <c r="A78" t="s">
        <v>30</v>
      </c>
      <c r="B78" t="n">
        <v>0.94</v>
      </c>
      <c r="C78" t="n">
        <v>0.93</v>
      </c>
      <c r="D78" t="n">
        <v>1</v>
      </c>
      <c r="E78" t="n">
        <v>-5.5</v>
      </c>
      <c r="F78" t="n">
        <v>-0.75</v>
      </c>
      <c r="G78" t="n">
        <v>170</v>
      </c>
      <c r="H78" t="n">
        <v>12</v>
      </c>
      <c r="I78" t="s">
        <v>290</v>
      </c>
      <c r="J78" t="n">
        <v>0</v>
      </c>
      <c r="K78" t="n">
        <v>0</v>
      </c>
      <c r="L78" t="n">
        <v>0</v>
      </c>
      <c r="M78" t="n">
        <v>12</v>
      </c>
      <c r="N78" t="n">
        <v>0</v>
      </c>
      <c r="O78" t="n">
        <v>-0.25</v>
      </c>
      <c r="P78" t="n">
        <v>170</v>
      </c>
      <c r="Q78" t="n">
        <v>12</v>
      </c>
      <c r="R78" t="s">
        <v>289</v>
      </c>
      <c r="S78" t="s">
        <v>291</v>
      </c>
      <c r="T78" t="n">
        <v>0</v>
      </c>
    </row>
    <row r="79">
      <c r="A79" t="s">
        <v>30</v>
      </c>
      <c r="B79" t="n">
        <v>1.03</v>
      </c>
      <c r="C79" t="n">
        <v>0.94</v>
      </c>
      <c r="D79" t="n">
        <v>1.01</v>
      </c>
      <c r="E79" t="n">
        <v>-2.5</v>
      </c>
      <c r="F79" t="n">
        <v>0</v>
      </c>
      <c r="G79" t="n">
        <v>80</v>
      </c>
      <c r="H79" t="n">
        <v>12</v>
      </c>
      <c r="I79" t="s">
        <v>288</v>
      </c>
      <c r="J79" t="n">
        <v>0</v>
      </c>
      <c r="K79" t="n">
        <v>0</v>
      </c>
      <c r="L79" t="n">
        <v>0</v>
      </c>
      <c r="M79" t="n">
        <v>12</v>
      </c>
      <c r="N79" t="n">
        <v>0.25</v>
      </c>
      <c r="O79" t="n">
        <v>0</v>
      </c>
      <c r="P79" t="n">
        <v>68</v>
      </c>
      <c r="Q79" t="n">
        <v>12</v>
      </c>
      <c r="R79" t="s">
        <v>289</v>
      </c>
      <c r="S79" t="s">
        <v>290</v>
      </c>
      <c r="T79" t="n">
        <v>0.25</v>
      </c>
    </row>
    <row r="80">
      <c r="A80" t="s">
        <v>30</v>
      </c>
      <c r="B80" t="n">
        <v>1.01</v>
      </c>
      <c r="C80" t="n">
        <v>0.89</v>
      </c>
      <c r="D80" t="n">
        <v>1.02</v>
      </c>
      <c r="E80" t="n">
        <v>-2.75</v>
      </c>
      <c r="F80" t="n">
        <v>-0.5</v>
      </c>
      <c r="G80" t="n">
        <v>167</v>
      </c>
      <c r="H80" t="n">
        <v>12</v>
      </c>
      <c r="I80" t="s">
        <v>289</v>
      </c>
      <c r="J80" t="n">
        <v>0</v>
      </c>
      <c r="K80" t="n">
        <v>0</v>
      </c>
      <c r="L80" t="n">
        <v>0</v>
      </c>
      <c r="M80" t="n">
        <v>12</v>
      </c>
      <c r="N80" t="n">
        <v>0.25</v>
      </c>
      <c r="O80" t="n">
        <v>0</v>
      </c>
      <c r="P80" t="n">
        <v>24</v>
      </c>
      <c r="Q80" t="n">
        <v>12</v>
      </c>
      <c r="R80" t="s">
        <v>289</v>
      </c>
      <c r="S80" t="s">
        <v>300</v>
      </c>
      <c r="T80" t="n">
        <v>0.25</v>
      </c>
    </row>
    <row r="81">
      <c r="A81" t="s">
        <v>30</v>
      </c>
      <c r="B81" t="n">
        <v>1.04</v>
      </c>
      <c r="C81" t="n">
        <v>1.01</v>
      </c>
      <c r="D81" t="n">
        <v>1.01</v>
      </c>
      <c r="E81" t="n">
        <v>-4.25</v>
      </c>
      <c r="F81" t="n">
        <v>-1.5</v>
      </c>
      <c r="G81" t="n">
        <v>175</v>
      </c>
      <c r="H81" t="n">
        <v>12</v>
      </c>
      <c r="I81" t="s">
        <v>288</v>
      </c>
      <c r="J81" t="n">
        <v>0</v>
      </c>
      <c r="K81" t="n">
        <v>0</v>
      </c>
      <c r="L81" t="n">
        <v>0</v>
      </c>
      <c r="M81" t="n">
        <v>12</v>
      </c>
      <c r="N81" t="n">
        <v>0</v>
      </c>
      <c r="O81" t="n">
        <v>0</v>
      </c>
      <c r="P81" t="n">
        <v>99</v>
      </c>
      <c r="Q81" t="n">
        <v>12</v>
      </c>
      <c r="R81" t="s">
        <v>289</v>
      </c>
      <c r="S81" t="s">
        <v>289</v>
      </c>
      <c r="T81" t="n">
        <v>0</v>
      </c>
    </row>
    <row r="82">
      <c r="A82" t="s">
        <v>30</v>
      </c>
      <c r="B82" t="n">
        <v>1.12</v>
      </c>
      <c r="C82" t="n">
        <v>1.04</v>
      </c>
      <c r="D82" t="n">
        <v>1.09</v>
      </c>
      <c r="E82" t="n">
        <v>-5.25</v>
      </c>
      <c r="F82" t="n">
        <v>-0.75</v>
      </c>
      <c r="G82" t="n">
        <v>173</v>
      </c>
      <c r="H82" t="n">
        <v>12</v>
      </c>
      <c r="I82" t="s">
        <v>293</v>
      </c>
      <c r="J82" t="n">
        <v>0</v>
      </c>
      <c r="K82" t="n">
        <v>0</v>
      </c>
      <c r="L82" t="n">
        <v>0</v>
      </c>
      <c r="M82" t="n">
        <v>12</v>
      </c>
      <c r="N82" t="n">
        <v>1</v>
      </c>
      <c r="O82" t="n">
        <v>-0.25</v>
      </c>
      <c r="P82" t="n">
        <v>162</v>
      </c>
      <c r="Q82" t="n">
        <v>12</v>
      </c>
      <c r="R82" t="s">
        <v>293</v>
      </c>
      <c r="S82" t="s">
        <v>288</v>
      </c>
      <c r="T82" t="n">
        <v>0.75</v>
      </c>
    </row>
    <row r="83">
      <c r="A83" t="s">
        <v>30</v>
      </c>
      <c r="B83" t="n">
        <v>1.05</v>
      </c>
      <c r="C83" t="n">
        <v>1.07</v>
      </c>
      <c r="D83" t="n">
        <v>1.08</v>
      </c>
      <c r="E83" t="n">
        <v>-4</v>
      </c>
      <c r="F83" t="n">
        <v>-0.25</v>
      </c>
      <c r="G83" t="n">
        <v>166</v>
      </c>
      <c r="H83" t="n">
        <v>12</v>
      </c>
      <c r="I83" t="s">
        <v>288</v>
      </c>
      <c r="J83" t="n">
        <v>0</v>
      </c>
      <c r="K83" t="n">
        <v>0</v>
      </c>
      <c r="L83" t="n">
        <v>0</v>
      </c>
      <c r="M83" t="n">
        <v>12</v>
      </c>
      <c r="N83" t="n">
        <v>0</v>
      </c>
      <c r="O83" t="n">
        <v>-0.5</v>
      </c>
      <c r="P83" t="n">
        <v>1</v>
      </c>
      <c r="Q83" t="n">
        <v>12</v>
      </c>
      <c r="R83" t="s">
        <v>293</v>
      </c>
      <c r="S83" t="s">
        <v>288</v>
      </c>
      <c r="T83" t="n">
        <v>-0.25</v>
      </c>
    </row>
    <row r="84">
      <c r="A84" t="s">
        <v>30</v>
      </c>
      <c r="B84" t="n">
        <v>1.13</v>
      </c>
      <c r="C84" t="n">
        <v>1.17</v>
      </c>
      <c r="D84" t="n">
        <v>1.15</v>
      </c>
      <c r="E84" t="n">
        <v>0</v>
      </c>
      <c r="F84" t="n">
        <v>-1.5</v>
      </c>
      <c r="G84" t="n">
        <v>6</v>
      </c>
      <c r="H84" t="n">
        <v>12</v>
      </c>
      <c r="I84" t="s">
        <v>297</v>
      </c>
      <c r="J84" t="n">
        <v>0</v>
      </c>
      <c r="K84" t="n">
        <v>0</v>
      </c>
      <c r="L84" t="n">
        <v>0</v>
      </c>
      <c r="M84" t="n">
        <v>12</v>
      </c>
      <c r="N84" t="n">
        <v>0.5</v>
      </c>
      <c r="O84" t="n">
        <v>-0.25</v>
      </c>
      <c r="P84" t="n">
        <v>18</v>
      </c>
      <c r="Q84" t="n">
        <v>12</v>
      </c>
      <c r="R84" t="s">
        <v>297</v>
      </c>
      <c r="S84" t="s">
        <v>297</v>
      </c>
      <c r="T84" t="n">
        <v>0.25</v>
      </c>
    </row>
    <row r="85">
      <c r="A85" t="s">
        <v>30</v>
      </c>
      <c r="B85" t="n">
        <v>1</v>
      </c>
      <c r="C85" t="n">
        <v>1</v>
      </c>
      <c r="D85" t="n">
        <v>1.05</v>
      </c>
      <c r="E85" t="n">
        <v>-1.75</v>
      </c>
      <c r="F85" t="n">
        <v>-0.5</v>
      </c>
      <c r="G85" t="n">
        <v>76</v>
      </c>
      <c r="H85" t="n">
        <v>12</v>
      </c>
      <c r="I85" t="s">
        <v>289</v>
      </c>
      <c r="J85" t="n">
        <v>0</v>
      </c>
      <c r="K85" t="n">
        <v>0</v>
      </c>
      <c r="L85" t="n">
        <v>0</v>
      </c>
      <c r="M85" t="n">
        <v>12</v>
      </c>
      <c r="N85" t="n">
        <v>0.25</v>
      </c>
      <c r="O85" t="n">
        <v>0</v>
      </c>
      <c r="P85" t="n">
        <v>34</v>
      </c>
      <c r="Q85" t="n">
        <v>12</v>
      </c>
      <c r="R85" t="s">
        <v>288</v>
      </c>
      <c r="S85" t="s">
        <v>289</v>
      </c>
      <c r="T85" t="n">
        <v>0.25</v>
      </c>
    </row>
    <row r="86">
      <c r="A86" t="s">
        <v>30</v>
      </c>
      <c r="B86" t="n">
        <v>1.1</v>
      </c>
      <c r="C86" t="n">
        <v>1.01</v>
      </c>
      <c r="D86" t="n">
        <v>1.05</v>
      </c>
      <c r="E86" t="n">
        <v>-3.75</v>
      </c>
      <c r="F86" t="n">
        <v>-1</v>
      </c>
      <c r="G86" t="n">
        <v>13</v>
      </c>
      <c r="H86" t="n">
        <v>12</v>
      </c>
      <c r="I86" t="s">
        <v>293</v>
      </c>
      <c r="J86" t="n">
        <v>0</v>
      </c>
      <c r="K86" t="n">
        <v>0</v>
      </c>
      <c r="L86" t="n">
        <v>0</v>
      </c>
      <c r="M86" t="n">
        <v>12</v>
      </c>
      <c r="N86" t="n">
        <v>0</v>
      </c>
      <c r="O86" t="n">
        <v>-0.25</v>
      </c>
      <c r="P86" t="n">
        <v>16</v>
      </c>
      <c r="Q86" t="n">
        <v>12</v>
      </c>
      <c r="R86" t="s">
        <v>288</v>
      </c>
      <c r="S86" t="s">
        <v>289</v>
      </c>
      <c r="T86" t="n">
        <v>0</v>
      </c>
    </row>
    <row r="87">
      <c r="A87" t="s">
        <v>30</v>
      </c>
      <c r="B87" t="n">
        <v>1</v>
      </c>
      <c r="C87" t="n">
        <v>0.99</v>
      </c>
      <c r="D87" t="n">
        <v>0.99</v>
      </c>
      <c r="E87" t="n">
        <v>-4.25</v>
      </c>
      <c r="F87" t="n">
        <v>0</v>
      </c>
      <c r="G87" t="n">
        <v>95</v>
      </c>
      <c r="H87" t="n">
        <v>12</v>
      </c>
      <c r="I87" t="s">
        <v>289</v>
      </c>
      <c r="J87" t="n">
        <v>0</v>
      </c>
      <c r="K87" t="n">
        <v>0</v>
      </c>
      <c r="L87" t="n">
        <v>0</v>
      </c>
      <c r="M87" t="n">
        <v>12</v>
      </c>
      <c r="N87" t="n">
        <v>0.25</v>
      </c>
      <c r="O87" t="n">
        <v>0</v>
      </c>
      <c r="P87" t="n">
        <v>114</v>
      </c>
      <c r="Q87" t="n">
        <v>12</v>
      </c>
      <c r="R87" t="s">
        <v>289</v>
      </c>
      <c r="S87" t="s">
        <v>289</v>
      </c>
      <c r="T87" t="n">
        <v>0.25</v>
      </c>
    </row>
    <row r="88">
      <c r="A88" t="s">
        <v>30</v>
      </c>
      <c r="B88" t="n">
        <v>1.07</v>
      </c>
      <c r="C88" t="n">
        <v>1.1</v>
      </c>
      <c r="D88" t="n">
        <v>1.05</v>
      </c>
      <c r="E88" t="n">
        <v>-4</v>
      </c>
      <c r="F88" t="n">
        <v>-1.25</v>
      </c>
      <c r="G88" t="n">
        <v>169</v>
      </c>
      <c r="H88" t="n">
        <v>12</v>
      </c>
      <c r="I88" t="s">
        <v>288</v>
      </c>
      <c r="J88" t="n">
        <v>0</v>
      </c>
      <c r="K88" t="n">
        <v>0</v>
      </c>
      <c r="L88" t="n">
        <v>0</v>
      </c>
      <c r="M88" t="n">
        <v>12</v>
      </c>
      <c r="N88" t="n">
        <v>0</v>
      </c>
      <c r="O88" t="n">
        <v>-0.25</v>
      </c>
      <c r="P88" t="n">
        <v>176</v>
      </c>
      <c r="Q88" t="n">
        <v>12</v>
      </c>
      <c r="R88" t="s">
        <v>288</v>
      </c>
      <c r="S88" t="s">
        <v>293</v>
      </c>
      <c r="T88" t="n">
        <v>0</v>
      </c>
    </row>
    <row r="89">
      <c r="A89" t="s">
        <v>30</v>
      </c>
      <c r="B89" t="n">
        <v>1.1</v>
      </c>
      <c r="C89" t="n">
        <v>0.97</v>
      </c>
      <c r="D89" t="n">
        <v>1.13</v>
      </c>
      <c r="E89" t="n">
        <v>-0.75</v>
      </c>
      <c r="F89" t="n">
        <v>-1.25</v>
      </c>
      <c r="G89" t="n">
        <v>22</v>
      </c>
      <c r="H89" t="n">
        <v>12</v>
      </c>
      <c r="I89" t="s">
        <v>293</v>
      </c>
      <c r="J89" t="n">
        <v>0</v>
      </c>
      <c r="K89" t="n">
        <v>0</v>
      </c>
      <c r="L89" t="n">
        <v>0</v>
      </c>
      <c r="M89" t="n">
        <v>12</v>
      </c>
      <c r="N89" t="n">
        <v>0.5</v>
      </c>
      <c r="O89" t="n">
        <v>-0.25</v>
      </c>
      <c r="P89" t="n">
        <v>33</v>
      </c>
      <c r="Q89" t="n">
        <v>12</v>
      </c>
      <c r="R89" t="s">
        <v>297</v>
      </c>
      <c r="S89" t="s">
        <v>290</v>
      </c>
      <c r="T89" t="n">
        <v>0.25</v>
      </c>
    </row>
    <row r="90">
      <c r="A90" t="s">
        <v>30</v>
      </c>
      <c r="B90" t="n">
        <v>0.94</v>
      </c>
      <c r="C90" t="n">
        <v>0.96</v>
      </c>
      <c r="D90" t="n">
        <v>0.95</v>
      </c>
      <c r="E90" t="n">
        <v>-3</v>
      </c>
      <c r="F90" t="n">
        <v>-2.75</v>
      </c>
      <c r="G90" t="n">
        <v>0</v>
      </c>
      <c r="H90" t="n">
        <v>12</v>
      </c>
      <c r="I90" t="s">
        <v>290</v>
      </c>
      <c r="J90" t="n">
        <v>0</v>
      </c>
      <c r="K90" t="n">
        <v>0</v>
      </c>
      <c r="L90" t="n">
        <v>0</v>
      </c>
      <c r="M90" t="n">
        <v>12</v>
      </c>
      <c r="N90" t="n">
        <v>0</v>
      </c>
      <c r="O90" t="n">
        <v>-0.5</v>
      </c>
      <c r="P90" t="n">
        <v>155</v>
      </c>
      <c r="Q90" t="n">
        <v>12</v>
      </c>
      <c r="R90" t="s">
        <v>290</v>
      </c>
      <c r="S90" t="s">
        <v>290</v>
      </c>
      <c r="T90" t="n">
        <v>-0.25</v>
      </c>
    </row>
    <row r="91">
      <c r="A91" t="s">
        <v>30</v>
      </c>
      <c r="B91" t="n">
        <v>0.98</v>
      </c>
      <c r="C91" t="n">
        <v>0.9</v>
      </c>
      <c r="D91" t="n">
        <v>0.95</v>
      </c>
      <c r="E91" t="n">
        <v>-5.5</v>
      </c>
      <c r="F91" t="n">
        <v>-0.25</v>
      </c>
      <c r="G91" t="n">
        <v>157</v>
      </c>
      <c r="H91" t="n">
        <v>12</v>
      </c>
      <c r="I91" t="s">
        <v>289</v>
      </c>
      <c r="J91" t="n">
        <v>0</v>
      </c>
      <c r="K91" t="n">
        <v>0</v>
      </c>
      <c r="L91" t="n">
        <v>0</v>
      </c>
      <c r="M91" t="n">
        <v>12</v>
      </c>
      <c r="N91" t="n">
        <v>0.25</v>
      </c>
      <c r="O91" t="n">
        <v>0</v>
      </c>
      <c r="P91" t="n">
        <v>156</v>
      </c>
      <c r="Q91" t="n">
        <v>12</v>
      </c>
      <c r="R91" t="s">
        <v>290</v>
      </c>
      <c r="S91" t="s">
        <v>291</v>
      </c>
      <c r="T91" t="n">
        <v>0.25</v>
      </c>
    </row>
    <row r="92">
      <c r="A92" t="s">
        <v>30</v>
      </c>
      <c r="B92" t="n">
        <v>1.09</v>
      </c>
      <c r="C92" t="n">
        <v>1.19</v>
      </c>
      <c r="D92" t="n">
        <v>1.17</v>
      </c>
      <c r="E92" t="n">
        <v>-3</v>
      </c>
      <c r="F92" t="n">
        <v>-1.5</v>
      </c>
      <c r="G92" t="n">
        <v>171</v>
      </c>
      <c r="H92" t="n">
        <v>12</v>
      </c>
      <c r="I92" t="s">
        <v>293</v>
      </c>
      <c r="J92" t="n">
        <v>0</v>
      </c>
      <c r="K92" t="n">
        <v>0</v>
      </c>
      <c r="L92" t="n">
        <v>0</v>
      </c>
      <c r="M92" t="n">
        <v>12</v>
      </c>
      <c r="N92" t="n">
        <v>0.5</v>
      </c>
      <c r="O92" t="n">
        <v>0</v>
      </c>
      <c r="P92" t="n">
        <v>9</v>
      </c>
      <c r="Q92" t="n">
        <v>12</v>
      </c>
      <c r="R92" t="s">
        <v>297</v>
      </c>
      <c r="S92" t="s">
        <v>294</v>
      </c>
      <c r="T92" t="n">
        <v>0.5</v>
      </c>
    </row>
    <row r="93">
      <c r="A93" t="s">
        <v>30</v>
      </c>
      <c r="B93" t="n">
        <v>0.99</v>
      </c>
      <c r="C93" t="n">
        <v>0.84</v>
      </c>
      <c r="D93" t="n">
        <v>0.95</v>
      </c>
      <c r="E93" t="n">
        <v>-1.25</v>
      </c>
      <c r="F93" t="n">
        <v>-0.5</v>
      </c>
      <c r="G93" t="n">
        <v>109</v>
      </c>
      <c r="H93" t="n">
        <v>12</v>
      </c>
      <c r="I93" t="s">
        <v>289</v>
      </c>
      <c r="J93" t="n">
        <v>0</v>
      </c>
      <c r="K93" t="n">
        <v>0</v>
      </c>
      <c r="L93" t="n">
        <v>0</v>
      </c>
      <c r="M93" t="n">
        <v>12</v>
      </c>
      <c r="N93" t="n">
        <v>0</v>
      </c>
      <c r="O93" t="n">
        <v>-0.25</v>
      </c>
      <c r="P93" t="n">
        <v>120</v>
      </c>
      <c r="Q93" t="n">
        <v>12</v>
      </c>
      <c r="R93" t="s">
        <v>290</v>
      </c>
      <c r="S93" t="s">
        <v>298</v>
      </c>
      <c r="T93" t="n">
        <v>-0.25</v>
      </c>
    </row>
    <row r="94">
      <c r="A94" t="s">
        <v>30</v>
      </c>
      <c r="B94" t="n">
        <v>1</v>
      </c>
      <c r="C94" t="n">
        <v>1.03</v>
      </c>
      <c r="D94" t="n">
        <v>1.06</v>
      </c>
      <c r="E94" t="n">
        <v>-7.5</v>
      </c>
      <c r="F94" t="n">
        <v>-0.25</v>
      </c>
      <c r="G94" t="n">
        <v>172</v>
      </c>
      <c r="H94" t="n">
        <v>12</v>
      </c>
      <c r="I94" t="s">
        <v>289</v>
      </c>
      <c r="J94" t="n">
        <v>0</v>
      </c>
      <c r="K94" t="n">
        <v>0</v>
      </c>
      <c r="L94" t="n">
        <v>0</v>
      </c>
      <c r="M94" t="n">
        <v>12</v>
      </c>
      <c r="N94" t="n">
        <v>-0.5</v>
      </c>
      <c r="O94" t="n">
        <v>-0.25</v>
      </c>
      <c r="P94" t="n">
        <v>165</v>
      </c>
      <c r="Q94" t="n">
        <v>12</v>
      </c>
      <c r="R94" t="s">
        <v>288</v>
      </c>
      <c r="S94" t="s">
        <v>288</v>
      </c>
      <c r="T94" t="n">
        <v>-0.5</v>
      </c>
    </row>
    <row r="95">
      <c r="A95" t="s">
        <v>30</v>
      </c>
      <c r="B95" t="n">
        <v>1</v>
      </c>
      <c r="C95" t="n">
        <v>1.02</v>
      </c>
      <c r="D95" t="n">
        <v>1.02</v>
      </c>
      <c r="E95" t="n">
        <v>-4</v>
      </c>
      <c r="F95" t="n">
        <v>-0.25</v>
      </c>
      <c r="G95" t="n">
        <v>85</v>
      </c>
      <c r="H95" t="n">
        <v>12</v>
      </c>
      <c r="I95" t="s">
        <v>289</v>
      </c>
      <c r="J95" t="n">
        <v>0</v>
      </c>
      <c r="K95" t="n">
        <v>0</v>
      </c>
      <c r="L95" t="n">
        <v>0</v>
      </c>
      <c r="M95" t="n">
        <v>12</v>
      </c>
      <c r="N95" t="n">
        <v>-0.5</v>
      </c>
      <c r="O95" t="n">
        <v>0</v>
      </c>
      <c r="P95" t="n">
        <v>63</v>
      </c>
      <c r="Q95" t="n">
        <v>12</v>
      </c>
      <c r="R95" t="s">
        <v>289</v>
      </c>
      <c r="S95" t="s">
        <v>289</v>
      </c>
      <c r="T95" t="n">
        <v>-0.5</v>
      </c>
    </row>
    <row r="96">
      <c r="A96" t="s">
        <v>30</v>
      </c>
      <c r="B96" t="n">
        <v>0.98</v>
      </c>
      <c r="C96" t="n">
        <v>1.01</v>
      </c>
      <c r="D96" t="n">
        <v>0.99</v>
      </c>
      <c r="E96" t="n">
        <v>-4</v>
      </c>
      <c r="F96" t="n">
        <v>-0.25</v>
      </c>
      <c r="G96" t="n">
        <v>170</v>
      </c>
      <c r="H96" t="n">
        <v>12</v>
      </c>
      <c r="I96" t="s">
        <v>289</v>
      </c>
      <c r="J96" t="n">
        <v>0</v>
      </c>
      <c r="K96" t="n">
        <v>0</v>
      </c>
      <c r="L96" t="n">
        <v>0</v>
      </c>
      <c r="M96" t="n">
        <v>12</v>
      </c>
      <c r="N96" t="n">
        <v>0</v>
      </c>
      <c r="O96" t="n">
        <v>0</v>
      </c>
      <c r="P96" t="n">
        <v>157</v>
      </c>
      <c r="Q96" t="n">
        <v>12</v>
      </c>
      <c r="R96" t="s">
        <v>289</v>
      </c>
      <c r="S96" t="s">
        <v>289</v>
      </c>
      <c r="T96" t="n">
        <v>0</v>
      </c>
    </row>
    <row r="97">
      <c r="A97" t="s">
        <v>30</v>
      </c>
      <c r="B97" t="n">
        <v>0.88</v>
      </c>
      <c r="C97" t="n">
        <v>0.84</v>
      </c>
      <c r="D97" t="n">
        <v>0.86</v>
      </c>
      <c r="E97" t="n">
        <v>-0.5</v>
      </c>
      <c r="F97" t="n">
        <v>-0.5</v>
      </c>
      <c r="G97" t="n">
        <v>18</v>
      </c>
      <c r="H97" t="n">
        <v>12</v>
      </c>
      <c r="I97" t="s">
        <v>300</v>
      </c>
      <c r="J97" t="n">
        <v>0</v>
      </c>
      <c r="K97" t="n">
        <v>0</v>
      </c>
      <c r="L97" t="n">
        <v>0</v>
      </c>
      <c r="M97" t="n">
        <v>12</v>
      </c>
      <c r="N97" t="n">
        <v>0</v>
      </c>
      <c r="O97" t="n">
        <v>-0.5</v>
      </c>
      <c r="P97" t="n">
        <v>43</v>
      </c>
      <c r="Q97" t="n">
        <v>12</v>
      </c>
      <c r="R97" t="s">
        <v>300</v>
      </c>
      <c r="S97" t="s">
        <v>298</v>
      </c>
      <c r="T97" t="n">
        <v>-0.25</v>
      </c>
    </row>
    <row r="98">
      <c r="A98" t="s">
        <v>30</v>
      </c>
      <c r="B98" t="n">
        <v>1.11</v>
      </c>
      <c r="C98" t="n">
        <v>1.03</v>
      </c>
      <c r="D98" t="n">
        <v>1.06</v>
      </c>
      <c r="E98" t="n">
        <v>-5.25</v>
      </c>
      <c r="F98" t="n">
        <v>-2.25</v>
      </c>
      <c r="G98" t="n">
        <v>82</v>
      </c>
      <c r="H98" t="n">
        <v>12</v>
      </c>
      <c r="I98" t="s">
        <v>293</v>
      </c>
      <c r="J98" t="n">
        <v>0</v>
      </c>
      <c r="K98" t="n">
        <v>0</v>
      </c>
      <c r="L98" t="n">
        <v>0</v>
      </c>
      <c r="M98" t="n">
        <v>12</v>
      </c>
      <c r="N98" t="n">
        <v>0</v>
      </c>
      <c r="O98" t="n">
        <v>-0.5</v>
      </c>
      <c r="P98" t="n">
        <v>54</v>
      </c>
      <c r="Q98" t="n">
        <v>12</v>
      </c>
      <c r="R98" t="s">
        <v>288</v>
      </c>
      <c r="S98" t="s">
        <v>288</v>
      </c>
      <c r="T98" t="n">
        <v>-0.25</v>
      </c>
    </row>
    <row r="99">
      <c r="A99" t="s">
        <v>30</v>
      </c>
      <c r="B99" t="n">
        <v>1</v>
      </c>
      <c r="C99" t="n">
        <v>1.08</v>
      </c>
      <c r="D99" t="n">
        <v>0.99</v>
      </c>
      <c r="E99" t="n">
        <v>-0.5</v>
      </c>
      <c r="F99" t="n">
        <v>-1</v>
      </c>
      <c r="G99" t="n">
        <v>1</v>
      </c>
      <c r="H99" t="n">
        <v>12</v>
      </c>
      <c r="I99" t="s">
        <v>289</v>
      </c>
      <c r="J99" t="n">
        <v>0</v>
      </c>
      <c r="K99" t="n">
        <v>0</v>
      </c>
      <c r="L99" t="n">
        <v>0</v>
      </c>
      <c r="M99" t="n">
        <v>12</v>
      </c>
      <c r="N99" t="n">
        <v>0.25</v>
      </c>
      <c r="O99" t="n">
        <v>0</v>
      </c>
      <c r="P99" t="n">
        <v>110</v>
      </c>
      <c r="Q99" t="n">
        <v>12</v>
      </c>
      <c r="R99" t="s">
        <v>289</v>
      </c>
      <c r="S99" t="s">
        <v>293</v>
      </c>
      <c r="T99" t="n">
        <v>0.25</v>
      </c>
    </row>
    <row r="100">
      <c r="A100" t="s">
        <v>30</v>
      </c>
      <c r="B100" t="n">
        <v>0.93</v>
      </c>
      <c r="C100" t="n">
        <v>0.95</v>
      </c>
      <c r="D100" t="n">
        <v>0.92</v>
      </c>
      <c r="E100" t="n">
        <v>-2</v>
      </c>
      <c r="F100" t="n">
        <v>-0.25</v>
      </c>
      <c r="G100" t="n">
        <v>40</v>
      </c>
      <c r="H100" t="n">
        <v>12</v>
      </c>
      <c r="I100" t="s">
        <v>291</v>
      </c>
      <c r="J100" t="n">
        <v>0</v>
      </c>
      <c r="K100" t="n">
        <v>0</v>
      </c>
      <c r="L100" t="n">
        <v>0</v>
      </c>
      <c r="M100" t="n">
        <v>12</v>
      </c>
      <c r="N100" t="n">
        <v>-0.25</v>
      </c>
      <c r="O100" t="n">
        <v>0</v>
      </c>
      <c r="P100" t="n">
        <v>17</v>
      </c>
      <c r="Q100" t="n">
        <v>12</v>
      </c>
      <c r="R100" t="s">
        <v>291</v>
      </c>
      <c r="S100" t="s">
        <v>290</v>
      </c>
      <c r="T100" t="n">
        <v>-0.25</v>
      </c>
    </row>
    <row r="101">
      <c r="A101" t="s">
        <v>30</v>
      </c>
      <c r="B101" t="n">
        <v>1.23</v>
      </c>
      <c r="C101" t="n">
        <v>1.18</v>
      </c>
      <c r="D101" t="n">
        <v>1.18</v>
      </c>
      <c r="E101" t="n">
        <v>-0.75</v>
      </c>
      <c r="F101" t="n">
        <v>0</v>
      </c>
      <c r="G101" t="n">
        <v>169</v>
      </c>
      <c r="H101" t="n">
        <v>12</v>
      </c>
      <c r="I101" t="s">
        <v>294</v>
      </c>
      <c r="J101" t="n">
        <v>0</v>
      </c>
      <c r="K101" t="n">
        <v>0</v>
      </c>
      <c r="L101" t="n">
        <v>0</v>
      </c>
      <c r="M101" t="n">
        <v>12</v>
      </c>
      <c r="N101" t="n">
        <v>-0.25</v>
      </c>
      <c r="O101" t="n">
        <v>0</v>
      </c>
      <c r="P101" t="n">
        <v>145</v>
      </c>
      <c r="Q101" t="n">
        <v>12</v>
      </c>
      <c r="R101" t="s">
        <v>294</v>
      </c>
      <c r="S101" t="s">
        <v>294</v>
      </c>
      <c r="T101" t="n">
        <v>-0.25</v>
      </c>
    </row>
    <row r="102">
      <c r="A102" t="s">
        <v>30</v>
      </c>
      <c r="B102" t="n">
        <v>1.03</v>
      </c>
      <c r="C102" t="n">
        <v>0.98</v>
      </c>
      <c r="D102" t="n">
        <v>1.05</v>
      </c>
      <c r="E102" t="n">
        <v>-2</v>
      </c>
      <c r="F102" t="n">
        <v>-1.5</v>
      </c>
      <c r="G102" t="n">
        <v>16</v>
      </c>
      <c r="H102" t="n">
        <v>12</v>
      </c>
      <c r="I102" t="s">
        <v>288</v>
      </c>
      <c r="J102" t="n">
        <v>0</v>
      </c>
      <c r="K102" t="n">
        <v>0</v>
      </c>
      <c r="L102" t="n">
        <v>0</v>
      </c>
      <c r="M102" t="n">
        <v>12</v>
      </c>
      <c r="N102" t="n">
        <v>0</v>
      </c>
      <c r="O102" t="n">
        <v>0</v>
      </c>
      <c r="P102" t="n">
        <v>7</v>
      </c>
      <c r="Q102" t="n">
        <v>12</v>
      </c>
      <c r="R102" t="s">
        <v>288</v>
      </c>
      <c r="S102" t="s">
        <v>289</v>
      </c>
      <c r="T102" t="n">
        <v>0</v>
      </c>
    </row>
    <row r="103">
      <c r="A103" t="s">
        <v>30</v>
      </c>
      <c r="B103" t="n">
        <v>1.05</v>
      </c>
      <c r="C103" t="n">
        <v>0.97</v>
      </c>
      <c r="D103" t="n">
        <v>1.01</v>
      </c>
      <c r="E103" t="n">
        <v>-4.25</v>
      </c>
      <c r="F103" t="n">
        <v>-0.5</v>
      </c>
      <c r="G103" t="n">
        <v>9</v>
      </c>
      <c r="H103" t="n">
        <v>12</v>
      </c>
      <c r="I103" t="s">
        <v>288</v>
      </c>
      <c r="J103" t="n">
        <v>0</v>
      </c>
      <c r="K103" t="n">
        <v>0</v>
      </c>
      <c r="L103" t="n">
        <v>0</v>
      </c>
      <c r="M103" t="n">
        <v>12</v>
      </c>
      <c r="N103" t="n">
        <v>0.5</v>
      </c>
      <c r="O103" t="n">
        <v>-0.25</v>
      </c>
      <c r="P103" t="n">
        <v>15</v>
      </c>
      <c r="Q103" t="n">
        <v>12</v>
      </c>
      <c r="R103" t="s">
        <v>289</v>
      </c>
      <c r="S103" t="s">
        <v>290</v>
      </c>
      <c r="T103" t="n">
        <v>0.25</v>
      </c>
    </row>
    <row r="104">
      <c r="A104" t="s">
        <v>30</v>
      </c>
      <c r="B104" t="n">
        <v>0.96</v>
      </c>
      <c r="C104" t="n">
        <v>0.95</v>
      </c>
      <c r="D104" t="n">
        <v>0.96</v>
      </c>
      <c r="E104" t="n">
        <v>-2</v>
      </c>
      <c r="F104" t="n">
        <v>-0.5</v>
      </c>
      <c r="G104" t="n">
        <v>98</v>
      </c>
      <c r="H104" t="n">
        <v>12</v>
      </c>
      <c r="I104" t="s">
        <v>290</v>
      </c>
      <c r="J104" t="n">
        <v>0</v>
      </c>
      <c r="K104" t="n">
        <v>0</v>
      </c>
      <c r="L104" t="n">
        <v>0</v>
      </c>
      <c r="M104" t="n">
        <v>12</v>
      </c>
      <c r="N104" t="n">
        <v>0</v>
      </c>
      <c r="O104" t="n">
        <v>-0.25</v>
      </c>
      <c r="P104" t="n">
        <v>77</v>
      </c>
      <c r="Q104" t="n">
        <v>12</v>
      </c>
      <c r="R104" t="s">
        <v>290</v>
      </c>
      <c r="S104" t="s">
        <v>290</v>
      </c>
      <c r="T104" t="n">
        <v>-0.25</v>
      </c>
    </row>
    <row r="105">
      <c r="A105" t="s">
        <v>30</v>
      </c>
      <c r="B105" t="n">
        <v>1.02</v>
      </c>
      <c r="C105" t="n">
        <v>1.07</v>
      </c>
      <c r="D105" t="n">
        <v>1.08</v>
      </c>
      <c r="E105" t="n">
        <v>-3.25</v>
      </c>
      <c r="F105" t="n">
        <v>-1.25</v>
      </c>
      <c r="G105" t="n">
        <v>162</v>
      </c>
      <c r="H105" t="n">
        <v>12</v>
      </c>
      <c r="I105" t="s">
        <v>289</v>
      </c>
      <c r="J105" t="n">
        <v>0</v>
      </c>
      <c r="K105" t="n">
        <v>0</v>
      </c>
      <c r="L105" t="n">
        <v>0</v>
      </c>
      <c r="M105" t="n">
        <v>12</v>
      </c>
      <c r="N105" t="n">
        <v>0.5</v>
      </c>
      <c r="O105" t="n">
        <v>-0.25</v>
      </c>
      <c r="P105" t="n">
        <v>148</v>
      </c>
      <c r="Q105" t="n">
        <v>12</v>
      </c>
      <c r="R105" t="s">
        <v>293</v>
      </c>
      <c r="S105" t="s">
        <v>288</v>
      </c>
      <c r="T105" t="n">
        <v>0.25</v>
      </c>
    </row>
    <row r="106">
      <c r="A106" t="s">
        <v>30</v>
      </c>
      <c r="B106" t="n">
        <v>1.14</v>
      </c>
      <c r="C106" t="n">
        <v>1.15</v>
      </c>
      <c r="D106" t="n">
        <v>1.13</v>
      </c>
      <c r="E106" t="n">
        <v>-4.75</v>
      </c>
      <c r="F106" t="n">
        <v>-0.5</v>
      </c>
      <c r="G106" t="n">
        <v>95</v>
      </c>
      <c r="H106" t="n">
        <v>12</v>
      </c>
      <c r="I106" t="s">
        <v>297</v>
      </c>
      <c r="J106" t="n">
        <v>0</v>
      </c>
      <c r="K106" t="n">
        <v>0</v>
      </c>
      <c r="L106" t="n">
        <v>0</v>
      </c>
      <c r="M106" t="n">
        <v>12</v>
      </c>
      <c r="N106" t="n">
        <v>0</v>
      </c>
      <c r="O106" t="n">
        <v>-0.25</v>
      </c>
      <c r="P106" t="n">
        <v>95</v>
      </c>
      <c r="Q106" t="n">
        <v>12</v>
      </c>
      <c r="R106" t="s">
        <v>297</v>
      </c>
      <c r="S106" t="s">
        <v>297</v>
      </c>
      <c r="T106" t="n">
        <v>0</v>
      </c>
    </row>
    <row r="107">
      <c r="A107" t="s">
        <v>30</v>
      </c>
      <c r="B107" t="n">
        <v>0.97</v>
      </c>
      <c r="C107" t="n">
        <v>0.93</v>
      </c>
      <c r="D107" t="n">
        <v>0.98</v>
      </c>
      <c r="E107" t="n">
        <v>-2</v>
      </c>
      <c r="F107" t="n">
        <v>-0.25</v>
      </c>
      <c r="G107" t="n">
        <v>27</v>
      </c>
      <c r="H107" t="n">
        <v>12</v>
      </c>
      <c r="I107" t="s">
        <v>290</v>
      </c>
      <c r="J107" t="n">
        <v>0</v>
      </c>
      <c r="K107" t="n">
        <v>0</v>
      </c>
      <c r="L107" t="n">
        <v>0</v>
      </c>
      <c r="M107" t="n">
        <v>12</v>
      </c>
      <c r="N107" t="n">
        <v>0.5</v>
      </c>
      <c r="O107" t="n">
        <v>-0.25</v>
      </c>
      <c r="P107" t="n">
        <v>38</v>
      </c>
      <c r="Q107" t="n">
        <v>12</v>
      </c>
      <c r="R107" t="s">
        <v>289</v>
      </c>
      <c r="S107" t="s">
        <v>291</v>
      </c>
      <c r="T107" t="n">
        <v>0.25</v>
      </c>
    </row>
    <row r="108">
      <c r="A108" t="s">
        <v>30</v>
      </c>
      <c r="B108" t="n">
        <v>1.15</v>
      </c>
      <c r="C108" t="n">
        <v>1.25</v>
      </c>
      <c r="D108" t="n">
        <v>1.16</v>
      </c>
      <c r="E108" t="n">
        <v>-4.75</v>
      </c>
      <c r="F108" t="n">
        <v>-0.5</v>
      </c>
      <c r="G108" t="n">
        <v>82</v>
      </c>
      <c r="H108" t="n">
        <v>12</v>
      </c>
      <c r="I108" t="s">
        <v>297</v>
      </c>
      <c r="J108" t="n">
        <v>0</v>
      </c>
      <c r="K108" t="n">
        <v>0</v>
      </c>
      <c r="L108" t="n">
        <v>0</v>
      </c>
      <c r="M108" t="n">
        <v>12</v>
      </c>
      <c r="N108" t="n">
        <v>0</v>
      </c>
      <c r="O108" t="n">
        <v>-0.25</v>
      </c>
      <c r="P108" t="n">
        <v>61</v>
      </c>
      <c r="Q108" t="n">
        <v>12</v>
      </c>
      <c r="R108" t="s">
        <v>297</v>
      </c>
      <c r="S108" t="s">
        <v>296</v>
      </c>
      <c r="T108" t="n">
        <v>0</v>
      </c>
    </row>
    <row r="109">
      <c r="A109" t="s">
        <v>30</v>
      </c>
      <c r="B109" t="n">
        <v>0.96</v>
      </c>
      <c r="C109" t="n">
        <v>0.82</v>
      </c>
      <c r="D109" t="n">
        <v>0.93</v>
      </c>
      <c r="E109" t="n">
        <v>-4</v>
      </c>
      <c r="F109" t="n">
        <v>-0.25</v>
      </c>
      <c r="G109" t="n">
        <v>97</v>
      </c>
      <c r="H109" t="n">
        <v>12</v>
      </c>
      <c r="I109" t="s">
        <v>290</v>
      </c>
      <c r="J109" t="n">
        <v>0</v>
      </c>
      <c r="K109" t="n">
        <v>0</v>
      </c>
      <c r="L109" t="n">
        <v>0</v>
      </c>
      <c r="M109" t="n">
        <v>12</v>
      </c>
      <c r="N109" t="n">
        <v>0.5</v>
      </c>
      <c r="O109" t="n">
        <v>0</v>
      </c>
      <c r="P109" t="n">
        <v>119</v>
      </c>
      <c r="Q109" t="n">
        <v>12</v>
      </c>
      <c r="R109" t="s">
        <v>291</v>
      </c>
      <c r="S109" t="s">
        <v>298</v>
      </c>
      <c r="T109" t="n">
        <v>0.5</v>
      </c>
    </row>
    <row r="110">
      <c r="A110" t="s">
        <v>30</v>
      </c>
      <c r="B110" t="n">
        <v>1.03</v>
      </c>
      <c r="C110" t="n">
        <v>1.08</v>
      </c>
      <c r="D110" t="n">
        <v>1.06</v>
      </c>
      <c r="E110" t="n">
        <v>-1.25</v>
      </c>
      <c r="F110" t="n">
        <v>-0.5</v>
      </c>
      <c r="G110" t="n">
        <v>71</v>
      </c>
      <c r="H110" t="n">
        <v>12</v>
      </c>
      <c r="I110" t="s">
        <v>288</v>
      </c>
      <c r="J110" t="n">
        <v>0</v>
      </c>
      <c r="K110" t="n">
        <v>0</v>
      </c>
      <c r="L110" t="n">
        <v>0</v>
      </c>
      <c r="M110" t="n">
        <v>12</v>
      </c>
      <c r="N110" t="n">
        <v>0.25</v>
      </c>
      <c r="O110" t="n">
        <v>-0.5</v>
      </c>
      <c r="P110" t="n">
        <v>96</v>
      </c>
      <c r="Q110" t="n">
        <v>12</v>
      </c>
      <c r="R110" t="s">
        <v>288</v>
      </c>
      <c r="S110" t="s">
        <v>293</v>
      </c>
      <c r="T110" t="n">
        <v>0</v>
      </c>
    </row>
    <row r="111">
      <c r="A111" t="s">
        <v>30</v>
      </c>
      <c r="B111" t="n">
        <v>1.11</v>
      </c>
      <c r="C111" t="n">
        <v>1.17</v>
      </c>
      <c r="D111" t="n">
        <v>1.14</v>
      </c>
      <c r="E111" t="n">
        <v>-4</v>
      </c>
      <c r="F111" t="n">
        <v>0</v>
      </c>
      <c r="G111" t="n">
        <v>80</v>
      </c>
      <c r="H111" t="n">
        <v>12</v>
      </c>
      <c r="I111" t="s">
        <v>293</v>
      </c>
      <c r="J111" t="n">
        <v>0</v>
      </c>
      <c r="K111" t="n">
        <v>0</v>
      </c>
      <c r="L111" t="n">
        <v>0</v>
      </c>
      <c r="M111" t="n">
        <v>12</v>
      </c>
      <c r="N111" t="n">
        <v>0</v>
      </c>
      <c r="O111" t="n">
        <v>-0.25</v>
      </c>
      <c r="P111" t="n">
        <v>130</v>
      </c>
      <c r="Q111" t="n">
        <v>12</v>
      </c>
      <c r="R111" t="s">
        <v>297</v>
      </c>
      <c r="S111" t="s">
        <v>297</v>
      </c>
      <c r="T111" t="n">
        <v>-0.25</v>
      </c>
    </row>
    <row r="112">
      <c r="A112" t="s">
        <v>30</v>
      </c>
      <c r="B112" t="n">
        <v>0.97</v>
      </c>
      <c r="C112" t="n">
        <v>0.9</v>
      </c>
      <c r="D112" t="n">
        <v>1.02</v>
      </c>
      <c r="E112" t="n">
        <v>-2.75</v>
      </c>
      <c r="F112" t="n">
        <v>-0.5</v>
      </c>
      <c r="G112" t="n">
        <v>62</v>
      </c>
      <c r="H112" t="n">
        <v>12</v>
      </c>
      <c r="I112" t="s">
        <v>290</v>
      </c>
      <c r="J112" t="n">
        <v>0</v>
      </c>
      <c r="K112" t="n">
        <v>0</v>
      </c>
      <c r="L112" t="n">
        <v>0</v>
      </c>
      <c r="M112" t="n">
        <v>12</v>
      </c>
      <c r="N112" t="n">
        <v>0</v>
      </c>
      <c r="O112" t="n">
        <v>-0.25</v>
      </c>
      <c r="P112" t="n">
        <v>92</v>
      </c>
      <c r="Q112" t="n">
        <v>12</v>
      </c>
      <c r="R112" t="s">
        <v>289</v>
      </c>
      <c r="S112" t="s">
        <v>291</v>
      </c>
      <c r="T112" t="n">
        <v>-0.25</v>
      </c>
    </row>
    <row r="113">
      <c r="A113" t="s">
        <v>30</v>
      </c>
      <c r="B113" t="n">
        <v>0.99</v>
      </c>
      <c r="C113" t="n">
        <v>1.03</v>
      </c>
      <c r="D113" t="n">
        <v>1.03</v>
      </c>
      <c r="E113" t="n">
        <v>-6</v>
      </c>
      <c r="F113" t="n">
        <v>-1.25</v>
      </c>
      <c r="G113" t="n">
        <v>165</v>
      </c>
      <c r="H113" t="n">
        <v>12</v>
      </c>
      <c r="I113" t="s">
        <v>289</v>
      </c>
      <c r="J113" t="n">
        <v>0</v>
      </c>
      <c r="K113" t="n">
        <v>0</v>
      </c>
      <c r="L113" t="n">
        <v>0</v>
      </c>
      <c r="M113" t="n">
        <v>12</v>
      </c>
      <c r="N113" t="n">
        <v>-0.75</v>
      </c>
      <c r="O113" t="n">
        <v>0</v>
      </c>
      <c r="P113" t="n">
        <v>14</v>
      </c>
      <c r="Q113" t="n">
        <v>12</v>
      </c>
      <c r="R113" t="s">
        <v>288</v>
      </c>
      <c r="S113" t="s">
        <v>288</v>
      </c>
      <c r="T113" t="n">
        <v>-0.75</v>
      </c>
    </row>
    <row r="114">
      <c r="A114" t="s">
        <v>30</v>
      </c>
      <c r="B114" t="n">
        <v>0.94</v>
      </c>
      <c r="C114" t="n">
        <v>0.96</v>
      </c>
      <c r="D114" t="n">
        <v>0.93</v>
      </c>
      <c r="E114" t="n">
        <v>-3.75</v>
      </c>
      <c r="F114" t="n">
        <v>0</v>
      </c>
      <c r="G114" t="n">
        <v>149</v>
      </c>
      <c r="H114" t="n">
        <v>12</v>
      </c>
      <c r="I114" t="s">
        <v>290</v>
      </c>
      <c r="J114" t="n">
        <v>0</v>
      </c>
      <c r="K114" t="n">
        <v>0</v>
      </c>
      <c r="L114" t="n">
        <v>0</v>
      </c>
      <c r="M114" t="n">
        <v>12</v>
      </c>
      <c r="N114" t="n">
        <v>0</v>
      </c>
      <c r="O114" t="n">
        <v>-0.5</v>
      </c>
      <c r="P114" t="n">
        <v>143</v>
      </c>
      <c r="Q114" t="n">
        <v>12</v>
      </c>
      <c r="R114" t="s">
        <v>291</v>
      </c>
      <c r="S114" t="s">
        <v>290</v>
      </c>
      <c r="T114" t="n">
        <v>-0.25</v>
      </c>
    </row>
    <row r="115">
      <c r="A115" t="s">
        <v>30</v>
      </c>
      <c r="B115" t="n">
        <v>0.96</v>
      </c>
      <c r="C115" t="n">
        <v>1.08</v>
      </c>
      <c r="D115" t="n">
        <v>0.97</v>
      </c>
      <c r="E115" t="n">
        <v>-3.5</v>
      </c>
      <c r="F115" t="n">
        <v>-0.5</v>
      </c>
      <c r="G115" t="n">
        <v>2</v>
      </c>
      <c r="H115" t="n">
        <v>12</v>
      </c>
      <c r="I115" t="s">
        <v>290</v>
      </c>
      <c r="J115" t="n">
        <v>0</v>
      </c>
      <c r="K115" t="n">
        <v>0</v>
      </c>
      <c r="L115" t="n">
        <v>0</v>
      </c>
      <c r="M115" t="n">
        <v>12</v>
      </c>
      <c r="N115" t="n">
        <v>0.5</v>
      </c>
      <c r="O115" t="n">
        <v>-0.25</v>
      </c>
      <c r="P115" t="n">
        <v>175</v>
      </c>
      <c r="Q115" t="n">
        <v>12</v>
      </c>
      <c r="R115" t="s">
        <v>290</v>
      </c>
      <c r="S115" t="s">
        <v>293</v>
      </c>
      <c r="T115" t="n">
        <v>0.25</v>
      </c>
    </row>
    <row r="116">
      <c r="A116" t="s">
        <v>30</v>
      </c>
      <c r="B116" t="n">
        <v>0.93</v>
      </c>
      <c r="C116" t="n">
        <v>0.9</v>
      </c>
      <c r="D116" t="n">
        <v>0.92</v>
      </c>
      <c r="E116" t="n">
        <v>-2.5</v>
      </c>
      <c r="F116" t="n">
        <v>-1</v>
      </c>
      <c r="G116" t="n">
        <v>24</v>
      </c>
      <c r="H116" t="n">
        <v>12</v>
      </c>
      <c r="I116" t="s">
        <v>291</v>
      </c>
      <c r="J116" t="n">
        <v>0</v>
      </c>
      <c r="K116" t="n">
        <v>0</v>
      </c>
      <c r="L116" t="n">
        <v>0</v>
      </c>
      <c r="M116" t="n">
        <v>12</v>
      </c>
      <c r="N116" t="n">
        <v>0</v>
      </c>
      <c r="O116" t="n">
        <v>-0.25</v>
      </c>
      <c r="P116" t="n">
        <v>15</v>
      </c>
      <c r="Q116" t="n">
        <v>12</v>
      </c>
      <c r="R116" t="s">
        <v>291</v>
      </c>
      <c r="S116" t="s">
        <v>291</v>
      </c>
      <c r="T116" t="n">
        <v>-0.25</v>
      </c>
    </row>
    <row r="117">
      <c r="A117" t="s">
        <v>30</v>
      </c>
      <c r="B117" t="n">
        <v>1.05</v>
      </c>
      <c r="C117" t="n">
        <v>0.89</v>
      </c>
      <c r="D117" t="n">
        <v>1.04</v>
      </c>
      <c r="E117" t="n">
        <v>-4.25</v>
      </c>
      <c r="F117" t="n">
        <v>-1.5</v>
      </c>
      <c r="G117" t="n">
        <v>5</v>
      </c>
      <c r="H117" t="n">
        <v>12</v>
      </c>
      <c r="I117" t="s">
        <v>288</v>
      </c>
      <c r="J117" t="n">
        <v>0</v>
      </c>
      <c r="K117" t="n">
        <v>0</v>
      </c>
      <c r="L117" t="n">
        <v>0</v>
      </c>
      <c r="M117" t="n">
        <v>12</v>
      </c>
      <c r="N117" t="n">
        <v>0.5</v>
      </c>
      <c r="O117" t="n">
        <v>-0.25</v>
      </c>
      <c r="P117" t="n">
        <v>172</v>
      </c>
      <c r="Q117" t="n">
        <v>12</v>
      </c>
      <c r="R117" t="s">
        <v>288</v>
      </c>
      <c r="S117" t="s">
        <v>300</v>
      </c>
      <c r="T117" t="n">
        <v>0.5</v>
      </c>
    </row>
    <row r="118">
      <c r="A118" t="s">
        <v>30</v>
      </c>
      <c r="B118" t="n">
        <v>1.11</v>
      </c>
      <c r="C118" t="n">
        <v>0.99</v>
      </c>
      <c r="D118" t="n">
        <v>1.08</v>
      </c>
      <c r="E118" t="n">
        <v>-4</v>
      </c>
      <c r="F118" t="n">
        <v>-0.75</v>
      </c>
      <c r="G118" t="n">
        <v>88</v>
      </c>
      <c r="H118" t="n">
        <v>12</v>
      </c>
      <c r="I118" t="s">
        <v>293</v>
      </c>
      <c r="J118" t="n">
        <v>0</v>
      </c>
      <c r="K118" t="n">
        <v>0</v>
      </c>
      <c r="L118" t="n">
        <v>0</v>
      </c>
      <c r="M118" t="n">
        <v>12</v>
      </c>
      <c r="N118" t="n">
        <v>0.5</v>
      </c>
      <c r="O118" t="n">
        <v>-0.25</v>
      </c>
      <c r="P118" t="n">
        <v>81</v>
      </c>
      <c r="Q118" t="n">
        <v>12</v>
      </c>
      <c r="R118" t="s">
        <v>293</v>
      </c>
      <c r="S118" t="s">
        <v>289</v>
      </c>
      <c r="T118" t="n">
        <v>0.25</v>
      </c>
    </row>
    <row r="119">
      <c r="A119" t="s">
        <v>30</v>
      </c>
      <c r="B119" t="n">
        <v>1.03</v>
      </c>
      <c r="C119" t="n">
        <v>0.9</v>
      </c>
      <c r="D119" t="n">
        <v>1.09</v>
      </c>
      <c r="E119" t="n">
        <v>-3.25</v>
      </c>
      <c r="F119" t="n">
        <v>-0.5</v>
      </c>
      <c r="G119" t="n">
        <v>180</v>
      </c>
      <c r="H119" t="n">
        <v>12</v>
      </c>
      <c r="I119" t="s">
        <v>288</v>
      </c>
      <c r="J119" t="n">
        <v>0</v>
      </c>
      <c r="K119" t="n">
        <v>0</v>
      </c>
      <c r="L119" t="n">
        <v>0</v>
      </c>
      <c r="M119" t="n">
        <v>12</v>
      </c>
      <c r="N119" t="n">
        <v>0</v>
      </c>
      <c r="O119" t="n">
        <v>-0.25</v>
      </c>
      <c r="P119" t="n">
        <v>152</v>
      </c>
      <c r="Q119" t="n">
        <v>12</v>
      </c>
      <c r="R119" t="s">
        <v>293</v>
      </c>
      <c r="S119" t="s">
        <v>291</v>
      </c>
      <c r="T119" t="n">
        <v>-0.25</v>
      </c>
    </row>
    <row r="120">
      <c r="A120" t="s">
        <v>30</v>
      </c>
      <c r="B120" t="n">
        <v>1.18</v>
      </c>
      <c r="C120" t="n">
        <v>1.19</v>
      </c>
      <c r="D120" t="n">
        <v>1.13</v>
      </c>
      <c r="E120" t="n">
        <v>-6.25</v>
      </c>
      <c r="F120" t="n">
        <v>-0.25</v>
      </c>
      <c r="G120" t="n">
        <v>89</v>
      </c>
      <c r="H120" t="n">
        <v>12</v>
      </c>
      <c r="I120" t="s">
        <v>294</v>
      </c>
      <c r="J120" t="n">
        <v>0</v>
      </c>
      <c r="K120" t="n">
        <v>0</v>
      </c>
      <c r="L120" t="n">
        <v>0</v>
      </c>
      <c r="M120" t="n">
        <v>12</v>
      </c>
      <c r="N120" t="n">
        <v>0</v>
      </c>
      <c r="O120" t="n">
        <v>-0.25</v>
      </c>
      <c r="P120" t="n">
        <v>103</v>
      </c>
      <c r="Q120" t="n">
        <v>12</v>
      </c>
      <c r="R120" t="s">
        <v>297</v>
      </c>
      <c r="S120" t="s">
        <v>294</v>
      </c>
      <c r="T120" t="n">
        <v>0</v>
      </c>
    </row>
    <row r="121">
      <c r="A121" t="s">
        <v>30</v>
      </c>
      <c r="B121" t="n">
        <v>1.11</v>
      </c>
      <c r="C121" t="n">
        <v>0.97</v>
      </c>
      <c r="D121" t="n">
        <v>1.11</v>
      </c>
      <c r="E121" t="n">
        <v>-5.25</v>
      </c>
      <c r="F121" t="n">
        <v>-1</v>
      </c>
      <c r="G121" t="n">
        <v>22</v>
      </c>
      <c r="H121" t="n">
        <v>12</v>
      </c>
      <c r="I121" t="s">
        <v>293</v>
      </c>
      <c r="J121" t="n">
        <v>0</v>
      </c>
      <c r="K121" t="n">
        <v>0</v>
      </c>
      <c r="L121" t="n">
        <v>0</v>
      </c>
      <c r="M121" t="n">
        <v>12</v>
      </c>
      <c r="N121" t="n">
        <v>0.75</v>
      </c>
      <c r="O121" t="n">
        <v>-0.5</v>
      </c>
      <c r="P121" t="n">
        <v>14</v>
      </c>
      <c r="Q121" t="n">
        <v>12</v>
      </c>
      <c r="R121" t="s">
        <v>293</v>
      </c>
      <c r="S121" t="s">
        <v>290</v>
      </c>
      <c r="T121" t="n">
        <v>0.5</v>
      </c>
    </row>
    <row r="122">
      <c r="A122" t="s">
        <v>30</v>
      </c>
      <c r="B122" t="n">
        <v>1</v>
      </c>
      <c r="C122" t="n">
        <v>0.94</v>
      </c>
      <c r="D122" t="n">
        <v>1.02</v>
      </c>
      <c r="E122" t="n">
        <v>-5.5</v>
      </c>
      <c r="F122" t="n">
        <v>-0.5</v>
      </c>
      <c r="G122" t="n">
        <v>173</v>
      </c>
      <c r="H122" t="n">
        <v>12</v>
      </c>
      <c r="I122" t="s">
        <v>289</v>
      </c>
      <c r="J122" t="n">
        <v>0</v>
      </c>
      <c r="K122" t="n">
        <v>0</v>
      </c>
      <c r="L122" t="n">
        <v>0</v>
      </c>
      <c r="M122" t="n">
        <v>12</v>
      </c>
      <c r="N122" t="n">
        <v>0</v>
      </c>
      <c r="O122" t="n">
        <v>-0.5</v>
      </c>
      <c r="P122" t="n">
        <v>24</v>
      </c>
      <c r="Q122" t="n">
        <v>12</v>
      </c>
      <c r="R122" t="s">
        <v>289</v>
      </c>
      <c r="S122" t="s">
        <v>290</v>
      </c>
      <c r="T122" t="n">
        <v>-0.25</v>
      </c>
    </row>
    <row r="123">
      <c r="A123" t="s">
        <v>30</v>
      </c>
      <c r="B123" t="n">
        <v>1.1</v>
      </c>
      <c r="C123" t="n">
        <v>1.14</v>
      </c>
      <c r="D123" t="n">
        <v>1.13</v>
      </c>
      <c r="E123" t="n">
        <v>-7.25</v>
      </c>
      <c r="F123" t="n">
        <v>-1</v>
      </c>
      <c r="G123" t="n">
        <v>156</v>
      </c>
      <c r="H123" t="n">
        <v>12</v>
      </c>
      <c r="I123" t="s">
        <v>293</v>
      </c>
      <c r="J123" t="n">
        <v>0</v>
      </c>
      <c r="K123" t="n">
        <v>0</v>
      </c>
      <c r="L123" t="n">
        <v>0</v>
      </c>
      <c r="M123" t="n">
        <v>12</v>
      </c>
      <c r="N123" t="n">
        <v>0.25</v>
      </c>
      <c r="O123" t="n">
        <v>-0.5</v>
      </c>
      <c r="P123" t="n">
        <v>40</v>
      </c>
      <c r="Q123" t="n">
        <v>12</v>
      </c>
      <c r="R123" t="s">
        <v>297</v>
      </c>
      <c r="S123" t="s">
        <v>297</v>
      </c>
      <c r="T123" t="n">
        <v>0</v>
      </c>
    </row>
    <row r="124">
      <c r="A124" t="s">
        <v>30</v>
      </c>
      <c r="B124" t="n">
        <v>1.11</v>
      </c>
      <c r="C124" t="n">
        <v>1.07</v>
      </c>
      <c r="D124" t="n">
        <v>1.14</v>
      </c>
      <c r="E124" t="n">
        <v>-5.5</v>
      </c>
      <c r="F124" t="n">
        <v>-0.5</v>
      </c>
      <c r="G124" t="n">
        <v>21</v>
      </c>
      <c r="H124" t="n">
        <v>12</v>
      </c>
      <c r="I124" t="s">
        <v>293</v>
      </c>
      <c r="J124" t="n">
        <v>0</v>
      </c>
      <c r="K124" t="n">
        <v>0</v>
      </c>
      <c r="L124" t="n">
        <v>0</v>
      </c>
      <c r="M124" t="n">
        <v>12</v>
      </c>
      <c r="N124" t="n">
        <v>0</v>
      </c>
      <c r="O124" t="n">
        <v>-0.25</v>
      </c>
      <c r="P124" t="n">
        <v>8</v>
      </c>
      <c r="Q124" t="n">
        <v>12</v>
      </c>
      <c r="R124" t="s">
        <v>297</v>
      </c>
      <c r="S124" t="s">
        <v>288</v>
      </c>
      <c r="T124" t="n">
        <v>0</v>
      </c>
    </row>
    <row r="125">
      <c r="A125" t="s">
        <v>30</v>
      </c>
      <c r="B125" t="n">
        <v>1.04</v>
      </c>
      <c r="C125" t="n">
        <v>0.87</v>
      </c>
      <c r="D125" t="n">
        <v>1.04</v>
      </c>
      <c r="E125" t="n">
        <v>-4.75</v>
      </c>
      <c r="F125" t="n">
        <v>-0.5</v>
      </c>
      <c r="G125" t="n">
        <v>2</v>
      </c>
      <c r="H125" t="n">
        <v>12</v>
      </c>
      <c r="I125" t="s">
        <v>288</v>
      </c>
      <c r="J125" t="n">
        <v>0</v>
      </c>
      <c r="K125" t="n">
        <v>0</v>
      </c>
      <c r="L125" t="n">
        <v>0</v>
      </c>
      <c r="M125" t="n">
        <v>12</v>
      </c>
      <c r="N125" t="n">
        <v>-0.5</v>
      </c>
      <c r="O125" t="n">
        <v>-0.5</v>
      </c>
      <c r="P125" t="n">
        <v>19</v>
      </c>
      <c r="Q125" t="n">
        <v>12</v>
      </c>
      <c r="R125" t="s">
        <v>288</v>
      </c>
      <c r="S125" t="s">
        <v>300</v>
      </c>
      <c r="T125" t="n">
        <v>-0.75</v>
      </c>
    </row>
    <row r="126">
      <c r="A126" t="s">
        <v>30</v>
      </c>
      <c r="B126" t="n">
        <v>1.12</v>
      </c>
      <c r="C126" t="n">
        <v>1.18</v>
      </c>
      <c r="D126" t="n">
        <v>1.16</v>
      </c>
      <c r="E126" t="n">
        <v>-6.5</v>
      </c>
      <c r="F126" t="n">
        <v>-1</v>
      </c>
      <c r="G126" t="n">
        <v>159</v>
      </c>
      <c r="H126" t="n">
        <v>12</v>
      </c>
      <c r="I126" t="s">
        <v>293</v>
      </c>
      <c r="J126" t="n">
        <v>0</v>
      </c>
      <c r="K126" t="n">
        <v>0</v>
      </c>
      <c r="L126" t="n">
        <v>0</v>
      </c>
      <c r="M126" t="n">
        <v>12</v>
      </c>
      <c r="N126" t="n">
        <v>0</v>
      </c>
      <c r="O126" t="n">
        <v>0</v>
      </c>
      <c r="P126" t="n">
        <v>13</v>
      </c>
      <c r="Q126" t="n">
        <v>12</v>
      </c>
      <c r="R126" t="s">
        <v>297</v>
      </c>
      <c r="S126" t="s">
        <v>294</v>
      </c>
      <c r="T126" t="n">
        <v>0</v>
      </c>
    </row>
    <row r="127">
      <c r="A127" t="s">
        <v>30</v>
      </c>
      <c r="B127" t="n">
        <v>1.06</v>
      </c>
      <c r="C127" t="n">
        <v>1.07</v>
      </c>
      <c r="D127" t="n">
        <v>1.09</v>
      </c>
      <c r="E127" t="n">
        <v>-4.25</v>
      </c>
      <c r="F127" t="n">
        <v>0</v>
      </c>
      <c r="G127" t="n">
        <v>1</v>
      </c>
      <c r="H127" t="n">
        <v>12</v>
      </c>
      <c r="I127" t="s">
        <v>288</v>
      </c>
      <c r="J127" t="n">
        <v>0</v>
      </c>
      <c r="K127" t="n">
        <v>0</v>
      </c>
      <c r="L127" t="n">
        <v>0</v>
      </c>
      <c r="M127" t="n">
        <v>12</v>
      </c>
      <c r="N127" t="n">
        <v>0.5</v>
      </c>
      <c r="O127" t="n">
        <v>-0.25</v>
      </c>
      <c r="P127" t="n">
        <v>13</v>
      </c>
      <c r="Q127" t="n">
        <v>12</v>
      </c>
      <c r="R127" t="s">
        <v>293</v>
      </c>
      <c r="S127" t="s">
        <v>288</v>
      </c>
      <c r="T127" t="n">
        <v>0.25</v>
      </c>
    </row>
    <row r="128">
      <c r="A128" t="s">
        <v>30</v>
      </c>
      <c r="B128" t="n">
        <v>1.04</v>
      </c>
      <c r="C128" t="n">
        <v>1.07</v>
      </c>
      <c r="D128" t="n">
        <v>1.01</v>
      </c>
      <c r="E128" t="n">
        <v>-5</v>
      </c>
      <c r="F128" t="n">
        <v>-0.25</v>
      </c>
      <c r="G128" t="n">
        <v>89</v>
      </c>
      <c r="H128" t="n">
        <v>12</v>
      </c>
      <c r="I128" t="s">
        <v>288</v>
      </c>
      <c r="J128" t="n">
        <v>0</v>
      </c>
      <c r="K128" t="n">
        <v>0</v>
      </c>
      <c r="L128" t="n">
        <v>0</v>
      </c>
      <c r="M128" t="n">
        <v>12</v>
      </c>
      <c r="N128" t="n">
        <v>0</v>
      </c>
      <c r="O128" t="n">
        <v>-0.25</v>
      </c>
      <c r="P128" t="n">
        <v>60</v>
      </c>
      <c r="Q128" t="n">
        <v>12</v>
      </c>
      <c r="R128" t="s">
        <v>289</v>
      </c>
      <c r="S128" t="s">
        <v>288</v>
      </c>
      <c r="T128" t="n">
        <v>0</v>
      </c>
    </row>
    <row r="129">
      <c r="A129" t="s">
        <v>30</v>
      </c>
      <c r="B129" t="n">
        <v>0.91</v>
      </c>
      <c r="C129" t="n">
        <v>0.94</v>
      </c>
      <c r="D129" t="n">
        <v>0.94</v>
      </c>
      <c r="E129" t="n">
        <v>-3.5</v>
      </c>
      <c r="F129" t="n">
        <v>-1</v>
      </c>
      <c r="G129" t="n">
        <v>110</v>
      </c>
      <c r="H129" t="n">
        <v>12</v>
      </c>
      <c r="I129" t="s">
        <v>291</v>
      </c>
      <c r="J129" t="n">
        <v>0</v>
      </c>
      <c r="K129" t="n">
        <v>0</v>
      </c>
      <c r="L129" t="n">
        <v>0</v>
      </c>
      <c r="M129" t="n">
        <v>12</v>
      </c>
      <c r="N129" t="n">
        <v>0</v>
      </c>
      <c r="O129" t="n">
        <v>-0.25</v>
      </c>
      <c r="P129" t="n">
        <v>121</v>
      </c>
      <c r="Q129" t="n">
        <v>12</v>
      </c>
      <c r="R129" t="s">
        <v>290</v>
      </c>
      <c r="S129" t="s">
        <v>290</v>
      </c>
      <c r="T129" t="n">
        <v>-0.25</v>
      </c>
    </row>
    <row r="130">
      <c r="A130" t="s">
        <v>30</v>
      </c>
      <c r="B130" t="n">
        <v>1.01</v>
      </c>
      <c r="C130" t="n">
        <v>1.09</v>
      </c>
      <c r="D130" t="n">
        <v>1.01</v>
      </c>
      <c r="E130" t="n">
        <v>-6.75</v>
      </c>
      <c r="F130" t="n">
        <v>-1.25</v>
      </c>
      <c r="G130" t="n">
        <v>14</v>
      </c>
      <c r="H130" t="n">
        <v>12</v>
      </c>
      <c r="I130" t="s">
        <v>289</v>
      </c>
      <c r="J130" t="n">
        <v>0</v>
      </c>
      <c r="K130" t="n">
        <v>0</v>
      </c>
      <c r="L130" t="n">
        <v>0</v>
      </c>
      <c r="M130" t="n">
        <v>12</v>
      </c>
      <c r="N130" t="n">
        <v>0</v>
      </c>
      <c r="O130" t="n">
        <v>-0.25</v>
      </c>
      <c r="P130" t="n">
        <v>13</v>
      </c>
      <c r="Q130" t="n">
        <v>12</v>
      </c>
      <c r="R130" t="s">
        <v>289</v>
      </c>
      <c r="S130" t="s">
        <v>293</v>
      </c>
      <c r="T130" t="n">
        <v>-0.25</v>
      </c>
    </row>
    <row r="131">
      <c r="A131" t="s">
        <v>30</v>
      </c>
      <c r="B131" t="n">
        <v>0.94</v>
      </c>
      <c r="C131" t="n">
        <v>0.92</v>
      </c>
      <c r="D131" t="n">
        <v>0.95</v>
      </c>
      <c r="E131" t="n">
        <v>-3</v>
      </c>
      <c r="F131" t="n">
        <v>-1.25</v>
      </c>
      <c r="G131" t="n">
        <v>163</v>
      </c>
      <c r="H131" t="n">
        <v>12</v>
      </c>
      <c r="I131" t="s">
        <v>290</v>
      </c>
      <c r="J131" t="n">
        <v>0</v>
      </c>
      <c r="K131" t="n">
        <v>0</v>
      </c>
      <c r="L131" t="n">
        <v>0</v>
      </c>
      <c r="M131" t="n">
        <v>12</v>
      </c>
      <c r="N131" t="n">
        <v>0</v>
      </c>
      <c r="O131" t="n">
        <v>0</v>
      </c>
      <c r="P131" t="n">
        <v>5</v>
      </c>
      <c r="Q131" t="n">
        <v>12</v>
      </c>
      <c r="R131" t="s">
        <v>290</v>
      </c>
      <c r="S131" t="s">
        <v>291</v>
      </c>
      <c r="T131" t="n">
        <v>0</v>
      </c>
    </row>
    <row r="132">
      <c r="A132" t="s">
        <v>30</v>
      </c>
      <c r="B132" t="n">
        <v>1.03</v>
      </c>
      <c r="C132" t="n">
        <v>0.87</v>
      </c>
      <c r="D132" t="n">
        <v>1</v>
      </c>
      <c r="E132" t="n">
        <v>-2</v>
      </c>
      <c r="F132" t="n">
        <v>-1</v>
      </c>
      <c r="G132" t="n">
        <v>94</v>
      </c>
      <c r="H132" t="n">
        <v>12</v>
      </c>
      <c r="I132" t="s">
        <v>288</v>
      </c>
      <c r="J132" t="n">
        <v>0</v>
      </c>
      <c r="K132" t="n">
        <v>0</v>
      </c>
      <c r="L132" t="n">
        <v>0</v>
      </c>
      <c r="M132" t="n">
        <v>12</v>
      </c>
      <c r="N132" t="n">
        <v>0.5</v>
      </c>
      <c r="O132" t="n">
        <v>0</v>
      </c>
      <c r="P132" t="n">
        <v>104</v>
      </c>
      <c r="Q132" t="n">
        <v>12</v>
      </c>
      <c r="R132" t="s">
        <v>289</v>
      </c>
      <c r="S132" t="s">
        <v>300</v>
      </c>
      <c r="T132" t="n">
        <v>0.5</v>
      </c>
    </row>
    <row r="133">
      <c r="A133" t="s">
        <v>30</v>
      </c>
      <c r="B133" t="n">
        <v>0.94</v>
      </c>
      <c r="C133" t="n">
        <v>0.91</v>
      </c>
      <c r="D133" t="n">
        <v>0.93</v>
      </c>
      <c r="E133" t="n">
        <v>-6</v>
      </c>
      <c r="F133" t="n">
        <v>-0.5</v>
      </c>
      <c r="G133" t="n">
        <v>85</v>
      </c>
      <c r="H133" t="n">
        <v>12</v>
      </c>
      <c r="I133" t="s">
        <v>290</v>
      </c>
      <c r="J133" t="n">
        <v>0</v>
      </c>
      <c r="K133" t="n">
        <v>0</v>
      </c>
      <c r="L133" t="n">
        <v>0</v>
      </c>
      <c r="M133" t="n">
        <v>12</v>
      </c>
      <c r="N133" t="n">
        <v>0</v>
      </c>
      <c r="O133" t="n">
        <v>-0.25</v>
      </c>
      <c r="P133" t="n">
        <v>110</v>
      </c>
      <c r="Q133" t="n">
        <v>12</v>
      </c>
      <c r="R133" t="s">
        <v>291</v>
      </c>
      <c r="S133" t="s">
        <v>291</v>
      </c>
      <c r="T133" t="n">
        <v>0</v>
      </c>
    </row>
    <row r="134">
      <c r="A134" t="s">
        <v>30</v>
      </c>
      <c r="B134" t="n">
        <v>1.12</v>
      </c>
      <c r="C134" t="n">
        <v>1.08</v>
      </c>
      <c r="D134" t="n">
        <v>1.12</v>
      </c>
      <c r="E134" t="n">
        <v>-7</v>
      </c>
      <c r="F134" t="n">
        <v>-0.5</v>
      </c>
      <c r="G134" t="n">
        <v>127</v>
      </c>
      <c r="H134" t="n">
        <v>12</v>
      </c>
      <c r="I134" t="s">
        <v>293</v>
      </c>
      <c r="J134" t="n">
        <v>0</v>
      </c>
      <c r="K134" t="n">
        <v>0</v>
      </c>
      <c r="L134" t="n">
        <v>0</v>
      </c>
      <c r="M134" t="n">
        <v>12</v>
      </c>
      <c r="N134" t="n">
        <v>0.75</v>
      </c>
      <c r="O134" t="n">
        <v>-0.5</v>
      </c>
      <c r="P134" t="n">
        <v>132</v>
      </c>
      <c r="Q134" t="n">
        <v>12</v>
      </c>
      <c r="R134" t="s">
        <v>293</v>
      </c>
      <c r="S134" t="s">
        <v>293</v>
      </c>
      <c r="T134" t="n">
        <v>0.5</v>
      </c>
    </row>
    <row r="135">
      <c r="A135" t="s">
        <v>30</v>
      </c>
      <c r="B135" t="n">
        <v>0.95</v>
      </c>
      <c r="C135" t="n">
        <v>1.02</v>
      </c>
      <c r="D135" t="n">
        <v>0.99</v>
      </c>
      <c r="E135" t="n">
        <v>-3.75</v>
      </c>
      <c r="F135" t="n">
        <v>-0.25</v>
      </c>
      <c r="G135" t="n">
        <v>173</v>
      </c>
      <c r="H135" t="n">
        <v>12</v>
      </c>
      <c r="I135" t="s">
        <v>290</v>
      </c>
      <c r="J135" t="n">
        <v>0</v>
      </c>
      <c r="K135" t="n">
        <v>0</v>
      </c>
      <c r="L135" t="n">
        <v>0</v>
      </c>
      <c r="M135" t="n">
        <v>12</v>
      </c>
      <c r="N135" t="n">
        <v>0.25</v>
      </c>
      <c r="O135" t="n">
        <v>0</v>
      </c>
      <c r="P135" t="n">
        <v>11</v>
      </c>
      <c r="Q135" t="n">
        <v>12</v>
      </c>
      <c r="R135" t="s">
        <v>289</v>
      </c>
      <c r="S135" t="s">
        <v>289</v>
      </c>
      <c r="T135" t="n">
        <v>0.25</v>
      </c>
    </row>
    <row r="136">
      <c r="A136" t="s">
        <v>30</v>
      </c>
      <c r="B136" t="n">
        <v>1.04</v>
      </c>
      <c r="C136" t="n">
        <v>1.15</v>
      </c>
      <c r="D136" t="n">
        <v>1.07</v>
      </c>
      <c r="E136" t="n">
        <v>-1</v>
      </c>
      <c r="F136" t="n">
        <v>-1</v>
      </c>
      <c r="G136" t="n">
        <v>87</v>
      </c>
      <c r="H136" t="n">
        <v>12</v>
      </c>
      <c r="I136" t="s">
        <v>288</v>
      </c>
      <c r="J136" t="n">
        <v>0</v>
      </c>
      <c r="K136" t="n">
        <v>0</v>
      </c>
      <c r="L136" t="n">
        <v>0</v>
      </c>
      <c r="M136" t="n">
        <v>12</v>
      </c>
      <c r="N136" t="n">
        <v>0</v>
      </c>
      <c r="O136" t="n">
        <v>-0.25</v>
      </c>
      <c r="P136" t="n">
        <v>102</v>
      </c>
      <c r="Q136" t="n">
        <v>12</v>
      </c>
      <c r="R136" t="s">
        <v>288</v>
      </c>
      <c r="S136" t="s">
        <v>297</v>
      </c>
      <c r="T136" t="n">
        <v>-0.25</v>
      </c>
    </row>
    <row r="137">
      <c r="A137" t="s">
        <v>30</v>
      </c>
      <c r="B137" t="n">
        <v>0.99</v>
      </c>
      <c r="C137" t="n">
        <v>0.89</v>
      </c>
      <c r="D137" t="n">
        <v>0.99</v>
      </c>
      <c r="E137" t="n">
        <v>-0.5</v>
      </c>
      <c r="F137" t="n">
        <v>-0.75</v>
      </c>
      <c r="G137" t="n">
        <v>89</v>
      </c>
      <c r="H137" t="n">
        <v>12</v>
      </c>
      <c r="I137" t="s">
        <v>289</v>
      </c>
      <c r="J137" t="n">
        <v>0</v>
      </c>
      <c r="K137" t="n">
        <v>0</v>
      </c>
      <c r="L137" t="n">
        <v>0</v>
      </c>
      <c r="M137" t="n">
        <v>12</v>
      </c>
      <c r="N137" t="n">
        <v>0.5</v>
      </c>
      <c r="O137" t="n">
        <v>-0.25</v>
      </c>
      <c r="P137" t="n">
        <v>74</v>
      </c>
      <c r="Q137" t="n">
        <v>12</v>
      </c>
      <c r="R137" t="s">
        <v>289</v>
      </c>
      <c r="S137" t="s">
        <v>300</v>
      </c>
      <c r="T137" t="n">
        <v>0.5</v>
      </c>
    </row>
    <row r="138">
      <c r="A138" t="s">
        <v>30</v>
      </c>
      <c r="B138" t="n">
        <v>1.06</v>
      </c>
      <c r="C138" t="n">
        <v>1.02</v>
      </c>
      <c r="D138" t="n">
        <v>1.07</v>
      </c>
      <c r="E138" t="n">
        <v>-1.75</v>
      </c>
      <c r="F138" t="n">
        <v>-2.5</v>
      </c>
      <c r="G138" t="n">
        <v>20</v>
      </c>
      <c r="H138" t="n">
        <v>12</v>
      </c>
      <c r="I138" t="s">
        <v>288</v>
      </c>
      <c r="J138" t="n">
        <v>0</v>
      </c>
      <c r="K138" t="n">
        <v>0</v>
      </c>
      <c r="L138" t="n">
        <v>0</v>
      </c>
      <c r="M138" t="n">
        <v>12</v>
      </c>
      <c r="N138" t="n">
        <v>0.25</v>
      </c>
      <c r="O138" t="n">
        <v>0</v>
      </c>
      <c r="P138" t="n">
        <v>33</v>
      </c>
      <c r="Q138" t="n">
        <v>12</v>
      </c>
      <c r="R138" t="s">
        <v>288</v>
      </c>
      <c r="S138" t="s">
        <v>289</v>
      </c>
      <c r="T138" t="n">
        <v>0.25</v>
      </c>
    </row>
    <row r="139">
      <c r="A139" t="s">
        <v>30</v>
      </c>
      <c r="B139" t="n">
        <v>1.05</v>
      </c>
      <c r="C139" t="n">
        <v>0.83</v>
      </c>
      <c r="D139" t="n">
        <v>1.05</v>
      </c>
      <c r="E139" t="n">
        <v>-3.5</v>
      </c>
      <c r="F139" t="n">
        <v>-0.75</v>
      </c>
      <c r="G139" t="n">
        <v>15</v>
      </c>
      <c r="H139" t="n">
        <v>12</v>
      </c>
      <c r="I139" t="s">
        <v>288</v>
      </c>
      <c r="J139" t="n">
        <v>0</v>
      </c>
      <c r="K139" t="n">
        <v>0</v>
      </c>
      <c r="L139" t="n">
        <v>0</v>
      </c>
      <c r="M139" t="n">
        <v>12</v>
      </c>
      <c r="N139" t="n">
        <v>-0.25</v>
      </c>
      <c r="O139" t="n">
        <v>0</v>
      </c>
      <c r="P139" t="n">
        <v>108</v>
      </c>
      <c r="Q139" t="n">
        <v>12</v>
      </c>
      <c r="R139" t="s">
        <v>288</v>
      </c>
      <c r="S139" t="s">
        <v>298</v>
      </c>
      <c r="T139" t="n">
        <v>-0.25</v>
      </c>
    </row>
    <row r="140">
      <c r="A140" t="s">
        <v>30</v>
      </c>
      <c r="B140" t="n">
        <v>1.06</v>
      </c>
      <c r="C140" t="n">
        <v>1.08</v>
      </c>
      <c r="D140" t="n">
        <v>1.07</v>
      </c>
      <c r="E140" t="n">
        <v>-4</v>
      </c>
      <c r="F140" t="n">
        <v>-1</v>
      </c>
      <c r="G140" t="n">
        <v>60</v>
      </c>
      <c r="H140" t="n">
        <v>12</v>
      </c>
      <c r="I140" t="s">
        <v>288</v>
      </c>
      <c r="J140" t="n">
        <v>0</v>
      </c>
      <c r="K140" t="n">
        <v>0</v>
      </c>
      <c r="L140" t="n">
        <v>0</v>
      </c>
      <c r="M140" t="n">
        <v>12</v>
      </c>
      <c r="N140" t="n">
        <v>-0.25</v>
      </c>
      <c r="O140" t="n">
        <v>0</v>
      </c>
      <c r="P140" t="n">
        <v>130</v>
      </c>
      <c r="Q140" t="n">
        <v>12</v>
      </c>
      <c r="R140" t="s">
        <v>288</v>
      </c>
      <c r="S140" t="s">
        <v>293</v>
      </c>
      <c r="T140" t="n">
        <v>-0.25</v>
      </c>
    </row>
    <row r="141">
      <c r="A141" t="s">
        <v>30</v>
      </c>
      <c r="B141" t="n">
        <v>1</v>
      </c>
      <c r="C141" t="n">
        <v>0.81</v>
      </c>
      <c r="D141" t="n">
        <v>0.85</v>
      </c>
      <c r="E141" t="n">
        <v>-5.5</v>
      </c>
      <c r="F141" t="n">
        <v>-0.25</v>
      </c>
      <c r="G141" t="n">
        <v>99</v>
      </c>
      <c r="H141" t="n">
        <v>12</v>
      </c>
      <c r="I141" t="s">
        <v>289</v>
      </c>
      <c r="J141" t="n">
        <v>0</v>
      </c>
      <c r="K141" t="n">
        <v>0</v>
      </c>
      <c r="L141" t="n">
        <v>0</v>
      </c>
      <c r="M141" t="n">
        <v>12</v>
      </c>
      <c r="N141" t="n">
        <v>0</v>
      </c>
      <c r="O141" t="n">
        <v>-0.25</v>
      </c>
      <c r="P141" t="n">
        <v>110</v>
      </c>
      <c r="Q141" t="n">
        <v>12</v>
      </c>
      <c r="R141" t="s">
        <v>298</v>
      </c>
      <c r="S141" t="s">
        <v>292</v>
      </c>
      <c r="T141" t="n">
        <v>0</v>
      </c>
    </row>
    <row r="142">
      <c r="A142" t="s">
        <v>30</v>
      </c>
      <c r="B142" t="n">
        <v>0.91</v>
      </c>
      <c r="C142" t="n">
        <v>0.81</v>
      </c>
      <c r="D142" t="n">
        <v>0.9</v>
      </c>
      <c r="E142" t="n">
        <v>-7.25</v>
      </c>
      <c r="F142" t="n">
        <v>-0.25</v>
      </c>
      <c r="G142" t="n">
        <v>12</v>
      </c>
      <c r="H142" t="n">
        <v>12</v>
      </c>
      <c r="I142" t="s">
        <v>291</v>
      </c>
      <c r="J142" t="n">
        <v>0</v>
      </c>
      <c r="K142" t="n">
        <v>0</v>
      </c>
      <c r="L142" t="n">
        <v>0</v>
      </c>
      <c r="M142" t="n">
        <v>12</v>
      </c>
      <c r="N142" t="n">
        <v>0</v>
      </c>
      <c r="O142" t="n">
        <v>-0.25</v>
      </c>
      <c r="P142" t="n">
        <v>34</v>
      </c>
      <c r="Q142" t="n">
        <v>12</v>
      </c>
      <c r="R142" t="s">
        <v>291</v>
      </c>
      <c r="S142" t="s">
        <v>292</v>
      </c>
      <c r="T142" t="n">
        <v>-0.25</v>
      </c>
    </row>
    <row r="143">
      <c r="A143" t="s">
        <v>30</v>
      </c>
      <c r="B143" t="n">
        <v>1</v>
      </c>
      <c r="C143" t="n">
        <v>0.8</v>
      </c>
      <c r="D143" t="n">
        <v>0.97</v>
      </c>
      <c r="E143" t="n">
        <v>-3.5</v>
      </c>
      <c r="F143" t="n">
        <v>-0.5</v>
      </c>
      <c r="G143" t="n">
        <v>158</v>
      </c>
      <c r="H143" t="n">
        <v>12</v>
      </c>
      <c r="I143" t="s">
        <v>289</v>
      </c>
      <c r="J143" t="n">
        <v>0</v>
      </c>
      <c r="K143" t="n">
        <v>0</v>
      </c>
      <c r="L143" t="n">
        <v>0</v>
      </c>
      <c r="M143" t="n">
        <v>12</v>
      </c>
      <c r="N143" t="n">
        <v>-0.25</v>
      </c>
      <c r="O143" t="n">
        <v>-0.5</v>
      </c>
      <c r="P143" t="n">
        <v>158</v>
      </c>
      <c r="Q143" t="n">
        <v>12</v>
      </c>
      <c r="R143" t="s">
        <v>290</v>
      </c>
      <c r="S143" t="s">
        <v>292</v>
      </c>
      <c r="T143" t="n">
        <v>-0.5</v>
      </c>
    </row>
    <row r="144">
      <c r="A144" t="s">
        <v>30</v>
      </c>
      <c r="B144" t="n">
        <v>1.12</v>
      </c>
      <c r="C144" t="n">
        <v>1.18</v>
      </c>
      <c r="D144" t="n">
        <v>1.14</v>
      </c>
      <c r="E144" t="n">
        <v>-0.5</v>
      </c>
      <c r="F144" t="n">
        <v>-0.5</v>
      </c>
      <c r="G144" t="n">
        <v>177</v>
      </c>
      <c r="H144" t="n">
        <v>12</v>
      </c>
      <c r="I144" t="s">
        <v>293</v>
      </c>
      <c r="J144" t="n">
        <v>0</v>
      </c>
      <c r="K144" t="n">
        <v>0</v>
      </c>
      <c r="L144" t="n">
        <v>0</v>
      </c>
      <c r="M144" t="n">
        <v>12</v>
      </c>
      <c r="N144" t="n">
        <v>0</v>
      </c>
      <c r="O144" t="n">
        <v>-0.25</v>
      </c>
      <c r="P144" t="n">
        <v>14</v>
      </c>
      <c r="Q144" t="n">
        <v>12</v>
      </c>
      <c r="R144" t="s">
        <v>297</v>
      </c>
      <c r="S144" t="s">
        <v>294</v>
      </c>
      <c r="T144" t="n">
        <v>-0.25</v>
      </c>
    </row>
    <row r="145">
      <c r="A145" t="s">
        <v>30</v>
      </c>
      <c r="B145" t="n">
        <v>1.02</v>
      </c>
      <c r="C145" t="n">
        <v>0.89</v>
      </c>
      <c r="D145" t="n">
        <v>1.08</v>
      </c>
      <c r="E145" t="n">
        <v>-5.25</v>
      </c>
      <c r="F145" t="n">
        <v>-0.25</v>
      </c>
      <c r="G145" t="n">
        <v>81</v>
      </c>
      <c r="H145" t="n">
        <v>12</v>
      </c>
      <c r="I145" t="s">
        <v>289</v>
      </c>
      <c r="J145" t="n">
        <v>0</v>
      </c>
      <c r="K145" t="n">
        <v>0</v>
      </c>
      <c r="L145" t="n">
        <v>0</v>
      </c>
      <c r="M145" t="n">
        <v>12</v>
      </c>
      <c r="N145" t="n">
        <v>-0.5</v>
      </c>
      <c r="O145" t="n">
        <v>-0.25</v>
      </c>
      <c r="P145" t="n">
        <v>104</v>
      </c>
      <c r="Q145" t="n">
        <v>12</v>
      </c>
      <c r="R145" t="s">
        <v>293</v>
      </c>
      <c r="S145" t="s">
        <v>300</v>
      </c>
      <c r="T145" t="n">
        <v>-0.5</v>
      </c>
    </row>
    <row r="146">
      <c r="A146" t="s">
        <v>30</v>
      </c>
      <c r="B146" t="n">
        <v>1.11</v>
      </c>
      <c r="C146" t="n">
        <v>1.11</v>
      </c>
      <c r="D146" t="n">
        <v>1.15</v>
      </c>
      <c r="E146" t="n">
        <v>-2.25</v>
      </c>
      <c r="F146" t="n">
        <v>-0.5</v>
      </c>
      <c r="G146" t="n">
        <v>17</v>
      </c>
      <c r="H146" t="n">
        <v>12</v>
      </c>
      <c r="I146" t="s">
        <v>293</v>
      </c>
      <c r="J146" t="n">
        <v>0</v>
      </c>
      <c r="K146" t="n">
        <v>0</v>
      </c>
      <c r="L146" t="n">
        <v>0</v>
      </c>
      <c r="M146" t="n">
        <v>12</v>
      </c>
      <c r="N146" t="n">
        <v>0.25</v>
      </c>
      <c r="O146" t="n">
        <v>0</v>
      </c>
      <c r="P146" t="n">
        <v>10</v>
      </c>
      <c r="Q146" t="n">
        <v>12</v>
      </c>
      <c r="R146" t="s">
        <v>297</v>
      </c>
      <c r="S146" t="s">
        <v>293</v>
      </c>
      <c r="T146" t="n">
        <v>0.25</v>
      </c>
    </row>
    <row r="147">
      <c r="A147" t="s">
        <v>30</v>
      </c>
      <c r="B147" t="n">
        <v>0.94</v>
      </c>
      <c r="C147" t="n">
        <v>0.99</v>
      </c>
      <c r="D147" t="n">
        <v>0.98</v>
      </c>
      <c r="E147" t="n">
        <v>-6</v>
      </c>
      <c r="F147" t="n">
        <v>0</v>
      </c>
      <c r="G147" t="n">
        <v>166</v>
      </c>
      <c r="H147" t="n">
        <v>12</v>
      </c>
      <c r="I147" t="s">
        <v>290</v>
      </c>
      <c r="J147" t="n">
        <v>0</v>
      </c>
      <c r="K147" t="n">
        <v>0</v>
      </c>
      <c r="L147" t="n">
        <v>0</v>
      </c>
      <c r="M147" t="n">
        <v>12</v>
      </c>
      <c r="N147" t="n">
        <v>0.25</v>
      </c>
      <c r="O147" t="n">
        <v>0</v>
      </c>
      <c r="P147" t="n">
        <v>5</v>
      </c>
      <c r="Q147" t="n">
        <v>12</v>
      </c>
      <c r="R147" t="s">
        <v>289</v>
      </c>
      <c r="S147" t="s">
        <v>289</v>
      </c>
      <c r="T147" t="n">
        <v>0.25</v>
      </c>
    </row>
    <row r="148">
      <c r="A148" t="s">
        <v>30</v>
      </c>
      <c r="B148" t="n">
        <v>0.98</v>
      </c>
      <c r="C148" t="n">
        <v>0.76</v>
      </c>
      <c r="D148" t="n">
        <v>1</v>
      </c>
      <c r="E148" t="n">
        <v>-4</v>
      </c>
      <c r="F148" t="n">
        <v>0</v>
      </c>
      <c r="G148" t="n">
        <v>87</v>
      </c>
      <c r="H148" t="n">
        <v>12</v>
      </c>
      <c r="I148" t="s">
        <v>289</v>
      </c>
      <c r="J148" t="n">
        <v>0</v>
      </c>
      <c r="K148" t="n">
        <v>0</v>
      </c>
      <c r="L148" t="n">
        <v>0</v>
      </c>
      <c r="M148" t="n">
        <v>12</v>
      </c>
      <c r="N148" t="n">
        <v>-0.5</v>
      </c>
      <c r="O148" t="n">
        <v>0</v>
      </c>
      <c r="P148" t="n">
        <v>97</v>
      </c>
      <c r="Q148" t="n">
        <v>12</v>
      </c>
      <c r="R148" t="s">
        <v>289</v>
      </c>
      <c r="S148" t="s">
        <v>301</v>
      </c>
      <c r="T148" t="n">
        <v>-0.5</v>
      </c>
    </row>
    <row r="149">
      <c r="A149" t="s">
        <v>30</v>
      </c>
      <c r="B149" t="n">
        <v>1.13</v>
      </c>
      <c r="C149" t="n">
        <v>1.11</v>
      </c>
      <c r="D149" t="n">
        <v>1.19</v>
      </c>
      <c r="E149" t="n">
        <v>-5.25</v>
      </c>
      <c r="F149" t="n">
        <v>-0.75</v>
      </c>
      <c r="G149" t="n">
        <v>117</v>
      </c>
      <c r="H149" t="n">
        <v>12</v>
      </c>
      <c r="I149" t="s">
        <v>297</v>
      </c>
      <c r="J149" t="n">
        <v>0</v>
      </c>
      <c r="K149" t="n">
        <v>0</v>
      </c>
      <c r="L149" t="n">
        <v>0</v>
      </c>
      <c r="M149" t="n">
        <v>12</v>
      </c>
      <c r="N149" t="n">
        <v>-0.25</v>
      </c>
      <c r="O149" t="n">
        <v>-0.5</v>
      </c>
      <c r="P149" t="n">
        <v>103</v>
      </c>
      <c r="Q149" t="n">
        <v>12</v>
      </c>
      <c r="R149" t="s">
        <v>294</v>
      </c>
      <c r="S149" t="s">
        <v>293</v>
      </c>
      <c r="T149" t="n">
        <v>-0.5</v>
      </c>
    </row>
    <row r="150">
      <c r="A150" t="s">
        <v>30</v>
      </c>
      <c r="B150" t="n">
        <v>1.14</v>
      </c>
      <c r="C150" t="n">
        <v>1.25</v>
      </c>
      <c r="D150" t="n">
        <v>1.19</v>
      </c>
      <c r="E150" t="n">
        <v>-6.5</v>
      </c>
      <c r="F150" t="n">
        <v>-0.25</v>
      </c>
      <c r="G150" t="n">
        <v>1</v>
      </c>
      <c r="H150" t="n">
        <v>12</v>
      </c>
      <c r="I150" t="s">
        <v>297</v>
      </c>
      <c r="J150" t="n">
        <v>0</v>
      </c>
      <c r="K150" t="n">
        <v>0</v>
      </c>
      <c r="L150" t="n">
        <v>0</v>
      </c>
      <c r="M150" t="n">
        <v>12</v>
      </c>
      <c r="N150" t="n">
        <v>-0.25</v>
      </c>
      <c r="O150" t="n">
        <v>0</v>
      </c>
      <c r="P150" t="n">
        <v>97</v>
      </c>
      <c r="Q150" t="n">
        <v>12</v>
      </c>
      <c r="R150" t="s">
        <v>294</v>
      </c>
      <c r="S150" t="s">
        <v>296</v>
      </c>
      <c r="T150" t="n">
        <v>-0.25</v>
      </c>
    </row>
    <row r="151">
      <c r="A151" t="s">
        <v>30</v>
      </c>
      <c r="B151" t="n">
        <v>1</v>
      </c>
      <c r="C151" t="n">
        <v>0.99</v>
      </c>
      <c r="D151" t="n">
        <v>1.06</v>
      </c>
      <c r="E151" t="n">
        <v>-4.25</v>
      </c>
      <c r="F151" t="n">
        <v>-1.25</v>
      </c>
      <c r="G151" t="n">
        <v>75</v>
      </c>
      <c r="H151" t="n">
        <v>12</v>
      </c>
      <c r="I151" t="s">
        <v>289</v>
      </c>
      <c r="J151" t="n">
        <v>0</v>
      </c>
      <c r="K151" t="n">
        <v>0</v>
      </c>
      <c r="L151" t="n">
        <v>0</v>
      </c>
      <c r="M151" t="n">
        <v>12</v>
      </c>
      <c r="N151" t="n">
        <v>1</v>
      </c>
      <c r="O151" t="n">
        <v>-0.25</v>
      </c>
      <c r="P151" t="n">
        <v>50</v>
      </c>
      <c r="Q151" t="n">
        <v>12</v>
      </c>
      <c r="R151" t="s">
        <v>288</v>
      </c>
      <c r="S151" t="s">
        <v>289</v>
      </c>
      <c r="T151" t="n">
        <v>0.75</v>
      </c>
    </row>
    <row r="152">
      <c r="A152" t="s">
        <v>30</v>
      </c>
      <c r="B152" t="n">
        <v>1.03</v>
      </c>
      <c r="C152" t="n">
        <v>0.98</v>
      </c>
      <c r="D152" t="n">
        <v>1.03</v>
      </c>
      <c r="E152" t="n">
        <v>-6</v>
      </c>
      <c r="F152" t="n">
        <v>-0.25</v>
      </c>
      <c r="G152" t="n">
        <v>152</v>
      </c>
      <c r="H152" t="n">
        <v>12</v>
      </c>
      <c r="I152" t="s">
        <v>288</v>
      </c>
      <c r="J152" t="n">
        <v>0</v>
      </c>
      <c r="K152" t="n">
        <v>0</v>
      </c>
      <c r="L152" t="n">
        <v>0</v>
      </c>
      <c r="M152" t="n">
        <v>12</v>
      </c>
      <c r="N152" t="n">
        <v>0</v>
      </c>
      <c r="O152" t="n">
        <v>0</v>
      </c>
      <c r="P152" t="n">
        <v>57</v>
      </c>
      <c r="Q152" t="n">
        <v>12</v>
      </c>
      <c r="R152" t="s">
        <v>288</v>
      </c>
      <c r="S152" t="s">
        <v>289</v>
      </c>
      <c r="T152" t="n">
        <v>0</v>
      </c>
    </row>
    <row r="153">
      <c r="A153" t="s">
        <v>30</v>
      </c>
      <c r="B153" t="n">
        <v>1.09</v>
      </c>
      <c r="C153" t="n">
        <v>1.14</v>
      </c>
      <c r="D153" t="n">
        <v>1.05</v>
      </c>
      <c r="E153" t="n">
        <v>-5.5</v>
      </c>
      <c r="F153" t="n">
        <v>-1.25</v>
      </c>
      <c r="G153" t="n">
        <v>105</v>
      </c>
      <c r="H153" t="n">
        <v>12</v>
      </c>
      <c r="I153" t="s">
        <v>293</v>
      </c>
      <c r="J153" t="n">
        <v>0</v>
      </c>
      <c r="K153" t="n">
        <v>0</v>
      </c>
      <c r="L153" t="n">
        <v>0</v>
      </c>
      <c r="M153" t="n">
        <v>12</v>
      </c>
      <c r="N153" t="n">
        <v>0.75</v>
      </c>
      <c r="O153" t="n">
        <v>-0.5</v>
      </c>
      <c r="P153" t="n">
        <v>107</v>
      </c>
      <c r="Q153" t="n">
        <v>12</v>
      </c>
      <c r="R153" t="s">
        <v>288</v>
      </c>
      <c r="S153" t="s">
        <v>297</v>
      </c>
      <c r="T153" t="n">
        <v>0.5</v>
      </c>
    </row>
    <row r="154">
      <c r="A154" t="s">
        <v>30</v>
      </c>
      <c r="B154" t="n">
        <v>0.99</v>
      </c>
      <c r="C154" t="n">
        <v>1.01</v>
      </c>
      <c r="D154" t="n">
        <v>1.03</v>
      </c>
      <c r="E154" t="n">
        <v>-2.75</v>
      </c>
      <c r="F154" t="n">
        <v>-0.25</v>
      </c>
      <c r="G154" t="n">
        <v>102</v>
      </c>
      <c r="H154" t="n">
        <v>12</v>
      </c>
      <c r="I154" t="s">
        <v>289</v>
      </c>
      <c r="J154" t="n">
        <v>0</v>
      </c>
      <c r="K154" t="n">
        <v>0</v>
      </c>
      <c r="L154" t="n">
        <v>0</v>
      </c>
      <c r="M154" t="n">
        <v>12</v>
      </c>
      <c r="N154" t="n">
        <v>1</v>
      </c>
      <c r="O154" t="n">
        <v>-0.25</v>
      </c>
      <c r="P154" t="n">
        <v>81</v>
      </c>
      <c r="Q154" t="n">
        <v>12</v>
      </c>
      <c r="R154" t="s">
        <v>288</v>
      </c>
      <c r="S154" t="s">
        <v>289</v>
      </c>
      <c r="T154" t="n">
        <v>0.75</v>
      </c>
    </row>
    <row r="155">
      <c r="A155" t="s">
        <v>30</v>
      </c>
      <c r="B155" t="n">
        <v>1.07</v>
      </c>
      <c r="C155" t="n">
        <v>0.87</v>
      </c>
      <c r="D155" t="n">
        <v>1.06</v>
      </c>
      <c r="E155" t="n">
        <v>-2.75</v>
      </c>
      <c r="F155" t="n">
        <v>-0.25</v>
      </c>
      <c r="G155" t="n">
        <v>85</v>
      </c>
      <c r="H155" t="n">
        <v>12</v>
      </c>
      <c r="I155" t="s">
        <v>288</v>
      </c>
      <c r="J155" t="n">
        <v>0</v>
      </c>
      <c r="K155" t="n">
        <v>0</v>
      </c>
      <c r="L155" t="n">
        <v>0</v>
      </c>
      <c r="M155" t="n">
        <v>12</v>
      </c>
      <c r="N155" t="n">
        <v>-0.75</v>
      </c>
      <c r="O155" t="n">
        <v>0</v>
      </c>
      <c r="P155" t="n">
        <v>83</v>
      </c>
      <c r="Q155" t="n">
        <v>12</v>
      </c>
      <c r="R155" t="s">
        <v>288</v>
      </c>
      <c r="S155" t="s">
        <v>300</v>
      </c>
      <c r="T155" t="n">
        <v>-0.75</v>
      </c>
    </row>
    <row r="156">
      <c r="A156" t="s">
        <v>30</v>
      </c>
      <c r="B156" t="n">
        <v>1.06</v>
      </c>
      <c r="C156" t="n">
        <v>1.22</v>
      </c>
      <c r="D156" t="n">
        <v>1.14</v>
      </c>
      <c r="E156" t="n">
        <v>-5.5</v>
      </c>
      <c r="F156" t="n">
        <v>-0.25</v>
      </c>
      <c r="G156" t="n">
        <v>76</v>
      </c>
      <c r="H156" t="n">
        <v>12</v>
      </c>
      <c r="I156" t="s">
        <v>288</v>
      </c>
      <c r="J156" t="n">
        <v>0</v>
      </c>
      <c r="K156" t="n">
        <v>0</v>
      </c>
      <c r="L156" t="n">
        <v>0</v>
      </c>
      <c r="M156" t="n">
        <v>12</v>
      </c>
      <c r="N156" t="n">
        <v>0.25</v>
      </c>
      <c r="O156" t="n">
        <v>-0.5</v>
      </c>
      <c r="P156" t="n">
        <v>66</v>
      </c>
      <c r="Q156" t="n">
        <v>12</v>
      </c>
      <c r="R156" t="s">
        <v>297</v>
      </c>
      <c r="S156" t="s">
        <v>294</v>
      </c>
      <c r="T156" t="n">
        <v>0</v>
      </c>
    </row>
    <row r="157">
      <c r="A157" t="s">
        <v>30</v>
      </c>
      <c r="B157" t="n">
        <v>1.08</v>
      </c>
      <c r="C157" t="n">
        <v>0.97</v>
      </c>
      <c r="D157" t="n">
        <v>1.14</v>
      </c>
      <c r="E157" t="n">
        <v>-2.25</v>
      </c>
      <c r="F157" t="n">
        <v>-1.5</v>
      </c>
      <c r="G157" t="n">
        <v>3</v>
      </c>
      <c r="H157" t="n">
        <v>12</v>
      </c>
      <c r="I157" t="s">
        <v>293</v>
      </c>
      <c r="J157" t="n">
        <v>0</v>
      </c>
      <c r="K157" t="n">
        <v>0</v>
      </c>
      <c r="L157" t="n">
        <v>0</v>
      </c>
      <c r="M157" t="n">
        <v>12</v>
      </c>
      <c r="N157" t="n">
        <v>0.5</v>
      </c>
      <c r="O157" t="n">
        <v>-0.25</v>
      </c>
      <c r="P157" t="n">
        <v>2</v>
      </c>
      <c r="Q157" t="n">
        <v>12</v>
      </c>
      <c r="R157" t="s">
        <v>297</v>
      </c>
      <c r="S157" t="s">
        <v>290</v>
      </c>
      <c r="T157" t="n">
        <v>0.5</v>
      </c>
    </row>
    <row r="158">
      <c r="A158" t="s">
        <v>30</v>
      </c>
      <c r="B158" t="n">
        <v>0.92</v>
      </c>
      <c r="C158" t="n">
        <v>0.91</v>
      </c>
      <c r="D158" t="n">
        <v>0.93</v>
      </c>
      <c r="E158" t="n">
        <v>-0.5</v>
      </c>
      <c r="F158" t="n">
        <v>-0.75</v>
      </c>
      <c r="G158" t="n">
        <v>32</v>
      </c>
      <c r="H158" t="n">
        <v>12</v>
      </c>
      <c r="I158" t="s">
        <v>291</v>
      </c>
      <c r="J158" t="n">
        <v>0</v>
      </c>
      <c r="K158" t="n">
        <v>0</v>
      </c>
      <c r="L158" t="n">
        <v>0</v>
      </c>
      <c r="M158" t="n">
        <v>12</v>
      </c>
      <c r="N158" t="n">
        <v>0</v>
      </c>
      <c r="O158" t="n">
        <v>-0.25</v>
      </c>
      <c r="P158" t="n">
        <v>23</v>
      </c>
      <c r="Q158" t="n">
        <v>12</v>
      </c>
      <c r="R158" t="s">
        <v>291</v>
      </c>
      <c r="S158" t="s">
        <v>291</v>
      </c>
      <c r="T158" t="n">
        <v>-0.25</v>
      </c>
    </row>
    <row r="159">
      <c r="A159" t="s">
        <v>30</v>
      </c>
      <c r="B159" t="n">
        <v>1</v>
      </c>
      <c r="C159" t="n">
        <v>0.94</v>
      </c>
      <c r="D159" t="n">
        <v>1.02</v>
      </c>
      <c r="E159" t="n">
        <v>-4.75</v>
      </c>
      <c r="F159" t="n">
        <v>-0.5</v>
      </c>
      <c r="G159" t="n">
        <v>93</v>
      </c>
      <c r="H159" t="n">
        <v>12</v>
      </c>
      <c r="I159" t="s">
        <v>289</v>
      </c>
      <c r="J159" t="n">
        <v>0</v>
      </c>
      <c r="K159" t="n">
        <v>0</v>
      </c>
      <c r="L159" t="n">
        <v>0</v>
      </c>
      <c r="M159" t="n">
        <v>12</v>
      </c>
      <c r="N159" t="n">
        <v>0</v>
      </c>
      <c r="O159" t="n">
        <v>0</v>
      </c>
      <c r="P159" t="n">
        <v>83</v>
      </c>
      <c r="Q159" t="n">
        <v>12</v>
      </c>
      <c r="R159" t="s">
        <v>289</v>
      </c>
      <c r="S159" t="s">
        <v>290</v>
      </c>
      <c r="T159" t="n">
        <v>0</v>
      </c>
    </row>
    <row r="160">
      <c r="A160" t="s">
        <v>30</v>
      </c>
      <c r="B160" t="n">
        <v>1.08</v>
      </c>
      <c r="C160" t="n">
        <v>1.02</v>
      </c>
      <c r="D160" t="n">
        <v>1.05</v>
      </c>
      <c r="E160" t="n">
        <v>-2.5</v>
      </c>
      <c r="F160" t="n">
        <v>-0.5</v>
      </c>
      <c r="G160" t="n">
        <v>40</v>
      </c>
      <c r="H160" t="n">
        <v>12</v>
      </c>
      <c r="I160" t="s">
        <v>293</v>
      </c>
      <c r="J160" t="n">
        <v>0</v>
      </c>
      <c r="K160" t="n">
        <v>0</v>
      </c>
      <c r="L160" t="n">
        <v>0</v>
      </c>
      <c r="M160" t="n">
        <v>12</v>
      </c>
      <c r="N160" t="n">
        <v>0.25</v>
      </c>
      <c r="O160" t="n">
        <v>0</v>
      </c>
      <c r="P160" t="n">
        <v>109</v>
      </c>
      <c r="Q160" t="n">
        <v>12</v>
      </c>
      <c r="R160" t="s">
        <v>288</v>
      </c>
      <c r="S160" t="s">
        <v>289</v>
      </c>
      <c r="T160" t="n">
        <v>0.25</v>
      </c>
    </row>
    <row r="161">
      <c r="A161" t="s">
        <v>30</v>
      </c>
      <c r="B161" t="n">
        <v>1.06</v>
      </c>
      <c r="C161" t="n">
        <v>1.03</v>
      </c>
      <c r="D161" t="n">
        <v>1.07</v>
      </c>
      <c r="E161" t="n">
        <v>-4</v>
      </c>
      <c r="F161" t="n">
        <v>-0.5</v>
      </c>
      <c r="G161" t="n">
        <v>2</v>
      </c>
      <c r="H161" t="n">
        <v>12</v>
      </c>
      <c r="I161" t="s">
        <v>288</v>
      </c>
      <c r="J161" t="n">
        <v>0</v>
      </c>
      <c r="K161" t="n">
        <v>0</v>
      </c>
      <c r="L161" t="n">
        <v>0</v>
      </c>
      <c r="M161" t="n">
        <v>12</v>
      </c>
      <c r="N161" t="n">
        <v>0.5</v>
      </c>
      <c r="O161" t="n">
        <v>-0.25</v>
      </c>
      <c r="P161" t="n">
        <v>171</v>
      </c>
      <c r="Q161" t="n">
        <v>12</v>
      </c>
      <c r="R161" t="s">
        <v>288</v>
      </c>
      <c r="S161" t="s">
        <v>288</v>
      </c>
      <c r="T161" t="n">
        <v>0.25</v>
      </c>
    </row>
    <row r="162">
      <c r="A162" t="s">
        <v>30</v>
      </c>
      <c r="B162" t="n">
        <v>1.11</v>
      </c>
      <c r="C162" t="n">
        <v>1.05</v>
      </c>
      <c r="D162" t="n">
        <v>1.11</v>
      </c>
      <c r="E162" t="n">
        <v>-6</v>
      </c>
      <c r="F162" t="n">
        <v>-1</v>
      </c>
      <c r="G162" t="n">
        <v>155</v>
      </c>
      <c r="H162" t="n">
        <v>12</v>
      </c>
      <c r="I162" t="s">
        <v>293</v>
      </c>
      <c r="J162" t="n">
        <v>0</v>
      </c>
      <c r="K162" t="n">
        <v>0</v>
      </c>
      <c r="L162" t="n">
        <v>0</v>
      </c>
      <c r="M162" t="n">
        <v>12</v>
      </c>
      <c r="N162" t="n">
        <v>0.25</v>
      </c>
      <c r="O162" t="n">
        <v>0</v>
      </c>
      <c r="P162" t="n">
        <v>108</v>
      </c>
      <c r="Q162" t="n">
        <v>12</v>
      </c>
      <c r="R162" t="s">
        <v>293</v>
      </c>
      <c r="S162" t="s">
        <v>288</v>
      </c>
      <c r="T162" t="n">
        <v>0.25</v>
      </c>
    </row>
    <row r="163">
      <c r="A163" t="s">
        <v>30</v>
      </c>
      <c r="B163" t="n">
        <v>1.05</v>
      </c>
      <c r="C163" t="n">
        <v>0.95</v>
      </c>
      <c r="D163" t="n">
        <v>1.07</v>
      </c>
      <c r="E163" t="n">
        <v>-3.75</v>
      </c>
      <c r="F163" t="n">
        <v>-0.5</v>
      </c>
      <c r="G163" t="n">
        <v>180</v>
      </c>
      <c r="H163" t="n">
        <v>12</v>
      </c>
      <c r="I163" t="s">
        <v>288</v>
      </c>
      <c r="J163" t="n">
        <v>0</v>
      </c>
      <c r="K163" t="n">
        <v>0</v>
      </c>
      <c r="L163" t="n">
        <v>0</v>
      </c>
      <c r="M163" t="n">
        <v>12</v>
      </c>
      <c r="N163" t="n">
        <v>0.5</v>
      </c>
      <c r="O163" t="n">
        <v>-0.5</v>
      </c>
      <c r="P163" t="n">
        <v>13</v>
      </c>
      <c r="Q163" t="n">
        <v>12</v>
      </c>
      <c r="R163" t="s">
        <v>288</v>
      </c>
      <c r="S163" t="s">
        <v>290</v>
      </c>
      <c r="T163" t="n">
        <v>0.25</v>
      </c>
    </row>
    <row r="164">
      <c r="A164" t="s">
        <v>30</v>
      </c>
      <c r="B164" t="n">
        <v>1.01</v>
      </c>
      <c r="C164" t="n">
        <v>0.87</v>
      </c>
      <c r="D164" t="n">
        <v>0.98</v>
      </c>
      <c r="E164" t="n">
        <v>-4.75</v>
      </c>
      <c r="F164" t="n">
        <v>-1</v>
      </c>
      <c r="G164" t="n">
        <v>11</v>
      </c>
      <c r="H164" t="n">
        <v>12</v>
      </c>
      <c r="I164" t="s">
        <v>289</v>
      </c>
      <c r="J164" t="n">
        <v>0</v>
      </c>
      <c r="K164" t="n">
        <v>0</v>
      </c>
      <c r="L164" t="n">
        <v>0</v>
      </c>
      <c r="M164" t="n">
        <v>12</v>
      </c>
      <c r="N164" t="n">
        <v>-0.5</v>
      </c>
      <c r="O164" t="n">
        <v>0</v>
      </c>
      <c r="P164" t="n">
        <v>167</v>
      </c>
      <c r="Q164" t="n">
        <v>12</v>
      </c>
      <c r="R164" t="s">
        <v>289</v>
      </c>
      <c r="S164" t="s">
        <v>300</v>
      </c>
      <c r="T164" t="n">
        <v>-0.5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5" t="s">
        <v>29</v>
      </c>
      <c r="B1" s="5" t="s">
        <v>272</v>
      </c>
      <c r="C1" s="5" t="s">
        <v>273</v>
      </c>
      <c r="D1" s="5" t="s">
        <v>274</v>
      </c>
      <c r="E1" s="6" t="s">
        <v>275</v>
      </c>
      <c r="F1" s="6" t="s">
        <v>276</v>
      </c>
      <c r="G1" s="6" t="s">
        <v>277</v>
      </c>
      <c r="H1" s="6" t="s">
        <v>278</v>
      </c>
      <c r="I1" s="6" t="s">
        <v>84</v>
      </c>
      <c r="J1" s="7" t="s">
        <v>279</v>
      </c>
      <c r="K1" s="7" t="s">
        <v>280</v>
      </c>
      <c r="L1" s="7" t="s">
        <v>281</v>
      </c>
      <c r="M1" s="7" t="s">
        <v>282</v>
      </c>
      <c r="N1" s="8" t="s">
        <v>283</v>
      </c>
      <c r="O1" s="8" t="s">
        <v>284</v>
      </c>
      <c r="P1" s="8" t="s">
        <v>285</v>
      </c>
      <c r="Q1" s="8" t="s">
        <v>286</v>
      </c>
      <c r="R1" s="8" t="s">
        <v>197</v>
      </c>
      <c r="S1" s="8" t="s">
        <v>190</v>
      </c>
      <c r="T1" s="9" t="s">
        <v>287</v>
      </c>
    </row>
    <row r="2">
      <c r="A2" t="s">
        <v>32</v>
      </c>
      <c r="B2" t="n">
        <v>1.04</v>
      </c>
      <c r="C2" t="n">
        <v>1.06</v>
      </c>
      <c r="D2" t="n">
        <v>1.03</v>
      </c>
      <c r="E2" t="n">
        <v>-6</v>
      </c>
      <c r="F2" t="n">
        <v>-0.5</v>
      </c>
      <c r="G2" t="n">
        <v>23</v>
      </c>
      <c r="H2" t="n">
        <v>12</v>
      </c>
      <c r="I2" t="s">
        <v>288</v>
      </c>
      <c r="J2" t="n">
        <v>0</v>
      </c>
      <c r="K2" t="n">
        <v>0</v>
      </c>
      <c r="L2" t="n">
        <v>0</v>
      </c>
      <c r="M2" t="n">
        <v>12</v>
      </c>
      <c r="N2" t="n">
        <v>0.5</v>
      </c>
      <c r="O2" t="n">
        <v>-0.25</v>
      </c>
      <c r="P2" t="n">
        <v>33</v>
      </c>
      <c r="Q2" t="n">
        <v>12</v>
      </c>
      <c r="R2" t="s">
        <v>288</v>
      </c>
      <c r="S2" t="s">
        <v>288</v>
      </c>
      <c r="T2" t="n">
        <v>0.25</v>
      </c>
    </row>
    <row r="3">
      <c r="A3" t="s">
        <v>32</v>
      </c>
      <c r="B3" t="n">
        <v>0.96</v>
      </c>
      <c r="C3" t="n">
        <v>0.95</v>
      </c>
      <c r="D3" t="n">
        <v>0.96</v>
      </c>
      <c r="E3" t="n">
        <v>-3.25</v>
      </c>
      <c r="F3" t="n">
        <v>0</v>
      </c>
      <c r="G3" t="n">
        <v>113</v>
      </c>
      <c r="H3" t="n">
        <v>12</v>
      </c>
      <c r="I3" t="s">
        <v>290</v>
      </c>
      <c r="J3" t="n">
        <v>0</v>
      </c>
      <c r="K3" t="n">
        <v>0</v>
      </c>
      <c r="L3" t="n">
        <v>0</v>
      </c>
      <c r="M3" t="n">
        <v>12</v>
      </c>
      <c r="N3" t="n">
        <v>0</v>
      </c>
      <c r="O3" t="n">
        <v>0</v>
      </c>
      <c r="P3" t="n">
        <v>81</v>
      </c>
      <c r="Q3" t="n">
        <v>12</v>
      </c>
      <c r="R3" t="s">
        <v>290</v>
      </c>
      <c r="S3" t="s">
        <v>290</v>
      </c>
      <c r="T3" t="n">
        <v>0</v>
      </c>
    </row>
    <row r="4">
      <c r="A4" t="s">
        <v>32</v>
      </c>
      <c r="B4" t="n">
        <v>1.11</v>
      </c>
      <c r="C4" t="n">
        <v>0.93</v>
      </c>
      <c r="D4" t="n">
        <v>1.08</v>
      </c>
      <c r="E4" t="n">
        <v>-3.25</v>
      </c>
      <c r="F4" t="n">
        <v>0</v>
      </c>
      <c r="G4" t="n">
        <v>59</v>
      </c>
      <c r="H4" t="n">
        <v>12</v>
      </c>
      <c r="I4" t="s">
        <v>293</v>
      </c>
      <c r="J4" t="n">
        <v>0</v>
      </c>
      <c r="K4" t="n">
        <v>0</v>
      </c>
      <c r="L4" t="n">
        <v>0</v>
      </c>
      <c r="M4" t="n">
        <v>12</v>
      </c>
      <c r="N4" t="n">
        <v>-0.25</v>
      </c>
      <c r="O4" t="n">
        <v>0</v>
      </c>
      <c r="P4" t="n">
        <v>96</v>
      </c>
      <c r="Q4" t="n">
        <v>12</v>
      </c>
      <c r="R4" t="s">
        <v>293</v>
      </c>
      <c r="S4" t="s">
        <v>291</v>
      </c>
      <c r="T4" t="n">
        <v>-0.25</v>
      </c>
    </row>
    <row r="5">
      <c r="A5" t="s">
        <v>32</v>
      </c>
      <c r="B5" t="n">
        <v>1.13</v>
      </c>
      <c r="C5" t="n">
        <v>1.25</v>
      </c>
      <c r="D5" t="n">
        <v>1.1</v>
      </c>
      <c r="E5" t="n">
        <v>-2.75</v>
      </c>
      <c r="F5" t="n">
        <v>-1.25</v>
      </c>
      <c r="G5" t="n">
        <v>85</v>
      </c>
      <c r="H5" t="n">
        <v>12</v>
      </c>
      <c r="I5" t="s">
        <v>297</v>
      </c>
      <c r="J5" t="n">
        <v>0</v>
      </c>
      <c r="K5" t="n">
        <v>0</v>
      </c>
      <c r="L5" t="n">
        <v>0</v>
      </c>
      <c r="M5" t="n">
        <v>12</v>
      </c>
      <c r="N5" t="n">
        <v>0.25</v>
      </c>
      <c r="O5" t="n">
        <v>-0.5</v>
      </c>
      <c r="P5" t="n">
        <v>46</v>
      </c>
      <c r="Q5" t="n">
        <v>12</v>
      </c>
      <c r="R5" t="s">
        <v>293</v>
      </c>
      <c r="S5" t="s">
        <v>296</v>
      </c>
      <c r="T5" t="n">
        <v>0</v>
      </c>
    </row>
    <row r="6">
      <c r="A6" t="s">
        <v>32</v>
      </c>
      <c r="B6" t="n">
        <v>1.15</v>
      </c>
      <c r="C6" t="n">
        <v>1.01</v>
      </c>
      <c r="D6" t="n">
        <v>1.18</v>
      </c>
      <c r="E6" t="n">
        <v>-6.75</v>
      </c>
      <c r="F6" t="n">
        <v>-0.25</v>
      </c>
      <c r="G6" t="n">
        <v>101</v>
      </c>
      <c r="H6" t="n">
        <v>12</v>
      </c>
      <c r="I6" t="s">
        <v>297</v>
      </c>
      <c r="J6" t="n">
        <v>0</v>
      </c>
      <c r="K6" t="n">
        <v>0</v>
      </c>
      <c r="L6" t="n">
        <v>0</v>
      </c>
      <c r="M6" t="n">
        <v>12</v>
      </c>
      <c r="N6" t="n">
        <v>0.25</v>
      </c>
      <c r="O6" t="n">
        <v>-0.5</v>
      </c>
      <c r="P6" t="n">
        <v>103</v>
      </c>
      <c r="Q6" t="n">
        <v>12</v>
      </c>
      <c r="R6" t="s">
        <v>294</v>
      </c>
      <c r="S6" t="s">
        <v>289</v>
      </c>
      <c r="T6" t="n">
        <v>0</v>
      </c>
    </row>
    <row r="7">
      <c r="A7" t="s">
        <v>32</v>
      </c>
      <c r="B7" t="n">
        <v>1.01</v>
      </c>
      <c r="C7" t="n">
        <v>0.87</v>
      </c>
      <c r="D7" t="n">
        <v>1.05</v>
      </c>
      <c r="E7" t="n">
        <v>-3.5</v>
      </c>
      <c r="F7" t="n">
        <v>-1</v>
      </c>
      <c r="G7" t="n">
        <v>88</v>
      </c>
      <c r="H7" t="n">
        <v>12</v>
      </c>
      <c r="I7" t="s">
        <v>289</v>
      </c>
      <c r="J7" t="n">
        <v>0</v>
      </c>
      <c r="K7" t="n">
        <v>0</v>
      </c>
      <c r="L7" t="n">
        <v>0</v>
      </c>
      <c r="M7" t="n">
        <v>12</v>
      </c>
      <c r="N7" t="n">
        <v>0</v>
      </c>
      <c r="O7" t="n">
        <v>-0.25</v>
      </c>
      <c r="P7" t="n">
        <v>90</v>
      </c>
      <c r="Q7" t="n">
        <v>12</v>
      </c>
      <c r="R7" t="s">
        <v>288</v>
      </c>
      <c r="S7" t="s">
        <v>300</v>
      </c>
      <c r="T7" t="n">
        <v>-0.25</v>
      </c>
    </row>
    <row r="8">
      <c r="A8" t="s">
        <v>32</v>
      </c>
      <c r="B8" t="n">
        <v>1.03</v>
      </c>
      <c r="C8" t="n">
        <v>0.86</v>
      </c>
      <c r="D8" t="n">
        <v>1.01</v>
      </c>
      <c r="E8" t="n">
        <v>-8</v>
      </c>
      <c r="F8" t="n">
        <v>-0.75</v>
      </c>
      <c r="G8" t="n">
        <v>1</v>
      </c>
      <c r="H8" t="n">
        <v>12</v>
      </c>
      <c r="I8" t="s">
        <v>288</v>
      </c>
      <c r="J8" t="n">
        <v>0</v>
      </c>
      <c r="K8" t="n">
        <v>0</v>
      </c>
      <c r="L8" t="n">
        <v>0</v>
      </c>
      <c r="M8" t="n">
        <v>12</v>
      </c>
      <c r="N8" t="n">
        <v>-0.75</v>
      </c>
      <c r="O8" t="n">
        <v>0</v>
      </c>
      <c r="P8" t="n">
        <v>168</v>
      </c>
      <c r="Q8" t="n">
        <v>12</v>
      </c>
      <c r="R8" t="s">
        <v>289</v>
      </c>
      <c r="S8" t="s">
        <v>300</v>
      </c>
      <c r="T8" t="n">
        <v>-0.75</v>
      </c>
    </row>
    <row r="9">
      <c r="A9" t="s">
        <v>32</v>
      </c>
      <c r="B9" t="n">
        <v>0.97</v>
      </c>
      <c r="C9" t="n">
        <v>0.9</v>
      </c>
      <c r="D9" t="n">
        <v>0.96</v>
      </c>
      <c r="E9" t="n">
        <v>-6</v>
      </c>
      <c r="F9" t="n">
        <v>0</v>
      </c>
      <c r="G9" t="n">
        <v>15</v>
      </c>
      <c r="H9" t="n">
        <v>12</v>
      </c>
      <c r="I9" t="s">
        <v>290</v>
      </c>
      <c r="J9" t="n">
        <v>0</v>
      </c>
      <c r="K9" t="n">
        <v>0</v>
      </c>
      <c r="L9" t="n">
        <v>0</v>
      </c>
      <c r="M9" t="n">
        <v>12</v>
      </c>
      <c r="N9" t="n">
        <v>0</v>
      </c>
      <c r="O9" t="n">
        <v>-0.25</v>
      </c>
      <c r="P9" t="n">
        <v>17</v>
      </c>
      <c r="Q9" t="n">
        <v>12</v>
      </c>
      <c r="R9" t="s">
        <v>290</v>
      </c>
      <c r="S9" t="s">
        <v>291</v>
      </c>
      <c r="T9" t="n">
        <v>-0.25</v>
      </c>
    </row>
    <row r="10">
      <c r="A10" t="s">
        <v>32</v>
      </c>
      <c r="B10" t="n">
        <v>1.08</v>
      </c>
      <c r="C10" t="n">
        <v>0.91</v>
      </c>
      <c r="D10" t="n">
        <v>1.06</v>
      </c>
      <c r="E10" t="n">
        <v>-4.5</v>
      </c>
      <c r="F10" t="n">
        <v>-0.5</v>
      </c>
      <c r="G10" t="n">
        <v>105</v>
      </c>
      <c r="H10" t="n">
        <v>12</v>
      </c>
      <c r="I10" t="s">
        <v>293</v>
      </c>
      <c r="J10" t="n">
        <v>0</v>
      </c>
      <c r="K10" t="n">
        <v>0</v>
      </c>
      <c r="L10" t="n">
        <v>0</v>
      </c>
      <c r="M10" t="n">
        <v>12</v>
      </c>
      <c r="N10" t="n">
        <v>-0.5</v>
      </c>
      <c r="O10" t="n">
        <v>-0.25</v>
      </c>
      <c r="P10" t="n">
        <v>108</v>
      </c>
      <c r="Q10" t="n">
        <v>12</v>
      </c>
      <c r="R10" t="s">
        <v>288</v>
      </c>
      <c r="S10" t="s">
        <v>291</v>
      </c>
      <c r="T10" t="n">
        <v>-0.75</v>
      </c>
    </row>
    <row r="11">
      <c r="A11" t="s">
        <v>32</v>
      </c>
      <c r="B11" t="n">
        <v>1.06</v>
      </c>
      <c r="C11" t="n">
        <v>0.87</v>
      </c>
      <c r="D11" t="n">
        <v>1.05</v>
      </c>
      <c r="E11" t="n">
        <v>-7.25</v>
      </c>
      <c r="F11" t="n">
        <v>-0.75</v>
      </c>
      <c r="G11" t="n">
        <v>94</v>
      </c>
      <c r="H11" t="n">
        <v>12</v>
      </c>
      <c r="I11" t="s">
        <v>288</v>
      </c>
      <c r="J11" t="n">
        <v>0</v>
      </c>
      <c r="K11" t="n">
        <v>0</v>
      </c>
      <c r="L11" t="n">
        <v>0</v>
      </c>
      <c r="M11" t="n">
        <v>12</v>
      </c>
      <c r="N11" t="n">
        <v>0.5</v>
      </c>
      <c r="O11" t="n">
        <v>0</v>
      </c>
      <c r="P11" t="n">
        <v>134</v>
      </c>
      <c r="Q11" t="n">
        <v>12</v>
      </c>
      <c r="R11" t="s">
        <v>288</v>
      </c>
      <c r="S11" t="s">
        <v>300</v>
      </c>
      <c r="T11" t="n">
        <v>0.5</v>
      </c>
    </row>
    <row r="12">
      <c r="A12" t="s">
        <v>32</v>
      </c>
      <c r="B12" t="n">
        <v>1.06</v>
      </c>
      <c r="C12" t="n">
        <v>0.82</v>
      </c>
      <c r="D12" t="n">
        <v>1.11</v>
      </c>
      <c r="E12" t="n">
        <v>-4.25</v>
      </c>
      <c r="F12" t="n">
        <v>-0.75</v>
      </c>
      <c r="G12" t="n">
        <v>14</v>
      </c>
      <c r="H12" t="n">
        <v>12</v>
      </c>
      <c r="I12" t="s">
        <v>288</v>
      </c>
      <c r="J12" t="n">
        <v>0</v>
      </c>
      <c r="K12" t="n">
        <v>0</v>
      </c>
      <c r="L12" t="n">
        <v>0</v>
      </c>
      <c r="M12" t="n">
        <v>12</v>
      </c>
      <c r="N12" t="n">
        <v>-1</v>
      </c>
      <c r="O12" t="n">
        <v>-0.25</v>
      </c>
      <c r="P12" t="n">
        <v>3</v>
      </c>
      <c r="Q12" t="n">
        <v>12</v>
      </c>
      <c r="R12" t="s">
        <v>293</v>
      </c>
      <c r="S12" t="s">
        <v>298</v>
      </c>
      <c r="T12" t="n">
        <v>-1</v>
      </c>
    </row>
    <row r="13">
      <c r="A13" t="s">
        <v>32</v>
      </c>
      <c r="B13" t="n">
        <v>1.1</v>
      </c>
      <c r="C13" t="n">
        <v>0.88</v>
      </c>
      <c r="D13" t="n">
        <v>1.1</v>
      </c>
      <c r="E13" t="n">
        <v>-5</v>
      </c>
      <c r="F13" t="n">
        <v>0</v>
      </c>
      <c r="G13" t="n">
        <v>103</v>
      </c>
      <c r="H13" t="n">
        <v>12</v>
      </c>
      <c r="I13" t="s">
        <v>293</v>
      </c>
      <c r="J13" t="n">
        <v>0</v>
      </c>
      <c r="K13" t="n">
        <v>0</v>
      </c>
      <c r="L13" t="n">
        <v>0</v>
      </c>
      <c r="M13" t="n">
        <v>12</v>
      </c>
      <c r="N13" t="n">
        <v>0.25</v>
      </c>
      <c r="O13" t="n">
        <v>0</v>
      </c>
      <c r="P13" t="n">
        <v>71</v>
      </c>
      <c r="Q13" t="n">
        <v>12</v>
      </c>
      <c r="R13" t="s">
        <v>293</v>
      </c>
      <c r="S13" t="s">
        <v>300</v>
      </c>
      <c r="T13" t="n">
        <v>0.25</v>
      </c>
    </row>
    <row r="14">
      <c r="A14" t="s">
        <v>32</v>
      </c>
      <c r="B14" t="n">
        <v>0.92</v>
      </c>
      <c r="C14" t="n">
        <v>0.8</v>
      </c>
      <c r="D14" t="n">
        <v>0.87</v>
      </c>
      <c r="E14" t="n">
        <v>-2.5</v>
      </c>
      <c r="F14" t="n">
        <v>0</v>
      </c>
      <c r="G14" t="n">
        <v>102</v>
      </c>
      <c r="H14" t="n">
        <v>12</v>
      </c>
      <c r="I14" t="s">
        <v>291</v>
      </c>
      <c r="J14" t="n">
        <v>0</v>
      </c>
      <c r="K14" t="n">
        <v>0</v>
      </c>
      <c r="L14" t="n">
        <v>0</v>
      </c>
      <c r="M14" t="n">
        <v>12</v>
      </c>
      <c r="N14" t="n">
        <v>-0.25</v>
      </c>
      <c r="O14" t="n">
        <v>0</v>
      </c>
      <c r="P14" t="n">
        <v>114</v>
      </c>
      <c r="Q14" t="n">
        <v>12</v>
      </c>
      <c r="R14" t="s">
        <v>300</v>
      </c>
      <c r="S14" t="s">
        <v>292</v>
      </c>
      <c r="T14" t="n">
        <v>-0.25</v>
      </c>
    </row>
    <row r="15">
      <c r="A15" t="s">
        <v>32</v>
      </c>
      <c r="B15" t="n">
        <v>1.11</v>
      </c>
      <c r="C15" t="n">
        <v>1.1</v>
      </c>
      <c r="D15" t="n">
        <v>1.14</v>
      </c>
      <c r="E15" t="n">
        <v>-2.75</v>
      </c>
      <c r="F15" t="n">
        <v>-0.25</v>
      </c>
      <c r="G15" t="n">
        <v>104</v>
      </c>
      <c r="H15" t="n">
        <v>12</v>
      </c>
      <c r="I15" t="s">
        <v>293</v>
      </c>
      <c r="J15" t="n">
        <v>0</v>
      </c>
      <c r="K15" t="n">
        <v>0</v>
      </c>
      <c r="L15" t="n">
        <v>0</v>
      </c>
      <c r="M15" t="n">
        <v>12</v>
      </c>
      <c r="N15" t="n">
        <v>0</v>
      </c>
      <c r="O15" t="n">
        <v>-0.25</v>
      </c>
      <c r="P15" t="n">
        <v>106</v>
      </c>
      <c r="Q15" t="n">
        <v>12</v>
      </c>
      <c r="R15" t="s">
        <v>297</v>
      </c>
      <c r="S15" t="s">
        <v>293</v>
      </c>
      <c r="T15" t="n">
        <v>0</v>
      </c>
    </row>
    <row r="16">
      <c r="A16" t="s">
        <v>32</v>
      </c>
      <c r="B16" t="n">
        <v>1</v>
      </c>
      <c r="C16" t="n">
        <v>1.04</v>
      </c>
      <c r="D16" t="n">
        <v>1.01</v>
      </c>
      <c r="E16" t="n">
        <v>-6.5</v>
      </c>
      <c r="F16" t="n">
        <v>-0.25</v>
      </c>
      <c r="G16" t="n">
        <v>22</v>
      </c>
      <c r="H16" t="n">
        <v>12</v>
      </c>
      <c r="I16" t="s">
        <v>289</v>
      </c>
      <c r="J16" t="n">
        <v>0</v>
      </c>
      <c r="K16" t="n">
        <v>0</v>
      </c>
      <c r="L16" t="n">
        <v>0</v>
      </c>
      <c r="M16" t="n">
        <v>12</v>
      </c>
      <c r="N16" t="n">
        <v>0</v>
      </c>
      <c r="O16" t="n">
        <v>-0.25</v>
      </c>
      <c r="P16" t="n">
        <v>41</v>
      </c>
      <c r="Q16" t="n">
        <v>12</v>
      </c>
      <c r="R16" t="s">
        <v>289</v>
      </c>
      <c r="S16" t="s">
        <v>288</v>
      </c>
      <c r="T16" t="n">
        <v>-0.25</v>
      </c>
    </row>
    <row r="17">
      <c r="A17" t="s">
        <v>32</v>
      </c>
      <c r="B17" t="n">
        <v>1.06</v>
      </c>
      <c r="C17" t="n">
        <v>1.04</v>
      </c>
      <c r="D17" t="n">
        <v>1.07</v>
      </c>
      <c r="E17" t="n">
        <v>-4</v>
      </c>
      <c r="F17" t="n">
        <v>-1.25</v>
      </c>
      <c r="G17" t="n">
        <v>139</v>
      </c>
      <c r="H17" t="n">
        <v>12</v>
      </c>
      <c r="I17" t="s">
        <v>288</v>
      </c>
      <c r="J17" t="n">
        <v>0</v>
      </c>
      <c r="K17" t="n">
        <v>0</v>
      </c>
      <c r="L17" t="n">
        <v>0</v>
      </c>
      <c r="M17" t="n">
        <v>12</v>
      </c>
      <c r="N17" t="n">
        <v>0</v>
      </c>
      <c r="O17" t="n">
        <v>-0.25</v>
      </c>
      <c r="P17" t="n">
        <v>157</v>
      </c>
      <c r="Q17" t="n">
        <v>12</v>
      </c>
      <c r="R17" t="s">
        <v>288</v>
      </c>
      <c r="S17" t="s">
        <v>288</v>
      </c>
      <c r="T17" t="n">
        <v>-0.25</v>
      </c>
    </row>
    <row r="18">
      <c r="A18" t="s">
        <v>32</v>
      </c>
      <c r="B18" t="n">
        <v>1.01</v>
      </c>
      <c r="C18" t="n">
        <v>0.91</v>
      </c>
      <c r="D18" t="n">
        <v>0.98</v>
      </c>
      <c r="E18" t="n">
        <v>-5</v>
      </c>
      <c r="F18" t="n">
        <v>-0.75</v>
      </c>
      <c r="G18" t="n">
        <v>98</v>
      </c>
      <c r="H18" t="n">
        <v>12</v>
      </c>
      <c r="I18" t="s">
        <v>289</v>
      </c>
      <c r="J18" t="n">
        <v>0</v>
      </c>
      <c r="K18" t="n">
        <v>0</v>
      </c>
      <c r="L18" t="n">
        <v>0</v>
      </c>
      <c r="M18" t="n">
        <v>12</v>
      </c>
      <c r="N18" t="n">
        <v>1</v>
      </c>
      <c r="O18" t="n">
        <v>-0.25</v>
      </c>
      <c r="P18" t="n">
        <v>87</v>
      </c>
      <c r="Q18" t="n">
        <v>12</v>
      </c>
      <c r="R18" t="s">
        <v>289</v>
      </c>
      <c r="S18" t="s">
        <v>291</v>
      </c>
      <c r="T18" t="n">
        <v>0.75</v>
      </c>
    </row>
    <row r="19">
      <c r="A19" t="s">
        <v>32</v>
      </c>
      <c r="B19" t="n">
        <v>0.98</v>
      </c>
      <c r="C19" t="n">
        <v>0.83</v>
      </c>
      <c r="D19" t="n">
        <v>1</v>
      </c>
      <c r="E19" t="n">
        <v>-4</v>
      </c>
      <c r="F19" t="n">
        <v>-0.25</v>
      </c>
      <c r="G19" t="n">
        <v>155</v>
      </c>
      <c r="H19" t="n">
        <v>12</v>
      </c>
      <c r="I19" t="s">
        <v>289</v>
      </c>
      <c r="J19" t="n">
        <v>0</v>
      </c>
      <c r="K19" t="n">
        <v>0</v>
      </c>
      <c r="L19" t="n">
        <v>0</v>
      </c>
      <c r="M19" t="n">
        <v>12</v>
      </c>
      <c r="N19" t="n">
        <v>-0.5</v>
      </c>
      <c r="O19" t="n">
        <v>-0.25</v>
      </c>
      <c r="P19" t="n">
        <v>160</v>
      </c>
      <c r="Q19" t="n">
        <v>12</v>
      </c>
      <c r="R19" t="s">
        <v>289</v>
      </c>
      <c r="S19" t="s">
        <v>298</v>
      </c>
      <c r="T19" t="n">
        <v>-0.5</v>
      </c>
    </row>
    <row r="20">
      <c r="A20" t="s">
        <v>32</v>
      </c>
      <c r="B20" t="n">
        <v>0.98</v>
      </c>
      <c r="C20" t="n">
        <v>0.84</v>
      </c>
      <c r="D20" t="n">
        <v>0.94</v>
      </c>
      <c r="E20" t="n">
        <v>-1.5</v>
      </c>
      <c r="F20" t="n">
        <v>-0.75</v>
      </c>
      <c r="G20" t="n">
        <v>157</v>
      </c>
      <c r="H20" t="n">
        <v>12</v>
      </c>
      <c r="I20" t="s">
        <v>289</v>
      </c>
      <c r="J20" t="n">
        <v>0</v>
      </c>
      <c r="K20" t="n">
        <v>0</v>
      </c>
      <c r="L20" t="n">
        <v>0</v>
      </c>
      <c r="M20" t="n">
        <v>12</v>
      </c>
      <c r="N20" t="n">
        <v>0.25</v>
      </c>
      <c r="O20" t="n">
        <v>0</v>
      </c>
      <c r="P20" t="n">
        <v>74</v>
      </c>
      <c r="Q20" t="n">
        <v>12</v>
      </c>
      <c r="R20" t="s">
        <v>290</v>
      </c>
      <c r="S20" t="s">
        <v>298</v>
      </c>
      <c r="T20" t="n">
        <v>0.25</v>
      </c>
    </row>
    <row r="21">
      <c r="A21" t="s">
        <v>32</v>
      </c>
      <c r="B21" t="n">
        <v>1.03</v>
      </c>
      <c r="C21" t="n">
        <v>0.99</v>
      </c>
      <c r="D21" t="n">
        <v>1.02</v>
      </c>
      <c r="E21" t="n">
        <v>-5.75</v>
      </c>
      <c r="F21" t="n">
        <v>-0.25</v>
      </c>
      <c r="G21" t="n">
        <v>42</v>
      </c>
      <c r="H21" t="n">
        <v>12</v>
      </c>
      <c r="I21" t="s">
        <v>288</v>
      </c>
      <c r="J21" t="n">
        <v>0</v>
      </c>
      <c r="K21" t="n">
        <v>0</v>
      </c>
      <c r="L21" t="n">
        <v>0</v>
      </c>
      <c r="M21" t="n">
        <v>12</v>
      </c>
      <c r="N21" t="n">
        <v>-0.25</v>
      </c>
      <c r="O21" t="n">
        <v>0</v>
      </c>
      <c r="P21" t="n">
        <v>46</v>
      </c>
      <c r="Q21" t="n">
        <v>12</v>
      </c>
      <c r="R21" t="s">
        <v>289</v>
      </c>
      <c r="S21" t="s">
        <v>289</v>
      </c>
      <c r="T21" t="n">
        <v>-0.25</v>
      </c>
    </row>
    <row r="22">
      <c r="A22" t="s">
        <v>32</v>
      </c>
      <c r="B22" t="n">
        <v>0.99</v>
      </c>
      <c r="C22" t="n">
        <v>0.81</v>
      </c>
      <c r="D22" t="n">
        <v>1.02</v>
      </c>
      <c r="E22" t="n">
        <v>-3.5</v>
      </c>
      <c r="F22" t="n">
        <v>-1</v>
      </c>
      <c r="G22" t="n">
        <v>86</v>
      </c>
      <c r="H22" t="n">
        <v>12</v>
      </c>
      <c r="I22" t="s">
        <v>289</v>
      </c>
      <c r="J22" t="n">
        <v>0</v>
      </c>
      <c r="K22" t="n">
        <v>0</v>
      </c>
      <c r="L22" t="n">
        <v>0</v>
      </c>
      <c r="M22" t="n">
        <v>12</v>
      </c>
      <c r="N22" t="n">
        <v>0.75</v>
      </c>
      <c r="O22" t="n">
        <v>0</v>
      </c>
      <c r="P22" t="n">
        <v>125</v>
      </c>
      <c r="Q22" t="n">
        <v>12</v>
      </c>
      <c r="R22" t="s">
        <v>289</v>
      </c>
      <c r="S22" t="s">
        <v>292</v>
      </c>
      <c r="T22" t="n">
        <v>0.75</v>
      </c>
    </row>
    <row r="23">
      <c r="A23" t="s">
        <v>32</v>
      </c>
      <c r="B23" t="n">
        <v>0.86</v>
      </c>
      <c r="C23" t="n">
        <v>0.79</v>
      </c>
      <c r="D23" t="n">
        <v>0.86</v>
      </c>
      <c r="E23" t="n">
        <v>-2.25</v>
      </c>
      <c r="F23" t="n">
        <v>-0.25</v>
      </c>
      <c r="G23" t="n">
        <v>4</v>
      </c>
      <c r="H23" t="n">
        <v>12</v>
      </c>
      <c r="I23" t="s">
        <v>300</v>
      </c>
      <c r="J23" t="n">
        <v>0</v>
      </c>
      <c r="K23" t="n">
        <v>0</v>
      </c>
      <c r="L23" t="n">
        <v>0</v>
      </c>
      <c r="M23" t="n">
        <v>12</v>
      </c>
      <c r="N23" t="n">
        <v>0</v>
      </c>
      <c r="O23" t="n">
        <v>-0.25</v>
      </c>
      <c r="P23" t="n">
        <v>21</v>
      </c>
      <c r="Q23" t="n">
        <v>12</v>
      </c>
      <c r="R23" t="s">
        <v>300</v>
      </c>
      <c r="S23" t="s">
        <v>292</v>
      </c>
      <c r="T23" t="n">
        <v>0</v>
      </c>
    </row>
    <row r="24">
      <c r="A24" t="s">
        <v>32</v>
      </c>
      <c r="B24" t="n">
        <v>1.08</v>
      </c>
      <c r="C24" t="n">
        <v>1.04</v>
      </c>
      <c r="D24" t="n">
        <v>1.1</v>
      </c>
      <c r="E24" t="n">
        <v>-5.75</v>
      </c>
      <c r="F24" t="n">
        <v>-0.25</v>
      </c>
      <c r="G24" t="n">
        <v>101</v>
      </c>
      <c r="H24" t="n">
        <v>12</v>
      </c>
      <c r="I24" t="s">
        <v>293</v>
      </c>
      <c r="J24" t="n">
        <v>0</v>
      </c>
      <c r="K24" t="n">
        <v>0</v>
      </c>
      <c r="L24" t="n">
        <v>0</v>
      </c>
      <c r="M24" t="n">
        <v>12</v>
      </c>
      <c r="N24" t="n">
        <v>0</v>
      </c>
      <c r="O24" t="n">
        <v>-0.25</v>
      </c>
      <c r="P24" t="n">
        <v>125</v>
      </c>
      <c r="Q24" t="n">
        <v>12</v>
      </c>
      <c r="R24" t="s">
        <v>293</v>
      </c>
      <c r="S24" t="s">
        <v>288</v>
      </c>
      <c r="T24" t="n">
        <v>-0.25</v>
      </c>
    </row>
    <row r="25">
      <c r="A25" t="s">
        <v>32</v>
      </c>
      <c r="B25" t="n">
        <v>1.08</v>
      </c>
      <c r="C25" t="n">
        <v>1.13</v>
      </c>
      <c r="D25" t="n">
        <v>1.14</v>
      </c>
      <c r="E25" t="n">
        <v>-6.75</v>
      </c>
      <c r="F25" t="n">
        <v>-0.75</v>
      </c>
      <c r="G25" t="n">
        <v>174</v>
      </c>
      <c r="H25" t="n">
        <v>12</v>
      </c>
      <c r="I25" t="s">
        <v>293</v>
      </c>
      <c r="J25" t="n">
        <v>0</v>
      </c>
      <c r="K25" t="n">
        <v>0</v>
      </c>
      <c r="L25" t="n">
        <v>0</v>
      </c>
      <c r="M25" t="n">
        <v>12</v>
      </c>
      <c r="N25" t="n">
        <v>-0.25</v>
      </c>
      <c r="O25" t="n">
        <v>-0.5</v>
      </c>
      <c r="P25" t="n">
        <v>17</v>
      </c>
      <c r="Q25" t="n">
        <v>12</v>
      </c>
      <c r="R25" t="s">
        <v>297</v>
      </c>
      <c r="S25" t="s">
        <v>297</v>
      </c>
      <c r="T25" t="n">
        <v>-0.5</v>
      </c>
    </row>
    <row r="26">
      <c r="A26" t="s">
        <v>32</v>
      </c>
      <c r="B26" t="n">
        <v>1.05</v>
      </c>
      <c r="C26" t="n">
        <v>1.06</v>
      </c>
      <c r="D26" t="n">
        <v>1.09</v>
      </c>
      <c r="E26" t="n">
        <v>-4</v>
      </c>
      <c r="F26" t="n">
        <v>-0.75</v>
      </c>
      <c r="G26" t="n">
        <v>87</v>
      </c>
      <c r="H26" t="n">
        <v>12</v>
      </c>
      <c r="I26" t="s">
        <v>288</v>
      </c>
      <c r="J26" t="n">
        <v>0</v>
      </c>
      <c r="K26" t="n">
        <v>0</v>
      </c>
      <c r="L26" t="n">
        <v>0</v>
      </c>
      <c r="M26" t="n">
        <v>12</v>
      </c>
      <c r="N26" t="n">
        <v>-0.5</v>
      </c>
      <c r="O26" t="n">
        <v>-0.25</v>
      </c>
      <c r="P26" t="n">
        <v>89</v>
      </c>
      <c r="Q26" t="n">
        <v>12</v>
      </c>
      <c r="R26" t="s">
        <v>293</v>
      </c>
      <c r="S26" t="s">
        <v>288</v>
      </c>
      <c r="T26" t="n">
        <v>-0.5</v>
      </c>
    </row>
    <row r="27">
      <c r="A27" t="s">
        <v>32</v>
      </c>
      <c r="B27" t="n">
        <v>1</v>
      </c>
      <c r="C27" t="n">
        <v>0.85</v>
      </c>
      <c r="D27" t="n">
        <v>1</v>
      </c>
      <c r="E27" t="n">
        <v>-3.5</v>
      </c>
      <c r="F27" t="n">
        <v>-0.5</v>
      </c>
      <c r="G27" t="n">
        <v>171</v>
      </c>
      <c r="H27" t="n">
        <v>12</v>
      </c>
      <c r="I27" t="s">
        <v>289</v>
      </c>
      <c r="J27" t="n">
        <v>0</v>
      </c>
      <c r="K27" t="n">
        <v>0</v>
      </c>
      <c r="L27" t="n">
        <v>0</v>
      </c>
      <c r="M27" t="n">
        <v>12</v>
      </c>
      <c r="N27" t="n">
        <v>0</v>
      </c>
      <c r="O27" t="n">
        <v>-0.25</v>
      </c>
      <c r="P27" t="n">
        <v>168</v>
      </c>
      <c r="Q27" t="n">
        <v>12</v>
      </c>
      <c r="R27" t="s">
        <v>289</v>
      </c>
      <c r="S27" t="s">
        <v>298</v>
      </c>
      <c r="T27" t="n">
        <v>0</v>
      </c>
    </row>
    <row r="28">
      <c r="A28" t="s">
        <v>32</v>
      </c>
      <c r="B28" t="n">
        <v>1.02</v>
      </c>
      <c r="C28" t="n">
        <v>0.95</v>
      </c>
      <c r="D28" t="n">
        <v>0.99</v>
      </c>
      <c r="E28" t="n">
        <v>-2.5</v>
      </c>
      <c r="F28" t="n">
        <v>-0.25</v>
      </c>
      <c r="G28" t="n">
        <v>81</v>
      </c>
      <c r="H28" t="n">
        <v>12</v>
      </c>
      <c r="I28" t="s">
        <v>289</v>
      </c>
      <c r="J28" t="n">
        <v>0</v>
      </c>
      <c r="K28" t="n">
        <v>0</v>
      </c>
      <c r="L28" t="n">
        <v>0</v>
      </c>
      <c r="M28" t="n">
        <v>12</v>
      </c>
      <c r="N28" t="n">
        <v>-0.25</v>
      </c>
      <c r="O28" t="n">
        <v>0</v>
      </c>
      <c r="P28" t="n">
        <v>173</v>
      </c>
      <c r="Q28" t="n">
        <v>12</v>
      </c>
      <c r="R28" t="s">
        <v>289</v>
      </c>
      <c r="S28" t="s">
        <v>290</v>
      </c>
      <c r="T28" t="n">
        <v>-0.25</v>
      </c>
    </row>
    <row r="29">
      <c r="A29" t="s">
        <v>32</v>
      </c>
      <c r="B29" t="n">
        <v>1.01</v>
      </c>
      <c r="C29" t="n">
        <v>1.07</v>
      </c>
      <c r="D29" t="n">
        <v>0.99</v>
      </c>
      <c r="E29" t="n">
        <v>-6.25</v>
      </c>
      <c r="F29" t="n">
        <v>-0.5</v>
      </c>
      <c r="G29" t="n">
        <v>32</v>
      </c>
      <c r="H29" t="n">
        <v>12</v>
      </c>
      <c r="I29" t="s">
        <v>289</v>
      </c>
      <c r="J29" t="n">
        <v>0</v>
      </c>
      <c r="K29" t="n">
        <v>0</v>
      </c>
      <c r="L29" t="n">
        <v>0</v>
      </c>
      <c r="M29" t="n">
        <v>12</v>
      </c>
      <c r="N29" t="n">
        <v>0</v>
      </c>
      <c r="O29" t="n">
        <v>0</v>
      </c>
      <c r="P29" t="n">
        <v>36</v>
      </c>
      <c r="Q29" t="n">
        <v>12</v>
      </c>
      <c r="R29" t="s">
        <v>289</v>
      </c>
      <c r="S29" t="s">
        <v>288</v>
      </c>
      <c r="T29" t="n">
        <v>0</v>
      </c>
    </row>
    <row r="30">
      <c r="A30" t="s">
        <v>32</v>
      </c>
      <c r="B30" t="n">
        <v>0.87</v>
      </c>
      <c r="C30" t="n">
        <v>0.87</v>
      </c>
      <c r="D30" t="n">
        <v>0.89</v>
      </c>
      <c r="E30" t="n">
        <v>-7</v>
      </c>
      <c r="F30" t="n">
        <v>-0.5</v>
      </c>
      <c r="G30" t="n">
        <v>97</v>
      </c>
      <c r="H30" t="n">
        <v>12</v>
      </c>
      <c r="I30" t="s">
        <v>300</v>
      </c>
      <c r="J30" t="n">
        <v>0</v>
      </c>
      <c r="K30" t="n">
        <v>0</v>
      </c>
      <c r="L30" t="n">
        <v>0</v>
      </c>
      <c r="M30" t="n">
        <v>12</v>
      </c>
      <c r="N30" t="n">
        <v>0.5</v>
      </c>
      <c r="O30" t="n">
        <v>-0.25</v>
      </c>
      <c r="P30" t="n">
        <v>81</v>
      </c>
      <c r="Q30" t="n">
        <v>12</v>
      </c>
      <c r="R30" t="s">
        <v>300</v>
      </c>
      <c r="S30" t="s">
        <v>300</v>
      </c>
      <c r="T30" t="n">
        <v>0.5</v>
      </c>
    </row>
    <row r="31">
      <c r="A31" t="s">
        <v>32</v>
      </c>
      <c r="B31" t="n">
        <v>1.07</v>
      </c>
      <c r="C31" t="n">
        <v>1.13</v>
      </c>
      <c r="D31" t="n">
        <v>1.11</v>
      </c>
      <c r="E31" t="n">
        <v>-4.25</v>
      </c>
      <c r="F31" t="n">
        <v>-0.5</v>
      </c>
      <c r="G31" t="n">
        <v>105</v>
      </c>
      <c r="H31" t="n">
        <v>12</v>
      </c>
      <c r="I31" t="s">
        <v>288</v>
      </c>
      <c r="J31" t="n">
        <v>0</v>
      </c>
      <c r="K31" t="n">
        <v>0</v>
      </c>
      <c r="L31" t="n">
        <v>0</v>
      </c>
      <c r="M31" t="n">
        <v>12</v>
      </c>
      <c r="N31" t="n">
        <v>0.25</v>
      </c>
      <c r="O31" t="n">
        <v>-0.5</v>
      </c>
      <c r="P31" t="n">
        <v>57</v>
      </c>
      <c r="Q31" t="n">
        <v>12</v>
      </c>
      <c r="R31" t="s">
        <v>293</v>
      </c>
      <c r="S31" t="s">
        <v>297</v>
      </c>
      <c r="T31" t="n">
        <v>0</v>
      </c>
    </row>
    <row r="32">
      <c r="A32" t="s">
        <v>32</v>
      </c>
      <c r="B32" t="n">
        <v>1.12</v>
      </c>
      <c r="C32" t="n">
        <v>0.88</v>
      </c>
      <c r="D32" t="n">
        <v>1.05</v>
      </c>
      <c r="E32" t="n">
        <v>-0.25</v>
      </c>
      <c r="F32" t="n">
        <v>-1</v>
      </c>
      <c r="G32" t="n">
        <v>78</v>
      </c>
      <c r="H32" t="n">
        <v>12</v>
      </c>
      <c r="I32" t="s">
        <v>293</v>
      </c>
      <c r="J32" t="n">
        <v>0</v>
      </c>
      <c r="K32" t="n">
        <v>0</v>
      </c>
      <c r="L32" t="n">
        <v>0</v>
      </c>
      <c r="M32" t="n">
        <v>12</v>
      </c>
      <c r="N32" t="n">
        <v>-0.5</v>
      </c>
      <c r="O32" t="n">
        <v>-0.25</v>
      </c>
      <c r="P32" t="n">
        <v>94</v>
      </c>
      <c r="Q32" t="n">
        <v>12</v>
      </c>
      <c r="R32" t="s">
        <v>288</v>
      </c>
      <c r="S32" t="s">
        <v>300</v>
      </c>
      <c r="T32" t="n">
        <v>-0.5</v>
      </c>
    </row>
    <row r="33">
      <c r="A33" t="s">
        <v>32</v>
      </c>
      <c r="B33" t="n">
        <v>1.08</v>
      </c>
      <c r="C33" t="n">
        <v>1.01</v>
      </c>
      <c r="D33" t="n">
        <v>1.12</v>
      </c>
      <c r="E33" t="n">
        <v>-5.25</v>
      </c>
      <c r="F33" t="n">
        <v>-0.75</v>
      </c>
      <c r="G33" t="n">
        <v>82</v>
      </c>
      <c r="H33" t="n">
        <v>12</v>
      </c>
      <c r="I33" t="s">
        <v>293</v>
      </c>
      <c r="J33" t="n">
        <v>0</v>
      </c>
      <c r="K33" t="n">
        <v>0</v>
      </c>
      <c r="L33" t="n">
        <v>0</v>
      </c>
      <c r="M33" t="n">
        <v>12</v>
      </c>
      <c r="N33" t="n">
        <v>0.5</v>
      </c>
      <c r="O33" t="n">
        <v>-0.25</v>
      </c>
      <c r="P33" t="n">
        <v>88</v>
      </c>
      <c r="Q33" t="n">
        <v>12</v>
      </c>
      <c r="R33" t="s">
        <v>293</v>
      </c>
      <c r="S33" t="s">
        <v>289</v>
      </c>
      <c r="T33" t="n">
        <v>0.25</v>
      </c>
    </row>
    <row r="34">
      <c r="A34" t="s">
        <v>32</v>
      </c>
      <c r="B34" t="n">
        <v>1.07</v>
      </c>
      <c r="C34" t="n">
        <v>1.06</v>
      </c>
      <c r="D34" t="n">
        <v>1.09</v>
      </c>
      <c r="E34" t="n">
        <v>-5.25</v>
      </c>
      <c r="F34" t="n">
        <v>-0.25</v>
      </c>
      <c r="G34" t="n">
        <v>102</v>
      </c>
      <c r="H34" t="n">
        <v>12</v>
      </c>
      <c r="I34" t="s">
        <v>288</v>
      </c>
      <c r="J34" t="n">
        <v>0</v>
      </c>
      <c r="K34" t="n">
        <v>0</v>
      </c>
      <c r="L34" t="n">
        <v>0</v>
      </c>
      <c r="M34" t="n">
        <v>12</v>
      </c>
      <c r="N34" t="n">
        <v>0</v>
      </c>
      <c r="O34" t="n">
        <v>-0.25</v>
      </c>
      <c r="P34" t="n">
        <v>122</v>
      </c>
      <c r="Q34" t="n">
        <v>12</v>
      </c>
      <c r="R34" t="s">
        <v>293</v>
      </c>
      <c r="S34" t="s">
        <v>288</v>
      </c>
      <c r="T34" t="n">
        <v>-0.25</v>
      </c>
    </row>
    <row r="35">
      <c r="A35" t="s">
        <v>32</v>
      </c>
      <c r="B35" t="n">
        <v>1.04</v>
      </c>
      <c r="C35" t="n">
        <v>0.78</v>
      </c>
      <c r="D35" t="n">
        <v>1.03</v>
      </c>
      <c r="E35" t="n">
        <v>-4.25</v>
      </c>
      <c r="F35" t="n">
        <v>-0.25</v>
      </c>
      <c r="G35" t="n">
        <v>173</v>
      </c>
      <c r="H35" t="n">
        <v>12</v>
      </c>
      <c r="I35" t="s">
        <v>288</v>
      </c>
      <c r="J35" t="n">
        <v>0</v>
      </c>
      <c r="K35" t="n">
        <v>0</v>
      </c>
      <c r="L35" t="n">
        <v>0</v>
      </c>
      <c r="M35" t="n">
        <v>12</v>
      </c>
      <c r="N35" t="n">
        <v>-0.5</v>
      </c>
      <c r="O35" t="n">
        <v>-0.25</v>
      </c>
      <c r="P35" t="n">
        <v>4</v>
      </c>
      <c r="Q35" t="n">
        <v>12</v>
      </c>
      <c r="R35" t="s">
        <v>288</v>
      </c>
      <c r="S35" t="s">
        <v>292</v>
      </c>
      <c r="T35" t="n">
        <v>-0.75</v>
      </c>
    </row>
    <row r="36">
      <c r="A36" t="s">
        <v>32</v>
      </c>
      <c r="B36" t="n">
        <v>1</v>
      </c>
      <c r="C36" t="n">
        <v>0.97</v>
      </c>
      <c r="D36" t="n">
        <v>0.98</v>
      </c>
      <c r="E36" t="n">
        <v>-4.25</v>
      </c>
      <c r="F36" t="n">
        <v>-0.25</v>
      </c>
      <c r="G36" t="n">
        <v>171</v>
      </c>
      <c r="H36" t="n">
        <v>12</v>
      </c>
      <c r="I36" t="s">
        <v>289</v>
      </c>
      <c r="J36" t="n">
        <v>0</v>
      </c>
      <c r="K36" t="n">
        <v>0</v>
      </c>
      <c r="L36" t="n">
        <v>0</v>
      </c>
      <c r="M36" t="n">
        <v>12</v>
      </c>
      <c r="N36" t="n">
        <v>0</v>
      </c>
      <c r="O36" t="n">
        <v>-0.25</v>
      </c>
      <c r="P36" t="n">
        <v>167</v>
      </c>
      <c r="Q36" t="n">
        <v>12</v>
      </c>
      <c r="R36" t="s">
        <v>289</v>
      </c>
      <c r="S36" t="s">
        <v>290</v>
      </c>
      <c r="T36" t="n">
        <v>0</v>
      </c>
    </row>
    <row r="37">
      <c r="A37" t="s">
        <v>32</v>
      </c>
      <c r="B37" t="n">
        <v>1.02</v>
      </c>
      <c r="C37" t="n">
        <v>0.8</v>
      </c>
      <c r="D37" t="n">
        <v>1.01</v>
      </c>
      <c r="E37" t="n">
        <v>-7.5</v>
      </c>
      <c r="F37" t="n">
        <v>-0.25</v>
      </c>
      <c r="G37" t="n">
        <v>160</v>
      </c>
      <c r="H37" t="n">
        <v>12</v>
      </c>
      <c r="I37" t="s">
        <v>289</v>
      </c>
      <c r="J37" t="n">
        <v>0</v>
      </c>
      <c r="K37" t="n">
        <v>0</v>
      </c>
      <c r="L37" t="n">
        <v>0</v>
      </c>
      <c r="M37" t="n">
        <v>12</v>
      </c>
      <c r="N37" t="n">
        <v>-0.5</v>
      </c>
      <c r="O37" t="n">
        <v>-0.25</v>
      </c>
      <c r="P37" t="n">
        <v>157</v>
      </c>
      <c r="Q37" t="n">
        <v>12</v>
      </c>
      <c r="R37" t="s">
        <v>289</v>
      </c>
      <c r="S37" t="s">
        <v>292</v>
      </c>
      <c r="T37" t="n">
        <v>-0.5</v>
      </c>
    </row>
    <row r="38">
      <c r="A38" t="s">
        <v>32</v>
      </c>
      <c r="B38" t="n">
        <v>1.09</v>
      </c>
      <c r="C38" t="n">
        <v>1.05</v>
      </c>
      <c r="D38" t="n">
        <v>1.1</v>
      </c>
      <c r="E38" t="n">
        <v>-3.5</v>
      </c>
      <c r="F38" t="n">
        <v>0</v>
      </c>
      <c r="G38" t="n">
        <v>111</v>
      </c>
      <c r="H38" t="n">
        <v>12</v>
      </c>
      <c r="I38" t="s">
        <v>293</v>
      </c>
      <c r="J38" t="n">
        <v>0</v>
      </c>
      <c r="K38" t="n">
        <v>0</v>
      </c>
      <c r="L38" t="n">
        <v>0</v>
      </c>
      <c r="M38" t="n">
        <v>12</v>
      </c>
      <c r="N38" t="n">
        <v>0.5</v>
      </c>
      <c r="O38" t="n">
        <v>-0.25</v>
      </c>
      <c r="P38" t="n">
        <v>40</v>
      </c>
      <c r="Q38" t="n">
        <v>12</v>
      </c>
      <c r="R38" t="s">
        <v>293</v>
      </c>
      <c r="S38" t="s">
        <v>288</v>
      </c>
      <c r="T38" t="n">
        <v>0.5</v>
      </c>
    </row>
    <row r="39">
      <c r="A39" t="s">
        <v>32</v>
      </c>
      <c r="B39" t="n">
        <v>1.01</v>
      </c>
      <c r="C39" t="n">
        <v>0.9</v>
      </c>
      <c r="D39" t="n">
        <v>1.04</v>
      </c>
      <c r="E39" t="n">
        <v>-2.5</v>
      </c>
      <c r="F39" t="n">
        <v>-1.25</v>
      </c>
      <c r="G39" t="n">
        <v>94</v>
      </c>
      <c r="H39" t="n">
        <v>12</v>
      </c>
      <c r="I39" t="s">
        <v>289</v>
      </c>
      <c r="J39" t="n">
        <v>0</v>
      </c>
      <c r="K39" t="n">
        <v>0</v>
      </c>
      <c r="L39" t="n">
        <v>0</v>
      </c>
      <c r="M39" t="n">
        <v>12</v>
      </c>
      <c r="N39" t="n">
        <v>-0.25</v>
      </c>
      <c r="O39" t="n">
        <v>0</v>
      </c>
      <c r="P39" t="n">
        <v>97</v>
      </c>
      <c r="Q39" t="n">
        <v>12</v>
      </c>
      <c r="R39" t="s">
        <v>288</v>
      </c>
      <c r="S39" t="s">
        <v>291</v>
      </c>
      <c r="T39" t="n">
        <v>-0.25</v>
      </c>
    </row>
    <row r="40">
      <c r="A40" t="s">
        <v>32</v>
      </c>
      <c r="B40" t="n">
        <v>1.02</v>
      </c>
      <c r="C40" t="n">
        <v>0.86</v>
      </c>
      <c r="D40" t="n">
        <v>1.01</v>
      </c>
      <c r="E40" t="n">
        <v>-3.75</v>
      </c>
      <c r="F40" t="n">
        <v>0</v>
      </c>
      <c r="G40" t="n">
        <v>84</v>
      </c>
      <c r="H40" t="n">
        <v>12</v>
      </c>
      <c r="I40" t="s">
        <v>289</v>
      </c>
      <c r="J40" t="n">
        <v>0</v>
      </c>
      <c r="K40" t="n">
        <v>0</v>
      </c>
      <c r="L40" t="n">
        <v>0</v>
      </c>
      <c r="M40" t="n">
        <v>12</v>
      </c>
      <c r="N40" t="n">
        <v>-0.5</v>
      </c>
      <c r="O40" t="n">
        <v>0</v>
      </c>
      <c r="P40" t="n">
        <v>113</v>
      </c>
      <c r="Q40" t="n">
        <v>12</v>
      </c>
      <c r="R40" t="s">
        <v>289</v>
      </c>
      <c r="S40" t="s">
        <v>300</v>
      </c>
      <c r="T40" t="n">
        <v>-0.5</v>
      </c>
    </row>
    <row r="41">
      <c r="A41" t="s">
        <v>32</v>
      </c>
      <c r="B41" t="n">
        <v>0.97</v>
      </c>
      <c r="C41" t="n">
        <v>0.96</v>
      </c>
      <c r="D41" t="n">
        <v>1</v>
      </c>
      <c r="E41" t="n">
        <v>-2</v>
      </c>
      <c r="F41" t="n">
        <v>-2</v>
      </c>
      <c r="G41" t="n">
        <v>176</v>
      </c>
      <c r="H41" t="n">
        <v>12</v>
      </c>
      <c r="I41" t="s">
        <v>290</v>
      </c>
      <c r="J41" t="n">
        <v>0</v>
      </c>
      <c r="K41" t="n">
        <v>0</v>
      </c>
      <c r="L41" t="n">
        <v>0</v>
      </c>
      <c r="M41" t="n">
        <v>12</v>
      </c>
      <c r="N41" t="n">
        <v>-0.5</v>
      </c>
      <c r="O41" t="n">
        <v>0</v>
      </c>
      <c r="P41" t="n">
        <v>0</v>
      </c>
      <c r="Q41" t="n">
        <v>12</v>
      </c>
      <c r="R41" t="s">
        <v>289</v>
      </c>
      <c r="S41" t="s">
        <v>290</v>
      </c>
      <c r="T41" t="n">
        <v>-0.5</v>
      </c>
    </row>
    <row r="42">
      <c r="A42" t="s">
        <v>32</v>
      </c>
      <c r="B42" t="n">
        <v>1.07</v>
      </c>
      <c r="C42" t="n">
        <v>1.12</v>
      </c>
      <c r="D42" t="n">
        <v>1.12</v>
      </c>
      <c r="E42" t="n">
        <v>-4</v>
      </c>
      <c r="F42" t="n">
        <v>-0.25</v>
      </c>
      <c r="G42" t="n">
        <v>2</v>
      </c>
      <c r="H42" t="n">
        <v>12</v>
      </c>
      <c r="I42" t="s">
        <v>288</v>
      </c>
      <c r="J42" t="n">
        <v>0</v>
      </c>
      <c r="K42" t="n">
        <v>0</v>
      </c>
      <c r="L42" t="n">
        <v>0</v>
      </c>
      <c r="M42" t="n">
        <v>12</v>
      </c>
      <c r="N42" t="n">
        <v>0</v>
      </c>
      <c r="O42" t="n">
        <v>-0.25</v>
      </c>
      <c r="P42" t="n">
        <v>26</v>
      </c>
      <c r="Q42" t="n">
        <v>12</v>
      </c>
      <c r="R42" t="s">
        <v>293</v>
      </c>
      <c r="S42" t="s">
        <v>293</v>
      </c>
      <c r="T42" t="n">
        <v>-0.25</v>
      </c>
    </row>
    <row r="43">
      <c r="A43" t="s">
        <v>32</v>
      </c>
      <c r="B43" t="n">
        <v>0.97</v>
      </c>
      <c r="C43" t="n">
        <v>0.98</v>
      </c>
      <c r="D43" t="n">
        <v>0.98</v>
      </c>
      <c r="E43" t="n">
        <v>-3.25</v>
      </c>
      <c r="F43" t="n">
        <v>-0.5</v>
      </c>
      <c r="G43" t="n">
        <v>99</v>
      </c>
      <c r="H43" t="n">
        <v>12</v>
      </c>
      <c r="I43" t="s">
        <v>290</v>
      </c>
      <c r="J43" t="n">
        <v>0</v>
      </c>
      <c r="K43" t="n">
        <v>0</v>
      </c>
      <c r="L43" t="n">
        <v>0</v>
      </c>
      <c r="M43" t="n">
        <v>12</v>
      </c>
      <c r="N43" t="n">
        <v>0.25</v>
      </c>
      <c r="O43" t="n">
        <v>0</v>
      </c>
      <c r="P43" t="n">
        <v>110</v>
      </c>
      <c r="Q43" t="n">
        <v>12</v>
      </c>
      <c r="R43" t="s">
        <v>289</v>
      </c>
      <c r="S43" t="s">
        <v>289</v>
      </c>
      <c r="T43" t="n">
        <v>0.25</v>
      </c>
    </row>
    <row r="44">
      <c r="A44" t="s">
        <v>32</v>
      </c>
      <c r="B44" t="n">
        <v>0.89</v>
      </c>
      <c r="C44" t="n">
        <v>0.86</v>
      </c>
      <c r="D44" t="n">
        <v>0.86</v>
      </c>
      <c r="E44" t="n">
        <v>-3</v>
      </c>
      <c r="F44" t="n">
        <v>-0.5</v>
      </c>
      <c r="G44" t="n">
        <v>165</v>
      </c>
      <c r="H44" t="n">
        <v>12</v>
      </c>
      <c r="I44" t="s">
        <v>300</v>
      </c>
      <c r="J44" t="n">
        <v>0</v>
      </c>
      <c r="K44" t="n">
        <v>0</v>
      </c>
      <c r="L44" t="n">
        <v>0</v>
      </c>
      <c r="M44" t="n">
        <v>12</v>
      </c>
      <c r="N44" t="n">
        <v>0.25</v>
      </c>
      <c r="O44" t="n">
        <v>-0.5</v>
      </c>
      <c r="P44" t="n">
        <v>162</v>
      </c>
      <c r="Q44" t="n">
        <v>12</v>
      </c>
      <c r="R44" t="s">
        <v>300</v>
      </c>
      <c r="S44" t="s">
        <v>300</v>
      </c>
      <c r="T44" t="n">
        <v>0</v>
      </c>
    </row>
    <row r="45">
      <c r="A45" t="s">
        <v>32</v>
      </c>
      <c r="B45" t="n">
        <v>0.99</v>
      </c>
      <c r="C45" t="n">
        <v>0.79</v>
      </c>
      <c r="D45" t="n">
        <v>0.94</v>
      </c>
      <c r="E45" t="n">
        <v>-3.75</v>
      </c>
      <c r="F45" t="n">
        <v>-0.75</v>
      </c>
      <c r="G45" t="n">
        <v>112</v>
      </c>
      <c r="H45" t="n">
        <v>12</v>
      </c>
      <c r="I45" t="s">
        <v>289</v>
      </c>
      <c r="J45" t="n">
        <v>0</v>
      </c>
      <c r="K45" t="n">
        <v>0</v>
      </c>
      <c r="L45" t="n">
        <v>0</v>
      </c>
      <c r="M45" t="n">
        <v>12</v>
      </c>
      <c r="N45" t="n">
        <v>0</v>
      </c>
      <c r="O45" t="n">
        <v>-0.5</v>
      </c>
      <c r="P45" t="n">
        <v>108</v>
      </c>
      <c r="Q45" t="n">
        <v>12</v>
      </c>
      <c r="R45" t="s">
        <v>290</v>
      </c>
      <c r="S45" t="s">
        <v>292</v>
      </c>
      <c r="T45" t="n">
        <v>-0.25</v>
      </c>
    </row>
    <row r="46">
      <c r="A46" t="s">
        <v>32</v>
      </c>
      <c r="B46" t="n">
        <v>1.08</v>
      </c>
      <c r="C46" t="n">
        <v>0.98</v>
      </c>
      <c r="D46" t="n">
        <v>1.05</v>
      </c>
      <c r="E46" t="n">
        <v>-4.5</v>
      </c>
      <c r="F46" t="n">
        <v>-0.75</v>
      </c>
      <c r="G46" t="n">
        <v>166</v>
      </c>
      <c r="H46" t="n">
        <v>12</v>
      </c>
      <c r="I46" t="s">
        <v>293</v>
      </c>
      <c r="J46" t="n">
        <v>0</v>
      </c>
      <c r="K46" t="n">
        <v>0</v>
      </c>
      <c r="L46" t="n">
        <v>0</v>
      </c>
      <c r="M46" t="n">
        <v>12</v>
      </c>
      <c r="N46" t="n">
        <v>0.25</v>
      </c>
      <c r="O46" t="n">
        <v>0</v>
      </c>
      <c r="P46" t="n">
        <v>164</v>
      </c>
      <c r="Q46" t="n">
        <v>12</v>
      </c>
      <c r="R46" t="s">
        <v>288</v>
      </c>
      <c r="S46" t="s">
        <v>289</v>
      </c>
      <c r="T46" t="n">
        <v>0.25</v>
      </c>
    </row>
    <row r="47">
      <c r="A47" t="s">
        <v>32</v>
      </c>
      <c r="B47" t="n">
        <v>0.93</v>
      </c>
      <c r="C47" t="n">
        <v>0.94</v>
      </c>
      <c r="D47" t="n">
        <v>0.94</v>
      </c>
      <c r="E47" t="n">
        <v>-4.75</v>
      </c>
      <c r="F47" t="n">
        <v>-1.75</v>
      </c>
      <c r="G47" t="n">
        <v>179</v>
      </c>
      <c r="H47" t="n">
        <v>12</v>
      </c>
      <c r="I47" t="s">
        <v>291</v>
      </c>
      <c r="J47" t="n">
        <v>0</v>
      </c>
      <c r="K47" t="n">
        <v>0</v>
      </c>
      <c r="L47" t="n">
        <v>0</v>
      </c>
      <c r="M47" t="n">
        <v>12</v>
      </c>
      <c r="N47" t="n">
        <v>0</v>
      </c>
      <c r="O47" t="n">
        <v>-0.25</v>
      </c>
      <c r="P47" t="n">
        <v>12</v>
      </c>
      <c r="Q47" t="n">
        <v>12</v>
      </c>
      <c r="R47" t="s">
        <v>290</v>
      </c>
      <c r="S47" t="s">
        <v>290</v>
      </c>
      <c r="T47" t="n">
        <v>-0.25</v>
      </c>
    </row>
    <row r="48">
      <c r="A48" t="s">
        <v>32</v>
      </c>
      <c r="B48" t="n">
        <v>1</v>
      </c>
      <c r="C48" t="n">
        <v>0.91</v>
      </c>
      <c r="D48" t="n">
        <v>1.03</v>
      </c>
      <c r="E48" t="n">
        <v>-7.25</v>
      </c>
      <c r="F48" t="n">
        <v>-0.75</v>
      </c>
      <c r="G48" t="n">
        <v>178</v>
      </c>
      <c r="H48" t="n">
        <v>12</v>
      </c>
      <c r="I48" t="s">
        <v>289</v>
      </c>
      <c r="J48" t="n">
        <v>0</v>
      </c>
      <c r="K48" t="n">
        <v>0</v>
      </c>
      <c r="L48" t="n">
        <v>0</v>
      </c>
      <c r="M48" t="n">
        <v>12</v>
      </c>
      <c r="N48" t="n">
        <v>0</v>
      </c>
      <c r="O48" t="n">
        <v>-0.25</v>
      </c>
      <c r="P48" t="n">
        <v>6</v>
      </c>
      <c r="Q48" t="n">
        <v>12</v>
      </c>
      <c r="R48" t="s">
        <v>288</v>
      </c>
      <c r="S48" t="s">
        <v>291</v>
      </c>
      <c r="T48" t="n">
        <v>0</v>
      </c>
    </row>
    <row r="49">
      <c r="A49" t="s">
        <v>32</v>
      </c>
      <c r="B49" t="n">
        <v>1.12</v>
      </c>
      <c r="C49" t="n">
        <v>1.19</v>
      </c>
      <c r="D49" t="n">
        <v>1.14</v>
      </c>
      <c r="E49" t="n">
        <v>-3</v>
      </c>
      <c r="F49" t="n">
        <v>-2</v>
      </c>
      <c r="G49" t="n">
        <v>14</v>
      </c>
      <c r="H49" t="n">
        <v>12</v>
      </c>
      <c r="I49" t="s">
        <v>293</v>
      </c>
      <c r="J49" t="n">
        <v>0</v>
      </c>
      <c r="K49" t="n">
        <v>0</v>
      </c>
      <c r="L49" t="n">
        <v>0</v>
      </c>
      <c r="M49" t="n">
        <v>12</v>
      </c>
      <c r="N49" t="n">
        <v>0</v>
      </c>
      <c r="O49" t="n">
        <v>-0.25</v>
      </c>
      <c r="P49" t="n">
        <v>13</v>
      </c>
      <c r="Q49" t="n">
        <v>12</v>
      </c>
      <c r="R49" t="s">
        <v>297</v>
      </c>
      <c r="S49" t="s">
        <v>294</v>
      </c>
      <c r="T49" t="n">
        <v>0</v>
      </c>
    </row>
    <row r="50">
      <c r="A50" t="s">
        <v>32</v>
      </c>
      <c r="B50" t="n">
        <v>1.22</v>
      </c>
      <c r="C50" t="n">
        <v>0.92</v>
      </c>
      <c r="D50" t="n">
        <v>1.14</v>
      </c>
      <c r="E50" t="n">
        <v>-5</v>
      </c>
      <c r="F50" t="n">
        <v>-0.25</v>
      </c>
      <c r="G50" t="n">
        <v>6</v>
      </c>
      <c r="H50" t="n">
        <v>12</v>
      </c>
      <c r="I50" t="s">
        <v>294</v>
      </c>
      <c r="J50" t="n">
        <v>0</v>
      </c>
      <c r="K50" t="n">
        <v>0</v>
      </c>
      <c r="L50" t="n">
        <v>0</v>
      </c>
      <c r="M50" t="n">
        <v>12</v>
      </c>
      <c r="N50" t="n">
        <v>-0.5</v>
      </c>
      <c r="O50" t="n">
        <v>-0.5</v>
      </c>
      <c r="P50" t="n">
        <v>172</v>
      </c>
      <c r="Q50" t="n">
        <v>12</v>
      </c>
      <c r="R50" t="s">
        <v>297</v>
      </c>
      <c r="S50" t="s">
        <v>291</v>
      </c>
      <c r="T50" t="n">
        <v>-0.75</v>
      </c>
    </row>
    <row r="51">
      <c r="A51" t="s">
        <v>32</v>
      </c>
      <c r="B51" t="n">
        <v>1.15</v>
      </c>
      <c r="C51" t="n">
        <v>1.03</v>
      </c>
      <c r="D51" t="n">
        <v>1.12</v>
      </c>
      <c r="E51" t="n">
        <v>-4.5</v>
      </c>
      <c r="F51" t="n">
        <v>-1</v>
      </c>
      <c r="G51" t="n">
        <v>168</v>
      </c>
      <c r="H51" t="n">
        <v>12</v>
      </c>
      <c r="I51" t="s">
        <v>297</v>
      </c>
      <c r="J51" t="n">
        <v>0</v>
      </c>
      <c r="K51" t="n">
        <v>0</v>
      </c>
      <c r="L51" t="n">
        <v>0</v>
      </c>
      <c r="M51" t="n">
        <v>12</v>
      </c>
      <c r="N51" t="n">
        <v>-0.5</v>
      </c>
      <c r="O51" t="n">
        <v>0</v>
      </c>
      <c r="P51" t="n">
        <v>152</v>
      </c>
      <c r="Q51" t="n">
        <v>12</v>
      </c>
      <c r="R51" t="s">
        <v>293</v>
      </c>
      <c r="S51" t="s">
        <v>288</v>
      </c>
      <c r="T51" t="n">
        <v>-0.5</v>
      </c>
    </row>
    <row r="52">
      <c r="A52" t="s">
        <v>32</v>
      </c>
      <c r="B52" t="n">
        <v>1</v>
      </c>
      <c r="C52" t="n">
        <v>0.87</v>
      </c>
      <c r="D52" t="n">
        <v>0.98</v>
      </c>
      <c r="E52" t="n">
        <v>-3.75</v>
      </c>
      <c r="F52" t="n">
        <v>-1.25</v>
      </c>
      <c r="G52" t="n">
        <v>9</v>
      </c>
      <c r="H52" t="n">
        <v>12</v>
      </c>
      <c r="I52" t="s">
        <v>289</v>
      </c>
      <c r="J52" t="n">
        <v>0</v>
      </c>
      <c r="K52" t="n">
        <v>0</v>
      </c>
      <c r="L52" t="n">
        <v>0</v>
      </c>
      <c r="M52" t="n">
        <v>12</v>
      </c>
      <c r="N52" t="n">
        <v>0</v>
      </c>
      <c r="O52" t="n">
        <v>-0.25</v>
      </c>
      <c r="P52" t="n">
        <v>10</v>
      </c>
      <c r="Q52" t="n">
        <v>12</v>
      </c>
      <c r="R52" t="s">
        <v>289</v>
      </c>
      <c r="S52" t="s">
        <v>300</v>
      </c>
      <c r="T52" t="n">
        <v>-0.25</v>
      </c>
    </row>
    <row r="53">
      <c r="A53" t="s">
        <v>32</v>
      </c>
      <c r="B53" t="n">
        <v>1.1</v>
      </c>
      <c r="C53" t="n">
        <v>1.03</v>
      </c>
      <c r="D53" t="n">
        <v>1.15</v>
      </c>
      <c r="E53" t="n">
        <v>-2.5</v>
      </c>
      <c r="F53" t="n">
        <v>-0.25</v>
      </c>
      <c r="G53" t="n">
        <v>89</v>
      </c>
      <c r="H53" t="n">
        <v>12</v>
      </c>
      <c r="I53" t="s">
        <v>293</v>
      </c>
      <c r="J53" t="n">
        <v>0</v>
      </c>
      <c r="K53" t="n">
        <v>0</v>
      </c>
      <c r="L53" t="n">
        <v>0</v>
      </c>
      <c r="M53" t="n">
        <v>12</v>
      </c>
      <c r="N53" t="n">
        <v>-0.5</v>
      </c>
      <c r="O53" t="n">
        <v>-0.25</v>
      </c>
      <c r="P53" t="n">
        <v>86</v>
      </c>
      <c r="Q53" t="n">
        <v>12</v>
      </c>
      <c r="R53" t="s">
        <v>297</v>
      </c>
      <c r="S53" t="s">
        <v>288</v>
      </c>
      <c r="T53" t="n">
        <v>-0.5</v>
      </c>
    </row>
    <row r="54">
      <c r="A54" t="s">
        <v>32</v>
      </c>
      <c r="B54" t="n">
        <v>0.99</v>
      </c>
      <c r="C54" t="n">
        <v>0.96</v>
      </c>
      <c r="D54" t="n">
        <v>0.97</v>
      </c>
      <c r="E54" t="n">
        <v>-4.25</v>
      </c>
      <c r="F54" t="n">
        <v>-0.5</v>
      </c>
      <c r="G54" t="n">
        <v>96</v>
      </c>
      <c r="H54" t="n">
        <v>12</v>
      </c>
      <c r="I54" t="s">
        <v>289</v>
      </c>
      <c r="J54" t="n">
        <v>0</v>
      </c>
      <c r="K54" t="n">
        <v>0</v>
      </c>
      <c r="L54" t="n">
        <v>0</v>
      </c>
      <c r="M54" t="n">
        <v>12</v>
      </c>
      <c r="N54" t="n">
        <v>0</v>
      </c>
      <c r="O54" t="n">
        <v>-0.5</v>
      </c>
      <c r="P54" t="n">
        <v>99</v>
      </c>
      <c r="Q54" t="n">
        <v>12</v>
      </c>
      <c r="R54" t="s">
        <v>290</v>
      </c>
      <c r="S54" t="s">
        <v>290</v>
      </c>
      <c r="T54" t="n">
        <v>-0.25</v>
      </c>
    </row>
    <row r="55">
      <c r="A55" t="s">
        <v>32</v>
      </c>
      <c r="B55" t="n">
        <v>1.1</v>
      </c>
      <c r="C55" t="n">
        <v>0.89</v>
      </c>
      <c r="D55" t="n">
        <v>1.06</v>
      </c>
      <c r="E55" t="n">
        <v>-3.25</v>
      </c>
      <c r="F55" t="n">
        <v>-0.25</v>
      </c>
      <c r="G55" t="n">
        <v>163</v>
      </c>
      <c r="H55" t="n">
        <v>12</v>
      </c>
      <c r="I55" t="s">
        <v>293</v>
      </c>
      <c r="J55" t="n">
        <v>0</v>
      </c>
      <c r="K55" t="n">
        <v>0</v>
      </c>
      <c r="L55" t="n">
        <v>0</v>
      </c>
      <c r="M55" t="n">
        <v>12</v>
      </c>
      <c r="N55" t="n">
        <v>0.5</v>
      </c>
      <c r="O55" t="n">
        <v>-0.25</v>
      </c>
      <c r="P55" t="n">
        <v>162</v>
      </c>
      <c r="Q55" t="n">
        <v>12</v>
      </c>
      <c r="R55" t="s">
        <v>288</v>
      </c>
      <c r="S55" t="s">
        <v>300</v>
      </c>
      <c r="T55" t="n">
        <v>0.25</v>
      </c>
    </row>
    <row r="56">
      <c r="A56" t="s">
        <v>32</v>
      </c>
      <c r="B56" t="n">
        <v>0.99</v>
      </c>
      <c r="C56" t="n">
        <v>0.82</v>
      </c>
      <c r="D56" t="n">
        <v>0.95</v>
      </c>
      <c r="E56" t="n">
        <v>-6.75</v>
      </c>
      <c r="F56" t="n">
        <v>-0.5</v>
      </c>
      <c r="G56" t="n">
        <v>55</v>
      </c>
      <c r="H56" t="n">
        <v>12</v>
      </c>
      <c r="I56" t="s">
        <v>289</v>
      </c>
      <c r="J56" t="n">
        <v>0</v>
      </c>
      <c r="K56" t="n">
        <v>0</v>
      </c>
      <c r="L56" t="n">
        <v>0</v>
      </c>
      <c r="M56" t="n">
        <v>12</v>
      </c>
      <c r="N56" t="n">
        <v>0.5</v>
      </c>
      <c r="O56" t="n">
        <v>-0.5</v>
      </c>
      <c r="P56" t="n">
        <v>78</v>
      </c>
      <c r="Q56" t="n">
        <v>12</v>
      </c>
      <c r="R56" t="s">
        <v>290</v>
      </c>
      <c r="S56" t="s">
        <v>298</v>
      </c>
      <c r="T56" t="n">
        <v>0.25</v>
      </c>
    </row>
    <row r="57">
      <c r="A57" t="s">
        <v>32</v>
      </c>
      <c r="B57" t="n">
        <v>1.05</v>
      </c>
      <c r="C57" t="n">
        <v>0.85</v>
      </c>
      <c r="D57" t="n">
        <v>1.04</v>
      </c>
      <c r="E57" t="n">
        <v>-4.75</v>
      </c>
      <c r="F57" t="n">
        <v>-1.5</v>
      </c>
      <c r="G57" t="n">
        <v>95</v>
      </c>
      <c r="H57" t="n">
        <v>12</v>
      </c>
      <c r="I57" t="s">
        <v>288</v>
      </c>
      <c r="J57" t="n">
        <v>0</v>
      </c>
      <c r="K57" t="n">
        <v>0</v>
      </c>
      <c r="L57" t="n">
        <v>0</v>
      </c>
      <c r="M57" t="n">
        <v>12</v>
      </c>
      <c r="N57" t="n">
        <v>0</v>
      </c>
      <c r="O57" t="n">
        <v>-0.5</v>
      </c>
      <c r="P57" t="n">
        <v>91</v>
      </c>
      <c r="Q57" t="n">
        <v>12</v>
      </c>
      <c r="R57" t="s">
        <v>288</v>
      </c>
      <c r="S57" t="s">
        <v>298</v>
      </c>
      <c r="T57" t="n">
        <v>-0.25</v>
      </c>
    </row>
    <row r="58">
      <c r="A58" t="s">
        <v>32</v>
      </c>
      <c r="B58" t="n">
        <v>1.02</v>
      </c>
      <c r="C58" t="n">
        <v>1.03</v>
      </c>
      <c r="D58" t="n">
        <v>1.03</v>
      </c>
      <c r="E58" t="n">
        <v>-3.25</v>
      </c>
      <c r="F58" t="n">
        <v>-1</v>
      </c>
      <c r="G58" t="n">
        <v>169</v>
      </c>
      <c r="H58" t="n">
        <v>12</v>
      </c>
      <c r="I58" t="s">
        <v>289</v>
      </c>
      <c r="J58" t="n">
        <v>0</v>
      </c>
      <c r="K58" t="n">
        <v>0</v>
      </c>
      <c r="L58" t="n">
        <v>0</v>
      </c>
      <c r="M58" t="n">
        <v>12</v>
      </c>
      <c r="N58" t="n">
        <v>0</v>
      </c>
      <c r="O58" t="n">
        <v>0</v>
      </c>
      <c r="P58" t="n">
        <v>167</v>
      </c>
      <c r="Q58" t="n">
        <v>12</v>
      </c>
      <c r="R58" t="s">
        <v>288</v>
      </c>
      <c r="S58" t="s">
        <v>288</v>
      </c>
      <c r="T58" t="n">
        <v>0</v>
      </c>
    </row>
    <row r="59">
      <c r="A59" t="s">
        <v>32</v>
      </c>
      <c r="B59" t="n">
        <v>1.02</v>
      </c>
      <c r="C59" t="n">
        <v>0.88</v>
      </c>
      <c r="D59" t="n">
        <v>1.01</v>
      </c>
      <c r="E59" t="n">
        <v>-3</v>
      </c>
      <c r="F59" t="n">
        <v>-0.25</v>
      </c>
      <c r="G59" t="n">
        <v>20</v>
      </c>
      <c r="H59" t="n">
        <v>12</v>
      </c>
      <c r="I59" t="s">
        <v>289</v>
      </c>
      <c r="J59" t="n">
        <v>0</v>
      </c>
      <c r="K59" t="n">
        <v>0</v>
      </c>
      <c r="L59" t="n">
        <v>0</v>
      </c>
      <c r="M59" t="n">
        <v>12</v>
      </c>
      <c r="N59" t="n">
        <v>-0.5</v>
      </c>
      <c r="O59" t="n">
        <v>-0.25</v>
      </c>
      <c r="P59" t="n">
        <v>7</v>
      </c>
      <c r="Q59" t="n">
        <v>12</v>
      </c>
      <c r="R59" t="s">
        <v>289</v>
      </c>
      <c r="S59" t="s">
        <v>300</v>
      </c>
      <c r="T59" t="n">
        <v>-0.5</v>
      </c>
    </row>
    <row r="60">
      <c r="A60" t="s">
        <v>32</v>
      </c>
      <c r="B60" t="n">
        <v>0.92</v>
      </c>
      <c r="C60" t="n">
        <v>0.96</v>
      </c>
      <c r="D60" t="n">
        <v>0.93</v>
      </c>
      <c r="E60" t="n">
        <v>-6.25</v>
      </c>
      <c r="F60" t="n">
        <v>-0.5</v>
      </c>
      <c r="G60" t="n">
        <v>97</v>
      </c>
      <c r="H60" t="n">
        <v>12</v>
      </c>
      <c r="I60" t="s">
        <v>291</v>
      </c>
      <c r="J60" t="n">
        <v>0</v>
      </c>
      <c r="K60" t="n">
        <v>0</v>
      </c>
      <c r="L60" t="n">
        <v>0</v>
      </c>
      <c r="M60" t="n">
        <v>12</v>
      </c>
      <c r="N60" t="n">
        <v>0.25</v>
      </c>
      <c r="O60" t="n">
        <v>-0.5</v>
      </c>
      <c r="P60" t="n">
        <v>93</v>
      </c>
      <c r="Q60" t="n">
        <v>12</v>
      </c>
      <c r="R60" t="s">
        <v>291</v>
      </c>
      <c r="S60" t="s">
        <v>290</v>
      </c>
      <c r="T60" t="n">
        <v>0</v>
      </c>
    </row>
    <row r="61">
      <c r="A61" t="s">
        <v>32</v>
      </c>
      <c r="B61" t="n">
        <v>1.06</v>
      </c>
      <c r="C61" t="n">
        <v>0.98</v>
      </c>
      <c r="D61" t="n">
        <v>1.07</v>
      </c>
      <c r="E61" t="n">
        <v>-4.5</v>
      </c>
      <c r="F61" t="n">
        <v>-0.5</v>
      </c>
      <c r="G61" t="n">
        <v>179</v>
      </c>
      <c r="H61" t="n">
        <v>12</v>
      </c>
      <c r="I61" t="s">
        <v>288</v>
      </c>
      <c r="J61" t="n">
        <v>0</v>
      </c>
      <c r="K61" t="n">
        <v>0</v>
      </c>
      <c r="L61" t="n">
        <v>0</v>
      </c>
      <c r="M61" t="n">
        <v>12</v>
      </c>
      <c r="N61" t="n">
        <v>0.25</v>
      </c>
      <c r="O61" t="n">
        <v>0</v>
      </c>
      <c r="P61" t="n">
        <v>93</v>
      </c>
      <c r="Q61" t="n">
        <v>12</v>
      </c>
      <c r="R61" t="s">
        <v>288</v>
      </c>
      <c r="S61" t="s">
        <v>289</v>
      </c>
      <c r="T61" t="n">
        <v>0.25</v>
      </c>
    </row>
    <row r="62">
      <c r="A62" t="s">
        <v>32</v>
      </c>
      <c r="B62" t="n">
        <v>0.99</v>
      </c>
      <c r="C62" t="n">
        <v>0.8</v>
      </c>
      <c r="D62" t="n">
        <v>0.9</v>
      </c>
      <c r="E62" t="n">
        <v>-4.25</v>
      </c>
      <c r="F62" t="n">
        <v>-0.25</v>
      </c>
      <c r="G62" t="n">
        <v>14</v>
      </c>
      <c r="H62" t="n">
        <v>12</v>
      </c>
      <c r="I62" t="s">
        <v>289</v>
      </c>
      <c r="J62" t="n">
        <v>0</v>
      </c>
      <c r="K62" t="n">
        <v>0</v>
      </c>
      <c r="L62" t="n">
        <v>0</v>
      </c>
      <c r="M62" t="n">
        <v>12</v>
      </c>
      <c r="N62" t="n">
        <v>0</v>
      </c>
      <c r="O62" t="n">
        <v>-0.25</v>
      </c>
      <c r="P62" t="n">
        <v>162</v>
      </c>
      <c r="Q62" t="n">
        <v>12</v>
      </c>
      <c r="R62" t="s">
        <v>291</v>
      </c>
      <c r="S62" t="s">
        <v>292</v>
      </c>
      <c r="T62" t="n">
        <v>0</v>
      </c>
    </row>
    <row r="63">
      <c r="A63" t="s">
        <v>32</v>
      </c>
      <c r="B63" t="n">
        <v>1.05</v>
      </c>
      <c r="C63" t="n">
        <v>1</v>
      </c>
      <c r="D63" t="n">
        <v>1.07</v>
      </c>
      <c r="E63" t="n">
        <v>-7.5</v>
      </c>
      <c r="F63" t="n">
        <v>-0.25</v>
      </c>
      <c r="G63" t="n">
        <v>85</v>
      </c>
      <c r="H63" t="n">
        <v>12</v>
      </c>
      <c r="I63" t="s">
        <v>288</v>
      </c>
      <c r="J63" t="n">
        <v>0</v>
      </c>
      <c r="K63" t="n">
        <v>0</v>
      </c>
      <c r="L63" t="n">
        <v>0</v>
      </c>
      <c r="M63" t="n">
        <v>12</v>
      </c>
      <c r="N63" t="n">
        <v>-1</v>
      </c>
      <c r="O63" t="n">
        <v>-0.25</v>
      </c>
      <c r="P63" t="n">
        <v>59</v>
      </c>
      <c r="Q63" t="n">
        <v>12</v>
      </c>
      <c r="R63" t="s">
        <v>288</v>
      </c>
      <c r="S63" t="s">
        <v>289</v>
      </c>
      <c r="T63" t="n">
        <v>-1</v>
      </c>
    </row>
    <row r="64">
      <c r="A64" t="s">
        <v>32</v>
      </c>
      <c r="B64" t="n">
        <v>1.08</v>
      </c>
      <c r="C64" t="n">
        <v>0.97</v>
      </c>
      <c r="D64" t="n">
        <v>1.08</v>
      </c>
      <c r="E64" t="n">
        <v>-2.5</v>
      </c>
      <c r="F64" t="n">
        <v>-1</v>
      </c>
      <c r="G64" t="n">
        <v>21</v>
      </c>
      <c r="H64" t="n">
        <v>12</v>
      </c>
      <c r="I64" t="s">
        <v>293</v>
      </c>
      <c r="J64" t="n">
        <v>0</v>
      </c>
      <c r="K64" t="n">
        <v>0</v>
      </c>
      <c r="L64" t="n">
        <v>0</v>
      </c>
      <c r="M64" t="n">
        <v>12</v>
      </c>
      <c r="N64" t="n">
        <v>0.5</v>
      </c>
      <c r="O64" t="n">
        <v>-0.25</v>
      </c>
      <c r="P64" t="n">
        <v>28</v>
      </c>
      <c r="Q64" t="n">
        <v>12</v>
      </c>
      <c r="R64" t="s">
        <v>293</v>
      </c>
      <c r="S64" t="s">
        <v>290</v>
      </c>
      <c r="T64" t="n">
        <v>0.25</v>
      </c>
    </row>
    <row r="65">
      <c r="A65" t="s">
        <v>32</v>
      </c>
      <c r="B65" t="n">
        <v>1.01</v>
      </c>
      <c r="C65" t="n">
        <v>0.91</v>
      </c>
      <c r="D65" t="n">
        <v>1.08</v>
      </c>
      <c r="E65" t="n">
        <v>-0.75</v>
      </c>
      <c r="F65" t="n">
        <v>-1.5</v>
      </c>
      <c r="G65" t="n">
        <v>23</v>
      </c>
      <c r="H65" t="n">
        <v>12</v>
      </c>
      <c r="I65" t="s">
        <v>289</v>
      </c>
      <c r="J65" t="n">
        <v>0</v>
      </c>
      <c r="K65" t="n">
        <v>0</v>
      </c>
      <c r="L65" t="n">
        <v>0</v>
      </c>
      <c r="M65" t="n">
        <v>12</v>
      </c>
      <c r="N65" t="n">
        <v>-1.25</v>
      </c>
      <c r="O65" t="n">
        <v>0</v>
      </c>
      <c r="P65" t="n">
        <v>18</v>
      </c>
      <c r="Q65" t="n">
        <v>12</v>
      </c>
      <c r="R65" t="s">
        <v>293</v>
      </c>
      <c r="S65" t="s">
        <v>291</v>
      </c>
      <c r="T65" t="n">
        <v>-1.25</v>
      </c>
    </row>
    <row r="66">
      <c r="A66" t="s">
        <v>32</v>
      </c>
      <c r="B66" t="n">
        <v>1.04</v>
      </c>
      <c r="C66" t="n">
        <v>1.02</v>
      </c>
      <c r="D66" t="n">
        <v>1.02</v>
      </c>
      <c r="E66" t="n">
        <v>-4.5</v>
      </c>
      <c r="F66" t="n">
        <v>-0.5</v>
      </c>
      <c r="G66" t="n">
        <v>157</v>
      </c>
      <c r="H66" t="n">
        <v>12</v>
      </c>
      <c r="I66" t="s">
        <v>288</v>
      </c>
      <c r="J66" t="n">
        <v>0</v>
      </c>
      <c r="K66" t="n">
        <v>0</v>
      </c>
      <c r="L66" t="n">
        <v>0</v>
      </c>
      <c r="M66" t="n">
        <v>12</v>
      </c>
      <c r="N66" t="n">
        <v>-0.25</v>
      </c>
      <c r="O66" t="n">
        <v>0</v>
      </c>
      <c r="P66" t="n">
        <v>153</v>
      </c>
      <c r="Q66" t="n">
        <v>12</v>
      </c>
      <c r="R66" t="s">
        <v>289</v>
      </c>
      <c r="S66" t="s">
        <v>289</v>
      </c>
      <c r="T66" t="n">
        <v>-0.25</v>
      </c>
    </row>
    <row r="67">
      <c r="A67" t="s">
        <v>32</v>
      </c>
      <c r="B67" t="n">
        <v>0.95</v>
      </c>
      <c r="C67" t="n">
        <v>0.87</v>
      </c>
      <c r="D67" t="n">
        <v>0.96</v>
      </c>
      <c r="E67" t="n">
        <v>-6</v>
      </c>
      <c r="F67" t="n">
        <v>-0.75</v>
      </c>
      <c r="G67" t="n">
        <v>6</v>
      </c>
      <c r="H67" t="n">
        <v>12</v>
      </c>
      <c r="I67" t="s">
        <v>290</v>
      </c>
      <c r="J67" t="n">
        <v>0</v>
      </c>
      <c r="K67" t="n">
        <v>0</v>
      </c>
      <c r="L67" t="n">
        <v>0</v>
      </c>
      <c r="M67" t="n">
        <v>12</v>
      </c>
      <c r="N67" t="n">
        <v>0.5</v>
      </c>
      <c r="O67" t="n">
        <v>-0.5</v>
      </c>
      <c r="P67" t="n">
        <v>48</v>
      </c>
      <c r="Q67" t="n">
        <v>12</v>
      </c>
      <c r="R67" t="s">
        <v>290</v>
      </c>
      <c r="S67" t="s">
        <v>300</v>
      </c>
      <c r="T67" t="n">
        <v>0.25</v>
      </c>
    </row>
    <row r="68">
      <c r="A68" t="s">
        <v>32</v>
      </c>
      <c r="B68" t="n">
        <v>1.11</v>
      </c>
      <c r="C68" t="n">
        <v>1.09</v>
      </c>
      <c r="D68" t="n">
        <v>1.09</v>
      </c>
      <c r="E68" t="n">
        <v>-3</v>
      </c>
      <c r="F68" t="n">
        <v>-0.5</v>
      </c>
      <c r="G68" t="n">
        <v>23</v>
      </c>
      <c r="H68" t="n">
        <v>12</v>
      </c>
      <c r="I68" t="s">
        <v>293</v>
      </c>
      <c r="J68" t="n">
        <v>0</v>
      </c>
      <c r="K68" t="n">
        <v>0</v>
      </c>
      <c r="L68" t="n">
        <v>0</v>
      </c>
      <c r="M68" t="n">
        <v>12</v>
      </c>
      <c r="N68" t="n">
        <v>0.25</v>
      </c>
      <c r="O68" t="n">
        <v>0</v>
      </c>
      <c r="P68" t="n">
        <v>124</v>
      </c>
      <c r="Q68" t="n">
        <v>12</v>
      </c>
      <c r="R68" t="s">
        <v>293</v>
      </c>
      <c r="S68" t="s">
        <v>293</v>
      </c>
      <c r="T68" t="n">
        <v>0.25</v>
      </c>
    </row>
    <row r="69">
      <c r="A69" t="s">
        <v>32</v>
      </c>
      <c r="B69" t="n">
        <v>0.97</v>
      </c>
      <c r="C69" t="n">
        <v>1.01</v>
      </c>
      <c r="D69" t="n">
        <v>1.04</v>
      </c>
      <c r="E69" t="n">
        <v>-4</v>
      </c>
      <c r="F69" t="n">
        <v>-0.5</v>
      </c>
      <c r="G69" t="n">
        <v>164</v>
      </c>
      <c r="H69" t="n">
        <v>12</v>
      </c>
      <c r="I69" t="s">
        <v>290</v>
      </c>
      <c r="J69" t="n">
        <v>0</v>
      </c>
      <c r="K69" t="n">
        <v>0</v>
      </c>
      <c r="L69" t="n">
        <v>0</v>
      </c>
      <c r="M69" t="n">
        <v>12</v>
      </c>
      <c r="N69" t="n">
        <v>0</v>
      </c>
      <c r="O69" t="n">
        <v>-0.25</v>
      </c>
      <c r="P69" t="n">
        <v>133</v>
      </c>
      <c r="Q69" t="n">
        <v>12</v>
      </c>
      <c r="R69" t="s">
        <v>288</v>
      </c>
      <c r="S69" t="s">
        <v>289</v>
      </c>
      <c r="T69" t="n">
        <v>0</v>
      </c>
    </row>
    <row r="70">
      <c r="A70" t="s">
        <v>32</v>
      </c>
      <c r="B70" t="n">
        <v>1.05</v>
      </c>
      <c r="C70" t="n">
        <v>1.01</v>
      </c>
      <c r="D70" t="n">
        <v>1.02</v>
      </c>
      <c r="E70" t="n">
        <v>-5.5</v>
      </c>
      <c r="F70" t="n">
        <v>-1</v>
      </c>
      <c r="G70" t="n">
        <v>20</v>
      </c>
      <c r="H70" t="n">
        <v>12</v>
      </c>
      <c r="I70" t="s">
        <v>288</v>
      </c>
      <c r="J70" t="n">
        <v>0</v>
      </c>
      <c r="K70" t="n">
        <v>0</v>
      </c>
      <c r="L70" t="n">
        <v>0</v>
      </c>
      <c r="M70" t="n">
        <v>12</v>
      </c>
      <c r="N70" t="n">
        <v>-0.5</v>
      </c>
      <c r="O70" t="n">
        <v>-0.25</v>
      </c>
      <c r="P70" t="n">
        <v>16</v>
      </c>
      <c r="Q70" t="n">
        <v>12</v>
      </c>
      <c r="R70" t="s">
        <v>289</v>
      </c>
      <c r="S70" t="s">
        <v>289</v>
      </c>
      <c r="T70" t="n">
        <v>-0.5</v>
      </c>
    </row>
    <row r="71">
      <c r="A71" t="s">
        <v>32</v>
      </c>
      <c r="B71" t="n">
        <v>0.86</v>
      </c>
      <c r="C71" t="n">
        <v>0.85</v>
      </c>
      <c r="D71" t="n">
        <v>0.88</v>
      </c>
      <c r="E71" t="n">
        <v>-7.5</v>
      </c>
      <c r="F71" t="n">
        <v>-0.5</v>
      </c>
      <c r="G71" t="n">
        <v>23</v>
      </c>
      <c r="H71" t="n">
        <v>12</v>
      </c>
      <c r="I71" t="s">
        <v>300</v>
      </c>
      <c r="J71" t="n">
        <v>0</v>
      </c>
      <c r="K71" t="n">
        <v>0</v>
      </c>
      <c r="L71" t="n">
        <v>0</v>
      </c>
      <c r="M71" t="n">
        <v>12</v>
      </c>
      <c r="N71" t="n">
        <v>0</v>
      </c>
      <c r="O71" t="n">
        <v>-0.25</v>
      </c>
      <c r="P71" t="n">
        <v>33</v>
      </c>
      <c r="Q71" t="n">
        <v>12</v>
      </c>
      <c r="R71" t="s">
        <v>300</v>
      </c>
      <c r="S71" t="s">
        <v>298</v>
      </c>
      <c r="T71" t="n">
        <v>0</v>
      </c>
    </row>
    <row r="72">
      <c r="A72" t="s">
        <v>32</v>
      </c>
      <c r="B72" t="n">
        <v>0.97</v>
      </c>
      <c r="C72" t="n">
        <v>0.9</v>
      </c>
      <c r="D72" t="n">
        <v>0.98</v>
      </c>
      <c r="E72" t="n">
        <v>-3</v>
      </c>
      <c r="F72" t="n">
        <v>0</v>
      </c>
      <c r="G72" t="n">
        <v>92</v>
      </c>
      <c r="H72" t="n">
        <v>12</v>
      </c>
      <c r="I72" t="s">
        <v>290</v>
      </c>
      <c r="J72" t="n">
        <v>0</v>
      </c>
      <c r="K72" t="n">
        <v>0</v>
      </c>
      <c r="L72" t="n">
        <v>0</v>
      </c>
      <c r="M72" t="n">
        <v>12</v>
      </c>
      <c r="N72" t="n">
        <v>0.5</v>
      </c>
      <c r="O72" t="n">
        <v>-0.25</v>
      </c>
      <c r="P72" t="n">
        <v>70</v>
      </c>
      <c r="Q72" t="n">
        <v>12</v>
      </c>
      <c r="R72" t="s">
        <v>289</v>
      </c>
      <c r="S72" t="s">
        <v>291</v>
      </c>
      <c r="T72" t="n">
        <v>0.5</v>
      </c>
    </row>
    <row r="73">
      <c r="A73" t="s">
        <v>32</v>
      </c>
      <c r="B73" t="n">
        <v>0.94</v>
      </c>
      <c r="C73" t="n">
        <v>0.88</v>
      </c>
      <c r="D73" t="n">
        <v>0.94</v>
      </c>
      <c r="E73" t="n">
        <v>-6.5</v>
      </c>
      <c r="F73" t="n">
        <v>-0.5</v>
      </c>
      <c r="G73" t="n">
        <v>159</v>
      </c>
      <c r="H73" t="n">
        <v>12</v>
      </c>
      <c r="I73" t="s">
        <v>290</v>
      </c>
      <c r="J73" t="n">
        <v>0</v>
      </c>
      <c r="K73" t="n">
        <v>0</v>
      </c>
      <c r="L73" t="n">
        <v>0</v>
      </c>
      <c r="M73" t="n">
        <v>12</v>
      </c>
      <c r="N73" t="n">
        <v>-0.5</v>
      </c>
      <c r="O73" t="n">
        <v>-0.25</v>
      </c>
      <c r="P73" t="n">
        <v>6</v>
      </c>
      <c r="Q73" t="n">
        <v>12</v>
      </c>
      <c r="R73" t="s">
        <v>290</v>
      </c>
      <c r="S73" t="s">
        <v>300</v>
      </c>
      <c r="T73" t="n">
        <v>-0.5</v>
      </c>
    </row>
    <row r="74">
      <c r="A74" t="s">
        <v>32</v>
      </c>
      <c r="B74" t="n">
        <v>0.99</v>
      </c>
      <c r="C74" t="n">
        <v>0.98</v>
      </c>
      <c r="D74" t="n">
        <v>1.02</v>
      </c>
      <c r="E74" t="n">
        <v>-5.5</v>
      </c>
      <c r="F74" t="n">
        <v>-1</v>
      </c>
      <c r="G74" t="n">
        <v>101</v>
      </c>
      <c r="H74" t="n">
        <v>12</v>
      </c>
      <c r="I74" t="s">
        <v>289</v>
      </c>
      <c r="J74" t="n">
        <v>0</v>
      </c>
      <c r="K74" t="n">
        <v>0</v>
      </c>
      <c r="L74" t="n">
        <v>0</v>
      </c>
      <c r="M74" t="n">
        <v>12</v>
      </c>
      <c r="N74" t="n">
        <v>0.25</v>
      </c>
      <c r="O74" t="n">
        <v>-0.5</v>
      </c>
      <c r="P74" t="n">
        <v>74</v>
      </c>
      <c r="Q74" t="n">
        <v>12</v>
      </c>
      <c r="R74" t="s">
        <v>289</v>
      </c>
      <c r="S74" t="s">
        <v>289</v>
      </c>
      <c r="T74" t="n">
        <v>0</v>
      </c>
    </row>
    <row r="75">
      <c r="A75" t="s">
        <v>32</v>
      </c>
      <c r="B75" t="n">
        <v>1.02</v>
      </c>
      <c r="C75" t="n">
        <v>0.89</v>
      </c>
      <c r="D75" t="n">
        <v>0.97</v>
      </c>
      <c r="E75" t="n">
        <v>-6</v>
      </c>
      <c r="F75" t="n">
        <v>-0.75</v>
      </c>
      <c r="G75" t="n">
        <v>3</v>
      </c>
      <c r="H75" t="n">
        <v>12</v>
      </c>
      <c r="I75" t="s">
        <v>289</v>
      </c>
      <c r="J75" t="n">
        <v>0</v>
      </c>
      <c r="K75" t="n">
        <v>0</v>
      </c>
      <c r="L75" t="n">
        <v>0</v>
      </c>
      <c r="M75" t="n">
        <v>12</v>
      </c>
      <c r="N75" t="n">
        <v>0</v>
      </c>
      <c r="O75" t="n">
        <v>-0.25</v>
      </c>
      <c r="P75" t="n">
        <v>119</v>
      </c>
      <c r="Q75" t="n">
        <v>12</v>
      </c>
      <c r="R75" t="s">
        <v>290</v>
      </c>
      <c r="S75" t="s">
        <v>300</v>
      </c>
      <c r="T75" t="n">
        <v>0</v>
      </c>
    </row>
    <row r="76">
      <c r="A76" t="s">
        <v>32</v>
      </c>
      <c r="B76" t="n">
        <v>1.12</v>
      </c>
      <c r="C76" t="n">
        <v>1.02</v>
      </c>
      <c r="D76" t="n">
        <v>1.17</v>
      </c>
      <c r="E76" t="n">
        <v>-3.25</v>
      </c>
      <c r="F76" t="n">
        <v>-0.5</v>
      </c>
      <c r="G76" t="n">
        <v>81</v>
      </c>
      <c r="H76" t="n">
        <v>12</v>
      </c>
      <c r="I76" t="s">
        <v>293</v>
      </c>
      <c r="J76" t="n">
        <v>0</v>
      </c>
      <c r="K76" t="n">
        <v>0</v>
      </c>
      <c r="L76" t="n">
        <v>0</v>
      </c>
      <c r="M76" t="n">
        <v>12</v>
      </c>
      <c r="N76" t="n">
        <v>-0.75</v>
      </c>
      <c r="O76" t="n">
        <v>-0.5</v>
      </c>
      <c r="P76" t="n">
        <v>60</v>
      </c>
      <c r="Q76" t="n">
        <v>12</v>
      </c>
      <c r="R76" t="s">
        <v>297</v>
      </c>
      <c r="S76" t="s">
        <v>289</v>
      </c>
      <c r="T76" t="n">
        <v>-1</v>
      </c>
    </row>
    <row r="77">
      <c r="A77" t="s">
        <v>32</v>
      </c>
      <c r="B77" t="n">
        <v>1.15</v>
      </c>
      <c r="C77" t="n">
        <v>1.16</v>
      </c>
      <c r="D77" t="n">
        <v>1.16</v>
      </c>
      <c r="E77" t="n">
        <v>-5.25</v>
      </c>
      <c r="F77" t="n">
        <v>-0.5</v>
      </c>
      <c r="G77" t="n">
        <v>2</v>
      </c>
      <c r="H77" t="n">
        <v>12</v>
      </c>
      <c r="I77" t="s">
        <v>297</v>
      </c>
      <c r="J77" t="n">
        <v>0</v>
      </c>
      <c r="K77" t="n">
        <v>0</v>
      </c>
      <c r="L77" t="n">
        <v>0</v>
      </c>
      <c r="M77" t="n">
        <v>12</v>
      </c>
      <c r="N77" t="n">
        <v>0</v>
      </c>
      <c r="O77" t="n">
        <v>-0.25</v>
      </c>
      <c r="P77" t="n">
        <v>18</v>
      </c>
      <c r="Q77" t="n">
        <v>12</v>
      </c>
      <c r="R77" t="s">
        <v>297</v>
      </c>
      <c r="S77" t="s">
        <v>297</v>
      </c>
      <c r="T77" t="n">
        <v>0</v>
      </c>
    </row>
    <row r="78">
      <c r="A78" t="s">
        <v>32</v>
      </c>
      <c r="B78" t="n">
        <v>1.09</v>
      </c>
      <c r="C78" t="n">
        <v>1.1</v>
      </c>
      <c r="D78" t="n">
        <v>1.11</v>
      </c>
      <c r="E78" t="n">
        <v>-2.75</v>
      </c>
      <c r="F78" t="n">
        <v>-1.25</v>
      </c>
      <c r="G78" t="n">
        <v>175</v>
      </c>
      <c r="H78" t="n">
        <v>12</v>
      </c>
      <c r="I78" t="s">
        <v>293</v>
      </c>
      <c r="J78" t="n">
        <v>0</v>
      </c>
      <c r="K78" t="n">
        <v>0</v>
      </c>
      <c r="L78" t="n">
        <v>0</v>
      </c>
      <c r="M78" t="n">
        <v>12</v>
      </c>
      <c r="N78" t="n">
        <v>0</v>
      </c>
      <c r="O78" t="n">
        <v>-0.25</v>
      </c>
      <c r="P78" t="n">
        <v>3</v>
      </c>
      <c r="Q78" t="n">
        <v>12</v>
      </c>
      <c r="R78" t="s">
        <v>293</v>
      </c>
      <c r="S78" t="s">
        <v>293</v>
      </c>
      <c r="T78" t="n">
        <v>-0.25</v>
      </c>
    </row>
    <row r="79">
      <c r="A79" t="s">
        <v>32</v>
      </c>
      <c r="B79" t="n">
        <v>1.07</v>
      </c>
      <c r="C79" t="n">
        <v>1.11</v>
      </c>
      <c r="D79" t="n">
        <v>1.15</v>
      </c>
      <c r="E79" t="n">
        <v>-5</v>
      </c>
      <c r="F79" t="n">
        <v>-0.75</v>
      </c>
      <c r="G79" t="n">
        <v>8</v>
      </c>
      <c r="H79" t="n">
        <v>12</v>
      </c>
      <c r="I79" t="s">
        <v>288</v>
      </c>
      <c r="J79" t="n">
        <v>0</v>
      </c>
      <c r="K79" t="n">
        <v>0</v>
      </c>
      <c r="L79" t="n">
        <v>0</v>
      </c>
      <c r="M79" t="n">
        <v>12</v>
      </c>
      <c r="N79" t="n">
        <v>-0.5</v>
      </c>
      <c r="O79" t="n">
        <v>0</v>
      </c>
      <c r="P79" t="n">
        <v>17</v>
      </c>
      <c r="Q79" t="n">
        <v>12</v>
      </c>
      <c r="R79" t="s">
        <v>297</v>
      </c>
      <c r="S79" t="s">
        <v>293</v>
      </c>
      <c r="T79" t="n">
        <v>-0.5</v>
      </c>
    </row>
    <row r="80">
      <c r="A80" t="s">
        <v>32</v>
      </c>
      <c r="B80" t="n">
        <v>1.03</v>
      </c>
      <c r="C80" t="n">
        <v>1.1</v>
      </c>
      <c r="D80" t="n">
        <v>1.09</v>
      </c>
      <c r="E80" t="n">
        <v>-6</v>
      </c>
      <c r="F80" t="n">
        <v>-1</v>
      </c>
      <c r="G80" t="n">
        <v>3</v>
      </c>
      <c r="H80" t="n">
        <v>12</v>
      </c>
      <c r="I80" t="s">
        <v>288</v>
      </c>
      <c r="J80" t="n">
        <v>0</v>
      </c>
      <c r="K80" t="n">
        <v>0</v>
      </c>
      <c r="L80" t="n">
        <v>0</v>
      </c>
      <c r="M80" t="n">
        <v>12</v>
      </c>
      <c r="N80" t="n">
        <v>0</v>
      </c>
      <c r="O80" t="n">
        <v>0</v>
      </c>
      <c r="P80" t="n">
        <v>37</v>
      </c>
      <c r="Q80" t="n">
        <v>12</v>
      </c>
      <c r="R80" t="s">
        <v>293</v>
      </c>
      <c r="S80" t="s">
        <v>293</v>
      </c>
      <c r="T80" t="n">
        <v>0</v>
      </c>
    </row>
    <row r="81">
      <c r="A81" t="s">
        <v>32</v>
      </c>
      <c r="B81" t="n">
        <v>1.07</v>
      </c>
      <c r="C81" t="n">
        <v>0.98</v>
      </c>
      <c r="D81" t="n">
        <v>1.08</v>
      </c>
      <c r="E81" t="n">
        <v>-3.25</v>
      </c>
      <c r="F81" t="n">
        <v>-0.25</v>
      </c>
      <c r="G81" t="n">
        <v>167</v>
      </c>
      <c r="H81" t="n">
        <v>12</v>
      </c>
      <c r="I81" t="s">
        <v>288</v>
      </c>
      <c r="J81" t="n">
        <v>0</v>
      </c>
      <c r="K81" t="n">
        <v>0</v>
      </c>
      <c r="L81" t="n">
        <v>0</v>
      </c>
      <c r="M81" t="n">
        <v>12</v>
      </c>
      <c r="N81" t="n">
        <v>0</v>
      </c>
      <c r="O81" t="n">
        <v>-0.25</v>
      </c>
      <c r="P81" t="n">
        <v>13</v>
      </c>
      <c r="Q81" t="n">
        <v>12</v>
      </c>
      <c r="R81" t="s">
        <v>293</v>
      </c>
      <c r="S81" t="s">
        <v>289</v>
      </c>
      <c r="T81" t="n">
        <v>-0.25</v>
      </c>
    </row>
    <row r="82">
      <c r="A82" t="s">
        <v>32</v>
      </c>
      <c r="B82" t="n">
        <v>1.05</v>
      </c>
      <c r="C82" t="n">
        <v>0.91</v>
      </c>
      <c r="D82" t="n">
        <v>1.08</v>
      </c>
      <c r="E82" t="n">
        <v>-4</v>
      </c>
      <c r="F82" t="n">
        <v>-0.5</v>
      </c>
      <c r="G82" t="n">
        <v>4</v>
      </c>
      <c r="H82" t="n">
        <v>12</v>
      </c>
      <c r="I82" t="s">
        <v>288</v>
      </c>
      <c r="J82" t="n">
        <v>0</v>
      </c>
      <c r="K82" t="n">
        <v>0</v>
      </c>
      <c r="L82" t="n">
        <v>0</v>
      </c>
      <c r="M82" t="n">
        <v>12</v>
      </c>
      <c r="N82" t="n">
        <v>-0.5</v>
      </c>
      <c r="O82" t="n">
        <v>-0.5</v>
      </c>
      <c r="P82" t="n">
        <v>133</v>
      </c>
      <c r="Q82" t="n">
        <v>12</v>
      </c>
      <c r="R82" t="s">
        <v>293</v>
      </c>
      <c r="S82" t="s">
        <v>291</v>
      </c>
      <c r="T82" t="n">
        <v>-0.75</v>
      </c>
    </row>
    <row r="83">
      <c r="A83" t="s">
        <v>32</v>
      </c>
      <c r="B83" t="n">
        <v>1.09</v>
      </c>
      <c r="C83" t="n">
        <v>1.05</v>
      </c>
      <c r="D83" t="n">
        <v>1.11</v>
      </c>
      <c r="E83" t="n">
        <v>-4</v>
      </c>
      <c r="F83" t="n">
        <v>0</v>
      </c>
      <c r="G83" t="n">
        <v>100</v>
      </c>
      <c r="H83" t="n">
        <v>12</v>
      </c>
      <c r="I83" t="s">
        <v>293</v>
      </c>
      <c r="J83" t="n">
        <v>0</v>
      </c>
      <c r="K83" t="n">
        <v>0</v>
      </c>
      <c r="L83" t="n">
        <v>0</v>
      </c>
      <c r="M83" t="n">
        <v>12</v>
      </c>
      <c r="N83" t="n">
        <v>0</v>
      </c>
      <c r="O83" t="n">
        <v>-0.25</v>
      </c>
      <c r="P83" t="n">
        <v>73</v>
      </c>
      <c r="Q83" t="n">
        <v>12</v>
      </c>
      <c r="R83" t="s">
        <v>293</v>
      </c>
      <c r="S83" t="s">
        <v>288</v>
      </c>
      <c r="T83" t="n">
        <v>0</v>
      </c>
    </row>
    <row r="84">
      <c r="A84" t="s">
        <v>32</v>
      </c>
      <c r="B84" t="n">
        <v>1</v>
      </c>
      <c r="C84" t="n">
        <v>0.95</v>
      </c>
      <c r="D84" t="n">
        <v>1.01</v>
      </c>
      <c r="E84" t="n">
        <v>-5.25</v>
      </c>
      <c r="F84" t="n">
        <v>-0.25</v>
      </c>
      <c r="G84" t="n">
        <v>166</v>
      </c>
      <c r="H84" t="n">
        <v>12</v>
      </c>
      <c r="I84" t="s">
        <v>289</v>
      </c>
      <c r="J84" t="n">
        <v>0</v>
      </c>
      <c r="K84" t="n">
        <v>0</v>
      </c>
      <c r="L84" t="n">
        <v>0</v>
      </c>
      <c r="M84" t="n">
        <v>12</v>
      </c>
      <c r="N84" t="n">
        <v>0</v>
      </c>
      <c r="O84" t="n">
        <v>-0.75</v>
      </c>
      <c r="P84" t="n">
        <v>166</v>
      </c>
      <c r="Q84" t="n">
        <v>12</v>
      </c>
      <c r="R84" t="s">
        <v>289</v>
      </c>
      <c r="S84" t="s">
        <v>290</v>
      </c>
      <c r="T84" t="n">
        <v>-0.25</v>
      </c>
    </row>
    <row r="85">
      <c r="A85" t="s">
        <v>32</v>
      </c>
      <c r="B85" t="n">
        <v>1.08</v>
      </c>
      <c r="C85" t="n">
        <v>1.15</v>
      </c>
      <c r="D85" t="n">
        <v>1.11</v>
      </c>
      <c r="E85" t="n">
        <v>-4</v>
      </c>
      <c r="F85" t="n">
        <v>-0.75</v>
      </c>
      <c r="G85" t="n">
        <v>171</v>
      </c>
      <c r="H85" t="n">
        <v>12</v>
      </c>
      <c r="I85" t="s">
        <v>293</v>
      </c>
      <c r="J85" t="n">
        <v>0</v>
      </c>
      <c r="K85" t="n">
        <v>0</v>
      </c>
      <c r="L85" t="n">
        <v>0</v>
      </c>
      <c r="M85" t="n">
        <v>12</v>
      </c>
      <c r="N85" t="n">
        <v>0</v>
      </c>
      <c r="O85" t="n">
        <v>0</v>
      </c>
      <c r="P85" t="n">
        <v>147</v>
      </c>
      <c r="Q85" t="n">
        <v>12</v>
      </c>
      <c r="R85" t="s">
        <v>293</v>
      </c>
      <c r="S85" t="s">
        <v>297</v>
      </c>
      <c r="T85" t="n">
        <v>0</v>
      </c>
    </row>
    <row r="86">
      <c r="A86" t="s">
        <v>32</v>
      </c>
      <c r="B86" t="n">
        <v>0.87</v>
      </c>
      <c r="C86" t="n">
        <v>0.86</v>
      </c>
      <c r="D86" t="n">
        <v>0.88</v>
      </c>
      <c r="E86" t="n">
        <v>-5</v>
      </c>
      <c r="F86" t="n">
        <v>-0.5</v>
      </c>
      <c r="G86" t="n">
        <v>171</v>
      </c>
      <c r="H86" t="n">
        <v>12</v>
      </c>
      <c r="I86" t="s">
        <v>300</v>
      </c>
      <c r="J86" t="n">
        <v>0</v>
      </c>
      <c r="K86" t="n">
        <v>0</v>
      </c>
      <c r="L86" t="n">
        <v>0</v>
      </c>
      <c r="M86" t="n">
        <v>12</v>
      </c>
      <c r="N86" t="n">
        <v>0</v>
      </c>
      <c r="O86" t="n">
        <v>-0.25</v>
      </c>
      <c r="P86" t="n">
        <v>15</v>
      </c>
      <c r="Q86" t="n">
        <v>12</v>
      </c>
      <c r="R86" t="s">
        <v>300</v>
      </c>
      <c r="S86" t="s">
        <v>300</v>
      </c>
      <c r="T86" t="n">
        <v>0</v>
      </c>
    </row>
    <row r="87">
      <c r="A87" t="s">
        <v>32</v>
      </c>
      <c r="B87" t="n">
        <v>1.05</v>
      </c>
      <c r="C87" t="n">
        <v>0.94</v>
      </c>
      <c r="D87" t="n">
        <v>0.98</v>
      </c>
      <c r="E87" t="n">
        <v>-3.5</v>
      </c>
      <c r="F87" t="n">
        <v>-1</v>
      </c>
      <c r="G87" t="n">
        <v>108</v>
      </c>
      <c r="H87" t="n">
        <v>12</v>
      </c>
      <c r="I87" t="s">
        <v>288</v>
      </c>
      <c r="J87" t="n">
        <v>0</v>
      </c>
      <c r="K87" t="n">
        <v>0</v>
      </c>
      <c r="L87" t="n">
        <v>0</v>
      </c>
      <c r="M87" t="n">
        <v>12</v>
      </c>
      <c r="N87" t="n">
        <v>0.5</v>
      </c>
      <c r="O87" t="n">
        <v>-0.5</v>
      </c>
      <c r="P87" t="n">
        <v>121</v>
      </c>
      <c r="Q87" t="n">
        <v>12</v>
      </c>
      <c r="R87" t="s">
        <v>289</v>
      </c>
      <c r="S87" t="s">
        <v>290</v>
      </c>
      <c r="T87" t="n">
        <v>0.25</v>
      </c>
    </row>
    <row r="88">
      <c r="A88" t="s">
        <v>32</v>
      </c>
      <c r="B88" t="n">
        <v>1.03</v>
      </c>
      <c r="C88" t="n">
        <v>0.95</v>
      </c>
      <c r="D88" t="n">
        <v>1.05</v>
      </c>
      <c r="E88" t="n">
        <v>-4.5</v>
      </c>
      <c r="F88" t="n">
        <v>-0.25</v>
      </c>
      <c r="G88" t="n">
        <v>172</v>
      </c>
      <c r="H88" t="n">
        <v>12</v>
      </c>
      <c r="I88" t="s">
        <v>288</v>
      </c>
      <c r="J88" t="n">
        <v>0</v>
      </c>
      <c r="K88" t="n">
        <v>0</v>
      </c>
      <c r="L88" t="n">
        <v>0</v>
      </c>
      <c r="M88" t="n">
        <v>12</v>
      </c>
      <c r="N88" t="n">
        <v>-0.75</v>
      </c>
      <c r="O88" t="n">
        <v>0</v>
      </c>
      <c r="P88" t="n">
        <v>130</v>
      </c>
      <c r="Q88" t="n">
        <v>12</v>
      </c>
      <c r="R88" t="s">
        <v>288</v>
      </c>
      <c r="S88" t="s">
        <v>290</v>
      </c>
      <c r="T88" t="n">
        <v>-0.75</v>
      </c>
    </row>
    <row r="89">
      <c r="A89" t="s">
        <v>32</v>
      </c>
      <c r="B89" t="n">
        <v>1.03</v>
      </c>
      <c r="C89" t="n">
        <v>0.98</v>
      </c>
      <c r="D89" t="n">
        <v>1.07</v>
      </c>
      <c r="E89" t="n">
        <v>-8</v>
      </c>
      <c r="F89" t="n">
        <v>-0.25</v>
      </c>
      <c r="G89" t="n">
        <v>156</v>
      </c>
      <c r="H89" t="n">
        <v>12</v>
      </c>
      <c r="I89" t="s">
        <v>288</v>
      </c>
      <c r="J89" t="n">
        <v>0</v>
      </c>
      <c r="K89" t="n">
        <v>0</v>
      </c>
      <c r="L89" t="n">
        <v>0</v>
      </c>
      <c r="M89" t="n">
        <v>12</v>
      </c>
      <c r="N89" t="n">
        <v>0.5</v>
      </c>
      <c r="O89" t="n">
        <v>0</v>
      </c>
      <c r="P89" t="n">
        <v>133</v>
      </c>
      <c r="Q89" t="n">
        <v>12</v>
      </c>
      <c r="R89" t="s">
        <v>288</v>
      </c>
      <c r="S89" t="s">
        <v>289</v>
      </c>
      <c r="T89" t="n">
        <v>0.5</v>
      </c>
    </row>
    <row r="90">
      <c r="A90" t="s">
        <v>32</v>
      </c>
      <c r="B90" t="n">
        <v>1.05</v>
      </c>
      <c r="C90" t="n">
        <v>1.03</v>
      </c>
      <c r="D90" t="n">
        <v>1.07</v>
      </c>
      <c r="E90" t="n">
        <v>-6.75</v>
      </c>
      <c r="F90" t="n">
        <v>-1</v>
      </c>
      <c r="G90" t="n">
        <v>178</v>
      </c>
      <c r="H90" t="n">
        <v>12</v>
      </c>
      <c r="I90" t="s">
        <v>288</v>
      </c>
      <c r="J90" t="n">
        <v>0</v>
      </c>
      <c r="K90" t="n">
        <v>0</v>
      </c>
      <c r="L90" t="n">
        <v>0</v>
      </c>
      <c r="M90" t="n">
        <v>12</v>
      </c>
      <c r="N90" t="n">
        <v>0.25</v>
      </c>
      <c r="O90" t="n">
        <v>-0.5</v>
      </c>
      <c r="P90" t="n">
        <v>175</v>
      </c>
      <c r="Q90" t="n">
        <v>12</v>
      </c>
      <c r="R90" t="s">
        <v>288</v>
      </c>
      <c r="S90" t="s">
        <v>288</v>
      </c>
      <c r="T90" t="n">
        <v>0</v>
      </c>
    </row>
    <row r="91">
      <c r="A91" t="s">
        <v>32</v>
      </c>
      <c r="B91" t="n">
        <v>0.99</v>
      </c>
      <c r="C91" t="n">
        <v>0.83</v>
      </c>
      <c r="D91" t="n">
        <v>1.04</v>
      </c>
      <c r="E91" t="n">
        <v>-6.5</v>
      </c>
      <c r="F91" t="n">
        <v>-1.25</v>
      </c>
      <c r="G91" t="n">
        <v>81</v>
      </c>
      <c r="H91" t="n">
        <v>12</v>
      </c>
      <c r="I91" t="s">
        <v>289</v>
      </c>
      <c r="J91" t="n">
        <v>0</v>
      </c>
      <c r="K91" t="n">
        <v>0</v>
      </c>
      <c r="L91" t="n">
        <v>0</v>
      </c>
      <c r="M91" t="n">
        <v>12</v>
      </c>
      <c r="N91" t="n">
        <v>-0.5</v>
      </c>
      <c r="O91" t="n">
        <v>0</v>
      </c>
      <c r="P91" t="n">
        <v>80</v>
      </c>
      <c r="Q91" t="n">
        <v>12</v>
      </c>
      <c r="R91" t="s">
        <v>288</v>
      </c>
      <c r="S91" t="s">
        <v>298</v>
      </c>
      <c r="T91" t="n">
        <v>-0.5</v>
      </c>
    </row>
    <row r="92">
      <c r="A92" t="s">
        <v>32</v>
      </c>
      <c r="B92" t="n">
        <v>1.14</v>
      </c>
      <c r="C92" t="n">
        <v>1.05</v>
      </c>
      <c r="D92" t="n">
        <v>1.12</v>
      </c>
      <c r="E92" t="n">
        <v>-3.75</v>
      </c>
      <c r="F92" t="n">
        <v>-0.25</v>
      </c>
      <c r="G92" t="n">
        <v>84</v>
      </c>
      <c r="H92" t="n">
        <v>12</v>
      </c>
      <c r="I92" t="s">
        <v>297</v>
      </c>
      <c r="J92" t="n">
        <v>0</v>
      </c>
      <c r="K92" t="n">
        <v>0</v>
      </c>
      <c r="L92" t="n">
        <v>0</v>
      </c>
      <c r="M92" t="n">
        <v>12</v>
      </c>
      <c r="N92" t="n">
        <v>0.5</v>
      </c>
      <c r="O92" t="n">
        <v>-0.25</v>
      </c>
      <c r="P92" t="n">
        <v>61</v>
      </c>
      <c r="Q92" t="n">
        <v>12</v>
      </c>
      <c r="R92" t="s">
        <v>293</v>
      </c>
      <c r="S92" t="s">
        <v>288</v>
      </c>
      <c r="T92" t="n">
        <v>0.25</v>
      </c>
    </row>
    <row r="93">
      <c r="A93" t="s">
        <v>32</v>
      </c>
      <c r="B93" t="n">
        <v>1.07</v>
      </c>
      <c r="C93" t="n">
        <v>0.92</v>
      </c>
      <c r="D93" t="n">
        <v>1.07</v>
      </c>
      <c r="E93" t="n">
        <v>-2.75</v>
      </c>
      <c r="F93" t="n">
        <v>-1</v>
      </c>
      <c r="G93" t="n">
        <v>22</v>
      </c>
      <c r="H93" t="n">
        <v>12</v>
      </c>
      <c r="I93" t="s">
        <v>288</v>
      </c>
      <c r="J93" t="n">
        <v>0</v>
      </c>
      <c r="K93" t="n">
        <v>0</v>
      </c>
      <c r="L93" t="n">
        <v>0</v>
      </c>
      <c r="M93" t="n">
        <v>12</v>
      </c>
      <c r="N93" t="n">
        <v>-0.5</v>
      </c>
      <c r="O93" t="n">
        <v>-0.25</v>
      </c>
      <c r="P93" t="n">
        <v>50</v>
      </c>
      <c r="Q93" t="n">
        <v>12</v>
      </c>
      <c r="R93" t="s">
        <v>288</v>
      </c>
      <c r="S93" t="s">
        <v>291</v>
      </c>
      <c r="T93" t="n">
        <v>-0.75</v>
      </c>
    </row>
    <row r="94">
      <c r="A94" t="s">
        <v>32</v>
      </c>
      <c r="B94" t="n">
        <v>1.13</v>
      </c>
      <c r="C94" t="n">
        <v>1.05</v>
      </c>
      <c r="D94" t="n">
        <v>1.14</v>
      </c>
      <c r="E94" t="n">
        <v>-5</v>
      </c>
      <c r="F94" t="n">
        <v>0</v>
      </c>
      <c r="G94" t="n">
        <v>1</v>
      </c>
      <c r="H94" t="n">
        <v>12</v>
      </c>
      <c r="I94" t="s">
        <v>297</v>
      </c>
      <c r="J94" t="n">
        <v>0</v>
      </c>
      <c r="K94" t="n">
        <v>0</v>
      </c>
      <c r="L94" t="n">
        <v>0</v>
      </c>
      <c r="M94" t="n">
        <v>12</v>
      </c>
      <c r="N94" t="n">
        <v>0</v>
      </c>
      <c r="O94" t="n">
        <v>0</v>
      </c>
      <c r="P94" t="n">
        <v>158</v>
      </c>
      <c r="Q94" t="n">
        <v>12</v>
      </c>
      <c r="R94" t="s">
        <v>297</v>
      </c>
      <c r="S94" t="s">
        <v>288</v>
      </c>
      <c r="T94" t="n">
        <v>0</v>
      </c>
    </row>
    <row r="95">
      <c r="A95" t="s">
        <v>32</v>
      </c>
      <c r="B95" t="n">
        <v>0.99</v>
      </c>
      <c r="C95" t="n">
        <v>0.94</v>
      </c>
      <c r="D95" t="n">
        <v>0.99</v>
      </c>
      <c r="E95" t="n">
        <v>-3.5</v>
      </c>
      <c r="F95" t="n">
        <v>0</v>
      </c>
      <c r="G95" t="n">
        <v>155</v>
      </c>
      <c r="H95" t="n">
        <v>12</v>
      </c>
      <c r="I95" t="s">
        <v>289</v>
      </c>
      <c r="J95" t="n">
        <v>0</v>
      </c>
      <c r="K95" t="n">
        <v>0</v>
      </c>
      <c r="L95" t="n">
        <v>0</v>
      </c>
      <c r="M95" t="n">
        <v>12</v>
      </c>
      <c r="N95" t="n">
        <v>0</v>
      </c>
      <c r="O95" t="n">
        <v>-0.25</v>
      </c>
      <c r="P95" t="n">
        <v>145</v>
      </c>
      <c r="Q95" t="n">
        <v>12</v>
      </c>
      <c r="R95" t="s">
        <v>289</v>
      </c>
      <c r="S95" t="s">
        <v>290</v>
      </c>
      <c r="T95" t="n">
        <v>0</v>
      </c>
    </row>
    <row r="96">
      <c r="A96" t="s">
        <v>32</v>
      </c>
      <c r="B96" t="n">
        <v>1.11</v>
      </c>
      <c r="C96" t="n">
        <v>1.04</v>
      </c>
      <c r="D96" t="n">
        <v>1.15</v>
      </c>
      <c r="E96" t="n">
        <v>-0.5</v>
      </c>
      <c r="F96" t="n">
        <v>-0.5</v>
      </c>
      <c r="G96" t="n">
        <v>179</v>
      </c>
      <c r="H96" t="n">
        <v>12</v>
      </c>
      <c r="I96" t="s">
        <v>293</v>
      </c>
      <c r="J96" t="n">
        <v>0</v>
      </c>
      <c r="K96" t="n">
        <v>0</v>
      </c>
      <c r="L96" t="n">
        <v>0</v>
      </c>
      <c r="M96" t="n">
        <v>12</v>
      </c>
      <c r="N96" t="n">
        <v>0</v>
      </c>
      <c r="O96" t="n">
        <v>0</v>
      </c>
      <c r="P96" t="n">
        <v>177</v>
      </c>
      <c r="Q96" t="n">
        <v>12</v>
      </c>
      <c r="R96" t="s">
        <v>297</v>
      </c>
      <c r="S96" t="s">
        <v>288</v>
      </c>
      <c r="T96" t="n">
        <v>0</v>
      </c>
    </row>
    <row r="97">
      <c r="A97" t="s">
        <v>32</v>
      </c>
      <c r="B97" t="n">
        <v>1.05</v>
      </c>
      <c r="C97" t="n">
        <v>0.9</v>
      </c>
      <c r="D97" t="n">
        <v>1.04</v>
      </c>
      <c r="E97" t="n">
        <v>-2.5</v>
      </c>
      <c r="F97" t="n">
        <v>0</v>
      </c>
      <c r="G97" t="n">
        <v>110</v>
      </c>
      <c r="H97" t="n">
        <v>12</v>
      </c>
      <c r="I97" t="s">
        <v>288</v>
      </c>
      <c r="J97" t="n">
        <v>0</v>
      </c>
      <c r="K97" t="n">
        <v>0</v>
      </c>
      <c r="L97" t="n">
        <v>0</v>
      </c>
      <c r="M97" t="n">
        <v>12</v>
      </c>
      <c r="N97" t="n">
        <v>0.5</v>
      </c>
      <c r="O97" t="n">
        <v>-0.5</v>
      </c>
      <c r="P97" t="n">
        <v>172</v>
      </c>
      <c r="Q97" t="n">
        <v>12</v>
      </c>
      <c r="R97" t="s">
        <v>288</v>
      </c>
      <c r="S97" t="s">
        <v>291</v>
      </c>
      <c r="T97" t="n">
        <v>0.25</v>
      </c>
    </row>
    <row r="98">
      <c r="A98" t="s">
        <v>32</v>
      </c>
      <c r="B98" t="n">
        <v>1.16</v>
      </c>
      <c r="C98" t="n">
        <v>1.03</v>
      </c>
      <c r="D98" t="n">
        <v>1.08</v>
      </c>
      <c r="E98" t="n">
        <v>-2.5</v>
      </c>
      <c r="F98" t="n">
        <v>-1.25</v>
      </c>
      <c r="G98" t="n">
        <v>18</v>
      </c>
      <c r="H98" t="n">
        <v>12</v>
      </c>
      <c r="I98" t="s">
        <v>297</v>
      </c>
      <c r="J98" t="n">
        <v>0</v>
      </c>
      <c r="K98" t="n">
        <v>0</v>
      </c>
      <c r="L98" t="n">
        <v>0</v>
      </c>
      <c r="M98" t="n">
        <v>12</v>
      </c>
      <c r="N98" t="n">
        <v>0.5</v>
      </c>
      <c r="O98" t="n">
        <v>-0.5</v>
      </c>
      <c r="P98" t="n">
        <v>42</v>
      </c>
      <c r="Q98" t="n">
        <v>12</v>
      </c>
      <c r="R98" t="s">
        <v>293</v>
      </c>
      <c r="S98" t="s">
        <v>288</v>
      </c>
      <c r="T98" t="n">
        <v>0.25</v>
      </c>
    </row>
    <row r="99">
      <c r="A99" t="s">
        <v>32</v>
      </c>
      <c r="B99" t="n">
        <v>1.05</v>
      </c>
      <c r="C99" t="n">
        <v>0.82</v>
      </c>
      <c r="D99" t="n">
        <v>0.98</v>
      </c>
      <c r="E99" t="n">
        <v>-5.75</v>
      </c>
      <c r="F99" t="n">
        <v>-0.75</v>
      </c>
      <c r="G99" t="n">
        <v>158</v>
      </c>
      <c r="H99" t="n">
        <v>12</v>
      </c>
      <c r="I99" t="s">
        <v>288</v>
      </c>
      <c r="J99" t="n">
        <v>0</v>
      </c>
      <c r="K99" t="n">
        <v>0</v>
      </c>
      <c r="L99" t="n">
        <v>0</v>
      </c>
      <c r="M99" t="n">
        <v>12</v>
      </c>
      <c r="N99" t="n">
        <v>-0.5</v>
      </c>
      <c r="O99" t="n">
        <v>-0.25</v>
      </c>
      <c r="P99" t="n">
        <v>173</v>
      </c>
      <c r="Q99" t="n">
        <v>12</v>
      </c>
      <c r="R99" t="s">
        <v>289</v>
      </c>
      <c r="S99" t="s">
        <v>298</v>
      </c>
      <c r="T99" t="n">
        <v>-0.5</v>
      </c>
    </row>
    <row r="100">
      <c r="A100" t="s">
        <v>32</v>
      </c>
      <c r="B100" t="n">
        <v>1.11</v>
      </c>
      <c r="C100" t="n">
        <v>0.89</v>
      </c>
      <c r="D100" t="n">
        <v>1.09</v>
      </c>
      <c r="E100" t="n">
        <v>-2.5</v>
      </c>
      <c r="F100" t="n">
        <v>0</v>
      </c>
      <c r="G100" t="n">
        <v>10</v>
      </c>
      <c r="H100" t="n">
        <v>12</v>
      </c>
      <c r="I100" t="s">
        <v>293</v>
      </c>
      <c r="J100" t="n">
        <v>0</v>
      </c>
      <c r="K100" t="n">
        <v>0</v>
      </c>
      <c r="L100" t="n">
        <v>0</v>
      </c>
      <c r="M100" t="n">
        <v>12</v>
      </c>
      <c r="N100" t="n">
        <v>0.25</v>
      </c>
      <c r="O100" t="n">
        <v>0</v>
      </c>
      <c r="P100" t="n">
        <v>37</v>
      </c>
      <c r="Q100" t="n">
        <v>12</v>
      </c>
      <c r="R100" t="s">
        <v>293</v>
      </c>
      <c r="S100" t="s">
        <v>300</v>
      </c>
      <c r="T100" t="n">
        <v>0.25</v>
      </c>
    </row>
    <row r="101">
      <c r="A101" t="s">
        <v>32</v>
      </c>
      <c r="B101" t="n">
        <v>0.96</v>
      </c>
      <c r="C101" t="n">
        <v>0.92</v>
      </c>
      <c r="D101" t="n">
        <v>0.98</v>
      </c>
      <c r="E101" t="n">
        <v>-5.25</v>
      </c>
      <c r="F101" t="n">
        <v>-0.25</v>
      </c>
      <c r="G101" t="n">
        <v>10</v>
      </c>
      <c r="H101" t="n">
        <v>12</v>
      </c>
      <c r="I101" t="s">
        <v>290</v>
      </c>
      <c r="J101" t="n">
        <v>0</v>
      </c>
      <c r="K101" t="n">
        <v>0</v>
      </c>
      <c r="L101" t="n">
        <v>0</v>
      </c>
      <c r="M101" t="n">
        <v>12</v>
      </c>
      <c r="N101" t="n">
        <v>-0.5</v>
      </c>
      <c r="O101" t="n">
        <v>0</v>
      </c>
      <c r="P101" t="n">
        <v>64</v>
      </c>
      <c r="Q101" t="n">
        <v>12</v>
      </c>
      <c r="R101" t="s">
        <v>289</v>
      </c>
      <c r="S101" t="s">
        <v>291</v>
      </c>
      <c r="T101" t="n">
        <v>-0.5</v>
      </c>
    </row>
    <row r="102">
      <c r="A102" t="s">
        <v>32</v>
      </c>
      <c r="B102" t="n">
        <v>1.07</v>
      </c>
      <c r="C102" t="n">
        <v>1.12</v>
      </c>
      <c r="D102" t="n">
        <v>1.1</v>
      </c>
      <c r="E102" t="n">
        <v>-3.25</v>
      </c>
      <c r="F102" t="n">
        <v>-1</v>
      </c>
      <c r="G102" t="n">
        <v>106</v>
      </c>
      <c r="H102" t="n">
        <v>12</v>
      </c>
      <c r="I102" t="s">
        <v>288</v>
      </c>
      <c r="J102" t="n">
        <v>0</v>
      </c>
      <c r="K102" t="n">
        <v>0</v>
      </c>
      <c r="L102" t="n">
        <v>0</v>
      </c>
      <c r="M102" t="n">
        <v>12</v>
      </c>
      <c r="N102" t="n">
        <v>0.5</v>
      </c>
      <c r="O102" t="n">
        <v>-0.5</v>
      </c>
      <c r="P102" t="n">
        <v>123</v>
      </c>
      <c r="Q102" t="n">
        <v>12</v>
      </c>
      <c r="R102" t="s">
        <v>293</v>
      </c>
      <c r="S102" t="s">
        <v>293</v>
      </c>
      <c r="T102" t="n">
        <v>0.25</v>
      </c>
    </row>
    <row r="103">
      <c r="A103" t="s">
        <v>32</v>
      </c>
      <c r="B103" t="n">
        <v>1.05</v>
      </c>
      <c r="C103" t="n">
        <v>1.01</v>
      </c>
      <c r="D103" t="n">
        <v>1</v>
      </c>
      <c r="E103" t="n">
        <v>-4</v>
      </c>
      <c r="F103" t="n">
        <v>0</v>
      </c>
      <c r="G103" t="n">
        <v>0</v>
      </c>
      <c r="H103" t="n">
        <v>12</v>
      </c>
      <c r="I103" t="s">
        <v>288</v>
      </c>
      <c r="J103" t="n">
        <v>0</v>
      </c>
      <c r="K103" t="n">
        <v>0</v>
      </c>
      <c r="L103" t="n">
        <v>0</v>
      </c>
      <c r="M103" t="n">
        <v>12</v>
      </c>
      <c r="N103" t="n">
        <v>0</v>
      </c>
      <c r="O103" t="n">
        <v>-0.25</v>
      </c>
      <c r="P103" t="n">
        <v>100</v>
      </c>
      <c r="Q103" t="n">
        <v>12</v>
      </c>
      <c r="R103" t="s">
        <v>289</v>
      </c>
      <c r="S103" t="s">
        <v>289</v>
      </c>
      <c r="T103" t="n">
        <v>0</v>
      </c>
    </row>
    <row r="104">
      <c r="A104" t="s">
        <v>32</v>
      </c>
      <c r="B104" t="n">
        <v>0.99</v>
      </c>
      <c r="C104" t="n">
        <v>0.98</v>
      </c>
      <c r="D104" t="n">
        <v>0.98</v>
      </c>
      <c r="E104" t="n">
        <v>-6.75</v>
      </c>
      <c r="F104" t="n">
        <v>-1</v>
      </c>
      <c r="G104" t="n">
        <v>1</v>
      </c>
      <c r="H104" t="n">
        <v>12</v>
      </c>
      <c r="I104" t="s">
        <v>289</v>
      </c>
      <c r="J104" t="n">
        <v>0</v>
      </c>
      <c r="K104" t="n">
        <v>0</v>
      </c>
      <c r="L104" t="n">
        <v>0</v>
      </c>
      <c r="M104" t="n">
        <v>12</v>
      </c>
      <c r="N104" t="n">
        <v>0</v>
      </c>
      <c r="O104" t="n">
        <v>-0.25</v>
      </c>
      <c r="P104" t="n">
        <v>17</v>
      </c>
      <c r="Q104" t="n">
        <v>12</v>
      </c>
      <c r="R104" t="s">
        <v>289</v>
      </c>
      <c r="S104" t="s">
        <v>289</v>
      </c>
      <c r="T104" t="n">
        <v>-0.25</v>
      </c>
    </row>
    <row r="105">
      <c r="A105" t="s">
        <v>32</v>
      </c>
      <c r="B105" t="n">
        <v>1.07</v>
      </c>
      <c r="C105" t="n">
        <v>0.89</v>
      </c>
      <c r="D105" t="n">
        <v>1.09</v>
      </c>
      <c r="E105" t="n">
        <v>-4</v>
      </c>
      <c r="F105" t="n">
        <v>-0.5</v>
      </c>
      <c r="G105" t="n">
        <v>163</v>
      </c>
      <c r="H105" t="n">
        <v>12</v>
      </c>
      <c r="I105" t="s">
        <v>288</v>
      </c>
      <c r="J105" t="n">
        <v>0</v>
      </c>
      <c r="K105" t="n">
        <v>0</v>
      </c>
      <c r="L105" t="n">
        <v>0</v>
      </c>
      <c r="M105" t="n">
        <v>12</v>
      </c>
      <c r="N105" t="n">
        <v>0.5</v>
      </c>
      <c r="O105" t="n">
        <v>-0.25</v>
      </c>
      <c r="P105" t="n">
        <v>150</v>
      </c>
      <c r="Q105" t="n">
        <v>12</v>
      </c>
      <c r="R105" t="s">
        <v>293</v>
      </c>
      <c r="S105" t="s">
        <v>300</v>
      </c>
      <c r="T105" t="n">
        <v>0.25</v>
      </c>
    </row>
    <row r="106">
      <c r="A106" t="s">
        <v>32</v>
      </c>
      <c r="B106" t="n">
        <v>1.18</v>
      </c>
      <c r="C106" t="n">
        <v>1.09</v>
      </c>
      <c r="D106" t="n">
        <v>1.16</v>
      </c>
      <c r="E106" t="n">
        <v>-3.25</v>
      </c>
      <c r="F106" t="n">
        <v>-0.5</v>
      </c>
      <c r="G106" t="n">
        <v>10</v>
      </c>
      <c r="H106" t="n">
        <v>12</v>
      </c>
      <c r="I106" t="s">
        <v>294</v>
      </c>
      <c r="J106" t="n">
        <v>0</v>
      </c>
      <c r="K106" t="n">
        <v>0</v>
      </c>
      <c r="L106" t="n">
        <v>0</v>
      </c>
      <c r="M106" t="n">
        <v>12</v>
      </c>
      <c r="N106" t="n">
        <v>0</v>
      </c>
      <c r="O106" t="n">
        <v>0</v>
      </c>
      <c r="P106" t="n">
        <v>163</v>
      </c>
      <c r="Q106" t="n">
        <v>12</v>
      </c>
      <c r="R106" t="s">
        <v>297</v>
      </c>
      <c r="S106" t="s">
        <v>293</v>
      </c>
      <c r="T106" t="n">
        <v>0</v>
      </c>
    </row>
    <row r="107">
      <c r="A107" t="s">
        <v>32</v>
      </c>
      <c r="B107" t="n">
        <v>1.06</v>
      </c>
      <c r="C107" t="n">
        <v>0.93</v>
      </c>
      <c r="D107" t="n">
        <v>1.05</v>
      </c>
      <c r="E107" t="n">
        <v>-4.25</v>
      </c>
      <c r="F107" t="n">
        <v>-0.25</v>
      </c>
      <c r="G107" t="n">
        <v>136</v>
      </c>
      <c r="H107" t="n">
        <v>12</v>
      </c>
      <c r="I107" t="s">
        <v>288</v>
      </c>
      <c r="J107" t="n">
        <v>0</v>
      </c>
      <c r="K107" t="n">
        <v>0</v>
      </c>
      <c r="L107" t="n">
        <v>0</v>
      </c>
      <c r="M107" t="n">
        <v>12</v>
      </c>
      <c r="N107" t="n">
        <v>-0.5</v>
      </c>
      <c r="O107" t="n">
        <v>0</v>
      </c>
      <c r="P107" t="n">
        <v>144</v>
      </c>
      <c r="Q107" t="n">
        <v>12</v>
      </c>
      <c r="R107" t="s">
        <v>288</v>
      </c>
      <c r="S107" t="s">
        <v>291</v>
      </c>
      <c r="T107" t="n">
        <v>-0.5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306</v>
      </c>
      <c r="B1" t="s">
        <v>307</v>
      </c>
      <c r="C1" t="s">
        <v>308</v>
      </c>
      <c r="D1" t="s">
        <v>309</v>
      </c>
      <c r="E1" t="s">
        <v>310</v>
      </c>
    </row>
    <row r="2">
      <c r="A2" t="s">
        <v>311</v>
      </c>
      <c r="B2" t="n">
        <v>-1.5</v>
      </c>
      <c r="C2" t="n">
        <v>161</v>
      </c>
      <c r="D2" t="n">
        <v>-0.25</v>
      </c>
      <c r="E2" t="n">
        <v>167</v>
      </c>
    </row>
    <row r="3">
      <c r="A3" t="s">
        <v>312</v>
      </c>
      <c r="B3" t="n">
        <v>-1</v>
      </c>
      <c r="C3" t="n">
        <v>103</v>
      </c>
      <c r="D3" t="n">
        <v>-0.5</v>
      </c>
      <c r="E3" t="n">
        <v>78</v>
      </c>
    </row>
    <row r="4">
      <c r="A4" t="s">
        <v>311</v>
      </c>
      <c r="B4" t="n">
        <v>-0.5</v>
      </c>
      <c r="C4" t="n">
        <v>162</v>
      </c>
      <c r="D4" t="n">
        <v>-0.25</v>
      </c>
      <c r="E4" t="n">
        <v>138</v>
      </c>
    </row>
    <row r="5">
      <c r="A5" t="s">
        <v>311</v>
      </c>
      <c r="B5" t="n">
        <v>-1</v>
      </c>
      <c r="C5" t="n">
        <v>102</v>
      </c>
      <c r="D5" t="n">
        <v>0</v>
      </c>
      <c r="E5" t="n">
        <v>88</v>
      </c>
    </row>
    <row r="6">
      <c r="A6" t="s">
        <v>311</v>
      </c>
      <c r="B6" t="n">
        <v>0</v>
      </c>
      <c r="C6" t="n">
        <v>8</v>
      </c>
      <c r="D6" t="n">
        <v>-0.25</v>
      </c>
      <c r="E6" t="n">
        <v>75</v>
      </c>
    </row>
    <row r="7">
      <c r="A7" t="s">
        <v>311</v>
      </c>
      <c r="B7" t="n">
        <v>-0.75</v>
      </c>
      <c r="C7" t="n">
        <v>17</v>
      </c>
      <c r="D7" t="n">
        <v>-0.25</v>
      </c>
      <c r="E7" t="n">
        <v>20</v>
      </c>
    </row>
    <row r="8">
      <c r="A8" t="s">
        <v>312</v>
      </c>
      <c r="B8" t="n">
        <v>-0.25</v>
      </c>
      <c r="C8" t="n">
        <v>7</v>
      </c>
      <c r="D8" t="n">
        <v>0</v>
      </c>
      <c r="E8" t="n">
        <v>178</v>
      </c>
    </row>
    <row r="9">
      <c r="A9" t="s">
        <v>311</v>
      </c>
      <c r="B9" t="n">
        <v>0</v>
      </c>
      <c r="C9" t="n">
        <v>97</v>
      </c>
      <c r="D9" t="n">
        <v>-0.25</v>
      </c>
      <c r="E9" t="n">
        <v>122</v>
      </c>
    </row>
    <row r="10">
      <c r="A10" t="s">
        <v>312</v>
      </c>
      <c r="B10" t="n">
        <v>-1.5</v>
      </c>
      <c r="C10" t="n">
        <v>161</v>
      </c>
      <c r="D10" t="n">
        <v>-0.25</v>
      </c>
      <c r="E10" t="n">
        <v>12</v>
      </c>
    </row>
    <row r="11">
      <c r="A11" t="s">
        <v>311</v>
      </c>
      <c r="B11" t="n">
        <v>-2.5</v>
      </c>
      <c r="C11" t="n">
        <v>3</v>
      </c>
      <c r="D11" t="n">
        <v>0</v>
      </c>
      <c r="E11" t="n">
        <v>9</v>
      </c>
    </row>
    <row r="12">
      <c r="A12" t="s">
        <v>311</v>
      </c>
      <c r="B12" t="n">
        <v>-0.5</v>
      </c>
      <c r="C12" t="n">
        <v>13</v>
      </c>
      <c r="D12" t="n">
        <v>-0.25</v>
      </c>
      <c r="E12" t="n">
        <v>173</v>
      </c>
    </row>
    <row r="13">
      <c r="A13" t="s">
        <v>311</v>
      </c>
      <c r="B13" t="n">
        <v>0</v>
      </c>
      <c r="C13" t="n">
        <v>159</v>
      </c>
      <c r="D13" t="n">
        <v>0</v>
      </c>
      <c r="E13" t="n">
        <v>159</v>
      </c>
    </row>
    <row r="14">
      <c r="A14" t="s">
        <v>312</v>
      </c>
      <c r="B14" t="n">
        <v>0</v>
      </c>
      <c r="C14" t="n">
        <v>161</v>
      </c>
      <c r="D14" t="n">
        <v>-0.25</v>
      </c>
      <c r="E14" t="n">
        <v>7</v>
      </c>
    </row>
    <row r="15">
      <c r="A15" t="s">
        <v>312</v>
      </c>
      <c r="B15" t="n">
        <v>0</v>
      </c>
      <c r="C15" t="n">
        <v>3</v>
      </c>
      <c r="D15" t="n">
        <v>-0.5</v>
      </c>
      <c r="E15" t="n">
        <v>91</v>
      </c>
    </row>
    <row r="16">
      <c r="A16" t="s">
        <v>311</v>
      </c>
      <c r="B16" t="n">
        <v>-1.25</v>
      </c>
      <c r="C16" t="n">
        <v>100</v>
      </c>
      <c r="D16" t="n">
        <v>-0.25</v>
      </c>
      <c r="E16" t="n">
        <v>103</v>
      </c>
    </row>
    <row r="17">
      <c r="A17" t="s">
        <v>311</v>
      </c>
      <c r="B17" t="n">
        <v>0</v>
      </c>
      <c r="C17" t="n">
        <v>3</v>
      </c>
      <c r="D17" t="n">
        <v>-0.25</v>
      </c>
      <c r="E17" t="n">
        <v>140</v>
      </c>
    </row>
    <row r="18">
      <c r="A18" t="s">
        <v>312</v>
      </c>
      <c r="B18" t="n">
        <v>0</v>
      </c>
      <c r="C18" t="n">
        <v>1</v>
      </c>
      <c r="D18" t="n">
        <v>-0.5</v>
      </c>
      <c r="E18" t="n">
        <v>23</v>
      </c>
    </row>
    <row r="19">
      <c r="A19" t="s">
        <v>311</v>
      </c>
      <c r="B19" t="n">
        <v>0</v>
      </c>
      <c r="C19" t="n">
        <v>163</v>
      </c>
      <c r="D19" t="n">
        <v>-0.25</v>
      </c>
      <c r="E19" t="n">
        <v>149</v>
      </c>
    </row>
    <row r="20">
      <c r="A20" t="s">
        <v>312</v>
      </c>
      <c r="B20" t="n">
        <v>-1</v>
      </c>
      <c r="C20" t="n">
        <v>159</v>
      </c>
      <c r="D20" t="n">
        <v>-0.5</v>
      </c>
      <c r="E20" t="n">
        <v>169</v>
      </c>
    </row>
    <row r="21">
      <c r="A21" t="s">
        <v>312</v>
      </c>
      <c r="B21" t="n">
        <v>-0.5</v>
      </c>
      <c r="C21" t="n">
        <v>164</v>
      </c>
      <c r="D21" t="n">
        <v>-0.25</v>
      </c>
      <c r="E21" t="n">
        <v>170</v>
      </c>
    </row>
    <row r="22">
      <c r="A22" t="s">
        <v>311</v>
      </c>
      <c r="B22" t="n">
        <v>-0.25</v>
      </c>
      <c r="C22" t="n">
        <v>10</v>
      </c>
      <c r="D22" t="n">
        <v>-0.5</v>
      </c>
      <c r="E22" t="n">
        <v>28</v>
      </c>
    </row>
    <row r="23">
      <c r="A23" t="s">
        <v>312</v>
      </c>
      <c r="B23" t="n">
        <v>-0.25</v>
      </c>
      <c r="C23" t="n">
        <v>47</v>
      </c>
      <c r="D23" t="n">
        <v>-0.5</v>
      </c>
      <c r="E23" t="n">
        <v>48</v>
      </c>
    </row>
    <row r="24">
      <c r="A24" t="s">
        <v>312</v>
      </c>
      <c r="B24" t="n">
        <v>-0.5</v>
      </c>
      <c r="C24" t="n">
        <v>180</v>
      </c>
      <c r="D24" t="n">
        <v>-0.5</v>
      </c>
      <c r="E24" t="n">
        <v>16</v>
      </c>
    </row>
    <row r="25">
      <c r="A25" t="s">
        <v>312</v>
      </c>
      <c r="B25" t="n">
        <v>-0.75</v>
      </c>
      <c r="C25" t="n">
        <v>14</v>
      </c>
      <c r="D25" t="n">
        <v>-0.5</v>
      </c>
      <c r="E25" t="n">
        <v>167</v>
      </c>
    </row>
    <row r="26">
      <c r="A26" t="s">
        <v>311</v>
      </c>
      <c r="B26" t="n">
        <v>-1.25</v>
      </c>
      <c r="C26" t="n">
        <v>75</v>
      </c>
      <c r="D26" t="n">
        <v>-0.5</v>
      </c>
      <c r="E26" t="n">
        <v>50</v>
      </c>
    </row>
    <row r="27">
      <c r="A27" t="s">
        <v>311</v>
      </c>
      <c r="B27" t="n">
        <v>-0.5</v>
      </c>
      <c r="C27" t="n">
        <v>23</v>
      </c>
      <c r="D27" t="n">
        <v>-0.25</v>
      </c>
      <c r="E27" t="n">
        <v>49</v>
      </c>
    </row>
    <row r="28">
      <c r="A28" t="s">
        <v>312</v>
      </c>
      <c r="B28" t="n">
        <v>-0.25</v>
      </c>
      <c r="C28" t="n">
        <v>172</v>
      </c>
      <c r="D28" t="n">
        <v>-0.25</v>
      </c>
      <c r="E28" t="n">
        <v>15</v>
      </c>
    </row>
    <row r="29">
      <c r="A29" t="s">
        <v>311</v>
      </c>
      <c r="B29" t="n">
        <v>-0.75</v>
      </c>
      <c r="C29" t="n">
        <v>165</v>
      </c>
      <c r="D29" t="n">
        <v>-0.5</v>
      </c>
      <c r="E29" t="n">
        <v>12</v>
      </c>
    </row>
    <row r="30">
      <c r="A30" t="s">
        <v>311</v>
      </c>
      <c r="B30" t="n">
        <v>-0.5</v>
      </c>
      <c r="C30" t="n">
        <v>76</v>
      </c>
      <c r="D30" t="n">
        <v>-0.25</v>
      </c>
      <c r="E30" t="n">
        <v>62</v>
      </c>
    </row>
    <row r="31">
      <c r="A31" t="s">
        <v>311</v>
      </c>
      <c r="B31" t="n">
        <v>0</v>
      </c>
      <c r="C31" t="n">
        <v>170</v>
      </c>
      <c r="D31" t="n">
        <v>-0.25</v>
      </c>
      <c r="E31" t="n">
        <v>165</v>
      </c>
    </row>
    <row r="32">
      <c r="A32" t="s">
        <v>312</v>
      </c>
      <c r="B32" t="n">
        <v>-1.25</v>
      </c>
      <c r="C32" t="n">
        <v>84</v>
      </c>
      <c r="D32" t="n">
        <v>-0.25</v>
      </c>
      <c r="E32" t="n">
        <v>62</v>
      </c>
    </row>
    <row r="33">
      <c r="A33" t="s">
        <v>311</v>
      </c>
      <c r="B33" t="n">
        <v>-0.75</v>
      </c>
      <c r="C33" t="n">
        <v>81</v>
      </c>
      <c r="D33" t="n">
        <v>-0.25</v>
      </c>
      <c r="E33" t="n">
        <v>34</v>
      </c>
    </row>
    <row r="34">
      <c r="A34" t="s">
        <v>312</v>
      </c>
      <c r="B34" t="n">
        <v>-0.5</v>
      </c>
      <c r="C34" t="n">
        <v>149</v>
      </c>
      <c r="D34" t="n">
        <v>-0.25</v>
      </c>
      <c r="E34" t="n">
        <v>161</v>
      </c>
    </row>
    <row r="35">
      <c r="A35" t="s">
        <v>312</v>
      </c>
      <c r="B35" t="n">
        <v>-0.75</v>
      </c>
      <c r="C35" t="n">
        <v>172</v>
      </c>
      <c r="D35" t="n">
        <v>-0.25</v>
      </c>
      <c r="E35" t="n">
        <v>171</v>
      </c>
    </row>
    <row r="36">
      <c r="A36" t="s">
        <v>311</v>
      </c>
      <c r="B36" t="n">
        <v>-0.25</v>
      </c>
      <c r="C36" t="n">
        <v>161</v>
      </c>
      <c r="D36" t="n">
        <v>0</v>
      </c>
      <c r="E36" t="n">
        <v>80</v>
      </c>
    </row>
    <row r="37">
      <c r="A37" t="s">
        <v>312</v>
      </c>
      <c r="B37" t="n">
        <v>-1</v>
      </c>
      <c r="C37" t="n">
        <v>83</v>
      </c>
      <c r="D37" t="n">
        <v>-0.25</v>
      </c>
      <c r="E37" t="n">
        <v>78</v>
      </c>
    </row>
    <row r="38">
      <c r="A38" t="s">
        <v>312</v>
      </c>
      <c r="B38" t="n">
        <v>0</v>
      </c>
      <c r="C38" t="n">
        <v>100</v>
      </c>
      <c r="D38" t="n">
        <v>0</v>
      </c>
      <c r="E38" t="n">
        <v>124</v>
      </c>
    </row>
    <row r="39">
      <c r="A39" t="s">
        <v>311</v>
      </c>
      <c r="B39" t="n">
        <v>-0.5</v>
      </c>
      <c r="C39" t="n">
        <v>82</v>
      </c>
      <c r="D39" t="n">
        <v>-0.5</v>
      </c>
      <c r="E39" t="n">
        <v>86</v>
      </c>
    </row>
    <row r="40">
      <c r="A40" t="s">
        <v>312</v>
      </c>
      <c r="B40" t="n">
        <v>-0.5</v>
      </c>
      <c r="C40" t="n">
        <v>80</v>
      </c>
      <c r="D40" t="n">
        <v>0</v>
      </c>
      <c r="E40" t="n">
        <v>11</v>
      </c>
    </row>
    <row r="41">
      <c r="A41" t="s">
        <v>312</v>
      </c>
      <c r="B41" t="n">
        <v>-1</v>
      </c>
      <c r="C41" t="n">
        <v>180</v>
      </c>
      <c r="D41" t="n">
        <v>0</v>
      </c>
      <c r="E41" t="n">
        <v>178</v>
      </c>
    </row>
    <row r="42">
      <c r="A42" t="s">
        <v>312</v>
      </c>
      <c r="B42" t="n">
        <v>-0.75</v>
      </c>
      <c r="C42" t="n">
        <v>7</v>
      </c>
      <c r="D42" t="n">
        <v>-0.25</v>
      </c>
      <c r="E42" t="n">
        <v>24</v>
      </c>
    </row>
    <row r="43">
      <c r="A43" t="s">
        <v>311</v>
      </c>
      <c r="B43" t="n">
        <v>0</v>
      </c>
      <c r="C43" t="n">
        <v>170</v>
      </c>
      <c r="D43" t="n">
        <v>-0.5</v>
      </c>
      <c r="E43" t="n">
        <v>23</v>
      </c>
    </row>
    <row r="44">
      <c r="A44" t="s">
        <v>311</v>
      </c>
      <c r="B44" t="n">
        <v>-0.25</v>
      </c>
      <c r="C44" t="n">
        <v>165</v>
      </c>
      <c r="D44" t="n">
        <v>-0.25</v>
      </c>
      <c r="E44" t="n">
        <v>164</v>
      </c>
    </row>
    <row r="45">
      <c r="A45" t="s">
        <v>312</v>
      </c>
      <c r="B45" t="n">
        <v>-0.5</v>
      </c>
      <c r="C45" t="n">
        <v>86</v>
      </c>
      <c r="D45" t="n">
        <v>-0.25</v>
      </c>
      <c r="E45" t="n">
        <v>106</v>
      </c>
    </row>
    <row r="46">
      <c r="A46" t="s">
        <v>312</v>
      </c>
      <c r="B46" t="n">
        <v>-0.25</v>
      </c>
      <c r="C46" t="n">
        <v>91</v>
      </c>
      <c r="D46" t="n">
        <v>0</v>
      </c>
      <c r="E46" t="n">
        <v>164</v>
      </c>
    </row>
    <row r="47">
      <c r="A47" t="s">
        <v>311</v>
      </c>
      <c r="B47" t="n">
        <v>-0.75</v>
      </c>
      <c r="C47" t="n">
        <v>88</v>
      </c>
      <c r="D47" t="n">
        <v>-0.5</v>
      </c>
      <c r="E47" t="n">
        <v>148</v>
      </c>
    </row>
    <row r="48">
      <c r="A48" t="s">
        <v>312</v>
      </c>
      <c r="B48" t="n">
        <v>-1.25</v>
      </c>
      <c r="C48" t="n">
        <v>23</v>
      </c>
      <c r="D48" t="n">
        <v>-0.75</v>
      </c>
      <c r="E48" t="n">
        <v>166</v>
      </c>
    </row>
    <row r="49">
      <c r="A49" t="s">
        <v>311</v>
      </c>
      <c r="B49" t="n">
        <v>0</v>
      </c>
      <c r="C49" t="n">
        <v>5</v>
      </c>
      <c r="D49" t="n">
        <v>0</v>
      </c>
      <c r="E49" t="n">
        <v>177</v>
      </c>
    </row>
    <row r="50">
      <c r="A50" t="s">
        <v>312</v>
      </c>
      <c r="B50" t="n">
        <v>-0.25</v>
      </c>
      <c r="C50" t="n">
        <v>67</v>
      </c>
      <c r="D50" t="n">
        <v>-0.25</v>
      </c>
      <c r="E50" t="n">
        <v>8</v>
      </c>
    </row>
    <row r="51">
      <c r="A51" t="s">
        <v>312</v>
      </c>
      <c r="B51" t="n">
        <v>-0.75</v>
      </c>
      <c r="C51" t="n">
        <v>100</v>
      </c>
      <c r="D51" t="n">
        <v>0</v>
      </c>
      <c r="E51" t="n">
        <v>86</v>
      </c>
    </row>
    <row r="52">
      <c r="A52" t="s">
        <v>312</v>
      </c>
      <c r="B52" t="n">
        <v>-1.5</v>
      </c>
      <c r="C52" t="n">
        <v>96</v>
      </c>
      <c r="D52" t="n">
        <v>0</v>
      </c>
      <c r="E52" t="n">
        <v>21</v>
      </c>
    </row>
    <row r="53">
      <c r="A53" t="s">
        <v>312</v>
      </c>
      <c r="B53" t="n">
        <v>-0.25</v>
      </c>
      <c r="C53" t="n">
        <v>11</v>
      </c>
      <c r="D53" t="n">
        <v>-0.25</v>
      </c>
      <c r="E53" t="n">
        <v>18</v>
      </c>
    </row>
    <row r="54">
      <c r="A54" t="s">
        <v>311</v>
      </c>
      <c r="B54" t="n">
        <v>-0.25</v>
      </c>
      <c r="C54" t="n">
        <v>155</v>
      </c>
      <c r="D54" t="n">
        <v>-0.25</v>
      </c>
      <c r="E54" t="n">
        <v>160</v>
      </c>
    </row>
    <row r="55">
      <c r="A55" t="s">
        <v>312</v>
      </c>
      <c r="B55" t="n">
        <v>-0.5</v>
      </c>
      <c r="C55" t="n">
        <v>84</v>
      </c>
      <c r="D55" t="n">
        <v>-0.25</v>
      </c>
      <c r="E55" t="n">
        <v>101</v>
      </c>
    </row>
    <row r="56">
      <c r="A56" t="s">
        <v>311</v>
      </c>
      <c r="B56" t="n">
        <v>-1.25</v>
      </c>
      <c r="C56" t="n">
        <v>99</v>
      </c>
      <c r="D56" t="n">
        <v>0</v>
      </c>
      <c r="E56" t="n">
        <v>79</v>
      </c>
    </row>
    <row r="57">
      <c r="A57" t="s">
        <v>312</v>
      </c>
      <c r="B57" t="n">
        <v>-0.75</v>
      </c>
      <c r="C57" t="n">
        <v>96</v>
      </c>
      <c r="D57" t="n">
        <v>0</v>
      </c>
      <c r="E57" t="n">
        <v>6</v>
      </c>
    </row>
    <row r="58">
      <c r="A58" t="s">
        <v>311</v>
      </c>
      <c r="B58" t="n">
        <v>0</v>
      </c>
      <c r="C58" t="n">
        <v>93</v>
      </c>
      <c r="D58" t="n">
        <v>-0.5</v>
      </c>
      <c r="E58" t="n">
        <v>70</v>
      </c>
    </row>
    <row r="59">
      <c r="A59" t="s">
        <v>312</v>
      </c>
      <c r="B59" t="n">
        <v>-0.25</v>
      </c>
      <c r="C59" t="n">
        <v>40</v>
      </c>
      <c r="D59" t="n">
        <v>0</v>
      </c>
      <c r="E59" t="n">
        <v>139</v>
      </c>
    </row>
    <row r="60">
      <c r="A60" t="s">
        <v>312</v>
      </c>
      <c r="B60" t="n">
        <v>-0.25</v>
      </c>
      <c r="C60" t="n">
        <v>138</v>
      </c>
      <c r="D60" t="n">
        <v>0</v>
      </c>
      <c r="E60" t="n">
        <v>131</v>
      </c>
    </row>
    <row r="61">
      <c r="A61" t="s">
        <v>311</v>
      </c>
      <c r="B61" t="n">
        <v>-0.25</v>
      </c>
      <c r="C61" t="n">
        <v>80</v>
      </c>
      <c r="D61" t="n">
        <v>-0.25</v>
      </c>
      <c r="E61" t="n">
        <v>56</v>
      </c>
    </row>
    <row r="62">
      <c r="A62" t="s">
        <v>312</v>
      </c>
      <c r="B62" t="n">
        <v>-0.25</v>
      </c>
      <c r="C62" t="n">
        <v>20</v>
      </c>
      <c r="D62" t="n">
        <v>-0.25</v>
      </c>
      <c r="E62" t="n">
        <v>25</v>
      </c>
    </row>
    <row r="63">
      <c r="A63" t="s">
        <v>311</v>
      </c>
      <c r="B63" t="n">
        <v>-0.5</v>
      </c>
      <c r="C63" t="n">
        <v>85</v>
      </c>
      <c r="D63" t="n">
        <v>-0.25</v>
      </c>
      <c r="E63" t="n">
        <v>78</v>
      </c>
    </row>
    <row r="64">
      <c r="A64" t="s">
        <v>312</v>
      </c>
      <c r="B64" t="n">
        <v>-0.25</v>
      </c>
      <c r="C64" t="n">
        <v>87</v>
      </c>
      <c r="D64" t="n">
        <v>0</v>
      </c>
      <c r="E64" t="n">
        <v>149</v>
      </c>
    </row>
    <row r="65">
      <c r="A65" t="s">
        <v>311</v>
      </c>
      <c r="B65" t="n">
        <v>-0.25</v>
      </c>
      <c r="C65" t="n">
        <v>100</v>
      </c>
      <c r="D65" t="n">
        <v>-0.25</v>
      </c>
      <c r="E65" t="n">
        <v>122</v>
      </c>
    </row>
    <row r="66">
      <c r="A66" t="s">
        <v>312</v>
      </c>
      <c r="B66" t="n">
        <v>-0.5</v>
      </c>
      <c r="C66" t="n">
        <v>95</v>
      </c>
      <c r="D66" t="n">
        <v>-0.25</v>
      </c>
      <c r="E66" t="n">
        <v>89</v>
      </c>
    </row>
    <row r="67">
      <c r="A67" t="s">
        <v>312</v>
      </c>
      <c r="B67" t="n">
        <v>-0.25</v>
      </c>
      <c r="C67" t="n">
        <v>156</v>
      </c>
      <c r="D67" t="n">
        <v>0</v>
      </c>
      <c r="E67" t="n">
        <v>91</v>
      </c>
    </row>
    <row r="68">
      <c r="A68" t="s">
        <v>311</v>
      </c>
      <c r="B68" t="n">
        <v>-0.25</v>
      </c>
      <c r="C68" t="n">
        <v>79</v>
      </c>
      <c r="D68" t="n">
        <v>0</v>
      </c>
      <c r="E68" t="n">
        <v>65</v>
      </c>
    </row>
    <row r="69">
      <c r="A69" t="s">
        <v>312</v>
      </c>
      <c r="B69" t="n">
        <v>-0.75</v>
      </c>
      <c r="C69" t="n">
        <v>104</v>
      </c>
      <c r="D69" t="n">
        <v>-0.25</v>
      </c>
      <c r="E69" t="n">
        <v>103</v>
      </c>
    </row>
    <row r="70">
      <c r="A70" t="s">
        <v>311</v>
      </c>
      <c r="B70" t="n">
        <v>-0.75</v>
      </c>
      <c r="C70" t="n">
        <v>174</v>
      </c>
      <c r="D70" t="n">
        <v>-0.25</v>
      </c>
      <c r="E70" t="n">
        <v>32</v>
      </c>
    </row>
    <row r="71">
      <c r="A71" t="s">
        <v>312</v>
      </c>
      <c r="B71" t="n">
        <v>-1</v>
      </c>
      <c r="C71" t="n">
        <v>162</v>
      </c>
      <c r="D71" t="n">
        <v>0</v>
      </c>
      <c r="E71" t="n">
        <v>78</v>
      </c>
    </row>
    <row r="72">
      <c r="A72" t="s">
        <v>311</v>
      </c>
      <c r="B72" t="n">
        <v>-1</v>
      </c>
      <c r="C72" t="n">
        <v>177</v>
      </c>
      <c r="D72" t="n">
        <v>-0.25</v>
      </c>
      <c r="E72" t="n">
        <v>177</v>
      </c>
    </row>
    <row r="73">
      <c r="A73" t="s">
        <v>312</v>
      </c>
      <c r="B73" t="n">
        <v>-0.5</v>
      </c>
      <c r="C73" t="n">
        <v>86</v>
      </c>
      <c r="D73" t="n">
        <v>0</v>
      </c>
      <c r="E73" t="n">
        <v>85</v>
      </c>
    </row>
    <row r="74">
      <c r="A74" t="s">
        <v>311</v>
      </c>
      <c r="B74" t="n">
        <v>0</v>
      </c>
      <c r="C74" t="n">
        <v>99</v>
      </c>
      <c r="D74" t="n">
        <v>-0.25</v>
      </c>
      <c r="E74" t="n">
        <v>111</v>
      </c>
    </row>
    <row r="75">
      <c r="A75" t="s">
        <v>311</v>
      </c>
      <c r="B75" t="n">
        <v>-0.25</v>
      </c>
      <c r="C75" t="n">
        <v>99</v>
      </c>
      <c r="D75" t="n">
        <v>0</v>
      </c>
      <c r="E75" t="n">
        <v>64</v>
      </c>
    </row>
    <row r="76">
      <c r="A76" t="s">
        <v>312</v>
      </c>
      <c r="B76" t="n">
        <v>-0.75</v>
      </c>
      <c r="C76" t="n">
        <v>6</v>
      </c>
      <c r="D76" t="n">
        <v>0</v>
      </c>
      <c r="E76" t="n">
        <v>26</v>
      </c>
    </row>
    <row r="77">
      <c r="A77" t="s">
        <v>311</v>
      </c>
      <c r="B77" t="n">
        <v>-0.75</v>
      </c>
      <c r="C77" t="n">
        <v>178</v>
      </c>
      <c r="D77" t="n">
        <v>-0.25</v>
      </c>
      <c r="E77" t="n">
        <v>4</v>
      </c>
    </row>
    <row r="78">
      <c r="A78" t="s">
        <v>312</v>
      </c>
      <c r="B78" t="n">
        <v>-0.75</v>
      </c>
      <c r="C78" t="n">
        <v>170</v>
      </c>
      <c r="D78" t="n">
        <v>-0.25</v>
      </c>
      <c r="E78" t="n">
        <v>170</v>
      </c>
    </row>
    <row r="79">
      <c r="A79" t="s">
        <v>311</v>
      </c>
      <c r="B79" t="n">
        <v>0</v>
      </c>
      <c r="C79" t="n">
        <v>80</v>
      </c>
      <c r="D79" t="n">
        <v>0</v>
      </c>
      <c r="E79" t="n">
        <v>68</v>
      </c>
    </row>
    <row r="80">
      <c r="A80" t="s">
        <v>312</v>
      </c>
      <c r="B80" t="n">
        <v>-0.5</v>
      </c>
      <c r="C80" t="n">
        <v>167</v>
      </c>
      <c r="D80" t="n">
        <v>0</v>
      </c>
      <c r="E80" t="n">
        <v>24</v>
      </c>
    </row>
    <row r="81">
      <c r="A81" t="s">
        <v>311</v>
      </c>
      <c r="B81" t="n">
        <v>-1.5</v>
      </c>
      <c r="C81" t="n">
        <v>175</v>
      </c>
      <c r="D81" t="n">
        <v>0</v>
      </c>
      <c r="E81" t="n">
        <v>99</v>
      </c>
    </row>
    <row r="82">
      <c r="A82" t="s">
        <v>312</v>
      </c>
      <c r="B82" t="n">
        <v>-0.75</v>
      </c>
      <c r="C82" t="n">
        <v>173</v>
      </c>
      <c r="D82" t="n">
        <v>-0.25</v>
      </c>
      <c r="E82" t="n">
        <v>162</v>
      </c>
    </row>
    <row r="83">
      <c r="A83" t="s">
        <v>311</v>
      </c>
      <c r="B83" t="n">
        <v>-0.25</v>
      </c>
      <c r="C83" t="n">
        <v>166</v>
      </c>
      <c r="D83" t="n">
        <v>-0.5</v>
      </c>
      <c r="E83" t="n">
        <v>1</v>
      </c>
    </row>
    <row r="84">
      <c r="A84" t="s">
        <v>311</v>
      </c>
      <c r="B84" t="n">
        <v>-1.5</v>
      </c>
      <c r="C84" t="n">
        <v>6</v>
      </c>
      <c r="D84" t="n">
        <v>-0.25</v>
      </c>
      <c r="E84" t="n">
        <v>18</v>
      </c>
    </row>
    <row r="85">
      <c r="A85" t="s">
        <v>311</v>
      </c>
      <c r="B85" t="n">
        <v>-0.5</v>
      </c>
      <c r="C85" t="n">
        <v>76</v>
      </c>
      <c r="D85" t="n">
        <v>0</v>
      </c>
      <c r="E85" t="n">
        <v>34</v>
      </c>
    </row>
    <row r="86">
      <c r="A86" t="s">
        <v>312</v>
      </c>
      <c r="B86" t="n">
        <v>-1</v>
      </c>
      <c r="C86" t="n">
        <v>13</v>
      </c>
      <c r="D86" t="n">
        <v>-0.25</v>
      </c>
      <c r="E86" t="n">
        <v>16</v>
      </c>
    </row>
    <row r="87">
      <c r="A87" t="s">
        <v>311</v>
      </c>
      <c r="B87" t="n">
        <v>0</v>
      </c>
      <c r="C87" t="n">
        <v>95</v>
      </c>
      <c r="D87" t="n">
        <v>0</v>
      </c>
      <c r="E87" t="n">
        <v>114</v>
      </c>
    </row>
    <row r="88">
      <c r="A88" t="s">
        <v>312</v>
      </c>
      <c r="B88" t="n">
        <v>-1.25</v>
      </c>
      <c r="C88" t="n">
        <v>169</v>
      </c>
      <c r="D88" t="n">
        <v>-0.25</v>
      </c>
      <c r="E88" t="n">
        <v>176</v>
      </c>
    </row>
    <row r="89">
      <c r="A89" t="s">
        <v>311</v>
      </c>
      <c r="B89" t="n">
        <v>-1.25</v>
      </c>
      <c r="C89" t="n">
        <v>22</v>
      </c>
      <c r="D89" t="n">
        <v>-0.25</v>
      </c>
      <c r="E89" t="n">
        <v>33</v>
      </c>
    </row>
    <row r="90">
      <c r="A90" t="s">
        <v>312</v>
      </c>
      <c r="B90" t="n">
        <v>-2.75</v>
      </c>
      <c r="C90" t="n">
        <v>0</v>
      </c>
      <c r="D90" t="n">
        <v>-0.5</v>
      </c>
      <c r="E90" t="n">
        <v>155</v>
      </c>
    </row>
    <row r="91">
      <c r="A91" t="s">
        <v>311</v>
      </c>
      <c r="B91" t="n">
        <v>-0.25</v>
      </c>
      <c r="C91" t="n">
        <v>157</v>
      </c>
      <c r="D91" t="n">
        <v>0</v>
      </c>
      <c r="E91" t="n">
        <v>156</v>
      </c>
    </row>
    <row r="92">
      <c r="A92" t="s">
        <v>311</v>
      </c>
      <c r="B92" t="n">
        <v>-1.5</v>
      </c>
      <c r="C92" t="n">
        <v>171</v>
      </c>
      <c r="D92" t="n">
        <v>0</v>
      </c>
      <c r="E92" t="n">
        <v>9</v>
      </c>
    </row>
    <row r="93">
      <c r="A93" t="s">
        <v>311</v>
      </c>
      <c r="B93" t="n">
        <v>-0.5</v>
      </c>
      <c r="C93" t="n">
        <v>109</v>
      </c>
      <c r="D93" t="n">
        <v>-0.25</v>
      </c>
      <c r="E93" t="n">
        <v>120</v>
      </c>
    </row>
    <row r="94">
      <c r="A94" t="s">
        <v>312</v>
      </c>
      <c r="B94" t="n">
        <v>-0.25</v>
      </c>
      <c r="C94" t="n">
        <v>172</v>
      </c>
      <c r="D94" t="n">
        <v>-0.25</v>
      </c>
      <c r="E94" t="n">
        <v>165</v>
      </c>
    </row>
    <row r="95">
      <c r="A95" t="s">
        <v>312</v>
      </c>
      <c r="B95" t="n">
        <v>-0.25</v>
      </c>
      <c r="C95" t="n">
        <v>85</v>
      </c>
      <c r="D95" t="n">
        <v>0</v>
      </c>
      <c r="E95" t="n">
        <v>63</v>
      </c>
    </row>
    <row r="96">
      <c r="A96" t="s">
        <v>312</v>
      </c>
      <c r="B96" t="n">
        <v>-0.25</v>
      </c>
      <c r="C96" t="n">
        <v>170</v>
      </c>
      <c r="D96" t="n">
        <v>0</v>
      </c>
      <c r="E96" t="n">
        <v>157</v>
      </c>
    </row>
    <row r="97">
      <c r="A97" t="s">
        <v>311</v>
      </c>
      <c r="B97" t="n">
        <v>-0.5</v>
      </c>
      <c r="C97" t="n">
        <v>18</v>
      </c>
      <c r="D97" t="n">
        <v>-0.5</v>
      </c>
      <c r="E97" t="n">
        <v>43</v>
      </c>
    </row>
    <row r="98">
      <c r="A98" t="s">
        <v>312</v>
      </c>
      <c r="B98" t="n">
        <v>-2.25</v>
      </c>
      <c r="C98" t="n">
        <v>82</v>
      </c>
      <c r="D98" t="n">
        <v>-0.5</v>
      </c>
      <c r="E98" t="n">
        <v>54</v>
      </c>
    </row>
    <row r="99">
      <c r="A99" t="s">
        <v>312</v>
      </c>
      <c r="B99" t="n">
        <v>-1</v>
      </c>
      <c r="C99" t="n">
        <v>1</v>
      </c>
      <c r="D99" t="n">
        <v>0</v>
      </c>
      <c r="E99" t="n">
        <v>110</v>
      </c>
    </row>
    <row r="100">
      <c r="A100" t="s">
        <v>311</v>
      </c>
      <c r="B100" t="n">
        <v>-0.25</v>
      </c>
      <c r="C100" t="n">
        <v>40</v>
      </c>
      <c r="D100" t="n">
        <v>0</v>
      </c>
      <c r="E100" t="n">
        <v>17</v>
      </c>
    </row>
    <row r="101">
      <c r="A101" t="s">
        <v>312</v>
      </c>
      <c r="B101" t="n">
        <v>0</v>
      </c>
      <c r="C101" t="n">
        <v>169</v>
      </c>
      <c r="D101" t="n">
        <v>0</v>
      </c>
      <c r="E101" t="n">
        <v>145</v>
      </c>
    </row>
    <row r="102">
      <c r="A102" t="s">
        <v>311</v>
      </c>
      <c r="B102" t="n">
        <v>-1.5</v>
      </c>
      <c r="C102" t="n">
        <v>16</v>
      </c>
      <c r="D102" t="n">
        <v>0</v>
      </c>
      <c r="E102" t="n">
        <v>7</v>
      </c>
    </row>
    <row r="103">
      <c r="A103" t="s">
        <v>311</v>
      </c>
      <c r="B103" t="n">
        <v>-0.5</v>
      </c>
      <c r="C103" t="n">
        <v>9</v>
      </c>
      <c r="D103" t="n">
        <v>-0.25</v>
      </c>
      <c r="E103" t="n">
        <v>15</v>
      </c>
    </row>
    <row r="104">
      <c r="A104" t="s">
        <v>311</v>
      </c>
      <c r="B104" t="n">
        <v>-0.5</v>
      </c>
      <c r="C104" t="n">
        <v>98</v>
      </c>
      <c r="D104" t="n">
        <v>-0.25</v>
      </c>
      <c r="E104" t="n">
        <v>77</v>
      </c>
    </row>
    <row r="105">
      <c r="A105" t="s">
        <v>312</v>
      </c>
      <c r="B105" t="n">
        <v>-1.25</v>
      </c>
      <c r="C105" t="n">
        <v>162</v>
      </c>
      <c r="D105" t="n">
        <v>-0.25</v>
      </c>
      <c r="E105" t="n">
        <v>148</v>
      </c>
    </row>
    <row r="106">
      <c r="A106" t="s">
        <v>312</v>
      </c>
      <c r="B106" t="n">
        <v>-0.5</v>
      </c>
      <c r="C106" t="n">
        <v>95</v>
      </c>
      <c r="D106" t="n">
        <v>-0.25</v>
      </c>
      <c r="E106" t="n">
        <v>95</v>
      </c>
    </row>
    <row r="107">
      <c r="A107" t="s">
        <v>311</v>
      </c>
      <c r="B107" t="n">
        <v>-0.25</v>
      </c>
      <c r="C107" t="n">
        <v>27</v>
      </c>
      <c r="D107" t="n">
        <v>-0.25</v>
      </c>
      <c r="E107" t="n">
        <v>38</v>
      </c>
    </row>
    <row r="108">
      <c r="A108" t="s">
        <v>312</v>
      </c>
      <c r="B108" t="n">
        <v>-0.5</v>
      </c>
      <c r="C108" t="n">
        <v>82</v>
      </c>
      <c r="D108" t="n">
        <v>-0.25</v>
      </c>
      <c r="E108" t="n">
        <v>61</v>
      </c>
    </row>
    <row r="109">
      <c r="A109" t="s">
        <v>311</v>
      </c>
      <c r="B109" t="n">
        <v>-0.25</v>
      </c>
      <c r="C109" t="n">
        <v>97</v>
      </c>
      <c r="D109" t="n">
        <v>0</v>
      </c>
      <c r="E109" t="n">
        <v>119</v>
      </c>
    </row>
    <row r="110">
      <c r="A110" t="s">
        <v>312</v>
      </c>
      <c r="B110" t="n">
        <v>-0.5</v>
      </c>
      <c r="C110" t="n">
        <v>71</v>
      </c>
      <c r="D110" t="n">
        <v>-0.5</v>
      </c>
      <c r="E110" t="n">
        <v>96</v>
      </c>
    </row>
    <row r="111">
      <c r="A111" t="s">
        <v>311</v>
      </c>
      <c r="B111" t="n">
        <v>0</v>
      </c>
      <c r="C111" t="n">
        <v>80</v>
      </c>
      <c r="D111" t="n">
        <v>-0.25</v>
      </c>
      <c r="E111" t="n">
        <v>130</v>
      </c>
    </row>
    <row r="112">
      <c r="A112" t="s">
        <v>311</v>
      </c>
      <c r="B112" t="n">
        <v>-0.5</v>
      </c>
      <c r="C112" t="n">
        <v>62</v>
      </c>
      <c r="D112" t="n">
        <v>-0.25</v>
      </c>
      <c r="E112" t="n">
        <v>92</v>
      </c>
    </row>
    <row r="113">
      <c r="A113" t="s">
        <v>312</v>
      </c>
      <c r="B113" t="n">
        <v>-1.25</v>
      </c>
      <c r="C113" t="n">
        <v>165</v>
      </c>
      <c r="D113" t="n">
        <v>0</v>
      </c>
      <c r="E113" t="n">
        <v>14</v>
      </c>
    </row>
    <row r="114">
      <c r="A114" t="s">
        <v>311</v>
      </c>
      <c r="B114" t="n">
        <v>0</v>
      </c>
      <c r="C114" t="n">
        <v>149</v>
      </c>
      <c r="D114" t="n">
        <v>-0.5</v>
      </c>
      <c r="E114" t="n">
        <v>143</v>
      </c>
    </row>
    <row r="115">
      <c r="A115" t="s">
        <v>312</v>
      </c>
      <c r="B115" t="n">
        <v>-0.5</v>
      </c>
      <c r="C115" t="n">
        <v>2</v>
      </c>
      <c r="D115" t="n">
        <v>-0.25</v>
      </c>
      <c r="E115" t="n">
        <v>175</v>
      </c>
    </row>
    <row r="116">
      <c r="A116" t="s">
        <v>311</v>
      </c>
      <c r="B116" t="n">
        <v>-1</v>
      </c>
      <c r="C116" t="n">
        <v>24</v>
      </c>
      <c r="D116" t="n">
        <v>-0.25</v>
      </c>
      <c r="E116" t="n">
        <v>15</v>
      </c>
    </row>
    <row r="117">
      <c r="A117" t="s">
        <v>311</v>
      </c>
      <c r="B117" t="n">
        <v>-1.5</v>
      </c>
      <c r="C117" t="n">
        <v>5</v>
      </c>
      <c r="D117" t="n">
        <v>-0.25</v>
      </c>
      <c r="E117" t="n">
        <v>172</v>
      </c>
    </row>
    <row r="118">
      <c r="A118" t="s">
        <v>312</v>
      </c>
      <c r="B118" t="n">
        <v>-0.75</v>
      </c>
      <c r="C118" t="n">
        <v>88</v>
      </c>
      <c r="D118" t="n">
        <v>-0.25</v>
      </c>
      <c r="E118" t="n">
        <v>81</v>
      </c>
    </row>
    <row r="119">
      <c r="A119" t="s">
        <v>311</v>
      </c>
      <c r="B119" t="n">
        <v>-0.5</v>
      </c>
      <c r="C119" t="n">
        <v>180</v>
      </c>
      <c r="D119" t="n">
        <v>-0.25</v>
      </c>
      <c r="E119" t="n">
        <v>152</v>
      </c>
    </row>
    <row r="120">
      <c r="A120" t="s">
        <v>311</v>
      </c>
      <c r="B120" t="n">
        <v>-0.25</v>
      </c>
      <c r="C120" t="n">
        <v>89</v>
      </c>
      <c r="D120" t="n">
        <v>-0.25</v>
      </c>
      <c r="E120" t="n">
        <v>103</v>
      </c>
    </row>
    <row r="121">
      <c r="A121" t="s">
        <v>311</v>
      </c>
      <c r="B121" t="n">
        <v>-1</v>
      </c>
      <c r="C121" t="n">
        <v>22</v>
      </c>
      <c r="D121" t="n">
        <v>-0.5</v>
      </c>
      <c r="E121" t="n">
        <v>14</v>
      </c>
    </row>
    <row r="122">
      <c r="A122" t="s">
        <v>311</v>
      </c>
      <c r="B122" t="n">
        <v>-0.5</v>
      </c>
      <c r="C122" t="n">
        <v>173</v>
      </c>
      <c r="D122" t="n">
        <v>-0.5</v>
      </c>
      <c r="E122" t="n">
        <v>24</v>
      </c>
    </row>
    <row r="123">
      <c r="A123" t="s">
        <v>312</v>
      </c>
      <c r="B123" t="n">
        <v>-1</v>
      </c>
      <c r="C123" t="n">
        <v>156</v>
      </c>
      <c r="D123" t="n">
        <v>-0.5</v>
      </c>
      <c r="E123" t="n">
        <v>40</v>
      </c>
    </row>
    <row r="124">
      <c r="A124" t="s">
        <v>311</v>
      </c>
      <c r="B124" t="n">
        <v>-0.5</v>
      </c>
      <c r="C124" t="n">
        <v>21</v>
      </c>
      <c r="D124" t="n">
        <v>-0.25</v>
      </c>
      <c r="E124" t="n">
        <v>8</v>
      </c>
    </row>
    <row r="125">
      <c r="A125" t="s">
        <v>312</v>
      </c>
      <c r="B125" t="n">
        <v>-0.5</v>
      </c>
      <c r="C125" t="n">
        <v>2</v>
      </c>
      <c r="D125" t="n">
        <v>-0.5</v>
      </c>
      <c r="E125" t="n">
        <v>19</v>
      </c>
    </row>
    <row r="126">
      <c r="A126" t="s">
        <v>311</v>
      </c>
      <c r="B126" t="n">
        <v>-1</v>
      </c>
      <c r="C126" t="n">
        <v>159</v>
      </c>
      <c r="D126" t="n">
        <v>0</v>
      </c>
      <c r="E126" t="n">
        <v>13</v>
      </c>
    </row>
    <row r="127">
      <c r="A127" t="s">
        <v>312</v>
      </c>
      <c r="B127" t="n">
        <v>0</v>
      </c>
      <c r="C127" t="n">
        <v>1</v>
      </c>
      <c r="D127" t="n">
        <v>-0.25</v>
      </c>
      <c r="E127" t="n">
        <v>13</v>
      </c>
    </row>
    <row r="128">
      <c r="A128" t="s">
        <v>311</v>
      </c>
      <c r="B128" t="n">
        <v>-0.25</v>
      </c>
      <c r="C128" t="n">
        <v>89</v>
      </c>
      <c r="D128" t="n">
        <v>-0.25</v>
      </c>
      <c r="E128" t="n">
        <v>60</v>
      </c>
    </row>
    <row r="129">
      <c r="A129" t="s">
        <v>312</v>
      </c>
      <c r="B129" t="n">
        <v>-1</v>
      </c>
      <c r="C129" t="n">
        <v>110</v>
      </c>
      <c r="D129" t="n">
        <v>-0.25</v>
      </c>
      <c r="E129" t="n">
        <v>121</v>
      </c>
    </row>
    <row r="130">
      <c r="A130" t="s">
        <v>312</v>
      </c>
      <c r="B130" t="n">
        <v>-1.25</v>
      </c>
      <c r="C130" t="n">
        <v>14</v>
      </c>
      <c r="D130" t="n">
        <v>-0.25</v>
      </c>
      <c r="E130" t="n">
        <v>13</v>
      </c>
    </row>
    <row r="131">
      <c r="A131" t="s">
        <v>312</v>
      </c>
      <c r="B131" t="n">
        <v>-1.25</v>
      </c>
      <c r="C131" t="n">
        <v>163</v>
      </c>
      <c r="D131" t="n">
        <v>0</v>
      </c>
      <c r="E131" t="n">
        <v>5</v>
      </c>
    </row>
    <row r="132">
      <c r="A132" t="s">
        <v>311</v>
      </c>
      <c r="B132" t="n">
        <v>-1</v>
      </c>
      <c r="C132" t="n">
        <v>94</v>
      </c>
      <c r="D132" t="n">
        <v>0</v>
      </c>
      <c r="E132" t="n">
        <v>104</v>
      </c>
    </row>
    <row r="133">
      <c r="A133" t="s">
        <v>312</v>
      </c>
      <c r="B133" t="n">
        <v>-0.5</v>
      </c>
      <c r="C133" t="n">
        <v>85</v>
      </c>
      <c r="D133" t="n">
        <v>-0.25</v>
      </c>
      <c r="E133" t="n">
        <v>110</v>
      </c>
    </row>
    <row r="134">
      <c r="A134" t="s">
        <v>312</v>
      </c>
      <c r="B134" t="n">
        <v>-0.5</v>
      </c>
      <c r="C134" t="n">
        <v>127</v>
      </c>
      <c r="D134" t="n">
        <v>-0.5</v>
      </c>
      <c r="E134" t="n">
        <v>132</v>
      </c>
    </row>
    <row r="135">
      <c r="A135" t="s">
        <v>311</v>
      </c>
      <c r="B135" t="n">
        <v>-0.25</v>
      </c>
      <c r="C135" t="n">
        <v>173</v>
      </c>
      <c r="D135" t="n">
        <v>0</v>
      </c>
      <c r="E135" t="n">
        <v>11</v>
      </c>
    </row>
    <row r="136">
      <c r="A136" t="s">
        <v>312</v>
      </c>
      <c r="B136" t="n">
        <v>-1</v>
      </c>
      <c r="C136" t="n">
        <v>87</v>
      </c>
      <c r="D136" t="n">
        <v>-0.25</v>
      </c>
      <c r="E136" t="n">
        <v>102</v>
      </c>
    </row>
    <row r="137">
      <c r="A137" t="s">
        <v>312</v>
      </c>
      <c r="B137" t="n">
        <v>-0.75</v>
      </c>
      <c r="C137" t="n">
        <v>89</v>
      </c>
      <c r="D137" t="n">
        <v>-0.25</v>
      </c>
      <c r="E137" t="n">
        <v>74</v>
      </c>
    </row>
    <row r="138">
      <c r="A138" t="s">
        <v>311</v>
      </c>
      <c r="B138" t="n">
        <v>-2.5</v>
      </c>
      <c r="C138" t="n">
        <v>20</v>
      </c>
      <c r="D138" t="n">
        <v>0</v>
      </c>
      <c r="E138" t="n">
        <v>33</v>
      </c>
    </row>
    <row r="139">
      <c r="A139" t="s">
        <v>311</v>
      </c>
      <c r="B139" t="n">
        <v>-0.75</v>
      </c>
      <c r="C139" t="n">
        <v>15</v>
      </c>
      <c r="D139" t="n">
        <v>0</v>
      </c>
      <c r="E139" t="n">
        <v>108</v>
      </c>
    </row>
    <row r="140">
      <c r="A140" t="s">
        <v>312</v>
      </c>
      <c r="B140" t="n">
        <v>-1</v>
      </c>
      <c r="C140" t="n">
        <v>60</v>
      </c>
      <c r="D140" t="n">
        <v>0</v>
      </c>
      <c r="E140" t="n">
        <v>130</v>
      </c>
    </row>
    <row r="141">
      <c r="A141" t="s">
        <v>311</v>
      </c>
      <c r="B141" t="n">
        <v>-0.25</v>
      </c>
      <c r="C141" t="n">
        <v>99</v>
      </c>
      <c r="D141" t="n">
        <v>-0.25</v>
      </c>
      <c r="E141" t="n">
        <v>110</v>
      </c>
    </row>
    <row r="142">
      <c r="A142" t="s">
        <v>311</v>
      </c>
      <c r="B142" t="n">
        <v>-0.25</v>
      </c>
      <c r="C142" t="n">
        <v>12</v>
      </c>
      <c r="D142" t="n">
        <v>-0.25</v>
      </c>
      <c r="E142" t="n">
        <v>34</v>
      </c>
    </row>
    <row r="143">
      <c r="A143" t="s">
        <v>312</v>
      </c>
      <c r="B143" t="n">
        <v>-0.5</v>
      </c>
      <c r="C143" t="n">
        <v>158</v>
      </c>
      <c r="D143" t="n">
        <v>-0.5</v>
      </c>
      <c r="E143" t="n">
        <v>158</v>
      </c>
    </row>
    <row r="144">
      <c r="A144" t="s">
        <v>312</v>
      </c>
      <c r="B144" t="n">
        <v>-0.5</v>
      </c>
      <c r="C144" t="n">
        <v>177</v>
      </c>
      <c r="D144" t="n">
        <v>-0.25</v>
      </c>
      <c r="E144" t="n">
        <v>14</v>
      </c>
    </row>
    <row r="145">
      <c r="A145" t="s">
        <v>311</v>
      </c>
      <c r="B145" t="n">
        <v>-0.25</v>
      </c>
      <c r="C145" t="n">
        <v>81</v>
      </c>
      <c r="D145" t="n">
        <v>-0.25</v>
      </c>
      <c r="E145" t="n">
        <v>104</v>
      </c>
    </row>
    <row r="146">
      <c r="A146" t="s">
        <v>312</v>
      </c>
      <c r="B146" t="n">
        <v>-0.5</v>
      </c>
      <c r="C146" t="n">
        <v>17</v>
      </c>
      <c r="D146" t="n">
        <v>0</v>
      </c>
      <c r="E146" t="n">
        <v>10</v>
      </c>
    </row>
    <row r="147">
      <c r="A147" t="s">
        <v>311</v>
      </c>
      <c r="B147" t="n">
        <v>0</v>
      </c>
      <c r="C147" t="n">
        <v>166</v>
      </c>
      <c r="D147" t="n">
        <v>0</v>
      </c>
      <c r="E147" t="n">
        <v>5</v>
      </c>
    </row>
    <row r="148">
      <c r="A148" t="s">
        <v>312</v>
      </c>
      <c r="B148" t="n">
        <v>0</v>
      </c>
      <c r="C148" t="n">
        <v>87</v>
      </c>
      <c r="D148" t="n">
        <v>0</v>
      </c>
      <c r="E148" t="n">
        <v>97</v>
      </c>
    </row>
    <row r="149">
      <c r="A149" t="s">
        <v>311</v>
      </c>
      <c r="B149" t="n">
        <v>-0.75</v>
      </c>
      <c r="C149" t="n">
        <v>117</v>
      </c>
      <c r="D149" t="n">
        <v>-0.5</v>
      </c>
      <c r="E149" t="n">
        <v>103</v>
      </c>
    </row>
    <row r="150">
      <c r="A150" t="s">
        <v>311</v>
      </c>
      <c r="B150" t="n">
        <v>-0.25</v>
      </c>
      <c r="C150" t="n">
        <v>1</v>
      </c>
      <c r="D150" t="n">
        <v>0</v>
      </c>
      <c r="E150" t="n">
        <v>97</v>
      </c>
    </row>
    <row r="151">
      <c r="A151" t="s">
        <v>311</v>
      </c>
      <c r="B151" t="n">
        <v>-1.25</v>
      </c>
      <c r="C151" t="n">
        <v>75</v>
      </c>
      <c r="D151" t="n">
        <v>-0.25</v>
      </c>
      <c r="E151" t="n">
        <v>50</v>
      </c>
    </row>
    <row r="152">
      <c r="A152" t="s">
        <v>311</v>
      </c>
      <c r="B152" t="n">
        <v>-0.25</v>
      </c>
      <c r="C152" t="n">
        <v>152</v>
      </c>
      <c r="D152" t="n">
        <v>0</v>
      </c>
      <c r="E152" t="n">
        <v>57</v>
      </c>
    </row>
    <row r="153">
      <c r="A153" t="s">
        <v>311</v>
      </c>
      <c r="B153" t="n">
        <v>-1.25</v>
      </c>
      <c r="C153" t="n">
        <v>105</v>
      </c>
      <c r="D153" t="n">
        <v>-0.5</v>
      </c>
      <c r="E153" t="n">
        <v>107</v>
      </c>
    </row>
    <row r="154">
      <c r="A154" t="s">
        <v>312</v>
      </c>
      <c r="B154" t="n">
        <v>-0.25</v>
      </c>
      <c r="C154" t="n">
        <v>102</v>
      </c>
      <c r="D154" t="n">
        <v>-0.25</v>
      </c>
      <c r="E154" t="n">
        <v>81</v>
      </c>
    </row>
    <row r="155">
      <c r="A155" t="s">
        <v>312</v>
      </c>
      <c r="B155" t="n">
        <v>-0.25</v>
      </c>
      <c r="C155" t="n">
        <v>85</v>
      </c>
      <c r="D155" t="n">
        <v>0</v>
      </c>
      <c r="E155" t="n">
        <v>83</v>
      </c>
    </row>
    <row r="156">
      <c r="A156" t="s">
        <v>311</v>
      </c>
      <c r="B156" t="n">
        <v>-0.25</v>
      </c>
      <c r="C156" t="n">
        <v>76</v>
      </c>
      <c r="D156" t="n">
        <v>-0.5</v>
      </c>
      <c r="E156" t="n">
        <v>66</v>
      </c>
    </row>
    <row r="157">
      <c r="A157" t="s">
        <v>311</v>
      </c>
      <c r="B157" t="n">
        <v>-1.5</v>
      </c>
      <c r="C157" t="n">
        <v>3</v>
      </c>
      <c r="D157" t="n">
        <v>-0.25</v>
      </c>
      <c r="E157" t="n">
        <v>2</v>
      </c>
    </row>
    <row r="158">
      <c r="A158" t="s">
        <v>312</v>
      </c>
      <c r="B158" t="n">
        <v>-0.75</v>
      </c>
      <c r="C158" t="n">
        <v>32</v>
      </c>
      <c r="D158" t="n">
        <v>-0.25</v>
      </c>
      <c r="E158" t="n">
        <v>23</v>
      </c>
    </row>
    <row r="159">
      <c r="A159" t="s">
        <v>311</v>
      </c>
      <c r="B159" t="n">
        <v>-0.5</v>
      </c>
      <c r="C159" t="n">
        <v>93</v>
      </c>
      <c r="D159" t="n">
        <v>0</v>
      </c>
      <c r="E159" t="n">
        <v>83</v>
      </c>
    </row>
    <row r="160">
      <c r="A160" t="s">
        <v>312</v>
      </c>
      <c r="B160" t="n">
        <v>-0.5</v>
      </c>
      <c r="C160" t="n">
        <v>40</v>
      </c>
      <c r="D160" t="n">
        <v>0</v>
      </c>
      <c r="E160" t="n">
        <v>109</v>
      </c>
    </row>
    <row r="161">
      <c r="A161" t="s">
        <v>312</v>
      </c>
      <c r="B161" t="n">
        <v>-0.5</v>
      </c>
      <c r="C161" t="n">
        <v>2</v>
      </c>
      <c r="D161" t="n">
        <v>-0.25</v>
      </c>
      <c r="E161" t="n">
        <v>171</v>
      </c>
    </row>
    <row r="162">
      <c r="A162" t="s">
        <v>311</v>
      </c>
      <c r="B162" t="n">
        <v>-1</v>
      </c>
      <c r="C162" t="n">
        <v>155</v>
      </c>
      <c r="D162" t="n">
        <v>0</v>
      </c>
      <c r="E162" t="n">
        <v>108</v>
      </c>
    </row>
    <row r="163">
      <c r="A163" t="s">
        <v>312</v>
      </c>
      <c r="B163" t="n">
        <v>-0.5</v>
      </c>
      <c r="C163" t="n">
        <v>180</v>
      </c>
      <c r="D163" t="n">
        <v>-0.5</v>
      </c>
      <c r="E163" t="n">
        <v>13</v>
      </c>
    </row>
    <row r="164">
      <c r="A164" t="s">
        <v>312</v>
      </c>
      <c r="B164" t="n">
        <v>-1</v>
      </c>
      <c r="C164" t="n">
        <v>11</v>
      </c>
      <c r="D164" t="n">
        <v>0</v>
      </c>
      <c r="E164" t="n">
        <v>167</v>
      </c>
    </row>
  </sheetData>
  <pageMargins left="0.7" right="0.7" top="0.75" bottom="0.75" header="0.3" footer="0.3"/>
  <pageSetup paperSize="9" orientation="portrait" horizontalDpi="300" verticalDpi="300" r:id="rId2"/>
  <tableParts count="1">
    <tablePart r:id="rId8"/>
  </tableParts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306</v>
      </c>
      <c r="B1" t="s">
        <v>307</v>
      </c>
      <c r="C1" t="s">
        <v>308</v>
      </c>
      <c r="D1" t="s">
        <v>309</v>
      </c>
      <c r="E1" t="s">
        <v>310</v>
      </c>
    </row>
    <row r="2">
      <c r="A2" t="s">
        <v>312</v>
      </c>
      <c r="B2" t="n">
        <v>-0.5</v>
      </c>
      <c r="C2" t="n">
        <v>23</v>
      </c>
      <c r="D2" t="n">
        <v>-0.25</v>
      </c>
      <c r="E2" t="n">
        <v>33</v>
      </c>
    </row>
    <row r="3">
      <c r="A3" t="s">
        <v>311</v>
      </c>
      <c r="B3" t="n">
        <v>0</v>
      </c>
      <c r="C3" t="n">
        <v>113</v>
      </c>
      <c r="D3" t="n">
        <v>0</v>
      </c>
      <c r="E3" t="n">
        <v>81</v>
      </c>
    </row>
    <row r="4">
      <c r="A4" t="s">
        <v>311</v>
      </c>
      <c r="B4" t="n">
        <v>0</v>
      </c>
      <c r="C4" t="n">
        <v>59</v>
      </c>
      <c r="D4" t="n">
        <v>0</v>
      </c>
      <c r="E4" t="n">
        <v>96</v>
      </c>
    </row>
    <row r="5">
      <c r="A5" t="s">
        <v>312</v>
      </c>
      <c r="B5" t="n">
        <v>-1.25</v>
      </c>
      <c r="C5" t="n">
        <v>85</v>
      </c>
      <c r="D5" t="n">
        <v>-0.5</v>
      </c>
      <c r="E5" t="n">
        <v>46</v>
      </c>
    </row>
    <row r="6">
      <c r="A6" t="s">
        <v>311</v>
      </c>
      <c r="B6" t="n">
        <v>-0.25</v>
      </c>
      <c r="C6" t="n">
        <v>101</v>
      </c>
      <c r="D6" t="n">
        <v>-0.5</v>
      </c>
      <c r="E6" t="n">
        <v>103</v>
      </c>
    </row>
    <row r="7">
      <c r="A7" t="s">
        <v>312</v>
      </c>
      <c r="B7" t="n">
        <v>-1</v>
      </c>
      <c r="C7" t="n">
        <v>88</v>
      </c>
      <c r="D7" t="n">
        <v>-0.25</v>
      </c>
      <c r="E7" t="n">
        <v>90</v>
      </c>
    </row>
    <row r="8">
      <c r="A8" t="s">
        <v>311</v>
      </c>
      <c r="B8" t="n">
        <v>-0.75</v>
      </c>
      <c r="C8" t="n">
        <v>1</v>
      </c>
      <c r="D8" t="n">
        <v>0</v>
      </c>
      <c r="E8" t="n">
        <v>168</v>
      </c>
    </row>
    <row r="9">
      <c r="A9" t="s">
        <v>312</v>
      </c>
      <c r="B9" t="n">
        <v>0</v>
      </c>
      <c r="C9" t="n">
        <v>15</v>
      </c>
      <c r="D9" t="n">
        <v>-0.25</v>
      </c>
      <c r="E9" t="n">
        <v>17</v>
      </c>
    </row>
    <row r="10">
      <c r="A10" t="s">
        <v>311</v>
      </c>
      <c r="B10" t="n">
        <v>-0.5</v>
      </c>
      <c r="C10" t="n">
        <v>105</v>
      </c>
      <c r="D10" t="n">
        <v>-0.25</v>
      </c>
      <c r="E10" t="n">
        <v>108</v>
      </c>
    </row>
    <row r="11">
      <c r="A11" t="s">
        <v>312</v>
      </c>
      <c r="B11" t="n">
        <v>-0.75</v>
      </c>
      <c r="C11" t="n">
        <v>94</v>
      </c>
      <c r="D11" t="n">
        <v>0</v>
      </c>
      <c r="E11" t="n">
        <v>134</v>
      </c>
    </row>
    <row r="12">
      <c r="A12" t="s">
        <v>311</v>
      </c>
      <c r="B12" t="n">
        <v>-0.75</v>
      </c>
      <c r="C12" t="n">
        <v>14</v>
      </c>
      <c r="D12" t="n">
        <v>-0.25</v>
      </c>
      <c r="E12" t="n">
        <v>3</v>
      </c>
    </row>
    <row r="13">
      <c r="A13" t="s">
        <v>312</v>
      </c>
      <c r="B13" t="n">
        <v>0</v>
      </c>
      <c r="C13" t="n">
        <v>103</v>
      </c>
      <c r="D13" t="n">
        <v>0</v>
      </c>
      <c r="E13" t="n">
        <v>71</v>
      </c>
    </row>
    <row r="14">
      <c r="A14" t="s">
        <v>311</v>
      </c>
      <c r="B14" t="n">
        <v>0</v>
      </c>
      <c r="C14" t="n">
        <v>102</v>
      </c>
      <c r="D14" t="n">
        <v>0</v>
      </c>
      <c r="E14" t="n">
        <v>114</v>
      </c>
    </row>
    <row r="15">
      <c r="A15" t="s">
        <v>312</v>
      </c>
      <c r="B15" t="n">
        <v>-0.25</v>
      </c>
      <c r="C15" t="n">
        <v>104</v>
      </c>
      <c r="D15" t="n">
        <v>-0.25</v>
      </c>
      <c r="E15" t="n">
        <v>106</v>
      </c>
    </row>
    <row r="16">
      <c r="A16" t="s">
        <v>311</v>
      </c>
      <c r="B16" t="n">
        <v>-0.25</v>
      </c>
      <c r="C16" t="n">
        <v>22</v>
      </c>
      <c r="D16" t="n">
        <v>-0.25</v>
      </c>
      <c r="E16" t="n">
        <v>41</v>
      </c>
    </row>
    <row r="17">
      <c r="A17" t="s">
        <v>312</v>
      </c>
      <c r="B17" t="n">
        <v>-1.25</v>
      </c>
      <c r="C17" t="n">
        <v>139</v>
      </c>
      <c r="D17" t="n">
        <v>-0.25</v>
      </c>
      <c r="E17" t="n">
        <v>157</v>
      </c>
    </row>
    <row r="18">
      <c r="A18" t="s">
        <v>311</v>
      </c>
      <c r="B18" t="n">
        <v>-0.75</v>
      </c>
      <c r="C18" t="n">
        <v>98</v>
      </c>
      <c r="D18" t="n">
        <v>-0.25</v>
      </c>
      <c r="E18" t="n">
        <v>87</v>
      </c>
    </row>
    <row r="19">
      <c r="A19" t="s">
        <v>312</v>
      </c>
      <c r="B19" t="n">
        <v>-0.25</v>
      </c>
      <c r="C19" t="n">
        <v>155</v>
      </c>
      <c r="D19" t="n">
        <v>-0.25</v>
      </c>
      <c r="E19" t="n">
        <v>160</v>
      </c>
    </row>
    <row r="20">
      <c r="A20" t="s">
        <v>311</v>
      </c>
      <c r="B20" t="n">
        <v>-0.75</v>
      </c>
      <c r="C20" t="n">
        <v>157</v>
      </c>
      <c r="D20" t="n">
        <v>0</v>
      </c>
      <c r="E20" t="n">
        <v>74</v>
      </c>
    </row>
    <row r="21">
      <c r="A21" t="s">
        <v>312</v>
      </c>
      <c r="B21" t="n">
        <v>-0.25</v>
      </c>
      <c r="C21" t="n">
        <v>42</v>
      </c>
      <c r="D21" t="n">
        <v>0</v>
      </c>
      <c r="E21" t="n">
        <v>46</v>
      </c>
    </row>
    <row r="22">
      <c r="A22" t="s">
        <v>311</v>
      </c>
      <c r="B22" t="n">
        <v>-1</v>
      </c>
      <c r="C22" t="n">
        <v>86</v>
      </c>
      <c r="D22" t="n">
        <v>0</v>
      </c>
      <c r="E22" t="n">
        <v>125</v>
      </c>
    </row>
    <row r="23">
      <c r="A23" t="s">
        <v>312</v>
      </c>
      <c r="B23" t="n">
        <v>-0.25</v>
      </c>
      <c r="C23" t="n">
        <v>4</v>
      </c>
      <c r="D23" t="n">
        <v>-0.25</v>
      </c>
      <c r="E23" t="n">
        <v>21</v>
      </c>
    </row>
    <row r="24">
      <c r="A24" t="s">
        <v>311</v>
      </c>
      <c r="B24" t="n">
        <v>-0.25</v>
      </c>
      <c r="C24" t="n">
        <v>101</v>
      </c>
      <c r="D24" t="n">
        <v>-0.25</v>
      </c>
      <c r="E24" t="n">
        <v>125</v>
      </c>
    </row>
    <row r="25">
      <c r="A25" t="s">
        <v>312</v>
      </c>
      <c r="B25" t="n">
        <v>-0.75</v>
      </c>
      <c r="C25" t="n">
        <v>174</v>
      </c>
      <c r="D25" t="n">
        <v>-0.5</v>
      </c>
      <c r="E25" t="n">
        <v>17</v>
      </c>
    </row>
    <row r="26">
      <c r="A26" t="s">
        <v>311</v>
      </c>
      <c r="B26" t="n">
        <v>-0.75</v>
      </c>
      <c r="C26" t="n">
        <v>87</v>
      </c>
      <c r="D26" t="n">
        <v>-0.25</v>
      </c>
      <c r="E26" t="n">
        <v>89</v>
      </c>
    </row>
    <row r="27">
      <c r="A27" t="s">
        <v>312</v>
      </c>
      <c r="B27" t="n">
        <v>-0.5</v>
      </c>
      <c r="C27" t="n">
        <v>171</v>
      </c>
      <c r="D27" t="n">
        <v>-0.25</v>
      </c>
      <c r="E27" t="n">
        <v>168</v>
      </c>
    </row>
    <row r="28">
      <c r="A28" t="s">
        <v>311</v>
      </c>
      <c r="B28" t="n">
        <v>-0.25</v>
      </c>
      <c r="C28" t="n">
        <v>81</v>
      </c>
      <c r="D28" t="n">
        <v>0</v>
      </c>
      <c r="E28" t="n">
        <v>173</v>
      </c>
    </row>
    <row r="29">
      <c r="A29" t="s">
        <v>311</v>
      </c>
      <c r="B29" t="n">
        <v>-0.5</v>
      </c>
      <c r="C29" t="n">
        <v>32</v>
      </c>
      <c r="D29" t="n">
        <v>0</v>
      </c>
      <c r="E29" t="n">
        <v>36</v>
      </c>
    </row>
    <row r="30">
      <c r="A30" t="s">
        <v>312</v>
      </c>
      <c r="B30" t="n">
        <v>-0.5</v>
      </c>
      <c r="C30" t="n">
        <v>97</v>
      </c>
      <c r="D30" t="n">
        <v>-0.25</v>
      </c>
      <c r="E30" t="n">
        <v>81</v>
      </c>
    </row>
    <row r="31">
      <c r="A31" t="s">
        <v>311</v>
      </c>
      <c r="B31" t="n">
        <v>-0.5</v>
      </c>
      <c r="C31" t="n">
        <v>105</v>
      </c>
      <c r="D31" t="n">
        <v>-0.5</v>
      </c>
      <c r="E31" t="n">
        <v>57</v>
      </c>
    </row>
    <row r="32">
      <c r="A32" t="s">
        <v>312</v>
      </c>
      <c r="B32" t="n">
        <v>-1</v>
      </c>
      <c r="C32" t="n">
        <v>78</v>
      </c>
      <c r="D32" t="n">
        <v>-0.25</v>
      </c>
      <c r="E32" t="n">
        <v>94</v>
      </c>
    </row>
    <row r="33">
      <c r="A33" t="s">
        <v>312</v>
      </c>
      <c r="B33" t="n">
        <v>-0.75</v>
      </c>
      <c r="C33" t="n">
        <v>82</v>
      </c>
      <c r="D33" t="n">
        <v>-0.25</v>
      </c>
      <c r="E33" t="n">
        <v>88</v>
      </c>
    </row>
    <row r="34">
      <c r="A34" t="s">
        <v>311</v>
      </c>
      <c r="B34" t="n">
        <v>-0.25</v>
      </c>
      <c r="C34" t="n">
        <v>102</v>
      </c>
      <c r="D34" t="n">
        <v>-0.25</v>
      </c>
      <c r="E34" t="n">
        <v>122</v>
      </c>
    </row>
    <row r="35">
      <c r="A35" t="s">
        <v>312</v>
      </c>
      <c r="B35" t="n">
        <v>-0.25</v>
      </c>
      <c r="C35" t="n">
        <v>173</v>
      </c>
      <c r="D35" t="n">
        <v>-0.25</v>
      </c>
      <c r="E35" t="n">
        <v>4</v>
      </c>
    </row>
    <row r="36">
      <c r="A36" t="s">
        <v>312</v>
      </c>
      <c r="B36" t="n">
        <v>-0.25</v>
      </c>
      <c r="C36" t="n">
        <v>171</v>
      </c>
      <c r="D36" t="n">
        <v>-0.25</v>
      </c>
      <c r="E36" t="n">
        <v>167</v>
      </c>
    </row>
    <row r="37">
      <c r="A37" t="s">
        <v>311</v>
      </c>
      <c r="B37" t="n">
        <v>-0.25</v>
      </c>
      <c r="C37" t="n">
        <v>160</v>
      </c>
      <c r="D37" t="n">
        <v>-0.25</v>
      </c>
      <c r="E37" t="n">
        <v>157</v>
      </c>
    </row>
    <row r="38">
      <c r="A38" t="s">
        <v>312</v>
      </c>
      <c r="B38" t="n">
        <v>0</v>
      </c>
      <c r="C38" t="n">
        <v>111</v>
      </c>
      <c r="D38" t="n">
        <v>-0.25</v>
      </c>
      <c r="E38" t="n">
        <v>40</v>
      </c>
    </row>
    <row r="39">
      <c r="A39" t="s">
        <v>311</v>
      </c>
      <c r="B39" t="n">
        <v>-1.25</v>
      </c>
      <c r="C39" t="n">
        <v>94</v>
      </c>
      <c r="D39" t="n">
        <v>0</v>
      </c>
      <c r="E39" t="n">
        <v>97</v>
      </c>
    </row>
    <row r="40">
      <c r="A40" t="s">
        <v>312</v>
      </c>
      <c r="B40" t="n">
        <v>0</v>
      </c>
      <c r="C40" t="n">
        <v>84</v>
      </c>
      <c r="D40" t="n">
        <v>0</v>
      </c>
      <c r="E40" t="n">
        <v>113</v>
      </c>
    </row>
    <row r="41">
      <c r="A41" t="s">
        <v>311</v>
      </c>
      <c r="B41" t="n">
        <v>-2</v>
      </c>
      <c r="C41" t="n">
        <v>176</v>
      </c>
      <c r="D41" t="n">
        <v>0</v>
      </c>
      <c r="E41" t="n">
        <v>0</v>
      </c>
    </row>
    <row r="42">
      <c r="A42" t="s">
        <v>312</v>
      </c>
      <c r="B42" t="n">
        <v>-0.25</v>
      </c>
      <c r="C42" t="n">
        <v>2</v>
      </c>
      <c r="D42" t="n">
        <v>-0.25</v>
      </c>
      <c r="E42" t="n">
        <v>26</v>
      </c>
    </row>
    <row r="43">
      <c r="A43" t="s">
        <v>311</v>
      </c>
      <c r="B43" t="n">
        <v>-0.5</v>
      </c>
      <c r="C43" t="n">
        <v>99</v>
      </c>
      <c r="D43" t="n">
        <v>0</v>
      </c>
      <c r="E43" t="n">
        <v>110</v>
      </c>
    </row>
    <row r="44">
      <c r="A44" t="s">
        <v>312</v>
      </c>
      <c r="B44" t="n">
        <v>-0.5</v>
      </c>
      <c r="C44" t="n">
        <v>165</v>
      </c>
      <c r="D44" t="n">
        <v>-0.5</v>
      </c>
      <c r="E44" t="n">
        <v>162</v>
      </c>
    </row>
    <row r="45">
      <c r="A45" t="s">
        <v>311</v>
      </c>
      <c r="B45" t="n">
        <v>-0.75</v>
      </c>
      <c r="C45" t="n">
        <v>112</v>
      </c>
      <c r="D45" t="n">
        <v>-0.5</v>
      </c>
      <c r="E45" t="n">
        <v>108</v>
      </c>
    </row>
    <row r="46">
      <c r="A46" t="s">
        <v>312</v>
      </c>
      <c r="B46" t="n">
        <v>-0.75</v>
      </c>
      <c r="C46" t="n">
        <v>166</v>
      </c>
      <c r="D46" t="n">
        <v>0</v>
      </c>
      <c r="E46" t="n">
        <v>164</v>
      </c>
    </row>
    <row r="47">
      <c r="A47" t="s">
        <v>312</v>
      </c>
      <c r="B47" t="n">
        <v>-1.75</v>
      </c>
      <c r="C47" t="n">
        <v>179</v>
      </c>
      <c r="D47" t="n">
        <v>-0.25</v>
      </c>
      <c r="E47" t="n">
        <v>12</v>
      </c>
    </row>
    <row r="48">
      <c r="A48" t="s">
        <v>311</v>
      </c>
      <c r="B48" t="n">
        <v>-0.75</v>
      </c>
      <c r="C48" t="n">
        <v>178</v>
      </c>
      <c r="D48" t="n">
        <v>-0.25</v>
      </c>
      <c r="E48" t="n">
        <v>6</v>
      </c>
    </row>
    <row r="49">
      <c r="A49" t="s">
        <v>312</v>
      </c>
      <c r="B49" t="n">
        <v>-2</v>
      </c>
      <c r="C49" t="n">
        <v>14</v>
      </c>
      <c r="D49" t="n">
        <v>-0.25</v>
      </c>
      <c r="E49" t="n">
        <v>13</v>
      </c>
    </row>
    <row r="50">
      <c r="A50" t="s">
        <v>311</v>
      </c>
      <c r="B50" t="n">
        <v>-0.25</v>
      </c>
      <c r="C50" t="n">
        <v>6</v>
      </c>
      <c r="D50" t="n">
        <v>-0.5</v>
      </c>
      <c r="E50" t="n">
        <v>172</v>
      </c>
    </row>
    <row r="51">
      <c r="A51" t="s">
        <v>311</v>
      </c>
      <c r="B51" t="n">
        <v>-1</v>
      </c>
      <c r="C51" t="n">
        <v>168</v>
      </c>
      <c r="D51" t="n">
        <v>0</v>
      </c>
      <c r="E51" t="n">
        <v>152</v>
      </c>
    </row>
    <row r="52">
      <c r="A52" t="s">
        <v>312</v>
      </c>
      <c r="B52" t="n">
        <v>-1.25</v>
      </c>
      <c r="C52" t="n">
        <v>9</v>
      </c>
      <c r="D52" t="n">
        <v>-0.25</v>
      </c>
      <c r="E52" t="n">
        <v>10</v>
      </c>
    </row>
    <row r="53">
      <c r="A53" t="s">
        <v>311</v>
      </c>
      <c r="B53" t="n">
        <v>-0.25</v>
      </c>
      <c r="C53" t="n">
        <v>89</v>
      </c>
      <c r="D53" t="n">
        <v>-0.25</v>
      </c>
      <c r="E53" t="n">
        <v>86</v>
      </c>
    </row>
    <row r="54">
      <c r="A54" t="s">
        <v>312</v>
      </c>
      <c r="B54" t="n">
        <v>-0.5</v>
      </c>
      <c r="C54" t="n">
        <v>96</v>
      </c>
      <c r="D54" t="n">
        <v>-0.5</v>
      </c>
      <c r="E54" t="n">
        <v>99</v>
      </c>
    </row>
    <row r="55">
      <c r="A55" t="s">
        <v>311</v>
      </c>
      <c r="B55" t="n">
        <v>-0.25</v>
      </c>
      <c r="C55" t="n">
        <v>163</v>
      </c>
      <c r="D55" t="n">
        <v>-0.25</v>
      </c>
      <c r="E55" t="n">
        <v>162</v>
      </c>
    </row>
    <row r="56">
      <c r="A56" t="s">
        <v>312</v>
      </c>
      <c r="B56" t="n">
        <v>-0.5</v>
      </c>
      <c r="C56" t="n">
        <v>55</v>
      </c>
      <c r="D56" t="n">
        <v>-0.5</v>
      </c>
      <c r="E56" t="n">
        <v>78</v>
      </c>
    </row>
    <row r="57">
      <c r="A57" t="s">
        <v>311</v>
      </c>
      <c r="B57" t="n">
        <v>-1.5</v>
      </c>
      <c r="C57" t="n">
        <v>95</v>
      </c>
      <c r="D57" t="n">
        <v>-0.5</v>
      </c>
      <c r="E57" t="n">
        <v>91</v>
      </c>
    </row>
    <row r="58">
      <c r="A58" t="s">
        <v>312</v>
      </c>
      <c r="B58" t="n">
        <v>-1</v>
      </c>
      <c r="C58" t="n">
        <v>169</v>
      </c>
      <c r="D58" t="n">
        <v>0</v>
      </c>
      <c r="E58" t="n">
        <v>167</v>
      </c>
    </row>
    <row r="59">
      <c r="A59" t="s">
        <v>311</v>
      </c>
      <c r="B59" t="n">
        <v>-0.25</v>
      </c>
      <c r="C59" t="n">
        <v>20</v>
      </c>
      <c r="D59" t="n">
        <v>-0.25</v>
      </c>
      <c r="E59" t="n">
        <v>7</v>
      </c>
    </row>
    <row r="60">
      <c r="A60" t="s">
        <v>312</v>
      </c>
      <c r="B60" t="n">
        <v>-0.5</v>
      </c>
      <c r="C60" t="n">
        <v>97</v>
      </c>
      <c r="D60" t="n">
        <v>-0.5</v>
      </c>
      <c r="E60" t="n">
        <v>93</v>
      </c>
    </row>
    <row r="61">
      <c r="A61" t="s">
        <v>311</v>
      </c>
      <c r="B61" t="n">
        <v>-0.5</v>
      </c>
      <c r="C61" t="n">
        <v>179</v>
      </c>
      <c r="D61" t="n">
        <v>0</v>
      </c>
      <c r="E61" t="n">
        <v>93</v>
      </c>
    </row>
    <row r="62">
      <c r="A62" t="s">
        <v>312</v>
      </c>
      <c r="B62" t="n">
        <v>-0.25</v>
      </c>
      <c r="C62" t="n">
        <v>14</v>
      </c>
      <c r="D62" t="n">
        <v>-0.25</v>
      </c>
      <c r="E62" t="n">
        <v>162</v>
      </c>
    </row>
    <row r="63">
      <c r="A63" t="s">
        <v>312</v>
      </c>
      <c r="B63" t="n">
        <v>-0.25</v>
      </c>
      <c r="C63" t="n">
        <v>85</v>
      </c>
      <c r="D63" t="n">
        <v>-0.25</v>
      </c>
      <c r="E63" t="n">
        <v>59</v>
      </c>
    </row>
    <row r="64">
      <c r="A64" t="s">
        <v>312</v>
      </c>
      <c r="B64" t="n">
        <v>-1</v>
      </c>
      <c r="C64" t="n">
        <v>21</v>
      </c>
      <c r="D64" t="n">
        <v>-0.25</v>
      </c>
      <c r="E64" t="n">
        <v>28</v>
      </c>
    </row>
    <row r="65">
      <c r="A65" t="s">
        <v>312</v>
      </c>
      <c r="B65" t="n">
        <v>-1.5</v>
      </c>
      <c r="C65" t="n">
        <v>23</v>
      </c>
      <c r="D65" t="n">
        <v>0</v>
      </c>
      <c r="E65" t="n">
        <v>18</v>
      </c>
    </row>
    <row r="66">
      <c r="A66" t="s">
        <v>311</v>
      </c>
      <c r="B66" t="n">
        <v>-0.5</v>
      </c>
      <c r="C66" t="n">
        <v>157</v>
      </c>
      <c r="D66" t="n">
        <v>0</v>
      </c>
      <c r="E66" t="n">
        <v>153</v>
      </c>
    </row>
    <row r="67">
      <c r="A67" t="s">
        <v>312</v>
      </c>
      <c r="B67" t="n">
        <v>-0.75</v>
      </c>
      <c r="C67" t="n">
        <v>6</v>
      </c>
      <c r="D67" t="n">
        <v>-0.5</v>
      </c>
      <c r="E67" t="n">
        <v>48</v>
      </c>
    </row>
    <row r="68">
      <c r="A68" t="s">
        <v>311</v>
      </c>
      <c r="B68" t="n">
        <v>-0.5</v>
      </c>
      <c r="C68" t="n">
        <v>23</v>
      </c>
      <c r="D68" t="n">
        <v>0</v>
      </c>
      <c r="E68" t="n">
        <v>124</v>
      </c>
    </row>
    <row r="69">
      <c r="A69" t="s">
        <v>311</v>
      </c>
      <c r="B69" t="n">
        <v>-0.5</v>
      </c>
      <c r="C69" t="n">
        <v>164</v>
      </c>
      <c r="D69" t="n">
        <v>-0.25</v>
      </c>
      <c r="E69" t="n">
        <v>133</v>
      </c>
    </row>
    <row r="70">
      <c r="A70" t="s">
        <v>312</v>
      </c>
      <c r="B70" t="n">
        <v>-1</v>
      </c>
      <c r="C70" t="n">
        <v>20</v>
      </c>
      <c r="D70" t="n">
        <v>-0.25</v>
      </c>
      <c r="E70" t="n">
        <v>16</v>
      </c>
    </row>
    <row r="71">
      <c r="A71" t="s">
        <v>311</v>
      </c>
      <c r="B71" t="n">
        <v>-0.5</v>
      </c>
      <c r="C71" t="n">
        <v>23</v>
      </c>
      <c r="D71" t="n">
        <v>-0.25</v>
      </c>
      <c r="E71" t="n">
        <v>33</v>
      </c>
    </row>
    <row r="72">
      <c r="A72" t="s">
        <v>311</v>
      </c>
      <c r="B72" t="n">
        <v>0</v>
      </c>
      <c r="C72" t="n">
        <v>92</v>
      </c>
      <c r="D72" t="n">
        <v>-0.25</v>
      </c>
      <c r="E72" t="n">
        <v>70</v>
      </c>
    </row>
    <row r="73">
      <c r="A73" t="s">
        <v>312</v>
      </c>
      <c r="B73" t="n">
        <v>-0.5</v>
      </c>
      <c r="C73" t="n">
        <v>159</v>
      </c>
      <c r="D73" t="n">
        <v>-0.25</v>
      </c>
      <c r="E73" t="n">
        <v>6</v>
      </c>
    </row>
    <row r="74">
      <c r="A74" t="s">
        <v>311</v>
      </c>
      <c r="B74" t="n">
        <v>-1</v>
      </c>
      <c r="C74" t="n">
        <v>101</v>
      </c>
      <c r="D74" t="n">
        <v>-0.5</v>
      </c>
      <c r="E74" t="n">
        <v>74</v>
      </c>
    </row>
    <row r="75">
      <c r="A75" t="s">
        <v>312</v>
      </c>
      <c r="B75" t="n">
        <v>-0.75</v>
      </c>
      <c r="C75" t="n">
        <v>3</v>
      </c>
      <c r="D75" t="n">
        <v>-0.25</v>
      </c>
      <c r="E75" t="n">
        <v>119</v>
      </c>
    </row>
    <row r="76">
      <c r="A76" t="s">
        <v>311</v>
      </c>
      <c r="B76" t="n">
        <v>-0.5</v>
      </c>
      <c r="C76" t="n">
        <v>81</v>
      </c>
      <c r="D76" t="n">
        <v>-0.5</v>
      </c>
      <c r="E76" t="n">
        <v>60</v>
      </c>
    </row>
    <row r="77">
      <c r="A77" t="s">
        <v>312</v>
      </c>
      <c r="B77" t="n">
        <v>-0.5</v>
      </c>
      <c r="C77" t="n">
        <v>2</v>
      </c>
      <c r="D77" t="n">
        <v>-0.25</v>
      </c>
      <c r="E77" t="n">
        <v>18</v>
      </c>
    </row>
    <row r="78">
      <c r="A78" t="s">
        <v>311</v>
      </c>
      <c r="B78" t="n">
        <v>-1.25</v>
      </c>
      <c r="C78" t="n">
        <v>175</v>
      </c>
      <c r="D78" t="n">
        <v>-0.25</v>
      </c>
      <c r="E78" t="n">
        <v>3</v>
      </c>
    </row>
    <row r="79">
      <c r="A79" t="s">
        <v>312</v>
      </c>
      <c r="B79" t="n">
        <v>-0.75</v>
      </c>
      <c r="C79" t="n">
        <v>8</v>
      </c>
      <c r="D79" t="n">
        <v>0</v>
      </c>
      <c r="E79" t="n">
        <v>17</v>
      </c>
    </row>
    <row r="80">
      <c r="A80" t="s">
        <v>311</v>
      </c>
      <c r="B80" t="n">
        <v>-1</v>
      </c>
      <c r="C80" t="n">
        <v>3</v>
      </c>
      <c r="D80" t="n">
        <v>0</v>
      </c>
      <c r="E80" t="n">
        <v>37</v>
      </c>
    </row>
    <row r="81">
      <c r="A81" t="s">
        <v>312</v>
      </c>
      <c r="B81" t="n">
        <v>-0.25</v>
      </c>
      <c r="C81" t="n">
        <v>167</v>
      </c>
      <c r="D81" t="n">
        <v>-0.25</v>
      </c>
      <c r="E81" t="n">
        <v>13</v>
      </c>
    </row>
    <row r="82">
      <c r="A82" t="s">
        <v>311</v>
      </c>
      <c r="B82" t="n">
        <v>-0.5</v>
      </c>
      <c r="C82" t="n">
        <v>4</v>
      </c>
      <c r="D82" t="n">
        <v>-0.5</v>
      </c>
      <c r="E82" t="n">
        <v>133</v>
      </c>
    </row>
    <row r="83">
      <c r="A83" t="s">
        <v>312</v>
      </c>
      <c r="B83" t="n">
        <v>0</v>
      </c>
      <c r="C83" t="n">
        <v>100</v>
      </c>
      <c r="D83" t="n">
        <v>-0.25</v>
      </c>
      <c r="E83" t="n">
        <v>73</v>
      </c>
    </row>
    <row r="84">
      <c r="A84" t="s">
        <v>311</v>
      </c>
      <c r="B84" t="n">
        <v>-0.25</v>
      </c>
      <c r="C84" t="n">
        <v>166</v>
      </c>
      <c r="D84" t="n">
        <v>-0.75</v>
      </c>
      <c r="E84" t="n">
        <v>166</v>
      </c>
    </row>
    <row r="85">
      <c r="A85" t="s">
        <v>312</v>
      </c>
      <c r="B85" t="n">
        <v>-0.75</v>
      </c>
      <c r="C85" t="n">
        <v>171</v>
      </c>
      <c r="D85" t="n">
        <v>0</v>
      </c>
      <c r="E85" t="n">
        <v>147</v>
      </c>
    </row>
    <row r="86">
      <c r="A86" t="s">
        <v>311</v>
      </c>
      <c r="B86" t="n">
        <v>-0.5</v>
      </c>
      <c r="C86" t="n">
        <v>171</v>
      </c>
      <c r="D86" t="n">
        <v>-0.25</v>
      </c>
      <c r="E86" t="n">
        <v>15</v>
      </c>
    </row>
    <row r="87">
      <c r="A87" t="s">
        <v>312</v>
      </c>
      <c r="B87" t="n">
        <v>-1</v>
      </c>
      <c r="C87" t="n">
        <v>108</v>
      </c>
      <c r="D87" t="n">
        <v>-0.5</v>
      </c>
      <c r="E87" t="n">
        <v>121</v>
      </c>
    </row>
    <row r="88">
      <c r="A88" t="s">
        <v>312</v>
      </c>
      <c r="B88" t="n">
        <v>-0.25</v>
      </c>
      <c r="C88" t="n">
        <v>172</v>
      </c>
      <c r="D88" t="n">
        <v>0</v>
      </c>
      <c r="E88" t="n">
        <v>130</v>
      </c>
    </row>
    <row r="89">
      <c r="A89" t="s">
        <v>312</v>
      </c>
      <c r="B89" t="n">
        <v>-0.25</v>
      </c>
      <c r="C89" t="n">
        <v>156</v>
      </c>
      <c r="D89" t="n">
        <v>0</v>
      </c>
      <c r="E89" t="n">
        <v>133</v>
      </c>
    </row>
    <row r="90">
      <c r="A90" t="s">
        <v>311</v>
      </c>
      <c r="B90" t="n">
        <v>-1</v>
      </c>
      <c r="C90" t="n">
        <v>178</v>
      </c>
      <c r="D90" t="n">
        <v>-0.5</v>
      </c>
      <c r="E90" t="n">
        <v>175</v>
      </c>
    </row>
    <row r="91">
      <c r="A91" t="s">
        <v>312</v>
      </c>
      <c r="B91" t="n">
        <v>-1.25</v>
      </c>
      <c r="C91" t="n">
        <v>81</v>
      </c>
      <c r="D91" t="n">
        <v>0</v>
      </c>
      <c r="E91" t="n">
        <v>80</v>
      </c>
    </row>
    <row r="92">
      <c r="A92" t="s">
        <v>311</v>
      </c>
      <c r="B92" t="n">
        <v>-0.25</v>
      </c>
      <c r="C92" t="n">
        <v>84</v>
      </c>
      <c r="D92" t="n">
        <v>-0.25</v>
      </c>
      <c r="E92" t="n">
        <v>61</v>
      </c>
    </row>
    <row r="93">
      <c r="A93" t="s">
        <v>311</v>
      </c>
      <c r="B93" t="n">
        <v>-1</v>
      </c>
      <c r="C93" t="n">
        <v>22</v>
      </c>
      <c r="D93" t="n">
        <v>-0.25</v>
      </c>
      <c r="E93" t="n">
        <v>50</v>
      </c>
    </row>
    <row r="94">
      <c r="A94" t="s">
        <v>312</v>
      </c>
      <c r="B94" t="n">
        <v>0</v>
      </c>
      <c r="C94" t="n">
        <v>1</v>
      </c>
      <c r="D94" t="n">
        <v>0</v>
      </c>
      <c r="E94" t="n">
        <v>158</v>
      </c>
    </row>
    <row r="95">
      <c r="A95" t="s">
        <v>311</v>
      </c>
      <c r="B95" t="n">
        <v>0</v>
      </c>
      <c r="C95" t="n">
        <v>155</v>
      </c>
      <c r="D95" t="n">
        <v>-0.25</v>
      </c>
      <c r="E95" t="n">
        <v>145</v>
      </c>
    </row>
    <row r="96">
      <c r="A96" t="s">
        <v>312</v>
      </c>
      <c r="B96" t="n">
        <v>-0.5</v>
      </c>
      <c r="C96" t="n">
        <v>179</v>
      </c>
      <c r="D96" t="n">
        <v>0</v>
      </c>
      <c r="E96" t="n">
        <v>177</v>
      </c>
    </row>
    <row r="97">
      <c r="A97" t="s">
        <v>311</v>
      </c>
      <c r="B97" t="n">
        <v>0</v>
      </c>
      <c r="C97" t="n">
        <v>110</v>
      </c>
      <c r="D97" t="n">
        <v>-0.5</v>
      </c>
      <c r="E97" t="n">
        <v>172</v>
      </c>
    </row>
    <row r="98">
      <c r="A98" t="s">
        <v>311</v>
      </c>
      <c r="B98" t="n">
        <v>-1.25</v>
      </c>
      <c r="C98" t="n">
        <v>18</v>
      </c>
      <c r="D98" t="n">
        <v>-0.5</v>
      </c>
      <c r="E98" t="n">
        <v>42</v>
      </c>
    </row>
    <row r="99">
      <c r="A99" t="s">
        <v>312</v>
      </c>
      <c r="B99" t="n">
        <v>-0.75</v>
      </c>
      <c r="C99" t="n">
        <v>158</v>
      </c>
      <c r="D99" t="n">
        <v>-0.25</v>
      </c>
      <c r="E99" t="n">
        <v>173</v>
      </c>
    </row>
    <row r="100">
      <c r="A100" t="s">
        <v>311</v>
      </c>
      <c r="B100" t="n">
        <v>0</v>
      </c>
      <c r="C100" t="n">
        <v>10</v>
      </c>
      <c r="D100" t="n">
        <v>0</v>
      </c>
      <c r="E100" t="n">
        <v>37</v>
      </c>
    </row>
    <row r="101">
      <c r="A101" t="s">
        <v>312</v>
      </c>
      <c r="B101" t="n">
        <v>-0.25</v>
      </c>
      <c r="C101" t="n">
        <v>10</v>
      </c>
      <c r="D101" t="n">
        <v>0</v>
      </c>
      <c r="E101" t="n">
        <v>64</v>
      </c>
    </row>
    <row r="102">
      <c r="A102" t="s">
        <v>312</v>
      </c>
      <c r="B102" t="n">
        <v>-1</v>
      </c>
      <c r="C102" t="n">
        <v>106</v>
      </c>
      <c r="D102" t="n">
        <v>-0.5</v>
      </c>
      <c r="E102" t="n">
        <v>123</v>
      </c>
    </row>
    <row r="103">
      <c r="A103" t="s">
        <v>311</v>
      </c>
      <c r="B103" t="n">
        <v>0</v>
      </c>
      <c r="C103" t="n">
        <v>0</v>
      </c>
      <c r="D103" t="n">
        <v>-0.25</v>
      </c>
      <c r="E103" t="n">
        <v>100</v>
      </c>
    </row>
    <row r="104">
      <c r="A104" t="s">
        <v>312</v>
      </c>
      <c r="B104" t="n">
        <v>-1</v>
      </c>
      <c r="C104" t="n">
        <v>1</v>
      </c>
      <c r="D104" t="n">
        <v>-0.25</v>
      </c>
      <c r="E104" t="n">
        <v>17</v>
      </c>
    </row>
    <row r="105">
      <c r="A105" t="s">
        <v>311</v>
      </c>
      <c r="B105" t="n">
        <v>-0.5</v>
      </c>
      <c r="C105" t="n">
        <v>163</v>
      </c>
      <c r="D105" t="n">
        <v>-0.25</v>
      </c>
      <c r="E105" t="n">
        <v>150</v>
      </c>
    </row>
    <row r="106">
      <c r="A106" t="s">
        <v>312</v>
      </c>
      <c r="B106" t="n">
        <v>-0.5</v>
      </c>
      <c r="C106" t="n">
        <v>10</v>
      </c>
      <c r="D106" t="n">
        <v>0</v>
      </c>
      <c r="E106" t="n">
        <v>163</v>
      </c>
    </row>
    <row r="107">
      <c r="A107" t="s">
        <v>311</v>
      </c>
      <c r="B107" t="n">
        <v>-0.25</v>
      </c>
      <c r="C107" t="n">
        <v>136</v>
      </c>
      <c r="D107" t="n">
        <v>0</v>
      </c>
      <c r="E107" t="n">
        <v>144</v>
      </c>
    </row>
  </sheetData>
  <pageMargins left="0.7" right="0.7" top="0.75" bottom="0.75" header="0.3" footer="0.3"/>
  <pageSetup paperSize="9" orientation="portrait" horizontalDpi="300" verticalDpi="300" r:id="rId2"/>
  <tableParts count="1">
    <tablePart r:id="rId9"/>
  </tableParts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30.71" hidden="0" customWidth="1"/>
    <col min="2" max="2" width="80.71" hidden="0" customWidth="1"/>
  </cols>
  <sheetData>
    <row r="1">
      <c r="A1" t="s">
        <v>567</v>
      </c>
      <c r="B1" t="s">
        <v>5</v>
      </c>
    </row>
    <row r="2">
      <c r="A2" t="s">
        <v>1367</v>
      </c>
      <c r="B2" t="s">
        <v>1368</v>
      </c>
    </row>
    <row r="3">
      <c r="A3" t="s">
        <v>1369</v>
      </c>
      <c r="B3" t="s">
        <v>1368</v>
      </c>
    </row>
    <row r="4">
      <c r="A4" t="s">
        <v>1370</v>
      </c>
      <c r="B4" t="s">
        <v>1371</v>
      </c>
    </row>
    <row r="5">
      <c r="A5" t="s">
        <v>1372</v>
      </c>
      <c r="B5" t="s">
        <v>1373</v>
      </c>
    </row>
    <row r="6">
      <c r="A6" t="s">
        <v>1374</v>
      </c>
      <c r="B6" t="s">
        <v>1375</v>
      </c>
    </row>
    <row r="7">
      <c r="A7" t="s">
        <v>1376</v>
      </c>
      <c r="B7" t="s">
        <v>1377</v>
      </c>
    </row>
    <row r="8">
      <c r="A8" t="s">
        <v>1378</v>
      </c>
      <c r="B8" t="s">
        <v>1379</v>
      </c>
    </row>
    <row r="9">
      <c r="A9" t="s">
        <v>1380</v>
      </c>
      <c r="B9" t="s">
        <v>1381</v>
      </c>
    </row>
    <row r="10">
      <c r="A10" t="s">
        <v>1382</v>
      </c>
      <c r="B10" t="s">
        <v>1383</v>
      </c>
    </row>
    <row r="11">
      <c r="A11" t="s">
        <v>1384</v>
      </c>
      <c r="B11" t="s">
        <v>1385</v>
      </c>
    </row>
    <row r="12">
      <c r="A12" t="s">
        <v>1386</v>
      </c>
      <c r="B12" t="s">
        <v>1387</v>
      </c>
    </row>
    <row r="13">
      <c r="A13" t="s">
        <v>1388</v>
      </c>
      <c r="B13" t="s">
        <v>1389</v>
      </c>
    </row>
    <row r="14">
      <c r="A14" t="s">
        <v>1390</v>
      </c>
      <c r="B14" t="s">
        <v>1391</v>
      </c>
    </row>
    <row r="15">
      <c r="A15" t="s">
        <v>1392</v>
      </c>
      <c r="B15" t="s">
        <v>9</v>
      </c>
    </row>
    <row r="16">
      <c r="A16" t="s">
        <v>1393</v>
      </c>
      <c r="B16" t="s">
        <v>1394</v>
      </c>
    </row>
    <row r="17">
      <c r="A17" t="s">
        <v>28</v>
      </c>
      <c r="B17" t="s">
        <v>1395</v>
      </c>
    </row>
    <row r="18">
      <c r="A18" t="s">
        <v>584</v>
      </c>
      <c r="B18" t="s">
        <v>30</v>
      </c>
    </row>
    <row r="19">
      <c r="A19" t="s">
        <v>1396</v>
      </c>
      <c r="B19" t="s">
        <v>1397</v>
      </c>
    </row>
    <row r="20">
      <c r="A20" t="s">
        <v>1398</v>
      </c>
      <c r="B20" t="s">
        <v>1399</v>
      </c>
    </row>
    <row r="21">
      <c r="A21" t="s">
        <v>1400</v>
      </c>
      <c r="B21" t="s">
        <v>1401</v>
      </c>
    </row>
    <row r="22">
      <c r="A22" t="s">
        <v>1402</v>
      </c>
      <c r="B22" t="s">
        <v>1403</v>
      </c>
    </row>
    <row r="23">
      <c r="A23" t="s">
        <v>1404</v>
      </c>
      <c r="B23" t="s">
        <v>1405</v>
      </c>
    </row>
    <row r="24">
      <c r="A24" t="s">
        <v>1406</v>
      </c>
      <c r="B24" t="s">
        <v>1407</v>
      </c>
    </row>
    <row r="25">
      <c r="A25" t="s">
        <v>1408</v>
      </c>
      <c r="B25" t="s">
        <v>1409</v>
      </c>
    </row>
    <row r="26">
      <c r="A26" t="s">
        <v>1410</v>
      </c>
      <c r="B26" t="s">
        <v>411</v>
      </c>
    </row>
    <row r="27">
      <c r="A27" t="s">
        <v>1411</v>
      </c>
      <c r="B27" t="s">
        <v>1412</v>
      </c>
    </row>
    <row r="28">
      <c r="A28" t="s">
        <v>1413</v>
      </c>
      <c r="B28" t="s">
        <v>1414</v>
      </c>
    </row>
    <row r="29">
      <c r="A29" t="s">
        <v>1415</v>
      </c>
      <c r="B29" t="s">
        <v>1414</v>
      </c>
    </row>
    <row r="30">
      <c r="A30" t="s">
        <v>1416</v>
      </c>
      <c r="B30" t="s">
        <v>1417</v>
      </c>
    </row>
    <row r="31">
      <c r="A31" t="s">
        <v>1418</v>
      </c>
      <c r="B31" t="s">
        <v>1419</v>
      </c>
    </row>
    <row r="32">
      <c r="A32" t="s">
        <v>1420</v>
      </c>
      <c r="B32" t="s">
        <v>1421</v>
      </c>
    </row>
    <row r="33">
      <c r="A33" t="s">
        <v>1422</v>
      </c>
      <c r="B33" t="s">
        <v>1423</v>
      </c>
    </row>
    <row r="34">
      <c r="A34" t="s">
        <v>1424</v>
      </c>
      <c r="B34" t="s">
        <v>1425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34.71" hidden="0" customWidth="1"/>
    <col min="2" max="2" width="44.71" hidden="0" customWidth="1"/>
    <col min="3" max="3" width="90.71" hidden="0" customWidth="1"/>
  </cols>
  <sheetData>
    <row r="1">
      <c r="A1" t="s">
        <v>1386</v>
      </c>
      <c r="B1" t="s">
        <v>1426</v>
      </c>
      <c r="C1" t="s">
        <v>4</v>
      </c>
    </row>
    <row r="2">
      <c r="A2" s="11" t="str">
        <f>HYPERLINK("#'Manifest'!A1", "Manifest")</f>
      </c>
      <c r="B2" t="s">
        <v>1427</v>
      </c>
      <c r="C2" t="s">
        <v>1428</v>
      </c>
    </row>
    <row r="3">
      <c r="A3" s="11" t="str">
        <f>HYPERLINK("#'Overview'!A1", "Overview")</f>
      </c>
      <c r="B3" t="s">
        <v>1429</v>
      </c>
      <c r="C3" t="s">
        <v>1430</v>
      </c>
    </row>
    <row r="4">
      <c r="A4" s="11" t="str">
        <f>HYPERLINK("#'Baseline &amp; Preop Summary'!A1", "Baseline &amp; Preop Summary")</f>
      </c>
      <c r="B4" t="s">
        <v>1431</v>
      </c>
      <c r="C4" t="s">
        <v>1432</v>
      </c>
    </row>
    <row r="5">
      <c r="A5" s="11" t="str">
        <f>HYPERLINK("#'Outcome Summary'!A1", "Outcome Summary")</f>
      </c>
      <c r="B5" t="s">
        <v>1433</v>
      </c>
      <c r="C5" t="s">
        <v>1434</v>
      </c>
    </row>
    <row r="6">
      <c r="A6" s="11" t="str">
        <f>HYPERLINK("#'Publication Table'!A1", "Publication Table")</f>
      </c>
      <c r="B6" t="s">
        <v>1435</v>
      </c>
      <c r="C6" t="s">
        <v>1436</v>
      </c>
    </row>
    <row r="7">
      <c r="A7" s="11" t="str">
        <f>HYPERLINK("#'mEYEstro_Control'!A1", "mEYEstro_Control")</f>
      </c>
      <c r="B7" t="s">
        <v>1437</v>
      </c>
      <c r="C7" t="s">
        <v>1438</v>
      </c>
    </row>
    <row r="8">
      <c r="A8" s="11" t="str">
        <f>HYPERLINK("#'mEYEstro_Diabetes'!A1", "mEYEstro_Diabetes")</f>
      </c>
      <c r="B8" t="s">
        <v>1439</v>
      </c>
      <c r="C8" t="s">
        <v>1438</v>
      </c>
    </row>
    <row r="9">
      <c r="A9" s="11" t="str">
        <f>HYPERLINK("#'mEYEstro_Autoimmune'!A1", "mEYEstro_Autoimmune")</f>
      </c>
      <c r="B9" t="s">
        <v>1440</v>
      </c>
      <c r="C9" t="s">
        <v>1438</v>
      </c>
    </row>
    <row r="10">
      <c r="A10" s="11" t="str">
        <f>HYPERLINK("#'AstigMATIC_Control'!A1", "AstigMATIC_Control")</f>
      </c>
      <c r="B10" t="s">
        <v>1441</v>
      </c>
      <c r="C10" t="s">
        <v>1442</v>
      </c>
    </row>
    <row r="11">
      <c r="A11" s="11" t="str">
        <f>HYPERLINK("#'AstigMATIC_Diabetes'!A1", "AstigMATIC_Diabetes")</f>
      </c>
      <c r="B11" t="s">
        <v>1443</v>
      </c>
      <c r="C11" t="s">
        <v>1442</v>
      </c>
    </row>
    <row r="12">
      <c r="A12" s="11" t="str">
        <f>HYPERLINK("#'AstigMATIC_Autoimmune'!A1", "AstigMATIC_Autoimmune")</f>
      </c>
      <c r="B12" t="s">
        <v>1444</v>
      </c>
      <c r="C12" t="s">
        <v>1442</v>
      </c>
    </row>
    <row r="13">
      <c r="A13" s="11" t="str">
        <f>HYPERLINK("#'GEE_Main_Unmatched_Base'!A1", "GEE_Main_Unmatched_Base")</f>
      </c>
      <c r="B13" t="s">
        <v>1445</v>
      </c>
      <c r="C13" t="s">
        <v>1446</v>
      </c>
    </row>
    <row r="14">
      <c r="A14" s="11" t="str">
        <f>HYPERLINK("#'GEE_Main_Unmatched_Preop'!A1", "GEE_Main_Unmatched_Preop")</f>
      </c>
      <c r="B14" t="s">
        <v>1447</v>
      </c>
      <c r="C14" t="s">
        <v>1446</v>
      </c>
    </row>
    <row r="15">
      <c r="A15" s="11" t="str">
        <f>HYPERLINK("#'GEE_Main_Unmatched_Out'!A1", "GEE_Main_Unmatched_Out")</f>
      </c>
      <c r="B15" t="s">
        <v>1448</v>
      </c>
      <c r="C15" t="s">
        <v>1446</v>
      </c>
    </row>
    <row r="16">
      <c r="A16" s="11" t="str">
        <f>HYPERLINK("#'GEE_Adj_Unmatched_Base'!A1", "GEE_Adj_Unmatched_Base")</f>
      </c>
      <c r="B16" t="s">
        <v>1449</v>
      </c>
      <c r="C16" t="s">
        <v>1450</v>
      </c>
    </row>
    <row r="17">
      <c r="A17" s="11" t="str">
        <f>HYPERLINK("#'GEE_Adj_Unmatched_Preop'!A1", "GEE_Adj_Unmatched_Preop")</f>
      </c>
      <c r="B17" t="s">
        <v>1451</v>
      </c>
      <c r="C17" t="s">
        <v>1450</v>
      </c>
    </row>
    <row r="18">
      <c r="A18" s="11" t="str">
        <f>HYPERLINK("#'GEE_Adj_Unmatched_Out'!A1", "GEE_Adj_Unmatched_Out")</f>
      </c>
      <c r="B18" t="s">
        <v>1452</v>
      </c>
      <c r="C18" t="s">
        <v>1450</v>
      </c>
    </row>
    <row r="19">
      <c r="A19" s="11" t="str">
        <f>HYPERLINK("#'Regression (adjusted)'!A1", "Regression (adjusted)")</f>
      </c>
      <c r="B19" t="s">
        <v>1453</v>
      </c>
      <c r="C19" t="s">
        <v>1454</v>
      </c>
    </row>
    <row r="20">
      <c r="A20" s="11" t="str">
        <f>HYPERLINK("#'PSM_Diabetes_vs_Control'!A1", "PSM_Diabetes_vs_Control")</f>
      </c>
      <c r="B20" t="s">
        <v>1455</v>
      </c>
      <c r="C20" t="s">
        <v>1456</v>
      </c>
    </row>
    <row r="21">
      <c r="A21" s="11" t="str">
        <f>HYPERLINK("#'GEE_M_Diabetes_vs_Control'!A1", "GEE_M_Diabetes_vs_Control")</f>
      </c>
      <c r="B21" t="s">
        <v>1457</v>
      </c>
      <c r="C21" t="s">
        <v>1458</v>
      </c>
    </row>
    <row r="22">
      <c r="A22" s="11" t="str">
        <f>HYPERLINK("#'GEE_Adj_M_Diabetes_vs_Control'!A1", "GEE_Adj_M_Diabetes_vs_Control")</f>
      </c>
      <c r="B22" t="s">
        <v>1459</v>
      </c>
      <c r="C22" t="s">
        <v>1460</v>
      </c>
    </row>
    <row r="23">
      <c r="A23" s="11" t="str">
        <f>HYPERLINK("#'Reg_M_Diabetes_vs_Control'!A1", "Reg_M_Diabetes_vs_Control")</f>
      </c>
      <c r="B23" t="s">
        <v>1461</v>
      </c>
      <c r="C23" t="s">
        <v>1462</v>
      </c>
    </row>
    <row r="24">
      <c r="A24" s="11" t="str">
        <f>HYPERLINK("#'BasePreop_M_Diabetes_vs_Control'!A1", "BasePreop_M_Diabetes_vs_Control")</f>
      </c>
      <c r="B24" t="s">
        <v>1463</v>
      </c>
      <c r="C24" t="s">
        <v>1464</v>
      </c>
    </row>
    <row r="25">
      <c r="A25" s="11" t="str">
        <f>HYPERLINK("#'Out_M_Diabetes_vs_Control'!A1", "Out_M_Diabetes_vs_Control")</f>
      </c>
      <c r="B25" t="s">
        <v>1465</v>
      </c>
      <c r="C25" t="s">
        <v>1466</v>
      </c>
    </row>
    <row r="26">
      <c r="A26" s="11" t="str">
        <f>HYPERLINK("#'Pub_M_Diabetes_vs_Control'!A1", "Pub_M_Diabetes_vs_Control")</f>
      </c>
      <c r="B26" t="s">
        <v>1467</v>
      </c>
      <c r="C26" t="s">
        <v>1468</v>
      </c>
    </row>
    <row r="27">
      <c r="A27" s="11" t="str">
        <f>HYPERLINK("#'mEYEstro_M_Control_Diabetes_vs_'!A1", "mEYEstro_M_Control_Diabetes_vs_")</f>
      </c>
      <c r="B27" t="s">
        <v>1470</v>
      </c>
      <c r="C27" t="s">
        <v>1471</v>
      </c>
    </row>
    <row r="28">
      <c r="A28" s="11" t="str">
        <f>HYPERLINK("#'mEYEstro_M_Diabetes_Diabetes_vs'!A1", "mEYEstro_M_Diabetes_Diabetes_vs")</f>
      </c>
      <c r="B28" t="s">
        <v>1473</v>
      </c>
      <c r="C28" t="s">
        <v>1471</v>
      </c>
    </row>
    <row r="29">
      <c r="A29" s="11" t="str">
        <f>HYPERLINK("#'AstigMATIC_M_Control_Diabetes_v'!A1", "AstigMATIC_M_Control_Diabetes_v")</f>
      </c>
      <c r="B29" t="s">
        <v>1475</v>
      </c>
      <c r="C29" t="s">
        <v>1476</v>
      </c>
    </row>
    <row r="30">
      <c r="A30" s="11" t="str">
        <f>HYPERLINK("#'AstigMATIC_M_Diabetes_Diabetes_'!A1", "AstigMATIC_M_Diabetes_Diabetes_")</f>
      </c>
      <c r="B30" t="s">
        <v>1478</v>
      </c>
      <c r="C30" t="s">
        <v>1476</v>
      </c>
    </row>
    <row r="31">
      <c r="A31" s="11" t="str">
        <f>HYPERLINK("#'PSM_Autoimmune_vs_Control'!A1", "PSM_Autoimmune_vs_Control")</f>
      </c>
      <c r="B31" t="s">
        <v>1479</v>
      </c>
      <c r="C31" t="s">
        <v>1456</v>
      </c>
    </row>
    <row r="32">
      <c r="A32" s="11" t="str">
        <f>HYPERLINK("#'GEE_M_Autoimmune_vs_Control'!A1", "GEE_M_Autoimmune_vs_Control")</f>
      </c>
      <c r="B32" t="s">
        <v>1480</v>
      </c>
      <c r="C32" t="s">
        <v>1458</v>
      </c>
    </row>
    <row r="33">
      <c r="A33" s="11" t="str">
        <f>HYPERLINK("#'GEE_Adj_M_Autoimmune_vs_Control'!A1", "GEE_Adj_M_Autoimmune_vs_Control")</f>
      </c>
      <c r="B33" t="s">
        <v>1481</v>
      </c>
      <c r="C33" t="s">
        <v>1460</v>
      </c>
    </row>
    <row r="34">
      <c r="A34" s="11" t="str">
        <f>HYPERLINK("#'Reg_M_Autoimmune_vs_Control'!A1", "Reg_M_Autoimmune_vs_Control")</f>
      </c>
      <c r="B34" t="s">
        <v>1482</v>
      </c>
      <c r="C34" t="s">
        <v>1462</v>
      </c>
    </row>
    <row r="35">
      <c r="A35" s="11" t="str">
        <f>HYPERLINK("#'BasePreop_M_Autoimmune_vs_Contr'!A1", "BasePreop_M_Autoimmune_vs_Contr")</f>
      </c>
      <c r="B35" t="s">
        <v>1484</v>
      </c>
      <c r="C35" t="s">
        <v>1464</v>
      </c>
    </row>
    <row r="36">
      <c r="A36" s="11" t="str">
        <f>HYPERLINK("#'Out_M_Autoimmune_vs_Control'!A1", "Out_M_Autoimmune_vs_Control")</f>
      </c>
      <c r="B36" t="s">
        <v>1485</v>
      </c>
      <c r="C36" t="s">
        <v>1466</v>
      </c>
    </row>
    <row r="37">
      <c r="A37" s="11" t="str">
        <f>HYPERLINK("#'Pub_M_Autoimmune_vs_Control'!A1", "Pub_M_Autoimmune_vs_Control")</f>
      </c>
      <c r="B37" t="s">
        <v>1486</v>
      </c>
      <c r="C37" t="s">
        <v>1468</v>
      </c>
    </row>
    <row r="38">
      <c r="A38" s="11" t="str">
        <f>HYPERLINK("#'mEYEstro_M_Control_Autoimmune_v'!A1", "mEYEstro_M_Control_Autoimmune_v")</f>
      </c>
      <c r="B38" t="s">
        <v>1488</v>
      </c>
      <c r="C38" t="s">
        <v>1471</v>
      </c>
    </row>
    <row r="39">
      <c r="A39" s="11" t="str">
        <f>HYPERLINK("#'mEYEstro_M_Autoimmune_Autoimmun'!A1", "mEYEstro_M_Autoimmune_Autoimmun")</f>
      </c>
      <c r="B39" t="s">
        <v>1490</v>
      </c>
      <c r="C39" t="s">
        <v>1471</v>
      </c>
    </row>
    <row r="40">
      <c r="A40" s="11" t="str">
        <f>HYPERLINK("#'AstigMATIC_M_Control_Autoimmune'!A1", "AstigMATIC_M_Control_Autoimmune")</f>
      </c>
      <c r="B40" t="s">
        <v>1492</v>
      </c>
      <c r="C40" t="s">
        <v>1476</v>
      </c>
    </row>
    <row r="41">
      <c r="A41" s="11" t="str">
        <f>HYPERLINK("#'AstigMATIC_M_Autoimmune_Autoimm'!A1", "AstigMATIC_M_Autoimmune_Autoimm")</f>
      </c>
      <c r="B41" t="s">
        <v>1494</v>
      </c>
      <c r="C41" t="s">
        <v>1476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dror</dc:creator>
  <cp:lastModifiedBy>dror</cp:lastModifiedBy>
  <dcterms:created xsi:type="dcterms:W3CDTF">2026-10-02T19:40:02Z</dcterms:created>
</coreProperties>
</file>