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2"/>
  </bookViews>
  <sheets>
    <sheet name="Contents" sheetId="10" state="visible" r:id="rId10"/>
    <sheet name="Manifest" sheetId="9" state="visible" r:id="rId9"/>
    <sheet name="Overview" sheetId="1" state="visible" r:id="rId1"/>
    <sheet name="Baseline &amp; Preop Summary" sheetId="2" state="visible" r:id="rId2"/>
    <sheet name="Outcome Summary" sheetId="3" state="visible" r:id="rId3"/>
    <sheet name="Publication Table" sheetId="4" state="visible" r:id="rId4"/>
    <sheet name="mEYEstro_Control" sheetId="5" state="visible" r:id="rId5"/>
    <sheet name="mEYEstro_Diabetes" sheetId="6" state="visible" r:id="rId6"/>
    <sheet name="AstigMATIC_Control" sheetId="7" state="visible" r:id="rId7"/>
    <sheet name="AstigMATIC_Diabetes" sheetId="8" state="visible" r:id="rId8"/>
  </sheets>
</workbook>
</file>

<file path=xl/sharedStrings.xml><?xml version="1.0" encoding="utf-8"?>
<sst xmlns="http://schemas.openxmlformats.org/spreadsheetml/2006/main" count="305" uniqueCount="305">
  <si>
    <t xml:space="preserve">Notes</t>
  </si>
  <si>
    <t xml:space="preserve">Note</t>
  </si>
  <si>
    <t xml:space="preserve">Visual acuity analysed in logMAR (lower = better): Preop_UDVA, Preop_CDVA, Postop_UDVA, Postop_CDVA - converted from the recorded notation.</t>
  </si>
  <si>
    <t xml:space="preserve">Initial Summary</t>
  </si>
  <si>
    <t xml:space="preserve">Description</t>
  </si>
  <si>
    <t xml:space="preserve">Value</t>
  </si>
  <si>
    <t xml:space="preserve">Number of Patients</t>
  </si>
  <si>
    <t xml:space="preserve">235</t>
  </si>
  <si>
    <t xml:space="preserve">Number of Eyes</t>
  </si>
  <si>
    <t xml:space="preserve">360</t>
  </si>
  <si>
    <t xml:space="preserve">Mean Age (per patient)</t>
  </si>
  <si>
    <t xml:space="preserve">33.29</t>
  </si>
  <si>
    <t xml:space="preserve">SD Age (per patient)</t>
  </si>
  <si>
    <t xml:space="preserve">7.38</t>
  </si>
  <si>
    <t xml:space="preserve">Age Range (per patient)</t>
  </si>
  <si>
    <t xml:space="preserve">18 - 54</t>
  </si>
  <si>
    <t xml:space="preserve">Mean Follow-up Time (per eye)</t>
  </si>
  <si>
    <t xml:space="preserve">181.6</t>
  </si>
  <si>
    <t xml:space="preserve">SD Follow-up Time (per eye)</t>
  </si>
  <si>
    <t xml:space="preserve">85.54</t>
  </si>
  <si>
    <t xml:space="preserve">Median Follow-up Time [IQR] (per eye)</t>
  </si>
  <si>
    <t xml:space="preserve">170 [115–259.25]</t>
  </si>
  <si>
    <t xml:space="preserve">Sex (per patient)</t>
  </si>
  <si>
    <t xml:space="preserve">Sex</t>
  </si>
  <si>
    <t xml:space="preserve">Count</t>
  </si>
  <si>
    <t xml:space="preserve">Percentage</t>
  </si>
  <si>
    <t xml:space="preserve">F</t>
  </si>
  <si>
    <t xml:space="preserve">M</t>
  </si>
  <si>
    <t xml:space="preserve">Groups</t>
  </si>
  <si>
    <t xml:space="preserve">GroupLabel</t>
  </si>
  <si>
    <t xml:space="preserve">Control</t>
  </si>
  <si>
    <t xml:space="preserve">Diabetes</t>
  </si>
  <si>
    <t xml:space="preserve">QC - group assignment by source value</t>
  </si>
  <si>
    <t xml:space="preserve">Group_Source_Value</t>
  </si>
  <si>
    <t xml:space="preserve">N</t>
  </si>
  <si>
    <t xml:space="preserve">Baseline</t>
  </si>
  <si>
    <t xml:space="preserve">Parameter</t>
  </si>
  <si>
    <t xml:space="preserve">Control (n = 247 eyes; 163 patients)</t>
  </si>
  <si>
    <t xml:space="preserve">Diabetes (n = 113 eyes; 72 patients)</t>
  </si>
  <si>
    <t xml:space="preserve">p_value</t>
  </si>
  <si>
    <t xml:space="preserve">Test</t>
  </si>
  <si>
    <t xml:space="preserve">Practical Interpretation</t>
  </si>
  <si>
    <t xml:space="preserve">Age_Years [per patient]</t>
  </si>
  <si>
    <t xml:space="preserve">30.94 ± 6.34</t>
  </si>
  <si>
    <t xml:space="preserve">38.58 ± 6.83</t>
  </si>
  <si>
    <t xml:space="preserve">&lt;0.001</t>
  </si>
  <si>
    <t xml:space="preserve">Welch t-test</t>
  </si>
  <si>
    <t xml:space="preserve">Significant difference between groups.</t>
  </si>
  <si>
    <t xml:space="preserve">Preop_SEQ_D</t>
  </si>
  <si>
    <t xml:space="preserve">-4.16 ± 1.89</t>
  </si>
  <si>
    <t xml:space="preserve">-4.4 ± 1.92</t>
  </si>
  <si>
    <t xml:space="preserve">0.256</t>
  </si>
  <si>
    <t xml:space="preserve">No significant difference between groups.</t>
  </si>
  <si>
    <t xml:space="preserve">Preop_Sphere_D</t>
  </si>
  <si>
    <t xml:space="preserve">-3.83 ± 1.89</t>
  </si>
  <si>
    <t xml:space="preserve">-4.05 ± 1.95</t>
  </si>
  <si>
    <t xml:space="preserve">0.317</t>
  </si>
  <si>
    <t xml:space="preserve">Preop_Cylinder_D</t>
  </si>
  <si>
    <t xml:space="preserve">-0.65 ± 0.56</t>
  </si>
  <si>
    <t xml:space="preserve">-0.69 ± 0.59</t>
  </si>
  <si>
    <t xml:space="preserve">0.546</t>
  </si>
  <si>
    <t xml:space="preserve">Preop_UDVA</t>
  </si>
  <si>
    <t xml:space="preserve">1.08 ± 0.23</t>
  </si>
  <si>
    <t xml:space="preserve">1.1 ± 0.23</t>
  </si>
  <si>
    <t xml:space="preserve">0.275</t>
  </si>
  <si>
    <t xml:space="preserve">Preop_CDVA</t>
  </si>
  <si>
    <t xml:space="preserve">-0.01 ± 0.03</t>
  </si>
  <si>
    <t xml:space="preserve">0.098</t>
  </si>
  <si>
    <t xml:space="preserve">Preop_Pachymetry_um</t>
  </si>
  <si>
    <t xml:space="preserve">546.34 ± 26.34 (n = 240)</t>
  </si>
  <si>
    <t xml:space="preserve">533.62 ± 25.04 (n = 108)</t>
  </si>
  <si>
    <t xml:space="preserve">Preop_Mean_K_D</t>
  </si>
  <si>
    <t xml:space="preserve">43.59 ± 1.4 (n = 243)</t>
  </si>
  <si>
    <t xml:space="preserve">43.58 ± 1.47 (n = 110)</t>
  </si>
  <si>
    <t xml:space="preserve">0.937</t>
  </si>
  <si>
    <t xml:space="preserve">Preop_DryEye_Grade</t>
  </si>
  <si>
    <t xml:space="preserve">0 [0–1]</t>
  </si>
  <si>
    <t xml:space="preserve">1 [0–2]</t>
  </si>
  <si>
    <t xml:space="preserve">0.048</t>
  </si>
  <si>
    <t xml:space="preserve">Wilcoxon rank-sum test</t>
  </si>
  <si>
    <t xml:space="preserve">Sex (F) [per patient]</t>
  </si>
  <si>
    <t xml:space="preserve">96/163 (58.9%)</t>
  </si>
  <si>
    <t xml:space="preserve">42/72 (58.3%)</t>
  </si>
  <si>
    <t xml:space="preserve">0.936</t>
  </si>
  <si>
    <t xml:space="preserve">Chi-squared test</t>
  </si>
  <si>
    <t xml:space="preserve">Smoker (Yes) [per patient]</t>
  </si>
  <si>
    <t xml:space="preserve">38/163 (23.3%)</t>
  </si>
  <si>
    <t xml:space="preserve">13/72 (18.1%)</t>
  </si>
  <si>
    <t xml:space="preserve">0.367</t>
  </si>
  <si>
    <t xml:space="preserve">Surgeon: Surgeon A</t>
  </si>
  <si>
    <t xml:space="preserve">104/247 (42.1%)</t>
  </si>
  <si>
    <t xml:space="preserve">37/113 (32.7%)</t>
  </si>
  <si>
    <t xml:space="preserve">0.210</t>
  </si>
  <si>
    <t xml:space="preserve">Surgeon: Surgeon B</t>
  </si>
  <si>
    <t xml:space="preserve">86/247 (34.8%)</t>
  </si>
  <si>
    <t xml:space="preserve">43/113 (38.1%)</t>
  </si>
  <si>
    <t xml:space="preserve"/>
  </si>
  <si>
    <t xml:space="preserve">Surgeon: Surgeon C</t>
  </si>
  <si>
    <t xml:space="preserve">57/247 (23.1%)</t>
  </si>
  <si>
    <t xml:space="preserve">33/113 (29.2%)</t>
  </si>
  <si>
    <t xml:space="preserve">Preoperative / intraoperative</t>
  </si>
  <si>
    <t xml:space="preserve">Optical_Zone_mm</t>
  </si>
  <si>
    <t xml:space="preserve">6.51 ± 0.29</t>
  </si>
  <si>
    <t xml:space="preserve">6.49 ± 0.32</t>
  </si>
  <si>
    <t xml:space="preserve">0.464</t>
  </si>
  <si>
    <t xml:space="preserve">Ablation_Depth_um</t>
  </si>
  <si>
    <t xml:space="preserve">64.05 ± 26.74</t>
  </si>
  <si>
    <t xml:space="preserve">67.11 ± 27.86</t>
  </si>
  <si>
    <t xml:space="preserve">0.330</t>
  </si>
  <si>
    <t xml:space="preserve">Procedure: LASIK</t>
  </si>
  <si>
    <t xml:space="preserve">102/247 (41.3%)</t>
  </si>
  <si>
    <t xml:space="preserve">48/113 (42.5%)</t>
  </si>
  <si>
    <t xml:space="preserve">0.338</t>
  </si>
  <si>
    <t xml:space="preserve">Procedure: PRK</t>
  </si>
  <si>
    <t xml:space="preserve">108/247 (43.7%)</t>
  </si>
  <si>
    <t xml:space="preserve">42/113 (37.2%)</t>
  </si>
  <si>
    <t xml:space="preserve">Procedure: SMILE</t>
  </si>
  <si>
    <t xml:space="preserve">37/247 (15%)</t>
  </si>
  <si>
    <t xml:space="preserve">23/113 (20.4%)</t>
  </si>
  <si>
    <t xml:space="preserve">FollowUp_Days</t>
  </si>
  <si>
    <t xml:space="preserve">184.84 ± 88.81</t>
  </si>
  <si>
    <t xml:space="preserve">174.53 ± 77.83</t>
  </si>
  <si>
    <t xml:space="preserve">0.266</t>
  </si>
  <si>
    <t xml:space="preserve">Postop_SEQ_D</t>
  </si>
  <si>
    <t xml:space="preserve">0.02 ± 0.31</t>
  </si>
  <si>
    <t xml:space="preserve">-0.18 ± 0.45</t>
  </si>
  <si>
    <t xml:space="preserve">Postop_Cylinder_D</t>
  </si>
  <si>
    <t xml:space="preserve">-0.22 ± 0.18</t>
  </si>
  <si>
    <t xml:space="preserve">-0.21 ± 0.18</t>
  </si>
  <si>
    <t xml:space="preserve">0.843</t>
  </si>
  <si>
    <t xml:space="preserve">Postop_UDVA</t>
  </si>
  <si>
    <t xml:space="preserve">0 ± 0.05</t>
  </si>
  <si>
    <t xml:space="preserve">0.05 ± 0.06</t>
  </si>
  <si>
    <t xml:space="preserve">Postop_CDVA</t>
  </si>
  <si>
    <t xml:space="preserve">-0.01 ± 0.04</t>
  </si>
  <si>
    <t xml:space="preserve">0.082</t>
  </si>
  <si>
    <t xml:space="preserve">Postop_Haze_Grade</t>
  </si>
  <si>
    <t xml:space="preserve">0 [0–0]</t>
  </si>
  <si>
    <t xml:space="preserve">0.009</t>
  </si>
  <si>
    <t xml:space="preserve">Patient_Satisfaction_1to5</t>
  </si>
  <si>
    <t xml:space="preserve">4 [4–5] (n = 234)</t>
  </si>
  <si>
    <t xml:space="preserve">4 [3–5] (n = 105)</t>
  </si>
  <si>
    <t xml:space="preserve">0.012</t>
  </si>
  <si>
    <t xml:space="preserve">DryEye_Symptoms (Yes)</t>
  </si>
  <si>
    <t xml:space="preserve">40/247 (16.2%)</t>
  </si>
  <si>
    <t xml:space="preserve">38/113 (33.6%)</t>
  </si>
  <si>
    <t xml:space="preserve">Retreatment_Required (Yes)</t>
  </si>
  <si>
    <t xml:space="preserve">8/247 (3.2%)</t>
  </si>
  <si>
    <t xml:space="preserve">9/113 (8%)</t>
  </si>
  <si>
    <t xml:space="preserve">0.0498</t>
  </si>
  <si>
    <t xml:space="preserve">Complication_Type: Corneal haze</t>
  </si>
  <si>
    <t xml:space="preserve">15/247 (6.1%)</t>
  </si>
  <si>
    <t xml:space="preserve">7/113 (6.2%)</t>
  </si>
  <si>
    <t xml:space="preserve">1.000</t>
  </si>
  <si>
    <t xml:space="preserve">Fisher's exact test</t>
  </si>
  <si>
    <t xml:space="preserve">Complication_Type: Diffuse lamellar keratitis</t>
  </si>
  <si>
    <t xml:space="preserve">7/247 (2.8%)</t>
  </si>
  <si>
    <t xml:space="preserve">3/113 (2.7%)</t>
  </si>
  <si>
    <t xml:space="preserve">Complication_Type: Epithelial defect</t>
  </si>
  <si>
    <t xml:space="preserve">14/247 (5.7%)</t>
  </si>
  <si>
    <t xml:space="preserve">6/113 (5.3%)</t>
  </si>
  <si>
    <t xml:space="preserve">Complication_Type: None</t>
  </si>
  <si>
    <t xml:space="preserve">211/247 (85.4%)</t>
  </si>
  <si>
    <t xml:space="preserve">97/113 (85.8%)</t>
  </si>
  <si>
    <t xml:space="preserve">p value</t>
  </si>
  <si>
    <t xml:space="preserve">Baseline characteristics</t>
  </si>
  <si>
    <t xml:space="preserve">Age Years [per patient]</t>
  </si>
  <si>
    <t xml:space="preserve">Preop SEQ D</t>
  </si>
  <si>
    <t xml:space="preserve">Preop Sphere D</t>
  </si>
  <si>
    <t xml:space="preserve">Preop Cylinder D</t>
  </si>
  <si>
    <t xml:space="preserve">Preop UDVA</t>
  </si>
  <si>
    <t xml:space="preserve">Preop CDVA</t>
  </si>
  <si>
    <t xml:space="preserve">Preop Pachymetry um</t>
  </si>
  <si>
    <t xml:space="preserve">Preop Mean K D</t>
  </si>
  <si>
    <t xml:space="preserve">Preop DryEye Grade</t>
  </si>
  <si>
    <t xml:space="preserve">Optical Zone mm</t>
  </si>
  <si>
    <t xml:space="preserve">Ablation Depth um</t>
  </si>
  <si>
    <t xml:space="preserve">Outcomes</t>
  </si>
  <si>
    <t xml:space="preserve">FollowUp Days</t>
  </si>
  <si>
    <t xml:space="preserve">Postop SEQ D</t>
  </si>
  <si>
    <t xml:space="preserve">Postop Cylinder D</t>
  </si>
  <si>
    <t xml:space="preserve">Postop UDVA</t>
  </si>
  <si>
    <t xml:space="preserve">Postop CDVA</t>
  </si>
  <si>
    <t xml:space="preserve">Postop Haze Grade</t>
  </si>
  <si>
    <t xml:space="preserve">Patient Satisfaction 1to5</t>
  </si>
  <si>
    <t xml:space="preserve">DryEye Symptoms (Yes)</t>
  </si>
  <si>
    <t xml:space="preserve">Retreatment Required (Yes)</t>
  </si>
  <si>
    <t xml:space="preserve">Complication Type: Corneal haze</t>
  </si>
  <si>
    <t xml:space="preserve">Complication Type: Diffuse lamellar keratitis</t>
  </si>
  <si>
    <t xml:space="preserve">Complication Type: Epithelial defect</t>
  </si>
  <si>
    <t xml:space="preserve">Complication Type: None</t>
  </si>
  <si>
    <t xml:space="preserve">Pre_BCVA</t>
  </si>
  <si>
    <t xml:space="preserve">Post_UCVA</t>
  </si>
  <si>
    <t xml:space="preserve">Post_BCVA</t>
  </si>
  <si>
    <t xml:space="preserve">Pre_Sph</t>
  </si>
  <si>
    <t xml:space="preserve">Pre_Cyl</t>
  </si>
  <si>
    <t xml:space="preserve">Pre_Axis</t>
  </si>
  <si>
    <t xml:space="preserve">Preop_MR_Vertex_Distance</t>
  </si>
  <si>
    <t xml:space="preserve">Intended_Postop_MR_Sphere</t>
  </si>
  <si>
    <t xml:space="preserve">Intended_Postop_MR_Cylinder</t>
  </si>
  <si>
    <t xml:space="preserve">Intended_Postop_MR_Axis</t>
  </si>
  <si>
    <t xml:space="preserve">Intended_Postop_MR_Vertex_Distance</t>
  </si>
  <si>
    <t xml:space="preserve">Post_Sph</t>
  </si>
  <si>
    <t xml:space="preserve">Post_Cyl</t>
  </si>
  <si>
    <t xml:space="preserve">Post_Axis</t>
  </si>
  <si>
    <t xml:space="preserve">Postop_MR_Vertex_Distance</t>
  </si>
  <si>
    <t xml:space="preserve">Post_SEQ</t>
  </si>
  <si>
    <t xml:space="preserve">20+</t>
  </si>
  <si>
    <t xml:space="preserve">20</t>
  </si>
  <si>
    <t xml:space="preserve">20-1</t>
  </si>
  <si>
    <t xml:space="preserve">20-2</t>
  </si>
  <si>
    <t xml:space="preserve">25</t>
  </si>
  <si>
    <t xml:space="preserve">16-3</t>
  </si>
  <si>
    <t xml:space="preserve">15-2</t>
  </si>
  <si>
    <t xml:space="preserve">15</t>
  </si>
  <si>
    <t xml:space="preserve">15-1</t>
  </si>
  <si>
    <t xml:space="preserve">15-3</t>
  </si>
  <si>
    <t xml:space="preserve">25+</t>
  </si>
  <si>
    <t xml:space="preserve">25-3</t>
  </si>
  <si>
    <t xml:space="preserve">20-3</t>
  </si>
  <si>
    <t xml:space="preserve">25-1</t>
  </si>
  <si>
    <t xml:space="preserve">25-2</t>
  </si>
  <si>
    <t xml:space="preserve">30-2</t>
  </si>
  <si>
    <t xml:space="preserve">30-1</t>
  </si>
  <si>
    <t xml:space="preserve">30</t>
  </si>
  <si>
    <t xml:space="preserve">Eye</t>
  </si>
  <si>
    <t xml:space="preserve">preoperative cylinder</t>
  </si>
  <si>
    <t xml:space="preserve">preoperative axis</t>
  </si>
  <si>
    <t xml:space="preserve">postoperative cylinder</t>
  </si>
  <si>
    <t xml:space="preserve">postoperative axis</t>
  </si>
  <si>
    <t xml:space="preserve">OS</t>
  </si>
  <si>
    <t xml:space="preserve">OD</t>
  </si>
  <si>
    <t xml:space="preserve">Setting</t>
  </si>
  <si>
    <t xml:space="preserve">StandardEyes version</t>
  </si>
  <si>
    <t xml:space="preserve">not recorded (run from the command line)</t>
  </si>
  <si>
    <t xml:space="preserve">Build</t>
  </si>
  <si>
    <t xml:space="preserve">R version</t>
  </si>
  <si>
    <t xml:space="preserve">R version 4.5.2 (2025-10-31 ucrt)</t>
  </si>
  <si>
    <t xml:space="preserve">MatchIt</t>
  </si>
  <si>
    <t xml:space="preserve">4.7.2</t>
  </si>
  <si>
    <t xml:space="preserve">cobalt</t>
  </si>
  <si>
    <t xml:space="preserve">4.6.1</t>
  </si>
  <si>
    <t xml:space="preserve">geepack</t>
  </si>
  <si>
    <t xml:space="preserve">1.3.13</t>
  </si>
  <si>
    <t xml:space="preserve">ggplot2</t>
  </si>
  <si>
    <t xml:space="preserve">4.0.1</t>
  </si>
  <si>
    <t xml:space="preserve">openxlsx</t>
  </si>
  <si>
    <t xml:space="preserve">4.2.8.1</t>
  </si>
  <si>
    <t xml:space="preserve">Run time</t>
  </si>
  <si>
    <t xml:space="preserve">2026-10-02 22:39:51</t>
  </si>
  <si>
    <t xml:space="preserve">Input file</t>
  </si>
  <si>
    <t xml:space="preserve">Example_Refractive_Dataset.xlsx</t>
  </si>
  <si>
    <t xml:space="preserve">Sheet</t>
  </si>
  <si>
    <t xml:space="preserve">sheet 1 ('Surgeries')</t>
  </si>
  <si>
    <t xml:space="preserve">Input MD5 checksum</t>
  </si>
  <si>
    <t xml:space="preserve">90362219da759c9a1c04ef170ffca4ec</t>
  </si>
  <si>
    <t xml:space="preserve">Run / subset</t>
  </si>
  <si>
    <t xml:space="preserve">All (all rows)</t>
  </si>
  <si>
    <t xml:space="preserve">Rows analyzed</t>
  </si>
  <si>
    <t xml:space="preserve">Patient ID</t>
  </si>
  <si>
    <t xml:space="preserve">'PatientID'</t>
  </si>
  <si>
    <t xml:space="preserve">Control = 247; Diabetes = 113</t>
  </si>
  <si>
    <t xml:space="preserve">Reference group</t>
  </si>
  <si>
    <t xml:space="preserve">Filter rules</t>
  </si>
  <si>
    <t xml:space="preserve">4</t>
  </si>
  <si>
    <t xml:space="preserve">VA notation</t>
  </si>
  <si>
    <t xml:space="preserve">decimal (1.0 = 20/20)</t>
  </si>
  <si>
    <t xml:space="preserve">LogMAR conversion</t>
  </si>
  <si>
    <t xml:space="preserve">on: Preop_UDVA, Preop_CDVA, Postop_UDVA, Postop_CDVA</t>
  </si>
  <si>
    <t xml:space="preserve">Matching</t>
  </si>
  <si>
    <t xml:space="preserve">off</t>
  </si>
  <si>
    <t xml:space="preserve">GEE stage</t>
  </si>
  <si>
    <t xml:space="preserve">none</t>
  </si>
  <si>
    <t xml:space="preserve">GEE adjustment covariates</t>
  </si>
  <si>
    <t xml:space="preserve">GEE columns in summary tables</t>
  </si>
  <si>
    <t xml:space="preserve">Regression</t>
  </si>
  <si>
    <t xml:space="preserve">Minus-cyl standardization</t>
  </si>
  <si>
    <t xml:space="preserve">on</t>
  </si>
  <si>
    <t xml:space="preserve">Astigmatism test</t>
  </si>
  <si>
    <t xml:space="preserve">robust (20%-trimmed mean vectors, pooled winsorized covariance; cluster bootstrap over patients B = 999, seed 20250601)</t>
  </si>
  <si>
    <t xml:space="preserve">mEYEstro intended refraction</t>
  </si>
  <si>
    <t xml:space="preserve">SEQ plano (no target SEQ mapped); no cylinder (no astigmatism target mapped); vertex distance 12 mm assumed</t>
  </si>
  <si>
    <t xml:space="preserve">mEYEstro refraction notation</t>
  </si>
  <si>
    <t xml:space="preserve">minus cylinder (plus-cylinder rows transposed in the tab only)</t>
  </si>
  <si>
    <t xml:space="preserve">Random seeds</t>
  </si>
  <si>
    <t xml:space="preserve">bootstrap and Monte-Carlo exact tests 20250601 (fixed, set locally; identical settings give identical results)</t>
  </si>
  <si>
    <t xml:space="preserve">Figure p-values</t>
  </si>
  <si>
    <t xml:space="preserve">clustered by patient (GEE)</t>
  </si>
  <si>
    <t xml:space="preserve">Full name</t>
  </si>
  <si>
    <t xml:space="preserve">Manifest</t>
  </si>
  <si>
    <t xml:space="preserve">Versions, input checksum and settings of this run.</t>
  </si>
  <si>
    <t xml:space="preserve">Overview</t>
  </si>
  <si>
    <t xml:space="preserve">Initial data summary, notes and quality checks.</t>
  </si>
  <si>
    <t xml:space="preserve">Baseline &amp; Preop Summary</t>
  </si>
  <si>
    <t xml:space="preserve">Baseline and preoperative tables, with within-group sections.</t>
  </si>
  <si>
    <t xml:space="preserve">Outcome Summary</t>
  </si>
  <si>
    <t xml:space="preserve">Outcome comparisons (GEE / adjusted columns merged in when requested).</t>
  </si>
  <si>
    <t xml:space="preserve">Publication Table</t>
  </si>
  <si>
    <t xml:space="preserve">Manuscript-ready stacked table.</t>
  </si>
  <si>
    <t xml:space="preserve">mEYEstro_Control</t>
  </si>
  <si>
    <t xml:space="preserve">mEYEstro-format export of one group (all rows): copy columns E-S (15 columns, template order) into the mEYEstro template - yellow E-I preop refraction, vertex (12 mm), preop CDVA; green J-M intended refraction; red N-S postop refraction, vertex, postop CDVA, postop UDVA. Grey A-D (group, decimal acuities) and blue T (postop SEQ) are for reference only.</t>
  </si>
  <si>
    <t xml:space="preserve">mEYEstro_Diabetes</t>
  </si>
  <si>
    <t xml:space="preserve">AstigMATIC_Control</t>
  </si>
  <si>
    <t xml:space="preserve">AstigMATIC input for one group (all rows): columns A-E (eye OD/OS, preop cylinder, preop axis, postop cylinder, postop axis) load directly into AstigMATIC; minus cylinder accepted.</t>
  </si>
  <si>
    <t xml:space="preserve">AstigMATIC_Diabetes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</si>
</sst>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theme="10"/>
      <name val="Calibri"/>
      <u val="single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FF9999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48" totalsRowCount="0" totalsRowShown="0">
  <autoFilter ref="A1:E248"/>
  <tableColumns count="5">
    <tableColumn id="1" name="Eye"/>
    <tableColumn id="2" name="preoperative cylinder"/>
    <tableColumn id="3" name="preoperative axis"/>
    <tableColumn id="4" name="postoperative cylinder"/>
    <tableColumn id="5" name="postoperative axi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114" totalsRowCount="0" totalsRowShown="0">
  <autoFilter ref="A1:E114"/>
  <tableColumns count="5">
    <tableColumn id="1" name="Eye"/>
    <tableColumn id="2" name="preoperative cylinder"/>
    <tableColumn id="3" name="preoperative axis"/>
    <tableColumn id="4" name="postoperative cylinder"/>
    <tableColumn id="5" name="postoperative axi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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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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Relationship Id="rId3" Type="http://schemas.openxmlformats.org/officeDocument/2006/relationships/table" Target="../tables/table3.xml"/></Relationships>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Relationship Id="rId4" Type="http://schemas.openxmlformats.org/officeDocument/2006/relationships/table" Target="../tables/table4.xml"/></Relationships>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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1" t="s">
        <v>3</v>
      </c>
    </row>
    <row r="6">
      <c r="A6" t="s">
        <v>4</v>
      </c>
      <c r="B6" t="s">
        <v>5</v>
      </c>
    </row>
    <row r="7">
      <c r="A7" t="s">
        <v>6</v>
      </c>
      <c r="B7" t="s">
        <v>7</v>
      </c>
    </row>
    <row r="8">
      <c r="A8" t="s">
        <v>8</v>
      </c>
      <c r="B8" t="s">
        <v>9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t="s">
        <v>21</v>
      </c>
    </row>
    <row r="16">
      <c r="A16" s="1" t="s">
        <v>22</v>
      </c>
    </row>
    <row r="17">
      <c r="A17" t="s">
        <v>23</v>
      </c>
      <c r="B17" t="s">
        <v>24</v>
      </c>
      <c r="C17" t="s">
        <v>25</v>
      </c>
    </row>
    <row r="18">
      <c r="A18" t="s">
        <v>26</v>
      </c>
      <c r="B18" t="n">
        <v>138</v>
      </c>
      <c r="C18" t="n">
        <v>58.7</v>
      </c>
    </row>
    <row r="19">
      <c r="A19" t="s">
        <v>27</v>
      </c>
      <c r="B19" t="n">
        <v>97</v>
      </c>
      <c r="C19" t="n">
        <v>41.3</v>
      </c>
    </row>
    <row r="21">
      <c r="A21" s="1" t="s">
        <v>28</v>
      </c>
    </row>
    <row r="22">
      <c r="A22" t="s">
        <v>29</v>
      </c>
      <c r="B22" t="s">
        <v>24</v>
      </c>
      <c r="C22" t="s">
        <v>25</v>
      </c>
    </row>
    <row r="23">
      <c r="A23" t="s">
        <v>30</v>
      </c>
      <c r="B23" t="n">
        <v>247</v>
      </c>
      <c r="C23" t="n">
        <v>68.6</v>
      </c>
    </row>
    <row r="24">
      <c r="A24" t="s">
        <v>31</v>
      </c>
      <c r="B24" t="n">
        <v>113</v>
      </c>
      <c r="C24" t="n">
        <v>31.4</v>
      </c>
    </row>
    <row r="26">
      <c r="A26" s="1" t="s">
        <v>32</v>
      </c>
    </row>
    <row r="27">
      <c r="A27" t="s">
        <v>33</v>
      </c>
      <c r="B27" t="s">
        <v>29</v>
      </c>
      <c r="C27" t="s">
        <v>34</v>
      </c>
    </row>
    <row r="28">
      <c r="A28" t="s">
        <v>30</v>
      </c>
      <c r="B28" t="s">
        <v>30</v>
      </c>
      <c r="C28" t="n">
        <v>247</v>
      </c>
    </row>
    <row r="29">
      <c r="A29" t="s">
        <v>31</v>
      </c>
      <c r="B29" t="s">
        <v>31</v>
      </c>
      <c r="C29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</row>
    <row r="4">
      <c r="A4" t="s">
        <v>48</v>
      </c>
      <c r="B4" t="s">
        <v>49</v>
      </c>
      <c r="C4" t="s">
        <v>50</v>
      </c>
      <c r="D4" t="s">
        <v>51</v>
      </c>
      <c r="E4" t="s">
        <v>46</v>
      </c>
      <c r="F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46</v>
      </c>
      <c r="F5" t="s">
        <v>52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46</v>
      </c>
      <c r="F6" t="s">
        <v>52</v>
      </c>
    </row>
    <row r="7">
      <c r="A7" t="s">
        <v>61</v>
      </c>
      <c r="B7" t="s">
        <v>62</v>
      </c>
      <c r="C7" t="s">
        <v>63</v>
      </c>
      <c r="D7" t="s">
        <v>64</v>
      </c>
      <c r="E7" t="s">
        <v>46</v>
      </c>
      <c r="F7" t="s">
        <v>52</v>
      </c>
    </row>
    <row r="8">
      <c r="A8" t="s">
        <v>65</v>
      </c>
      <c r="B8" t="s">
        <v>66</v>
      </c>
      <c r="C8" t="s">
        <v>66</v>
      </c>
      <c r="D8" t="s">
        <v>67</v>
      </c>
      <c r="E8" t="s">
        <v>46</v>
      </c>
      <c r="F8" t="s">
        <v>52</v>
      </c>
    </row>
    <row r="9">
      <c r="A9" t="s">
        <v>68</v>
      </c>
      <c r="B9" t="s">
        <v>69</v>
      </c>
      <c r="C9" t="s">
        <v>70</v>
      </c>
      <c r="D9" t="s">
        <v>45</v>
      </c>
      <c r="E9" t="s">
        <v>46</v>
      </c>
      <c r="F9" t="s">
        <v>47</v>
      </c>
    </row>
    <row r="10">
      <c r="A10" t="s">
        <v>71</v>
      </c>
      <c r="B10" t="s">
        <v>72</v>
      </c>
      <c r="C10" t="s">
        <v>73</v>
      </c>
      <c r="D10" t="s">
        <v>74</v>
      </c>
      <c r="E10" t="s">
        <v>46</v>
      </c>
      <c r="F10" t="s">
        <v>52</v>
      </c>
    </row>
    <row r="11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47</v>
      </c>
    </row>
    <row r="1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52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84</v>
      </c>
      <c r="F13" t="s">
        <v>52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84</v>
      </c>
      <c r="F14" t="s">
        <v>52</v>
      </c>
    </row>
    <row r="15">
      <c r="A15" t="s">
        <v>93</v>
      </c>
      <c r="B15" t="s">
        <v>94</v>
      </c>
      <c r="C15" t="s">
        <v>95</v>
      </c>
      <c r="D15" t="s">
        <v>96</v>
      </c>
      <c r="E15" t="s">
        <v>96</v>
      </c>
      <c r="F15" t="s">
        <v>96</v>
      </c>
    </row>
    <row r="16">
      <c r="A16" t="s">
        <v>97</v>
      </c>
      <c r="B16" t="s">
        <v>98</v>
      </c>
      <c r="C16" t="s">
        <v>99</v>
      </c>
      <c r="D16" t="s">
        <v>96</v>
      </c>
      <c r="E16" t="s">
        <v>96</v>
      </c>
      <c r="F16" t="s">
        <v>96</v>
      </c>
    </row>
    <row r="18">
      <c r="A18" s="1" t="s">
        <v>100</v>
      </c>
    </row>
    <row r="19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46</v>
      </c>
      <c r="F20" t="s">
        <v>52</v>
      </c>
    </row>
    <row r="21">
      <c r="A21" t="s">
        <v>105</v>
      </c>
      <c r="B21" t="s">
        <v>106</v>
      </c>
      <c r="C21" t="s">
        <v>107</v>
      </c>
      <c r="D21" t="s">
        <v>108</v>
      </c>
      <c r="E21" t="s">
        <v>46</v>
      </c>
      <c r="F21" t="s">
        <v>52</v>
      </c>
    </row>
    <row r="22">
      <c r="A22" t="s">
        <v>109</v>
      </c>
      <c r="B22" t="s">
        <v>110</v>
      </c>
      <c r="C22" t="s">
        <v>111</v>
      </c>
      <c r="D22" t="s">
        <v>112</v>
      </c>
      <c r="E22" t="s">
        <v>84</v>
      </c>
      <c r="F22" t="s">
        <v>52</v>
      </c>
    </row>
    <row r="23">
      <c r="A23" t="s">
        <v>113</v>
      </c>
      <c r="B23" t="s">
        <v>114</v>
      </c>
      <c r="C23" t="s">
        <v>115</v>
      </c>
      <c r="D23" t="s">
        <v>96</v>
      </c>
      <c r="E23" t="s">
        <v>96</v>
      </c>
      <c r="F23" t="s">
        <v>96</v>
      </c>
    </row>
    <row r="24">
      <c r="A24" t="s">
        <v>116</v>
      </c>
      <c r="B24" t="s">
        <v>117</v>
      </c>
      <c r="C24" t="s">
        <v>118</v>
      </c>
      <c r="D24" t="s">
        <v>96</v>
      </c>
      <c r="E24" t="s">
        <v>96</v>
      </c>
      <c r="F2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>
      <c r="A2" t="s">
        <v>119</v>
      </c>
      <c r="B2" t="s">
        <v>120</v>
      </c>
      <c r="C2" t="s">
        <v>121</v>
      </c>
      <c r="D2" t="s">
        <v>122</v>
      </c>
      <c r="E2" t="s">
        <v>46</v>
      </c>
      <c r="F2" t="s">
        <v>52</v>
      </c>
    </row>
    <row r="3">
      <c r="A3" t="s">
        <v>123</v>
      </c>
      <c r="B3" t="s">
        <v>124</v>
      </c>
      <c r="C3" t="s">
        <v>125</v>
      </c>
      <c r="D3" t="s">
        <v>45</v>
      </c>
      <c r="E3" t="s">
        <v>46</v>
      </c>
      <c r="F3" t="s">
        <v>47</v>
      </c>
    </row>
    <row r="4">
      <c r="A4" t="s">
        <v>126</v>
      </c>
      <c r="B4" t="s">
        <v>127</v>
      </c>
      <c r="C4" t="s">
        <v>128</v>
      </c>
      <c r="D4" t="s">
        <v>129</v>
      </c>
      <c r="E4" t="s">
        <v>46</v>
      </c>
      <c r="F4" t="s">
        <v>52</v>
      </c>
    </row>
    <row r="5">
      <c r="A5" t="s">
        <v>130</v>
      </c>
      <c r="B5" t="s">
        <v>131</v>
      </c>
      <c r="C5" t="s">
        <v>132</v>
      </c>
      <c r="D5" t="s">
        <v>45</v>
      </c>
      <c r="E5" t="s">
        <v>46</v>
      </c>
      <c r="F5" t="s">
        <v>47</v>
      </c>
    </row>
    <row r="6">
      <c r="A6" t="s">
        <v>133</v>
      </c>
      <c r="B6" t="s">
        <v>134</v>
      </c>
      <c r="C6" t="s">
        <v>66</v>
      </c>
      <c r="D6" t="s">
        <v>135</v>
      </c>
      <c r="E6" t="s">
        <v>46</v>
      </c>
      <c r="F6" t="s">
        <v>52</v>
      </c>
    </row>
    <row r="7">
      <c r="A7" t="s">
        <v>136</v>
      </c>
      <c r="B7" t="s">
        <v>76</v>
      </c>
      <c r="C7" t="s">
        <v>137</v>
      </c>
      <c r="D7" t="s">
        <v>138</v>
      </c>
      <c r="E7" t="s">
        <v>79</v>
      </c>
      <c r="F7" t="s">
        <v>47</v>
      </c>
    </row>
    <row r="8">
      <c r="A8" t="s">
        <v>139</v>
      </c>
      <c r="B8" t="s">
        <v>140</v>
      </c>
      <c r="C8" t="s">
        <v>141</v>
      </c>
      <c r="D8" t="s">
        <v>142</v>
      </c>
      <c r="E8" t="s">
        <v>79</v>
      </c>
      <c r="F8" t="s">
        <v>47</v>
      </c>
    </row>
    <row r="9">
      <c r="A9" t="s">
        <v>143</v>
      </c>
      <c r="B9" t="s">
        <v>144</v>
      </c>
      <c r="C9" t="s">
        <v>145</v>
      </c>
      <c r="D9" t="s">
        <v>45</v>
      </c>
      <c r="E9" t="s">
        <v>84</v>
      </c>
      <c r="F9" t="s">
        <v>47</v>
      </c>
    </row>
    <row r="10">
      <c r="A10" t="s">
        <v>146</v>
      </c>
      <c r="B10" t="s">
        <v>147</v>
      </c>
      <c r="C10" t="s">
        <v>148</v>
      </c>
      <c r="D10" t="s">
        <v>149</v>
      </c>
      <c r="E10" t="s">
        <v>84</v>
      </c>
      <c r="F10" t="s">
        <v>47</v>
      </c>
    </row>
    <row r="11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52</v>
      </c>
    </row>
    <row r="12">
      <c r="A12" t="s">
        <v>155</v>
      </c>
      <c r="B12" t="s">
        <v>156</v>
      </c>
      <c r="C12" t="s">
        <v>157</v>
      </c>
      <c r="D12" t="s">
        <v>96</v>
      </c>
      <c r="E12" t="s">
        <v>96</v>
      </c>
      <c r="F12" t="s">
        <v>96</v>
      </c>
    </row>
    <row r="13">
      <c r="A13" t="s">
        <v>158</v>
      </c>
      <c r="B13" t="s">
        <v>159</v>
      </c>
      <c r="C13" t="s">
        <v>160</v>
      </c>
      <c r="D13" t="s">
        <v>96</v>
      </c>
      <c r="E13" t="s">
        <v>96</v>
      </c>
      <c r="F13" t="s">
        <v>96</v>
      </c>
    </row>
    <row r="14">
      <c r="A14" t="s">
        <v>161</v>
      </c>
      <c r="B14" t="s">
        <v>162</v>
      </c>
      <c r="C14" t="s">
        <v>163</v>
      </c>
      <c r="D14" t="s">
        <v>96</v>
      </c>
      <c r="E14" t="s">
        <v>96</v>
      </c>
      <c r="F1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2" t="s">
        <v>36</v>
      </c>
      <c r="B1" s="2" t="s">
        <v>37</v>
      </c>
      <c r="C1" s="2" t="s">
        <v>38</v>
      </c>
      <c r="D1" s="2" t="s">
        <v>164</v>
      </c>
    </row>
    <row r="2">
      <c r="A2" s="3" t="s">
        <v>165</v>
      </c>
      <c r="B2" s="3" t="s">
        <v>96</v>
      </c>
      <c r="C2" s="3" t="s">
        <v>96</v>
      </c>
      <c r="D2" s="3" t="s">
        <v>96</v>
      </c>
    </row>
    <row r="3">
      <c r="A3" t="s">
        <v>166</v>
      </c>
      <c r="B3" t="s">
        <v>43</v>
      </c>
      <c r="C3" t="s">
        <v>44</v>
      </c>
      <c r="D3" t="s">
        <v>45</v>
      </c>
    </row>
    <row r="4">
      <c r="A4" t="s">
        <v>167</v>
      </c>
      <c r="B4" t="s">
        <v>49</v>
      </c>
      <c r="C4" t="s">
        <v>50</v>
      </c>
      <c r="D4" t="s">
        <v>51</v>
      </c>
    </row>
    <row r="5">
      <c r="A5" t="s">
        <v>168</v>
      </c>
      <c r="B5" t="s">
        <v>54</v>
      </c>
      <c r="C5" t="s">
        <v>55</v>
      </c>
      <c r="D5" t="s">
        <v>56</v>
      </c>
    </row>
    <row r="6">
      <c r="A6" t="s">
        <v>169</v>
      </c>
      <c r="B6" t="s">
        <v>58</v>
      </c>
      <c r="C6" t="s">
        <v>59</v>
      </c>
      <c r="D6" t="s">
        <v>60</v>
      </c>
    </row>
    <row r="7">
      <c r="A7" t="s">
        <v>170</v>
      </c>
      <c r="B7" t="s">
        <v>62</v>
      </c>
      <c r="C7" t="s">
        <v>63</v>
      </c>
      <c r="D7" t="s">
        <v>64</v>
      </c>
    </row>
    <row r="8">
      <c r="A8" t="s">
        <v>171</v>
      </c>
      <c r="B8" t="s">
        <v>66</v>
      </c>
      <c r="C8" t="s">
        <v>66</v>
      </c>
      <c r="D8" t="s">
        <v>67</v>
      </c>
    </row>
    <row r="9">
      <c r="A9" t="s">
        <v>172</v>
      </c>
      <c r="B9" t="s">
        <v>69</v>
      </c>
      <c r="C9" t="s">
        <v>70</v>
      </c>
      <c r="D9" t="s">
        <v>45</v>
      </c>
    </row>
    <row r="10">
      <c r="A10" t="s">
        <v>173</v>
      </c>
      <c r="B10" t="s">
        <v>72</v>
      </c>
      <c r="C10" t="s">
        <v>73</v>
      </c>
      <c r="D10" t="s">
        <v>74</v>
      </c>
    </row>
    <row r="11">
      <c r="A11" t="s">
        <v>174</v>
      </c>
      <c r="B11" t="s">
        <v>76</v>
      </c>
      <c r="C11" t="s">
        <v>77</v>
      </c>
      <c r="D11" t="s">
        <v>78</v>
      </c>
    </row>
    <row r="12">
      <c r="A12" t="s">
        <v>80</v>
      </c>
      <c r="B12" t="s">
        <v>81</v>
      </c>
      <c r="C12" t="s">
        <v>82</v>
      </c>
      <c r="D12" t="s">
        <v>83</v>
      </c>
    </row>
    <row r="13">
      <c r="A13" t="s">
        <v>85</v>
      </c>
      <c r="B13" t="s">
        <v>86</v>
      </c>
      <c r="C13" t="s">
        <v>87</v>
      </c>
      <c r="D13" t="s">
        <v>88</v>
      </c>
    </row>
    <row r="14">
      <c r="A14" t="s">
        <v>89</v>
      </c>
      <c r="B14" t="s">
        <v>90</v>
      </c>
      <c r="C14" t="s">
        <v>91</v>
      </c>
      <c r="D14" t="s">
        <v>92</v>
      </c>
    </row>
    <row r="15">
      <c r="A15" t="s">
        <v>93</v>
      </c>
      <c r="B15" t="s">
        <v>94</v>
      </c>
      <c r="C15" t="s">
        <v>95</v>
      </c>
      <c r="D15" t="s">
        <v>96</v>
      </c>
    </row>
    <row r="16">
      <c r="A16" t="s">
        <v>97</v>
      </c>
      <c r="B16" t="s">
        <v>98</v>
      </c>
      <c r="C16" t="s">
        <v>99</v>
      </c>
      <c r="D16" t="s">
        <v>96</v>
      </c>
    </row>
    <row r="17">
      <c r="A17" s="3" t="s">
        <v>100</v>
      </c>
      <c r="B17" s="3" t="s">
        <v>96</v>
      </c>
      <c r="C17" s="3" t="s">
        <v>96</v>
      </c>
      <c r="D17" s="3" t="s">
        <v>96</v>
      </c>
    </row>
    <row r="18">
      <c r="A18" t="s">
        <v>175</v>
      </c>
      <c r="B18" t="s">
        <v>102</v>
      </c>
      <c r="C18" t="s">
        <v>103</v>
      </c>
      <c r="D18" t="s">
        <v>104</v>
      </c>
    </row>
    <row r="19">
      <c r="A19" t="s">
        <v>176</v>
      </c>
      <c r="B19" t="s">
        <v>106</v>
      </c>
      <c r="C19" t="s">
        <v>107</v>
      </c>
      <c r="D19" t="s">
        <v>108</v>
      </c>
    </row>
    <row r="20">
      <c r="A20" t="s">
        <v>109</v>
      </c>
      <c r="B20" t="s">
        <v>110</v>
      </c>
      <c r="C20" t="s">
        <v>111</v>
      </c>
      <c r="D20" t="s">
        <v>112</v>
      </c>
    </row>
    <row r="21">
      <c r="A21" t="s">
        <v>113</v>
      </c>
      <c r="B21" t="s">
        <v>114</v>
      </c>
      <c r="C21" t="s">
        <v>115</v>
      </c>
      <c r="D21" t="s">
        <v>96</v>
      </c>
    </row>
    <row r="22">
      <c r="A22" t="s">
        <v>116</v>
      </c>
      <c r="B22" t="s">
        <v>117</v>
      </c>
      <c r="C22" t="s">
        <v>118</v>
      </c>
      <c r="D22" t="s">
        <v>96</v>
      </c>
    </row>
    <row r="23">
      <c r="A23" s="3" t="s">
        <v>177</v>
      </c>
      <c r="B23" s="3" t="s">
        <v>96</v>
      </c>
      <c r="C23" s="3" t="s">
        <v>96</v>
      </c>
      <c r="D23" s="3" t="s">
        <v>96</v>
      </c>
    </row>
    <row r="24">
      <c r="A24" t="s">
        <v>178</v>
      </c>
      <c r="B24" t="s">
        <v>120</v>
      </c>
      <c r="C24" t="s">
        <v>121</v>
      </c>
      <c r="D24" t="s">
        <v>122</v>
      </c>
    </row>
    <row r="25">
      <c r="A25" t="s">
        <v>179</v>
      </c>
      <c r="B25" t="s">
        <v>124</v>
      </c>
      <c r="C25" t="s">
        <v>125</v>
      </c>
      <c r="D25" t="s">
        <v>45</v>
      </c>
    </row>
    <row r="26">
      <c r="A26" t="s">
        <v>180</v>
      </c>
      <c r="B26" t="s">
        <v>127</v>
      </c>
      <c r="C26" t="s">
        <v>128</v>
      </c>
      <c r="D26" t="s">
        <v>129</v>
      </c>
    </row>
    <row r="27">
      <c r="A27" t="s">
        <v>181</v>
      </c>
      <c r="B27" t="s">
        <v>131</v>
      </c>
      <c r="C27" t="s">
        <v>132</v>
      </c>
      <c r="D27" t="s">
        <v>45</v>
      </c>
    </row>
    <row r="28">
      <c r="A28" t="s">
        <v>182</v>
      </c>
      <c r="B28" t="s">
        <v>134</v>
      </c>
      <c r="C28" t="s">
        <v>66</v>
      </c>
      <c r="D28" t="s">
        <v>135</v>
      </c>
    </row>
    <row r="29">
      <c r="A29" t="s">
        <v>183</v>
      </c>
      <c r="B29" t="s">
        <v>76</v>
      </c>
      <c r="C29" t="s">
        <v>137</v>
      </c>
      <c r="D29" t="s">
        <v>138</v>
      </c>
    </row>
    <row r="30">
      <c r="A30" t="s">
        <v>184</v>
      </c>
      <c r="B30" t="s">
        <v>140</v>
      </c>
      <c r="C30" t="s">
        <v>141</v>
      </c>
      <c r="D30" t="s">
        <v>142</v>
      </c>
    </row>
    <row r="31">
      <c r="A31" t="s">
        <v>185</v>
      </c>
      <c r="B31" t="s">
        <v>144</v>
      </c>
      <c r="C31" t="s">
        <v>145</v>
      </c>
      <c r="D31" t="s">
        <v>45</v>
      </c>
    </row>
    <row r="32">
      <c r="A32" t="s">
        <v>186</v>
      </c>
      <c r="B32" t="s">
        <v>147</v>
      </c>
      <c r="C32" t="s">
        <v>148</v>
      </c>
      <c r="D32" t="s">
        <v>149</v>
      </c>
    </row>
    <row r="33">
      <c r="A33" t="s">
        <v>187</v>
      </c>
      <c r="B33" t="s">
        <v>151</v>
      </c>
      <c r="C33" t="s">
        <v>152</v>
      </c>
      <c r="D33" t="s">
        <v>153</v>
      </c>
    </row>
    <row r="34">
      <c r="A34" t="s">
        <v>188</v>
      </c>
      <c r="B34" t="s">
        <v>156</v>
      </c>
      <c r="C34" t="s">
        <v>157</v>
      </c>
      <c r="D34" t="s">
        <v>96</v>
      </c>
    </row>
    <row r="35">
      <c r="A35" t="s">
        <v>189</v>
      </c>
      <c r="B35" t="s">
        <v>159</v>
      </c>
      <c r="C35" t="s">
        <v>160</v>
      </c>
      <c r="D35" t="s">
        <v>96</v>
      </c>
    </row>
    <row r="36">
      <c r="A36" t="s">
        <v>190</v>
      </c>
      <c r="B36" t="s">
        <v>162</v>
      </c>
      <c r="C36" t="s">
        <v>163</v>
      </c>
      <c r="D36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29</v>
      </c>
      <c r="B1" s="4" t="s">
        <v>191</v>
      </c>
      <c r="C1" s="4" t="s">
        <v>192</v>
      </c>
      <c r="D1" s="4" t="s">
        <v>193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65</v>
      </c>
      <c r="J1" s="6" t="s">
        <v>198</v>
      </c>
      <c r="K1" s="6" t="s">
        <v>199</v>
      </c>
      <c r="L1" s="6" t="s">
        <v>200</v>
      </c>
      <c r="M1" s="6" t="s">
        <v>201</v>
      </c>
      <c r="N1" s="7" t="s">
        <v>202</v>
      </c>
      <c r="O1" s="7" t="s">
        <v>203</v>
      </c>
      <c r="P1" s="7" t="s">
        <v>204</v>
      </c>
      <c r="Q1" s="7" t="s">
        <v>205</v>
      </c>
      <c r="R1" s="7" t="s">
        <v>133</v>
      </c>
      <c r="S1" s="7" t="s">
        <v>130</v>
      </c>
      <c r="T1" s="8" t="s">
        <v>206</v>
      </c>
    </row>
    <row r="2">
      <c r="A2" t="s">
        <v>30</v>
      </c>
      <c r="B2" t="n">
        <v>1.04</v>
      </c>
      <c r="C2" t="n">
        <v>1.03</v>
      </c>
      <c r="D2" t="n">
        <v>1.01</v>
      </c>
      <c r="E2" t="n">
        <v>-2.75</v>
      </c>
      <c r="F2" t="n">
        <v>-1.5</v>
      </c>
      <c r="G2" t="n">
        <v>161</v>
      </c>
      <c r="H2" t="n">
        <v>12</v>
      </c>
      <c r="I2" t="s">
        <v>207</v>
      </c>
      <c r="J2" t="n">
        <v>0</v>
      </c>
      <c r="K2" t="n">
        <v>0</v>
      </c>
      <c r="L2" t="n">
        <v>0</v>
      </c>
      <c r="M2" t="n">
        <v>12</v>
      </c>
      <c r="N2" t="n">
        <v>0</v>
      </c>
      <c r="O2" t="n">
        <v>-0.25</v>
      </c>
      <c r="P2" t="n">
        <v>167</v>
      </c>
      <c r="Q2" t="n">
        <v>12</v>
      </c>
      <c r="R2" t="s">
        <v>208</v>
      </c>
      <c r="S2" t="s">
        <v>207</v>
      </c>
      <c r="T2" t="n">
        <v>0</v>
      </c>
    </row>
    <row r="3">
      <c r="A3" t="s">
        <v>30</v>
      </c>
      <c r="B3" t="n">
        <v>0.97</v>
      </c>
      <c r="C3" t="n">
        <v>0.78</v>
      </c>
      <c r="D3" t="n">
        <v>0.93</v>
      </c>
      <c r="E3" t="n">
        <v>-3.75</v>
      </c>
      <c r="F3" t="n">
        <v>-2.25</v>
      </c>
      <c r="G3" t="n">
        <v>35</v>
      </c>
      <c r="H3" t="n">
        <v>12</v>
      </c>
      <c r="I3" t="s">
        <v>209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40</v>
      </c>
      <c r="Q3" t="n">
        <v>12</v>
      </c>
      <c r="R3" t="s">
        <v>210</v>
      </c>
      <c r="S3" t="s">
        <v>211</v>
      </c>
      <c r="T3" t="n">
        <v>0</v>
      </c>
    </row>
    <row r="4">
      <c r="A4" t="s">
        <v>30</v>
      </c>
      <c r="B4" t="n">
        <v>1.03</v>
      </c>
      <c r="C4" t="n">
        <v>1</v>
      </c>
      <c r="D4" t="n">
        <v>1.03</v>
      </c>
      <c r="E4" t="n">
        <v>-3</v>
      </c>
      <c r="F4" t="n">
        <v>-0.75</v>
      </c>
      <c r="G4" t="n">
        <v>78</v>
      </c>
      <c r="H4" t="n">
        <v>12</v>
      </c>
      <c r="I4" t="s">
        <v>207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t="n">
        <v>-0.25</v>
      </c>
      <c r="P4" t="n">
        <v>110</v>
      </c>
      <c r="Q4" t="n">
        <v>12</v>
      </c>
      <c r="R4" t="s">
        <v>207</v>
      </c>
      <c r="S4" t="s">
        <v>208</v>
      </c>
      <c r="T4" t="n">
        <v>0</v>
      </c>
    </row>
    <row r="5">
      <c r="A5" t="s">
        <v>30</v>
      </c>
      <c r="B5" t="n">
        <v>1.06</v>
      </c>
      <c r="C5" t="n">
        <v>1.02</v>
      </c>
      <c r="D5" t="n">
        <v>1.08</v>
      </c>
      <c r="E5" t="n">
        <v>-0.75</v>
      </c>
      <c r="F5" t="n">
        <v>0</v>
      </c>
      <c r="G5" t="n">
        <v>80</v>
      </c>
      <c r="H5" t="n">
        <v>12</v>
      </c>
      <c r="I5" t="s">
        <v>207</v>
      </c>
      <c r="J5" t="n">
        <v>0</v>
      </c>
      <c r="K5" t="n">
        <v>0</v>
      </c>
      <c r="L5" t="n">
        <v>0</v>
      </c>
      <c r="M5" t="n">
        <v>12</v>
      </c>
      <c r="N5" t="n">
        <v>0.25</v>
      </c>
      <c r="O5" t="n">
        <v>0</v>
      </c>
      <c r="P5" t="n">
        <v>89</v>
      </c>
      <c r="Q5" t="n">
        <v>12</v>
      </c>
      <c r="R5" t="s">
        <v>212</v>
      </c>
      <c r="S5" t="s">
        <v>208</v>
      </c>
      <c r="T5" t="n">
        <v>0.25</v>
      </c>
    </row>
    <row r="6">
      <c r="A6" t="s">
        <v>30</v>
      </c>
      <c r="B6" t="n">
        <v>1.2</v>
      </c>
      <c r="C6" t="n">
        <v>1.25</v>
      </c>
      <c r="D6" t="n">
        <v>1.3</v>
      </c>
      <c r="E6" t="n">
        <v>-1.75</v>
      </c>
      <c r="F6" t="n">
        <v>-1</v>
      </c>
      <c r="G6" t="n">
        <v>103</v>
      </c>
      <c r="H6" t="n">
        <v>12</v>
      </c>
      <c r="I6" t="s">
        <v>213</v>
      </c>
      <c r="J6" t="n">
        <v>0</v>
      </c>
      <c r="K6" t="n">
        <v>0</v>
      </c>
      <c r="L6" t="n">
        <v>0</v>
      </c>
      <c r="M6" t="n">
        <v>12</v>
      </c>
      <c r="N6" t="n">
        <v>0.25</v>
      </c>
      <c r="O6" t="n">
        <v>-0.5</v>
      </c>
      <c r="P6" t="n">
        <v>78</v>
      </c>
      <c r="Q6" t="n">
        <v>12</v>
      </c>
      <c r="R6" t="s">
        <v>214</v>
      </c>
      <c r="S6" t="s">
        <v>215</v>
      </c>
      <c r="T6" t="n">
        <v>0</v>
      </c>
    </row>
    <row r="7">
      <c r="A7" t="s">
        <v>30</v>
      </c>
      <c r="B7" t="n">
        <v>1.09</v>
      </c>
      <c r="C7" t="n">
        <v>1.16</v>
      </c>
      <c r="D7" t="n">
        <v>1.08</v>
      </c>
      <c r="E7" t="n">
        <v>-0.5</v>
      </c>
      <c r="F7" t="n">
        <v>-0.25</v>
      </c>
      <c r="G7" t="n">
        <v>3</v>
      </c>
      <c r="H7" t="n">
        <v>12</v>
      </c>
      <c r="I7" t="s">
        <v>212</v>
      </c>
      <c r="J7" t="n">
        <v>0</v>
      </c>
      <c r="K7" t="n">
        <v>0</v>
      </c>
      <c r="L7" t="n">
        <v>0</v>
      </c>
      <c r="M7" t="n">
        <v>12</v>
      </c>
      <c r="N7" t="n">
        <v>0.5</v>
      </c>
      <c r="O7" t="n">
        <v>-0.25</v>
      </c>
      <c r="P7" t="n">
        <v>177</v>
      </c>
      <c r="Q7" t="n">
        <v>12</v>
      </c>
      <c r="R7" t="s">
        <v>212</v>
      </c>
      <c r="S7" t="s">
        <v>216</v>
      </c>
      <c r="T7" t="n">
        <v>0.25</v>
      </c>
    </row>
    <row r="8">
      <c r="A8" t="s">
        <v>30</v>
      </c>
      <c r="B8" t="n">
        <v>1.1</v>
      </c>
      <c r="C8" t="n">
        <v>1.09</v>
      </c>
      <c r="D8" t="n">
        <v>1.12</v>
      </c>
      <c r="E8" t="n">
        <v>-5.25</v>
      </c>
      <c r="F8" t="n">
        <v>-1.25</v>
      </c>
      <c r="G8" t="n">
        <v>103</v>
      </c>
      <c r="H8" t="n">
        <v>12</v>
      </c>
      <c r="I8" t="s">
        <v>212</v>
      </c>
      <c r="J8" t="n">
        <v>0</v>
      </c>
      <c r="K8" t="n">
        <v>0</v>
      </c>
      <c r="L8" t="n">
        <v>0</v>
      </c>
      <c r="M8" t="n">
        <v>12</v>
      </c>
      <c r="N8" t="n">
        <v>0.5</v>
      </c>
      <c r="O8" t="n">
        <v>-0.5</v>
      </c>
      <c r="P8" t="n">
        <v>75</v>
      </c>
      <c r="Q8" t="n">
        <v>12</v>
      </c>
      <c r="R8" t="s">
        <v>212</v>
      </c>
      <c r="S8" t="s">
        <v>212</v>
      </c>
      <c r="T8" t="n">
        <v>0.25</v>
      </c>
    </row>
    <row r="9">
      <c r="A9" t="s">
        <v>30</v>
      </c>
      <c r="B9" t="n">
        <v>0.93</v>
      </c>
      <c r="C9" t="n">
        <v>0.93</v>
      </c>
      <c r="D9" t="n">
        <v>0.95</v>
      </c>
      <c r="E9" t="n">
        <v>-3.25</v>
      </c>
      <c r="F9" t="n">
        <v>-1</v>
      </c>
      <c r="G9" t="n">
        <v>24</v>
      </c>
      <c r="H9" t="n">
        <v>12</v>
      </c>
      <c r="I9" t="s">
        <v>210</v>
      </c>
      <c r="J9" t="n">
        <v>0</v>
      </c>
      <c r="K9" t="n">
        <v>0</v>
      </c>
      <c r="L9" t="n">
        <v>0</v>
      </c>
      <c r="M9" t="n">
        <v>12</v>
      </c>
      <c r="N9" t="n">
        <v>0.5</v>
      </c>
      <c r="O9" t="n">
        <v>-0.5</v>
      </c>
      <c r="P9" t="n">
        <v>36</v>
      </c>
      <c r="Q9" t="n">
        <v>12</v>
      </c>
      <c r="R9" t="s">
        <v>209</v>
      </c>
      <c r="S9" t="s">
        <v>210</v>
      </c>
      <c r="T9" t="n">
        <v>0.25</v>
      </c>
    </row>
    <row r="10">
      <c r="A10" t="s">
        <v>30</v>
      </c>
      <c r="B10" t="n">
        <v>0.96</v>
      </c>
      <c r="C10" t="n">
        <v>0.94</v>
      </c>
      <c r="D10" t="n">
        <v>0.95</v>
      </c>
      <c r="E10" t="n">
        <v>-1</v>
      </c>
      <c r="F10" t="n">
        <v>-0.5</v>
      </c>
      <c r="G10" t="n">
        <v>101</v>
      </c>
      <c r="H10" t="n">
        <v>12</v>
      </c>
      <c r="I10" t="s">
        <v>209</v>
      </c>
      <c r="J10" t="n">
        <v>0</v>
      </c>
      <c r="K10" t="n">
        <v>0</v>
      </c>
      <c r="L10" t="n">
        <v>0</v>
      </c>
      <c r="M10" t="n">
        <v>12</v>
      </c>
      <c r="N10" t="n">
        <v>0.5</v>
      </c>
      <c r="O10" t="n">
        <v>-0.25</v>
      </c>
      <c r="P10" t="n">
        <v>98</v>
      </c>
      <c r="Q10" t="n">
        <v>12</v>
      </c>
      <c r="R10" t="s">
        <v>209</v>
      </c>
      <c r="S10" t="s">
        <v>209</v>
      </c>
      <c r="T10" t="n">
        <v>0.25</v>
      </c>
    </row>
    <row r="11">
      <c r="A11" t="s">
        <v>30</v>
      </c>
      <c r="B11" t="n">
        <v>0.95</v>
      </c>
      <c r="C11" t="n">
        <v>0.9</v>
      </c>
      <c r="D11" t="n">
        <v>1.01</v>
      </c>
      <c r="E11" t="n">
        <v>-5.25</v>
      </c>
      <c r="F11" t="n">
        <v>-1.25</v>
      </c>
      <c r="G11" t="n">
        <v>79</v>
      </c>
      <c r="H11" t="n">
        <v>12</v>
      </c>
      <c r="I11" t="s">
        <v>209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-0.75</v>
      </c>
      <c r="P11" t="n">
        <v>64</v>
      </c>
      <c r="Q11" t="n">
        <v>12</v>
      </c>
      <c r="R11" t="s">
        <v>208</v>
      </c>
      <c r="S11" t="s">
        <v>210</v>
      </c>
      <c r="T11" t="n">
        <v>-0.25</v>
      </c>
    </row>
    <row r="12">
      <c r="A12" t="s">
        <v>30</v>
      </c>
      <c r="B12" t="n">
        <v>1.06</v>
      </c>
      <c r="C12" t="n">
        <v>1.05</v>
      </c>
      <c r="D12" t="n">
        <v>1.13</v>
      </c>
      <c r="E12" t="n">
        <v>-2</v>
      </c>
      <c r="F12" t="n">
        <v>-0.5</v>
      </c>
      <c r="G12" t="n">
        <v>162</v>
      </c>
      <c r="H12" t="n">
        <v>12</v>
      </c>
      <c r="I12" t="s">
        <v>207</v>
      </c>
      <c r="J12" t="n">
        <v>0</v>
      </c>
      <c r="K12" t="n">
        <v>0</v>
      </c>
      <c r="L12" t="n">
        <v>0</v>
      </c>
      <c r="M12" t="n">
        <v>12</v>
      </c>
      <c r="N12" t="n">
        <v>0.5</v>
      </c>
      <c r="O12" t="n">
        <v>-0.25</v>
      </c>
      <c r="P12" t="n">
        <v>138</v>
      </c>
      <c r="Q12" t="n">
        <v>12</v>
      </c>
      <c r="R12" t="s">
        <v>216</v>
      </c>
      <c r="S12" t="s">
        <v>207</v>
      </c>
      <c r="T12" t="n">
        <v>0.25</v>
      </c>
    </row>
    <row r="13">
      <c r="A13" t="s">
        <v>30</v>
      </c>
      <c r="B13" t="n">
        <v>0.98</v>
      </c>
      <c r="C13" t="n">
        <v>1.05</v>
      </c>
      <c r="D13" t="n">
        <v>0.97</v>
      </c>
      <c r="E13" t="n">
        <v>-4.5</v>
      </c>
      <c r="F13" t="n">
        <v>-1.5</v>
      </c>
      <c r="G13" t="n">
        <v>20</v>
      </c>
      <c r="H13" t="n">
        <v>12</v>
      </c>
      <c r="I13" t="s">
        <v>208</v>
      </c>
      <c r="J13" t="n">
        <v>0</v>
      </c>
      <c r="K13" t="n">
        <v>0</v>
      </c>
      <c r="L13" t="n">
        <v>0</v>
      </c>
      <c r="M13" t="n">
        <v>12</v>
      </c>
      <c r="N13" t="n">
        <v>-0.25</v>
      </c>
      <c r="O13" t="n">
        <v>0</v>
      </c>
      <c r="P13" t="n">
        <v>24</v>
      </c>
      <c r="Q13" t="n">
        <v>12</v>
      </c>
      <c r="R13" t="s">
        <v>209</v>
      </c>
      <c r="S13" t="s">
        <v>207</v>
      </c>
      <c r="T13" t="n">
        <v>-0.25</v>
      </c>
    </row>
    <row r="14">
      <c r="A14" t="s">
        <v>30</v>
      </c>
      <c r="B14" t="n">
        <v>0.97</v>
      </c>
      <c r="C14" t="n">
        <v>0.83</v>
      </c>
      <c r="D14" t="n">
        <v>0.93</v>
      </c>
      <c r="E14" t="n">
        <v>-5.5</v>
      </c>
      <c r="F14" t="n">
        <v>-1</v>
      </c>
      <c r="G14" t="n">
        <v>102</v>
      </c>
      <c r="H14" t="n">
        <v>12</v>
      </c>
      <c r="I14" t="s">
        <v>209</v>
      </c>
      <c r="J14" t="n">
        <v>0</v>
      </c>
      <c r="K14" t="n">
        <v>0</v>
      </c>
      <c r="L14" t="n">
        <v>0</v>
      </c>
      <c r="M14" t="n">
        <v>12</v>
      </c>
      <c r="N14" t="n">
        <v>-0.25</v>
      </c>
      <c r="O14" t="n">
        <v>0</v>
      </c>
      <c r="P14" t="n">
        <v>88</v>
      </c>
      <c r="Q14" t="n">
        <v>12</v>
      </c>
      <c r="R14" t="s">
        <v>210</v>
      </c>
      <c r="S14" t="s">
        <v>217</v>
      </c>
      <c r="T14" t="n">
        <v>-0.25</v>
      </c>
    </row>
    <row r="15">
      <c r="A15" t="s">
        <v>30</v>
      </c>
      <c r="B15" t="n">
        <v>1.16</v>
      </c>
      <c r="C15" t="n">
        <v>1</v>
      </c>
      <c r="D15" t="n">
        <v>1.16</v>
      </c>
      <c r="E15" t="n">
        <v>-1.5</v>
      </c>
      <c r="F15" t="n">
        <v>-0.25</v>
      </c>
      <c r="G15" t="n">
        <v>3</v>
      </c>
      <c r="H15" t="n">
        <v>12</v>
      </c>
      <c r="I15" t="s">
        <v>216</v>
      </c>
      <c r="J15" t="n">
        <v>0</v>
      </c>
      <c r="K15" t="n">
        <v>0</v>
      </c>
      <c r="L15" t="n">
        <v>0</v>
      </c>
      <c r="M15" t="n">
        <v>12</v>
      </c>
      <c r="N15" t="n">
        <v>0.5</v>
      </c>
      <c r="O15" t="n">
        <v>-0.25</v>
      </c>
      <c r="P15" t="n">
        <v>152</v>
      </c>
      <c r="Q15" t="n">
        <v>12</v>
      </c>
      <c r="R15" t="s">
        <v>216</v>
      </c>
      <c r="S15" t="s">
        <v>208</v>
      </c>
      <c r="T15" t="n">
        <v>0.5</v>
      </c>
    </row>
    <row r="16">
      <c r="A16" t="s">
        <v>30</v>
      </c>
      <c r="B16" t="n">
        <v>0.83</v>
      </c>
      <c r="C16" t="n">
        <v>0.7</v>
      </c>
      <c r="D16" t="n">
        <v>0.8</v>
      </c>
      <c r="E16" t="n">
        <v>-7</v>
      </c>
      <c r="F16" t="n">
        <v>0</v>
      </c>
      <c r="G16" t="n">
        <v>8</v>
      </c>
      <c r="H16" t="n">
        <v>12</v>
      </c>
      <c r="I16" t="s">
        <v>217</v>
      </c>
      <c r="J16" t="n">
        <v>0</v>
      </c>
      <c r="K16" t="n">
        <v>0</v>
      </c>
      <c r="L16" t="n">
        <v>0</v>
      </c>
      <c r="M16" t="n">
        <v>12</v>
      </c>
      <c r="N16" t="n">
        <v>0</v>
      </c>
      <c r="O16" t="n">
        <v>-0.25</v>
      </c>
      <c r="P16" t="n">
        <v>75</v>
      </c>
      <c r="Q16" t="n">
        <v>12</v>
      </c>
      <c r="R16" t="s">
        <v>211</v>
      </c>
      <c r="S16" t="s">
        <v>218</v>
      </c>
      <c r="T16" t="n">
        <v>-0.25</v>
      </c>
    </row>
    <row r="17">
      <c r="A17" t="s">
        <v>30</v>
      </c>
      <c r="B17" t="n">
        <v>1.13</v>
      </c>
      <c r="C17" t="n">
        <v>1.05</v>
      </c>
      <c r="D17" t="n">
        <v>1.14</v>
      </c>
      <c r="E17" t="n">
        <v>-3.25</v>
      </c>
      <c r="F17" t="n">
        <v>-1.5</v>
      </c>
      <c r="G17" t="n">
        <v>92</v>
      </c>
      <c r="H17" t="n">
        <v>12</v>
      </c>
      <c r="I17" t="s">
        <v>216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-0.25</v>
      </c>
      <c r="P17" t="n">
        <v>97</v>
      </c>
      <c r="Q17" t="n">
        <v>12</v>
      </c>
      <c r="R17" t="s">
        <v>216</v>
      </c>
      <c r="S17" t="s">
        <v>207</v>
      </c>
      <c r="T17" t="n">
        <v>0</v>
      </c>
    </row>
    <row r="18">
      <c r="A18" t="s">
        <v>30</v>
      </c>
      <c r="B18" t="n">
        <v>1.15</v>
      </c>
      <c r="C18" t="n">
        <v>1.04</v>
      </c>
      <c r="D18" t="n">
        <v>1.15</v>
      </c>
      <c r="E18" t="n">
        <v>-5.75</v>
      </c>
      <c r="F18" t="n">
        <v>-0.75</v>
      </c>
      <c r="G18" t="n">
        <v>17</v>
      </c>
      <c r="H18" t="n">
        <v>12</v>
      </c>
      <c r="I18" t="s">
        <v>216</v>
      </c>
      <c r="J18" t="n">
        <v>0</v>
      </c>
      <c r="K18" t="n">
        <v>0</v>
      </c>
      <c r="L18" t="n">
        <v>0</v>
      </c>
      <c r="M18" t="n">
        <v>12</v>
      </c>
      <c r="N18" t="n">
        <v>-0.5</v>
      </c>
      <c r="O18" t="n">
        <v>-0.25</v>
      </c>
      <c r="P18" t="n">
        <v>20</v>
      </c>
      <c r="Q18" t="n">
        <v>12</v>
      </c>
      <c r="R18" t="s">
        <v>216</v>
      </c>
      <c r="S18" t="s">
        <v>207</v>
      </c>
      <c r="T18" t="n">
        <v>-0.75</v>
      </c>
    </row>
    <row r="19">
      <c r="A19" t="s">
        <v>30</v>
      </c>
      <c r="B19" t="n">
        <v>1.06</v>
      </c>
      <c r="C19" t="n">
        <v>1.01</v>
      </c>
      <c r="D19" t="n">
        <v>1.09</v>
      </c>
      <c r="E19" t="n">
        <v>-2.75</v>
      </c>
      <c r="F19" t="n">
        <v>-0.25</v>
      </c>
      <c r="G19" t="n">
        <v>7</v>
      </c>
      <c r="H19" t="n">
        <v>12</v>
      </c>
      <c r="I19" t="s">
        <v>207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0</v>
      </c>
      <c r="P19" t="n">
        <v>178</v>
      </c>
      <c r="Q19" t="n">
        <v>12</v>
      </c>
      <c r="R19" t="s">
        <v>212</v>
      </c>
      <c r="S19" t="s">
        <v>208</v>
      </c>
      <c r="T19" t="n">
        <v>0</v>
      </c>
    </row>
    <row r="20">
      <c r="A20" t="s">
        <v>30</v>
      </c>
      <c r="B20" t="n">
        <v>1</v>
      </c>
      <c r="C20" t="n">
        <v>0.92</v>
      </c>
      <c r="D20" t="n">
        <v>0.95</v>
      </c>
      <c r="E20" t="n">
        <v>-1.5</v>
      </c>
      <c r="F20" t="n">
        <v>0</v>
      </c>
      <c r="G20" t="n">
        <v>97</v>
      </c>
      <c r="H20" t="n">
        <v>12</v>
      </c>
      <c r="I20" t="s">
        <v>208</v>
      </c>
      <c r="J20" t="n">
        <v>0</v>
      </c>
      <c r="K20" t="n">
        <v>0</v>
      </c>
      <c r="L20" t="n">
        <v>0</v>
      </c>
      <c r="M20" t="n">
        <v>12</v>
      </c>
      <c r="N20" t="n">
        <v>-0.5</v>
      </c>
      <c r="O20" t="n">
        <v>-0.25</v>
      </c>
      <c r="P20" t="n">
        <v>122</v>
      </c>
      <c r="Q20" t="n">
        <v>12</v>
      </c>
      <c r="R20" t="s">
        <v>209</v>
      </c>
      <c r="S20" t="s">
        <v>210</v>
      </c>
      <c r="T20" t="n">
        <v>-0.5</v>
      </c>
    </row>
    <row r="21">
      <c r="A21" t="s">
        <v>30</v>
      </c>
      <c r="B21" t="n">
        <v>1.05</v>
      </c>
      <c r="C21" t="n">
        <v>0.9</v>
      </c>
      <c r="D21" t="n">
        <v>1.06</v>
      </c>
      <c r="E21" t="n">
        <v>-6</v>
      </c>
      <c r="F21" t="n">
        <v>-1.5</v>
      </c>
      <c r="G21" t="n">
        <v>161</v>
      </c>
      <c r="H21" t="n">
        <v>12</v>
      </c>
      <c r="I21" t="s">
        <v>207</v>
      </c>
      <c r="J21" t="n">
        <v>0</v>
      </c>
      <c r="K21" t="n">
        <v>0</v>
      </c>
      <c r="L21" t="n">
        <v>0</v>
      </c>
      <c r="M21" t="n">
        <v>12</v>
      </c>
      <c r="N21" t="n">
        <v>0.5</v>
      </c>
      <c r="O21" t="n">
        <v>-0.25</v>
      </c>
      <c r="P21" t="n">
        <v>12</v>
      </c>
      <c r="Q21" t="n">
        <v>12</v>
      </c>
      <c r="R21" t="s">
        <v>207</v>
      </c>
      <c r="S21" t="s">
        <v>210</v>
      </c>
      <c r="T21" t="n">
        <v>0.25</v>
      </c>
    </row>
    <row r="22">
      <c r="A22" t="s">
        <v>30</v>
      </c>
      <c r="B22" t="n">
        <v>1.11</v>
      </c>
      <c r="C22" t="n">
        <v>1.14</v>
      </c>
      <c r="D22" t="n">
        <v>1.08</v>
      </c>
      <c r="E22" t="n">
        <v>-4.25</v>
      </c>
      <c r="F22" t="n">
        <v>-2.5</v>
      </c>
      <c r="G22" t="n">
        <v>3</v>
      </c>
      <c r="H22" t="n">
        <v>12</v>
      </c>
      <c r="I22" t="s">
        <v>212</v>
      </c>
      <c r="J22" t="n">
        <v>0</v>
      </c>
      <c r="K22" t="n">
        <v>0</v>
      </c>
      <c r="L22" t="n">
        <v>0</v>
      </c>
      <c r="M22" t="n">
        <v>12</v>
      </c>
      <c r="N22" t="n">
        <v>0</v>
      </c>
      <c r="O22" t="n">
        <v>0</v>
      </c>
      <c r="P22" t="n">
        <v>9</v>
      </c>
      <c r="Q22" t="n">
        <v>12</v>
      </c>
      <c r="R22" t="s">
        <v>212</v>
      </c>
      <c r="S22" t="s">
        <v>216</v>
      </c>
      <c r="T22" t="n">
        <v>0</v>
      </c>
    </row>
    <row r="23">
      <c r="A23" t="s">
        <v>30</v>
      </c>
      <c r="B23" t="n">
        <v>1.1</v>
      </c>
      <c r="C23" t="n">
        <v>1.09</v>
      </c>
      <c r="D23" t="n">
        <v>1.12</v>
      </c>
      <c r="E23" t="n">
        <v>-5.25</v>
      </c>
      <c r="F23" t="n">
        <v>-0.5</v>
      </c>
      <c r="G23" t="n">
        <v>13</v>
      </c>
      <c r="H23" t="n">
        <v>12</v>
      </c>
      <c r="I23" t="s">
        <v>212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-0.25</v>
      </c>
      <c r="P23" t="n">
        <v>173</v>
      </c>
      <c r="Q23" t="n">
        <v>12</v>
      </c>
      <c r="R23" t="s">
        <v>212</v>
      </c>
      <c r="S23" t="s">
        <v>212</v>
      </c>
      <c r="T23" t="n">
        <v>0</v>
      </c>
    </row>
    <row r="24">
      <c r="A24" t="s">
        <v>30</v>
      </c>
      <c r="B24" t="n">
        <v>1.07</v>
      </c>
      <c r="C24" t="n">
        <v>0.97</v>
      </c>
      <c r="D24" t="n">
        <v>1.1</v>
      </c>
      <c r="E24" t="n">
        <v>-2.75</v>
      </c>
      <c r="F24" t="n">
        <v>-0.25</v>
      </c>
      <c r="G24" t="n">
        <v>178</v>
      </c>
      <c r="H24" t="n">
        <v>12</v>
      </c>
      <c r="I24" t="s">
        <v>207</v>
      </c>
      <c r="J24" t="n">
        <v>0</v>
      </c>
      <c r="K24" t="n">
        <v>0</v>
      </c>
      <c r="L24" t="n">
        <v>0</v>
      </c>
      <c r="M24" t="n">
        <v>12</v>
      </c>
      <c r="N24" t="n">
        <v>1</v>
      </c>
      <c r="O24" t="n">
        <v>-0.25</v>
      </c>
      <c r="P24" t="n">
        <v>162</v>
      </c>
      <c r="Q24" t="n">
        <v>12</v>
      </c>
      <c r="R24" t="s">
        <v>212</v>
      </c>
      <c r="S24" t="s">
        <v>209</v>
      </c>
      <c r="T24" t="n">
        <v>0.75</v>
      </c>
    </row>
    <row r="25">
      <c r="A25" t="s">
        <v>30</v>
      </c>
      <c r="B25" t="n">
        <v>1.02</v>
      </c>
      <c r="C25" t="n">
        <v>0.99</v>
      </c>
      <c r="D25" t="n">
        <v>0.96</v>
      </c>
      <c r="E25" t="n">
        <v>-3.75</v>
      </c>
      <c r="F25" t="n">
        <v>0</v>
      </c>
      <c r="G25" t="n">
        <v>159</v>
      </c>
      <c r="H25" t="n">
        <v>12</v>
      </c>
      <c r="I25" t="s">
        <v>208</v>
      </c>
      <c r="J25" t="n">
        <v>0</v>
      </c>
      <c r="K25" t="n">
        <v>0</v>
      </c>
      <c r="L25" t="n">
        <v>0</v>
      </c>
      <c r="M25" t="n">
        <v>12</v>
      </c>
      <c r="N25" t="n">
        <v>0.5</v>
      </c>
      <c r="O25" t="n">
        <v>0</v>
      </c>
      <c r="P25" t="n">
        <v>159</v>
      </c>
      <c r="Q25" t="n">
        <v>12</v>
      </c>
      <c r="R25" t="s">
        <v>209</v>
      </c>
      <c r="S25" t="s">
        <v>208</v>
      </c>
      <c r="T25" t="n">
        <v>0.5</v>
      </c>
    </row>
    <row r="26">
      <c r="A26" t="s">
        <v>30</v>
      </c>
      <c r="B26" t="n">
        <v>0.95</v>
      </c>
      <c r="C26" t="n">
        <v>1.14</v>
      </c>
      <c r="D26" t="n">
        <v>0.95</v>
      </c>
      <c r="E26" t="n">
        <v>-1.75</v>
      </c>
      <c r="F26" t="n">
        <v>0</v>
      </c>
      <c r="G26" t="n">
        <v>161</v>
      </c>
      <c r="H26" t="n">
        <v>12</v>
      </c>
      <c r="I26" t="s">
        <v>209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-0.25</v>
      </c>
      <c r="P26" t="n">
        <v>7</v>
      </c>
      <c r="Q26" t="n">
        <v>12</v>
      </c>
      <c r="R26" t="s">
        <v>209</v>
      </c>
      <c r="S26" t="s">
        <v>216</v>
      </c>
      <c r="T26" t="n">
        <v>0</v>
      </c>
    </row>
    <row r="27">
      <c r="A27" t="s">
        <v>30</v>
      </c>
      <c r="B27" t="n">
        <v>0.97</v>
      </c>
      <c r="C27" t="n">
        <v>1.06</v>
      </c>
      <c r="D27" t="n">
        <v>0.98</v>
      </c>
      <c r="E27" t="n">
        <v>-3.75</v>
      </c>
      <c r="F27" t="n">
        <v>-1.75</v>
      </c>
      <c r="G27" t="n">
        <v>15</v>
      </c>
      <c r="H27" t="n">
        <v>12</v>
      </c>
      <c r="I27" t="s">
        <v>209</v>
      </c>
      <c r="J27" t="n">
        <v>0</v>
      </c>
      <c r="K27" t="n">
        <v>0</v>
      </c>
      <c r="L27" t="n">
        <v>0</v>
      </c>
      <c r="M27" t="n">
        <v>12</v>
      </c>
      <c r="N27" t="n">
        <v>0.75</v>
      </c>
      <c r="O27" t="n">
        <v>-0.5</v>
      </c>
      <c r="P27" t="n">
        <v>24</v>
      </c>
      <c r="Q27" t="n">
        <v>12</v>
      </c>
      <c r="R27" t="s">
        <v>208</v>
      </c>
      <c r="S27" t="s">
        <v>207</v>
      </c>
      <c r="T27" t="n">
        <v>0.5</v>
      </c>
    </row>
    <row r="28">
      <c r="A28" t="s">
        <v>30</v>
      </c>
      <c r="B28" t="n">
        <v>1.04</v>
      </c>
      <c r="C28" t="n">
        <v>0.91</v>
      </c>
      <c r="D28" t="n">
        <v>1.04</v>
      </c>
      <c r="E28" t="n">
        <v>-5.25</v>
      </c>
      <c r="F28" t="n">
        <v>0</v>
      </c>
      <c r="G28" t="n">
        <v>3</v>
      </c>
      <c r="H28" t="n">
        <v>12</v>
      </c>
      <c r="I28" t="s">
        <v>207</v>
      </c>
      <c r="J28" t="n">
        <v>0</v>
      </c>
      <c r="K28" t="n">
        <v>0</v>
      </c>
      <c r="L28" t="n">
        <v>0</v>
      </c>
      <c r="M28" t="n">
        <v>12</v>
      </c>
      <c r="N28" t="n">
        <v>0.25</v>
      </c>
      <c r="O28" t="n">
        <v>-0.5</v>
      </c>
      <c r="P28" t="n">
        <v>91</v>
      </c>
      <c r="Q28" t="n">
        <v>12</v>
      </c>
      <c r="R28" t="s">
        <v>207</v>
      </c>
      <c r="S28" t="s">
        <v>210</v>
      </c>
      <c r="T28" t="n">
        <v>0</v>
      </c>
    </row>
    <row r="29">
      <c r="A29" t="s">
        <v>30</v>
      </c>
      <c r="B29" t="n">
        <v>1.13</v>
      </c>
      <c r="C29" t="n">
        <v>1.18</v>
      </c>
      <c r="D29" t="n">
        <v>1.16</v>
      </c>
      <c r="E29" t="n">
        <v>-5.75</v>
      </c>
      <c r="F29" t="n">
        <v>-1.25</v>
      </c>
      <c r="G29" t="n">
        <v>100</v>
      </c>
      <c r="H29" t="n">
        <v>12</v>
      </c>
      <c r="I29" t="s">
        <v>216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-0.25</v>
      </c>
      <c r="P29" t="n">
        <v>103</v>
      </c>
      <c r="Q29" t="n">
        <v>12</v>
      </c>
      <c r="R29" t="s">
        <v>216</v>
      </c>
      <c r="S29" t="s">
        <v>213</v>
      </c>
      <c r="T29" t="n">
        <v>0</v>
      </c>
    </row>
    <row r="30">
      <c r="A30" t="s">
        <v>30</v>
      </c>
      <c r="B30" t="n">
        <v>0.92</v>
      </c>
      <c r="C30" t="n">
        <v>0.87</v>
      </c>
      <c r="D30" t="n">
        <v>0.92</v>
      </c>
      <c r="E30" t="n">
        <v>-3.25</v>
      </c>
      <c r="F30" t="n">
        <v>0</v>
      </c>
      <c r="G30" t="n">
        <v>3</v>
      </c>
      <c r="H30" t="n">
        <v>12</v>
      </c>
      <c r="I30" t="s">
        <v>210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-0.25</v>
      </c>
      <c r="P30" t="n">
        <v>140</v>
      </c>
      <c r="Q30" t="n">
        <v>12</v>
      </c>
      <c r="R30" t="s">
        <v>210</v>
      </c>
      <c r="S30" t="s">
        <v>219</v>
      </c>
      <c r="T30" t="n">
        <v>0</v>
      </c>
    </row>
    <row r="31">
      <c r="A31" t="s">
        <v>30</v>
      </c>
      <c r="B31" t="n">
        <v>0.89</v>
      </c>
      <c r="C31" t="n">
        <v>0.81</v>
      </c>
      <c r="D31" t="n">
        <v>0.85</v>
      </c>
      <c r="E31" t="n">
        <v>-2.5</v>
      </c>
      <c r="F31" t="n">
        <v>0</v>
      </c>
      <c r="G31" t="n">
        <v>1</v>
      </c>
      <c r="H31" t="n">
        <v>12</v>
      </c>
      <c r="I31" t="s">
        <v>219</v>
      </c>
      <c r="J31" t="n">
        <v>0</v>
      </c>
      <c r="K31" t="n">
        <v>0</v>
      </c>
      <c r="L31" t="n">
        <v>0</v>
      </c>
      <c r="M31" t="n">
        <v>12</v>
      </c>
      <c r="N31" t="n">
        <v>0.5</v>
      </c>
      <c r="O31" t="n">
        <v>-0.5</v>
      </c>
      <c r="P31" t="n">
        <v>23</v>
      </c>
      <c r="Q31" t="n">
        <v>12</v>
      </c>
      <c r="R31" t="s">
        <v>217</v>
      </c>
      <c r="S31" t="s">
        <v>211</v>
      </c>
      <c r="T31" t="n">
        <v>0.25</v>
      </c>
    </row>
    <row r="32">
      <c r="A32" t="s">
        <v>30</v>
      </c>
      <c r="B32" t="n">
        <v>1.12</v>
      </c>
      <c r="C32" t="n">
        <v>1.15</v>
      </c>
      <c r="D32" t="n">
        <v>1.17</v>
      </c>
      <c r="E32" t="n">
        <v>-0.75</v>
      </c>
      <c r="F32" t="n">
        <v>0</v>
      </c>
      <c r="G32" t="n">
        <v>163</v>
      </c>
      <c r="H32" t="n">
        <v>12</v>
      </c>
      <c r="I32" t="s">
        <v>212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-0.25</v>
      </c>
      <c r="P32" t="n">
        <v>149</v>
      </c>
      <c r="Q32" t="n">
        <v>12</v>
      </c>
      <c r="R32" t="s">
        <v>216</v>
      </c>
      <c r="S32" t="s">
        <v>216</v>
      </c>
      <c r="T32" t="n">
        <v>0</v>
      </c>
    </row>
    <row r="33">
      <c r="A33" t="s">
        <v>30</v>
      </c>
      <c r="B33" t="n">
        <v>0.97</v>
      </c>
      <c r="C33" t="n">
        <v>1</v>
      </c>
      <c r="D33" t="n">
        <v>0.95</v>
      </c>
      <c r="E33" t="n">
        <v>-5</v>
      </c>
      <c r="F33" t="n">
        <v>-1</v>
      </c>
      <c r="G33" t="n">
        <v>159</v>
      </c>
      <c r="H33" t="n">
        <v>12</v>
      </c>
      <c r="I33" t="s">
        <v>209</v>
      </c>
      <c r="J33" t="n">
        <v>0</v>
      </c>
      <c r="K33" t="n">
        <v>0</v>
      </c>
      <c r="L33" t="n">
        <v>0</v>
      </c>
      <c r="M33" t="n">
        <v>12</v>
      </c>
      <c r="N33" t="n">
        <v>0.25</v>
      </c>
      <c r="O33" t="n">
        <v>-0.5</v>
      </c>
      <c r="P33" t="n">
        <v>169</v>
      </c>
      <c r="Q33" t="n">
        <v>12</v>
      </c>
      <c r="R33" t="s">
        <v>209</v>
      </c>
      <c r="S33" t="s">
        <v>208</v>
      </c>
      <c r="T33" t="n">
        <v>0</v>
      </c>
    </row>
    <row r="34">
      <c r="A34" t="s">
        <v>30</v>
      </c>
      <c r="B34" t="n">
        <v>1.02</v>
      </c>
      <c r="C34" t="n">
        <v>1.2</v>
      </c>
      <c r="D34" t="n">
        <v>1.05</v>
      </c>
      <c r="E34" t="n">
        <v>-2.5</v>
      </c>
      <c r="F34" t="n">
        <v>-0.5</v>
      </c>
      <c r="G34" t="n">
        <v>168</v>
      </c>
      <c r="H34" t="n">
        <v>12</v>
      </c>
      <c r="I34" t="s">
        <v>208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-0.25</v>
      </c>
      <c r="P34" t="n">
        <v>4</v>
      </c>
      <c r="Q34" t="n">
        <v>12</v>
      </c>
      <c r="R34" t="s">
        <v>207</v>
      </c>
      <c r="S34" t="s">
        <v>213</v>
      </c>
      <c r="T34" t="n">
        <v>0</v>
      </c>
    </row>
    <row r="35">
      <c r="A35" t="s">
        <v>30</v>
      </c>
      <c r="B35" t="n">
        <v>1.15</v>
      </c>
      <c r="C35" t="n">
        <v>1.16</v>
      </c>
      <c r="D35" t="n">
        <v>1.12</v>
      </c>
      <c r="E35" t="n">
        <v>-2.5</v>
      </c>
      <c r="F35" t="n">
        <v>-0.5</v>
      </c>
      <c r="G35" t="n">
        <v>164</v>
      </c>
      <c r="H35" t="n">
        <v>12</v>
      </c>
      <c r="I35" t="s">
        <v>216</v>
      </c>
      <c r="J35" t="n">
        <v>0</v>
      </c>
      <c r="K35" t="n">
        <v>0</v>
      </c>
      <c r="L35" t="n">
        <v>0</v>
      </c>
      <c r="M35" t="n">
        <v>12</v>
      </c>
      <c r="N35" t="n">
        <v>1</v>
      </c>
      <c r="O35" t="n">
        <v>-0.25</v>
      </c>
      <c r="P35" t="n">
        <v>170</v>
      </c>
      <c r="Q35" t="n">
        <v>12</v>
      </c>
      <c r="R35" t="s">
        <v>212</v>
      </c>
      <c r="S35" t="s">
        <v>216</v>
      </c>
      <c r="T35" t="n">
        <v>0.75</v>
      </c>
    </row>
    <row r="36">
      <c r="A36" t="s">
        <v>30</v>
      </c>
      <c r="B36" t="n">
        <v>1.11</v>
      </c>
      <c r="C36" t="n">
        <v>1.25</v>
      </c>
      <c r="D36" t="n">
        <v>1.14</v>
      </c>
      <c r="E36" t="n">
        <v>-2</v>
      </c>
      <c r="F36" t="n">
        <v>-0.25</v>
      </c>
      <c r="G36" t="n">
        <v>10</v>
      </c>
      <c r="H36" t="n">
        <v>12</v>
      </c>
      <c r="I36" t="s">
        <v>212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-0.5</v>
      </c>
      <c r="P36" t="n">
        <v>28</v>
      </c>
      <c r="Q36" t="n">
        <v>12</v>
      </c>
      <c r="R36" t="s">
        <v>216</v>
      </c>
      <c r="S36" t="s">
        <v>215</v>
      </c>
      <c r="T36" t="n">
        <v>-0.25</v>
      </c>
    </row>
    <row r="37">
      <c r="A37" t="s">
        <v>30</v>
      </c>
      <c r="B37" t="n">
        <v>1.01</v>
      </c>
      <c r="C37" t="n">
        <v>0.91</v>
      </c>
      <c r="D37" t="n">
        <v>1</v>
      </c>
      <c r="E37" t="n">
        <v>-3.25</v>
      </c>
      <c r="F37" t="n">
        <v>-0.25</v>
      </c>
      <c r="G37" t="n">
        <v>47</v>
      </c>
      <c r="H37" t="n">
        <v>12</v>
      </c>
      <c r="I37" t="s">
        <v>208</v>
      </c>
      <c r="J37" t="n">
        <v>0</v>
      </c>
      <c r="K37" t="n">
        <v>0</v>
      </c>
      <c r="L37" t="n">
        <v>0</v>
      </c>
      <c r="M37" t="n">
        <v>12</v>
      </c>
      <c r="N37" t="n">
        <v>0.5</v>
      </c>
      <c r="O37" t="n">
        <v>-0.5</v>
      </c>
      <c r="P37" t="n">
        <v>48</v>
      </c>
      <c r="Q37" t="n">
        <v>12</v>
      </c>
      <c r="R37" t="s">
        <v>208</v>
      </c>
      <c r="S37" t="s">
        <v>210</v>
      </c>
      <c r="T37" t="n">
        <v>0.25</v>
      </c>
    </row>
    <row r="38">
      <c r="A38" t="s">
        <v>30</v>
      </c>
      <c r="B38" t="n">
        <v>1.01</v>
      </c>
      <c r="C38" t="n">
        <v>1.14</v>
      </c>
      <c r="D38" t="n">
        <v>0.98</v>
      </c>
      <c r="E38" t="n">
        <v>-6.75</v>
      </c>
      <c r="F38" t="n">
        <v>-0.5</v>
      </c>
      <c r="G38" t="n">
        <v>7</v>
      </c>
      <c r="H38" t="n">
        <v>12</v>
      </c>
      <c r="I38" t="s">
        <v>208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-0.25</v>
      </c>
      <c r="P38" t="n">
        <v>21</v>
      </c>
      <c r="Q38" t="n">
        <v>12</v>
      </c>
      <c r="R38" t="s">
        <v>208</v>
      </c>
      <c r="S38" t="s">
        <v>216</v>
      </c>
      <c r="T38" t="n">
        <v>-0.25</v>
      </c>
    </row>
    <row r="39">
      <c r="A39" t="s">
        <v>30</v>
      </c>
      <c r="B39" t="n">
        <v>1.03</v>
      </c>
      <c r="C39" t="n">
        <v>0.93</v>
      </c>
      <c r="D39" t="n">
        <v>1.03</v>
      </c>
      <c r="E39" t="n">
        <v>-7.25</v>
      </c>
      <c r="F39" t="n">
        <v>-0.5</v>
      </c>
      <c r="G39" t="n">
        <v>180</v>
      </c>
      <c r="H39" t="n">
        <v>12</v>
      </c>
      <c r="I39" t="s">
        <v>207</v>
      </c>
      <c r="J39" t="n">
        <v>0</v>
      </c>
      <c r="K39" t="n">
        <v>0</v>
      </c>
      <c r="L39" t="n">
        <v>0</v>
      </c>
      <c r="M39" t="n">
        <v>12</v>
      </c>
      <c r="N39" t="n">
        <v>0.5</v>
      </c>
      <c r="O39" t="n">
        <v>-0.5</v>
      </c>
      <c r="P39" t="n">
        <v>16</v>
      </c>
      <c r="Q39" t="n">
        <v>12</v>
      </c>
      <c r="R39" t="s">
        <v>207</v>
      </c>
      <c r="S39" t="s">
        <v>210</v>
      </c>
      <c r="T39" t="n">
        <v>0.25</v>
      </c>
    </row>
    <row r="40">
      <c r="A40" t="s">
        <v>30</v>
      </c>
      <c r="B40" t="n">
        <v>1.13</v>
      </c>
      <c r="C40" t="n">
        <v>0.9</v>
      </c>
      <c r="D40" t="n">
        <v>1.12</v>
      </c>
      <c r="E40" t="n">
        <v>-2</v>
      </c>
      <c r="F40" t="n">
        <v>-0.75</v>
      </c>
      <c r="G40" t="n">
        <v>85</v>
      </c>
      <c r="H40" t="n">
        <v>12</v>
      </c>
      <c r="I40" t="s">
        <v>216</v>
      </c>
      <c r="J40" t="n">
        <v>0</v>
      </c>
      <c r="K40" t="n">
        <v>0</v>
      </c>
      <c r="L40" t="n">
        <v>0</v>
      </c>
      <c r="M40" t="n">
        <v>12</v>
      </c>
      <c r="N40" t="n">
        <v>0.5</v>
      </c>
      <c r="O40" t="n">
        <v>0</v>
      </c>
      <c r="P40" t="n">
        <v>137</v>
      </c>
      <c r="Q40" t="n">
        <v>12</v>
      </c>
      <c r="R40" t="s">
        <v>212</v>
      </c>
      <c r="S40" t="s">
        <v>210</v>
      </c>
      <c r="T40" t="n">
        <v>0.5</v>
      </c>
    </row>
    <row r="41">
      <c r="A41" t="s">
        <v>30</v>
      </c>
      <c r="B41" t="n">
        <v>0.98</v>
      </c>
      <c r="C41" t="n">
        <v>0.86</v>
      </c>
      <c r="D41" t="n">
        <v>0.95</v>
      </c>
      <c r="E41" t="n">
        <v>-7.25</v>
      </c>
      <c r="F41" t="n">
        <v>-0.75</v>
      </c>
      <c r="G41" t="n">
        <v>14</v>
      </c>
      <c r="H41" t="n">
        <v>12</v>
      </c>
      <c r="I41" t="s">
        <v>208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-0.5</v>
      </c>
      <c r="P41" t="n">
        <v>167</v>
      </c>
      <c r="Q41" t="n">
        <v>12</v>
      </c>
      <c r="R41" t="s">
        <v>209</v>
      </c>
      <c r="S41" t="s">
        <v>219</v>
      </c>
      <c r="T41" t="n">
        <v>-0.25</v>
      </c>
    </row>
    <row r="42">
      <c r="A42" t="s">
        <v>30</v>
      </c>
      <c r="B42" t="n">
        <v>0.88</v>
      </c>
      <c r="C42" t="n">
        <v>0.83</v>
      </c>
      <c r="D42" t="n">
        <v>0.82</v>
      </c>
      <c r="E42" t="n">
        <v>-4.5</v>
      </c>
      <c r="F42" t="n">
        <v>-1.25</v>
      </c>
      <c r="G42" t="n">
        <v>75</v>
      </c>
      <c r="H42" t="n">
        <v>12</v>
      </c>
      <c r="I42" t="s">
        <v>219</v>
      </c>
      <c r="J42" t="n">
        <v>0</v>
      </c>
      <c r="K42" t="n">
        <v>0</v>
      </c>
      <c r="L42" t="n">
        <v>0</v>
      </c>
      <c r="M42" t="n">
        <v>12</v>
      </c>
      <c r="N42" t="n">
        <v>0.25</v>
      </c>
      <c r="O42" t="n">
        <v>-0.5</v>
      </c>
      <c r="P42" t="n">
        <v>50</v>
      </c>
      <c r="Q42" t="n">
        <v>12</v>
      </c>
      <c r="R42" t="s">
        <v>217</v>
      </c>
      <c r="S42" t="s">
        <v>217</v>
      </c>
      <c r="T42" t="n">
        <v>0</v>
      </c>
    </row>
    <row r="43">
      <c r="A43" t="s">
        <v>30</v>
      </c>
      <c r="B43" t="n">
        <v>1.11</v>
      </c>
      <c r="C43" t="n">
        <v>1.08</v>
      </c>
      <c r="D43" t="n">
        <v>1.14</v>
      </c>
      <c r="E43" t="n">
        <v>-4.75</v>
      </c>
      <c r="F43" t="n">
        <v>-1.25</v>
      </c>
      <c r="G43" t="n">
        <v>17</v>
      </c>
      <c r="H43" t="n">
        <v>12</v>
      </c>
      <c r="I43" t="s">
        <v>212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18</v>
      </c>
      <c r="Q43" t="n">
        <v>12</v>
      </c>
      <c r="R43" t="s">
        <v>216</v>
      </c>
      <c r="S43" t="s">
        <v>212</v>
      </c>
      <c r="T43" t="n">
        <v>0</v>
      </c>
    </row>
    <row r="44">
      <c r="A44" t="s">
        <v>30</v>
      </c>
      <c r="B44" t="n">
        <v>1.1</v>
      </c>
      <c r="C44" t="n">
        <v>1.22</v>
      </c>
      <c r="D44" t="n">
        <v>1.12</v>
      </c>
      <c r="E44" t="n">
        <v>-4.25</v>
      </c>
      <c r="F44" t="n">
        <v>-2.75</v>
      </c>
      <c r="G44" t="n">
        <v>170</v>
      </c>
      <c r="H44" t="n">
        <v>12</v>
      </c>
      <c r="I44" t="s">
        <v>212</v>
      </c>
      <c r="J44" t="n">
        <v>0</v>
      </c>
      <c r="K44" t="n">
        <v>0</v>
      </c>
      <c r="L44" t="n">
        <v>0</v>
      </c>
      <c r="M44" t="n">
        <v>12</v>
      </c>
      <c r="N44" t="n">
        <v>0.25</v>
      </c>
      <c r="O44" t="n">
        <v>-0.5</v>
      </c>
      <c r="P44" t="n">
        <v>13</v>
      </c>
      <c r="Q44" t="n">
        <v>12</v>
      </c>
      <c r="R44" t="s">
        <v>212</v>
      </c>
      <c r="S44" t="s">
        <v>213</v>
      </c>
      <c r="T44" t="n">
        <v>0</v>
      </c>
    </row>
    <row r="45">
      <c r="A45" t="s">
        <v>30</v>
      </c>
      <c r="B45" t="n">
        <v>0.99</v>
      </c>
      <c r="C45" t="n">
        <v>0.92</v>
      </c>
      <c r="D45" t="n">
        <v>0.98</v>
      </c>
      <c r="E45" t="n">
        <v>-0.5</v>
      </c>
      <c r="F45" t="n">
        <v>-0.5</v>
      </c>
      <c r="G45" t="n">
        <v>23</v>
      </c>
      <c r="H45" t="n">
        <v>12</v>
      </c>
      <c r="I45" t="s">
        <v>208</v>
      </c>
      <c r="J45" t="n">
        <v>0</v>
      </c>
      <c r="K45" t="n">
        <v>0</v>
      </c>
      <c r="L45" t="n">
        <v>0</v>
      </c>
      <c r="M45" t="n">
        <v>12</v>
      </c>
      <c r="N45" t="n">
        <v>0.5</v>
      </c>
      <c r="O45" t="n">
        <v>-0.25</v>
      </c>
      <c r="P45" t="n">
        <v>49</v>
      </c>
      <c r="Q45" t="n">
        <v>12</v>
      </c>
      <c r="R45" t="s">
        <v>208</v>
      </c>
      <c r="S45" t="s">
        <v>210</v>
      </c>
      <c r="T45" t="n">
        <v>0.5</v>
      </c>
    </row>
    <row r="46">
      <c r="A46" t="s">
        <v>30</v>
      </c>
      <c r="B46" t="n">
        <v>1.08</v>
      </c>
      <c r="C46" t="n">
        <v>1.15</v>
      </c>
      <c r="D46" t="n">
        <v>1.04</v>
      </c>
      <c r="E46" t="n">
        <v>-4.75</v>
      </c>
      <c r="F46" t="n">
        <v>-0.25</v>
      </c>
      <c r="G46" t="n">
        <v>172</v>
      </c>
      <c r="H46" t="n">
        <v>12</v>
      </c>
      <c r="I46" t="s">
        <v>212</v>
      </c>
      <c r="J46" t="n">
        <v>0</v>
      </c>
      <c r="K46" t="n">
        <v>0</v>
      </c>
      <c r="L46" t="n">
        <v>0</v>
      </c>
      <c r="M46" t="n">
        <v>12</v>
      </c>
      <c r="N46" t="n">
        <v>0.5</v>
      </c>
      <c r="O46" t="n">
        <v>-0.25</v>
      </c>
      <c r="P46" t="n">
        <v>15</v>
      </c>
      <c r="Q46" t="n">
        <v>12</v>
      </c>
      <c r="R46" t="s">
        <v>207</v>
      </c>
      <c r="S46" t="s">
        <v>216</v>
      </c>
      <c r="T46" t="n">
        <v>0.25</v>
      </c>
    </row>
    <row r="47">
      <c r="A47" t="s">
        <v>30</v>
      </c>
      <c r="B47" t="n">
        <v>1.06</v>
      </c>
      <c r="C47" t="n">
        <v>1.09</v>
      </c>
      <c r="D47" t="n">
        <v>1.13</v>
      </c>
      <c r="E47" t="n">
        <v>-3.25</v>
      </c>
      <c r="F47" t="n">
        <v>-0.25</v>
      </c>
      <c r="G47" t="n">
        <v>97</v>
      </c>
      <c r="H47" t="n">
        <v>12</v>
      </c>
      <c r="I47" t="s">
        <v>207</v>
      </c>
      <c r="J47" t="n">
        <v>0</v>
      </c>
      <c r="K47" t="n">
        <v>0</v>
      </c>
      <c r="L47" t="n">
        <v>0</v>
      </c>
      <c r="M47" t="n">
        <v>12</v>
      </c>
      <c r="N47" t="n">
        <v>0.5</v>
      </c>
      <c r="O47" t="n">
        <v>-0.25</v>
      </c>
      <c r="P47" t="n">
        <v>122</v>
      </c>
      <c r="Q47" t="n">
        <v>12</v>
      </c>
      <c r="R47" t="s">
        <v>216</v>
      </c>
      <c r="S47" t="s">
        <v>212</v>
      </c>
      <c r="T47" t="n">
        <v>0.25</v>
      </c>
    </row>
    <row r="48">
      <c r="A48" t="s">
        <v>30</v>
      </c>
      <c r="B48" t="n">
        <v>1.02</v>
      </c>
      <c r="C48" t="n">
        <v>0.94</v>
      </c>
      <c r="D48" t="n">
        <v>1.02</v>
      </c>
      <c r="E48" t="n">
        <v>-2.75</v>
      </c>
      <c r="F48" t="n">
        <v>-2.25</v>
      </c>
      <c r="G48" t="n">
        <v>7</v>
      </c>
      <c r="H48" t="n">
        <v>12</v>
      </c>
      <c r="I48" t="s">
        <v>208</v>
      </c>
      <c r="J48" t="n">
        <v>0</v>
      </c>
      <c r="K48" t="n">
        <v>0</v>
      </c>
      <c r="L48" t="n">
        <v>0</v>
      </c>
      <c r="M48" t="n">
        <v>12</v>
      </c>
      <c r="N48" t="n">
        <v>-0.5</v>
      </c>
      <c r="O48" t="n">
        <v>-0.25</v>
      </c>
      <c r="P48" t="n">
        <v>153</v>
      </c>
      <c r="Q48" t="n">
        <v>12</v>
      </c>
      <c r="R48" t="s">
        <v>208</v>
      </c>
      <c r="S48" t="s">
        <v>209</v>
      </c>
      <c r="T48" t="n">
        <v>-0.5</v>
      </c>
    </row>
    <row r="49">
      <c r="A49" t="s">
        <v>30</v>
      </c>
      <c r="B49" t="n">
        <v>1.06</v>
      </c>
      <c r="C49" t="n">
        <v>1.11</v>
      </c>
      <c r="D49" t="n">
        <v>1.06</v>
      </c>
      <c r="E49" t="n">
        <v>-3</v>
      </c>
      <c r="F49" t="n">
        <v>-0.75</v>
      </c>
      <c r="G49" t="n">
        <v>165</v>
      </c>
      <c r="H49" t="n">
        <v>12</v>
      </c>
      <c r="I49" t="s">
        <v>207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-0.5</v>
      </c>
      <c r="P49" t="n">
        <v>12</v>
      </c>
      <c r="Q49" t="n">
        <v>12</v>
      </c>
      <c r="R49" t="s">
        <v>207</v>
      </c>
      <c r="S49" t="s">
        <v>212</v>
      </c>
      <c r="T49" t="n">
        <v>-0.25</v>
      </c>
    </row>
    <row r="50">
      <c r="A50" t="s">
        <v>30</v>
      </c>
      <c r="B50" t="n">
        <v>1.02</v>
      </c>
      <c r="C50" t="n">
        <v>0.96</v>
      </c>
      <c r="D50" t="n">
        <v>0.96</v>
      </c>
      <c r="E50" t="n">
        <v>-4.25</v>
      </c>
      <c r="F50" t="n">
        <v>-0.5</v>
      </c>
      <c r="G50" t="n">
        <v>76</v>
      </c>
      <c r="H50" t="n">
        <v>12</v>
      </c>
      <c r="I50" t="s">
        <v>208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-0.25</v>
      </c>
      <c r="P50" t="n">
        <v>62</v>
      </c>
      <c r="Q50" t="n">
        <v>12</v>
      </c>
      <c r="R50" t="s">
        <v>209</v>
      </c>
      <c r="S50" t="s">
        <v>209</v>
      </c>
      <c r="T50" t="n">
        <v>0</v>
      </c>
    </row>
    <row r="51">
      <c r="A51" t="s">
        <v>30</v>
      </c>
      <c r="B51" t="n">
        <v>0.9</v>
      </c>
      <c r="C51" t="n">
        <v>0.91</v>
      </c>
      <c r="D51" t="n">
        <v>0.91</v>
      </c>
      <c r="E51" t="n">
        <v>-3.5</v>
      </c>
      <c r="F51" t="n">
        <v>0</v>
      </c>
      <c r="G51" t="n">
        <v>170</v>
      </c>
      <c r="H51" t="n">
        <v>12</v>
      </c>
      <c r="I51" t="s">
        <v>210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-0.25</v>
      </c>
      <c r="P51" t="n">
        <v>165</v>
      </c>
      <c r="Q51" t="n">
        <v>12</v>
      </c>
      <c r="R51" t="s">
        <v>210</v>
      </c>
      <c r="S51" t="s">
        <v>210</v>
      </c>
      <c r="T51" t="n">
        <v>0</v>
      </c>
    </row>
    <row r="52">
      <c r="A52" t="s">
        <v>30</v>
      </c>
      <c r="B52" t="n">
        <v>1.06</v>
      </c>
      <c r="C52" t="n">
        <v>0.95</v>
      </c>
      <c r="D52" t="n">
        <v>1.06</v>
      </c>
      <c r="E52" t="n">
        <v>-3.25</v>
      </c>
      <c r="F52" t="n">
        <v>-1.25</v>
      </c>
      <c r="G52" t="n">
        <v>84</v>
      </c>
      <c r="H52" t="n">
        <v>12</v>
      </c>
      <c r="I52" t="s">
        <v>207</v>
      </c>
      <c r="J52" t="n">
        <v>0</v>
      </c>
      <c r="K52" t="n">
        <v>0</v>
      </c>
      <c r="L52" t="n">
        <v>0</v>
      </c>
      <c r="M52" t="n">
        <v>12</v>
      </c>
      <c r="N52" t="n">
        <v>0.5</v>
      </c>
      <c r="O52" t="n">
        <v>-0.25</v>
      </c>
      <c r="P52" t="n">
        <v>62</v>
      </c>
      <c r="Q52" t="n">
        <v>12</v>
      </c>
      <c r="R52" t="s">
        <v>207</v>
      </c>
      <c r="S52" t="s">
        <v>209</v>
      </c>
      <c r="T52" t="n">
        <v>0.5</v>
      </c>
    </row>
    <row r="53">
      <c r="A53" t="s">
        <v>30</v>
      </c>
      <c r="B53" t="n">
        <v>1.11</v>
      </c>
      <c r="C53" t="n">
        <v>1.06</v>
      </c>
      <c r="D53" t="n">
        <v>1.09</v>
      </c>
      <c r="E53" t="n">
        <v>-6.75</v>
      </c>
      <c r="F53" t="n">
        <v>-0.75</v>
      </c>
      <c r="G53" t="n">
        <v>81</v>
      </c>
      <c r="H53" t="n">
        <v>12</v>
      </c>
      <c r="I53" t="s">
        <v>212</v>
      </c>
      <c r="J53" t="n">
        <v>0</v>
      </c>
      <c r="K53" t="n">
        <v>0</v>
      </c>
      <c r="L53" t="n">
        <v>0</v>
      </c>
      <c r="M53" t="n">
        <v>12</v>
      </c>
      <c r="N53" t="n">
        <v>-0.5</v>
      </c>
      <c r="O53" t="n">
        <v>-0.25</v>
      </c>
      <c r="P53" t="n">
        <v>34</v>
      </c>
      <c r="Q53" t="n">
        <v>12</v>
      </c>
      <c r="R53" t="s">
        <v>212</v>
      </c>
      <c r="S53" t="s">
        <v>207</v>
      </c>
      <c r="T53" t="n">
        <v>-0.5</v>
      </c>
    </row>
    <row r="54">
      <c r="A54" t="s">
        <v>30</v>
      </c>
      <c r="B54" t="n">
        <v>1.01</v>
      </c>
      <c r="C54" t="n">
        <v>1.07</v>
      </c>
      <c r="D54" t="n">
        <v>1.02</v>
      </c>
      <c r="E54" t="n">
        <v>-2.5</v>
      </c>
      <c r="F54" t="n">
        <v>-0.5</v>
      </c>
      <c r="G54" t="n">
        <v>149</v>
      </c>
      <c r="H54" t="n">
        <v>12</v>
      </c>
      <c r="I54" t="s">
        <v>208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-0.25</v>
      </c>
      <c r="P54" t="n">
        <v>161</v>
      </c>
      <c r="Q54" t="n">
        <v>12</v>
      </c>
      <c r="R54" t="s">
        <v>208</v>
      </c>
      <c r="S54" t="s">
        <v>207</v>
      </c>
      <c r="T54" t="n">
        <v>0</v>
      </c>
    </row>
    <row r="55">
      <c r="A55" t="s">
        <v>30</v>
      </c>
      <c r="B55" t="n">
        <v>0.92</v>
      </c>
      <c r="C55" t="n">
        <v>0.75</v>
      </c>
      <c r="D55" t="n">
        <v>0.93</v>
      </c>
      <c r="E55" t="n">
        <v>-8.25</v>
      </c>
      <c r="F55" t="n">
        <v>-0.75</v>
      </c>
      <c r="G55" t="n">
        <v>172</v>
      </c>
      <c r="H55" t="n">
        <v>12</v>
      </c>
      <c r="I55" t="s">
        <v>210</v>
      </c>
      <c r="J55" t="n">
        <v>0</v>
      </c>
      <c r="K55" t="n">
        <v>0</v>
      </c>
      <c r="L55" t="n">
        <v>0</v>
      </c>
      <c r="M55" t="n">
        <v>12</v>
      </c>
      <c r="N55" t="n">
        <v>-0.5</v>
      </c>
      <c r="O55" t="n">
        <v>-0.25</v>
      </c>
      <c r="P55" t="n">
        <v>171</v>
      </c>
      <c r="Q55" t="n">
        <v>12</v>
      </c>
      <c r="R55" t="s">
        <v>210</v>
      </c>
      <c r="S55" t="s">
        <v>220</v>
      </c>
      <c r="T55" t="n">
        <v>-0.5</v>
      </c>
    </row>
    <row r="56">
      <c r="A56" t="s">
        <v>30</v>
      </c>
      <c r="B56" t="n">
        <v>0.99</v>
      </c>
      <c r="C56" t="n">
        <v>0.96</v>
      </c>
      <c r="D56" t="n">
        <v>1.01</v>
      </c>
      <c r="E56" t="n">
        <v>-5</v>
      </c>
      <c r="F56" t="n">
        <v>-0.25</v>
      </c>
      <c r="G56" t="n">
        <v>161</v>
      </c>
      <c r="H56" t="n">
        <v>12</v>
      </c>
      <c r="I56" t="s">
        <v>208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80</v>
      </c>
      <c r="Q56" t="n">
        <v>12</v>
      </c>
      <c r="R56" t="s">
        <v>208</v>
      </c>
      <c r="S56" t="s">
        <v>209</v>
      </c>
      <c r="T56" t="n">
        <v>0</v>
      </c>
    </row>
    <row r="57">
      <c r="A57" t="s">
        <v>30</v>
      </c>
      <c r="B57" t="n">
        <v>0.91</v>
      </c>
      <c r="C57" t="n">
        <v>0.93</v>
      </c>
      <c r="D57" t="n">
        <v>0.9</v>
      </c>
      <c r="E57" t="n">
        <v>-1.25</v>
      </c>
      <c r="F57" t="n">
        <v>-0.25</v>
      </c>
      <c r="G57" t="n">
        <v>166</v>
      </c>
      <c r="H57" t="n">
        <v>12</v>
      </c>
      <c r="I57" t="s">
        <v>210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0</v>
      </c>
      <c r="P57" t="n">
        <v>141</v>
      </c>
      <c r="Q57" t="n">
        <v>12</v>
      </c>
      <c r="R57" t="s">
        <v>210</v>
      </c>
      <c r="S57" t="s">
        <v>210</v>
      </c>
      <c r="T57" t="n">
        <v>0</v>
      </c>
    </row>
    <row r="58">
      <c r="A58" t="s">
        <v>30</v>
      </c>
      <c r="B58" t="n">
        <v>1.01</v>
      </c>
      <c r="C58" t="n">
        <v>0.95</v>
      </c>
      <c r="D58" t="n">
        <v>1.01</v>
      </c>
      <c r="E58" t="n">
        <v>-7.75</v>
      </c>
      <c r="F58" t="n">
        <v>0</v>
      </c>
      <c r="G58" t="n">
        <v>168</v>
      </c>
      <c r="H58" t="n">
        <v>12</v>
      </c>
      <c r="I58" t="s">
        <v>208</v>
      </c>
      <c r="J58" t="n">
        <v>0</v>
      </c>
      <c r="K58" t="n">
        <v>0</v>
      </c>
      <c r="L58" t="n">
        <v>0</v>
      </c>
      <c r="M58" t="n">
        <v>12</v>
      </c>
      <c r="N58" t="n">
        <v>0.25</v>
      </c>
      <c r="O58" t="n">
        <v>0</v>
      </c>
      <c r="P58" t="n">
        <v>12</v>
      </c>
      <c r="Q58" t="n">
        <v>12</v>
      </c>
      <c r="R58" t="s">
        <v>208</v>
      </c>
      <c r="S58" t="s">
        <v>209</v>
      </c>
      <c r="T58" t="n">
        <v>0.25</v>
      </c>
    </row>
    <row r="59">
      <c r="A59" t="s">
        <v>30</v>
      </c>
      <c r="B59" t="n">
        <v>0.93</v>
      </c>
      <c r="C59" t="n">
        <v>0.96</v>
      </c>
      <c r="D59" t="n">
        <v>0.94</v>
      </c>
      <c r="E59" t="n">
        <v>-5.75</v>
      </c>
      <c r="F59" t="n">
        <v>-1</v>
      </c>
      <c r="G59" t="n">
        <v>83</v>
      </c>
      <c r="H59" t="n">
        <v>12</v>
      </c>
      <c r="I59" t="s">
        <v>210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-0.25</v>
      </c>
      <c r="P59" t="n">
        <v>78</v>
      </c>
      <c r="Q59" t="n">
        <v>12</v>
      </c>
      <c r="R59" t="s">
        <v>209</v>
      </c>
      <c r="S59" t="s">
        <v>209</v>
      </c>
      <c r="T59" t="n">
        <v>0</v>
      </c>
    </row>
    <row r="60">
      <c r="A60" t="s">
        <v>30</v>
      </c>
      <c r="B60" t="n">
        <v>0.91</v>
      </c>
      <c r="C60" t="n">
        <v>0.89</v>
      </c>
      <c r="D60" t="n">
        <v>0.88</v>
      </c>
      <c r="E60" t="n">
        <v>-4</v>
      </c>
      <c r="F60" t="n">
        <v>0</v>
      </c>
      <c r="G60" t="n">
        <v>100</v>
      </c>
      <c r="H60" t="n">
        <v>12</v>
      </c>
      <c r="I60" t="s">
        <v>210</v>
      </c>
      <c r="J60" t="n">
        <v>0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124</v>
      </c>
      <c r="Q60" t="n">
        <v>12</v>
      </c>
      <c r="R60" t="s">
        <v>219</v>
      </c>
      <c r="S60" t="s">
        <v>219</v>
      </c>
      <c r="T60" t="n">
        <v>0</v>
      </c>
    </row>
    <row r="61">
      <c r="A61" t="s">
        <v>30</v>
      </c>
      <c r="B61" t="n">
        <v>1.04</v>
      </c>
      <c r="C61" t="n">
        <v>1.09</v>
      </c>
      <c r="D61" t="n">
        <v>1.03</v>
      </c>
      <c r="E61" t="n">
        <v>-3.25</v>
      </c>
      <c r="F61" t="n">
        <v>-0.5</v>
      </c>
      <c r="G61" t="n">
        <v>82</v>
      </c>
      <c r="H61" t="n">
        <v>12</v>
      </c>
      <c r="I61" t="s">
        <v>207</v>
      </c>
      <c r="J61" t="n">
        <v>0</v>
      </c>
      <c r="K61" t="n">
        <v>0</v>
      </c>
      <c r="L61" t="n">
        <v>0</v>
      </c>
      <c r="M61" t="n">
        <v>12</v>
      </c>
      <c r="N61" t="n">
        <v>0.5</v>
      </c>
      <c r="O61" t="n">
        <v>-0.5</v>
      </c>
      <c r="P61" t="n">
        <v>86</v>
      </c>
      <c r="Q61" t="n">
        <v>12</v>
      </c>
      <c r="R61" t="s">
        <v>207</v>
      </c>
      <c r="S61" t="s">
        <v>212</v>
      </c>
      <c r="T61" t="n">
        <v>0.25</v>
      </c>
    </row>
    <row r="62">
      <c r="A62" t="s">
        <v>30</v>
      </c>
      <c r="B62" t="n">
        <v>1.03</v>
      </c>
      <c r="C62" t="n">
        <v>1.08</v>
      </c>
      <c r="D62" t="n">
        <v>1.06</v>
      </c>
      <c r="E62" t="n">
        <v>-1</v>
      </c>
      <c r="F62" t="n">
        <v>-0.5</v>
      </c>
      <c r="G62" t="n">
        <v>80</v>
      </c>
      <c r="H62" t="n">
        <v>12</v>
      </c>
      <c r="I62" t="s">
        <v>207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0</v>
      </c>
      <c r="P62" t="n">
        <v>11</v>
      </c>
      <c r="Q62" t="n">
        <v>12</v>
      </c>
      <c r="R62" t="s">
        <v>207</v>
      </c>
      <c r="S62" t="s">
        <v>212</v>
      </c>
      <c r="T62" t="n">
        <v>0</v>
      </c>
    </row>
    <row r="63">
      <c r="A63" t="s">
        <v>30</v>
      </c>
      <c r="B63" t="n">
        <v>1.04</v>
      </c>
      <c r="C63" t="n">
        <v>1.1</v>
      </c>
      <c r="D63" t="n">
        <v>1.06</v>
      </c>
      <c r="E63" t="n">
        <v>-1.25</v>
      </c>
      <c r="F63" t="n">
        <v>-1</v>
      </c>
      <c r="G63" t="n">
        <v>180</v>
      </c>
      <c r="H63" t="n">
        <v>12</v>
      </c>
      <c r="I63" t="s">
        <v>207</v>
      </c>
      <c r="J63" t="n">
        <v>0</v>
      </c>
      <c r="K63" t="n">
        <v>0</v>
      </c>
      <c r="L63" t="n">
        <v>0</v>
      </c>
      <c r="M63" t="n">
        <v>12</v>
      </c>
      <c r="N63" t="n">
        <v>-0.5</v>
      </c>
      <c r="O63" t="n">
        <v>0</v>
      </c>
      <c r="P63" t="n">
        <v>178</v>
      </c>
      <c r="Q63" t="n">
        <v>12</v>
      </c>
      <c r="R63" t="s">
        <v>207</v>
      </c>
      <c r="S63" t="s">
        <v>212</v>
      </c>
      <c r="T63" t="n">
        <v>-0.5</v>
      </c>
    </row>
    <row r="64">
      <c r="A64" t="s">
        <v>30</v>
      </c>
      <c r="B64" t="n">
        <v>0.98</v>
      </c>
      <c r="C64" t="n">
        <v>1.08</v>
      </c>
      <c r="D64" t="n">
        <v>1.02</v>
      </c>
      <c r="E64" t="n">
        <v>-0.5</v>
      </c>
      <c r="F64" t="n">
        <v>-0.75</v>
      </c>
      <c r="G64" t="n">
        <v>7</v>
      </c>
      <c r="H64" t="n">
        <v>12</v>
      </c>
      <c r="I64" t="s">
        <v>208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-0.25</v>
      </c>
      <c r="P64" t="n">
        <v>24</v>
      </c>
      <c r="Q64" t="n">
        <v>12</v>
      </c>
      <c r="R64" t="s">
        <v>208</v>
      </c>
      <c r="S64" t="s">
        <v>212</v>
      </c>
      <c r="T64" t="n">
        <v>0</v>
      </c>
    </row>
    <row r="65">
      <c r="A65" t="s">
        <v>30</v>
      </c>
      <c r="B65" t="n">
        <v>1.19</v>
      </c>
      <c r="C65" t="n">
        <v>1.16</v>
      </c>
      <c r="D65" t="n">
        <v>1.23</v>
      </c>
      <c r="E65" t="n">
        <v>-2</v>
      </c>
      <c r="F65" t="n">
        <v>0</v>
      </c>
      <c r="G65" t="n">
        <v>170</v>
      </c>
      <c r="H65" t="n">
        <v>12</v>
      </c>
      <c r="I65" t="s">
        <v>213</v>
      </c>
      <c r="J65" t="n">
        <v>0</v>
      </c>
      <c r="K65" t="n">
        <v>0</v>
      </c>
      <c r="L65" t="n">
        <v>0</v>
      </c>
      <c r="M65" t="n">
        <v>12</v>
      </c>
      <c r="N65" t="n">
        <v>0.25</v>
      </c>
      <c r="O65" t="n">
        <v>-0.5</v>
      </c>
      <c r="P65" t="n">
        <v>23</v>
      </c>
      <c r="Q65" t="n">
        <v>12</v>
      </c>
      <c r="R65" t="s">
        <v>213</v>
      </c>
      <c r="S65" t="s">
        <v>216</v>
      </c>
      <c r="T65" t="n">
        <v>0</v>
      </c>
    </row>
    <row r="66">
      <c r="A66" t="s">
        <v>30</v>
      </c>
      <c r="B66" t="n">
        <v>1.07</v>
      </c>
      <c r="C66" t="n">
        <v>1.09</v>
      </c>
      <c r="D66" t="n">
        <v>1.1</v>
      </c>
      <c r="E66" t="n">
        <v>-4.25</v>
      </c>
      <c r="F66" t="n">
        <v>-0.25</v>
      </c>
      <c r="G66" t="n">
        <v>175</v>
      </c>
      <c r="H66" t="n">
        <v>12</v>
      </c>
      <c r="I66" t="s">
        <v>207</v>
      </c>
      <c r="J66" t="n">
        <v>0</v>
      </c>
      <c r="K66" t="n">
        <v>0</v>
      </c>
      <c r="L66" t="n">
        <v>0</v>
      </c>
      <c r="M66" t="n">
        <v>12</v>
      </c>
      <c r="N66" t="n">
        <v>0</v>
      </c>
      <c r="O66" t="n">
        <v>-0.25</v>
      </c>
      <c r="P66" t="n">
        <v>23</v>
      </c>
      <c r="Q66" t="n">
        <v>12</v>
      </c>
      <c r="R66" t="s">
        <v>212</v>
      </c>
      <c r="S66" t="s">
        <v>212</v>
      </c>
      <c r="T66" t="n">
        <v>0</v>
      </c>
    </row>
    <row r="67">
      <c r="A67" t="s">
        <v>30</v>
      </c>
      <c r="B67" t="n">
        <v>1.05</v>
      </c>
      <c r="C67" t="n">
        <v>0.96</v>
      </c>
      <c r="D67" t="n">
        <v>1.02</v>
      </c>
      <c r="E67" t="n">
        <v>-4.5</v>
      </c>
      <c r="F67" t="n">
        <v>-0.25</v>
      </c>
      <c r="G67" t="n">
        <v>165</v>
      </c>
      <c r="H67" t="n">
        <v>12</v>
      </c>
      <c r="I67" t="s">
        <v>207</v>
      </c>
      <c r="J67" t="n">
        <v>0</v>
      </c>
      <c r="K67" t="n">
        <v>0</v>
      </c>
      <c r="L67" t="n">
        <v>0</v>
      </c>
      <c r="M67" t="n">
        <v>12</v>
      </c>
      <c r="N67" t="n">
        <v>0.5</v>
      </c>
      <c r="O67" t="n">
        <v>-0.25</v>
      </c>
      <c r="P67" t="n">
        <v>164</v>
      </c>
      <c r="Q67" t="n">
        <v>12</v>
      </c>
      <c r="R67" t="s">
        <v>208</v>
      </c>
      <c r="S67" t="s">
        <v>209</v>
      </c>
      <c r="T67" t="n">
        <v>0.25</v>
      </c>
    </row>
    <row r="68">
      <c r="A68" t="s">
        <v>30</v>
      </c>
      <c r="B68" t="n">
        <v>1.13</v>
      </c>
      <c r="C68" t="n">
        <v>1.05</v>
      </c>
      <c r="D68" t="n">
        <v>1.14</v>
      </c>
      <c r="E68" t="n">
        <v>-6</v>
      </c>
      <c r="F68" t="n">
        <v>-0.5</v>
      </c>
      <c r="G68" t="n">
        <v>86</v>
      </c>
      <c r="H68" t="n">
        <v>12</v>
      </c>
      <c r="I68" t="s">
        <v>216</v>
      </c>
      <c r="J68" t="n">
        <v>0</v>
      </c>
      <c r="K68" t="n">
        <v>0</v>
      </c>
      <c r="L68" t="n">
        <v>0</v>
      </c>
      <c r="M68" t="n">
        <v>12</v>
      </c>
      <c r="N68" t="n">
        <v>0</v>
      </c>
      <c r="O68" t="n">
        <v>-0.25</v>
      </c>
      <c r="P68" t="n">
        <v>106</v>
      </c>
      <c r="Q68" t="n">
        <v>12</v>
      </c>
      <c r="R68" t="s">
        <v>216</v>
      </c>
      <c r="S68" t="s">
        <v>207</v>
      </c>
      <c r="T68" t="n">
        <v>-0.25</v>
      </c>
    </row>
    <row r="69">
      <c r="A69" t="s">
        <v>30</v>
      </c>
      <c r="B69" t="n">
        <v>0.99</v>
      </c>
      <c r="C69" t="n">
        <v>1.09</v>
      </c>
      <c r="D69" t="n">
        <v>1.05</v>
      </c>
      <c r="E69" t="n">
        <v>-5.75</v>
      </c>
      <c r="F69" t="n">
        <v>-0.75</v>
      </c>
      <c r="G69" t="n">
        <v>171</v>
      </c>
      <c r="H69" t="n">
        <v>12</v>
      </c>
      <c r="I69" t="s">
        <v>208</v>
      </c>
      <c r="J69" t="n">
        <v>0</v>
      </c>
      <c r="K69" t="n">
        <v>0</v>
      </c>
      <c r="L69" t="n">
        <v>0</v>
      </c>
      <c r="M69" t="n">
        <v>12</v>
      </c>
      <c r="N69" t="n">
        <v>0.25</v>
      </c>
      <c r="O69" t="n">
        <v>-0.5</v>
      </c>
      <c r="P69" t="n">
        <v>129</v>
      </c>
      <c r="Q69" t="n">
        <v>12</v>
      </c>
      <c r="R69" t="s">
        <v>207</v>
      </c>
      <c r="S69" t="s">
        <v>212</v>
      </c>
      <c r="T69" t="n">
        <v>0</v>
      </c>
    </row>
    <row r="70">
      <c r="A70" t="s">
        <v>30</v>
      </c>
      <c r="B70" t="n">
        <v>1</v>
      </c>
      <c r="C70" t="n">
        <v>1.07</v>
      </c>
      <c r="D70" t="n">
        <v>0.97</v>
      </c>
      <c r="E70" t="n">
        <v>-6.25</v>
      </c>
      <c r="F70" t="n">
        <v>-0.25</v>
      </c>
      <c r="G70" t="n">
        <v>91</v>
      </c>
      <c r="H70" t="n">
        <v>12</v>
      </c>
      <c r="I70" t="s">
        <v>208</v>
      </c>
      <c r="J70" t="n">
        <v>0</v>
      </c>
      <c r="K70" t="n">
        <v>0</v>
      </c>
      <c r="L70" t="n">
        <v>0</v>
      </c>
      <c r="M70" t="n">
        <v>12</v>
      </c>
      <c r="N70" t="n">
        <v>-0.25</v>
      </c>
      <c r="O70" t="n">
        <v>0</v>
      </c>
      <c r="P70" t="n">
        <v>164</v>
      </c>
      <c r="Q70" t="n">
        <v>12</v>
      </c>
      <c r="R70" t="s">
        <v>209</v>
      </c>
      <c r="S70" t="s">
        <v>207</v>
      </c>
      <c r="T70" t="n">
        <v>-0.25</v>
      </c>
    </row>
    <row r="71">
      <c r="A71" t="s">
        <v>30</v>
      </c>
      <c r="B71" t="n">
        <v>0.93</v>
      </c>
      <c r="C71" t="n">
        <v>0.87</v>
      </c>
      <c r="D71" t="n">
        <v>0.94</v>
      </c>
      <c r="E71" t="n">
        <v>-5</v>
      </c>
      <c r="F71" t="n">
        <v>-0.75</v>
      </c>
      <c r="G71" t="n">
        <v>88</v>
      </c>
      <c r="H71" t="n">
        <v>12</v>
      </c>
      <c r="I71" t="s">
        <v>210</v>
      </c>
      <c r="J71" t="n">
        <v>0</v>
      </c>
      <c r="K71" t="n">
        <v>0</v>
      </c>
      <c r="L71" t="n">
        <v>0</v>
      </c>
      <c r="M71" t="n">
        <v>12</v>
      </c>
      <c r="N71" t="n">
        <v>0.5</v>
      </c>
      <c r="O71" t="n">
        <v>-0.5</v>
      </c>
      <c r="P71" t="n">
        <v>148</v>
      </c>
      <c r="Q71" t="n">
        <v>12</v>
      </c>
      <c r="R71" t="s">
        <v>209</v>
      </c>
      <c r="S71" t="s">
        <v>219</v>
      </c>
      <c r="T71" t="n">
        <v>0.25</v>
      </c>
    </row>
    <row r="72">
      <c r="A72" t="s">
        <v>30</v>
      </c>
      <c r="B72" t="n">
        <v>1.06</v>
      </c>
      <c r="C72" t="n">
        <v>1.13</v>
      </c>
      <c r="D72" t="n">
        <v>1.05</v>
      </c>
      <c r="E72" t="n">
        <v>-1.25</v>
      </c>
      <c r="F72" t="n">
        <v>-0.75</v>
      </c>
      <c r="G72" t="n">
        <v>99</v>
      </c>
      <c r="H72" t="n">
        <v>12</v>
      </c>
      <c r="I72" t="s">
        <v>207</v>
      </c>
      <c r="J72" t="n">
        <v>0</v>
      </c>
      <c r="K72" t="n">
        <v>0</v>
      </c>
      <c r="L72" t="n">
        <v>0</v>
      </c>
      <c r="M72" t="n">
        <v>12</v>
      </c>
      <c r="N72" t="n">
        <v>-0.5</v>
      </c>
      <c r="O72" t="n">
        <v>-0.25</v>
      </c>
      <c r="P72" t="n">
        <v>75</v>
      </c>
      <c r="Q72" t="n">
        <v>12</v>
      </c>
      <c r="R72" t="s">
        <v>207</v>
      </c>
      <c r="S72" t="s">
        <v>216</v>
      </c>
      <c r="T72" t="n">
        <v>-0.5</v>
      </c>
    </row>
    <row r="73">
      <c r="A73" t="s">
        <v>30</v>
      </c>
      <c r="B73" t="n">
        <v>0.86</v>
      </c>
      <c r="C73" t="n">
        <v>0.83</v>
      </c>
      <c r="D73" t="n">
        <v>0.84</v>
      </c>
      <c r="E73" t="n">
        <v>-3.75</v>
      </c>
      <c r="F73" t="n">
        <v>-1.25</v>
      </c>
      <c r="G73" t="n">
        <v>23</v>
      </c>
      <c r="H73" t="n">
        <v>12</v>
      </c>
      <c r="I73" t="s">
        <v>219</v>
      </c>
      <c r="J73" t="n">
        <v>0</v>
      </c>
      <c r="K73" t="n">
        <v>0</v>
      </c>
      <c r="L73" t="n">
        <v>0</v>
      </c>
      <c r="M73" t="n">
        <v>12</v>
      </c>
      <c r="N73" t="n">
        <v>0.5</v>
      </c>
      <c r="O73" t="n">
        <v>-0.75</v>
      </c>
      <c r="P73" t="n">
        <v>166</v>
      </c>
      <c r="Q73" t="n">
        <v>12</v>
      </c>
      <c r="R73" t="s">
        <v>217</v>
      </c>
      <c r="S73" t="s">
        <v>217</v>
      </c>
      <c r="T73" t="n">
        <v>0</v>
      </c>
    </row>
    <row r="74">
      <c r="A74" t="s">
        <v>30</v>
      </c>
      <c r="B74" t="n">
        <v>0.99</v>
      </c>
      <c r="C74" t="n">
        <v>0.82</v>
      </c>
      <c r="D74" t="n">
        <v>0.97</v>
      </c>
      <c r="E74" t="n">
        <v>-4.75</v>
      </c>
      <c r="F74" t="n">
        <v>0</v>
      </c>
      <c r="G74" t="n">
        <v>5</v>
      </c>
      <c r="H74" t="n">
        <v>12</v>
      </c>
      <c r="I74" t="s">
        <v>208</v>
      </c>
      <c r="J74" t="n">
        <v>0</v>
      </c>
      <c r="K74" t="n">
        <v>0</v>
      </c>
      <c r="L74" t="n">
        <v>0</v>
      </c>
      <c r="M74" t="n">
        <v>12</v>
      </c>
      <c r="N74" t="n">
        <v>0.5</v>
      </c>
      <c r="O74" t="n">
        <v>0</v>
      </c>
      <c r="P74" t="n">
        <v>177</v>
      </c>
      <c r="Q74" t="n">
        <v>12</v>
      </c>
      <c r="R74" t="s">
        <v>209</v>
      </c>
      <c r="S74" t="s">
        <v>217</v>
      </c>
      <c r="T74" t="n">
        <v>0.5</v>
      </c>
    </row>
    <row r="75">
      <c r="A75" t="s">
        <v>30</v>
      </c>
      <c r="B75" t="n">
        <v>0.94</v>
      </c>
      <c r="C75" t="n">
        <v>0.98</v>
      </c>
      <c r="D75" t="n">
        <v>1</v>
      </c>
      <c r="E75" t="n">
        <v>-0.75</v>
      </c>
      <c r="F75" t="n">
        <v>-0.5</v>
      </c>
      <c r="G75" t="n">
        <v>16</v>
      </c>
      <c r="H75" t="n">
        <v>12</v>
      </c>
      <c r="I75" t="s">
        <v>209</v>
      </c>
      <c r="J75" t="n">
        <v>0</v>
      </c>
      <c r="K75" t="n">
        <v>0</v>
      </c>
      <c r="L75" t="n">
        <v>0</v>
      </c>
      <c r="M75" t="n">
        <v>12</v>
      </c>
      <c r="N75" t="n">
        <v>-0.25</v>
      </c>
      <c r="O75" t="n">
        <v>0</v>
      </c>
      <c r="P75" t="n">
        <v>128</v>
      </c>
      <c r="Q75" t="n">
        <v>12</v>
      </c>
      <c r="R75" t="s">
        <v>208</v>
      </c>
      <c r="S75" t="s">
        <v>208</v>
      </c>
      <c r="T75" t="n">
        <v>-0.25</v>
      </c>
    </row>
    <row r="76">
      <c r="A76" t="s">
        <v>30</v>
      </c>
      <c r="B76" t="n">
        <v>0.96</v>
      </c>
      <c r="C76" t="n">
        <v>0.98</v>
      </c>
      <c r="D76" t="n">
        <v>0.97</v>
      </c>
      <c r="E76" t="n">
        <v>-6.25</v>
      </c>
      <c r="F76" t="n">
        <v>-0.25</v>
      </c>
      <c r="G76" t="n">
        <v>67</v>
      </c>
      <c r="H76" t="n">
        <v>12</v>
      </c>
      <c r="I76" t="s">
        <v>209</v>
      </c>
      <c r="J76" t="n">
        <v>0</v>
      </c>
      <c r="K76" t="n">
        <v>0</v>
      </c>
      <c r="L76" t="n">
        <v>0</v>
      </c>
      <c r="M76" t="n">
        <v>12</v>
      </c>
      <c r="N76" t="n">
        <v>0.5</v>
      </c>
      <c r="O76" t="n">
        <v>-0.25</v>
      </c>
      <c r="P76" t="n">
        <v>8</v>
      </c>
      <c r="Q76" t="n">
        <v>12</v>
      </c>
      <c r="R76" t="s">
        <v>209</v>
      </c>
      <c r="S76" t="s">
        <v>208</v>
      </c>
      <c r="T76" t="n">
        <v>0.5</v>
      </c>
    </row>
    <row r="77">
      <c r="A77" t="s">
        <v>30</v>
      </c>
      <c r="B77" t="n">
        <v>1.07</v>
      </c>
      <c r="C77" t="n">
        <v>1.11</v>
      </c>
      <c r="D77" t="n">
        <v>1.12</v>
      </c>
      <c r="E77" t="n">
        <v>-2.5</v>
      </c>
      <c r="F77" t="n">
        <v>-0.75</v>
      </c>
      <c r="G77" t="n">
        <v>100</v>
      </c>
      <c r="H77" t="n">
        <v>12</v>
      </c>
      <c r="I77" t="s">
        <v>207</v>
      </c>
      <c r="J77" t="n">
        <v>0</v>
      </c>
      <c r="K77" t="n">
        <v>0</v>
      </c>
      <c r="L77" t="n">
        <v>0</v>
      </c>
      <c r="M77" t="n">
        <v>12</v>
      </c>
      <c r="N77" t="n">
        <v>-0.25</v>
      </c>
      <c r="O77" t="n">
        <v>0</v>
      </c>
      <c r="P77" t="n">
        <v>86</v>
      </c>
      <c r="Q77" t="n">
        <v>12</v>
      </c>
      <c r="R77" t="s">
        <v>212</v>
      </c>
      <c r="S77" t="s">
        <v>212</v>
      </c>
      <c r="T77" t="n">
        <v>-0.25</v>
      </c>
    </row>
    <row r="78">
      <c r="A78" t="s">
        <v>30</v>
      </c>
      <c r="B78" t="n">
        <v>0.99</v>
      </c>
      <c r="C78" t="n">
        <v>1.01</v>
      </c>
      <c r="D78" t="n">
        <v>1</v>
      </c>
      <c r="E78" t="n">
        <v>-4</v>
      </c>
      <c r="F78" t="n">
        <v>-0.25</v>
      </c>
      <c r="G78" t="n">
        <v>89</v>
      </c>
      <c r="H78" t="n">
        <v>12</v>
      </c>
      <c r="I78" t="s">
        <v>208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-0.25</v>
      </c>
      <c r="P78" t="n">
        <v>106</v>
      </c>
      <c r="Q78" t="n">
        <v>12</v>
      </c>
      <c r="R78" t="s">
        <v>208</v>
      </c>
      <c r="S78" t="s">
        <v>208</v>
      </c>
      <c r="T78" t="n">
        <v>0</v>
      </c>
    </row>
    <row r="79">
      <c r="A79" t="s">
        <v>30</v>
      </c>
      <c r="B79" t="n">
        <v>1.1</v>
      </c>
      <c r="C79" t="n">
        <v>1.13</v>
      </c>
      <c r="D79" t="n">
        <v>1.14</v>
      </c>
      <c r="E79" t="n">
        <v>-5.25</v>
      </c>
      <c r="F79" t="n">
        <v>-1.5</v>
      </c>
      <c r="G79" t="n">
        <v>96</v>
      </c>
      <c r="H79" t="n">
        <v>12</v>
      </c>
      <c r="I79" t="s">
        <v>212</v>
      </c>
      <c r="J79" t="n">
        <v>0</v>
      </c>
      <c r="K79" t="n">
        <v>0</v>
      </c>
      <c r="L79" t="n">
        <v>0</v>
      </c>
      <c r="M79" t="n">
        <v>12</v>
      </c>
      <c r="N79" t="n">
        <v>-0.5</v>
      </c>
      <c r="O79" t="n">
        <v>0</v>
      </c>
      <c r="P79" t="n">
        <v>21</v>
      </c>
      <c r="Q79" t="n">
        <v>12</v>
      </c>
      <c r="R79" t="s">
        <v>216</v>
      </c>
      <c r="S79" t="s">
        <v>216</v>
      </c>
      <c r="T79" t="n">
        <v>-0.5</v>
      </c>
    </row>
    <row r="80">
      <c r="A80" t="s">
        <v>30</v>
      </c>
      <c r="B80" t="n">
        <v>1.07</v>
      </c>
      <c r="C80" t="n">
        <v>0.94</v>
      </c>
      <c r="D80" t="n">
        <v>1.05</v>
      </c>
      <c r="E80" t="n">
        <v>-5.5</v>
      </c>
      <c r="F80" t="n">
        <v>-0.25</v>
      </c>
      <c r="G80" t="n">
        <v>11</v>
      </c>
      <c r="H80" t="n">
        <v>12</v>
      </c>
      <c r="I80" t="s">
        <v>207</v>
      </c>
      <c r="J80" t="n">
        <v>0</v>
      </c>
      <c r="K80" t="n">
        <v>0</v>
      </c>
      <c r="L80" t="n">
        <v>0</v>
      </c>
      <c r="M80" t="n">
        <v>12</v>
      </c>
      <c r="N80" t="n">
        <v>0</v>
      </c>
      <c r="O80" t="n">
        <v>-0.25</v>
      </c>
      <c r="P80" t="n">
        <v>18</v>
      </c>
      <c r="Q80" t="n">
        <v>12</v>
      </c>
      <c r="R80" t="s">
        <v>207</v>
      </c>
      <c r="S80" t="s">
        <v>209</v>
      </c>
      <c r="T80" t="n">
        <v>-0.25</v>
      </c>
    </row>
    <row r="81">
      <c r="A81" t="s">
        <v>30</v>
      </c>
      <c r="B81" t="n">
        <v>0.92</v>
      </c>
      <c r="C81" t="n">
        <v>0.84</v>
      </c>
      <c r="D81" t="n">
        <v>0.87</v>
      </c>
      <c r="E81" t="n">
        <v>-2</v>
      </c>
      <c r="F81" t="n">
        <v>-0.75</v>
      </c>
      <c r="G81" t="n">
        <v>180</v>
      </c>
      <c r="H81" t="n">
        <v>12</v>
      </c>
      <c r="I81" t="s">
        <v>210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-0.5</v>
      </c>
      <c r="P81" t="n">
        <v>10</v>
      </c>
      <c r="Q81" t="n">
        <v>12</v>
      </c>
      <c r="R81" t="s">
        <v>219</v>
      </c>
      <c r="S81" t="s">
        <v>217</v>
      </c>
      <c r="T81" t="n">
        <v>-0.25</v>
      </c>
    </row>
    <row r="82">
      <c r="A82" t="s">
        <v>30</v>
      </c>
      <c r="B82" t="n">
        <v>1.18</v>
      </c>
      <c r="C82" t="n">
        <v>1.24</v>
      </c>
      <c r="D82" t="n">
        <v>1.2</v>
      </c>
      <c r="E82" t="n">
        <v>-5</v>
      </c>
      <c r="F82" t="n">
        <v>-0.25</v>
      </c>
      <c r="G82" t="n">
        <v>155</v>
      </c>
      <c r="H82" t="n">
        <v>12</v>
      </c>
      <c r="I82" t="s">
        <v>213</v>
      </c>
      <c r="J82" t="n">
        <v>0</v>
      </c>
      <c r="K82" t="n">
        <v>0</v>
      </c>
      <c r="L82" t="n">
        <v>0</v>
      </c>
      <c r="M82" t="n">
        <v>12</v>
      </c>
      <c r="N82" t="n">
        <v>0</v>
      </c>
      <c r="O82" t="n">
        <v>-0.25</v>
      </c>
      <c r="P82" t="n">
        <v>160</v>
      </c>
      <c r="Q82" t="n">
        <v>12</v>
      </c>
      <c r="R82" t="s">
        <v>213</v>
      </c>
      <c r="S82" t="s">
        <v>215</v>
      </c>
      <c r="T82" t="n">
        <v>-0.25</v>
      </c>
    </row>
    <row r="83">
      <c r="A83" t="s">
        <v>30</v>
      </c>
      <c r="B83" t="n">
        <v>1.04</v>
      </c>
      <c r="C83" t="n">
        <v>1.07</v>
      </c>
      <c r="D83" t="n">
        <v>1.02</v>
      </c>
      <c r="E83" t="n">
        <v>-3</v>
      </c>
      <c r="F83" t="n">
        <v>-0.5</v>
      </c>
      <c r="G83" t="n">
        <v>84</v>
      </c>
      <c r="H83" t="n">
        <v>12</v>
      </c>
      <c r="I83" t="s">
        <v>207</v>
      </c>
      <c r="J83" t="n">
        <v>0</v>
      </c>
      <c r="K83" t="n">
        <v>0</v>
      </c>
      <c r="L83" t="n">
        <v>0</v>
      </c>
      <c r="M83" t="n">
        <v>12</v>
      </c>
      <c r="N83" t="n">
        <v>0.5</v>
      </c>
      <c r="O83" t="n">
        <v>-0.25</v>
      </c>
      <c r="P83" t="n">
        <v>101</v>
      </c>
      <c r="Q83" t="n">
        <v>12</v>
      </c>
      <c r="R83" t="s">
        <v>208</v>
      </c>
      <c r="S83" t="s">
        <v>207</v>
      </c>
      <c r="T83" t="n">
        <v>0.25</v>
      </c>
    </row>
    <row r="84">
      <c r="A84" t="s">
        <v>30</v>
      </c>
      <c r="B84" t="n">
        <v>1.02</v>
      </c>
      <c r="C84" t="n">
        <v>0.91</v>
      </c>
      <c r="D84" t="n">
        <v>1.01</v>
      </c>
      <c r="E84" t="n">
        <v>-1.5</v>
      </c>
      <c r="F84" t="n">
        <v>-0.75</v>
      </c>
      <c r="G84" t="n">
        <v>168</v>
      </c>
      <c r="H84" t="n">
        <v>12</v>
      </c>
      <c r="I84" t="s">
        <v>208</v>
      </c>
      <c r="J84" t="n">
        <v>0</v>
      </c>
      <c r="K84" t="n">
        <v>0</v>
      </c>
      <c r="L84" t="n">
        <v>0</v>
      </c>
      <c r="M84" t="n">
        <v>12</v>
      </c>
      <c r="N84" t="n">
        <v>0.5</v>
      </c>
      <c r="O84" t="n">
        <v>-0.75</v>
      </c>
      <c r="P84" t="n">
        <v>163</v>
      </c>
      <c r="Q84" t="n">
        <v>12</v>
      </c>
      <c r="R84" t="s">
        <v>208</v>
      </c>
      <c r="S84" t="s">
        <v>210</v>
      </c>
      <c r="T84" t="n">
        <v>0.25</v>
      </c>
    </row>
    <row r="85">
      <c r="A85" t="s">
        <v>30</v>
      </c>
      <c r="B85" t="n">
        <v>0.93</v>
      </c>
      <c r="C85" t="n">
        <v>0.85</v>
      </c>
      <c r="D85" t="n">
        <v>0.9</v>
      </c>
      <c r="E85" t="n">
        <v>-1.25</v>
      </c>
      <c r="F85" t="n">
        <v>-1.75</v>
      </c>
      <c r="G85" t="n">
        <v>178</v>
      </c>
      <c r="H85" t="n">
        <v>12</v>
      </c>
      <c r="I85" t="s">
        <v>210</v>
      </c>
      <c r="J85" t="n">
        <v>0</v>
      </c>
      <c r="K85" t="n">
        <v>0</v>
      </c>
      <c r="L85" t="n">
        <v>0</v>
      </c>
      <c r="M85" t="n">
        <v>12</v>
      </c>
      <c r="N85" t="n">
        <v>0</v>
      </c>
      <c r="O85" t="n">
        <v>0</v>
      </c>
      <c r="P85" t="n">
        <v>16</v>
      </c>
      <c r="Q85" t="n">
        <v>12</v>
      </c>
      <c r="R85" t="s">
        <v>210</v>
      </c>
      <c r="S85" t="s">
        <v>217</v>
      </c>
      <c r="T85" t="n">
        <v>0</v>
      </c>
    </row>
    <row r="86">
      <c r="A86" t="s">
        <v>30</v>
      </c>
      <c r="B86" t="n">
        <v>1</v>
      </c>
      <c r="C86" t="n">
        <v>0.99</v>
      </c>
      <c r="D86" t="n">
        <v>1.05</v>
      </c>
      <c r="E86" t="n">
        <v>-1.5</v>
      </c>
      <c r="F86" t="n">
        <v>-1.25</v>
      </c>
      <c r="G86" t="n">
        <v>99</v>
      </c>
      <c r="H86" t="n">
        <v>12</v>
      </c>
      <c r="I86" t="s">
        <v>208</v>
      </c>
      <c r="J86" t="n">
        <v>0</v>
      </c>
      <c r="K86" t="n">
        <v>0</v>
      </c>
      <c r="L86" t="n">
        <v>0</v>
      </c>
      <c r="M86" t="n">
        <v>12</v>
      </c>
      <c r="N86" t="n">
        <v>-0.25</v>
      </c>
      <c r="O86" t="n">
        <v>0</v>
      </c>
      <c r="P86" t="n">
        <v>79</v>
      </c>
      <c r="Q86" t="n">
        <v>12</v>
      </c>
      <c r="R86" t="s">
        <v>207</v>
      </c>
      <c r="S86" t="s">
        <v>208</v>
      </c>
      <c r="T86" t="n">
        <v>-0.25</v>
      </c>
    </row>
    <row r="87">
      <c r="A87" t="s">
        <v>30</v>
      </c>
      <c r="B87" t="n">
        <v>1.03</v>
      </c>
      <c r="C87" t="n">
        <v>1.03</v>
      </c>
      <c r="D87" t="n">
        <v>1.01</v>
      </c>
      <c r="E87" t="n">
        <v>-3.5</v>
      </c>
      <c r="F87" t="n">
        <v>-0.75</v>
      </c>
      <c r="G87" t="n">
        <v>96</v>
      </c>
      <c r="H87" t="n">
        <v>12</v>
      </c>
      <c r="I87" t="s">
        <v>207</v>
      </c>
      <c r="J87" t="n">
        <v>0</v>
      </c>
      <c r="K87" t="n">
        <v>0</v>
      </c>
      <c r="L87" t="n">
        <v>0</v>
      </c>
      <c r="M87" t="n">
        <v>12</v>
      </c>
      <c r="N87" t="n">
        <v>-0.5</v>
      </c>
      <c r="O87" t="n">
        <v>0</v>
      </c>
      <c r="P87" t="n">
        <v>6</v>
      </c>
      <c r="Q87" t="n">
        <v>12</v>
      </c>
      <c r="R87" t="s">
        <v>208</v>
      </c>
      <c r="S87" t="s">
        <v>207</v>
      </c>
      <c r="T87" t="n">
        <v>-0.5</v>
      </c>
    </row>
    <row r="88">
      <c r="A88" t="s">
        <v>30</v>
      </c>
      <c r="B88" t="n">
        <v>1.12</v>
      </c>
      <c r="C88" t="n">
        <v>1.22</v>
      </c>
      <c r="D88" t="n">
        <v>1.14</v>
      </c>
      <c r="E88" t="n">
        <v>-6</v>
      </c>
      <c r="F88" t="n">
        <v>0</v>
      </c>
      <c r="G88" t="n">
        <v>93</v>
      </c>
      <c r="H88" t="n">
        <v>12</v>
      </c>
      <c r="I88" t="s">
        <v>212</v>
      </c>
      <c r="J88" t="n">
        <v>0</v>
      </c>
      <c r="K88" t="n">
        <v>0</v>
      </c>
      <c r="L88" t="n">
        <v>0</v>
      </c>
      <c r="M88" t="n">
        <v>12</v>
      </c>
      <c r="N88" t="n">
        <v>0</v>
      </c>
      <c r="O88" t="n">
        <v>-0.5</v>
      </c>
      <c r="P88" t="n">
        <v>70</v>
      </c>
      <c r="Q88" t="n">
        <v>12</v>
      </c>
      <c r="R88" t="s">
        <v>216</v>
      </c>
      <c r="S88" t="s">
        <v>213</v>
      </c>
      <c r="T88" t="n">
        <v>-0.25</v>
      </c>
    </row>
    <row r="89">
      <c r="A89" t="s">
        <v>30</v>
      </c>
      <c r="B89" t="n">
        <v>0.98</v>
      </c>
      <c r="C89" t="n">
        <v>0.98</v>
      </c>
      <c r="D89" t="n">
        <v>0.97</v>
      </c>
      <c r="E89" t="n">
        <v>-6.25</v>
      </c>
      <c r="F89" t="n">
        <v>-0.25</v>
      </c>
      <c r="G89" t="n">
        <v>40</v>
      </c>
      <c r="H89" t="n">
        <v>12</v>
      </c>
      <c r="I89" t="s">
        <v>208</v>
      </c>
      <c r="J89" t="n">
        <v>0</v>
      </c>
      <c r="K89" t="n">
        <v>0</v>
      </c>
      <c r="L89" t="n">
        <v>0</v>
      </c>
      <c r="M89" t="n">
        <v>12</v>
      </c>
      <c r="N89" t="n">
        <v>0.25</v>
      </c>
      <c r="O89" t="n">
        <v>0</v>
      </c>
      <c r="P89" t="n">
        <v>139</v>
      </c>
      <c r="Q89" t="n">
        <v>12</v>
      </c>
      <c r="R89" t="s">
        <v>209</v>
      </c>
      <c r="S89" t="s">
        <v>208</v>
      </c>
      <c r="T89" t="n">
        <v>0.25</v>
      </c>
    </row>
    <row r="90">
      <c r="A90" t="s">
        <v>30</v>
      </c>
      <c r="B90" t="n">
        <v>0.96</v>
      </c>
      <c r="C90" t="n">
        <v>0.94</v>
      </c>
      <c r="D90" t="n">
        <v>1.01</v>
      </c>
      <c r="E90" t="n">
        <v>-6.5</v>
      </c>
      <c r="F90" t="n">
        <v>-0.25</v>
      </c>
      <c r="G90" t="n">
        <v>138</v>
      </c>
      <c r="H90" t="n">
        <v>12</v>
      </c>
      <c r="I90" t="s">
        <v>209</v>
      </c>
      <c r="J90" t="n">
        <v>0</v>
      </c>
      <c r="K90" t="n">
        <v>0</v>
      </c>
      <c r="L90" t="n">
        <v>0</v>
      </c>
      <c r="M90" t="n">
        <v>12</v>
      </c>
      <c r="N90" t="n">
        <v>0.25</v>
      </c>
      <c r="O90" t="n">
        <v>0</v>
      </c>
      <c r="P90" t="n">
        <v>131</v>
      </c>
      <c r="Q90" t="n">
        <v>12</v>
      </c>
      <c r="R90" t="s">
        <v>208</v>
      </c>
      <c r="S90" t="s">
        <v>209</v>
      </c>
      <c r="T90" t="n">
        <v>0.25</v>
      </c>
    </row>
    <row r="91">
      <c r="A91" t="s">
        <v>30</v>
      </c>
      <c r="B91" t="n">
        <v>0.92</v>
      </c>
      <c r="C91" t="n">
        <v>0.89</v>
      </c>
      <c r="D91" t="n">
        <v>0.9</v>
      </c>
      <c r="E91" t="n">
        <v>-7</v>
      </c>
      <c r="F91" t="n">
        <v>-0.25</v>
      </c>
      <c r="G91" t="n">
        <v>80</v>
      </c>
      <c r="H91" t="n">
        <v>12</v>
      </c>
      <c r="I91" t="s">
        <v>210</v>
      </c>
      <c r="J91" t="n">
        <v>0</v>
      </c>
      <c r="K91" t="n">
        <v>0</v>
      </c>
      <c r="L91" t="n">
        <v>0</v>
      </c>
      <c r="M91" t="n">
        <v>12</v>
      </c>
      <c r="N91" t="n">
        <v>0.5</v>
      </c>
      <c r="O91" t="n">
        <v>-0.25</v>
      </c>
      <c r="P91" t="n">
        <v>56</v>
      </c>
      <c r="Q91" t="n">
        <v>12</v>
      </c>
      <c r="R91" t="s">
        <v>210</v>
      </c>
      <c r="S91" t="s">
        <v>219</v>
      </c>
      <c r="T91" t="n">
        <v>0.5</v>
      </c>
    </row>
    <row r="92">
      <c r="A92" t="s">
        <v>30</v>
      </c>
      <c r="B92" t="n">
        <v>1</v>
      </c>
      <c r="C92" t="n">
        <v>0.89</v>
      </c>
      <c r="D92" t="n">
        <v>0.98</v>
      </c>
      <c r="E92" t="n">
        <v>-5.75</v>
      </c>
      <c r="F92" t="n">
        <v>-0.25</v>
      </c>
      <c r="G92" t="n">
        <v>20</v>
      </c>
      <c r="H92" t="n">
        <v>12</v>
      </c>
      <c r="I92" t="s">
        <v>208</v>
      </c>
      <c r="J92" t="n">
        <v>0</v>
      </c>
      <c r="K92" t="n">
        <v>0</v>
      </c>
      <c r="L92" t="n">
        <v>0</v>
      </c>
      <c r="M92" t="n">
        <v>12</v>
      </c>
      <c r="N92" t="n">
        <v>0.5</v>
      </c>
      <c r="O92" t="n">
        <v>-0.25</v>
      </c>
      <c r="P92" t="n">
        <v>25</v>
      </c>
      <c r="Q92" t="n">
        <v>12</v>
      </c>
      <c r="R92" t="s">
        <v>208</v>
      </c>
      <c r="S92" t="s">
        <v>219</v>
      </c>
      <c r="T92" t="n">
        <v>0.25</v>
      </c>
    </row>
    <row r="93">
      <c r="A93" t="s">
        <v>30</v>
      </c>
      <c r="B93" t="n">
        <v>0.97</v>
      </c>
      <c r="C93" t="n">
        <v>0.96</v>
      </c>
      <c r="D93" t="n">
        <v>1.02</v>
      </c>
      <c r="E93" t="n">
        <v>-3.75</v>
      </c>
      <c r="F93" t="n">
        <v>-0.5</v>
      </c>
      <c r="G93" t="n">
        <v>85</v>
      </c>
      <c r="H93" t="n">
        <v>12</v>
      </c>
      <c r="I93" t="s">
        <v>209</v>
      </c>
      <c r="J93" t="n">
        <v>0</v>
      </c>
      <c r="K93" t="n">
        <v>0</v>
      </c>
      <c r="L93" t="n">
        <v>0</v>
      </c>
      <c r="M93" t="n">
        <v>12</v>
      </c>
      <c r="N93" t="n">
        <v>0.5</v>
      </c>
      <c r="O93" t="n">
        <v>-0.25</v>
      </c>
      <c r="P93" t="n">
        <v>78</v>
      </c>
      <c r="Q93" t="n">
        <v>12</v>
      </c>
      <c r="R93" t="s">
        <v>208</v>
      </c>
      <c r="S93" t="s">
        <v>209</v>
      </c>
      <c r="T93" t="n">
        <v>0.25</v>
      </c>
    </row>
    <row r="94">
      <c r="A94" t="s">
        <v>30</v>
      </c>
      <c r="B94" t="n">
        <v>1.02</v>
      </c>
      <c r="C94" t="n">
        <v>0.94</v>
      </c>
      <c r="D94" t="n">
        <v>1.03</v>
      </c>
      <c r="E94" t="n">
        <v>-6.5</v>
      </c>
      <c r="F94" t="n">
        <v>-0.25</v>
      </c>
      <c r="G94" t="n">
        <v>87</v>
      </c>
      <c r="H94" t="n">
        <v>12</v>
      </c>
      <c r="I94" t="s">
        <v>208</v>
      </c>
      <c r="J94" t="n">
        <v>0</v>
      </c>
      <c r="K94" t="n">
        <v>0</v>
      </c>
      <c r="L94" t="n">
        <v>0</v>
      </c>
      <c r="M94" t="n">
        <v>12</v>
      </c>
      <c r="N94" t="n">
        <v>-0.25</v>
      </c>
      <c r="O94" t="n">
        <v>0</v>
      </c>
      <c r="P94" t="n">
        <v>149</v>
      </c>
      <c r="Q94" t="n">
        <v>12</v>
      </c>
      <c r="R94" t="s">
        <v>207</v>
      </c>
      <c r="S94" t="s">
        <v>209</v>
      </c>
      <c r="T94" t="n">
        <v>-0.25</v>
      </c>
    </row>
    <row r="95">
      <c r="A95" t="s">
        <v>30</v>
      </c>
      <c r="B95" t="n">
        <v>1.05</v>
      </c>
      <c r="C95" t="n">
        <v>1.08</v>
      </c>
      <c r="D95" t="n">
        <v>1.07</v>
      </c>
      <c r="E95" t="n">
        <v>-7</v>
      </c>
      <c r="F95" t="n">
        <v>-0.25</v>
      </c>
      <c r="G95" t="n">
        <v>100</v>
      </c>
      <c r="H95" t="n">
        <v>12</v>
      </c>
      <c r="I95" t="s">
        <v>207</v>
      </c>
      <c r="J95" t="n">
        <v>0</v>
      </c>
      <c r="K95" t="n">
        <v>0</v>
      </c>
      <c r="L95" t="n">
        <v>0</v>
      </c>
      <c r="M95" t="n">
        <v>12</v>
      </c>
      <c r="N95" t="n">
        <v>0.5</v>
      </c>
      <c r="O95" t="n">
        <v>-0.25</v>
      </c>
      <c r="P95" t="n">
        <v>122</v>
      </c>
      <c r="Q95" t="n">
        <v>12</v>
      </c>
      <c r="R95" t="s">
        <v>207</v>
      </c>
      <c r="S95" t="s">
        <v>212</v>
      </c>
      <c r="T95" t="n">
        <v>0.25</v>
      </c>
    </row>
    <row r="96">
      <c r="A96" t="s">
        <v>30</v>
      </c>
      <c r="B96" t="n">
        <v>1.1</v>
      </c>
      <c r="C96" t="n">
        <v>1.09</v>
      </c>
      <c r="D96" t="n">
        <v>1.12</v>
      </c>
      <c r="E96" t="n">
        <v>-4</v>
      </c>
      <c r="F96" t="n">
        <v>-0.25</v>
      </c>
      <c r="G96" t="n">
        <v>94</v>
      </c>
      <c r="H96" t="n">
        <v>12</v>
      </c>
      <c r="I96" t="s">
        <v>212</v>
      </c>
      <c r="J96" t="n">
        <v>0</v>
      </c>
      <c r="K96" t="n">
        <v>0</v>
      </c>
      <c r="L96" t="n">
        <v>0</v>
      </c>
      <c r="M96" t="n">
        <v>12</v>
      </c>
      <c r="N96" t="n">
        <v>-0.25</v>
      </c>
      <c r="O96" t="n">
        <v>0</v>
      </c>
      <c r="P96" t="n">
        <v>78</v>
      </c>
      <c r="Q96" t="n">
        <v>12</v>
      </c>
      <c r="R96" t="s">
        <v>212</v>
      </c>
      <c r="S96" t="s">
        <v>212</v>
      </c>
      <c r="T96" t="n">
        <v>-0.25</v>
      </c>
    </row>
    <row r="97">
      <c r="A97" t="s">
        <v>30</v>
      </c>
      <c r="B97" t="n">
        <v>1.08</v>
      </c>
      <c r="C97" t="n">
        <v>1.12</v>
      </c>
      <c r="D97" t="n">
        <v>1.11</v>
      </c>
      <c r="E97" t="n">
        <v>-1.25</v>
      </c>
      <c r="F97" t="n">
        <v>-0.75</v>
      </c>
      <c r="G97" t="n">
        <v>102</v>
      </c>
      <c r="H97" t="n">
        <v>12</v>
      </c>
      <c r="I97" t="s">
        <v>212</v>
      </c>
      <c r="J97" t="n">
        <v>0</v>
      </c>
      <c r="K97" t="n">
        <v>0</v>
      </c>
      <c r="L97" t="n">
        <v>0</v>
      </c>
      <c r="M97" t="n">
        <v>12</v>
      </c>
      <c r="N97" t="n">
        <v>0</v>
      </c>
      <c r="O97" t="n">
        <v>0</v>
      </c>
      <c r="P97" t="n">
        <v>0</v>
      </c>
      <c r="Q97" t="n">
        <v>12</v>
      </c>
      <c r="R97" t="s">
        <v>212</v>
      </c>
      <c r="S97" t="s">
        <v>212</v>
      </c>
      <c r="T97" t="n">
        <v>0</v>
      </c>
    </row>
    <row r="98">
      <c r="A98" t="s">
        <v>30</v>
      </c>
      <c r="B98" t="n">
        <v>0.97</v>
      </c>
      <c r="C98" t="n">
        <v>1.02</v>
      </c>
      <c r="D98" t="n">
        <v>0.99</v>
      </c>
      <c r="E98" t="n">
        <v>-5.75</v>
      </c>
      <c r="F98" t="n">
        <v>-0.5</v>
      </c>
      <c r="G98" t="n">
        <v>95</v>
      </c>
      <c r="H98" t="n">
        <v>12</v>
      </c>
      <c r="I98" t="s">
        <v>209</v>
      </c>
      <c r="J98" t="n">
        <v>0</v>
      </c>
      <c r="K98" t="n">
        <v>0</v>
      </c>
      <c r="L98" t="n">
        <v>0</v>
      </c>
      <c r="M98" t="n">
        <v>12</v>
      </c>
      <c r="N98" t="n">
        <v>0</v>
      </c>
      <c r="O98" t="n">
        <v>-0.25</v>
      </c>
      <c r="P98" t="n">
        <v>89</v>
      </c>
      <c r="Q98" t="n">
        <v>12</v>
      </c>
      <c r="R98" t="s">
        <v>208</v>
      </c>
      <c r="S98" t="s">
        <v>208</v>
      </c>
      <c r="T98" t="n">
        <v>-0.25</v>
      </c>
    </row>
    <row r="99">
      <c r="A99" t="s">
        <v>30</v>
      </c>
      <c r="B99" t="n">
        <v>0.93</v>
      </c>
      <c r="C99" t="n">
        <v>0.92</v>
      </c>
      <c r="D99" t="n">
        <v>0.99</v>
      </c>
      <c r="E99" t="n">
        <v>-6</v>
      </c>
      <c r="F99" t="n">
        <v>-0.25</v>
      </c>
      <c r="G99" t="n">
        <v>156</v>
      </c>
      <c r="H99" t="n">
        <v>12</v>
      </c>
      <c r="I99" t="s">
        <v>210</v>
      </c>
      <c r="J99" t="n">
        <v>0</v>
      </c>
      <c r="K99" t="n">
        <v>0</v>
      </c>
      <c r="L99" t="n">
        <v>0</v>
      </c>
      <c r="M99" t="n">
        <v>12</v>
      </c>
      <c r="N99" t="n">
        <v>0.25</v>
      </c>
      <c r="O99" t="n">
        <v>0</v>
      </c>
      <c r="P99" t="n">
        <v>91</v>
      </c>
      <c r="Q99" t="n">
        <v>12</v>
      </c>
      <c r="R99" t="s">
        <v>208</v>
      </c>
      <c r="S99" t="s">
        <v>210</v>
      </c>
      <c r="T99" t="n">
        <v>0.25</v>
      </c>
    </row>
    <row r="100">
      <c r="A100" t="s">
        <v>30</v>
      </c>
      <c r="B100" t="n">
        <v>0.88</v>
      </c>
      <c r="C100" t="n">
        <v>0.71</v>
      </c>
      <c r="D100" t="n">
        <v>0.86</v>
      </c>
      <c r="E100" t="n">
        <v>-7.5</v>
      </c>
      <c r="F100" t="n">
        <v>-0.25</v>
      </c>
      <c r="G100" t="n">
        <v>79</v>
      </c>
      <c r="H100" t="n">
        <v>12</v>
      </c>
      <c r="I100" t="s">
        <v>219</v>
      </c>
      <c r="J100" t="n">
        <v>0</v>
      </c>
      <c r="K100" t="n">
        <v>0</v>
      </c>
      <c r="L100" t="n">
        <v>0</v>
      </c>
      <c r="M100" t="n">
        <v>12</v>
      </c>
      <c r="N100" t="n">
        <v>0.5</v>
      </c>
      <c r="O100" t="n">
        <v>0</v>
      </c>
      <c r="P100" t="n">
        <v>65</v>
      </c>
      <c r="Q100" t="n">
        <v>12</v>
      </c>
      <c r="R100" t="s">
        <v>219</v>
      </c>
      <c r="S100" t="s">
        <v>221</v>
      </c>
      <c r="T100" t="n">
        <v>0.5</v>
      </c>
    </row>
    <row r="101">
      <c r="A101" t="s">
        <v>30</v>
      </c>
      <c r="B101" t="n">
        <v>0.98</v>
      </c>
      <c r="C101" t="n">
        <v>1</v>
      </c>
      <c r="D101" t="n">
        <v>0.95</v>
      </c>
      <c r="E101" t="n">
        <v>-2</v>
      </c>
      <c r="F101" t="n">
        <v>-0.25</v>
      </c>
      <c r="G101" t="n">
        <v>92</v>
      </c>
      <c r="H101" t="n">
        <v>12</v>
      </c>
      <c r="I101" t="s">
        <v>208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-0.25</v>
      </c>
      <c r="P101" t="n">
        <v>69</v>
      </c>
      <c r="Q101" t="n">
        <v>12</v>
      </c>
      <c r="R101" t="s">
        <v>209</v>
      </c>
      <c r="S101" t="s">
        <v>208</v>
      </c>
      <c r="T101" t="n">
        <v>-0.25</v>
      </c>
    </row>
    <row r="102">
      <c r="A102" t="s">
        <v>30</v>
      </c>
      <c r="B102" t="n">
        <v>1.1</v>
      </c>
      <c r="C102" t="n">
        <v>1.11</v>
      </c>
      <c r="D102" t="n">
        <v>1.12</v>
      </c>
      <c r="E102" t="n">
        <v>-5</v>
      </c>
      <c r="F102" t="n">
        <v>0</v>
      </c>
      <c r="G102" t="n">
        <v>3</v>
      </c>
      <c r="H102" t="n">
        <v>12</v>
      </c>
      <c r="I102" t="s">
        <v>212</v>
      </c>
      <c r="J102" t="n">
        <v>0</v>
      </c>
      <c r="K102" t="n">
        <v>0</v>
      </c>
      <c r="L102" t="n">
        <v>0</v>
      </c>
      <c r="M102" t="n">
        <v>12</v>
      </c>
      <c r="N102" t="n">
        <v>0.25</v>
      </c>
      <c r="O102" t="n">
        <v>0</v>
      </c>
      <c r="P102" t="n">
        <v>28</v>
      </c>
      <c r="Q102" t="n">
        <v>12</v>
      </c>
      <c r="R102" t="s">
        <v>212</v>
      </c>
      <c r="S102" t="s">
        <v>212</v>
      </c>
      <c r="T102" t="n">
        <v>0.25</v>
      </c>
    </row>
    <row r="103">
      <c r="A103" t="s">
        <v>30</v>
      </c>
      <c r="B103" t="n">
        <v>1.03</v>
      </c>
      <c r="C103" t="n">
        <v>1.05</v>
      </c>
      <c r="D103" t="n">
        <v>1.02</v>
      </c>
      <c r="E103" t="n">
        <v>-1.5</v>
      </c>
      <c r="F103" t="n">
        <v>-0.75</v>
      </c>
      <c r="G103" t="n">
        <v>104</v>
      </c>
      <c r="H103" t="n">
        <v>12</v>
      </c>
      <c r="I103" t="s">
        <v>207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-0.25</v>
      </c>
      <c r="P103" t="n">
        <v>103</v>
      </c>
      <c r="Q103" t="n">
        <v>12</v>
      </c>
      <c r="R103" t="s">
        <v>208</v>
      </c>
      <c r="S103" t="s">
        <v>207</v>
      </c>
      <c r="T103" t="n">
        <v>0</v>
      </c>
    </row>
    <row r="104">
      <c r="A104" t="s">
        <v>30</v>
      </c>
      <c r="B104" t="n">
        <v>1.07</v>
      </c>
      <c r="C104" t="n">
        <v>1.25</v>
      </c>
      <c r="D104" t="n">
        <v>1.12</v>
      </c>
      <c r="E104" t="n">
        <v>-4.25</v>
      </c>
      <c r="F104" t="n">
        <v>-0.75</v>
      </c>
      <c r="G104" t="n">
        <v>174</v>
      </c>
      <c r="H104" t="n">
        <v>12</v>
      </c>
      <c r="I104" t="s">
        <v>207</v>
      </c>
      <c r="J104" t="n">
        <v>0</v>
      </c>
      <c r="K104" t="n">
        <v>0</v>
      </c>
      <c r="L104" t="n">
        <v>0</v>
      </c>
      <c r="M104" t="n">
        <v>12</v>
      </c>
      <c r="N104" t="n">
        <v>0</v>
      </c>
      <c r="O104" t="n">
        <v>-0.25</v>
      </c>
      <c r="P104" t="n">
        <v>32</v>
      </c>
      <c r="Q104" t="n">
        <v>12</v>
      </c>
      <c r="R104" t="s">
        <v>212</v>
      </c>
      <c r="S104" t="s">
        <v>215</v>
      </c>
      <c r="T104" t="n">
        <v>0</v>
      </c>
    </row>
    <row r="105">
      <c r="A105" t="s">
        <v>30</v>
      </c>
      <c r="B105" t="n">
        <v>1.07</v>
      </c>
      <c r="C105" t="n">
        <v>1.07</v>
      </c>
      <c r="D105" t="n">
        <v>1.07</v>
      </c>
      <c r="E105" t="n">
        <v>-1.75</v>
      </c>
      <c r="F105" t="n">
        <v>-1</v>
      </c>
      <c r="G105" t="n">
        <v>162</v>
      </c>
      <c r="H105" t="n">
        <v>12</v>
      </c>
      <c r="I105" t="s">
        <v>207</v>
      </c>
      <c r="J105" t="n">
        <v>0</v>
      </c>
      <c r="K105" t="n">
        <v>0</v>
      </c>
      <c r="L105" t="n">
        <v>0</v>
      </c>
      <c r="M105" t="n">
        <v>12</v>
      </c>
      <c r="N105" t="n">
        <v>-0.25</v>
      </c>
      <c r="O105" t="n">
        <v>0</v>
      </c>
      <c r="P105" t="n">
        <v>78</v>
      </c>
      <c r="Q105" t="n">
        <v>12</v>
      </c>
      <c r="R105" t="s">
        <v>207</v>
      </c>
      <c r="S105" t="s">
        <v>207</v>
      </c>
      <c r="T105" t="n">
        <v>-0.25</v>
      </c>
    </row>
    <row r="106">
      <c r="A106" t="s">
        <v>30</v>
      </c>
      <c r="B106" t="n">
        <v>1</v>
      </c>
      <c r="C106" t="n">
        <v>0.91</v>
      </c>
      <c r="D106" t="n">
        <v>1</v>
      </c>
      <c r="E106" t="n">
        <v>-5</v>
      </c>
      <c r="F106" t="n">
        <v>-1</v>
      </c>
      <c r="G106" t="n">
        <v>177</v>
      </c>
      <c r="H106" t="n">
        <v>12</v>
      </c>
      <c r="I106" t="s">
        <v>208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-0.25</v>
      </c>
      <c r="P106" t="n">
        <v>177</v>
      </c>
      <c r="Q106" t="n">
        <v>12</v>
      </c>
      <c r="R106" t="s">
        <v>208</v>
      </c>
      <c r="S106" t="s">
        <v>210</v>
      </c>
      <c r="T106" t="n">
        <v>0</v>
      </c>
    </row>
    <row r="107">
      <c r="A107" t="s">
        <v>30</v>
      </c>
      <c r="B107" t="n">
        <v>1.04</v>
      </c>
      <c r="C107" t="n">
        <v>1.05</v>
      </c>
      <c r="D107" t="n">
        <v>1.05</v>
      </c>
      <c r="E107" t="n">
        <v>-6.75</v>
      </c>
      <c r="F107" t="n">
        <v>-0.75</v>
      </c>
      <c r="G107" t="n">
        <v>83</v>
      </c>
      <c r="H107" t="n">
        <v>12</v>
      </c>
      <c r="I107" t="s">
        <v>207</v>
      </c>
      <c r="J107" t="n">
        <v>0</v>
      </c>
      <c r="K107" t="n">
        <v>0</v>
      </c>
      <c r="L107" t="n">
        <v>0</v>
      </c>
      <c r="M107" t="n">
        <v>12</v>
      </c>
      <c r="N107" t="n">
        <v>0.5</v>
      </c>
      <c r="O107" t="n">
        <v>-0.25</v>
      </c>
      <c r="P107" t="n">
        <v>100</v>
      </c>
      <c r="Q107" t="n">
        <v>12</v>
      </c>
      <c r="R107" t="s">
        <v>207</v>
      </c>
      <c r="S107" t="s">
        <v>207</v>
      </c>
      <c r="T107" t="n">
        <v>0.25</v>
      </c>
    </row>
    <row r="108">
      <c r="A108" t="s">
        <v>30</v>
      </c>
      <c r="B108" t="n">
        <v>1</v>
      </c>
      <c r="C108" t="n">
        <v>0.93</v>
      </c>
      <c r="D108" t="n">
        <v>0.93</v>
      </c>
      <c r="E108" t="n">
        <v>-1</v>
      </c>
      <c r="F108" t="n">
        <v>0</v>
      </c>
      <c r="G108" t="n">
        <v>9</v>
      </c>
      <c r="H108" t="n">
        <v>12</v>
      </c>
      <c r="I108" t="s">
        <v>208</v>
      </c>
      <c r="J108" t="n">
        <v>0</v>
      </c>
      <c r="K108" t="n">
        <v>0</v>
      </c>
      <c r="L108" t="n">
        <v>0</v>
      </c>
      <c r="M108" t="n">
        <v>12</v>
      </c>
      <c r="N108" t="n">
        <v>0.5</v>
      </c>
      <c r="O108" t="n">
        <v>-0.25</v>
      </c>
      <c r="P108" t="n">
        <v>159</v>
      </c>
      <c r="Q108" t="n">
        <v>12</v>
      </c>
      <c r="R108" t="s">
        <v>210</v>
      </c>
      <c r="S108" t="s">
        <v>210</v>
      </c>
      <c r="T108" t="n">
        <v>0.25</v>
      </c>
    </row>
    <row r="109">
      <c r="A109" t="s">
        <v>30</v>
      </c>
      <c r="B109" t="n">
        <v>0.95</v>
      </c>
      <c r="C109" t="n">
        <v>0.88</v>
      </c>
      <c r="D109" t="n">
        <v>0.94</v>
      </c>
      <c r="E109" t="n">
        <v>-3.75</v>
      </c>
      <c r="F109" t="n">
        <v>-0.25</v>
      </c>
      <c r="G109" t="n">
        <v>96</v>
      </c>
      <c r="H109" t="n">
        <v>12</v>
      </c>
      <c r="I109" t="s">
        <v>209</v>
      </c>
      <c r="J109" t="n">
        <v>0</v>
      </c>
      <c r="K109" t="n">
        <v>0</v>
      </c>
      <c r="L109" t="n">
        <v>0</v>
      </c>
      <c r="M109" t="n">
        <v>12</v>
      </c>
      <c r="N109" t="n">
        <v>-0.25</v>
      </c>
      <c r="O109" t="n">
        <v>0</v>
      </c>
      <c r="P109" t="n">
        <v>86</v>
      </c>
      <c r="Q109" t="n">
        <v>12</v>
      </c>
      <c r="R109" t="s">
        <v>209</v>
      </c>
      <c r="S109" t="s">
        <v>219</v>
      </c>
      <c r="T109" t="n">
        <v>-0.25</v>
      </c>
    </row>
    <row r="110">
      <c r="A110" t="s">
        <v>30</v>
      </c>
      <c r="B110" t="n">
        <v>1.07</v>
      </c>
      <c r="C110" t="n">
        <v>0.98</v>
      </c>
      <c r="D110" t="n">
        <v>1.1</v>
      </c>
      <c r="E110" t="n">
        <v>-5.25</v>
      </c>
      <c r="F110" t="n">
        <v>-1.25</v>
      </c>
      <c r="G110" t="n">
        <v>98</v>
      </c>
      <c r="H110" t="n">
        <v>12</v>
      </c>
      <c r="I110" t="s">
        <v>207</v>
      </c>
      <c r="J110" t="n">
        <v>0</v>
      </c>
      <c r="K110" t="n">
        <v>0</v>
      </c>
      <c r="L110" t="n">
        <v>0</v>
      </c>
      <c r="M110" t="n">
        <v>12</v>
      </c>
      <c r="N110" t="n">
        <v>-0.5</v>
      </c>
      <c r="O110" t="n">
        <v>-0.25</v>
      </c>
      <c r="P110" t="n">
        <v>98</v>
      </c>
      <c r="Q110" t="n">
        <v>12</v>
      </c>
      <c r="R110" t="s">
        <v>212</v>
      </c>
      <c r="S110" t="s">
        <v>208</v>
      </c>
      <c r="T110" t="n">
        <v>-0.5</v>
      </c>
    </row>
    <row r="111">
      <c r="A111" t="s">
        <v>30</v>
      </c>
      <c r="B111" t="n">
        <v>1.01</v>
      </c>
      <c r="C111" t="n">
        <v>0.86</v>
      </c>
      <c r="D111" t="n">
        <v>1.03</v>
      </c>
      <c r="E111" t="n">
        <v>-5</v>
      </c>
      <c r="F111" t="n">
        <v>-0.5</v>
      </c>
      <c r="G111" t="n">
        <v>86</v>
      </c>
      <c r="H111" t="n">
        <v>12</v>
      </c>
      <c r="I111" t="s">
        <v>208</v>
      </c>
      <c r="J111" t="n">
        <v>0</v>
      </c>
      <c r="K111" t="n">
        <v>0</v>
      </c>
      <c r="L111" t="n">
        <v>0</v>
      </c>
      <c r="M111" t="n">
        <v>12</v>
      </c>
      <c r="N111" t="n">
        <v>-0.5</v>
      </c>
      <c r="O111" t="n">
        <v>0</v>
      </c>
      <c r="P111" t="n">
        <v>85</v>
      </c>
      <c r="Q111" t="n">
        <v>12</v>
      </c>
      <c r="R111" t="s">
        <v>207</v>
      </c>
      <c r="S111" t="s">
        <v>219</v>
      </c>
      <c r="T111" t="n">
        <v>-0.5</v>
      </c>
    </row>
    <row r="112">
      <c r="A112" t="s">
        <v>30</v>
      </c>
      <c r="B112" t="n">
        <v>1.1</v>
      </c>
      <c r="C112" t="n">
        <v>1.19</v>
      </c>
      <c r="D112" t="n">
        <v>1.16</v>
      </c>
      <c r="E112" t="n">
        <v>-4</v>
      </c>
      <c r="F112" t="n">
        <v>0</v>
      </c>
      <c r="G112" t="n">
        <v>99</v>
      </c>
      <c r="H112" t="n">
        <v>12</v>
      </c>
      <c r="I112" t="s">
        <v>212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-0.25</v>
      </c>
      <c r="P112" t="n">
        <v>111</v>
      </c>
      <c r="Q112" t="n">
        <v>12</v>
      </c>
      <c r="R112" t="s">
        <v>216</v>
      </c>
      <c r="S112" t="s">
        <v>213</v>
      </c>
      <c r="T112" t="n">
        <v>0</v>
      </c>
    </row>
    <row r="113">
      <c r="A113" t="s">
        <v>30</v>
      </c>
      <c r="B113" t="n">
        <v>1.08</v>
      </c>
      <c r="C113" t="n">
        <v>1.05</v>
      </c>
      <c r="D113" t="n">
        <v>1.13</v>
      </c>
      <c r="E113" t="n">
        <v>-1.5</v>
      </c>
      <c r="F113" t="n">
        <v>-1</v>
      </c>
      <c r="G113" t="n">
        <v>58</v>
      </c>
      <c r="H113" t="n">
        <v>12</v>
      </c>
      <c r="I113" t="s">
        <v>212</v>
      </c>
      <c r="J113" t="n">
        <v>0</v>
      </c>
      <c r="K113" t="n">
        <v>0</v>
      </c>
      <c r="L113" t="n">
        <v>0</v>
      </c>
      <c r="M113" t="n">
        <v>12</v>
      </c>
      <c r="N113" t="n">
        <v>-0.25</v>
      </c>
      <c r="O113" t="n">
        <v>0</v>
      </c>
      <c r="P113" t="n">
        <v>65</v>
      </c>
      <c r="Q113" t="n">
        <v>12</v>
      </c>
      <c r="R113" t="s">
        <v>216</v>
      </c>
      <c r="S113" t="s">
        <v>207</v>
      </c>
      <c r="T113" t="n">
        <v>-0.25</v>
      </c>
    </row>
    <row r="114">
      <c r="A114" t="s">
        <v>30</v>
      </c>
      <c r="B114" t="n">
        <v>1.11</v>
      </c>
      <c r="C114" t="n">
        <v>1.14</v>
      </c>
      <c r="D114" t="n">
        <v>1.17</v>
      </c>
      <c r="E114" t="n">
        <v>-3</v>
      </c>
      <c r="F114" t="n">
        <v>-0.25</v>
      </c>
      <c r="G114" t="n">
        <v>99</v>
      </c>
      <c r="H114" t="n">
        <v>12</v>
      </c>
      <c r="I114" t="s">
        <v>212</v>
      </c>
      <c r="J114" t="n">
        <v>0</v>
      </c>
      <c r="K114" t="n">
        <v>0</v>
      </c>
      <c r="L114" t="n">
        <v>0</v>
      </c>
      <c r="M114" t="n">
        <v>12</v>
      </c>
      <c r="N114" t="n">
        <v>0.25</v>
      </c>
      <c r="O114" t="n">
        <v>0</v>
      </c>
      <c r="P114" t="n">
        <v>64</v>
      </c>
      <c r="Q114" t="n">
        <v>12</v>
      </c>
      <c r="R114" t="s">
        <v>216</v>
      </c>
      <c r="S114" t="s">
        <v>216</v>
      </c>
      <c r="T114" t="n">
        <v>0.25</v>
      </c>
    </row>
    <row r="115">
      <c r="A115" t="s">
        <v>30</v>
      </c>
      <c r="B115" t="n">
        <v>1.05</v>
      </c>
      <c r="C115" t="n">
        <v>0.97</v>
      </c>
      <c r="D115" t="n">
        <v>1.02</v>
      </c>
      <c r="E115" t="n">
        <v>-5</v>
      </c>
      <c r="F115" t="n">
        <v>-0.25</v>
      </c>
      <c r="G115" t="n">
        <v>96</v>
      </c>
      <c r="H115" t="n">
        <v>12</v>
      </c>
      <c r="I115" t="s">
        <v>207</v>
      </c>
      <c r="J115" t="n">
        <v>0</v>
      </c>
      <c r="K115" t="n">
        <v>0</v>
      </c>
      <c r="L115" t="n">
        <v>0</v>
      </c>
      <c r="M115" t="n">
        <v>12</v>
      </c>
      <c r="N115" t="n">
        <v>0.25</v>
      </c>
      <c r="O115" t="n">
        <v>0</v>
      </c>
      <c r="P115" t="n">
        <v>43</v>
      </c>
      <c r="Q115" t="n">
        <v>12</v>
      </c>
      <c r="R115" t="s">
        <v>208</v>
      </c>
      <c r="S115" t="s">
        <v>209</v>
      </c>
      <c r="T115" t="n">
        <v>0.25</v>
      </c>
    </row>
    <row r="116">
      <c r="A116" t="s">
        <v>30</v>
      </c>
      <c r="B116" t="n">
        <v>1.04</v>
      </c>
      <c r="C116" t="n">
        <v>0.88</v>
      </c>
      <c r="D116" t="n">
        <v>0.99</v>
      </c>
      <c r="E116" t="n">
        <v>-3.75</v>
      </c>
      <c r="F116" t="n">
        <v>-0.5</v>
      </c>
      <c r="G116" t="n">
        <v>95</v>
      </c>
      <c r="H116" t="n">
        <v>12</v>
      </c>
      <c r="I116" t="s">
        <v>207</v>
      </c>
      <c r="J116" t="n">
        <v>0</v>
      </c>
      <c r="K116" t="n">
        <v>0</v>
      </c>
      <c r="L116" t="n">
        <v>0</v>
      </c>
      <c r="M116" t="n">
        <v>12</v>
      </c>
      <c r="N116" t="n">
        <v>0</v>
      </c>
      <c r="O116" t="n">
        <v>-0.25</v>
      </c>
      <c r="P116" t="n">
        <v>90</v>
      </c>
      <c r="Q116" t="n">
        <v>12</v>
      </c>
      <c r="R116" t="s">
        <v>208</v>
      </c>
      <c r="S116" t="s">
        <v>219</v>
      </c>
      <c r="T116" t="n">
        <v>-0.25</v>
      </c>
    </row>
    <row r="117">
      <c r="A117" t="s">
        <v>30</v>
      </c>
      <c r="B117" t="n">
        <v>1.03</v>
      </c>
      <c r="C117" t="n">
        <v>0.88</v>
      </c>
      <c r="D117" t="n">
        <v>1</v>
      </c>
      <c r="E117" t="n">
        <v>-4.75</v>
      </c>
      <c r="F117" t="n">
        <v>-0.75</v>
      </c>
      <c r="G117" t="n">
        <v>23</v>
      </c>
      <c r="H117" t="n">
        <v>12</v>
      </c>
      <c r="I117" t="s">
        <v>207</v>
      </c>
      <c r="J117" t="n">
        <v>0</v>
      </c>
      <c r="K117" t="n">
        <v>0</v>
      </c>
      <c r="L117" t="n">
        <v>0</v>
      </c>
      <c r="M117" t="n">
        <v>12</v>
      </c>
      <c r="N117" t="n">
        <v>0</v>
      </c>
      <c r="O117" t="n">
        <v>-0.25</v>
      </c>
      <c r="P117" t="n">
        <v>5</v>
      </c>
      <c r="Q117" t="n">
        <v>12</v>
      </c>
      <c r="R117" t="s">
        <v>208</v>
      </c>
      <c r="S117" t="s">
        <v>219</v>
      </c>
      <c r="T117" t="n">
        <v>-0.25</v>
      </c>
    </row>
    <row r="118">
      <c r="A118" t="s">
        <v>30</v>
      </c>
      <c r="B118" t="n">
        <v>1.06</v>
      </c>
      <c r="C118" t="n">
        <v>1.07</v>
      </c>
      <c r="D118" t="n">
        <v>1.05</v>
      </c>
      <c r="E118" t="n">
        <v>-5</v>
      </c>
      <c r="F118" t="n">
        <v>-0.75</v>
      </c>
      <c r="G118" t="n">
        <v>6</v>
      </c>
      <c r="H118" t="n">
        <v>12</v>
      </c>
      <c r="I118" t="s">
        <v>207</v>
      </c>
      <c r="J118" t="n">
        <v>0</v>
      </c>
      <c r="K118" t="n">
        <v>0</v>
      </c>
      <c r="L118" t="n">
        <v>0</v>
      </c>
      <c r="M118" t="n">
        <v>12</v>
      </c>
      <c r="N118" t="n">
        <v>0.5</v>
      </c>
      <c r="O118" t="n">
        <v>0</v>
      </c>
      <c r="P118" t="n">
        <v>26</v>
      </c>
      <c r="Q118" t="n">
        <v>12</v>
      </c>
      <c r="R118" t="s">
        <v>207</v>
      </c>
      <c r="S118" t="s">
        <v>207</v>
      </c>
      <c r="T118" t="n">
        <v>0.5</v>
      </c>
    </row>
    <row r="119">
      <c r="A119" t="s">
        <v>30</v>
      </c>
      <c r="B119" t="n">
        <v>1.1</v>
      </c>
      <c r="C119" t="n">
        <v>1.08</v>
      </c>
      <c r="D119" t="n">
        <v>1.09</v>
      </c>
      <c r="E119" t="n">
        <v>-2.5</v>
      </c>
      <c r="F119" t="n">
        <v>-0.75</v>
      </c>
      <c r="G119" t="n">
        <v>178</v>
      </c>
      <c r="H119" t="n">
        <v>12</v>
      </c>
      <c r="I119" t="s">
        <v>212</v>
      </c>
      <c r="J119" t="n">
        <v>0</v>
      </c>
      <c r="K119" t="n">
        <v>0</v>
      </c>
      <c r="L119" t="n">
        <v>0</v>
      </c>
      <c r="M119" t="n">
        <v>12</v>
      </c>
      <c r="N119" t="n">
        <v>0</v>
      </c>
      <c r="O119" t="n">
        <v>-0.25</v>
      </c>
      <c r="P119" t="n">
        <v>4</v>
      </c>
      <c r="Q119" t="n">
        <v>12</v>
      </c>
      <c r="R119" t="s">
        <v>212</v>
      </c>
      <c r="S119" t="s">
        <v>212</v>
      </c>
      <c r="T119" t="n">
        <v>-0.25</v>
      </c>
    </row>
    <row r="120">
      <c r="A120" t="s">
        <v>30</v>
      </c>
      <c r="B120" t="n">
        <v>1.04</v>
      </c>
      <c r="C120" t="n">
        <v>0.98</v>
      </c>
      <c r="D120" t="n">
        <v>1</v>
      </c>
      <c r="E120" t="n">
        <v>-1.25</v>
      </c>
      <c r="F120" t="n">
        <v>-0.5</v>
      </c>
      <c r="G120" t="n">
        <v>84</v>
      </c>
      <c r="H120" t="n">
        <v>12</v>
      </c>
      <c r="I120" t="s">
        <v>207</v>
      </c>
      <c r="J120" t="n">
        <v>0</v>
      </c>
      <c r="K120" t="n">
        <v>0</v>
      </c>
      <c r="L120" t="n">
        <v>0</v>
      </c>
      <c r="M120" t="n">
        <v>12</v>
      </c>
      <c r="N120" t="n">
        <v>0.75</v>
      </c>
      <c r="O120" t="n">
        <v>0</v>
      </c>
      <c r="P120" t="n">
        <v>138</v>
      </c>
      <c r="Q120" t="n">
        <v>12</v>
      </c>
      <c r="R120" t="s">
        <v>208</v>
      </c>
      <c r="S120" t="s">
        <v>208</v>
      </c>
      <c r="T120" t="n">
        <v>0.75</v>
      </c>
    </row>
    <row r="121">
      <c r="A121" t="s">
        <v>30</v>
      </c>
      <c r="B121" t="n">
        <v>0.94</v>
      </c>
      <c r="C121" t="n">
        <v>0.93</v>
      </c>
      <c r="D121" t="n">
        <v>0.94</v>
      </c>
      <c r="E121" t="n">
        <v>-1.5</v>
      </c>
      <c r="F121" t="n">
        <v>-0.5</v>
      </c>
      <c r="G121" t="n">
        <v>94</v>
      </c>
      <c r="H121" t="n">
        <v>12</v>
      </c>
      <c r="I121" t="s">
        <v>209</v>
      </c>
      <c r="J121" t="n">
        <v>0</v>
      </c>
      <c r="K121" t="n">
        <v>0</v>
      </c>
      <c r="L121" t="n">
        <v>0</v>
      </c>
      <c r="M121" t="n">
        <v>12</v>
      </c>
      <c r="N121" t="n">
        <v>0.5</v>
      </c>
      <c r="O121" t="n">
        <v>-0.25</v>
      </c>
      <c r="P121" t="n">
        <v>96</v>
      </c>
      <c r="Q121" t="n">
        <v>12</v>
      </c>
      <c r="R121" t="s">
        <v>209</v>
      </c>
      <c r="S121" t="s">
        <v>210</v>
      </c>
      <c r="T121" t="n">
        <v>0.5</v>
      </c>
    </row>
    <row r="122">
      <c r="A122" t="s">
        <v>30</v>
      </c>
      <c r="B122" t="n">
        <v>1.06</v>
      </c>
      <c r="C122" t="n">
        <v>1.04</v>
      </c>
      <c r="D122" t="n">
        <v>1.02</v>
      </c>
      <c r="E122" t="n">
        <v>-5</v>
      </c>
      <c r="F122" t="n">
        <v>0</v>
      </c>
      <c r="G122" t="n">
        <v>7</v>
      </c>
      <c r="H122" t="n">
        <v>12</v>
      </c>
      <c r="I122" t="s">
        <v>207</v>
      </c>
      <c r="J122" t="n">
        <v>0</v>
      </c>
      <c r="K122" t="n">
        <v>0</v>
      </c>
      <c r="L122" t="n">
        <v>0</v>
      </c>
      <c r="M122" t="n">
        <v>12</v>
      </c>
      <c r="N122" t="n">
        <v>0.25</v>
      </c>
      <c r="O122" t="n">
        <v>-0.5</v>
      </c>
      <c r="P122" t="n">
        <v>3</v>
      </c>
      <c r="Q122" t="n">
        <v>12</v>
      </c>
      <c r="R122" t="s">
        <v>208</v>
      </c>
      <c r="S122" t="s">
        <v>207</v>
      </c>
      <c r="T122" t="n">
        <v>0</v>
      </c>
    </row>
    <row r="123">
      <c r="A123" t="s">
        <v>30</v>
      </c>
      <c r="B123" t="n">
        <v>1.03</v>
      </c>
      <c r="C123" t="n">
        <v>1.04</v>
      </c>
      <c r="D123" t="n">
        <v>1.07</v>
      </c>
      <c r="E123" t="n">
        <v>-5.25</v>
      </c>
      <c r="F123" t="n">
        <v>-0.25</v>
      </c>
      <c r="G123" t="n">
        <v>85</v>
      </c>
      <c r="H123" t="n">
        <v>12</v>
      </c>
      <c r="I123" t="s">
        <v>207</v>
      </c>
      <c r="J123" t="n">
        <v>0</v>
      </c>
      <c r="K123" t="n">
        <v>0</v>
      </c>
      <c r="L123" t="n">
        <v>0</v>
      </c>
      <c r="M123" t="n">
        <v>12</v>
      </c>
      <c r="N123" t="n">
        <v>0.25</v>
      </c>
      <c r="O123" t="n">
        <v>-0.5</v>
      </c>
      <c r="P123" t="n">
        <v>133</v>
      </c>
      <c r="Q123" t="n">
        <v>12</v>
      </c>
      <c r="R123" t="s">
        <v>207</v>
      </c>
      <c r="S123" t="s">
        <v>207</v>
      </c>
      <c r="T123" t="n">
        <v>0</v>
      </c>
    </row>
    <row r="124">
      <c r="A124" t="s">
        <v>30</v>
      </c>
      <c r="B124" t="n">
        <v>0.99</v>
      </c>
      <c r="C124" t="n">
        <v>1.03</v>
      </c>
      <c r="D124" t="n">
        <v>1</v>
      </c>
      <c r="E124" t="n">
        <v>-3.25</v>
      </c>
      <c r="F124" t="n">
        <v>-1.75</v>
      </c>
      <c r="G124" t="n">
        <v>16</v>
      </c>
      <c r="H124" t="n">
        <v>12</v>
      </c>
      <c r="I124" t="s">
        <v>208</v>
      </c>
      <c r="J124" t="n">
        <v>0</v>
      </c>
      <c r="K124" t="n">
        <v>0</v>
      </c>
      <c r="L124" t="n">
        <v>0</v>
      </c>
      <c r="M124" t="n">
        <v>12</v>
      </c>
      <c r="N124" t="n">
        <v>0.25</v>
      </c>
      <c r="O124" t="n">
        <v>-0.5</v>
      </c>
      <c r="P124" t="n">
        <v>16</v>
      </c>
      <c r="Q124" t="n">
        <v>12</v>
      </c>
      <c r="R124" t="s">
        <v>208</v>
      </c>
      <c r="S124" t="s">
        <v>207</v>
      </c>
      <c r="T124" t="n">
        <v>0</v>
      </c>
    </row>
    <row r="125">
      <c r="A125" t="s">
        <v>30</v>
      </c>
      <c r="B125" t="n">
        <v>0.94</v>
      </c>
      <c r="C125" t="n">
        <v>0.93</v>
      </c>
      <c r="D125" t="n">
        <v>1</v>
      </c>
      <c r="E125" t="n">
        <v>-5.5</v>
      </c>
      <c r="F125" t="n">
        <v>-0.75</v>
      </c>
      <c r="G125" t="n">
        <v>170</v>
      </c>
      <c r="H125" t="n">
        <v>12</v>
      </c>
      <c r="I125" t="s">
        <v>209</v>
      </c>
      <c r="J125" t="n">
        <v>0</v>
      </c>
      <c r="K125" t="n">
        <v>0</v>
      </c>
      <c r="L125" t="n">
        <v>0</v>
      </c>
      <c r="M125" t="n">
        <v>12</v>
      </c>
      <c r="N125" t="n">
        <v>0</v>
      </c>
      <c r="O125" t="n">
        <v>-0.25</v>
      </c>
      <c r="P125" t="n">
        <v>170</v>
      </c>
      <c r="Q125" t="n">
        <v>12</v>
      </c>
      <c r="R125" t="s">
        <v>208</v>
      </c>
      <c r="S125" t="s">
        <v>210</v>
      </c>
      <c r="T125" t="n">
        <v>0</v>
      </c>
    </row>
    <row r="126">
      <c r="A126" t="s">
        <v>30</v>
      </c>
      <c r="B126" t="n">
        <v>1.03</v>
      </c>
      <c r="C126" t="n">
        <v>0.94</v>
      </c>
      <c r="D126" t="n">
        <v>1.01</v>
      </c>
      <c r="E126" t="n">
        <v>-2.5</v>
      </c>
      <c r="F126" t="n">
        <v>0</v>
      </c>
      <c r="G126" t="n">
        <v>80</v>
      </c>
      <c r="H126" t="n">
        <v>12</v>
      </c>
      <c r="I126" t="s">
        <v>207</v>
      </c>
      <c r="J126" t="n">
        <v>0</v>
      </c>
      <c r="K126" t="n">
        <v>0</v>
      </c>
      <c r="L126" t="n">
        <v>0</v>
      </c>
      <c r="M126" t="n">
        <v>12</v>
      </c>
      <c r="N126" t="n">
        <v>0.25</v>
      </c>
      <c r="O126" t="n">
        <v>0</v>
      </c>
      <c r="P126" t="n">
        <v>68</v>
      </c>
      <c r="Q126" t="n">
        <v>12</v>
      </c>
      <c r="R126" t="s">
        <v>208</v>
      </c>
      <c r="S126" t="s">
        <v>209</v>
      </c>
      <c r="T126" t="n">
        <v>0.25</v>
      </c>
    </row>
    <row r="127">
      <c r="A127" t="s">
        <v>30</v>
      </c>
      <c r="B127" t="n">
        <v>1.01</v>
      </c>
      <c r="C127" t="n">
        <v>0.89</v>
      </c>
      <c r="D127" t="n">
        <v>1.02</v>
      </c>
      <c r="E127" t="n">
        <v>-2.75</v>
      </c>
      <c r="F127" t="n">
        <v>-0.5</v>
      </c>
      <c r="G127" t="n">
        <v>167</v>
      </c>
      <c r="H127" t="n">
        <v>12</v>
      </c>
      <c r="I127" t="s">
        <v>208</v>
      </c>
      <c r="J127" t="n">
        <v>0</v>
      </c>
      <c r="K127" t="n">
        <v>0</v>
      </c>
      <c r="L127" t="n">
        <v>0</v>
      </c>
      <c r="M127" t="n">
        <v>12</v>
      </c>
      <c r="N127" t="n">
        <v>0.25</v>
      </c>
      <c r="O127" t="n">
        <v>0</v>
      </c>
      <c r="P127" t="n">
        <v>24</v>
      </c>
      <c r="Q127" t="n">
        <v>12</v>
      </c>
      <c r="R127" t="s">
        <v>208</v>
      </c>
      <c r="S127" t="s">
        <v>219</v>
      </c>
      <c r="T127" t="n">
        <v>0.25</v>
      </c>
    </row>
    <row r="128">
      <c r="A128" t="s">
        <v>30</v>
      </c>
      <c r="B128" t="n">
        <v>1.04</v>
      </c>
      <c r="C128" t="n">
        <v>1.01</v>
      </c>
      <c r="D128" t="n">
        <v>1.01</v>
      </c>
      <c r="E128" t="n">
        <v>-4.25</v>
      </c>
      <c r="F128" t="n">
        <v>-1.5</v>
      </c>
      <c r="G128" t="n">
        <v>175</v>
      </c>
      <c r="H128" t="n">
        <v>12</v>
      </c>
      <c r="I128" t="s">
        <v>207</v>
      </c>
      <c r="J128" t="n">
        <v>0</v>
      </c>
      <c r="K128" t="n">
        <v>0</v>
      </c>
      <c r="L128" t="n">
        <v>0</v>
      </c>
      <c r="M128" t="n">
        <v>12</v>
      </c>
      <c r="N128" t="n">
        <v>0</v>
      </c>
      <c r="O128" t="n">
        <v>0</v>
      </c>
      <c r="P128" t="n">
        <v>99</v>
      </c>
      <c r="Q128" t="n">
        <v>12</v>
      </c>
      <c r="R128" t="s">
        <v>208</v>
      </c>
      <c r="S128" t="s">
        <v>208</v>
      </c>
      <c r="T128" t="n">
        <v>0</v>
      </c>
    </row>
    <row r="129">
      <c r="A129" t="s">
        <v>30</v>
      </c>
      <c r="B129" t="n">
        <v>1.12</v>
      </c>
      <c r="C129" t="n">
        <v>1.04</v>
      </c>
      <c r="D129" t="n">
        <v>1.09</v>
      </c>
      <c r="E129" t="n">
        <v>-5.25</v>
      </c>
      <c r="F129" t="n">
        <v>-0.75</v>
      </c>
      <c r="G129" t="n">
        <v>173</v>
      </c>
      <c r="H129" t="n">
        <v>12</v>
      </c>
      <c r="I129" t="s">
        <v>212</v>
      </c>
      <c r="J129" t="n">
        <v>0</v>
      </c>
      <c r="K129" t="n">
        <v>0</v>
      </c>
      <c r="L129" t="n">
        <v>0</v>
      </c>
      <c r="M129" t="n">
        <v>12</v>
      </c>
      <c r="N129" t="n">
        <v>1</v>
      </c>
      <c r="O129" t="n">
        <v>-0.25</v>
      </c>
      <c r="P129" t="n">
        <v>162</v>
      </c>
      <c r="Q129" t="n">
        <v>12</v>
      </c>
      <c r="R129" t="s">
        <v>212</v>
      </c>
      <c r="S129" t="s">
        <v>207</v>
      </c>
      <c r="T129" t="n">
        <v>0.75</v>
      </c>
    </row>
    <row r="130">
      <c r="A130" t="s">
        <v>30</v>
      </c>
      <c r="B130" t="n">
        <v>1.11</v>
      </c>
      <c r="C130" t="n">
        <v>1.14</v>
      </c>
      <c r="D130" t="n">
        <v>1.12</v>
      </c>
      <c r="E130" t="n">
        <v>-3.25</v>
      </c>
      <c r="F130" t="n">
        <v>-0.5</v>
      </c>
      <c r="G130" t="n">
        <v>11</v>
      </c>
      <c r="H130" t="n">
        <v>12</v>
      </c>
      <c r="I130" t="s">
        <v>212</v>
      </c>
      <c r="J130" t="n">
        <v>0</v>
      </c>
      <c r="K130" t="n">
        <v>0</v>
      </c>
      <c r="L130" t="n">
        <v>0</v>
      </c>
      <c r="M130" t="n">
        <v>12</v>
      </c>
      <c r="N130" t="n">
        <v>0</v>
      </c>
      <c r="O130" t="n">
        <v>-0.25</v>
      </c>
      <c r="P130" t="n">
        <v>2</v>
      </c>
      <c r="Q130" t="n">
        <v>12</v>
      </c>
      <c r="R130" t="s">
        <v>212</v>
      </c>
      <c r="S130" t="s">
        <v>216</v>
      </c>
      <c r="T130" t="n">
        <v>0</v>
      </c>
    </row>
    <row r="131">
      <c r="A131" t="s">
        <v>30</v>
      </c>
      <c r="B131" t="n">
        <v>1.05</v>
      </c>
      <c r="C131" t="n">
        <v>1.07</v>
      </c>
      <c r="D131" t="n">
        <v>1.08</v>
      </c>
      <c r="E131" t="n">
        <v>-4</v>
      </c>
      <c r="F131" t="n">
        <v>-0.25</v>
      </c>
      <c r="G131" t="n">
        <v>166</v>
      </c>
      <c r="H131" t="n">
        <v>12</v>
      </c>
      <c r="I131" t="s">
        <v>207</v>
      </c>
      <c r="J131" t="n">
        <v>0</v>
      </c>
      <c r="K131" t="n">
        <v>0</v>
      </c>
      <c r="L131" t="n">
        <v>0</v>
      </c>
      <c r="M131" t="n">
        <v>12</v>
      </c>
      <c r="N131" t="n">
        <v>0</v>
      </c>
      <c r="O131" t="n">
        <v>-0.5</v>
      </c>
      <c r="P131" t="n">
        <v>1</v>
      </c>
      <c r="Q131" t="n">
        <v>12</v>
      </c>
      <c r="R131" t="s">
        <v>212</v>
      </c>
      <c r="S131" t="s">
        <v>207</v>
      </c>
      <c r="T131" t="n">
        <v>-0.25</v>
      </c>
    </row>
    <row r="132">
      <c r="A132" t="s">
        <v>30</v>
      </c>
      <c r="B132" t="n">
        <v>1</v>
      </c>
      <c r="C132" t="n">
        <v>0.76</v>
      </c>
      <c r="D132" t="n">
        <v>0.9</v>
      </c>
      <c r="E132" t="n">
        <v>-5</v>
      </c>
      <c r="F132" t="n">
        <v>-0.5</v>
      </c>
      <c r="G132" t="n">
        <v>98</v>
      </c>
      <c r="H132" t="n">
        <v>12</v>
      </c>
      <c r="I132" t="s">
        <v>208</v>
      </c>
      <c r="J132" t="n">
        <v>0</v>
      </c>
      <c r="K132" t="n">
        <v>0</v>
      </c>
      <c r="L132" t="n">
        <v>0</v>
      </c>
      <c r="M132" t="n">
        <v>12</v>
      </c>
      <c r="N132" t="n">
        <v>0</v>
      </c>
      <c r="O132" t="n">
        <v>-0.5</v>
      </c>
      <c r="P132" t="n">
        <v>125</v>
      </c>
      <c r="Q132" t="n">
        <v>12</v>
      </c>
      <c r="R132" t="s">
        <v>210</v>
      </c>
      <c r="S132" t="s">
        <v>220</v>
      </c>
      <c r="T132" t="n">
        <v>-0.25</v>
      </c>
    </row>
    <row r="133">
      <c r="A133" t="s">
        <v>30</v>
      </c>
      <c r="B133" t="n">
        <v>1.13</v>
      </c>
      <c r="C133" t="n">
        <v>1.17</v>
      </c>
      <c r="D133" t="n">
        <v>1.15</v>
      </c>
      <c r="E133" t="n">
        <v>0</v>
      </c>
      <c r="F133" t="n">
        <v>-1.5</v>
      </c>
      <c r="G133" t="n">
        <v>6</v>
      </c>
      <c r="H133" t="n">
        <v>12</v>
      </c>
      <c r="I133" t="s">
        <v>216</v>
      </c>
      <c r="J133" t="n">
        <v>0</v>
      </c>
      <c r="K133" t="n">
        <v>0</v>
      </c>
      <c r="L133" t="n">
        <v>0</v>
      </c>
      <c r="M133" t="n">
        <v>12</v>
      </c>
      <c r="N133" t="n">
        <v>0.5</v>
      </c>
      <c r="O133" t="n">
        <v>-0.25</v>
      </c>
      <c r="P133" t="n">
        <v>18</v>
      </c>
      <c r="Q133" t="n">
        <v>12</v>
      </c>
      <c r="R133" t="s">
        <v>216</v>
      </c>
      <c r="S133" t="s">
        <v>216</v>
      </c>
      <c r="T133" t="n">
        <v>0.25</v>
      </c>
    </row>
    <row r="134">
      <c r="A134" t="s">
        <v>30</v>
      </c>
      <c r="B134" t="n">
        <v>1</v>
      </c>
      <c r="C134" t="n">
        <v>1</v>
      </c>
      <c r="D134" t="n">
        <v>1.05</v>
      </c>
      <c r="E134" t="n">
        <v>-1.75</v>
      </c>
      <c r="F134" t="n">
        <v>-0.5</v>
      </c>
      <c r="G134" t="n">
        <v>76</v>
      </c>
      <c r="H134" t="n">
        <v>12</v>
      </c>
      <c r="I134" t="s">
        <v>208</v>
      </c>
      <c r="J134" t="n">
        <v>0</v>
      </c>
      <c r="K134" t="n">
        <v>0</v>
      </c>
      <c r="L134" t="n">
        <v>0</v>
      </c>
      <c r="M134" t="n">
        <v>12</v>
      </c>
      <c r="N134" t="n">
        <v>0.25</v>
      </c>
      <c r="O134" t="n">
        <v>0</v>
      </c>
      <c r="P134" t="n">
        <v>34</v>
      </c>
      <c r="Q134" t="n">
        <v>12</v>
      </c>
      <c r="R134" t="s">
        <v>207</v>
      </c>
      <c r="S134" t="s">
        <v>208</v>
      </c>
      <c r="T134" t="n">
        <v>0.25</v>
      </c>
    </row>
    <row r="135">
      <c r="A135" t="s">
        <v>30</v>
      </c>
      <c r="B135" t="n">
        <v>1.1</v>
      </c>
      <c r="C135" t="n">
        <v>1.01</v>
      </c>
      <c r="D135" t="n">
        <v>1.05</v>
      </c>
      <c r="E135" t="n">
        <v>-3.75</v>
      </c>
      <c r="F135" t="n">
        <v>-1</v>
      </c>
      <c r="G135" t="n">
        <v>13</v>
      </c>
      <c r="H135" t="n">
        <v>12</v>
      </c>
      <c r="I135" t="s">
        <v>212</v>
      </c>
      <c r="J135" t="n">
        <v>0</v>
      </c>
      <c r="K135" t="n">
        <v>0</v>
      </c>
      <c r="L135" t="n">
        <v>0</v>
      </c>
      <c r="M135" t="n">
        <v>12</v>
      </c>
      <c r="N135" t="n">
        <v>0</v>
      </c>
      <c r="O135" t="n">
        <v>-0.25</v>
      </c>
      <c r="P135" t="n">
        <v>16</v>
      </c>
      <c r="Q135" t="n">
        <v>12</v>
      </c>
      <c r="R135" t="s">
        <v>207</v>
      </c>
      <c r="S135" t="s">
        <v>208</v>
      </c>
      <c r="T135" t="n">
        <v>0</v>
      </c>
    </row>
    <row r="136">
      <c r="A136" t="s">
        <v>30</v>
      </c>
      <c r="B136" t="n">
        <v>1</v>
      </c>
      <c r="C136" t="n">
        <v>0.99</v>
      </c>
      <c r="D136" t="n">
        <v>0.99</v>
      </c>
      <c r="E136" t="n">
        <v>-4.25</v>
      </c>
      <c r="F136" t="n">
        <v>0</v>
      </c>
      <c r="G136" t="n">
        <v>95</v>
      </c>
      <c r="H136" t="n">
        <v>12</v>
      </c>
      <c r="I136" t="s">
        <v>208</v>
      </c>
      <c r="J136" t="n">
        <v>0</v>
      </c>
      <c r="K136" t="n">
        <v>0</v>
      </c>
      <c r="L136" t="n">
        <v>0</v>
      </c>
      <c r="M136" t="n">
        <v>12</v>
      </c>
      <c r="N136" t="n">
        <v>0.25</v>
      </c>
      <c r="O136" t="n">
        <v>0</v>
      </c>
      <c r="P136" t="n">
        <v>114</v>
      </c>
      <c r="Q136" t="n">
        <v>12</v>
      </c>
      <c r="R136" t="s">
        <v>208</v>
      </c>
      <c r="S136" t="s">
        <v>208</v>
      </c>
      <c r="T136" t="n">
        <v>0.25</v>
      </c>
    </row>
    <row r="137">
      <c r="A137" t="s">
        <v>30</v>
      </c>
      <c r="B137" t="n">
        <v>1.07</v>
      </c>
      <c r="C137" t="n">
        <v>1.1</v>
      </c>
      <c r="D137" t="n">
        <v>1.05</v>
      </c>
      <c r="E137" t="n">
        <v>-4</v>
      </c>
      <c r="F137" t="n">
        <v>-1.25</v>
      </c>
      <c r="G137" t="n">
        <v>169</v>
      </c>
      <c r="H137" t="n">
        <v>12</v>
      </c>
      <c r="I137" t="s">
        <v>207</v>
      </c>
      <c r="J137" t="n">
        <v>0</v>
      </c>
      <c r="K137" t="n">
        <v>0</v>
      </c>
      <c r="L137" t="n">
        <v>0</v>
      </c>
      <c r="M137" t="n">
        <v>12</v>
      </c>
      <c r="N137" t="n">
        <v>0</v>
      </c>
      <c r="O137" t="n">
        <v>-0.25</v>
      </c>
      <c r="P137" t="n">
        <v>176</v>
      </c>
      <c r="Q137" t="n">
        <v>12</v>
      </c>
      <c r="R137" t="s">
        <v>207</v>
      </c>
      <c r="S137" t="s">
        <v>212</v>
      </c>
      <c r="T137" t="n">
        <v>0</v>
      </c>
    </row>
    <row r="138">
      <c r="A138" t="s">
        <v>30</v>
      </c>
      <c r="B138" t="n">
        <v>1.1</v>
      </c>
      <c r="C138" t="n">
        <v>0.97</v>
      </c>
      <c r="D138" t="n">
        <v>1.13</v>
      </c>
      <c r="E138" t="n">
        <v>-0.75</v>
      </c>
      <c r="F138" t="n">
        <v>-1.25</v>
      </c>
      <c r="G138" t="n">
        <v>22</v>
      </c>
      <c r="H138" t="n">
        <v>12</v>
      </c>
      <c r="I138" t="s">
        <v>212</v>
      </c>
      <c r="J138" t="n">
        <v>0</v>
      </c>
      <c r="K138" t="n">
        <v>0</v>
      </c>
      <c r="L138" t="n">
        <v>0</v>
      </c>
      <c r="M138" t="n">
        <v>12</v>
      </c>
      <c r="N138" t="n">
        <v>0.5</v>
      </c>
      <c r="O138" t="n">
        <v>-0.25</v>
      </c>
      <c r="P138" t="n">
        <v>33</v>
      </c>
      <c r="Q138" t="n">
        <v>12</v>
      </c>
      <c r="R138" t="s">
        <v>216</v>
      </c>
      <c r="S138" t="s">
        <v>209</v>
      </c>
      <c r="T138" t="n">
        <v>0.25</v>
      </c>
    </row>
    <row r="139">
      <c r="A139" t="s">
        <v>30</v>
      </c>
      <c r="B139" t="n">
        <v>0.94</v>
      </c>
      <c r="C139" t="n">
        <v>0.96</v>
      </c>
      <c r="D139" t="n">
        <v>0.95</v>
      </c>
      <c r="E139" t="n">
        <v>-3</v>
      </c>
      <c r="F139" t="n">
        <v>-2.75</v>
      </c>
      <c r="G139" t="n">
        <v>0</v>
      </c>
      <c r="H139" t="n">
        <v>12</v>
      </c>
      <c r="I139" t="s">
        <v>209</v>
      </c>
      <c r="J139" t="n">
        <v>0</v>
      </c>
      <c r="K139" t="n">
        <v>0</v>
      </c>
      <c r="L139" t="n">
        <v>0</v>
      </c>
      <c r="M139" t="n">
        <v>12</v>
      </c>
      <c r="N139" t="n">
        <v>0</v>
      </c>
      <c r="O139" t="n">
        <v>-0.5</v>
      </c>
      <c r="P139" t="n">
        <v>155</v>
      </c>
      <c r="Q139" t="n">
        <v>12</v>
      </c>
      <c r="R139" t="s">
        <v>209</v>
      </c>
      <c r="S139" t="s">
        <v>209</v>
      </c>
      <c r="T139" t="n">
        <v>-0.25</v>
      </c>
    </row>
    <row r="140">
      <c r="A140" t="s">
        <v>30</v>
      </c>
      <c r="B140" t="n">
        <v>1.02</v>
      </c>
      <c r="C140" t="n">
        <v>1.04</v>
      </c>
      <c r="D140" t="n">
        <v>1.03</v>
      </c>
      <c r="E140" t="n">
        <v>-2.25</v>
      </c>
      <c r="F140" t="n">
        <v>-0.5</v>
      </c>
      <c r="G140" t="n">
        <v>86</v>
      </c>
      <c r="H140" t="n">
        <v>12</v>
      </c>
      <c r="I140" t="s">
        <v>208</v>
      </c>
      <c r="J140" t="n">
        <v>0</v>
      </c>
      <c r="K140" t="n">
        <v>0</v>
      </c>
      <c r="L140" t="n">
        <v>0</v>
      </c>
      <c r="M140" t="n">
        <v>12</v>
      </c>
      <c r="N140" t="n">
        <v>0</v>
      </c>
      <c r="O140" t="n">
        <v>-0.25</v>
      </c>
      <c r="P140" t="n">
        <v>118</v>
      </c>
      <c r="Q140" t="n">
        <v>12</v>
      </c>
      <c r="R140" t="s">
        <v>207</v>
      </c>
      <c r="S140" t="s">
        <v>207</v>
      </c>
      <c r="T140" t="n">
        <v>0</v>
      </c>
    </row>
    <row r="141">
      <c r="A141" t="s">
        <v>30</v>
      </c>
      <c r="B141" t="n">
        <v>0.98</v>
      </c>
      <c r="C141" t="n">
        <v>0.9</v>
      </c>
      <c r="D141" t="n">
        <v>0.95</v>
      </c>
      <c r="E141" t="n">
        <v>-5.5</v>
      </c>
      <c r="F141" t="n">
        <v>-0.25</v>
      </c>
      <c r="G141" t="n">
        <v>157</v>
      </c>
      <c r="H141" t="n">
        <v>12</v>
      </c>
      <c r="I141" t="s">
        <v>208</v>
      </c>
      <c r="J141" t="n">
        <v>0</v>
      </c>
      <c r="K141" t="n">
        <v>0</v>
      </c>
      <c r="L141" t="n">
        <v>0</v>
      </c>
      <c r="M141" t="n">
        <v>12</v>
      </c>
      <c r="N141" t="n">
        <v>0.25</v>
      </c>
      <c r="O141" t="n">
        <v>0</v>
      </c>
      <c r="P141" t="n">
        <v>156</v>
      </c>
      <c r="Q141" t="n">
        <v>12</v>
      </c>
      <c r="R141" t="s">
        <v>209</v>
      </c>
      <c r="S141" t="s">
        <v>210</v>
      </c>
      <c r="T141" t="n">
        <v>0.25</v>
      </c>
    </row>
    <row r="142">
      <c r="A142" t="s">
        <v>30</v>
      </c>
      <c r="B142" t="n">
        <v>1.09</v>
      </c>
      <c r="C142" t="n">
        <v>1.19</v>
      </c>
      <c r="D142" t="n">
        <v>1.17</v>
      </c>
      <c r="E142" t="n">
        <v>-3</v>
      </c>
      <c r="F142" t="n">
        <v>-1.5</v>
      </c>
      <c r="G142" t="n">
        <v>171</v>
      </c>
      <c r="H142" t="n">
        <v>12</v>
      </c>
      <c r="I142" t="s">
        <v>212</v>
      </c>
      <c r="J142" t="n">
        <v>0</v>
      </c>
      <c r="K142" t="n">
        <v>0</v>
      </c>
      <c r="L142" t="n">
        <v>0</v>
      </c>
      <c r="M142" t="n">
        <v>12</v>
      </c>
      <c r="N142" t="n">
        <v>0.5</v>
      </c>
      <c r="O142" t="n">
        <v>0</v>
      </c>
      <c r="P142" t="n">
        <v>9</v>
      </c>
      <c r="Q142" t="n">
        <v>12</v>
      </c>
      <c r="R142" t="s">
        <v>216</v>
      </c>
      <c r="S142" t="s">
        <v>213</v>
      </c>
      <c r="T142" t="n">
        <v>0.5</v>
      </c>
    </row>
    <row r="143">
      <c r="A143" t="s">
        <v>30</v>
      </c>
      <c r="B143" t="n">
        <v>0.95</v>
      </c>
      <c r="C143" t="n">
        <v>1.01</v>
      </c>
      <c r="D143" t="n">
        <v>0.97</v>
      </c>
      <c r="E143" t="n">
        <v>-2.25</v>
      </c>
      <c r="F143" t="n">
        <v>-2.25</v>
      </c>
      <c r="G143" t="n">
        <v>170</v>
      </c>
      <c r="H143" t="n">
        <v>12</v>
      </c>
      <c r="I143" t="s">
        <v>209</v>
      </c>
      <c r="J143" t="n">
        <v>0</v>
      </c>
      <c r="K143" t="n">
        <v>0</v>
      </c>
      <c r="L143" t="n">
        <v>0</v>
      </c>
      <c r="M143" t="n">
        <v>12</v>
      </c>
      <c r="N143" t="n">
        <v>0</v>
      </c>
      <c r="O143" t="n">
        <v>-0.25</v>
      </c>
      <c r="P143" t="n">
        <v>175</v>
      </c>
      <c r="Q143" t="n">
        <v>12</v>
      </c>
      <c r="R143" t="s">
        <v>209</v>
      </c>
      <c r="S143" t="s">
        <v>208</v>
      </c>
      <c r="T143" t="n">
        <v>0</v>
      </c>
    </row>
    <row r="144">
      <c r="A144" t="s">
        <v>30</v>
      </c>
      <c r="B144" t="n">
        <v>0.99</v>
      </c>
      <c r="C144" t="n">
        <v>0.84</v>
      </c>
      <c r="D144" t="n">
        <v>0.95</v>
      </c>
      <c r="E144" t="n">
        <v>-1.25</v>
      </c>
      <c r="F144" t="n">
        <v>-0.5</v>
      </c>
      <c r="G144" t="n">
        <v>109</v>
      </c>
      <c r="H144" t="n">
        <v>12</v>
      </c>
      <c r="I144" t="s">
        <v>208</v>
      </c>
      <c r="J144" t="n">
        <v>0</v>
      </c>
      <c r="K144" t="n">
        <v>0</v>
      </c>
      <c r="L144" t="n">
        <v>0</v>
      </c>
      <c r="M144" t="n">
        <v>12</v>
      </c>
      <c r="N144" t="n">
        <v>0</v>
      </c>
      <c r="O144" t="n">
        <v>-0.25</v>
      </c>
      <c r="P144" t="n">
        <v>120</v>
      </c>
      <c r="Q144" t="n">
        <v>12</v>
      </c>
      <c r="R144" t="s">
        <v>209</v>
      </c>
      <c r="S144" t="s">
        <v>217</v>
      </c>
      <c r="T144" t="n">
        <v>-0.25</v>
      </c>
    </row>
    <row r="145">
      <c r="A145" t="s">
        <v>30</v>
      </c>
      <c r="B145" t="n">
        <v>1</v>
      </c>
      <c r="C145" t="n">
        <v>1.03</v>
      </c>
      <c r="D145" t="n">
        <v>1.06</v>
      </c>
      <c r="E145" t="n">
        <v>-7.5</v>
      </c>
      <c r="F145" t="n">
        <v>-0.25</v>
      </c>
      <c r="G145" t="n">
        <v>172</v>
      </c>
      <c r="H145" t="n">
        <v>12</v>
      </c>
      <c r="I145" t="s">
        <v>208</v>
      </c>
      <c r="J145" t="n">
        <v>0</v>
      </c>
      <c r="K145" t="n">
        <v>0</v>
      </c>
      <c r="L145" t="n">
        <v>0</v>
      </c>
      <c r="M145" t="n">
        <v>12</v>
      </c>
      <c r="N145" t="n">
        <v>-0.5</v>
      </c>
      <c r="O145" t="n">
        <v>-0.25</v>
      </c>
      <c r="P145" t="n">
        <v>165</v>
      </c>
      <c r="Q145" t="n">
        <v>12</v>
      </c>
      <c r="R145" t="s">
        <v>207</v>
      </c>
      <c r="S145" t="s">
        <v>207</v>
      </c>
      <c r="T145" t="n">
        <v>-0.5</v>
      </c>
    </row>
    <row r="146">
      <c r="A146" t="s">
        <v>30</v>
      </c>
      <c r="B146" t="n">
        <v>1</v>
      </c>
      <c r="C146" t="n">
        <v>1.02</v>
      </c>
      <c r="D146" t="n">
        <v>1.02</v>
      </c>
      <c r="E146" t="n">
        <v>-4</v>
      </c>
      <c r="F146" t="n">
        <v>-0.25</v>
      </c>
      <c r="G146" t="n">
        <v>85</v>
      </c>
      <c r="H146" t="n">
        <v>12</v>
      </c>
      <c r="I146" t="s">
        <v>208</v>
      </c>
      <c r="J146" t="n">
        <v>0</v>
      </c>
      <c r="K146" t="n">
        <v>0</v>
      </c>
      <c r="L146" t="n">
        <v>0</v>
      </c>
      <c r="M146" t="n">
        <v>12</v>
      </c>
      <c r="N146" t="n">
        <v>-0.5</v>
      </c>
      <c r="O146" t="n">
        <v>0</v>
      </c>
      <c r="P146" t="n">
        <v>63</v>
      </c>
      <c r="Q146" t="n">
        <v>12</v>
      </c>
      <c r="R146" t="s">
        <v>208</v>
      </c>
      <c r="S146" t="s">
        <v>208</v>
      </c>
      <c r="T146" t="n">
        <v>-0.5</v>
      </c>
    </row>
    <row r="147">
      <c r="A147" t="s">
        <v>30</v>
      </c>
      <c r="B147" t="n">
        <v>0.98</v>
      </c>
      <c r="C147" t="n">
        <v>1.01</v>
      </c>
      <c r="D147" t="n">
        <v>0.99</v>
      </c>
      <c r="E147" t="n">
        <v>-4</v>
      </c>
      <c r="F147" t="n">
        <v>-0.25</v>
      </c>
      <c r="G147" t="n">
        <v>170</v>
      </c>
      <c r="H147" t="n">
        <v>12</v>
      </c>
      <c r="I147" t="s">
        <v>208</v>
      </c>
      <c r="J147" t="n">
        <v>0</v>
      </c>
      <c r="K147" t="n">
        <v>0</v>
      </c>
      <c r="L147" t="n">
        <v>0</v>
      </c>
      <c r="M147" t="n">
        <v>12</v>
      </c>
      <c r="N147" t="n">
        <v>0</v>
      </c>
      <c r="O147" t="n">
        <v>0</v>
      </c>
      <c r="P147" t="n">
        <v>157</v>
      </c>
      <c r="Q147" t="n">
        <v>12</v>
      </c>
      <c r="R147" t="s">
        <v>208</v>
      </c>
      <c r="S147" t="s">
        <v>208</v>
      </c>
      <c r="T147" t="n">
        <v>0</v>
      </c>
    </row>
    <row r="148">
      <c r="A148" t="s">
        <v>30</v>
      </c>
      <c r="B148" t="n">
        <v>0.88</v>
      </c>
      <c r="C148" t="n">
        <v>0.84</v>
      </c>
      <c r="D148" t="n">
        <v>0.86</v>
      </c>
      <c r="E148" t="n">
        <v>-0.5</v>
      </c>
      <c r="F148" t="n">
        <v>-0.5</v>
      </c>
      <c r="G148" t="n">
        <v>18</v>
      </c>
      <c r="H148" t="n">
        <v>12</v>
      </c>
      <c r="I148" t="s">
        <v>219</v>
      </c>
      <c r="J148" t="n">
        <v>0</v>
      </c>
      <c r="K148" t="n">
        <v>0</v>
      </c>
      <c r="L148" t="n">
        <v>0</v>
      </c>
      <c r="M148" t="n">
        <v>12</v>
      </c>
      <c r="N148" t="n">
        <v>0</v>
      </c>
      <c r="O148" t="n">
        <v>-0.5</v>
      </c>
      <c r="P148" t="n">
        <v>43</v>
      </c>
      <c r="Q148" t="n">
        <v>12</v>
      </c>
      <c r="R148" t="s">
        <v>219</v>
      </c>
      <c r="S148" t="s">
        <v>217</v>
      </c>
      <c r="T148" t="n">
        <v>-0.25</v>
      </c>
    </row>
    <row r="149">
      <c r="A149" t="s">
        <v>30</v>
      </c>
      <c r="B149" t="n">
        <v>1.11</v>
      </c>
      <c r="C149" t="n">
        <v>1.03</v>
      </c>
      <c r="D149" t="n">
        <v>1.06</v>
      </c>
      <c r="E149" t="n">
        <v>-5.25</v>
      </c>
      <c r="F149" t="n">
        <v>-2.25</v>
      </c>
      <c r="G149" t="n">
        <v>82</v>
      </c>
      <c r="H149" t="n">
        <v>12</v>
      </c>
      <c r="I149" t="s">
        <v>212</v>
      </c>
      <c r="J149" t="n">
        <v>0</v>
      </c>
      <c r="K149" t="n">
        <v>0</v>
      </c>
      <c r="L149" t="n">
        <v>0</v>
      </c>
      <c r="M149" t="n">
        <v>12</v>
      </c>
      <c r="N149" t="n">
        <v>0</v>
      </c>
      <c r="O149" t="n">
        <v>-0.5</v>
      </c>
      <c r="P149" t="n">
        <v>54</v>
      </c>
      <c r="Q149" t="n">
        <v>12</v>
      </c>
      <c r="R149" t="s">
        <v>207</v>
      </c>
      <c r="S149" t="s">
        <v>207</v>
      </c>
      <c r="T149" t="n">
        <v>-0.25</v>
      </c>
    </row>
    <row r="150">
      <c r="A150" t="s">
        <v>30</v>
      </c>
      <c r="B150" t="n">
        <v>1.11</v>
      </c>
      <c r="C150" t="n">
        <v>1.17</v>
      </c>
      <c r="D150" t="n">
        <v>1.16</v>
      </c>
      <c r="E150" t="n">
        <v>-6</v>
      </c>
      <c r="F150" t="n">
        <v>-0.25</v>
      </c>
      <c r="G150" t="n">
        <v>94</v>
      </c>
      <c r="H150" t="n">
        <v>12</v>
      </c>
      <c r="I150" t="s">
        <v>212</v>
      </c>
      <c r="J150" t="n">
        <v>0</v>
      </c>
      <c r="K150" t="n">
        <v>0</v>
      </c>
      <c r="L150" t="n">
        <v>0</v>
      </c>
      <c r="M150" t="n">
        <v>12</v>
      </c>
      <c r="N150" t="n">
        <v>0</v>
      </c>
      <c r="O150" t="n">
        <v>0</v>
      </c>
      <c r="P150" t="n">
        <v>59</v>
      </c>
      <c r="Q150" t="n">
        <v>12</v>
      </c>
      <c r="R150" t="s">
        <v>216</v>
      </c>
      <c r="S150" t="s">
        <v>216</v>
      </c>
      <c r="T150" t="n">
        <v>0</v>
      </c>
    </row>
    <row r="151">
      <c r="A151" t="s">
        <v>30</v>
      </c>
      <c r="B151" t="n">
        <v>1.13</v>
      </c>
      <c r="C151" t="n">
        <v>1.13</v>
      </c>
      <c r="D151" t="n">
        <v>1.13</v>
      </c>
      <c r="E151" t="n">
        <v>-5.25</v>
      </c>
      <c r="F151" t="n">
        <v>-0.75</v>
      </c>
      <c r="G151" t="n">
        <v>54</v>
      </c>
      <c r="H151" t="n">
        <v>12</v>
      </c>
      <c r="I151" t="s">
        <v>216</v>
      </c>
      <c r="J151" t="n">
        <v>0</v>
      </c>
      <c r="K151" t="n">
        <v>0</v>
      </c>
      <c r="L151" t="n">
        <v>0</v>
      </c>
      <c r="M151" t="n">
        <v>12</v>
      </c>
      <c r="N151" t="n">
        <v>-0.25</v>
      </c>
      <c r="O151" t="n">
        <v>0</v>
      </c>
      <c r="P151" t="n">
        <v>167</v>
      </c>
      <c r="Q151" t="n">
        <v>12</v>
      </c>
      <c r="R151" t="s">
        <v>216</v>
      </c>
      <c r="S151" t="s">
        <v>216</v>
      </c>
      <c r="T151" t="n">
        <v>-0.25</v>
      </c>
    </row>
    <row r="152">
      <c r="A152" t="s">
        <v>30</v>
      </c>
      <c r="B152" t="n">
        <v>1.02</v>
      </c>
      <c r="C152" t="n">
        <v>1.2</v>
      </c>
      <c r="D152" t="n">
        <v>1.03</v>
      </c>
      <c r="E152" t="n">
        <v>-4.25</v>
      </c>
      <c r="F152" t="n">
        <v>-0.5</v>
      </c>
      <c r="G152" t="n">
        <v>177</v>
      </c>
      <c r="H152" t="n">
        <v>12</v>
      </c>
      <c r="I152" t="s">
        <v>208</v>
      </c>
      <c r="J152" t="n">
        <v>0</v>
      </c>
      <c r="K152" t="n">
        <v>0</v>
      </c>
      <c r="L152" t="n">
        <v>0</v>
      </c>
      <c r="M152" t="n">
        <v>12</v>
      </c>
      <c r="N152" t="n">
        <v>0.5</v>
      </c>
      <c r="O152" t="n">
        <v>-0.25</v>
      </c>
      <c r="P152" t="n">
        <v>3</v>
      </c>
      <c r="Q152" t="n">
        <v>12</v>
      </c>
      <c r="R152" t="s">
        <v>207</v>
      </c>
      <c r="S152" t="s">
        <v>213</v>
      </c>
      <c r="T152" t="n">
        <v>0.25</v>
      </c>
    </row>
    <row r="153">
      <c r="A153" t="s">
        <v>30</v>
      </c>
      <c r="B153" t="n">
        <v>1</v>
      </c>
      <c r="C153" t="n">
        <v>1.08</v>
      </c>
      <c r="D153" t="n">
        <v>0.99</v>
      </c>
      <c r="E153" t="n">
        <v>-0.5</v>
      </c>
      <c r="F153" t="n">
        <v>-1</v>
      </c>
      <c r="G153" t="n">
        <v>1</v>
      </c>
      <c r="H153" t="n">
        <v>12</v>
      </c>
      <c r="I153" t="s">
        <v>208</v>
      </c>
      <c r="J153" t="n">
        <v>0</v>
      </c>
      <c r="K153" t="n">
        <v>0</v>
      </c>
      <c r="L153" t="n">
        <v>0</v>
      </c>
      <c r="M153" t="n">
        <v>12</v>
      </c>
      <c r="N153" t="n">
        <v>0.25</v>
      </c>
      <c r="O153" t="n">
        <v>0</v>
      </c>
      <c r="P153" t="n">
        <v>110</v>
      </c>
      <c r="Q153" t="n">
        <v>12</v>
      </c>
      <c r="R153" t="s">
        <v>208</v>
      </c>
      <c r="S153" t="s">
        <v>212</v>
      </c>
      <c r="T153" t="n">
        <v>0.25</v>
      </c>
    </row>
    <row r="154">
      <c r="A154" t="s">
        <v>30</v>
      </c>
      <c r="B154" t="n">
        <v>0.93</v>
      </c>
      <c r="C154" t="n">
        <v>0.95</v>
      </c>
      <c r="D154" t="n">
        <v>0.92</v>
      </c>
      <c r="E154" t="n">
        <v>-2</v>
      </c>
      <c r="F154" t="n">
        <v>-0.25</v>
      </c>
      <c r="G154" t="n">
        <v>40</v>
      </c>
      <c r="H154" t="n">
        <v>12</v>
      </c>
      <c r="I154" t="s">
        <v>210</v>
      </c>
      <c r="J154" t="n">
        <v>0</v>
      </c>
      <c r="K154" t="n">
        <v>0</v>
      </c>
      <c r="L154" t="n">
        <v>0</v>
      </c>
      <c r="M154" t="n">
        <v>12</v>
      </c>
      <c r="N154" t="n">
        <v>-0.25</v>
      </c>
      <c r="O154" t="n">
        <v>0</v>
      </c>
      <c r="P154" t="n">
        <v>17</v>
      </c>
      <c r="Q154" t="n">
        <v>12</v>
      </c>
      <c r="R154" t="s">
        <v>210</v>
      </c>
      <c r="S154" t="s">
        <v>209</v>
      </c>
      <c r="T154" t="n">
        <v>-0.25</v>
      </c>
    </row>
    <row r="155">
      <c r="A155" t="s">
        <v>30</v>
      </c>
      <c r="B155" t="n">
        <v>0.94</v>
      </c>
      <c r="C155" t="n">
        <v>0.79</v>
      </c>
      <c r="D155" t="n">
        <v>0.84</v>
      </c>
      <c r="E155" t="n">
        <v>-1.5</v>
      </c>
      <c r="F155" t="n">
        <v>-0.25</v>
      </c>
      <c r="G155" t="n">
        <v>8</v>
      </c>
      <c r="H155" t="n">
        <v>12</v>
      </c>
      <c r="I155" t="s">
        <v>209</v>
      </c>
      <c r="J155" t="n">
        <v>0</v>
      </c>
      <c r="K155" t="n">
        <v>0</v>
      </c>
      <c r="L155" t="n">
        <v>0</v>
      </c>
      <c r="M155" t="n">
        <v>12</v>
      </c>
      <c r="N155" t="n">
        <v>0</v>
      </c>
      <c r="O155" t="n">
        <v>-0.25</v>
      </c>
      <c r="P155" t="n">
        <v>33</v>
      </c>
      <c r="Q155" t="n">
        <v>12</v>
      </c>
      <c r="R155" t="s">
        <v>217</v>
      </c>
      <c r="S155" t="s">
        <v>211</v>
      </c>
      <c r="T155" t="n">
        <v>-0.25</v>
      </c>
    </row>
    <row r="156">
      <c r="A156" t="s">
        <v>30</v>
      </c>
      <c r="B156" t="n">
        <v>1.02</v>
      </c>
      <c r="C156" t="n">
        <v>1.01</v>
      </c>
      <c r="D156" t="n">
        <v>1.06</v>
      </c>
      <c r="E156" t="n">
        <v>-3.25</v>
      </c>
      <c r="F156" t="n">
        <v>-0.75</v>
      </c>
      <c r="G156" t="n">
        <v>91</v>
      </c>
      <c r="H156" t="n">
        <v>12</v>
      </c>
      <c r="I156" t="s">
        <v>208</v>
      </c>
      <c r="J156" t="n">
        <v>0</v>
      </c>
      <c r="K156" t="n">
        <v>0</v>
      </c>
      <c r="L156" t="n">
        <v>0</v>
      </c>
      <c r="M156" t="n">
        <v>12</v>
      </c>
      <c r="N156" t="n">
        <v>0.5</v>
      </c>
      <c r="O156" t="n">
        <v>-0.25</v>
      </c>
      <c r="P156" t="n">
        <v>94</v>
      </c>
      <c r="Q156" t="n">
        <v>12</v>
      </c>
      <c r="R156" t="s">
        <v>207</v>
      </c>
      <c r="S156" t="s">
        <v>208</v>
      </c>
      <c r="T156" t="n">
        <v>0.25</v>
      </c>
    </row>
    <row r="157">
      <c r="A157" t="s">
        <v>30</v>
      </c>
      <c r="B157" t="n">
        <v>1.23</v>
      </c>
      <c r="C157" t="n">
        <v>1.18</v>
      </c>
      <c r="D157" t="n">
        <v>1.18</v>
      </c>
      <c r="E157" t="n">
        <v>-0.75</v>
      </c>
      <c r="F157" t="n">
        <v>0</v>
      </c>
      <c r="G157" t="n">
        <v>169</v>
      </c>
      <c r="H157" t="n">
        <v>12</v>
      </c>
      <c r="I157" t="s">
        <v>213</v>
      </c>
      <c r="J157" t="n">
        <v>0</v>
      </c>
      <c r="K157" t="n">
        <v>0</v>
      </c>
      <c r="L157" t="n">
        <v>0</v>
      </c>
      <c r="M157" t="n">
        <v>12</v>
      </c>
      <c r="N157" t="n">
        <v>-0.25</v>
      </c>
      <c r="O157" t="n">
        <v>0</v>
      </c>
      <c r="P157" t="n">
        <v>145</v>
      </c>
      <c r="Q157" t="n">
        <v>12</v>
      </c>
      <c r="R157" t="s">
        <v>213</v>
      </c>
      <c r="S157" t="s">
        <v>213</v>
      </c>
      <c r="T157" t="n">
        <v>-0.25</v>
      </c>
    </row>
    <row r="158">
      <c r="A158" t="s">
        <v>30</v>
      </c>
      <c r="B158" t="n">
        <v>1.05</v>
      </c>
      <c r="C158" t="n">
        <v>0.95</v>
      </c>
      <c r="D158" t="n">
        <v>0.97</v>
      </c>
      <c r="E158" t="n">
        <v>-2.25</v>
      </c>
      <c r="F158" t="n">
        <v>-0.5</v>
      </c>
      <c r="G158" t="n">
        <v>177</v>
      </c>
      <c r="H158" t="n">
        <v>12</v>
      </c>
      <c r="I158" t="s">
        <v>207</v>
      </c>
      <c r="J158" t="n">
        <v>0</v>
      </c>
      <c r="K158" t="n">
        <v>0</v>
      </c>
      <c r="L158" t="n">
        <v>0</v>
      </c>
      <c r="M158" t="n">
        <v>12</v>
      </c>
      <c r="N158" t="n">
        <v>0.5</v>
      </c>
      <c r="O158" t="n">
        <v>-0.25</v>
      </c>
      <c r="P158" t="n">
        <v>9</v>
      </c>
      <c r="Q158" t="n">
        <v>12</v>
      </c>
      <c r="R158" t="s">
        <v>209</v>
      </c>
      <c r="S158" t="s">
        <v>209</v>
      </c>
      <c r="T158" t="n">
        <v>0.25</v>
      </c>
    </row>
    <row r="159">
      <c r="A159" t="s">
        <v>30</v>
      </c>
      <c r="B159" t="n">
        <v>1.07</v>
      </c>
      <c r="C159" t="n">
        <v>1</v>
      </c>
      <c r="D159" t="n">
        <v>1.03</v>
      </c>
      <c r="E159" t="n">
        <v>-0.5</v>
      </c>
      <c r="F159" t="n">
        <v>-0.25</v>
      </c>
      <c r="G159" t="n">
        <v>17</v>
      </c>
      <c r="H159" t="n">
        <v>12</v>
      </c>
      <c r="I159" t="s">
        <v>207</v>
      </c>
      <c r="J159" t="n">
        <v>0</v>
      </c>
      <c r="K159" t="n">
        <v>0</v>
      </c>
      <c r="L159" t="n">
        <v>0</v>
      </c>
      <c r="M159" t="n">
        <v>12</v>
      </c>
      <c r="N159" t="n">
        <v>0.5</v>
      </c>
      <c r="O159" t="n">
        <v>-0.5</v>
      </c>
      <c r="P159" t="n">
        <v>178</v>
      </c>
      <c r="Q159" t="n">
        <v>12</v>
      </c>
      <c r="R159" t="s">
        <v>207</v>
      </c>
      <c r="S159" t="s">
        <v>208</v>
      </c>
      <c r="T159" t="n">
        <v>0.25</v>
      </c>
    </row>
    <row r="160">
      <c r="A160" t="s">
        <v>30</v>
      </c>
      <c r="B160" t="n">
        <v>1.03</v>
      </c>
      <c r="C160" t="n">
        <v>0.98</v>
      </c>
      <c r="D160" t="n">
        <v>1.05</v>
      </c>
      <c r="E160" t="n">
        <v>-2</v>
      </c>
      <c r="F160" t="n">
        <v>-1.5</v>
      </c>
      <c r="G160" t="n">
        <v>16</v>
      </c>
      <c r="H160" t="n">
        <v>12</v>
      </c>
      <c r="I160" t="s">
        <v>207</v>
      </c>
      <c r="J160" t="n">
        <v>0</v>
      </c>
      <c r="K160" t="n">
        <v>0</v>
      </c>
      <c r="L160" t="n">
        <v>0</v>
      </c>
      <c r="M160" t="n">
        <v>12</v>
      </c>
      <c r="N160" t="n">
        <v>0</v>
      </c>
      <c r="O160" t="n">
        <v>0</v>
      </c>
      <c r="P160" t="n">
        <v>7</v>
      </c>
      <c r="Q160" t="n">
        <v>12</v>
      </c>
      <c r="R160" t="s">
        <v>207</v>
      </c>
      <c r="S160" t="s">
        <v>208</v>
      </c>
      <c r="T160" t="n">
        <v>0</v>
      </c>
    </row>
    <row r="161">
      <c r="A161" t="s">
        <v>30</v>
      </c>
      <c r="B161" t="n">
        <v>1.02</v>
      </c>
      <c r="C161" t="n">
        <v>1.1</v>
      </c>
      <c r="D161" t="n">
        <v>1.06</v>
      </c>
      <c r="E161" t="n">
        <v>-7</v>
      </c>
      <c r="F161" t="n">
        <v>-0.25</v>
      </c>
      <c r="G161" t="n">
        <v>5</v>
      </c>
      <c r="H161" t="n">
        <v>12</v>
      </c>
      <c r="I161" t="s">
        <v>208</v>
      </c>
      <c r="J161" t="n">
        <v>0</v>
      </c>
      <c r="K161" t="n">
        <v>0</v>
      </c>
      <c r="L161" t="n">
        <v>0</v>
      </c>
      <c r="M161" t="n">
        <v>12</v>
      </c>
      <c r="N161" t="n">
        <v>0</v>
      </c>
      <c r="O161" t="n">
        <v>0</v>
      </c>
      <c r="P161" t="n">
        <v>149</v>
      </c>
      <c r="Q161" t="n">
        <v>12</v>
      </c>
      <c r="R161" t="s">
        <v>207</v>
      </c>
      <c r="S161" t="s">
        <v>212</v>
      </c>
      <c r="T161" t="n">
        <v>0</v>
      </c>
    </row>
    <row r="162">
      <c r="A162" t="s">
        <v>30</v>
      </c>
      <c r="B162" t="n">
        <v>1.05</v>
      </c>
      <c r="C162" t="n">
        <v>0.97</v>
      </c>
      <c r="D162" t="n">
        <v>1.01</v>
      </c>
      <c r="E162" t="n">
        <v>-4.25</v>
      </c>
      <c r="F162" t="n">
        <v>-0.5</v>
      </c>
      <c r="G162" t="n">
        <v>9</v>
      </c>
      <c r="H162" t="n">
        <v>12</v>
      </c>
      <c r="I162" t="s">
        <v>207</v>
      </c>
      <c r="J162" t="n">
        <v>0</v>
      </c>
      <c r="K162" t="n">
        <v>0</v>
      </c>
      <c r="L162" t="n">
        <v>0</v>
      </c>
      <c r="M162" t="n">
        <v>12</v>
      </c>
      <c r="N162" t="n">
        <v>0.5</v>
      </c>
      <c r="O162" t="n">
        <v>-0.25</v>
      </c>
      <c r="P162" t="n">
        <v>15</v>
      </c>
      <c r="Q162" t="n">
        <v>12</v>
      </c>
      <c r="R162" t="s">
        <v>208</v>
      </c>
      <c r="S162" t="s">
        <v>209</v>
      </c>
      <c r="T162" t="n">
        <v>0.25</v>
      </c>
    </row>
    <row r="163">
      <c r="A163" t="s">
        <v>30</v>
      </c>
      <c r="B163" t="n">
        <v>0.96</v>
      </c>
      <c r="C163" t="n">
        <v>0.93</v>
      </c>
      <c r="D163" t="n">
        <v>0.92</v>
      </c>
      <c r="E163" t="n">
        <v>-6.5</v>
      </c>
      <c r="F163" t="n">
        <v>0</v>
      </c>
      <c r="G163" t="n">
        <v>68</v>
      </c>
      <c r="H163" t="n">
        <v>12</v>
      </c>
      <c r="I163" t="s">
        <v>209</v>
      </c>
      <c r="J163" t="n">
        <v>0</v>
      </c>
      <c r="K163" t="n">
        <v>0</v>
      </c>
      <c r="L163" t="n">
        <v>0</v>
      </c>
      <c r="M163" t="n">
        <v>12</v>
      </c>
      <c r="N163" t="n">
        <v>0</v>
      </c>
      <c r="O163" t="n">
        <v>-0.25</v>
      </c>
      <c r="P163" t="n">
        <v>174</v>
      </c>
      <c r="Q163" t="n">
        <v>12</v>
      </c>
      <c r="R163" t="s">
        <v>210</v>
      </c>
      <c r="S163" t="s">
        <v>210</v>
      </c>
      <c r="T163" t="n">
        <v>0</v>
      </c>
    </row>
    <row r="164">
      <c r="A164" t="s">
        <v>30</v>
      </c>
      <c r="B164" t="n">
        <v>0.96</v>
      </c>
      <c r="C164" t="n">
        <v>0.95</v>
      </c>
      <c r="D164" t="n">
        <v>0.96</v>
      </c>
      <c r="E164" t="n">
        <v>-2</v>
      </c>
      <c r="F164" t="n">
        <v>-0.5</v>
      </c>
      <c r="G164" t="n">
        <v>98</v>
      </c>
      <c r="H164" t="n">
        <v>12</v>
      </c>
      <c r="I164" t="s">
        <v>209</v>
      </c>
      <c r="J164" t="n">
        <v>0</v>
      </c>
      <c r="K164" t="n">
        <v>0</v>
      </c>
      <c r="L164" t="n">
        <v>0</v>
      </c>
      <c r="M164" t="n">
        <v>12</v>
      </c>
      <c r="N164" t="n">
        <v>0</v>
      </c>
      <c r="O164" t="n">
        <v>-0.25</v>
      </c>
      <c r="P164" t="n">
        <v>77</v>
      </c>
      <c r="Q164" t="n">
        <v>12</v>
      </c>
      <c r="R164" t="s">
        <v>209</v>
      </c>
      <c r="S164" t="s">
        <v>209</v>
      </c>
      <c r="T164" t="n">
        <v>-0.25</v>
      </c>
    </row>
    <row r="165">
      <c r="A165" t="s">
        <v>30</v>
      </c>
      <c r="B165" t="n">
        <v>1.02</v>
      </c>
      <c r="C165" t="n">
        <v>1.07</v>
      </c>
      <c r="D165" t="n">
        <v>1.08</v>
      </c>
      <c r="E165" t="n">
        <v>-3.25</v>
      </c>
      <c r="F165" t="n">
        <v>-1.25</v>
      </c>
      <c r="G165" t="n">
        <v>162</v>
      </c>
      <c r="H165" t="n">
        <v>12</v>
      </c>
      <c r="I165" t="s">
        <v>208</v>
      </c>
      <c r="J165" t="n">
        <v>0</v>
      </c>
      <c r="K165" t="n">
        <v>0</v>
      </c>
      <c r="L165" t="n">
        <v>0</v>
      </c>
      <c r="M165" t="n">
        <v>12</v>
      </c>
      <c r="N165" t="n">
        <v>0.5</v>
      </c>
      <c r="O165" t="n">
        <v>-0.25</v>
      </c>
      <c r="P165" t="n">
        <v>148</v>
      </c>
      <c r="Q165" t="n">
        <v>12</v>
      </c>
      <c r="R165" t="s">
        <v>212</v>
      </c>
      <c r="S165" t="s">
        <v>207</v>
      </c>
      <c r="T165" t="n">
        <v>0.25</v>
      </c>
    </row>
    <row r="166">
      <c r="A166" t="s">
        <v>30</v>
      </c>
      <c r="B166" t="n">
        <v>1.14</v>
      </c>
      <c r="C166" t="n">
        <v>1.15</v>
      </c>
      <c r="D166" t="n">
        <v>1.13</v>
      </c>
      <c r="E166" t="n">
        <v>-4.75</v>
      </c>
      <c r="F166" t="n">
        <v>-0.5</v>
      </c>
      <c r="G166" t="n">
        <v>95</v>
      </c>
      <c r="H166" t="n">
        <v>12</v>
      </c>
      <c r="I166" t="s">
        <v>216</v>
      </c>
      <c r="J166" t="n">
        <v>0</v>
      </c>
      <c r="K166" t="n">
        <v>0</v>
      </c>
      <c r="L166" t="n">
        <v>0</v>
      </c>
      <c r="M166" t="n">
        <v>12</v>
      </c>
      <c r="N166" t="n">
        <v>0</v>
      </c>
      <c r="O166" t="n">
        <v>-0.25</v>
      </c>
      <c r="P166" t="n">
        <v>95</v>
      </c>
      <c r="Q166" t="n">
        <v>12</v>
      </c>
      <c r="R166" t="s">
        <v>216</v>
      </c>
      <c r="S166" t="s">
        <v>216</v>
      </c>
      <c r="T166" t="n">
        <v>0</v>
      </c>
    </row>
    <row r="167">
      <c r="A167" t="s">
        <v>30</v>
      </c>
      <c r="B167" t="n">
        <v>0.97</v>
      </c>
      <c r="C167" t="n">
        <v>0.93</v>
      </c>
      <c r="D167" t="n">
        <v>0.98</v>
      </c>
      <c r="E167" t="n">
        <v>-2</v>
      </c>
      <c r="F167" t="n">
        <v>-0.25</v>
      </c>
      <c r="G167" t="n">
        <v>27</v>
      </c>
      <c r="H167" t="n">
        <v>12</v>
      </c>
      <c r="I167" t="s">
        <v>209</v>
      </c>
      <c r="J167" t="n">
        <v>0</v>
      </c>
      <c r="K167" t="n">
        <v>0</v>
      </c>
      <c r="L167" t="n">
        <v>0</v>
      </c>
      <c r="M167" t="n">
        <v>12</v>
      </c>
      <c r="N167" t="n">
        <v>0.5</v>
      </c>
      <c r="O167" t="n">
        <v>-0.25</v>
      </c>
      <c r="P167" t="n">
        <v>38</v>
      </c>
      <c r="Q167" t="n">
        <v>12</v>
      </c>
      <c r="R167" t="s">
        <v>208</v>
      </c>
      <c r="S167" t="s">
        <v>210</v>
      </c>
      <c r="T167" t="n">
        <v>0.25</v>
      </c>
    </row>
    <row r="168">
      <c r="A168" t="s">
        <v>30</v>
      </c>
      <c r="B168" t="n">
        <v>1.06</v>
      </c>
      <c r="C168" t="n">
        <v>0.94</v>
      </c>
      <c r="D168" t="n">
        <v>1.05</v>
      </c>
      <c r="E168" t="n">
        <v>-6.25</v>
      </c>
      <c r="F168" t="n">
        <v>-1.25</v>
      </c>
      <c r="G168" t="n">
        <v>4</v>
      </c>
      <c r="H168" t="n">
        <v>12</v>
      </c>
      <c r="I168" t="s">
        <v>207</v>
      </c>
      <c r="J168" t="n">
        <v>0</v>
      </c>
      <c r="K168" t="n">
        <v>0</v>
      </c>
      <c r="L168" t="n">
        <v>0</v>
      </c>
      <c r="M168" t="n">
        <v>12</v>
      </c>
      <c r="N168" t="n">
        <v>0</v>
      </c>
      <c r="O168" t="n">
        <v>-0.25</v>
      </c>
      <c r="P168" t="n">
        <v>46</v>
      </c>
      <c r="Q168" t="n">
        <v>12</v>
      </c>
      <c r="R168" t="s">
        <v>207</v>
      </c>
      <c r="S168" t="s">
        <v>209</v>
      </c>
      <c r="T168" t="n">
        <v>0</v>
      </c>
    </row>
    <row r="169">
      <c r="A169" t="s">
        <v>30</v>
      </c>
      <c r="B169" t="n">
        <v>1.15</v>
      </c>
      <c r="C169" t="n">
        <v>1.25</v>
      </c>
      <c r="D169" t="n">
        <v>1.16</v>
      </c>
      <c r="E169" t="n">
        <v>-4.75</v>
      </c>
      <c r="F169" t="n">
        <v>-0.5</v>
      </c>
      <c r="G169" t="n">
        <v>82</v>
      </c>
      <c r="H169" t="n">
        <v>12</v>
      </c>
      <c r="I169" t="s">
        <v>216</v>
      </c>
      <c r="J169" t="n">
        <v>0</v>
      </c>
      <c r="K169" t="n">
        <v>0</v>
      </c>
      <c r="L169" t="n">
        <v>0</v>
      </c>
      <c r="M169" t="n">
        <v>12</v>
      </c>
      <c r="N169" t="n">
        <v>0</v>
      </c>
      <c r="O169" t="n">
        <v>-0.25</v>
      </c>
      <c r="P169" t="n">
        <v>61</v>
      </c>
      <c r="Q169" t="n">
        <v>12</v>
      </c>
      <c r="R169" t="s">
        <v>216</v>
      </c>
      <c r="S169" t="s">
        <v>215</v>
      </c>
      <c r="T169" t="n">
        <v>0</v>
      </c>
    </row>
    <row r="170">
      <c r="A170" t="s">
        <v>30</v>
      </c>
      <c r="B170" t="n">
        <v>1.18</v>
      </c>
      <c r="C170" t="n">
        <v>1.17</v>
      </c>
      <c r="D170" t="n">
        <v>1.14</v>
      </c>
      <c r="E170" t="n">
        <v>-2.25</v>
      </c>
      <c r="F170" t="n">
        <v>-0.25</v>
      </c>
      <c r="G170" t="n">
        <v>94</v>
      </c>
      <c r="H170" t="n">
        <v>12</v>
      </c>
      <c r="I170" t="s">
        <v>213</v>
      </c>
      <c r="J170" t="n">
        <v>0</v>
      </c>
      <c r="K170" t="n">
        <v>0</v>
      </c>
      <c r="L170" t="n">
        <v>0</v>
      </c>
      <c r="M170" t="n">
        <v>12</v>
      </c>
      <c r="N170" t="n">
        <v>0.5</v>
      </c>
      <c r="O170" t="n">
        <v>0</v>
      </c>
      <c r="P170" t="n">
        <v>18</v>
      </c>
      <c r="Q170" t="n">
        <v>12</v>
      </c>
      <c r="R170" t="s">
        <v>216</v>
      </c>
      <c r="S170" t="s">
        <v>216</v>
      </c>
      <c r="T170" t="n">
        <v>0.5</v>
      </c>
    </row>
    <row r="171">
      <c r="A171" t="s">
        <v>30</v>
      </c>
      <c r="B171" t="n">
        <v>1.08</v>
      </c>
      <c r="C171" t="n">
        <v>1.04</v>
      </c>
      <c r="D171" t="n">
        <v>1.11</v>
      </c>
      <c r="E171" t="n">
        <v>-4</v>
      </c>
      <c r="F171" t="n">
        <v>-0.25</v>
      </c>
      <c r="G171" t="n">
        <v>24</v>
      </c>
      <c r="H171" t="n">
        <v>12</v>
      </c>
      <c r="I171" t="s">
        <v>212</v>
      </c>
      <c r="J171" t="n">
        <v>0</v>
      </c>
      <c r="K171" t="n">
        <v>0</v>
      </c>
      <c r="L171" t="n">
        <v>0</v>
      </c>
      <c r="M171" t="n">
        <v>12</v>
      </c>
      <c r="N171" t="n">
        <v>0</v>
      </c>
      <c r="O171" t="n">
        <v>-0.25</v>
      </c>
      <c r="P171" t="n">
        <v>152</v>
      </c>
      <c r="Q171" t="n">
        <v>12</v>
      </c>
      <c r="R171" t="s">
        <v>212</v>
      </c>
      <c r="S171" t="s">
        <v>207</v>
      </c>
      <c r="T171" t="n">
        <v>0</v>
      </c>
    </row>
    <row r="172">
      <c r="A172" t="s">
        <v>30</v>
      </c>
      <c r="B172" t="n">
        <v>1.05</v>
      </c>
      <c r="C172" t="n">
        <v>0.92</v>
      </c>
      <c r="D172" t="n">
        <v>1.04</v>
      </c>
      <c r="E172" t="n">
        <v>-3.5</v>
      </c>
      <c r="F172" t="n">
        <v>-1.25</v>
      </c>
      <c r="G172" t="n">
        <v>102</v>
      </c>
      <c r="H172" t="n">
        <v>12</v>
      </c>
      <c r="I172" t="s">
        <v>207</v>
      </c>
      <c r="J172" t="n">
        <v>0</v>
      </c>
      <c r="K172" t="n">
        <v>0</v>
      </c>
      <c r="L172" t="n">
        <v>0</v>
      </c>
      <c r="M172" t="n">
        <v>12</v>
      </c>
      <c r="N172" t="n">
        <v>0</v>
      </c>
      <c r="O172" t="n">
        <v>-0.25</v>
      </c>
      <c r="P172" t="n">
        <v>93</v>
      </c>
      <c r="Q172" t="n">
        <v>12</v>
      </c>
      <c r="R172" t="s">
        <v>207</v>
      </c>
      <c r="S172" t="s">
        <v>210</v>
      </c>
      <c r="T172" t="n">
        <v>0</v>
      </c>
    </row>
    <row r="173">
      <c r="A173" t="s">
        <v>30</v>
      </c>
      <c r="B173" t="n">
        <v>0.96</v>
      </c>
      <c r="C173" t="n">
        <v>0.82</v>
      </c>
      <c r="D173" t="n">
        <v>0.93</v>
      </c>
      <c r="E173" t="n">
        <v>-4</v>
      </c>
      <c r="F173" t="n">
        <v>-0.25</v>
      </c>
      <c r="G173" t="n">
        <v>97</v>
      </c>
      <c r="H173" t="n">
        <v>12</v>
      </c>
      <c r="I173" t="s">
        <v>209</v>
      </c>
      <c r="J173" t="n">
        <v>0</v>
      </c>
      <c r="K173" t="n">
        <v>0</v>
      </c>
      <c r="L173" t="n">
        <v>0</v>
      </c>
      <c r="M173" t="n">
        <v>12</v>
      </c>
      <c r="N173" t="n">
        <v>0.5</v>
      </c>
      <c r="O173" t="n">
        <v>0</v>
      </c>
      <c r="P173" t="n">
        <v>119</v>
      </c>
      <c r="Q173" t="n">
        <v>12</v>
      </c>
      <c r="R173" t="s">
        <v>210</v>
      </c>
      <c r="S173" t="s">
        <v>217</v>
      </c>
      <c r="T173" t="n">
        <v>0.5</v>
      </c>
    </row>
    <row r="174">
      <c r="A174" t="s">
        <v>30</v>
      </c>
      <c r="B174" t="n">
        <v>1.03</v>
      </c>
      <c r="C174" t="n">
        <v>1.08</v>
      </c>
      <c r="D174" t="n">
        <v>1.06</v>
      </c>
      <c r="E174" t="n">
        <v>-1.25</v>
      </c>
      <c r="F174" t="n">
        <v>-0.5</v>
      </c>
      <c r="G174" t="n">
        <v>71</v>
      </c>
      <c r="H174" t="n">
        <v>12</v>
      </c>
      <c r="I174" t="s">
        <v>207</v>
      </c>
      <c r="J174" t="n">
        <v>0</v>
      </c>
      <c r="K174" t="n">
        <v>0</v>
      </c>
      <c r="L174" t="n">
        <v>0</v>
      </c>
      <c r="M174" t="n">
        <v>12</v>
      </c>
      <c r="N174" t="n">
        <v>0.25</v>
      </c>
      <c r="O174" t="n">
        <v>-0.5</v>
      </c>
      <c r="P174" t="n">
        <v>96</v>
      </c>
      <c r="Q174" t="n">
        <v>12</v>
      </c>
      <c r="R174" t="s">
        <v>207</v>
      </c>
      <c r="S174" t="s">
        <v>212</v>
      </c>
      <c r="T174" t="n">
        <v>0</v>
      </c>
    </row>
    <row r="175">
      <c r="A175" t="s">
        <v>30</v>
      </c>
      <c r="B175" t="n">
        <v>1.11</v>
      </c>
      <c r="C175" t="n">
        <v>1.17</v>
      </c>
      <c r="D175" t="n">
        <v>1.14</v>
      </c>
      <c r="E175" t="n">
        <v>-4</v>
      </c>
      <c r="F175" t="n">
        <v>0</v>
      </c>
      <c r="G175" t="n">
        <v>80</v>
      </c>
      <c r="H175" t="n">
        <v>12</v>
      </c>
      <c r="I175" t="s">
        <v>212</v>
      </c>
      <c r="J175" t="n">
        <v>0</v>
      </c>
      <c r="K175" t="n">
        <v>0</v>
      </c>
      <c r="L175" t="n">
        <v>0</v>
      </c>
      <c r="M175" t="n">
        <v>12</v>
      </c>
      <c r="N175" t="n">
        <v>0</v>
      </c>
      <c r="O175" t="n">
        <v>-0.25</v>
      </c>
      <c r="P175" t="n">
        <v>130</v>
      </c>
      <c r="Q175" t="n">
        <v>12</v>
      </c>
      <c r="R175" t="s">
        <v>216</v>
      </c>
      <c r="S175" t="s">
        <v>216</v>
      </c>
      <c r="T175" t="n">
        <v>-0.25</v>
      </c>
    </row>
    <row r="176">
      <c r="A176" t="s">
        <v>30</v>
      </c>
      <c r="B176" t="n">
        <v>1.1</v>
      </c>
      <c r="C176" t="n">
        <v>0.99</v>
      </c>
      <c r="D176" t="n">
        <v>1.07</v>
      </c>
      <c r="E176" t="n">
        <v>-3.5</v>
      </c>
      <c r="F176" t="n">
        <v>-1</v>
      </c>
      <c r="G176" t="n">
        <v>161</v>
      </c>
      <c r="H176" t="n">
        <v>12</v>
      </c>
      <c r="I176" t="s">
        <v>212</v>
      </c>
      <c r="J176" t="n">
        <v>0</v>
      </c>
      <c r="K176" t="n">
        <v>0</v>
      </c>
      <c r="L176" t="n">
        <v>0</v>
      </c>
      <c r="M176" t="n">
        <v>12</v>
      </c>
      <c r="N176" t="n">
        <v>0.5</v>
      </c>
      <c r="O176" t="n">
        <v>-0.25</v>
      </c>
      <c r="P176" t="n">
        <v>147</v>
      </c>
      <c r="Q176" t="n">
        <v>12</v>
      </c>
      <c r="R176" t="s">
        <v>207</v>
      </c>
      <c r="S176" t="s">
        <v>208</v>
      </c>
      <c r="T176" t="n">
        <v>0.25</v>
      </c>
    </row>
    <row r="177">
      <c r="A177" t="s">
        <v>30</v>
      </c>
      <c r="B177" t="n">
        <v>0.97</v>
      </c>
      <c r="C177" t="n">
        <v>0.9</v>
      </c>
      <c r="D177" t="n">
        <v>1.02</v>
      </c>
      <c r="E177" t="n">
        <v>-2.75</v>
      </c>
      <c r="F177" t="n">
        <v>-0.5</v>
      </c>
      <c r="G177" t="n">
        <v>62</v>
      </c>
      <c r="H177" t="n">
        <v>12</v>
      </c>
      <c r="I177" t="s">
        <v>209</v>
      </c>
      <c r="J177" t="n">
        <v>0</v>
      </c>
      <c r="K177" t="n">
        <v>0</v>
      </c>
      <c r="L177" t="n">
        <v>0</v>
      </c>
      <c r="M177" t="n">
        <v>12</v>
      </c>
      <c r="N177" t="n">
        <v>0</v>
      </c>
      <c r="O177" t="n">
        <v>-0.25</v>
      </c>
      <c r="P177" t="n">
        <v>92</v>
      </c>
      <c r="Q177" t="n">
        <v>12</v>
      </c>
      <c r="R177" t="s">
        <v>208</v>
      </c>
      <c r="S177" t="s">
        <v>210</v>
      </c>
      <c r="T177" t="n">
        <v>-0.25</v>
      </c>
    </row>
    <row r="178">
      <c r="A178" t="s">
        <v>30</v>
      </c>
      <c r="B178" t="n">
        <v>1.14</v>
      </c>
      <c r="C178" t="n">
        <v>1.14</v>
      </c>
      <c r="D178" t="n">
        <v>1.17</v>
      </c>
      <c r="E178" t="n">
        <v>-4</v>
      </c>
      <c r="F178" t="n">
        <v>-0.75</v>
      </c>
      <c r="G178" t="n">
        <v>103</v>
      </c>
      <c r="H178" t="n">
        <v>12</v>
      </c>
      <c r="I178" t="s">
        <v>216</v>
      </c>
      <c r="J178" t="n">
        <v>0</v>
      </c>
      <c r="K178" t="n">
        <v>0</v>
      </c>
      <c r="L178" t="n">
        <v>0</v>
      </c>
      <c r="M178" t="n">
        <v>12</v>
      </c>
      <c r="N178" t="n">
        <v>0.5</v>
      </c>
      <c r="O178" t="n">
        <v>0</v>
      </c>
      <c r="P178" t="n">
        <v>8</v>
      </c>
      <c r="Q178" t="n">
        <v>12</v>
      </c>
      <c r="R178" t="s">
        <v>216</v>
      </c>
      <c r="S178" t="s">
        <v>216</v>
      </c>
      <c r="T178" t="n">
        <v>0.5</v>
      </c>
    </row>
    <row r="179">
      <c r="A179" t="s">
        <v>30</v>
      </c>
      <c r="B179" t="n">
        <v>1.08</v>
      </c>
      <c r="C179" t="n">
        <v>1.2</v>
      </c>
      <c r="D179" t="n">
        <v>1.12</v>
      </c>
      <c r="E179" t="n">
        <v>-3.5</v>
      </c>
      <c r="F179" t="n">
        <v>-1.25</v>
      </c>
      <c r="G179" t="n">
        <v>10</v>
      </c>
      <c r="H179" t="n">
        <v>12</v>
      </c>
      <c r="I179" t="s">
        <v>212</v>
      </c>
      <c r="J179" t="n">
        <v>0</v>
      </c>
      <c r="K179" t="n">
        <v>0</v>
      </c>
      <c r="L179" t="n">
        <v>0</v>
      </c>
      <c r="M179" t="n">
        <v>12</v>
      </c>
      <c r="N179" t="n">
        <v>0</v>
      </c>
      <c r="O179" t="n">
        <v>-0.25</v>
      </c>
      <c r="P179" t="n">
        <v>21</v>
      </c>
      <c r="Q179" t="n">
        <v>12</v>
      </c>
      <c r="R179" t="s">
        <v>212</v>
      </c>
      <c r="S179" t="s">
        <v>213</v>
      </c>
      <c r="T179" t="n">
        <v>0</v>
      </c>
    </row>
    <row r="180">
      <c r="A180" t="s">
        <v>30</v>
      </c>
      <c r="B180" t="n">
        <v>1.13</v>
      </c>
      <c r="C180" t="n">
        <v>1.07</v>
      </c>
      <c r="D180" t="n">
        <v>1.09</v>
      </c>
      <c r="E180" t="n">
        <v>-6</v>
      </c>
      <c r="F180" t="n">
        <v>-0.5</v>
      </c>
      <c r="G180" t="n">
        <v>82</v>
      </c>
      <c r="H180" t="n">
        <v>12</v>
      </c>
      <c r="I180" t="s">
        <v>216</v>
      </c>
      <c r="J180" t="n">
        <v>0</v>
      </c>
      <c r="K180" t="n">
        <v>0</v>
      </c>
      <c r="L180" t="n">
        <v>0</v>
      </c>
      <c r="M180" t="n">
        <v>12</v>
      </c>
      <c r="N180" t="n">
        <v>0.25</v>
      </c>
      <c r="O180" t="n">
        <v>-0.5</v>
      </c>
      <c r="P180" t="n">
        <v>106</v>
      </c>
      <c r="Q180" t="n">
        <v>12</v>
      </c>
      <c r="R180" t="s">
        <v>212</v>
      </c>
      <c r="S180" t="s">
        <v>207</v>
      </c>
      <c r="T180" t="n">
        <v>0</v>
      </c>
    </row>
    <row r="181">
      <c r="A181" t="s">
        <v>30</v>
      </c>
      <c r="B181" t="n">
        <v>0.99</v>
      </c>
      <c r="C181" t="n">
        <v>1.03</v>
      </c>
      <c r="D181" t="n">
        <v>1.03</v>
      </c>
      <c r="E181" t="n">
        <v>-6</v>
      </c>
      <c r="F181" t="n">
        <v>-1.25</v>
      </c>
      <c r="G181" t="n">
        <v>165</v>
      </c>
      <c r="H181" t="n">
        <v>12</v>
      </c>
      <c r="I181" t="s">
        <v>208</v>
      </c>
      <c r="J181" t="n">
        <v>0</v>
      </c>
      <c r="K181" t="n">
        <v>0</v>
      </c>
      <c r="L181" t="n">
        <v>0</v>
      </c>
      <c r="M181" t="n">
        <v>12</v>
      </c>
      <c r="N181" t="n">
        <v>-0.75</v>
      </c>
      <c r="O181" t="n">
        <v>0</v>
      </c>
      <c r="P181" t="n">
        <v>14</v>
      </c>
      <c r="Q181" t="n">
        <v>12</v>
      </c>
      <c r="R181" t="s">
        <v>207</v>
      </c>
      <c r="S181" t="s">
        <v>207</v>
      </c>
      <c r="T181" t="n">
        <v>-0.75</v>
      </c>
    </row>
    <row r="182">
      <c r="A182" t="s">
        <v>30</v>
      </c>
      <c r="B182" t="n">
        <v>0.94</v>
      </c>
      <c r="C182" t="n">
        <v>0.96</v>
      </c>
      <c r="D182" t="n">
        <v>0.93</v>
      </c>
      <c r="E182" t="n">
        <v>-3.75</v>
      </c>
      <c r="F182" t="n">
        <v>0</v>
      </c>
      <c r="G182" t="n">
        <v>149</v>
      </c>
      <c r="H182" t="n">
        <v>12</v>
      </c>
      <c r="I182" t="s">
        <v>209</v>
      </c>
      <c r="J182" t="n">
        <v>0</v>
      </c>
      <c r="K182" t="n">
        <v>0</v>
      </c>
      <c r="L182" t="n">
        <v>0</v>
      </c>
      <c r="M182" t="n">
        <v>12</v>
      </c>
      <c r="N182" t="n">
        <v>0</v>
      </c>
      <c r="O182" t="n">
        <v>-0.5</v>
      </c>
      <c r="P182" t="n">
        <v>143</v>
      </c>
      <c r="Q182" t="n">
        <v>12</v>
      </c>
      <c r="R182" t="s">
        <v>210</v>
      </c>
      <c r="S182" t="s">
        <v>209</v>
      </c>
      <c r="T182" t="n">
        <v>-0.25</v>
      </c>
    </row>
    <row r="183">
      <c r="A183" t="s">
        <v>30</v>
      </c>
      <c r="B183" t="n">
        <v>0.96</v>
      </c>
      <c r="C183" t="n">
        <v>1.08</v>
      </c>
      <c r="D183" t="n">
        <v>0.97</v>
      </c>
      <c r="E183" t="n">
        <v>-3.5</v>
      </c>
      <c r="F183" t="n">
        <v>-0.5</v>
      </c>
      <c r="G183" t="n">
        <v>2</v>
      </c>
      <c r="H183" t="n">
        <v>12</v>
      </c>
      <c r="I183" t="s">
        <v>209</v>
      </c>
      <c r="J183" t="n">
        <v>0</v>
      </c>
      <c r="K183" t="n">
        <v>0</v>
      </c>
      <c r="L183" t="n">
        <v>0</v>
      </c>
      <c r="M183" t="n">
        <v>12</v>
      </c>
      <c r="N183" t="n">
        <v>0.5</v>
      </c>
      <c r="O183" t="n">
        <v>-0.25</v>
      </c>
      <c r="P183" t="n">
        <v>175</v>
      </c>
      <c r="Q183" t="n">
        <v>12</v>
      </c>
      <c r="R183" t="s">
        <v>209</v>
      </c>
      <c r="S183" t="s">
        <v>212</v>
      </c>
      <c r="T183" t="n">
        <v>0.25</v>
      </c>
    </row>
    <row r="184">
      <c r="A184" t="s">
        <v>30</v>
      </c>
      <c r="B184" t="n">
        <v>1.07</v>
      </c>
      <c r="C184" t="n">
        <v>1.09</v>
      </c>
      <c r="D184" t="n">
        <v>1.17</v>
      </c>
      <c r="E184" t="n">
        <v>-2.75</v>
      </c>
      <c r="F184" t="n">
        <v>-1</v>
      </c>
      <c r="G184" t="n">
        <v>152</v>
      </c>
      <c r="H184" t="n">
        <v>12</v>
      </c>
      <c r="I184" t="s">
        <v>207</v>
      </c>
      <c r="J184" t="n">
        <v>0</v>
      </c>
      <c r="K184" t="n">
        <v>0</v>
      </c>
      <c r="L184" t="n">
        <v>0</v>
      </c>
      <c r="M184" t="n">
        <v>12</v>
      </c>
      <c r="N184" t="n">
        <v>0.25</v>
      </c>
      <c r="O184" t="n">
        <v>0</v>
      </c>
      <c r="P184" t="n">
        <v>156</v>
      </c>
      <c r="Q184" t="n">
        <v>12</v>
      </c>
      <c r="R184" t="s">
        <v>216</v>
      </c>
      <c r="S184" t="s">
        <v>212</v>
      </c>
      <c r="T184" t="n">
        <v>0.25</v>
      </c>
    </row>
    <row r="185">
      <c r="A185" t="s">
        <v>30</v>
      </c>
      <c r="B185" t="n">
        <v>0.93</v>
      </c>
      <c r="C185" t="n">
        <v>0.9</v>
      </c>
      <c r="D185" t="n">
        <v>0.92</v>
      </c>
      <c r="E185" t="n">
        <v>-2.5</v>
      </c>
      <c r="F185" t="n">
        <v>-1</v>
      </c>
      <c r="G185" t="n">
        <v>24</v>
      </c>
      <c r="H185" t="n">
        <v>12</v>
      </c>
      <c r="I185" t="s">
        <v>210</v>
      </c>
      <c r="J185" t="n">
        <v>0</v>
      </c>
      <c r="K185" t="n">
        <v>0</v>
      </c>
      <c r="L185" t="n">
        <v>0</v>
      </c>
      <c r="M185" t="n">
        <v>12</v>
      </c>
      <c r="N185" t="n">
        <v>0</v>
      </c>
      <c r="O185" t="n">
        <v>-0.25</v>
      </c>
      <c r="P185" t="n">
        <v>15</v>
      </c>
      <c r="Q185" t="n">
        <v>12</v>
      </c>
      <c r="R185" t="s">
        <v>210</v>
      </c>
      <c r="S185" t="s">
        <v>210</v>
      </c>
      <c r="T185" t="n">
        <v>-0.25</v>
      </c>
    </row>
    <row r="186">
      <c r="A186" t="s">
        <v>30</v>
      </c>
      <c r="B186" t="n">
        <v>1.05</v>
      </c>
      <c r="C186" t="n">
        <v>0.89</v>
      </c>
      <c r="D186" t="n">
        <v>1.04</v>
      </c>
      <c r="E186" t="n">
        <v>-4.25</v>
      </c>
      <c r="F186" t="n">
        <v>-1.5</v>
      </c>
      <c r="G186" t="n">
        <v>5</v>
      </c>
      <c r="H186" t="n">
        <v>12</v>
      </c>
      <c r="I186" t="s">
        <v>207</v>
      </c>
      <c r="J186" t="n">
        <v>0</v>
      </c>
      <c r="K186" t="n">
        <v>0</v>
      </c>
      <c r="L186" t="n">
        <v>0</v>
      </c>
      <c r="M186" t="n">
        <v>12</v>
      </c>
      <c r="N186" t="n">
        <v>0.5</v>
      </c>
      <c r="O186" t="n">
        <v>-0.25</v>
      </c>
      <c r="P186" t="n">
        <v>172</v>
      </c>
      <c r="Q186" t="n">
        <v>12</v>
      </c>
      <c r="R186" t="s">
        <v>207</v>
      </c>
      <c r="S186" t="s">
        <v>219</v>
      </c>
      <c r="T186" t="n">
        <v>0.5</v>
      </c>
    </row>
    <row r="187">
      <c r="A187" t="s">
        <v>30</v>
      </c>
      <c r="B187" t="n">
        <v>1.11</v>
      </c>
      <c r="C187" t="n">
        <v>0.99</v>
      </c>
      <c r="D187" t="n">
        <v>1.08</v>
      </c>
      <c r="E187" t="n">
        <v>-4</v>
      </c>
      <c r="F187" t="n">
        <v>-0.75</v>
      </c>
      <c r="G187" t="n">
        <v>88</v>
      </c>
      <c r="H187" t="n">
        <v>12</v>
      </c>
      <c r="I187" t="s">
        <v>212</v>
      </c>
      <c r="J187" t="n">
        <v>0</v>
      </c>
      <c r="K187" t="n">
        <v>0</v>
      </c>
      <c r="L187" t="n">
        <v>0</v>
      </c>
      <c r="M187" t="n">
        <v>12</v>
      </c>
      <c r="N187" t="n">
        <v>0.5</v>
      </c>
      <c r="O187" t="n">
        <v>-0.25</v>
      </c>
      <c r="P187" t="n">
        <v>81</v>
      </c>
      <c r="Q187" t="n">
        <v>12</v>
      </c>
      <c r="R187" t="s">
        <v>212</v>
      </c>
      <c r="S187" t="s">
        <v>208</v>
      </c>
      <c r="T187" t="n">
        <v>0.25</v>
      </c>
    </row>
    <row r="188">
      <c r="A188" t="s">
        <v>30</v>
      </c>
      <c r="B188" t="n">
        <v>1.03</v>
      </c>
      <c r="C188" t="n">
        <v>0.9</v>
      </c>
      <c r="D188" t="n">
        <v>1.09</v>
      </c>
      <c r="E188" t="n">
        <v>-3.25</v>
      </c>
      <c r="F188" t="n">
        <v>-0.5</v>
      </c>
      <c r="G188" t="n">
        <v>180</v>
      </c>
      <c r="H188" t="n">
        <v>12</v>
      </c>
      <c r="I188" t="s">
        <v>207</v>
      </c>
      <c r="J188" t="n">
        <v>0</v>
      </c>
      <c r="K188" t="n">
        <v>0</v>
      </c>
      <c r="L188" t="n">
        <v>0</v>
      </c>
      <c r="M188" t="n">
        <v>12</v>
      </c>
      <c r="N188" t="n">
        <v>0</v>
      </c>
      <c r="O188" t="n">
        <v>-0.25</v>
      </c>
      <c r="P188" t="n">
        <v>152</v>
      </c>
      <c r="Q188" t="n">
        <v>12</v>
      </c>
      <c r="R188" t="s">
        <v>212</v>
      </c>
      <c r="S188" t="s">
        <v>210</v>
      </c>
      <c r="T188" t="n">
        <v>-0.25</v>
      </c>
    </row>
    <row r="189">
      <c r="A189" t="s">
        <v>30</v>
      </c>
      <c r="B189" t="n">
        <v>1.18</v>
      </c>
      <c r="C189" t="n">
        <v>1.19</v>
      </c>
      <c r="D189" t="n">
        <v>1.13</v>
      </c>
      <c r="E189" t="n">
        <v>-6.25</v>
      </c>
      <c r="F189" t="n">
        <v>-0.25</v>
      </c>
      <c r="G189" t="n">
        <v>89</v>
      </c>
      <c r="H189" t="n">
        <v>12</v>
      </c>
      <c r="I189" t="s">
        <v>213</v>
      </c>
      <c r="J189" t="n">
        <v>0</v>
      </c>
      <c r="K189" t="n">
        <v>0</v>
      </c>
      <c r="L189" t="n">
        <v>0</v>
      </c>
      <c r="M189" t="n">
        <v>12</v>
      </c>
      <c r="N189" t="n">
        <v>0</v>
      </c>
      <c r="O189" t="n">
        <v>-0.25</v>
      </c>
      <c r="P189" t="n">
        <v>103</v>
      </c>
      <c r="Q189" t="n">
        <v>12</v>
      </c>
      <c r="R189" t="s">
        <v>216</v>
      </c>
      <c r="S189" t="s">
        <v>213</v>
      </c>
      <c r="T189" t="n">
        <v>0</v>
      </c>
    </row>
    <row r="190">
      <c r="A190" t="s">
        <v>30</v>
      </c>
      <c r="B190" t="n">
        <v>1.11</v>
      </c>
      <c r="C190" t="n">
        <v>0.97</v>
      </c>
      <c r="D190" t="n">
        <v>1.11</v>
      </c>
      <c r="E190" t="n">
        <v>-5.25</v>
      </c>
      <c r="F190" t="n">
        <v>-1</v>
      </c>
      <c r="G190" t="n">
        <v>22</v>
      </c>
      <c r="H190" t="n">
        <v>12</v>
      </c>
      <c r="I190" t="s">
        <v>212</v>
      </c>
      <c r="J190" t="n">
        <v>0</v>
      </c>
      <c r="K190" t="n">
        <v>0</v>
      </c>
      <c r="L190" t="n">
        <v>0</v>
      </c>
      <c r="M190" t="n">
        <v>12</v>
      </c>
      <c r="N190" t="n">
        <v>0.75</v>
      </c>
      <c r="O190" t="n">
        <v>-0.5</v>
      </c>
      <c r="P190" t="n">
        <v>14</v>
      </c>
      <c r="Q190" t="n">
        <v>12</v>
      </c>
      <c r="R190" t="s">
        <v>212</v>
      </c>
      <c r="S190" t="s">
        <v>209</v>
      </c>
      <c r="T190" t="n">
        <v>0.5</v>
      </c>
    </row>
    <row r="191">
      <c r="A191" t="s">
        <v>30</v>
      </c>
      <c r="B191" t="n">
        <v>1.04</v>
      </c>
      <c r="C191" t="n">
        <v>1.08</v>
      </c>
      <c r="D191" t="n">
        <v>1.07</v>
      </c>
      <c r="E191" t="n">
        <v>-3.25</v>
      </c>
      <c r="F191" t="n">
        <v>-0.5</v>
      </c>
      <c r="G191" t="n">
        <v>101</v>
      </c>
      <c r="H191" t="n">
        <v>12</v>
      </c>
      <c r="I191" t="s">
        <v>207</v>
      </c>
      <c r="J191" t="n">
        <v>0</v>
      </c>
      <c r="K191" t="n">
        <v>0</v>
      </c>
      <c r="L191" t="n">
        <v>0</v>
      </c>
      <c r="M191" t="n">
        <v>12</v>
      </c>
      <c r="N191" t="n">
        <v>0</v>
      </c>
      <c r="O191" t="n">
        <v>-0.25</v>
      </c>
      <c r="P191" t="n">
        <v>98</v>
      </c>
      <c r="Q191" t="n">
        <v>12</v>
      </c>
      <c r="R191" t="s">
        <v>207</v>
      </c>
      <c r="S191" t="s">
        <v>212</v>
      </c>
      <c r="T191" t="n">
        <v>-0.25</v>
      </c>
    </row>
    <row r="192">
      <c r="A192" t="s">
        <v>30</v>
      </c>
      <c r="B192" t="n">
        <v>1</v>
      </c>
      <c r="C192" t="n">
        <v>0.94</v>
      </c>
      <c r="D192" t="n">
        <v>1.02</v>
      </c>
      <c r="E192" t="n">
        <v>-5.5</v>
      </c>
      <c r="F192" t="n">
        <v>-0.5</v>
      </c>
      <c r="G192" t="n">
        <v>173</v>
      </c>
      <c r="H192" t="n">
        <v>12</v>
      </c>
      <c r="I192" t="s">
        <v>208</v>
      </c>
      <c r="J192" t="n">
        <v>0</v>
      </c>
      <c r="K192" t="n">
        <v>0</v>
      </c>
      <c r="L192" t="n">
        <v>0</v>
      </c>
      <c r="M192" t="n">
        <v>12</v>
      </c>
      <c r="N192" t="n">
        <v>0</v>
      </c>
      <c r="O192" t="n">
        <v>-0.5</v>
      </c>
      <c r="P192" t="n">
        <v>24</v>
      </c>
      <c r="Q192" t="n">
        <v>12</v>
      </c>
      <c r="R192" t="s">
        <v>208</v>
      </c>
      <c r="S192" t="s">
        <v>209</v>
      </c>
      <c r="T192" t="n">
        <v>-0.25</v>
      </c>
    </row>
    <row r="193">
      <c r="A193" t="s">
        <v>30</v>
      </c>
      <c r="B193" t="n">
        <v>1.1</v>
      </c>
      <c r="C193" t="n">
        <v>1.14</v>
      </c>
      <c r="D193" t="n">
        <v>1.13</v>
      </c>
      <c r="E193" t="n">
        <v>-7.25</v>
      </c>
      <c r="F193" t="n">
        <v>-1</v>
      </c>
      <c r="G193" t="n">
        <v>156</v>
      </c>
      <c r="H193" t="n">
        <v>12</v>
      </c>
      <c r="I193" t="s">
        <v>212</v>
      </c>
      <c r="J193" t="n">
        <v>0</v>
      </c>
      <c r="K193" t="n">
        <v>0</v>
      </c>
      <c r="L193" t="n">
        <v>0</v>
      </c>
      <c r="M193" t="n">
        <v>12</v>
      </c>
      <c r="N193" t="n">
        <v>0.25</v>
      </c>
      <c r="O193" t="n">
        <v>-0.5</v>
      </c>
      <c r="P193" t="n">
        <v>40</v>
      </c>
      <c r="Q193" t="n">
        <v>12</v>
      </c>
      <c r="R193" t="s">
        <v>216</v>
      </c>
      <c r="S193" t="s">
        <v>216</v>
      </c>
      <c r="T193" t="n">
        <v>0</v>
      </c>
    </row>
    <row r="194">
      <c r="A194" t="s">
        <v>30</v>
      </c>
      <c r="B194" t="n">
        <v>1.11</v>
      </c>
      <c r="C194" t="n">
        <v>1.07</v>
      </c>
      <c r="D194" t="n">
        <v>1.14</v>
      </c>
      <c r="E194" t="n">
        <v>-5.5</v>
      </c>
      <c r="F194" t="n">
        <v>-0.5</v>
      </c>
      <c r="G194" t="n">
        <v>21</v>
      </c>
      <c r="H194" t="n">
        <v>12</v>
      </c>
      <c r="I194" t="s">
        <v>212</v>
      </c>
      <c r="J194" t="n">
        <v>0</v>
      </c>
      <c r="K194" t="n">
        <v>0</v>
      </c>
      <c r="L194" t="n">
        <v>0</v>
      </c>
      <c r="M194" t="n">
        <v>12</v>
      </c>
      <c r="N194" t="n">
        <v>0</v>
      </c>
      <c r="O194" t="n">
        <v>-0.25</v>
      </c>
      <c r="P194" t="n">
        <v>8</v>
      </c>
      <c r="Q194" t="n">
        <v>12</v>
      </c>
      <c r="R194" t="s">
        <v>216</v>
      </c>
      <c r="S194" t="s">
        <v>207</v>
      </c>
      <c r="T194" t="n">
        <v>0</v>
      </c>
    </row>
    <row r="195">
      <c r="A195" t="s">
        <v>30</v>
      </c>
      <c r="B195" t="n">
        <v>1.03</v>
      </c>
      <c r="C195" t="n">
        <v>1.01</v>
      </c>
      <c r="D195" t="n">
        <v>1.03</v>
      </c>
      <c r="E195" t="n">
        <v>-0.5</v>
      </c>
      <c r="F195" t="n">
        <v>-0.25</v>
      </c>
      <c r="G195" t="n">
        <v>6</v>
      </c>
      <c r="H195" t="n">
        <v>12</v>
      </c>
      <c r="I195" t="s">
        <v>207</v>
      </c>
      <c r="J195" t="n">
        <v>0</v>
      </c>
      <c r="K195" t="n">
        <v>0</v>
      </c>
      <c r="L195" t="n">
        <v>0</v>
      </c>
      <c r="M195" t="n">
        <v>12</v>
      </c>
      <c r="N195" t="n">
        <v>0</v>
      </c>
      <c r="O195" t="n">
        <v>-0.25</v>
      </c>
      <c r="P195" t="n">
        <v>179</v>
      </c>
      <c r="Q195" t="n">
        <v>12</v>
      </c>
      <c r="R195" t="s">
        <v>207</v>
      </c>
      <c r="S195" t="s">
        <v>208</v>
      </c>
      <c r="T195" t="n">
        <v>-0.25</v>
      </c>
    </row>
    <row r="196">
      <c r="A196" t="s">
        <v>30</v>
      </c>
      <c r="B196" t="n">
        <v>1.02</v>
      </c>
      <c r="C196" t="n">
        <v>1.12</v>
      </c>
      <c r="D196" t="n">
        <v>1.05</v>
      </c>
      <c r="E196" t="n">
        <v>-3.5</v>
      </c>
      <c r="F196" t="n">
        <v>-0.75</v>
      </c>
      <c r="G196" t="n">
        <v>167</v>
      </c>
      <c r="H196" t="n">
        <v>12</v>
      </c>
      <c r="I196" t="s">
        <v>208</v>
      </c>
      <c r="J196" t="n">
        <v>0</v>
      </c>
      <c r="K196" t="n">
        <v>0</v>
      </c>
      <c r="L196" t="n">
        <v>0</v>
      </c>
      <c r="M196" t="n">
        <v>12</v>
      </c>
      <c r="N196" t="n">
        <v>0</v>
      </c>
      <c r="O196" t="n">
        <v>-0.25</v>
      </c>
      <c r="P196" t="n">
        <v>168</v>
      </c>
      <c r="Q196" t="n">
        <v>12</v>
      </c>
      <c r="R196" t="s">
        <v>207</v>
      </c>
      <c r="S196" t="s">
        <v>212</v>
      </c>
      <c r="T196" t="n">
        <v>0</v>
      </c>
    </row>
    <row r="197">
      <c r="A197" t="s">
        <v>30</v>
      </c>
      <c r="B197" t="n">
        <v>1.04</v>
      </c>
      <c r="C197" t="n">
        <v>0.87</v>
      </c>
      <c r="D197" t="n">
        <v>1.04</v>
      </c>
      <c r="E197" t="n">
        <v>-4.75</v>
      </c>
      <c r="F197" t="n">
        <v>-0.5</v>
      </c>
      <c r="G197" t="n">
        <v>2</v>
      </c>
      <c r="H197" t="n">
        <v>12</v>
      </c>
      <c r="I197" t="s">
        <v>207</v>
      </c>
      <c r="J197" t="n">
        <v>0</v>
      </c>
      <c r="K197" t="n">
        <v>0</v>
      </c>
      <c r="L197" t="n">
        <v>0</v>
      </c>
      <c r="M197" t="n">
        <v>12</v>
      </c>
      <c r="N197" t="n">
        <v>-0.5</v>
      </c>
      <c r="O197" t="n">
        <v>-0.5</v>
      </c>
      <c r="P197" t="n">
        <v>19</v>
      </c>
      <c r="Q197" t="n">
        <v>12</v>
      </c>
      <c r="R197" t="s">
        <v>207</v>
      </c>
      <c r="S197" t="s">
        <v>219</v>
      </c>
      <c r="T197" t="n">
        <v>-0.75</v>
      </c>
    </row>
    <row r="198">
      <c r="A198" t="s">
        <v>30</v>
      </c>
      <c r="B198" t="n">
        <v>1.05</v>
      </c>
      <c r="C198" t="n">
        <v>1.02</v>
      </c>
      <c r="D198" t="n">
        <v>1</v>
      </c>
      <c r="E198" t="n">
        <v>-5.5</v>
      </c>
      <c r="F198" t="n">
        <v>-0.25</v>
      </c>
      <c r="G198" t="n">
        <v>11</v>
      </c>
      <c r="H198" t="n">
        <v>12</v>
      </c>
      <c r="I198" t="s">
        <v>207</v>
      </c>
      <c r="J198" t="n">
        <v>0</v>
      </c>
      <c r="K198" t="n">
        <v>0</v>
      </c>
      <c r="L198" t="n">
        <v>0</v>
      </c>
      <c r="M198" t="n">
        <v>12</v>
      </c>
      <c r="N198" t="n">
        <v>-0.25</v>
      </c>
      <c r="O198" t="n">
        <v>0</v>
      </c>
      <c r="P198" t="n">
        <v>160</v>
      </c>
      <c r="Q198" t="n">
        <v>12</v>
      </c>
      <c r="R198" t="s">
        <v>208</v>
      </c>
      <c r="S198" t="s">
        <v>208</v>
      </c>
      <c r="T198" t="n">
        <v>-0.25</v>
      </c>
    </row>
    <row r="199">
      <c r="A199" t="s">
        <v>30</v>
      </c>
      <c r="B199" t="n">
        <v>1.12</v>
      </c>
      <c r="C199" t="n">
        <v>1.18</v>
      </c>
      <c r="D199" t="n">
        <v>1.16</v>
      </c>
      <c r="E199" t="n">
        <v>-6.5</v>
      </c>
      <c r="F199" t="n">
        <v>-1</v>
      </c>
      <c r="G199" t="n">
        <v>159</v>
      </c>
      <c r="H199" t="n">
        <v>12</v>
      </c>
      <c r="I199" t="s">
        <v>212</v>
      </c>
      <c r="J199" t="n">
        <v>0</v>
      </c>
      <c r="K199" t="n">
        <v>0</v>
      </c>
      <c r="L199" t="n">
        <v>0</v>
      </c>
      <c r="M199" t="n">
        <v>12</v>
      </c>
      <c r="N199" t="n">
        <v>0</v>
      </c>
      <c r="O199" t="n">
        <v>0</v>
      </c>
      <c r="P199" t="n">
        <v>13</v>
      </c>
      <c r="Q199" t="n">
        <v>12</v>
      </c>
      <c r="R199" t="s">
        <v>216</v>
      </c>
      <c r="S199" t="s">
        <v>213</v>
      </c>
      <c r="T199" t="n">
        <v>0</v>
      </c>
    </row>
    <row r="200">
      <c r="A200" t="s">
        <v>30</v>
      </c>
      <c r="B200" t="n">
        <v>1.06</v>
      </c>
      <c r="C200" t="n">
        <v>1.07</v>
      </c>
      <c r="D200" t="n">
        <v>1.09</v>
      </c>
      <c r="E200" t="n">
        <v>-4.25</v>
      </c>
      <c r="F200" t="n">
        <v>0</v>
      </c>
      <c r="G200" t="n">
        <v>1</v>
      </c>
      <c r="H200" t="n">
        <v>12</v>
      </c>
      <c r="I200" t="s">
        <v>207</v>
      </c>
      <c r="J200" t="n">
        <v>0</v>
      </c>
      <c r="K200" t="n">
        <v>0</v>
      </c>
      <c r="L200" t="n">
        <v>0</v>
      </c>
      <c r="M200" t="n">
        <v>12</v>
      </c>
      <c r="N200" t="n">
        <v>0.5</v>
      </c>
      <c r="O200" t="n">
        <v>-0.25</v>
      </c>
      <c r="P200" t="n">
        <v>13</v>
      </c>
      <c r="Q200" t="n">
        <v>12</v>
      </c>
      <c r="R200" t="s">
        <v>212</v>
      </c>
      <c r="S200" t="s">
        <v>207</v>
      </c>
      <c r="T200" t="n">
        <v>0.25</v>
      </c>
    </row>
    <row r="201">
      <c r="A201" t="s">
        <v>30</v>
      </c>
      <c r="B201" t="n">
        <v>1.04</v>
      </c>
      <c r="C201" t="n">
        <v>1.07</v>
      </c>
      <c r="D201" t="n">
        <v>1.01</v>
      </c>
      <c r="E201" t="n">
        <v>-5</v>
      </c>
      <c r="F201" t="n">
        <v>-0.25</v>
      </c>
      <c r="G201" t="n">
        <v>89</v>
      </c>
      <c r="H201" t="n">
        <v>12</v>
      </c>
      <c r="I201" t="s">
        <v>207</v>
      </c>
      <c r="J201" t="n">
        <v>0</v>
      </c>
      <c r="K201" t="n">
        <v>0</v>
      </c>
      <c r="L201" t="n">
        <v>0</v>
      </c>
      <c r="M201" t="n">
        <v>12</v>
      </c>
      <c r="N201" t="n">
        <v>0</v>
      </c>
      <c r="O201" t="n">
        <v>-0.25</v>
      </c>
      <c r="P201" t="n">
        <v>60</v>
      </c>
      <c r="Q201" t="n">
        <v>12</v>
      </c>
      <c r="R201" t="s">
        <v>208</v>
      </c>
      <c r="S201" t="s">
        <v>207</v>
      </c>
      <c r="T201" t="n">
        <v>0</v>
      </c>
    </row>
    <row r="202">
      <c r="A202" t="s">
        <v>30</v>
      </c>
      <c r="B202" t="n">
        <v>0.91</v>
      </c>
      <c r="C202" t="n">
        <v>0.94</v>
      </c>
      <c r="D202" t="n">
        <v>0.94</v>
      </c>
      <c r="E202" t="n">
        <v>-3.5</v>
      </c>
      <c r="F202" t="n">
        <v>-1</v>
      </c>
      <c r="G202" t="n">
        <v>110</v>
      </c>
      <c r="H202" t="n">
        <v>12</v>
      </c>
      <c r="I202" t="s">
        <v>210</v>
      </c>
      <c r="J202" t="n">
        <v>0</v>
      </c>
      <c r="K202" t="n">
        <v>0</v>
      </c>
      <c r="L202" t="n">
        <v>0</v>
      </c>
      <c r="M202" t="n">
        <v>12</v>
      </c>
      <c r="N202" t="n">
        <v>0</v>
      </c>
      <c r="O202" t="n">
        <v>-0.25</v>
      </c>
      <c r="P202" t="n">
        <v>121</v>
      </c>
      <c r="Q202" t="n">
        <v>12</v>
      </c>
      <c r="R202" t="s">
        <v>209</v>
      </c>
      <c r="S202" t="s">
        <v>209</v>
      </c>
      <c r="T202" t="n">
        <v>-0.25</v>
      </c>
    </row>
    <row r="203">
      <c r="A203" t="s">
        <v>30</v>
      </c>
      <c r="B203" t="n">
        <v>1.04</v>
      </c>
      <c r="C203" t="n">
        <v>0.89</v>
      </c>
      <c r="D203" t="n">
        <v>1.05</v>
      </c>
      <c r="E203" t="n">
        <v>-2.5</v>
      </c>
      <c r="F203" t="n">
        <v>-0.25</v>
      </c>
      <c r="G203" t="n">
        <v>105</v>
      </c>
      <c r="H203" t="n">
        <v>12</v>
      </c>
      <c r="I203" t="s">
        <v>207</v>
      </c>
      <c r="J203" t="n">
        <v>0</v>
      </c>
      <c r="K203" t="n">
        <v>0</v>
      </c>
      <c r="L203" t="n">
        <v>0</v>
      </c>
      <c r="M203" t="n">
        <v>12</v>
      </c>
      <c r="N203" t="n">
        <v>0.25</v>
      </c>
      <c r="O203" t="n">
        <v>-0.5</v>
      </c>
      <c r="P203" t="n">
        <v>132</v>
      </c>
      <c r="Q203" t="n">
        <v>12</v>
      </c>
      <c r="R203" t="s">
        <v>207</v>
      </c>
      <c r="S203" t="s">
        <v>219</v>
      </c>
      <c r="T203" t="n">
        <v>0</v>
      </c>
    </row>
    <row r="204">
      <c r="A204" t="s">
        <v>30</v>
      </c>
      <c r="B204" t="n">
        <v>1.01</v>
      </c>
      <c r="C204" t="n">
        <v>1.09</v>
      </c>
      <c r="D204" t="n">
        <v>1.01</v>
      </c>
      <c r="E204" t="n">
        <v>-6.75</v>
      </c>
      <c r="F204" t="n">
        <v>-1.25</v>
      </c>
      <c r="G204" t="n">
        <v>14</v>
      </c>
      <c r="H204" t="n">
        <v>12</v>
      </c>
      <c r="I204" t="s">
        <v>208</v>
      </c>
      <c r="J204" t="n">
        <v>0</v>
      </c>
      <c r="K204" t="n">
        <v>0</v>
      </c>
      <c r="L204" t="n">
        <v>0</v>
      </c>
      <c r="M204" t="n">
        <v>12</v>
      </c>
      <c r="N204" t="n">
        <v>0</v>
      </c>
      <c r="O204" t="n">
        <v>-0.25</v>
      </c>
      <c r="P204" t="n">
        <v>13</v>
      </c>
      <c r="Q204" t="n">
        <v>12</v>
      </c>
      <c r="R204" t="s">
        <v>208</v>
      </c>
      <c r="S204" t="s">
        <v>212</v>
      </c>
      <c r="T204" t="n">
        <v>-0.25</v>
      </c>
    </row>
    <row r="205">
      <c r="A205" t="s">
        <v>30</v>
      </c>
      <c r="B205" t="n">
        <v>0.94</v>
      </c>
      <c r="C205" t="n">
        <v>0.92</v>
      </c>
      <c r="D205" t="n">
        <v>0.95</v>
      </c>
      <c r="E205" t="n">
        <v>-3</v>
      </c>
      <c r="F205" t="n">
        <v>-1.25</v>
      </c>
      <c r="G205" t="n">
        <v>163</v>
      </c>
      <c r="H205" t="n">
        <v>12</v>
      </c>
      <c r="I205" t="s">
        <v>209</v>
      </c>
      <c r="J205" t="n">
        <v>0</v>
      </c>
      <c r="K205" t="n">
        <v>0</v>
      </c>
      <c r="L205" t="n">
        <v>0</v>
      </c>
      <c r="M205" t="n">
        <v>12</v>
      </c>
      <c r="N205" t="n">
        <v>0</v>
      </c>
      <c r="O205" t="n">
        <v>0</v>
      </c>
      <c r="P205" t="n">
        <v>5</v>
      </c>
      <c r="Q205" t="n">
        <v>12</v>
      </c>
      <c r="R205" t="s">
        <v>209</v>
      </c>
      <c r="S205" t="s">
        <v>210</v>
      </c>
      <c r="T205" t="n">
        <v>0</v>
      </c>
    </row>
    <row r="206">
      <c r="A206" t="s">
        <v>30</v>
      </c>
      <c r="B206" t="n">
        <v>1.03</v>
      </c>
      <c r="C206" t="n">
        <v>0.87</v>
      </c>
      <c r="D206" t="n">
        <v>1</v>
      </c>
      <c r="E206" t="n">
        <v>-2</v>
      </c>
      <c r="F206" t="n">
        <v>-1</v>
      </c>
      <c r="G206" t="n">
        <v>94</v>
      </c>
      <c r="H206" t="n">
        <v>12</v>
      </c>
      <c r="I206" t="s">
        <v>207</v>
      </c>
      <c r="J206" t="n">
        <v>0</v>
      </c>
      <c r="K206" t="n">
        <v>0</v>
      </c>
      <c r="L206" t="n">
        <v>0</v>
      </c>
      <c r="M206" t="n">
        <v>12</v>
      </c>
      <c r="N206" t="n">
        <v>0.5</v>
      </c>
      <c r="O206" t="n">
        <v>0</v>
      </c>
      <c r="P206" t="n">
        <v>104</v>
      </c>
      <c r="Q206" t="n">
        <v>12</v>
      </c>
      <c r="R206" t="s">
        <v>208</v>
      </c>
      <c r="S206" t="s">
        <v>219</v>
      </c>
      <c r="T206" t="n">
        <v>0.5</v>
      </c>
    </row>
    <row r="207">
      <c r="A207" t="s">
        <v>30</v>
      </c>
      <c r="B207" t="n">
        <v>0.94</v>
      </c>
      <c r="C207" t="n">
        <v>0.91</v>
      </c>
      <c r="D207" t="n">
        <v>0.93</v>
      </c>
      <c r="E207" t="n">
        <v>-6</v>
      </c>
      <c r="F207" t="n">
        <v>-0.5</v>
      </c>
      <c r="G207" t="n">
        <v>85</v>
      </c>
      <c r="H207" t="n">
        <v>12</v>
      </c>
      <c r="I207" t="s">
        <v>209</v>
      </c>
      <c r="J207" t="n">
        <v>0</v>
      </c>
      <c r="K207" t="n">
        <v>0</v>
      </c>
      <c r="L207" t="n">
        <v>0</v>
      </c>
      <c r="M207" t="n">
        <v>12</v>
      </c>
      <c r="N207" t="n">
        <v>0</v>
      </c>
      <c r="O207" t="n">
        <v>-0.25</v>
      </c>
      <c r="P207" t="n">
        <v>110</v>
      </c>
      <c r="Q207" t="n">
        <v>12</v>
      </c>
      <c r="R207" t="s">
        <v>210</v>
      </c>
      <c r="S207" t="s">
        <v>210</v>
      </c>
      <c r="T207" t="n">
        <v>0</v>
      </c>
    </row>
    <row r="208">
      <c r="A208" t="s">
        <v>30</v>
      </c>
      <c r="B208" t="n">
        <v>1.12</v>
      </c>
      <c r="C208" t="n">
        <v>1.08</v>
      </c>
      <c r="D208" t="n">
        <v>1.12</v>
      </c>
      <c r="E208" t="n">
        <v>-7</v>
      </c>
      <c r="F208" t="n">
        <v>-0.5</v>
      </c>
      <c r="G208" t="n">
        <v>127</v>
      </c>
      <c r="H208" t="n">
        <v>12</v>
      </c>
      <c r="I208" t="s">
        <v>212</v>
      </c>
      <c r="J208" t="n">
        <v>0</v>
      </c>
      <c r="K208" t="n">
        <v>0</v>
      </c>
      <c r="L208" t="n">
        <v>0</v>
      </c>
      <c r="M208" t="n">
        <v>12</v>
      </c>
      <c r="N208" t="n">
        <v>0.75</v>
      </c>
      <c r="O208" t="n">
        <v>-0.5</v>
      </c>
      <c r="P208" t="n">
        <v>132</v>
      </c>
      <c r="Q208" t="n">
        <v>12</v>
      </c>
      <c r="R208" t="s">
        <v>212</v>
      </c>
      <c r="S208" t="s">
        <v>212</v>
      </c>
      <c r="T208" t="n">
        <v>0.5</v>
      </c>
    </row>
    <row r="209">
      <c r="A209" t="s">
        <v>30</v>
      </c>
      <c r="B209" t="n">
        <v>0.95</v>
      </c>
      <c r="C209" t="n">
        <v>1.02</v>
      </c>
      <c r="D209" t="n">
        <v>0.99</v>
      </c>
      <c r="E209" t="n">
        <v>-3.75</v>
      </c>
      <c r="F209" t="n">
        <v>-0.25</v>
      </c>
      <c r="G209" t="n">
        <v>173</v>
      </c>
      <c r="H209" t="n">
        <v>12</v>
      </c>
      <c r="I209" t="s">
        <v>209</v>
      </c>
      <c r="J209" t="n">
        <v>0</v>
      </c>
      <c r="K209" t="n">
        <v>0</v>
      </c>
      <c r="L209" t="n">
        <v>0</v>
      </c>
      <c r="M209" t="n">
        <v>12</v>
      </c>
      <c r="N209" t="n">
        <v>0.25</v>
      </c>
      <c r="O209" t="n">
        <v>0</v>
      </c>
      <c r="P209" t="n">
        <v>11</v>
      </c>
      <c r="Q209" t="n">
        <v>12</v>
      </c>
      <c r="R209" t="s">
        <v>208</v>
      </c>
      <c r="S209" t="s">
        <v>208</v>
      </c>
      <c r="T209" t="n">
        <v>0.25</v>
      </c>
    </row>
    <row r="210">
      <c r="A210" t="s">
        <v>30</v>
      </c>
      <c r="B210" t="n">
        <v>1.04</v>
      </c>
      <c r="C210" t="n">
        <v>1.15</v>
      </c>
      <c r="D210" t="n">
        <v>1.07</v>
      </c>
      <c r="E210" t="n">
        <v>-1</v>
      </c>
      <c r="F210" t="n">
        <v>-1</v>
      </c>
      <c r="G210" t="n">
        <v>87</v>
      </c>
      <c r="H210" t="n">
        <v>12</v>
      </c>
      <c r="I210" t="s">
        <v>207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-0.25</v>
      </c>
      <c r="P210" t="n">
        <v>102</v>
      </c>
      <c r="Q210" t="n">
        <v>12</v>
      </c>
      <c r="R210" t="s">
        <v>207</v>
      </c>
      <c r="S210" t="s">
        <v>216</v>
      </c>
      <c r="T210" t="n">
        <v>-0.25</v>
      </c>
    </row>
    <row r="211">
      <c r="A211" t="s">
        <v>30</v>
      </c>
      <c r="B211" t="n">
        <v>0.99</v>
      </c>
      <c r="C211" t="n">
        <v>0.89</v>
      </c>
      <c r="D211" t="n">
        <v>0.99</v>
      </c>
      <c r="E211" t="n">
        <v>-0.5</v>
      </c>
      <c r="F211" t="n">
        <v>-0.75</v>
      </c>
      <c r="G211" t="n">
        <v>89</v>
      </c>
      <c r="H211" t="n">
        <v>12</v>
      </c>
      <c r="I211" t="s">
        <v>208</v>
      </c>
      <c r="J211" t="n">
        <v>0</v>
      </c>
      <c r="K211" t="n">
        <v>0</v>
      </c>
      <c r="L211" t="n">
        <v>0</v>
      </c>
      <c r="M211" t="n">
        <v>12</v>
      </c>
      <c r="N211" t="n">
        <v>0.5</v>
      </c>
      <c r="O211" t="n">
        <v>-0.25</v>
      </c>
      <c r="P211" t="n">
        <v>74</v>
      </c>
      <c r="Q211" t="n">
        <v>12</v>
      </c>
      <c r="R211" t="s">
        <v>208</v>
      </c>
      <c r="S211" t="s">
        <v>219</v>
      </c>
      <c r="T211" t="n">
        <v>0.5</v>
      </c>
    </row>
    <row r="212">
      <c r="A212" t="s">
        <v>30</v>
      </c>
      <c r="B212" t="n">
        <v>1.06</v>
      </c>
      <c r="C212" t="n">
        <v>1.02</v>
      </c>
      <c r="D212" t="n">
        <v>1.07</v>
      </c>
      <c r="E212" t="n">
        <v>-1.75</v>
      </c>
      <c r="F212" t="n">
        <v>-2.5</v>
      </c>
      <c r="G212" t="n">
        <v>20</v>
      </c>
      <c r="H212" t="n">
        <v>12</v>
      </c>
      <c r="I212" t="s">
        <v>207</v>
      </c>
      <c r="J212" t="n">
        <v>0</v>
      </c>
      <c r="K212" t="n">
        <v>0</v>
      </c>
      <c r="L212" t="n">
        <v>0</v>
      </c>
      <c r="M212" t="n">
        <v>12</v>
      </c>
      <c r="N212" t="n">
        <v>0.25</v>
      </c>
      <c r="O212" t="n">
        <v>0</v>
      </c>
      <c r="P212" t="n">
        <v>33</v>
      </c>
      <c r="Q212" t="n">
        <v>12</v>
      </c>
      <c r="R212" t="s">
        <v>207</v>
      </c>
      <c r="S212" t="s">
        <v>208</v>
      </c>
      <c r="T212" t="n">
        <v>0.25</v>
      </c>
    </row>
    <row r="213">
      <c r="A213" t="s">
        <v>30</v>
      </c>
      <c r="B213" t="n">
        <v>1.05</v>
      </c>
      <c r="C213" t="n">
        <v>0.83</v>
      </c>
      <c r="D213" t="n">
        <v>1.05</v>
      </c>
      <c r="E213" t="n">
        <v>-3.5</v>
      </c>
      <c r="F213" t="n">
        <v>-0.75</v>
      </c>
      <c r="G213" t="n">
        <v>15</v>
      </c>
      <c r="H213" t="n">
        <v>12</v>
      </c>
      <c r="I213" t="s">
        <v>207</v>
      </c>
      <c r="J213" t="n">
        <v>0</v>
      </c>
      <c r="K213" t="n">
        <v>0</v>
      </c>
      <c r="L213" t="n">
        <v>0</v>
      </c>
      <c r="M213" t="n">
        <v>12</v>
      </c>
      <c r="N213" t="n">
        <v>-0.25</v>
      </c>
      <c r="O213" t="n">
        <v>0</v>
      </c>
      <c r="P213" t="n">
        <v>108</v>
      </c>
      <c r="Q213" t="n">
        <v>12</v>
      </c>
      <c r="R213" t="s">
        <v>207</v>
      </c>
      <c r="S213" t="s">
        <v>217</v>
      </c>
      <c r="T213" t="n">
        <v>-0.25</v>
      </c>
    </row>
    <row r="214">
      <c r="A214" t="s">
        <v>30</v>
      </c>
      <c r="B214" t="n">
        <v>1.06</v>
      </c>
      <c r="C214" t="n">
        <v>1.08</v>
      </c>
      <c r="D214" t="n">
        <v>1.07</v>
      </c>
      <c r="E214" t="n">
        <v>-4</v>
      </c>
      <c r="F214" t="n">
        <v>-1</v>
      </c>
      <c r="G214" t="n">
        <v>60</v>
      </c>
      <c r="H214" t="n">
        <v>12</v>
      </c>
      <c r="I214" t="s">
        <v>207</v>
      </c>
      <c r="J214" t="n">
        <v>0</v>
      </c>
      <c r="K214" t="n">
        <v>0</v>
      </c>
      <c r="L214" t="n">
        <v>0</v>
      </c>
      <c r="M214" t="n">
        <v>12</v>
      </c>
      <c r="N214" t="n">
        <v>-0.25</v>
      </c>
      <c r="O214" t="n">
        <v>0</v>
      </c>
      <c r="P214" t="n">
        <v>130</v>
      </c>
      <c r="Q214" t="n">
        <v>12</v>
      </c>
      <c r="R214" t="s">
        <v>207</v>
      </c>
      <c r="S214" t="s">
        <v>212</v>
      </c>
      <c r="T214" t="n">
        <v>-0.25</v>
      </c>
    </row>
    <row r="215">
      <c r="A215" t="s">
        <v>30</v>
      </c>
      <c r="B215" t="n">
        <v>1</v>
      </c>
      <c r="C215" t="n">
        <v>0.81</v>
      </c>
      <c r="D215" t="n">
        <v>0.85</v>
      </c>
      <c r="E215" t="n">
        <v>-5.5</v>
      </c>
      <c r="F215" t="n">
        <v>-0.25</v>
      </c>
      <c r="G215" t="n">
        <v>99</v>
      </c>
      <c r="H215" t="n">
        <v>12</v>
      </c>
      <c r="I215" t="s">
        <v>208</v>
      </c>
      <c r="J215" t="n">
        <v>0</v>
      </c>
      <c r="K215" t="n">
        <v>0</v>
      </c>
      <c r="L215" t="n">
        <v>0</v>
      </c>
      <c r="M215" t="n">
        <v>12</v>
      </c>
      <c r="N215" t="n">
        <v>0</v>
      </c>
      <c r="O215" t="n">
        <v>-0.25</v>
      </c>
      <c r="P215" t="n">
        <v>110</v>
      </c>
      <c r="Q215" t="n">
        <v>12</v>
      </c>
      <c r="R215" t="s">
        <v>217</v>
      </c>
      <c r="S215" t="s">
        <v>211</v>
      </c>
      <c r="T215" t="n">
        <v>0</v>
      </c>
    </row>
    <row r="216">
      <c r="A216" t="s">
        <v>30</v>
      </c>
      <c r="B216" t="n">
        <v>0.98</v>
      </c>
      <c r="C216" t="n">
        <v>0.83</v>
      </c>
      <c r="D216" t="n">
        <v>0.93</v>
      </c>
      <c r="E216" t="n">
        <v>-8.75</v>
      </c>
      <c r="F216" t="n">
        <v>-1</v>
      </c>
      <c r="G216" t="n">
        <v>87</v>
      </c>
      <c r="H216" t="n">
        <v>12</v>
      </c>
      <c r="I216" t="s">
        <v>208</v>
      </c>
      <c r="J216" t="n">
        <v>0</v>
      </c>
      <c r="K216" t="n">
        <v>0</v>
      </c>
      <c r="L216" t="n">
        <v>0</v>
      </c>
      <c r="M216" t="n">
        <v>12</v>
      </c>
      <c r="N216" t="n">
        <v>-0.5</v>
      </c>
      <c r="O216" t="n">
        <v>-0.25</v>
      </c>
      <c r="P216" t="n">
        <v>104</v>
      </c>
      <c r="Q216" t="n">
        <v>12</v>
      </c>
      <c r="R216" t="s">
        <v>210</v>
      </c>
      <c r="S216" t="s">
        <v>217</v>
      </c>
      <c r="T216" t="n">
        <v>-0.5</v>
      </c>
    </row>
    <row r="217">
      <c r="A217" t="s">
        <v>30</v>
      </c>
      <c r="B217" t="n">
        <v>0.91</v>
      </c>
      <c r="C217" t="n">
        <v>0.81</v>
      </c>
      <c r="D217" t="n">
        <v>0.9</v>
      </c>
      <c r="E217" t="n">
        <v>-7.25</v>
      </c>
      <c r="F217" t="n">
        <v>-0.25</v>
      </c>
      <c r="G217" t="n">
        <v>12</v>
      </c>
      <c r="H217" t="n">
        <v>12</v>
      </c>
      <c r="I217" t="s">
        <v>210</v>
      </c>
      <c r="J217" t="n">
        <v>0</v>
      </c>
      <c r="K217" t="n">
        <v>0</v>
      </c>
      <c r="L217" t="n">
        <v>0</v>
      </c>
      <c r="M217" t="n">
        <v>12</v>
      </c>
      <c r="N217" t="n">
        <v>0</v>
      </c>
      <c r="O217" t="n">
        <v>-0.25</v>
      </c>
      <c r="P217" t="n">
        <v>34</v>
      </c>
      <c r="Q217" t="n">
        <v>12</v>
      </c>
      <c r="R217" t="s">
        <v>210</v>
      </c>
      <c r="S217" t="s">
        <v>211</v>
      </c>
      <c r="T217" t="n">
        <v>-0.25</v>
      </c>
    </row>
    <row r="218">
      <c r="A218" t="s">
        <v>30</v>
      </c>
      <c r="B218" t="n">
        <v>1</v>
      </c>
      <c r="C218" t="n">
        <v>0.8</v>
      </c>
      <c r="D218" t="n">
        <v>0.97</v>
      </c>
      <c r="E218" t="n">
        <v>-3.5</v>
      </c>
      <c r="F218" t="n">
        <v>-0.5</v>
      </c>
      <c r="G218" t="n">
        <v>158</v>
      </c>
      <c r="H218" t="n">
        <v>12</v>
      </c>
      <c r="I218" t="s">
        <v>208</v>
      </c>
      <c r="J218" t="n">
        <v>0</v>
      </c>
      <c r="K218" t="n">
        <v>0</v>
      </c>
      <c r="L218" t="n">
        <v>0</v>
      </c>
      <c r="M218" t="n">
        <v>12</v>
      </c>
      <c r="N218" t="n">
        <v>-0.25</v>
      </c>
      <c r="O218" t="n">
        <v>-0.5</v>
      </c>
      <c r="P218" t="n">
        <v>158</v>
      </c>
      <c r="Q218" t="n">
        <v>12</v>
      </c>
      <c r="R218" t="s">
        <v>209</v>
      </c>
      <c r="S218" t="s">
        <v>211</v>
      </c>
      <c r="T218" t="n">
        <v>-0.5</v>
      </c>
    </row>
    <row r="219">
      <c r="A219" t="s">
        <v>30</v>
      </c>
      <c r="B219" t="n">
        <v>1.12</v>
      </c>
      <c r="C219" t="n">
        <v>1.18</v>
      </c>
      <c r="D219" t="n">
        <v>1.14</v>
      </c>
      <c r="E219" t="n">
        <v>-0.5</v>
      </c>
      <c r="F219" t="n">
        <v>-0.5</v>
      </c>
      <c r="G219" t="n">
        <v>177</v>
      </c>
      <c r="H219" t="n">
        <v>12</v>
      </c>
      <c r="I219" t="s">
        <v>212</v>
      </c>
      <c r="J219" t="n">
        <v>0</v>
      </c>
      <c r="K219" t="n">
        <v>0</v>
      </c>
      <c r="L219" t="n">
        <v>0</v>
      </c>
      <c r="M219" t="n">
        <v>12</v>
      </c>
      <c r="N219" t="n">
        <v>0</v>
      </c>
      <c r="O219" t="n">
        <v>-0.25</v>
      </c>
      <c r="P219" t="n">
        <v>14</v>
      </c>
      <c r="Q219" t="n">
        <v>12</v>
      </c>
      <c r="R219" t="s">
        <v>216</v>
      </c>
      <c r="S219" t="s">
        <v>213</v>
      </c>
      <c r="T219" t="n">
        <v>-0.25</v>
      </c>
    </row>
    <row r="220">
      <c r="A220" t="s">
        <v>30</v>
      </c>
      <c r="B220" t="n">
        <v>1.02</v>
      </c>
      <c r="C220" t="n">
        <v>0.89</v>
      </c>
      <c r="D220" t="n">
        <v>1.08</v>
      </c>
      <c r="E220" t="n">
        <v>-5.25</v>
      </c>
      <c r="F220" t="n">
        <v>-0.25</v>
      </c>
      <c r="G220" t="n">
        <v>81</v>
      </c>
      <c r="H220" t="n">
        <v>12</v>
      </c>
      <c r="I220" t="s">
        <v>208</v>
      </c>
      <c r="J220" t="n">
        <v>0</v>
      </c>
      <c r="K220" t="n">
        <v>0</v>
      </c>
      <c r="L220" t="n">
        <v>0</v>
      </c>
      <c r="M220" t="n">
        <v>12</v>
      </c>
      <c r="N220" t="n">
        <v>-0.5</v>
      </c>
      <c r="O220" t="n">
        <v>-0.25</v>
      </c>
      <c r="P220" t="n">
        <v>104</v>
      </c>
      <c r="Q220" t="n">
        <v>12</v>
      </c>
      <c r="R220" t="s">
        <v>212</v>
      </c>
      <c r="S220" t="s">
        <v>219</v>
      </c>
      <c r="T220" t="n">
        <v>-0.5</v>
      </c>
    </row>
    <row r="221">
      <c r="A221" t="s">
        <v>30</v>
      </c>
      <c r="B221" t="n">
        <v>1.11</v>
      </c>
      <c r="C221" t="n">
        <v>1.11</v>
      </c>
      <c r="D221" t="n">
        <v>1.15</v>
      </c>
      <c r="E221" t="n">
        <v>-2.25</v>
      </c>
      <c r="F221" t="n">
        <v>-0.5</v>
      </c>
      <c r="G221" t="n">
        <v>17</v>
      </c>
      <c r="H221" t="n">
        <v>12</v>
      </c>
      <c r="I221" t="s">
        <v>212</v>
      </c>
      <c r="J221" t="n">
        <v>0</v>
      </c>
      <c r="K221" t="n">
        <v>0</v>
      </c>
      <c r="L221" t="n">
        <v>0</v>
      </c>
      <c r="M221" t="n">
        <v>12</v>
      </c>
      <c r="N221" t="n">
        <v>0.25</v>
      </c>
      <c r="O221" t="n">
        <v>0</v>
      </c>
      <c r="P221" t="n">
        <v>10</v>
      </c>
      <c r="Q221" t="n">
        <v>12</v>
      </c>
      <c r="R221" t="s">
        <v>216</v>
      </c>
      <c r="S221" t="s">
        <v>212</v>
      </c>
      <c r="T221" t="n">
        <v>0.25</v>
      </c>
    </row>
    <row r="222">
      <c r="A222" t="s">
        <v>30</v>
      </c>
      <c r="B222" t="n">
        <v>1</v>
      </c>
      <c r="C222" t="n">
        <v>1.1</v>
      </c>
      <c r="D222" t="n">
        <v>1.05</v>
      </c>
      <c r="E222" t="n">
        <v>-3.75</v>
      </c>
      <c r="F222" t="n">
        <v>-0.5</v>
      </c>
      <c r="G222" t="n">
        <v>91</v>
      </c>
      <c r="H222" t="n">
        <v>12</v>
      </c>
      <c r="I222" t="s">
        <v>208</v>
      </c>
      <c r="J222" t="n">
        <v>0</v>
      </c>
      <c r="K222" t="n">
        <v>0</v>
      </c>
      <c r="L222" t="n">
        <v>0</v>
      </c>
      <c r="M222" t="n">
        <v>12</v>
      </c>
      <c r="N222" t="n">
        <v>0.25</v>
      </c>
      <c r="O222" t="n">
        <v>0</v>
      </c>
      <c r="P222" t="n">
        <v>93</v>
      </c>
      <c r="Q222" t="n">
        <v>12</v>
      </c>
      <c r="R222" t="s">
        <v>207</v>
      </c>
      <c r="S222" t="s">
        <v>212</v>
      </c>
      <c r="T222" t="n">
        <v>0.25</v>
      </c>
    </row>
    <row r="223">
      <c r="A223" t="s">
        <v>30</v>
      </c>
      <c r="B223" t="n">
        <v>0.94</v>
      </c>
      <c r="C223" t="n">
        <v>0.99</v>
      </c>
      <c r="D223" t="n">
        <v>0.98</v>
      </c>
      <c r="E223" t="n">
        <v>-6</v>
      </c>
      <c r="F223" t="n">
        <v>0</v>
      </c>
      <c r="G223" t="n">
        <v>166</v>
      </c>
      <c r="H223" t="n">
        <v>12</v>
      </c>
      <c r="I223" t="s">
        <v>209</v>
      </c>
      <c r="J223" t="n">
        <v>0</v>
      </c>
      <c r="K223" t="n">
        <v>0</v>
      </c>
      <c r="L223" t="n">
        <v>0</v>
      </c>
      <c r="M223" t="n">
        <v>12</v>
      </c>
      <c r="N223" t="n">
        <v>0.25</v>
      </c>
      <c r="O223" t="n">
        <v>0</v>
      </c>
      <c r="P223" t="n">
        <v>5</v>
      </c>
      <c r="Q223" t="n">
        <v>12</v>
      </c>
      <c r="R223" t="s">
        <v>208</v>
      </c>
      <c r="S223" t="s">
        <v>208</v>
      </c>
      <c r="T223" t="n">
        <v>0.25</v>
      </c>
    </row>
    <row r="224">
      <c r="A224" t="s">
        <v>30</v>
      </c>
      <c r="B224" t="n">
        <v>1.07</v>
      </c>
      <c r="C224" t="n">
        <v>1.01</v>
      </c>
      <c r="D224" t="n">
        <v>1.1</v>
      </c>
      <c r="E224" t="n">
        <v>-3.75</v>
      </c>
      <c r="F224" t="n">
        <v>-0.25</v>
      </c>
      <c r="G224" t="n">
        <v>100</v>
      </c>
      <c r="H224" t="n">
        <v>12</v>
      </c>
      <c r="I224" t="s">
        <v>207</v>
      </c>
      <c r="J224" t="n">
        <v>0</v>
      </c>
      <c r="K224" t="n">
        <v>0</v>
      </c>
      <c r="L224" t="n">
        <v>0</v>
      </c>
      <c r="M224" t="n">
        <v>12</v>
      </c>
      <c r="N224" t="n">
        <v>0</v>
      </c>
      <c r="O224" t="n">
        <v>0</v>
      </c>
      <c r="P224" t="n">
        <v>114</v>
      </c>
      <c r="Q224" t="n">
        <v>12</v>
      </c>
      <c r="R224" t="s">
        <v>212</v>
      </c>
      <c r="S224" t="s">
        <v>208</v>
      </c>
      <c r="T224" t="n">
        <v>0</v>
      </c>
    </row>
    <row r="225">
      <c r="A225" t="s">
        <v>30</v>
      </c>
      <c r="B225" t="n">
        <v>0.98</v>
      </c>
      <c r="C225" t="n">
        <v>0.76</v>
      </c>
      <c r="D225" t="n">
        <v>1</v>
      </c>
      <c r="E225" t="n">
        <v>-4</v>
      </c>
      <c r="F225" t="n">
        <v>0</v>
      </c>
      <c r="G225" t="n">
        <v>87</v>
      </c>
      <c r="H225" t="n">
        <v>12</v>
      </c>
      <c r="I225" t="s">
        <v>208</v>
      </c>
      <c r="J225" t="n">
        <v>0</v>
      </c>
      <c r="K225" t="n">
        <v>0</v>
      </c>
      <c r="L225" t="n">
        <v>0</v>
      </c>
      <c r="M225" t="n">
        <v>12</v>
      </c>
      <c r="N225" t="n">
        <v>-0.5</v>
      </c>
      <c r="O225" t="n">
        <v>0</v>
      </c>
      <c r="P225" t="n">
        <v>97</v>
      </c>
      <c r="Q225" t="n">
        <v>12</v>
      </c>
      <c r="R225" t="s">
        <v>208</v>
      </c>
      <c r="S225" t="s">
        <v>220</v>
      </c>
      <c r="T225" t="n">
        <v>-0.5</v>
      </c>
    </row>
    <row r="226">
      <c r="A226" t="s">
        <v>30</v>
      </c>
      <c r="B226" t="n">
        <v>1.13</v>
      </c>
      <c r="C226" t="n">
        <v>1.11</v>
      </c>
      <c r="D226" t="n">
        <v>1.19</v>
      </c>
      <c r="E226" t="n">
        <v>-5.25</v>
      </c>
      <c r="F226" t="n">
        <v>-0.75</v>
      </c>
      <c r="G226" t="n">
        <v>117</v>
      </c>
      <c r="H226" t="n">
        <v>12</v>
      </c>
      <c r="I226" t="s">
        <v>216</v>
      </c>
      <c r="J226" t="n">
        <v>0</v>
      </c>
      <c r="K226" t="n">
        <v>0</v>
      </c>
      <c r="L226" t="n">
        <v>0</v>
      </c>
      <c r="M226" t="n">
        <v>12</v>
      </c>
      <c r="N226" t="n">
        <v>-0.25</v>
      </c>
      <c r="O226" t="n">
        <v>-0.5</v>
      </c>
      <c r="P226" t="n">
        <v>103</v>
      </c>
      <c r="Q226" t="n">
        <v>12</v>
      </c>
      <c r="R226" t="s">
        <v>213</v>
      </c>
      <c r="S226" t="s">
        <v>212</v>
      </c>
      <c r="T226" t="n">
        <v>-0.5</v>
      </c>
    </row>
    <row r="227">
      <c r="A227" t="s">
        <v>30</v>
      </c>
      <c r="B227" t="n">
        <v>0.98</v>
      </c>
      <c r="C227" t="n">
        <v>0.96</v>
      </c>
      <c r="D227" t="n">
        <v>0.97</v>
      </c>
      <c r="E227" t="n">
        <v>-6.75</v>
      </c>
      <c r="F227" t="n">
        <v>0</v>
      </c>
      <c r="G227" t="n">
        <v>146</v>
      </c>
      <c r="H227" t="n">
        <v>12</v>
      </c>
      <c r="I227" t="s">
        <v>208</v>
      </c>
      <c r="J227" t="n">
        <v>0</v>
      </c>
      <c r="K227" t="n">
        <v>0</v>
      </c>
      <c r="L227" t="n">
        <v>0</v>
      </c>
      <c r="M227" t="n">
        <v>12</v>
      </c>
      <c r="N227" t="n">
        <v>0</v>
      </c>
      <c r="O227" t="n">
        <v>-0.25</v>
      </c>
      <c r="P227" t="n">
        <v>116</v>
      </c>
      <c r="Q227" t="n">
        <v>12</v>
      </c>
      <c r="R227" t="s">
        <v>209</v>
      </c>
      <c r="S227" t="s">
        <v>209</v>
      </c>
      <c r="T227" t="n">
        <v>-0.25</v>
      </c>
    </row>
    <row r="228">
      <c r="A228" t="s">
        <v>30</v>
      </c>
      <c r="B228" t="n">
        <v>1.14</v>
      </c>
      <c r="C228" t="n">
        <v>1.25</v>
      </c>
      <c r="D228" t="n">
        <v>1.19</v>
      </c>
      <c r="E228" t="n">
        <v>-6.5</v>
      </c>
      <c r="F228" t="n">
        <v>-0.25</v>
      </c>
      <c r="G228" t="n">
        <v>1</v>
      </c>
      <c r="H228" t="n">
        <v>12</v>
      </c>
      <c r="I228" t="s">
        <v>216</v>
      </c>
      <c r="J228" t="n">
        <v>0</v>
      </c>
      <c r="K228" t="n">
        <v>0</v>
      </c>
      <c r="L228" t="n">
        <v>0</v>
      </c>
      <c r="M228" t="n">
        <v>12</v>
      </c>
      <c r="N228" t="n">
        <v>-0.25</v>
      </c>
      <c r="O228" t="n">
        <v>0</v>
      </c>
      <c r="P228" t="n">
        <v>97</v>
      </c>
      <c r="Q228" t="n">
        <v>12</v>
      </c>
      <c r="R228" t="s">
        <v>213</v>
      </c>
      <c r="S228" t="s">
        <v>215</v>
      </c>
      <c r="T228" t="n">
        <v>-0.25</v>
      </c>
    </row>
    <row r="229">
      <c r="A229" t="s">
        <v>30</v>
      </c>
      <c r="B229" t="n">
        <v>1</v>
      </c>
      <c r="C229" t="n">
        <v>0.99</v>
      </c>
      <c r="D229" t="n">
        <v>1.06</v>
      </c>
      <c r="E229" t="n">
        <v>-4.25</v>
      </c>
      <c r="F229" t="n">
        <v>-1.25</v>
      </c>
      <c r="G229" t="n">
        <v>75</v>
      </c>
      <c r="H229" t="n">
        <v>12</v>
      </c>
      <c r="I229" t="s">
        <v>208</v>
      </c>
      <c r="J229" t="n">
        <v>0</v>
      </c>
      <c r="K229" t="n">
        <v>0</v>
      </c>
      <c r="L229" t="n">
        <v>0</v>
      </c>
      <c r="M229" t="n">
        <v>12</v>
      </c>
      <c r="N229" t="n">
        <v>1</v>
      </c>
      <c r="O229" t="n">
        <v>-0.25</v>
      </c>
      <c r="P229" t="n">
        <v>50</v>
      </c>
      <c r="Q229" t="n">
        <v>12</v>
      </c>
      <c r="R229" t="s">
        <v>207</v>
      </c>
      <c r="S229" t="s">
        <v>208</v>
      </c>
      <c r="T229" t="n">
        <v>0.75</v>
      </c>
    </row>
    <row r="230">
      <c r="A230" t="s">
        <v>30</v>
      </c>
      <c r="B230" t="n">
        <v>1.07</v>
      </c>
      <c r="C230" t="n">
        <v>1.21</v>
      </c>
      <c r="D230" t="n">
        <v>1.04</v>
      </c>
      <c r="E230" t="n">
        <v>-3.75</v>
      </c>
      <c r="F230" t="n">
        <v>-0.5</v>
      </c>
      <c r="G230" t="n">
        <v>10</v>
      </c>
      <c r="H230" t="n">
        <v>12</v>
      </c>
      <c r="I230" t="s">
        <v>207</v>
      </c>
      <c r="J230" t="n">
        <v>0</v>
      </c>
      <c r="K230" t="n">
        <v>0</v>
      </c>
      <c r="L230" t="n">
        <v>0</v>
      </c>
      <c r="M230" t="n">
        <v>12</v>
      </c>
      <c r="N230" t="n">
        <v>0.5</v>
      </c>
      <c r="O230" t="n">
        <v>-0.25</v>
      </c>
      <c r="P230" t="n">
        <v>176</v>
      </c>
      <c r="Q230" t="n">
        <v>12</v>
      </c>
      <c r="R230" t="s">
        <v>207</v>
      </c>
      <c r="S230" t="s">
        <v>213</v>
      </c>
      <c r="T230" t="n">
        <v>0.5</v>
      </c>
    </row>
    <row r="231">
      <c r="A231" t="s">
        <v>30</v>
      </c>
      <c r="B231" t="n">
        <v>1.03</v>
      </c>
      <c r="C231" t="n">
        <v>0.98</v>
      </c>
      <c r="D231" t="n">
        <v>1.03</v>
      </c>
      <c r="E231" t="n">
        <v>-6</v>
      </c>
      <c r="F231" t="n">
        <v>-0.25</v>
      </c>
      <c r="G231" t="n">
        <v>152</v>
      </c>
      <c r="H231" t="n">
        <v>12</v>
      </c>
      <c r="I231" t="s">
        <v>207</v>
      </c>
      <c r="J231" t="n">
        <v>0</v>
      </c>
      <c r="K231" t="n">
        <v>0</v>
      </c>
      <c r="L231" t="n">
        <v>0</v>
      </c>
      <c r="M231" t="n">
        <v>12</v>
      </c>
      <c r="N231" t="n">
        <v>0</v>
      </c>
      <c r="O231" t="n">
        <v>0</v>
      </c>
      <c r="P231" t="n">
        <v>57</v>
      </c>
      <c r="Q231" t="n">
        <v>12</v>
      </c>
      <c r="R231" t="s">
        <v>207</v>
      </c>
      <c r="S231" t="s">
        <v>208</v>
      </c>
      <c r="T231" t="n">
        <v>0</v>
      </c>
    </row>
    <row r="232">
      <c r="A232" t="s">
        <v>30</v>
      </c>
      <c r="B232" t="n">
        <v>1.09</v>
      </c>
      <c r="C232" t="n">
        <v>1.14</v>
      </c>
      <c r="D232" t="n">
        <v>1.05</v>
      </c>
      <c r="E232" t="n">
        <v>-5.5</v>
      </c>
      <c r="F232" t="n">
        <v>-1.25</v>
      </c>
      <c r="G232" t="n">
        <v>105</v>
      </c>
      <c r="H232" t="n">
        <v>12</v>
      </c>
      <c r="I232" t="s">
        <v>212</v>
      </c>
      <c r="J232" t="n">
        <v>0</v>
      </c>
      <c r="K232" t="n">
        <v>0</v>
      </c>
      <c r="L232" t="n">
        <v>0</v>
      </c>
      <c r="M232" t="n">
        <v>12</v>
      </c>
      <c r="N232" t="n">
        <v>0.75</v>
      </c>
      <c r="O232" t="n">
        <v>-0.5</v>
      </c>
      <c r="P232" t="n">
        <v>107</v>
      </c>
      <c r="Q232" t="n">
        <v>12</v>
      </c>
      <c r="R232" t="s">
        <v>207</v>
      </c>
      <c r="S232" t="s">
        <v>216</v>
      </c>
      <c r="T232" t="n">
        <v>0.5</v>
      </c>
    </row>
    <row r="233">
      <c r="A233" t="s">
        <v>30</v>
      </c>
      <c r="B233" t="n">
        <v>0.98</v>
      </c>
      <c r="C233" t="n">
        <v>1.05</v>
      </c>
      <c r="D233" t="n">
        <v>0.99</v>
      </c>
      <c r="E233" t="n">
        <v>-1</v>
      </c>
      <c r="F233" t="n">
        <v>-0.5</v>
      </c>
      <c r="G233" t="n">
        <v>78</v>
      </c>
      <c r="H233" t="n">
        <v>12</v>
      </c>
      <c r="I233" t="s">
        <v>208</v>
      </c>
      <c r="J233" t="n">
        <v>0</v>
      </c>
      <c r="K233" t="n">
        <v>0</v>
      </c>
      <c r="L233" t="n">
        <v>0</v>
      </c>
      <c r="M233" t="n">
        <v>12</v>
      </c>
      <c r="N233" t="n">
        <v>0</v>
      </c>
      <c r="O233" t="n">
        <v>-0.25</v>
      </c>
      <c r="P233" t="n">
        <v>65</v>
      </c>
      <c r="Q233" t="n">
        <v>12</v>
      </c>
      <c r="R233" t="s">
        <v>208</v>
      </c>
      <c r="S233" t="s">
        <v>207</v>
      </c>
      <c r="T233" t="n">
        <v>0</v>
      </c>
    </row>
    <row r="234">
      <c r="A234" t="s">
        <v>30</v>
      </c>
      <c r="B234" t="n">
        <v>1.18</v>
      </c>
      <c r="C234" t="n">
        <v>1.13</v>
      </c>
      <c r="D234" t="n">
        <v>1.23</v>
      </c>
      <c r="E234" t="n">
        <v>-2.75</v>
      </c>
      <c r="F234" t="n">
        <v>-0.25</v>
      </c>
      <c r="G234" t="n">
        <v>179</v>
      </c>
      <c r="H234" t="n">
        <v>12</v>
      </c>
      <c r="I234" t="s">
        <v>213</v>
      </c>
      <c r="J234" t="n">
        <v>0</v>
      </c>
      <c r="K234" t="n">
        <v>0</v>
      </c>
      <c r="L234" t="n">
        <v>0</v>
      </c>
      <c r="M234" t="n">
        <v>12</v>
      </c>
      <c r="N234" t="n">
        <v>0</v>
      </c>
      <c r="O234" t="n">
        <v>-0.25</v>
      </c>
      <c r="P234" t="n">
        <v>24</v>
      </c>
      <c r="Q234" t="n">
        <v>12</v>
      </c>
      <c r="R234" t="s">
        <v>213</v>
      </c>
      <c r="S234" t="s">
        <v>216</v>
      </c>
      <c r="T234" t="n">
        <v>-0.25</v>
      </c>
    </row>
    <row r="235">
      <c r="A235" t="s">
        <v>30</v>
      </c>
      <c r="B235" t="n">
        <v>0.99</v>
      </c>
      <c r="C235" t="n">
        <v>1.01</v>
      </c>
      <c r="D235" t="n">
        <v>1.03</v>
      </c>
      <c r="E235" t="n">
        <v>-2.75</v>
      </c>
      <c r="F235" t="n">
        <v>-0.25</v>
      </c>
      <c r="G235" t="n">
        <v>102</v>
      </c>
      <c r="H235" t="n">
        <v>12</v>
      </c>
      <c r="I235" t="s">
        <v>208</v>
      </c>
      <c r="J235" t="n">
        <v>0</v>
      </c>
      <c r="K235" t="n">
        <v>0</v>
      </c>
      <c r="L235" t="n">
        <v>0</v>
      </c>
      <c r="M235" t="n">
        <v>12</v>
      </c>
      <c r="N235" t="n">
        <v>1</v>
      </c>
      <c r="O235" t="n">
        <v>-0.25</v>
      </c>
      <c r="P235" t="n">
        <v>81</v>
      </c>
      <c r="Q235" t="n">
        <v>12</v>
      </c>
      <c r="R235" t="s">
        <v>207</v>
      </c>
      <c r="S235" t="s">
        <v>208</v>
      </c>
      <c r="T235" t="n">
        <v>0.75</v>
      </c>
    </row>
    <row r="236">
      <c r="A236" t="s">
        <v>30</v>
      </c>
      <c r="B236" t="n">
        <v>0.98</v>
      </c>
      <c r="C236" t="n">
        <v>1.03</v>
      </c>
      <c r="D236" t="n">
        <v>1.03</v>
      </c>
      <c r="E236" t="n">
        <v>-1.5</v>
      </c>
      <c r="F236" t="n">
        <v>-2.75</v>
      </c>
      <c r="G236" t="n">
        <v>43</v>
      </c>
      <c r="H236" t="n">
        <v>12</v>
      </c>
      <c r="I236" t="s">
        <v>208</v>
      </c>
      <c r="J236" t="n">
        <v>0</v>
      </c>
      <c r="K236" t="n">
        <v>0</v>
      </c>
      <c r="L236" t="n">
        <v>0</v>
      </c>
      <c r="M236" t="n">
        <v>12</v>
      </c>
      <c r="N236" t="n">
        <v>0</v>
      </c>
      <c r="O236" t="n">
        <v>-0.25</v>
      </c>
      <c r="P236" t="n">
        <v>47</v>
      </c>
      <c r="Q236" t="n">
        <v>12</v>
      </c>
      <c r="R236" t="s">
        <v>207</v>
      </c>
      <c r="S236" t="s">
        <v>207</v>
      </c>
      <c r="T236" t="n">
        <v>0</v>
      </c>
    </row>
    <row r="237">
      <c r="A237" t="s">
        <v>30</v>
      </c>
      <c r="B237" t="n">
        <v>1.07</v>
      </c>
      <c r="C237" t="n">
        <v>0.87</v>
      </c>
      <c r="D237" t="n">
        <v>1.06</v>
      </c>
      <c r="E237" t="n">
        <v>-2.75</v>
      </c>
      <c r="F237" t="n">
        <v>-0.25</v>
      </c>
      <c r="G237" t="n">
        <v>85</v>
      </c>
      <c r="H237" t="n">
        <v>12</v>
      </c>
      <c r="I237" t="s">
        <v>207</v>
      </c>
      <c r="J237" t="n">
        <v>0</v>
      </c>
      <c r="K237" t="n">
        <v>0</v>
      </c>
      <c r="L237" t="n">
        <v>0</v>
      </c>
      <c r="M237" t="n">
        <v>12</v>
      </c>
      <c r="N237" t="n">
        <v>-0.75</v>
      </c>
      <c r="O237" t="n">
        <v>0</v>
      </c>
      <c r="P237" t="n">
        <v>83</v>
      </c>
      <c r="Q237" t="n">
        <v>12</v>
      </c>
      <c r="R237" t="s">
        <v>207</v>
      </c>
      <c r="S237" t="s">
        <v>219</v>
      </c>
      <c r="T237" t="n">
        <v>-0.75</v>
      </c>
    </row>
    <row r="238">
      <c r="A238" t="s">
        <v>30</v>
      </c>
      <c r="B238" t="n">
        <v>1.06</v>
      </c>
      <c r="C238" t="n">
        <v>1.22</v>
      </c>
      <c r="D238" t="n">
        <v>1.14</v>
      </c>
      <c r="E238" t="n">
        <v>-5.5</v>
      </c>
      <c r="F238" t="n">
        <v>-0.25</v>
      </c>
      <c r="G238" t="n">
        <v>76</v>
      </c>
      <c r="H238" t="n">
        <v>12</v>
      </c>
      <c r="I238" t="s">
        <v>207</v>
      </c>
      <c r="J238" t="n">
        <v>0</v>
      </c>
      <c r="K238" t="n">
        <v>0</v>
      </c>
      <c r="L238" t="n">
        <v>0</v>
      </c>
      <c r="M238" t="n">
        <v>12</v>
      </c>
      <c r="N238" t="n">
        <v>0.25</v>
      </c>
      <c r="O238" t="n">
        <v>-0.5</v>
      </c>
      <c r="P238" t="n">
        <v>66</v>
      </c>
      <c r="Q238" t="n">
        <v>12</v>
      </c>
      <c r="R238" t="s">
        <v>216</v>
      </c>
      <c r="S238" t="s">
        <v>213</v>
      </c>
      <c r="T238" t="n">
        <v>0</v>
      </c>
    </row>
    <row r="239">
      <c r="A239" t="s">
        <v>30</v>
      </c>
      <c r="B239" t="n">
        <v>1.18</v>
      </c>
      <c r="C239" t="n">
        <v>1.25</v>
      </c>
      <c r="D239" t="n">
        <v>1.25</v>
      </c>
      <c r="E239" t="n">
        <v>-2</v>
      </c>
      <c r="F239" t="n">
        <v>-0.5</v>
      </c>
      <c r="G239" t="n">
        <v>176</v>
      </c>
      <c r="H239" t="n">
        <v>12</v>
      </c>
      <c r="I239" t="s">
        <v>213</v>
      </c>
      <c r="J239" t="n">
        <v>0</v>
      </c>
      <c r="K239" t="n">
        <v>0</v>
      </c>
      <c r="L239" t="n">
        <v>0</v>
      </c>
      <c r="M239" t="n">
        <v>12</v>
      </c>
      <c r="N239" t="n">
        <v>0.5</v>
      </c>
      <c r="O239" t="n">
        <v>-0.25</v>
      </c>
      <c r="P239" t="n">
        <v>137</v>
      </c>
      <c r="Q239" t="n">
        <v>12</v>
      </c>
      <c r="R239" t="s">
        <v>215</v>
      </c>
      <c r="S239" t="s">
        <v>215</v>
      </c>
      <c r="T239" t="n">
        <v>0.25</v>
      </c>
    </row>
    <row r="240">
      <c r="A240" t="s">
        <v>30</v>
      </c>
      <c r="B240" t="n">
        <v>1.08</v>
      </c>
      <c r="C240" t="n">
        <v>0.97</v>
      </c>
      <c r="D240" t="n">
        <v>1.14</v>
      </c>
      <c r="E240" t="n">
        <v>-2.25</v>
      </c>
      <c r="F240" t="n">
        <v>-1.5</v>
      </c>
      <c r="G240" t="n">
        <v>3</v>
      </c>
      <c r="H240" t="n">
        <v>12</v>
      </c>
      <c r="I240" t="s">
        <v>212</v>
      </c>
      <c r="J240" t="n">
        <v>0</v>
      </c>
      <c r="K240" t="n">
        <v>0</v>
      </c>
      <c r="L240" t="n">
        <v>0</v>
      </c>
      <c r="M240" t="n">
        <v>12</v>
      </c>
      <c r="N240" t="n">
        <v>0.5</v>
      </c>
      <c r="O240" t="n">
        <v>-0.25</v>
      </c>
      <c r="P240" t="n">
        <v>2</v>
      </c>
      <c r="Q240" t="n">
        <v>12</v>
      </c>
      <c r="R240" t="s">
        <v>216</v>
      </c>
      <c r="S240" t="s">
        <v>209</v>
      </c>
      <c r="T240" t="n">
        <v>0.5</v>
      </c>
    </row>
    <row r="241">
      <c r="A241" t="s">
        <v>30</v>
      </c>
      <c r="B241" t="n">
        <v>0.92</v>
      </c>
      <c r="C241" t="n">
        <v>0.91</v>
      </c>
      <c r="D241" t="n">
        <v>0.93</v>
      </c>
      <c r="E241" t="n">
        <v>-0.5</v>
      </c>
      <c r="F241" t="n">
        <v>-0.75</v>
      </c>
      <c r="G241" t="n">
        <v>32</v>
      </c>
      <c r="H241" t="n">
        <v>12</v>
      </c>
      <c r="I241" t="s">
        <v>210</v>
      </c>
      <c r="J241" t="n">
        <v>0</v>
      </c>
      <c r="K241" t="n">
        <v>0</v>
      </c>
      <c r="L241" t="n">
        <v>0</v>
      </c>
      <c r="M241" t="n">
        <v>12</v>
      </c>
      <c r="N241" t="n">
        <v>0</v>
      </c>
      <c r="O241" t="n">
        <v>-0.25</v>
      </c>
      <c r="P241" t="n">
        <v>23</v>
      </c>
      <c r="Q241" t="n">
        <v>12</v>
      </c>
      <c r="R241" t="s">
        <v>210</v>
      </c>
      <c r="S241" t="s">
        <v>210</v>
      </c>
      <c r="T241" t="n">
        <v>-0.25</v>
      </c>
    </row>
    <row r="242">
      <c r="A242" t="s">
        <v>30</v>
      </c>
      <c r="B242" t="n">
        <v>1</v>
      </c>
      <c r="C242" t="n">
        <v>0.94</v>
      </c>
      <c r="D242" t="n">
        <v>1.02</v>
      </c>
      <c r="E242" t="n">
        <v>-4.75</v>
      </c>
      <c r="F242" t="n">
        <v>-0.5</v>
      </c>
      <c r="G242" t="n">
        <v>93</v>
      </c>
      <c r="H242" t="n">
        <v>12</v>
      </c>
      <c r="I242" t="s">
        <v>208</v>
      </c>
      <c r="J242" t="n">
        <v>0</v>
      </c>
      <c r="K242" t="n">
        <v>0</v>
      </c>
      <c r="L242" t="n">
        <v>0</v>
      </c>
      <c r="M242" t="n">
        <v>12</v>
      </c>
      <c r="N242" t="n">
        <v>0</v>
      </c>
      <c r="O242" t="n">
        <v>0</v>
      </c>
      <c r="P242" t="n">
        <v>83</v>
      </c>
      <c r="Q242" t="n">
        <v>12</v>
      </c>
      <c r="R242" t="s">
        <v>208</v>
      </c>
      <c r="S242" t="s">
        <v>209</v>
      </c>
      <c r="T242" t="n">
        <v>0</v>
      </c>
    </row>
    <row r="243">
      <c r="A243" t="s">
        <v>30</v>
      </c>
      <c r="B243" t="n">
        <v>1.08</v>
      </c>
      <c r="C243" t="n">
        <v>1.02</v>
      </c>
      <c r="D243" t="n">
        <v>1.05</v>
      </c>
      <c r="E243" t="n">
        <v>-2.5</v>
      </c>
      <c r="F243" t="n">
        <v>-0.5</v>
      </c>
      <c r="G243" t="n">
        <v>40</v>
      </c>
      <c r="H243" t="n">
        <v>12</v>
      </c>
      <c r="I243" t="s">
        <v>212</v>
      </c>
      <c r="J243" t="n">
        <v>0</v>
      </c>
      <c r="K243" t="n">
        <v>0</v>
      </c>
      <c r="L243" t="n">
        <v>0</v>
      </c>
      <c r="M243" t="n">
        <v>12</v>
      </c>
      <c r="N243" t="n">
        <v>0.25</v>
      </c>
      <c r="O243" t="n">
        <v>0</v>
      </c>
      <c r="P243" t="n">
        <v>109</v>
      </c>
      <c r="Q243" t="n">
        <v>12</v>
      </c>
      <c r="R243" t="s">
        <v>207</v>
      </c>
      <c r="S243" t="s">
        <v>208</v>
      </c>
      <c r="T243" t="n">
        <v>0.25</v>
      </c>
    </row>
    <row r="244">
      <c r="A244" t="s">
        <v>30</v>
      </c>
      <c r="B244" t="n">
        <v>1.06</v>
      </c>
      <c r="C244" t="n">
        <v>1.03</v>
      </c>
      <c r="D244" t="n">
        <v>1.07</v>
      </c>
      <c r="E244" t="n">
        <v>-4</v>
      </c>
      <c r="F244" t="n">
        <v>-0.5</v>
      </c>
      <c r="G244" t="n">
        <v>2</v>
      </c>
      <c r="H244" t="n">
        <v>12</v>
      </c>
      <c r="I244" t="s">
        <v>207</v>
      </c>
      <c r="J244" t="n">
        <v>0</v>
      </c>
      <c r="K244" t="n">
        <v>0</v>
      </c>
      <c r="L244" t="n">
        <v>0</v>
      </c>
      <c r="M244" t="n">
        <v>12</v>
      </c>
      <c r="N244" t="n">
        <v>0.5</v>
      </c>
      <c r="O244" t="n">
        <v>-0.25</v>
      </c>
      <c r="P244" t="n">
        <v>171</v>
      </c>
      <c r="Q244" t="n">
        <v>12</v>
      </c>
      <c r="R244" t="s">
        <v>207</v>
      </c>
      <c r="S244" t="s">
        <v>207</v>
      </c>
      <c r="T244" t="n">
        <v>0.25</v>
      </c>
    </row>
    <row r="245">
      <c r="A245" t="s">
        <v>30</v>
      </c>
      <c r="B245" t="n">
        <v>1.11</v>
      </c>
      <c r="C245" t="n">
        <v>1.05</v>
      </c>
      <c r="D245" t="n">
        <v>1.11</v>
      </c>
      <c r="E245" t="n">
        <v>-6</v>
      </c>
      <c r="F245" t="n">
        <v>-1</v>
      </c>
      <c r="G245" t="n">
        <v>155</v>
      </c>
      <c r="H245" t="n">
        <v>12</v>
      </c>
      <c r="I245" t="s">
        <v>212</v>
      </c>
      <c r="J245" t="n">
        <v>0</v>
      </c>
      <c r="K245" t="n">
        <v>0</v>
      </c>
      <c r="L245" t="n">
        <v>0</v>
      </c>
      <c r="M245" t="n">
        <v>12</v>
      </c>
      <c r="N245" t="n">
        <v>0.25</v>
      </c>
      <c r="O245" t="n">
        <v>0</v>
      </c>
      <c r="P245" t="n">
        <v>108</v>
      </c>
      <c r="Q245" t="n">
        <v>12</v>
      </c>
      <c r="R245" t="s">
        <v>212</v>
      </c>
      <c r="S245" t="s">
        <v>207</v>
      </c>
      <c r="T245" t="n">
        <v>0.25</v>
      </c>
    </row>
    <row r="246">
      <c r="A246" t="s">
        <v>30</v>
      </c>
      <c r="B246" t="n">
        <v>1.05</v>
      </c>
      <c r="C246" t="n">
        <v>0.95</v>
      </c>
      <c r="D246" t="n">
        <v>1.07</v>
      </c>
      <c r="E246" t="n">
        <v>-3.75</v>
      </c>
      <c r="F246" t="n">
        <v>-0.5</v>
      </c>
      <c r="G246" t="n">
        <v>180</v>
      </c>
      <c r="H246" t="n">
        <v>12</v>
      </c>
      <c r="I246" t="s">
        <v>207</v>
      </c>
      <c r="J246" t="n">
        <v>0</v>
      </c>
      <c r="K246" t="n">
        <v>0</v>
      </c>
      <c r="L246" t="n">
        <v>0</v>
      </c>
      <c r="M246" t="n">
        <v>12</v>
      </c>
      <c r="N246" t="n">
        <v>0.5</v>
      </c>
      <c r="O246" t="n">
        <v>-0.5</v>
      </c>
      <c r="P246" t="n">
        <v>13</v>
      </c>
      <c r="Q246" t="n">
        <v>12</v>
      </c>
      <c r="R246" t="s">
        <v>207</v>
      </c>
      <c r="S246" t="s">
        <v>209</v>
      </c>
      <c r="T246" t="n">
        <v>0.25</v>
      </c>
    </row>
    <row r="247">
      <c r="A247" t="s">
        <v>30</v>
      </c>
      <c r="B247" t="n">
        <v>1.01</v>
      </c>
      <c r="C247" t="n">
        <v>0.87</v>
      </c>
      <c r="D247" t="n">
        <v>0.98</v>
      </c>
      <c r="E247" t="n">
        <v>-4.75</v>
      </c>
      <c r="F247" t="n">
        <v>-1</v>
      </c>
      <c r="G247" t="n">
        <v>11</v>
      </c>
      <c r="H247" t="n">
        <v>12</v>
      </c>
      <c r="I247" t="s">
        <v>208</v>
      </c>
      <c r="J247" t="n">
        <v>0</v>
      </c>
      <c r="K247" t="n">
        <v>0</v>
      </c>
      <c r="L247" t="n">
        <v>0</v>
      </c>
      <c r="M247" t="n">
        <v>12</v>
      </c>
      <c r="N247" t="n">
        <v>-0.5</v>
      </c>
      <c r="O247" t="n">
        <v>0</v>
      </c>
      <c r="P247" t="n">
        <v>167</v>
      </c>
      <c r="Q247" t="n">
        <v>12</v>
      </c>
      <c r="R247" t="s">
        <v>208</v>
      </c>
      <c r="S247" t="s">
        <v>219</v>
      </c>
      <c r="T247" t="n">
        <v>-0.5</v>
      </c>
    </row>
    <row r="248">
      <c r="A248" t="s">
        <v>30</v>
      </c>
      <c r="B248" t="n">
        <v>1.07</v>
      </c>
      <c r="C248" t="n">
        <v>1.07</v>
      </c>
      <c r="D248" t="n">
        <v>1.1</v>
      </c>
      <c r="E248" t="n">
        <v>-3.75</v>
      </c>
      <c r="F248" t="n">
        <v>-0.25</v>
      </c>
      <c r="G248" t="n">
        <v>8</v>
      </c>
      <c r="H248" t="n">
        <v>12</v>
      </c>
      <c r="I248" t="s">
        <v>207</v>
      </c>
      <c r="J248" t="n">
        <v>0</v>
      </c>
      <c r="K248" t="n">
        <v>0</v>
      </c>
      <c r="L248" t="n">
        <v>0</v>
      </c>
      <c r="M248" t="n">
        <v>12</v>
      </c>
      <c r="N248" t="n">
        <v>0.5</v>
      </c>
      <c r="O248" t="n">
        <v>-0.25</v>
      </c>
      <c r="P248" t="n">
        <v>179</v>
      </c>
      <c r="Q248" t="n">
        <v>12</v>
      </c>
      <c r="R248" t="s">
        <v>212</v>
      </c>
      <c r="S248" t="s">
        <v>207</v>
      </c>
      <c r="T24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29</v>
      </c>
      <c r="B1" s="4" t="s">
        <v>191</v>
      </c>
      <c r="C1" s="4" t="s">
        <v>192</v>
      </c>
      <c r="D1" s="4" t="s">
        <v>193</v>
      </c>
      <c r="E1" s="5" t="s">
        <v>194</v>
      </c>
      <c r="F1" s="5" t="s">
        <v>195</v>
      </c>
      <c r="G1" s="5" t="s">
        <v>196</v>
      </c>
      <c r="H1" s="5" t="s">
        <v>197</v>
      </c>
      <c r="I1" s="5" t="s">
        <v>65</v>
      </c>
      <c r="J1" s="6" t="s">
        <v>198</v>
      </c>
      <c r="K1" s="6" t="s">
        <v>199</v>
      </c>
      <c r="L1" s="6" t="s">
        <v>200</v>
      </c>
      <c r="M1" s="6" t="s">
        <v>201</v>
      </c>
      <c r="N1" s="7" t="s">
        <v>202</v>
      </c>
      <c r="O1" s="7" t="s">
        <v>203</v>
      </c>
      <c r="P1" s="7" t="s">
        <v>204</v>
      </c>
      <c r="Q1" s="7" t="s">
        <v>205</v>
      </c>
      <c r="R1" s="7" t="s">
        <v>133</v>
      </c>
      <c r="S1" s="7" t="s">
        <v>130</v>
      </c>
      <c r="T1" s="8" t="s">
        <v>206</v>
      </c>
    </row>
    <row r="2">
      <c r="A2" t="s">
        <v>31</v>
      </c>
      <c r="B2" t="n">
        <v>1.09</v>
      </c>
      <c r="C2" t="n">
        <v>0.9</v>
      </c>
      <c r="D2" t="n">
        <v>1.05</v>
      </c>
      <c r="E2" t="n">
        <v>-1.5</v>
      </c>
      <c r="F2" t="n">
        <v>-0.25</v>
      </c>
      <c r="G2" t="n">
        <v>48</v>
      </c>
      <c r="H2" t="n">
        <v>12</v>
      </c>
      <c r="I2" t="s">
        <v>212</v>
      </c>
      <c r="J2" t="n">
        <v>0</v>
      </c>
      <c r="K2" t="n">
        <v>0</v>
      </c>
      <c r="L2" t="n">
        <v>0</v>
      </c>
      <c r="M2" t="n">
        <v>12</v>
      </c>
      <c r="N2" t="n">
        <v>0.25</v>
      </c>
      <c r="O2" t="n">
        <v>0</v>
      </c>
      <c r="P2" t="n">
        <v>108</v>
      </c>
      <c r="Q2" t="n">
        <v>12</v>
      </c>
      <c r="R2" t="s">
        <v>207</v>
      </c>
      <c r="S2" t="s">
        <v>210</v>
      </c>
      <c r="T2" t="n">
        <v>0.25</v>
      </c>
    </row>
    <row r="3">
      <c r="A3" t="s">
        <v>31</v>
      </c>
      <c r="B3" t="n">
        <v>1.07</v>
      </c>
      <c r="C3" t="n">
        <v>1.12</v>
      </c>
      <c r="D3" t="n">
        <v>1.11</v>
      </c>
      <c r="E3" t="n">
        <v>-2.5</v>
      </c>
      <c r="F3" t="n">
        <v>-1.25</v>
      </c>
      <c r="G3" t="n">
        <v>12</v>
      </c>
      <c r="H3" t="n">
        <v>12</v>
      </c>
      <c r="I3" t="s">
        <v>207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-0.25</v>
      </c>
      <c r="P3" t="n">
        <v>8</v>
      </c>
      <c r="Q3" t="n">
        <v>12</v>
      </c>
      <c r="R3" t="s">
        <v>212</v>
      </c>
      <c r="S3" t="s">
        <v>212</v>
      </c>
      <c r="T3" t="n">
        <v>0</v>
      </c>
    </row>
    <row r="4">
      <c r="A4" t="s">
        <v>31</v>
      </c>
      <c r="B4" t="n">
        <v>1.13</v>
      </c>
      <c r="C4" t="n">
        <v>0.89</v>
      </c>
      <c r="D4" t="n">
        <v>1.18</v>
      </c>
      <c r="E4" t="n">
        <v>-1.25</v>
      </c>
      <c r="F4" t="n">
        <v>-1.25</v>
      </c>
      <c r="G4" t="n">
        <v>174</v>
      </c>
      <c r="H4" t="n">
        <v>12</v>
      </c>
      <c r="I4" t="s">
        <v>216</v>
      </c>
      <c r="J4" t="n">
        <v>0</v>
      </c>
      <c r="K4" t="n">
        <v>0</v>
      </c>
      <c r="L4" t="n">
        <v>0</v>
      </c>
      <c r="M4" t="n">
        <v>12</v>
      </c>
      <c r="N4" t="n">
        <v>-0.5</v>
      </c>
      <c r="O4" t="n">
        <v>-0.25</v>
      </c>
      <c r="P4" t="n">
        <v>162</v>
      </c>
      <c r="Q4" t="n">
        <v>12</v>
      </c>
      <c r="R4" t="s">
        <v>213</v>
      </c>
      <c r="S4" t="s">
        <v>219</v>
      </c>
      <c r="T4" t="n">
        <v>-0.5</v>
      </c>
    </row>
    <row r="5">
      <c r="A5" t="s">
        <v>31</v>
      </c>
      <c r="B5" t="n">
        <v>1.02</v>
      </c>
      <c r="C5" t="n">
        <v>1.04</v>
      </c>
      <c r="D5" t="n">
        <v>1.03</v>
      </c>
      <c r="E5" t="n">
        <v>-3</v>
      </c>
      <c r="F5" t="n">
        <v>-0.25</v>
      </c>
      <c r="G5" t="n">
        <v>99</v>
      </c>
      <c r="H5" t="n">
        <v>12</v>
      </c>
      <c r="I5" t="s">
        <v>208</v>
      </c>
      <c r="J5" t="n">
        <v>0</v>
      </c>
      <c r="K5" t="n">
        <v>0</v>
      </c>
      <c r="L5" t="n">
        <v>0</v>
      </c>
      <c r="M5" t="n">
        <v>12</v>
      </c>
      <c r="N5" t="n">
        <v>0.5</v>
      </c>
      <c r="O5" t="n">
        <v>-0.25</v>
      </c>
      <c r="P5" t="n">
        <v>87</v>
      </c>
      <c r="Q5" t="n">
        <v>12</v>
      </c>
      <c r="R5" t="s">
        <v>207</v>
      </c>
      <c r="S5" t="s">
        <v>207</v>
      </c>
      <c r="T5" t="n">
        <v>0.25</v>
      </c>
    </row>
    <row r="6">
      <c r="A6" t="s">
        <v>31</v>
      </c>
      <c r="B6" t="n">
        <v>0.97</v>
      </c>
      <c r="C6" t="n">
        <v>0.83</v>
      </c>
      <c r="D6" t="n">
        <v>0.99</v>
      </c>
      <c r="E6" t="n">
        <v>-1.75</v>
      </c>
      <c r="F6" t="n">
        <v>-0.25</v>
      </c>
      <c r="G6" t="n">
        <v>94</v>
      </c>
      <c r="H6" t="n">
        <v>12</v>
      </c>
      <c r="I6" t="s">
        <v>209</v>
      </c>
      <c r="J6" t="n">
        <v>0</v>
      </c>
      <c r="K6" t="n">
        <v>0</v>
      </c>
      <c r="L6" t="n">
        <v>0</v>
      </c>
      <c r="M6" t="n">
        <v>12</v>
      </c>
      <c r="N6" t="n">
        <v>0.25</v>
      </c>
      <c r="O6" t="n">
        <v>0</v>
      </c>
      <c r="P6" t="n">
        <v>154</v>
      </c>
      <c r="Q6" t="n">
        <v>12</v>
      </c>
      <c r="R6" t="s">
        <v>208</v>
      </c>
      <c r="S6" t="s">
        <v>217</v>
      </c>
      <c r="T6" t="n">
        <v>0.25</v>
      </c>
    </row>
    <row r="7">
      <c r="A7" t="s">
        <v>31</v>
      </c>
      <c r="B7" t="n">
        <v>0.87</v>
      </c>
      <c r="C7" t="n">
        <v>0.85</v>
      </c>
      <c r="D7" t="n">
        <v>0.9</v>
      </c>
      <c r="E7" t="n">
        <v>-6.5</v>
      </c>
      <c r="F7" t="n">
        <v>0</v>
      </c>
      <c r="G7" t="n">
        <v>96</v>
      </c>
      <c r="H7" t="n">
        <v>12</v>
      </c>
      <c r="I7" t="s">
        <v>219</v>
      </c>
      <c r="J7" t="n">
        <v>0</v>
      </c>
      <c r="K7" t="n">
        <v>0</v>
      </c>
      <c r="L7" t="n">
        <v>0</v>
      </c>
      <c r="M7" t="n">
        <v>12</v>
      </c>
      <c r="N7" t="n">
        <v>-0.25</v>
      </c>
      <c r="O7" t="n">
        <v>0</v>
      </c>
      <c r="P7" t="n">
        <v>82</v>
      </c>
      <c r="Q7" t="n">
        <v>12</v>
      </c>
      <c r="R7" t="s">
        <v>210</v>
      </c>
      <c r="S7" t="s">
        <v>217</v>
      </c>
      <c r="T7" t="n">
        <v>-0.25</v>
      </c>
    </row>
    <row r="8">
      <c r="A8" t="s">
        <v>31</v>
      </c>
      <c r="B8" t="n">
        <v>1.02</v>
      </c>
      <c r="C8" t="n">
        <v>0.86</v>
      </c>
      <c r="D8" t="n">
        <v>0.98</v>
      </c>
      <c r="E8" t="n">
        <v>-3.25</v>
      </c>
      <c r="F8" t="n">
        <v>-0.5</v>
      </c>
      <c r="G8" t="n">
        <v>18</v>
      </c>
      <c r="H8" t="n">
        <v>12</v>
      </c>
      <c r="I8" t="s">
        <v>208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-0.25</v>
      </c>
      <c r="P8" t="n">
        <v>154</v>
      </c>
      <c r="Q8" t="n">
        <v>12</v>
      </c>
      <c r="R8" t="s">
        <v>208</v>
      </c>
      <c r="S8" t="s">
        <v>219</v>
      </c>
      <c r="T8" t="n">
        <v>-0.25</v>
      </c>
    </row>
    <row r="9">
      <c r="A9" t="s">
        <v>31</v>
      </c>
      <c r="B9" t="n">
        <v>0.93</v>
      </c>
      <c r="C9" t="n">
        <v>0.8</v>
      </c>
      <c r="D9" t="n">
        <v>0.92</v>
      </c>
      <c r="E9" t="n">
        <v>-5.25</v>
      </c>
      <c r="F9" t="n">
        <v>-0.5</v>
      </c>
      <c r="G9" t="n">
        <v>159</v>
      </c>
      <c r="H9" t="n">
        <v>12</v>
      </c>
      <c r="I9" t="s">
        <v>210</v>
      </c>
      <c r="J9" t="n">
        <v>0</v>
      </c>
      <c r="K9" t="n">
        <v>0</v>
      </c>
      <c r="L9" t="n">
        <v>0</v>
      </c>
      <c r="M9" t="n">
        <v>12</v>
      </c>
      <c r="N9" t="n">
        <v>0.25</v>
      </c>
      <c r="O9" t="n">
        <v>-0.5</v>
      </c>
      <c r="P9" t="n">
        <v>128</v>
      </c>
      <c r="Q9" t="n">
        <v>12</v>
      </c>
      <c r="R9" t="s">
        <v>210</v>
      </c>
      <c r="S9" t="s">
        <v>211</v>
      </c>
      <c r="T9" t="n">
        <v>0</v>
      </c>
    </row>
    <row r="10">
      <c r="A10" t="s">
        <v>31</v>
      </c>
      <c r="B10" t="n">
        <v>0.9</v>
      </c>
      <c r="C10" t="n">
        <v>0.69</v>
      </c>
      <c r="D10" t="n">
        <v>0.93</v>
      </c>
      <c r="E10" t="n">
        <v>-5</v>
      </c>
      <c r="F10" t="n">
        <v>-0.25</v>
      </c>
      <c r="G10" t="n">
        <v>94</v>
      </c>
      <c r="H10" t="n">
        <v>12</v>
      </c>
      <c r="I10" t="s">
        <v>210</v>
      </c>
      <c r="J10" t="n">
        <v>0</v>
      </c>
      <c r="K10" t="n">
        <v>0</v>
      </c>
      <c r="L10" t="n">
        <v>0</v>
      </c>
      <c r="M10" t="n">
        <v>12</v>
      </c>
      <c r="N10" t="n">
        <v>-1</v>
      </c>
      <c r="O10" t="n">
        <v>0</v>
      </c>
      <c r="P10" t="n">
        <v>70</v>
      </c>
      <c r="Q10" t="n">
        <v>12</v>
      </c>
      <c r="R10" t="s">
        <v>210</v>
      </c>
      <c r="S10" t="s">
        <v>218</v>
      </c>
      <c r="T10" t="n">
        <v>-1</v>
      </c>
    </row>
    <row r="11">
      <c r="A11" t="s">
        <v>31</v>
      </c>
      <c r="B11" t="n">
        <v>1.06</v>
      </c>
      <c r="C11" t="n">
        <v>0.92</v>
      </c>
      <c r="D11" t="n">
        <v>1.07</v>
      </c>
      <c r="E11" t="n">
        <v>-2</v>
      </c>
      <c r="F11" t="n">
        <v>-1.25</v>
      </c>
      <c r="G11" t="n">
        <v>96</v>
      </c>
      <c r="H11" t="n">
        <v>12</v>
      </c>
      <c r="I11" t="s">
        <v>207</v>
      </c>
      <c r="J11" t="n">
        <v>0</v>
      </c>
      <c r="K11" t="n">
        <v>0</v>
      </c>
      <c r="L11" t="n">
        <v>0</v>
      </c>
      <c r="M11" t="n">
        <v>12</v>
      </c>
      <c r="N11" t="n">
        <v>0.25</v>
      </c>
      <c r="O11" t="n">
        <v>0</v>
      </c>
      <c r="P11" t="n">
        <v>99</v>
      </c>
      <c r="Q11" t="n">
        <v>12</v>
      </c>
      <c r="R11" t="s">
        <v>207</v>
      </c>
      <c r="S11" t="s">
        <v>210</v>
      </c>
      <c r="T11" t="n">
        <v>0.25</v>
      </c>
    </row>
    <row r="12">
      <c r="A12" t="s">
        <v>31</v>
      </c>
      <c r="B12" t="n">
        <v>1.12</v>
      </c>
      <c r="C12" t="n">
        <v>0.88</v>
      </c>
      <c r="D12" t="n">
        <v>1.17</v>
      </c>
      <c r="E12" t="n">
        <v>-7.25</v>
      </c>
      <c r="F12" t="n">
        <v>-1</v>
      </c>
      <c r="G12" t="n">
        <v>11</v>
      </c>
      <c r="H12" t="n">
        <v>12</v>
      </c>
      <c r="I12" t="s">
        <v>212</v>
      </c>
      <c r="J12" t="n">
        <v>0</v>
      </c>
      <c r="K12" t="n">
        <v>0</v>
      </c>
      <c r="L12" t="n">
        <v>0</v>
      </c>
      <c r="M12" t="n">
        <v>12</v>
      </c>
      <c r="N12" t="n">
        <v>-0.5</v>
      </c>
      <c r="O12" t="n">
        <v>-0.25</v>
      </c>
      <c r="P12" t="n">
        <v>44</v>
      </c>
      <c r="Q12" t="n">
        <v>12</v>
      </c>
      <c r="R12" t="s">
        <v>216</v>
      </c>
      <c r="S12" t="s">
        <v>219</v>
      </c>
      <c r="T12" t="n">
        <v>-0.75</v>
      </c>
    </row>
    <row r="13">
      <c r="A13" t="s">
        <v>31</v>
      </c>
      <c r="B13" t="n">
        <v>0.93</v>
      </c>
      <c r="C13" t="n">
        <v>0.85</v>
      </c>
      <c r="D13" t="n">
        <v>0.98</v>
      </c>
      <c r="E13" t="n">
        <v>-4.5</v>
      </c>
      <c r="F13" t="n">
        <v>-1.25</v>
      </c>
      <c r="G13" t="n">
        <v>32</v>
      </c>
      <c r="H13" t="n">
        <v>12</v>
      </c>
      <c r="I13" t="s">
        <v>210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43</v>
      </c>
      <c r="Q13" t="n">
        <v>12</v>
      </c>
      <c r="R13" t="s">
        <v>208</v>
      </c>
      <c r="S13" t="s">
        <v>217</v>
      </c>
      <c r="T13" t="n">
        <v>0</v>
      </c>
    </row>
    <row r="14">
      <c r="A14" t="s">
        <v>31</v>
      </c>
      <c r="B14" t="n">
        <v>0.97</v>
      </c>
      <c r="C14" t="n">
        <v>0.78</v>
      </c>
      <c r="D14" t="n">
        <v>0.92</v>
      </c>
      <c r="E14" t="n">
        <v>-0.5</v>
      </c>
      <c r="F14" t="n">
        <v>-0.5</v>
      </c>
      <c r="G14" t="n">
        <v>24</v>
      </c>
      <c r="H14" t="n">
        <v>12</v>
      </c>
      <c r="I14" t="s">
        <v>209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17</v>
      </c>
      <c r="Q14" t="n">
        <v>12</v>
      </c>
      <c r="R14" t="s">
        <v>210</v>
      </c>
      <c r="S14" t="s">
        <v>211</v>
      </c>
      <c r="T14" t="n">
        <v>0</v>
      </c>
    </row>
    <row r="15">
      <c r="A15" t="s">
        <v>31</v>
      </c>
      <c r="B15" t="n">
        <v>0.92</v>
      </c>
      <c r="C15" t="n">
        <v>0.8</v>
      </c>
      <c r="D15" t="n">
        <v>0.98</v>
      </c>
      <c r="E15" t="n">
        <v>-1.25</v>
      </c>
      <c r="F15" t="n">
        <v>-0.25</v>
      </c>
      <c r="G15" t="n">
        <v>68</v>
      </c>
      <c r="H15" t="n">
        <v>12</v>
      </c>
      <c r="I15" t="s">
        <v>210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0</v>
      </c>
      <c r="P15" t="n">
        <v>71</v>
      </c>
      <c r="Q15" t="n">
        <v>12</v>
      </c>
      <c r="R15" t="s">
        <v>208</v>
      </c>
      <c r="S15" t="s">
        <v>211</v>
      </c>
      <c r="T15" t="n">
        <v>0</v>
      </c>
    </row>
    <row r="16">
      <c r="A16" t="s">
        <v>31</v>
      </c>
      <c r="B16" t="n">
        <v>0.89</v>
      </c>
      <c r="C16" t="n">
        <v>0.78</v>
      </c>
      <c r="D16" t="n">
        <v>0.93</v>
      </c>
      <c r="E16" t="n">
        <v>-6.25</v>
      </c>
      <c r="F16" t="n">
        <v>-0.75</v>
      </c>
      <c r="G16" t="n">
        <v>85</v>
      </c>
      <c r="H16" t="n">
        <v>12</v>
      </c>
      <c r="I16" t="s">
        <v>219</v>
      </c>
      <c r="J16" t="n">
        <v>0</v>
      </c>
      <c r="K16" t="n">
        <v>0</v>
      </c>
      <c r="L16" t="n">
        <v>0</v>
      </c>
      <c r="M16" t="n">
        <v>12</v>
      </c>
      <c r="N16" t="n">
        <v>-0.5</v>
      </c>
      <c r="O16" t="n">
        <v>-0.25</v>
      </c>
      <c r="P16" t="n">
        <v>117</v>
      </c>
      <c r="Q16" t="n">
        <v>12</v>
      </c>
      <c r="R16" t="s">
        <v>210</v>
      </c>
      <c r="S16" t="s">
        <v>211</v>
      </c>
      <c r="T16" t="n">
        <v>-0.5</v>
      </c>
    </row>
    <row r="17">
      <c r="A17" t="s">
        <v>31</v>
      </c>
      <c r="B17" t="n">
        <v>1.07</v>
      </c>
      <c r="C17" t="n">
        <v>1.02</v>
      </c>
      <c r="D17" t="n">
        <v>1.08</v>
      </c>
      <c r="E17" t="n">
        <v>-3</v>
      </c>
      <c r="F17" t="n">
        <v>-2</v>
      </c>
      <c r="G17" t="n">
        <v>173</v>
      </c>
      <c r="H17" t="n">
        <v>12</v>
      </c>
      <c r="I17" t="s">
        <v>207</v>
      </c>
      <c r="J17" t="n">
        <v>0</v>
      </c>
      <c r="K17" t="n">
        <v>0</v>
      </c>
      <c r="L17" t="n">
        <v>0</v>
      </c>
      <c r="M17" t="n">
        <v>12</v>
      </c>
      <c r="N17" t="n">
        <v>-0.5</v>
      </c>
      <c r="O17" t="n">
        <v>-0.25</v>
      </c>
      <c r="P17" t="n">
        <v>157</v>
      </c>
      <c r="Q17" t="n">
        <v>12</v>
      </c>
      <c r="R17" t="s">
        <v>212</v>
      </c>
      <c r="S17" t="s">
        <v>208</v>
      </c>
      <c r="T17" t="n">
        <v>-0.5</v>
      </c>
    </row>
    <row r="18">
      <c r="A18" t="s">
        <v>31</v>
      </c>
      <c r="B18" t="n">
        <v>1.02</v>
      </c>
      <c r="C18" t="n">
        <v>0.91</v>
      </c>
      <c r="D18" t="n">
        <v>1.06</v>
      </c>
      <c r="E18" t="n">
        <v>-6</v>
      </c>
      <c r="F18" t="n">
        <v>-0.25</v>
      </c>
      <c r="G18" t="n">
        <v>18</v>
      </c>
      <c r="H18" t="n">
        <v>12</v>
      </c>
      <c r="I18" t="s">
        <v>208</v>
      </c>
      <c r="J18" t="n">
        <v>0</v>
      </c>
      <c r="K18" t="n">
        <v>0</v>
      </c>
      <c r="L18" t="n">
        <v>0</v>
      </c>
      <c r="M18" t="n">
        <v>12</v>
      </c>
      <c r="N18" t="n">
        <v>-1</v>
      </c>
      <c r="O18" t="n">
        <v>0</v>
      </c>
      <c r="P18" t="n">
        <v>170</v>
      </c>
      <c r="Q18" t="n">
        <v>12</v>
      </c>
      <c r="R18" t="s">
        <v>207</v>
      </c>
      <c r="S18" t="s">
        <v>210</v>
      </c>
      <c r="T18" t="n">
        <v>-1</v>
      </c>
    </row>
    <row r="19">
      <c r="A19" t="s">
        <v>31</v>
      </c>
      <c r="B19" t="n">
        <v>0.94</v>
      </c>
      <c r="C19" t="n">
        <v>0.82</v>
      </c>
      <c r="D19" t="n">
        <v>0.87</v>
      </c>
      <c r="E19" t="n">
        <v>-1.5</v>
      </c>
      <c r="F19" t="n">
        <v>-0.25</v>
      </c>
      <c r="G19" t="n">
        <v>164</v>
      </c>
      <c r="H19" t="n">
        <v>12</v>
      </c>
      <c r="I19" t="s">
        <v>209</v>
      </c>
      <c r="J19" t="n">
        <v>0</v>
      </c>
      <c r="K19" t="n">
        <v>0</v>
      </c>
      <c r="L19" t="n">
        <v>0</v>
      </c>
      <c r="M19" t="n">
        <v>12</v>
      </c>
      <c r="N19" t="n">
        <v>0.5</v>
      </c>
      <c r="O19" t="n">
        <v>-0.25</v>
      </c>
      <c r="P19" t="n">
        <v>159</v>
      </c>
      <c r="Q19" t="n">
        <v>12</v>
      </c>
      <c r="R19" t="s">
        <v>219</v>
      </c>
      <c r="S19" t="s">
        <v>217</v>
      </c>
      <c r="T19" t="n">
        <v>0.25</v>
      </c>
    </row>
    <row r="20">
      <c r="A20" t="s">
        <v>31</v>
      </c>
      <c r="B20" t="n">
        <v>1.02</v>
      </c>
      <c r="C20" t="n">
        <v>0.85</v>
      </c>
      <c r="D20" t="n">
        <v>0.99</v>
      </c>
      <c r="E20" t="n">
        <v>-3</v>
      </c>
      <c r="F20" t="n">
        <v>-0.5</v>
      </c>
      <c r="G20" t="n">
        <v>172</v>
      </c>
      <c r="H20" t="n">
        <v>12</v>
      </c>
      <c r="I20" t="s">
        <v>208</v>
      </c>
      <c r="J20" t="n">
        <v>0</v>
      </c>
      <c r="K20" t="n">
        <v>0</v>
      </c>
      <c r="L20" t="n">
        <v>0</v>
      </c>
      <c r="M20" t="n">
        <v>12</v>
      </c>
      <c r="N20" t="n">
        <v>0.5</v>
      </c>
      <c r="O20" t="n">
        <v>-0.25</v>
      </c>
      <c r="P20" t="n">
        <v>142</v>
      </c>
      <c r="Q20" t="n">
        <v>12</v>
      </c>
      <c r="R20" t="s">
        <v>208</v>
      </c>
      <c r="S20" t="s">
        <v>217</v>
      </c>
      <c r="T20" t="n">
        <v>0.5</v>
      </c>
    </row>
    <row r="21">
      <c r="A21" t="s">
        <v>31</v>
      </c>
      <c r="B21" t="n">
        <v>1</v>
      </c>
      <c r="C21" t="n">
        <v>0.94</v>
      </c>
      <c r="D21" t="n">
        <v>1.04</v>
      </c>
      <c r="E21" t="n">
        <v>-1.75</v>
      </c>
      <c r="F21" t="n">
        <v>-1.25</v>
      </c>
      <c r="G21" t="n">
        <v>179</v>
      </c>
      <c r="H21" t="n">
        <v>12</v>
      </c>
      <c r="I21" t="s">
        <v>208</v>
      </c>
      <c r="J21" t="n">
        <v>0</v>
      </c>
      <c r="K21" t="n">
        <v>0</v>
      </c>
      <c r="L21" t="n">
        <v>0</v>
      </c>
      <c r="M21" t="n">
        <v>12</v>
      </c>
      <c r="N21" t="n">
        <v>0.25</v>
      </c>
      <c r="O21" t="n">
        <v>0</v>
      </c>
      <c r="P21" t="n">
        <v>155</v>
      </c>
      <c r="Q21" t="n">
        <v>12</v>
      </c>
      <c r="R21" t="s">
        <v>207</v>
      </c>
      <c r="S21" t="s">
        <v>209</v>
      </c>
      <c r="T21" t="n">
        <v>0.25</v>
      </c>
    </row>
    <row r="22">
      <c r="A22" t="s">
        <v>31</v>
      </c>
      <c r="B22" t="n">
        <v>0.93</v>
      </c>
      <c r="C22" t="n">
        <v>0.91</v>
      </c>
      <c r="D22" t="n">
        <v>0.92</v>
      </c>
      <c r="E22" t="n">
        <v>-3.25</v>
      </c>
      <c r="F22" t="n">
        <v>-0.25</v>
      </c>
      <c r="G22" t="n">
        <v>11</v>
      </c>
      <c r="H22" t="n">
        <v>12</v>
      </c>
      <c r="I22" t="s">
        <v>210</v>
      </c>
      <c r="J22" t="n">
        <v>0</v>
      </c>
      <c r="K22" t="n">
        <v>0</v>
      </c>
      <c r="L22" t="n">
        <v>0</v>
      </c>
      <c r="M22" t="n">
        <v>12</v>
      </c>
      <c r="N22" t="n">
        <v>0.5</v>
      </c>
      <c r="O22" t="n">
        <v>-0.25</v>
      </c>
      <c r="P22" t="n">
        <v>169</v>
      </c>
      <c r="Q22" t="n">
        <v>12</v>
      </c>
      <c r="R22" t="s">
        <v>210</v>
      </c>
      <c r="S22" t="s">
        <v>210</v>
      </c>
      <c r="T22" t="n">
        <v>0.25</v>
      </c>
    </row>
    <row r="23">
      <c r="A23" t="s">
        <v>31</v>
      </c>
      <c r="B23" t="n">
        <v>0.96</v>
      </c>
      <c r="C23" t="n">
        <v>0.98</v>
      </c>
      <c r="D23" t="n">
        <v>1</v>
      </c>
      <c r="E23" t="n">
        <v>-5.25</v>
      </c>
      <c r="F23" t="n">
        <v>-0.5</v>
      </c>
      <c r="G23" t="n">
        <v>167</v>
      </c>
      <c r="H23" t="n">
        <v>12</v>
      </c>
      <c r="I23" t="s">
        <v>209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-0.75</v>
      </c>
      <c r="P23" t="n">
        <v>3</v>
      </c>
      <c r="Q23" t="n">
        <v>12</v>
      </c>
      <c r="R23" t="s">
        <v>208</v>
      </c>
      <c r="S23" t="s">
        <v>208</v>
      </c>
      <c r="T23" t="n">
        <v>-0.25</v>
      </c>
    </row>
    <row r="24">
      <c r="A24" t="s">
        <v>31</v>
      </c>
      <c r="B24" t="n">
        <v>1.05</v>
      </c>
      <c r="C24" t="n">
        <v>0.89</v>
      </c>
      <c r="D24" t="n">
        <v>1.04</v>
      </c>
      <c r="E24" t="n">
        <v>-3.75</v>
      </c>
      <c r="F24" t="n">
        <v>-0.75</v>
      </c>
      <c r="G24" t="n">
        <v>94</v>
      </c>
      <c r="H24" t="n">
        <v>12</v>
      </c>
      <c r="I24" t="s">
        <v>207</v>
      </c>
      <c r="J24" t="n">
        <v>0</v>
      </c>
      <c r="K24" t="n">
        <v>0</v>
      </c>
      <c r="L24" t="n">
        <v>0</v>
      </c>
      <c r="M24" t="n">
        <v>12</v>
      </c>
      <c r="N24" t="n">
        <v>-0.5</v>
      </c>
      <c r="O24" t="n">
        <v>-0.25</v>
      </c>
      <c r="P24" t="n">
        <v>63</v>
      </c>
      <c r="Q24" t="n">
        <v>12</v>
      </c>
      <c r="R24" t="s">
        <v>207</v>
      </c>
      <c r="S24" t="s">
        <v>219</v>
      </c>
      <c r="T24" t="n">
        <v>-0.75</v>
      </c>
    </row>
    <row r="25">
      <c r="A25" t="s">
        <v>31</v>
      </c>
      <c r="B25" t="n">
        <v>1.09</v>
      </c>
      <c r="C25" t="n">
        <v>1</v>
      </c>
      <c r="D25" t="n">
        <v>1.11</v>
      </c>
      <c r="E25" t="n">
        <v>-4.75</v>
      </c>
      <c r="F25" t="n">
        <v>-1.5</v>
      </c>
      <c r="G25" t="n">
        <v>174</v>
      </c>
      <c r="H25" t="n">
        <v>12</v>
      </c>
      <c r="I25" t="s">
        <v>212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-0.25</v>
      </c>
      <c r="P25" t="n">
        <v>1</v>
      </c>
      <c r="Q25" t="n">
        <v>12</v>
      </c>
      <c r="R25" t="s">
        <v>212</v>
      </c>
      <c r="S25" t="s">
        <v>208</v>
      </c>
      <c r="T25" t="n">
        <v>0</v>
      </c>
    </row>
    <row r="26">
      <c r="A26" t="s">
        <v>31</v>
      </c>
      <c r="B26" t="n">
        <v>1.01</v>
      </c>
      <c r="C26" t="n">
        <v>0.92</v>
      </c>
      <c r="D26" t="n">
        <v>1</v>
      </c>
      <c r="E26" t="n">
        <v>-4.25</v>
      </c>
      <c r="F26" t="n">
        <v>-0.5</v>
      </c>
      <c r="G26" t="n">
        <v>9</v>
      </c>
      <c r="H26" t="n">
        <v>12</v>
      </c>
      <c r="I26" t="s">
        <v>208</v>
      </c>
      <c r="J26" t="n">
        <v>0</v>
      </c>
      <c r="K26" t="n">
        <v>0</v>
      </c>
      <c r="L26" t="n">
        <v>0</v>
      </c>
      <c r="M26" t="n">
        <v>12</v>
      </c>
      <c r="N26" t="n">
        <v>1</v>
      </c>
      <c r="O26" t="n">
        <v>-0.25</v>
      </c>
      <c r="P26" t="n">
        <v>175</v>
      </c>
      <c r="Q26" t="n">
        <v>12</v>
      </c>
      <c r="R26" t="s">
        <v>208</v>
      </c>
      <c r="S26" t="s">
        <v>210</v>
      </c>
      <c r="T26" t="n">
        <v>0.75</v>
      </c>
    </row>
    <row r="27">
      <c r="A27" t="s">
        <v>31</v>
      </c>
      <c r="B27" t="n">
        <v>1.07</v>
      </c>
      <c r="C27" t="n">
        <v>1.09</v>
      </c>
      <c r="D27" t="n">
        <v>1.14</v>
      </c>
      <c r="E27" t="n">
        <v>-8</v>
      </c>
      <c r="F27" t="n">
        <v>-0.5</v>
      </c>
      <c r="G27" t="n">
        <v>89</v>
      </c>
      <c r="H27" t="n">
        <v>12</v>
      </c>
      <c r="I27" t="s">
        <v>207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-0.5</v>
      </c>
      <c r="P27" t="n">
        <v>109</v>
      </c>
      <c r="Q27" t="n">
        <v>12</v>
      </c>
      <c r="R27" t="s">
        <v>216</v>
      </c>
      <c r="S27" t="s">
        <v>212</v>
      </c>
      <c r="T27" t="n">
        <v>-0.25</v>
      </c>
    </row>
    <row r="28">
      <c r="A28" t="s">
        <v>31</v>
      </c>
      <c r="B28" t="n">
        <v>0.96</v>
      </c>
      <c r="C28" t="n">
        <v>0.9</v>
      </c>
      <c r="D28" t="n">
        <v>0.97</v>
      </c>
      <c r="E28" t="n">
        <v>-6</v>
      </c>
      <c r="F28" t="n">
        <v>-1.5</v>
      </c>
      <c r="G28" t="n">
        <v>100</v>
      </c>
      <c r="H28" t="n">
        <v>12</v>
      </c>
      <c r="I28" t="s">
        <v>209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-0.5</v>
      </c>
      <c r="P28" t="n">
        <v>95</v>
      </c>
      <c r="Q28" t="n">
        <v>12</v>
      </c>
      <c r="R28" t="s">
        <v>209</v>
      </c>
      <c r="S28" t="s">
        <v>210</v>
      </c>
      <c r="T28" t="n">
        <v>-0.25</v>
      </c>
    </row>
    <row r="29">
      <c r="A29" t="s">
        <v>31</v>
      </c>
      <c r="B29" t="n">
        <v>0.91</v>
      </c>
      <c r="C29" t="n">
        <v>0.68</v>
      </c>
      <c r="D29" t="n">
        <v>0.91</v>
      </c>
      <c r="E29" t="n">
        <v>-1.25</v>
      </c>
      <c r="F29" t="n">
        <v>-0.25</v>
      </c>
      <c r="G29" t="n">
        <v>100</v>
      </c>
      <c r="H29" t="n">
        <v>12</v>
      </c>
      <c r="I29" t="s">
        <v>210</v>
      </c>
      <c r="J29" t="n">
        <v>0</v>
      </c>
      <c r="K29" t="n">
        <v>0</v>
      </c>
      <c r="L29" t="n">
        <v>0</v>
      </c>
      <c r="M29" t="n">
        <v>12</v>
      </c>
      <c r="N29" t="n">
        <v>-0.5</v>
      </c>
      <c r="O29" t="n">
        <v>-0.5</v>
      </c>
      <c r="P29" t="n">
        <v>74</v>
      </c>
      <c r="Q29" t="n">
        <v>12</v>
      </c>
      <c r="R29" t="s">
        <v>210</v>
      </c>
      <c r="S29" t="s">
        <v>218</v>
      </c>
      <c r="T29" t="n">
        <v>-0.75</v>
      </c>
    </row>
    <row r="30">
      <c r="A30" t="s">
        <v>31</v>
      </c>
      <c r="B30" t="n">
        <v>1.12</v>
      </c>
      <c r="C30" t="n">
        <v>0.91</v>
      </c>
      <c r="D30" t="n">
        <v>1.08</v>
      </c>
      <c r="E30" t="n">
        <v>-6</v>
      </c>
      <c r="F30" t="n">
        <v>-0.5</v>
      </c>
      <c r="G30" t="n">
        <v>4</v>
      </c>
      <c r="H30" t="n">
        <v>12</v>
      </c>
      <c r="I30" t="s">
        <v>212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-0.25</v>
      </c>
      <c r="P30" t="n">
        <v>179</v>
      </c>
      <c r="Q30" t="n">
        <v>12</v>
      </c>
      <c r="R30" t="s">
        <v>212</v>
      </c>
      <c r="S30" t="s">
        <v>210</v>
      </c>
      <c r="T30" t="n">
        <v>-0.25</v>
      </c>
    </row>
    <row r="31">
      <c r="A31" t="s">
        <v>31</v>
      </c>
      <c r="B31" t="n">
        <v>1.09</v>
      </c>
      <c r="C31" t="n">
        <v>0.91</v>
      </c>
      <c r="D31" t="n">
        <v>1.13</v>
      </c>
      <c r="E31" t="n">
        <v>-4.25</v>
      </c>
      <c r="F31" t="n">
        <v>-0.75</v>
      </c>
      <c r="G31" t="n">
        <v>159</v>
      </c>
      <c r="H31" t="n">
        <v>12</v>
      </c>
      <c r="I31" t="s">
        <v>212</v>
      </c>
      <c r="J31" t="n">
        <v>0</v>
      </c>
      <c r="K31" t="n">
        <v>0</v>
      </c>
      <c r="L31" t="n">
        <v>0</v>
      </c>
      <c r="M31" t="n">
        <v>12</v>
      </c>
      <c r="N31" t="n">
        <v>-0.5</v>
      </c>
      <c r="O31" t="n">
        <v>-0.25</v>
      </c>
      <c r="P31" t="n">
        <v>175</v>
      </c>
      <c r="Q31" t="n">
        <v>12</v>
      </c>
      <c r="R31" t="s">
        <v>216</v>
      </c>
      <c r="S31" t="s">
        <v>210</v>
      </c>
      <c r="T31" t="n">
        <v>-0.75</v>
      </c>
    </row>
    <row r="32">
      <c r="A32" t="s">
        <v>31</v>
      </c>
      <c r="B32" t="n">
        <v>0.94</v>
      </c>
      <c r="C32" t="n">
        <v>0.87</v>
      </c>
      <c r="D32" t="n">
        <v>0.93</v>
      </c>
      <c r="E32" t="n">
        <v>-4.75</v>
      </c>
      <c r="F32" t="n">
        <v>-1</v>
      </c>
      <c r="G32" t="n">
        <v>180</v>
      </c>
      <c r="H32" t="n">
        <v>12</v>
      </c>
      <c r="I32" t="s">
        <v>209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-0.25</v>
      </c>
      <c r="P32" t="n">
        <v>13</v>
      </c>
      <c r="Q32" t="n">
        <v>12</v>
      </c>
      <c r="R32" t="s">
        <v>210</v>
      </c>
      <c r="S32" t="s">
        <v>219</v>
      </c>
      <c r="T32" t="n">
        <v>0</v>
      </c>
    </row>
    <row r="33">
      <c r="A33" t="s">
        <v>31</v>
      </c>
      <c r="B33" t="n">
        <v>0.94</v>
      </c>
      <c r="C33" t="n">
        <v>0.8</v>
      </c>
      <c r="D33" t="n">
        <v>0.97</v>
      </c>
      <c r="E33" t="n">
        <v>-6</v>
      </c>
      <c r="F33" t="n">
        <v>-1.25</v>
      </c>
      <c r="G33" t="n">
        <v>179</v>
      </c>
      <c r="H33" t="n">
        <v>12</v>
      </c>
      <c r="I33" t="s">
        <v>209</v>
      </c>
      <c r="J33" t="n">
        <v>0</v>
      </c>
      <c r="K33" t="n">
        <v>0</v>
      </c>
      <c r="L33" t="n">
        <v>0</v>
      </c>
      <c r="M33" t="n">
        <v>12</v>
      </c>
      <c r="N33" t="n">
        <v>-0.5</v>
      </c>
      <c r="O33" t="n">
        <v>0</v>
      </c>
      <c r="P33" t="n">
        <v>12</v>
      </c>
      <c r="Q33" t="n">
        <v>12</v>
      </c>
      <c r="R33" t="s">
        <v>209</v>
      </c>
      <c r="S33" t="s">
        <v>211</v>
      </c>
      <c r="T33" t="n">
        <v>-0.5</v>
      </c>
    </row>
    <row r="34">
      <c r="A34" t="s">
        <v>31</v>
      </c>
      <c r="B34" t="n">
        <v>1.03</v>
      </c>
      <c r="C34" t="n">
        <v>0.88</v>
      </c>
      <c r="D34" t="n">
        <v>1.04</v>
      </c>
      <c r="E34" t="n">
        <v>-4.75</v>
      </c>
      <c r="F34" t="n">
        <v>-0.75</v>
      </c>
      <c r="G34" t="n">
        <v>6</v>
      </c>
      <c r="H34" t="n">
        <v>12</v>
      </c>
      <c r="I34" t="s">
        <v>207</v>
      </c>
      <c r="J34" t="n">
        <v>0</v>
      </c>
      <c r="K34" t="n">
        <v>0</v>
      </c>
      <c r="L34" t="n">
        <v>0</v>
      </c>
      <c r="M34" t="n">
        <v>12</v>
      </c>
      <c r="N34" t="n">
        <v>0.75</v>
      </c>
      <c r="O34" t="n">
        <v>0</v>
      </c>
      <c r="P34" t="n">
        <v>23</v>
      </c>
      <c r="Q34" t="n">
        <v>12</v>
      </c>
      <c r="R34" t="s">
        <v>207</v>
      </c>
      <c r="S34" t="s">
        <v>219</v>
      </c>
      <c r="T34" t="n">
        <v>0.75</v>
      </c>
    </row>
    <row r="35">
      <c r="A35" t="s">
        <v>31</v>
      </c>
      <c r="B35" t="n">
        <v>1.09</v>
      </c>
      <c r="C35" t="n">
        <v>1.04</v>
      </c>
      <c r="D35" t="n">
        <v>1.16</v>
      </c>
      <c r="E35" t="n">
        <v>-5</v>
      </c>
      <c r="F35" t="n">
        <v>0</v>
      </c>
      <c r="G35" t="n">
        <v>19</v>
      </c>
      <c r="H35" t="n">
        <v>12</v>
      </c>
      <c r="I35" t="s">
        <v>212</v>
      </c>
      <c r="J35" t="n">
        <v>0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52</v>
      </c>
      <c r="Q35" t="n">
        <v>12</v>
      </c>
      <c r="R35" t="s">
        <v>216</v>
      </c>
      <c r="S35" t="s">
        <v>207</v>
      </c>
      <c r="T35" t="n">
        <v>0</v>
      </c>
    </row>
    <row r="36">
      <c r="A36" t="s">
        <v>31</v>
      </c>
      <c r="B36" t="n">
        <v>1.11</v>
      </c>
      <c r="C36" t="n">
        <v>0.99</v>
      </c>
      <c r="D36" t="n">
        <v>1.13</v>
      </c>
      <c r="E36" t="n">
        <v>-7</v>
      </c>
      <c r="F36" t="n">
        <v>-0.5</v>
      </c>
      <c r="G36" t="n">
        <v>17</v>
      </c>
      <c r="H36" t="n">
        <v>12</v>
      </c>
      <c r="I36" t="s">
        <v>212</v>
      </c>
      <c r="J36" t="n">
        <v>0</v>
      </c>
      <c r="K36" t="n">
        <v>0</v>
      </c>
      <c r="L36" t="n">
        <v>0</v>
      </c>
      <c r="M36" t="n">
        <v>12</v>
      </c>
      <c r="N36" t="n">
        <v>-0.75</v>
      </c>
      <c r="O36" t="n">
        <v>0</v>
      </c>
      <c r="P36" t="n">
        <v>171</v>
      </c>
      <c r="Q36" t="n">
        <v>12</v>
      </c>
      <c r="R36" t="s">
        <v>216</v>
      </c>
      <c r="S36" t="s">
        <v>208</v>
      </c>
      <c r="T36" t="n">
        <v>-0.75</v>
      </c>
    </row>
    <row r="37">
      <c r="A37" t="s">
        <v>31</v>
      </c>
      <c r="B37" t="n">
        <v>1.08</v>
      </c>
      <c r="C37" t="n">
        <v>0.88</v>
      </c>
      <c r="D37" t="n">
        <v>1.1</v>
      </c>
      <c r="E37" t="n">
        <v>-2.75</v>
      </c>
      <c r="F37" t="n">
        <v>-0.25</v>
      </c>
      <c r="G37" t="n">
        <v>157</v>
      </c>
      <c r="H37" t="n">
        <v>12</v>
      </c>
      <c r="I37" t="s">
        <v>212</v>
      </c>
      <c r="J37" t="n">
        <v>0</v>
      </c>
      <c r="K37" t="n">
        <v>0</v>
      </c>
      <c r="L37" t="n">
        <v>0</v>
      </c>
      <c r="M37" t="n">
        <v>12</v>
      </c>
      <c r="N37" t="n">
        <v>0.5</v>
      </c>
      <c r="O37" t="n">
        <v>-0.25</v>
      </c>
      <c r="P37" t="n">
        <v>128</v>
      </c>
      <c r="Q37" t="n">
        <v>12</v>
      </c>
      <c r="R37" t="s">
        <v>212</v>
      </c>
      <c r="S37" t="s">
        <v>219</v>
      </c>
      <c r="T37" t="n">
        <v>0.5</v>
      </c>
    </row>
    <row r="38">
      <c r="A38" t="s">
        <v>31</v>
      </c>
      <c r="B38" t="n">
        <v>1.05</v>
      </c>
      <c r="C38" t="n">
        <v>1.01</v>
      </c>
      <c r="D38" t="n">
        <v>1.07</v>
      </c>
      <c r="E38" t="n">
        <v>-5</v>
      </c>
      <c r="F38" t="n">
        <v>-1.5</v>
      </c>
      <c r="G38" t="n">
        <v>0</v>
      </c>
      <c r="H38" t="n">
        <v>12</v>
      </c>
      <c r="I38" t="s">
        <v>207</v>
      </c>
      <c r="J38" t="n">
        <v>0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5</v>
      </c>
      <c r="Q38" t="n">
        <v>12</v>
      </c>
      <c r="R38" t="s">
        <v>207</v>
      </c>
      <c r="S38" t="s">
        <v>208</v>
      </c>
      <c r="T38" t="n">
        <v>0</v>
      </c>
    </row>
    <row r="39">
      <c r="A39" t="s">
        <v>31</v>
      </c>
      <c r="B39" t="n">
        <v>1.07</v>
      </c>
      <c r="C39" t="n">
        <v>0.91</v>
      </c>
      <c r="D39" t="n">
        <v>1.02</v>
      </c>
      <c r="E39" t="n">
        <v>-2</v>
      </c>
      <c r="F39" t="n">
        <v>0</v>
      </c>
      <c r="G39" t="n">
        <v>100</v>
      </c>
      <c r="H39" t="n">
        <v>12</v>
      </c>
      <c r="I39" t="s">
        <v>207</v>
      </c>
      <c r="J39" t="n">
        <v>0</v>
      </c>
      <c r="K39" t="n">
        <v>0</v>
      </c>
      <c r="L39" t="n">
        <v>0</v>
      </c>
      <c r="M39" t="n">
        <v>12</v>
      </c>
      <c r="N39" t="n">
        <v>-0.5</v>
      </c>
      <c r="O39" t="n">
        <v>-0.5</v>
      </c>
      <c r="P39" t="n">
        <v>87</v>
      </c>
      <c r="Q39" t="n">
        <v>12</v>
      </c>
      <c r="R39" t="s">
        <v>208</v>
      </c>
      <c r="S39" t="s">
        <v>210</v>
      </c>
      <c r="T39" t="n">
        <v>-0.75</v>
      </c>
    </row>
    <row r="40">
      <c r="A40" t="s">
        <v>31</v>
      </c>
      <c r="B40" t="n">
        <v>0.94</v>
      </c>
      <c r="C40" t="n">
        <v>0.91</v>
      </c>
      <c r="D40" t="n">
        <v>0.94</v>
      </c>
      <c r="E40" t="n">
        <v>-6.25</v>
      </c>
      <c r="F40" t="n">
        <v>-0.75</v>
      </c>
      <c r="G40" t="n">
        <v>13</v>
      </c>
      <c r="H40" t="n">
        <v>12</v>
      </c>
      <c r="I40" t="s">
        <v>209</v>
      </c>
      <c r="J40" t="n">
        <v>0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9</v>
      </c>
      <c r="Q40" t="n">
        <v>12</v>
      </c>
      <c r="R40" t="s">
        <v>209</v>
      </c>
      <c r="S40" t="s">
        <v>210</v>
      </c>
      <c r="T40" t="n">
        <v>0</v>
      </c>
    </row>
    <row r="41">
      <c r="A41" t="s">
        <v>31</v>
      </c>
      <c r="B41" t="n">
        <v>1.01</v>
      </c>
      <c r="C41" t="n">
        <v>0.99</v>
      </c>
      <c r="D41" t="n">
        <v>1.05</v>
      </c>
      <c r="E41" t="n">
        <v>-4.75</v>
      </c>
      <c r="F41" t="n">
        <v>0</v>
      </c>
      <c r="G41" t="n">
        <v>158</v>
      </c>
      <c r="H41" t="n">
        <v>12</v>
      </c>
      <c r="I41" t="s">
        <v>208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-0.25</v>
      </c>
      <c r="P41" t="n">
        <v>5</v>
      </c>
      <c r="Q41" t="n">
        <v>12</v>
      </c>
      <c r="R41" t="s">
        <v>207</v>
      </c>
      <c r="S41" t="s">
        <v>208</v>
      </c>
      <c r="T41" t="n">
        <v>-0.25</v>
      </c>
    </row>
    <row r="42">
      <c r="A42" t="s">
        <v>31</v>
      </c>
      <c r="B42" t="n">
        <v>1.09</v>
      </c>
      <c r="C42" t="n">
        <v>0.85</v>
      </c>
      <c r="D42" t="n">
        <v>1.06</v>
      </c>
      <c r="E42" t="n">
        <v>-4.25</v>
      </c>
      <c r="F42" t="n">
        <v>-1.75</v>
      </c>
      <c r="G42" t="n">
        <v>104</v>
      </c>
      <c r="H42" t="n">
        <v>12</v>
      </c>
      <c r="I42" t="s">
        <v>212</v>
      </c>
      <c r="J42" t="n">
        <v>0</v>
      </c>
      <c r="K42" t="n">
        <v>0</v>
      </c>
      <c r="L42" t="n">
        <v>0</v>
      </c>
      <c r="M42" t="n">
        <v>12</v>
      </c>
      <c r="N42" t="n">
        <v>-0.5</v>
      </c>
      <c r="O42" t="n">
        <v>-0.25</v>
      </c>
      <c r="P42" t="n">
        <v>99</v>
      </c>
      <c r="Q42" t="n">
        <v>12</v>
      </c>
      <c r="R42" t="s">
        <v>207</v>
      </c>
      <c r="S42" t="s">
        <v>217</v>
      </c>
      <c r="T42" t="n">
        <v>-0.75</v>
      </c>
    </row>
    <row r="43">
      <c r="A43" t="s">
        <v>31</v>
      </c>
      <c r="B43" t="n">
        <v>1.01</v>
      </c>
      <c r="C43" t="n">
        <v>0.84</v>
      </c>
      <c r="D43" t="n">
        <v>0.98</v>
      </c>
      <c r="E43" t="n">
        <v>-5.25</v>
      </c>
      <c r="F43" t="n">
        <v>-0.5</v>
      </c>
      <c r="G43" t="n">
        <v>38</v>
      </c>
      <c r="H43" t="n">
        <v>12</v>
      </c>
      <c r="I43" t="s">
        <v>208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-0.5</v>
      </c>
      <c r="P43" t="n">
        <v>3</v>
      </c>
      <c r="Q43" t="n">
        <v>12</v>
      </c>
      <c r="R43" t="s">
        <v>208</v>
      </c>
      <c r="S43" t="s">
        <v>217</v>
      </c>
      <c r="T43" t="n">
        <v>-0.25</v>
      </c>
    </row>
    <row r="44">
      <c r="A44" t="s">
        <v>31</v>
      </c>
      <c r="B44" t="n">
        <v>0.97</v>
      </c>
      <c r="C44" t="n">
        <v>0.78</v>
      </c>
      <c r="D44" t="n">
        <v>0.93</v>
      </c>
      <c r="E44" t="n">
        <v>-5.5</v>
      </c>
      <c r="F44" t="n">
        <v>-0.5</v>
      </c>
      <c r="G44" t="n">
        <v>179</v>
      </c>
      <c r="H44" t="n">
        <v>12</v>
      </c>
      <c r="I44" t="s">
        <v>209</v>
      </c>
      <c r="J44" t="n">
        <v>0</v>
      </c>
      <c r="K44" t="n">
        <v>0</v>
      </c>
      <c r="L44" t="n">
        <v>0</v>
      </c>
      <c r="M44" t="n">
        <v>12</v>
      </c>
      <c r="N44" t="n">
        <v>-0.5</v>
      </c>
      <c r="O44" t="n">
        <v>-0.75</v>
      </c>
      <c r="P44" t="n">
        <v>0</v>
      </c>
      <c r="Q44" t="n">
        <v>12</v>
      </c>
      <c r="R44" t="s">
        <v>210</v>
      </c>
      <c r="S44" t="s">
        <v>211</v>
      </c>
      <c r="T44" t="n">
        <v>-1</v>
      </c>
    </row>
    <row r="45">
      <c r="A45" t="s">
        <v>31</v>
      </c>
      <c r="B45" t="n">
        <v>1.01</v>
      </c>
      <c r="C45" t="n">
        <v>1.12</v>
      </c>
      <c r="D45" t="n">
        <v>1.07</v>
      </c>
      <c r="E45" t="n">
        <v>-5.5</v>
      </c>
      <c r="F45" t="n">
        <v>-0.75</v>
      </c>
      <c r="G45" t="n">
        <v>21</v>
      </c>
      <c r="H45" t="n">
        <v>12</v>
      </c>
      <c r="I45" t="s">
        <v>208</v>
      </c>
      <c r="J45" t="n">
        <v>0</v>
      </c>
      <c r="K45" t="n">
        <v>0</v>
      </c>
      <c r="L45" t="n">
        <v>0</v>
      </c>
      <c r="M45" t="n">
        <v>12</v>
      </c>
      <c r="N45" t="n">
        <v>0.5</v>
      </c>
      <c r="O45" t="n">
        <v>-0.5</v>
      </c>
      <c r="P45" t="n">
        <v>28</v>
      </c>
      <c r="Q45" t="n">
        <v>12</v>
      </c>
      <c r="R45" t="s">
        <v>207</v>
      </c>
      <c r="S45" t="s">
        <v>212</v>
      </c>
      <c r="T45" t="n">
        <v>0.25</v>
      </c>
    </row>
    <row r="46">
      <c r="A46" t="s">
        <v>31</v>
      </c>
      <c r="B46" t="n">
        <v>1</v>
      </c>
      <c r="C46" t="n">
        <v>0.94</v>
      </c>
      <c r="D46" t="n">
        <v>0.96</v>
      </c>
      <c r="E46" t="n">
        <v>-2.75</v>
      </c>
      <c r="F46" t="n">
        <v>-1</v>
      </c>
      <c r="G46" t="n">
        <v>77</v>
      </c>
      <c r="H46" t="n">
        <v>12</v>
      </c>
      <c r="I46" t="s">
        <v>208</v>
      </c>
      <c r="J46" t="n">
        <v>0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72</v>
      </c>
      <c r="Q46" t="n">
        <v>12</v>
      </c>
      <c r="R46" t="s">
        <v>209</v>
      </c>
      <c r="S46" t="s">
        <v>209</v>
      </c>
      <c r="T46" t="n">
        <v>0</v>
      </c>
    </row>
    <row r="47">
      <c r="A47" t="s">
        <v>31</v>
      </c>
      <c r="B47" t="n">
        <v>1.02</v>
      </c>
      <c r="C47" t="n">
        <v>0.99</v>
      </c>
      <c r="D47" t="n">
        <v>1.01</v>
      </c>
      <c r="E47" t="n">
        <v>-3.25</v>
      </c>
      <c r="F47" t="n">
        <v>-0.25</v>
      </c>
      <c r="G47" t="n">
        <v>85</v>
      </c>
      <c r="H47" t="n">
        <v>12</v>
      </c>
      <c r="I47" t="s">
        <v>208</v>
      </c>
      <c r="J47" t="n">
        <v>0</v>
      </c>
      <c r="K47" t="n">
        <v>0</v>
      </c>
      <c r="L47" t="n">
        <v>0</v>
      </c>
      <c r="M47" t="n">
        <v>12</v>
      </c>
      <c r="N47" t="n">
        <v>0</v>
      </c>
      <c r="O47" t="n">
        <v>-0.25</v>
      </c>
      <c r="P47" t="n">
        <v>78</v>
      </c>
      <c r="Q47" t="n">
        <v>12</v>
      </c>
      <c r="R47" t="s">
        <v>208</v>
      </c>
      <c r="S47" t="s">
        <v>208</v>
      </c>
      <c r="T47" t="n">
        <v>0</v>
      </c>
    </row>
    <row r="48">
      <c r="A48" t="s">
        <v>31</v>
      </c>
      <c r="B48" t="n">
        <v>1.15</v>
      </c>
      <c r="C48" t="n">
        <v>0.83</v>
      </c>
      <c r="D48" t="n">
        <v>1.08</v>
      </c>
      <c r="E48" t="n">
        <v>-4.5</v>
      </c>
      <c r="F48" t="n">
        <v>-2.5</v>
      </c>
      <c r="G48" t="n">
        <v>104</v>
      </c>
      <c r="H48" t="n">
        <v>12</v>
      </c>
      <c r="I48" t="s">
        <v>216</v>
      </c>
      <c r="J48" t="n">
        <v>0</v>
      </c>
      <c r="K48" t="n">
        <v>0</v>
      </c>
      <c r="L48" t="n">
        <v>0</v>
      </c>
      <c r="M48" t="n">
        <v>12</v>
      </c>
      <c r="N48" t="n">
        <v>1</v>
      </c>
      <c r="O48" t="n">
        <v>-0.25</v>
      </c>
      <c r="P48" t="n">
        <v>105</v>
      </c>
      <c r="Q48" t="n">
        <v>12</v>
      </c>
      <c r="R48" t="s">
        <v>212</v>
      </c>
      <c r="S48" t="s">
        <v>217</v>
      </c>
      <c r="T48" t="n">
        <v>0.75</v>
      </c>
    </row>
    <row r="49">
      <c r="A49" t="s">
        <v>31</v>
      </c>
      <c r="B49" t="n">
        <v>0.89</v>
      </c>
      <c r="C49" t="n">
        <v>0.89</v>
      </c>
      <c r="D49" t="n">
        <v>0.92</v>
      </c>
      <c r="E49" t="n">
        <v>-4.25</v>
      </c>
      <c r="F49" t="n">
        <v>-0.25</v>
      </c>
      <c r="G49" t="n">
        <v>2</v>
      </c>
      <c r="H49" t="n">
        <v>12</v>
      </c>
      <c r="I49" t="s">
        <v>219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  <c r="P49" t="n">
        <v>82</v>
      </c>
      <c r="Q49" t="n">
        <v>12</v>
      </c>
      <c r="R49" t="s">
        <v>210</v>
      </c>
      <c r="S49" t="s">
        <v>219</v>
      </c>
      <c r="T49" t="n">
        <v>0</v>
      </c>
    </row>
    <row r="50">
      <c r="A50" t="s">
        <v>31</v>
      </c>
      <c r="B50" t="n">
        <v>0.94</v>
      </c>
      <c r="C50" t="n">
        <v>0.77</v>
      </c>
      <c r="D50" t="n">
        <v>0.94</v>
      </c>
      <c r="E50" t="n">
        <v>-4.25</v>
      </c>
      <c r="F50" t="n">
        <v>-0.25</v>
      </c>
      <c r="G50" t="n">
        <v>10</v>
      </c>
      <c r="H50" t="n">
        <v>12</v>
      </c>
      <c r="I50" t="s">
        <v>209</v>
      </c>
      <c r="J50" t="n">
        <v>0</v>
      </c>
      <c r="K50" t="n">
        <v>0</v>
      </c>
      <c r="L50" t="n">
        <v>0</v>
      </c>
      <c r="M50" t="n">
        <v>12</v>
      </c>
      <c r="N50" t="n">
        <v>-0.5</v>
      </c>
      <c r="O50" t="n">
        <v>-0.25</v>
      </c>
      <c r="P50" t="n">
        <v>172</v>
      </c>
      <c r="Q50" t="n">
        <v>12</v>
      </c>
      <c r="R50" t="s">
        <v>209</v>
      </c>
      <c r="S50" t="s">
        <v>220</v>
      </c>
      <c r="T50" t="n">
        <v>-0.5</v>
      </c>
    </row>
    <row r="51">
      <c r="A51" t="s">
        <v>31</v>
      </c>
      <c r="B51" t="n">
        <v>1.04</v>
      </c>
      <c r="C51" t="n">
        <v>0.94</v>
      </c>
      <c r="D51" t="n">
        <v>0.99</v>
      </c>
      <c r="E51" t="n">
        <v>-3.5</v>
      </c>
      <c r="F51" t="n">
        <v>0</v>
      </c>
      <c r="G51" t="n">
        <v>78</v>
      </c>
      <c r="H51" t="n">
        <v>12</v>
      </c>
      <c r="I51" t="s">
        <v>207</v>
      </c>
      <c r="J51" t="n">
        <v>0</v>
      </c>
      <c r="K51" t="n">
        <v>0</v>
      </c>
      <c r="L51" t="n">
        <v>0</v>
      </c>
      <c r="M51" t="n">
        <v>12</v>
      </c>
      <c r="N51" t="n">
        <v>0.5</v>
      </c>
      <c r="O51" t="n">
        <v>-0.25</v>
      </c>
      <c r="P51" t="n">
        <v>64</v>
      </c>
      <c r="Q51" t="n">
        <v>12</v>
      </c>
      <c r="R51" t="s">
        <v>208</v>
      </c>
      <c r="S51" t="s">
        <v>209</v>
      </c>
      <c r="T51" t="n">
        <v>0.25</v>
      </c>
    </row>
    <row r="52">
      <c r="A52" t="s">
        <v>31</v>
      </c>
      <c r="B52" t="n">
        <v>1.04</v>
      </c>
      <c r="C52" t="n">
        <v>0.85</v>
      </c>
      <c r="D52" t="n">
        <v>1.11</v>
      </c>
      <c r="E52" t="n">
        <v>-5.75</v>
      </c>
      <c r="F52" t="n">
        <v>-0.5</v>
      </c>
      <c r="G52" t="n">
        <v>87</v>
      </c>
      <c r="H52" t="n">
        <v>12</v>
      </c>
      <c r="I52" t="s">
        <v>207</v>
      </c>
      <c r="J52" t="n">
        <v>0</v>
      </c>
      <c r="K52" t="n">
        <v>0</v>
      </c>
      <c r="L52" t="n">
        <v>0</v>
      </c>
      <c r="M52" t="n">
        <v>12</v>
      </c>
      <c r="N52" t="n">
        <v>-0.5</v>
      </c>
      <c r="O52" t="n">
        <v>-0.25</v>
      </c>
      <c r="P52" t="n">
        <v>90</v>
      </c>
      <c r="Q52" t="n">
        <v>12</v>
      </c>
      <c r="R52" t="s">
        <v>212</v>
      </c>
      <c r="S52" t="s">
        <v>217</v>
      </c>
      <c r="T52" t="n">
        <v>-0.75</v>
      </c>
    </row>
    <row r="53">
      <c r="A53" t="s">
        <v>31</v>
      </c>
      <c r="B53" t="n">
        <v>1.13</v>
      </c>
      <c r="C53" t="n">
        <v>1.04</v>
      </c>
      <c r="D53" t="n">
        <v>1.08</v>
      </c>
      <c r="E53" t="n">
        <v>-3.5</v>
      </c>
      <c r="F53" t="n">
        <v>-1.25</v>
      </c>
      <c r="G53" t="n">
        <v>165</v>
      </c>
      <c r="H53" t="n">
        <v>12</v>
      </c>
      <c r="I53" t="s">
        <v>216</v>
      </c>
      <c r="J53" t="n">
        <v>0</v>
      </c>
      <c r="K53" t="n">
        <v>0</v>
      </c>
      <c r="L53" t="n">
        <v>0</v>
      </c>
      <c r="M53" t="n">
        <v>12</v>
      </c>
      <c r="N53" t="n">
        <v>0.5</v>
      </c>
      <c r="O53" t="n">
        <v>-0.25</v>
      </c>
      <c r="P53" t="n">
        <v>156</v>
      </c>
      <c r="Q53" t="n">
        <v>12</v>
      </c>
      <c r="R53" t="s">
        <v>212</v>
      </c>
      <c r="S53" t="s">
        <v>207</v>
      </c>
      <c r="T53" t="n">
        <v>0.25</v>
      </c>
    </row>
    <row r="54">
      <c r="A54" t="s">
        <v>31</v>
      </c>
      <c r="B54" t="n">
        <v>1.05</v>
      </c>
      <c r="C54" t="n">
        <v>0.87</v>
      </c>
      <c r="D54" t="n">
        <v>1.08</v>
      </c>
      <c r="E54" t="n">
        <v>0</v>
      </c>
      <c r="F54" t="n">
        <v>-1.25</v>
      </c>
      <c r="G54" t="n">
        <v>13</v>
      </c>
      <c r="H54" t="n">
        <v>12</v>
      </c>
      <c r="I54" t="s">
        <v>207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-0.5</v>
      </c>
      <c r="P54" t="n">
        <v>164</v>
      </c>
      <c r="Q54" t="n">
        <v>12</v>
      </c>
      <c r="R54" t="s">
        <v>212</v>
      </c>
      <c r="S54" t="s">
        <v>219</v>
      </c>
      <c r="T54" t="n">
        <v>-0.25</v>
      </c>
    </row>
    <row r="55">
      <c r="A55" t="s">
        <v>31</v>
      </c>
      <c r="B55" t="n">
        <v>0.91</v>
      </c>
      <c r="C55" t="n">
        <v>0.79</v>
      </c>
      <c r="D55" t="n">
        <v>0.88</v>
      </c>
      <c r="E55" t="n">
        <v>-6.75</v>
      </c>
      <c r="F55" t="n">
        <v>0</v>
      </c>
      <c r="G55" t="n">
        <v>84</v>
      </c>
      <c r="H55" t="n">
        <v>12</v>
      </c>
      <c r="I55" t="s">
        <v>210</v>
      </c>
      <c r="J55" t="n">
        <v>0</v>
      </c>
      <c r="K55" t="n">
        <v>0</v>
      </c>
      <c r="L55" t="n">
        <v>0</v>
      </c>
      <c r="M55" t="n">
        <v>12</v>
      </c>
      <c r="N55" t="n">
        <v>0</v>
      </c>
      <c r="O55" t="n">
        <v>-0.25</v>
      </c>
      <c r="P55" t="n">
        <v>161</v>
      </c>
      <c r="Q55" t="n">
        <v>12</v>
      </c>
      <c r="R55" t="s">
        <v>219</v>
      </c>
      <c r="S55" t="s">
        <v>211</v>
      </c>
      <c r="T55" t="n">
        <v>0</v>
      </c>
    </row>
    <row r="56">
      <c r="A56" t="s">
        <v>31</v>
      </c>
      <c r="B56" t="n">
        <v>0.98</v>
      </c>
      <c r="C56" t="n">
        <v>0.8</v>
      </c>
      <c r="D56" t="n">
        <v>0.95</v>
      </c>
      <c r="E56" t="n">
        <v>-3.25</v>
      </c>
      <c r="F56" t="n">
        <v>-1</v>
      </c>
      <c r="G56" t="n">
        <v>176</v>
      </c>
      <c r="H56" t="n">
        <v>12</v>
      </c>
      <c r="I56" t="s">
        <v>208</v>
      </c>
      <c r="J56" t="n">
        <v>0</v>
      </c>
      <c r="K56" t="n">
        <v>0</v>
      </c>
      <c r="L56" t="n">
        <v>0</v>
      </c>
      <c r="M56" t="n">
        <v>12</v>
      </c>
      <c r="N56" t="n">
        <v>-0.5</v>
      </c>
      <c r="O56" t="n">
        <v>-0.25</v>
      </c>
      <c r="P56" t="n">
        <v>31</v>
      </c>
      <c r="Q56" t="n">
        <v>12</v>
      </c>
      <c r="R56" t="s">
        <v>209</v>
      </c>
      <c r="S56" t="s">
        <v>211</v>
      </c>
      <c r="T56" t="n">
        <v>-0.5</v>
      </c>
    </row>
    <row r="57">
      <c r="A57" t="s">
        <v>31</v>
      </c>
      <c r="B57" t="n">
        <v>0.95</v>
      </c>
      <c r="C57" t="n">
        <v>0.89</v>
      </c>
      <c r="D57" t="n">
        <v>0.94</v>
      </c>
      <c r="E57" t="n">
        <v>-3.5</v>
      </c>
      <c r="F57" t="n">
        <v>-2.75</v>
      </c>
      <c r="G57" t="n">
        <v>8</v>
      </c>
      <c r="H57" t="n">
        <v>12</v>
      </c>
      <c r="I57" t="s">
        <v>209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-0.25</v>
      </c>
      <c r="P57" t="n">
        <v>177</v>
      </c>
      <c r="Q57" t="n">
        <v>12</v>
      </c>
      <c r="R57" t="s">
        <v>209</v>
      </c>
      <c r="S57" t="s">
        <v>219</v>
      </c>
      <c r="T57" t="n">
        <v>-0.25</v>
      </c>
    </row>
    <row r="58">
      <c r="A58" t="s">
        <v>31</v>
      </c>
      <c r="B58" t="n">
        <v>0.97</v>
      </c>
      <c r="C58" t="n">
        <v>0.77</v>
      </c>
      <c r="D58" t="n">
        <v>0.93</v>
      </c>
      <c r="E58" t="n">
        <v>-3.5</v>
      </c>
      <c r="F58" t="n">
        <v>0</v>
      </c>
      <c r="G58" t="n">
        <v>174</v>
      </c>
      <c r="H58" t="n">
        <v>12</v>
      </c>
      <c r="I58" t="s">
        <v>209</v>
      </c>
      <c r="J58" t="n">
        <v>0</v>
      </c>
      <c r="K58" t="n">
        <v>0</v>
      </c>
      <c r="L58" t="n">
        <v>0</v>
      </c>
      <c r="M58" t="n">
        <v>12</v>
      </c>
      <c r="N58" t="n">
        <v>0.5</v>
      </c>
      <c r="O58" t="n">
        <v>-0.25</v>
      </c>
      <c r="P58" t="n">
        <v>116</v>
      </c>
      <c r="Q58" t="n">
        <v>12</v>
      </c>
      <c r="R58" t="s">
        <v>210</v>
      </c>
      <c r="S58" t="s">
        <v>220</v>
      </c>
      <c r="T58" t="n">
        <v>0.25</v>
      </c>
    </row>
    <row r="59">
      <c r="A59" t="s">
        <v>31</v>
      </c>
      <c r="B59" t="n">
        <v>1.04</v>
      </c>
      <c r="C59" t="n">
        <v>0.87</v>
      </c>
      <c r="D59" t="n">
        <v>1</v>
      </c>
      <c r="E59" t="n">
        <v>-0.75</v>
      </c>
      <c r="F59" t="n">
        <v>-0.75</v>
      </c>
      <c r="G59" t="n">
        <v>103</v>
      </c>
      <c r="H59" t="n">
        <v>12</v>
      </c>
      <c r="I59" t="s">
        <v>207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0</v>
      </c>
      <c r="P59" t="n">
        <v>88</v>
      </c>
      <c r="Q59" t="n">
        <v>12</v>
      </c>
      <c r="R59" t="s">
        <v>208</v>
      </c>
      <c r="S59" t="s">
        <v>219</v>
      </c>
      <c r="T59" t="n">
        <v>0</v>
      </c>
    </row>
    <row r="60">
      <c r="A60" t="s">
        <v>31</v>
      </c>
      <c r="B60" t="n">
        <v>1.02</v>
      </c>
      <c r="C60" t="n">
        <v>1.02</v>
      </c>
      <c r="D60" t="n">
        <v>1.09</v>
      </c>
      <c r="E60" t="n">
        <v>-3.5</v>
      </c>
      <c r="F60" t="n">
        <v>0</v>
      </c>
      <c r="G60" t="n">
        <v>78</v>
      </c>
      <c r="H60" t="n">
        <v>12</v>
      </c>
      <c r="I60" t="s">
        <v>208</v>
      </c>
      <c r="J60" t="n">
        <v>0</v>
      </c>
      <c r="K60" t="n">
        <v>0</v>
      </c>
      <c r="L60" t="n">
        <v>0</v>
      </c>
      <c r="M60" t="n">
        <v>12</v>
      </c>
      <c r="N60" t="n">
        <v>-0.25</v>
      </c>
      <c r="O60" t="n">
        <v>0</v>
      </c>
      <c r="P60" t="n">
        <v>88</v>
      </c>
      <c r="Q60" t="n">
        <v>12</v>
      </c>
      <c r="R60" t="s">
        <v>212</v>
      </c>
      <c r="S60" t="s">
        <v>208</v>
      </c>
      <c r="T60" t="n">
        <v>-0.25</v>
      </c>
    </row>
    <row r="61">
      <c r="A61" t="s">
        <v>31</v>
      </c>
      <c r="B61" t="n">
        <v>1.01</v>
      </c>
      <c r="C61" t="n">
        <v>0.85</v>
      </c>
      <c r="D61" t="n">
        <v>0.99</v>
      </c>
      <c r="E61" t="n">
        <v>-6</v>
      </c>
      <c r="F61" t="n">
        <v>-0.5</v>
      </c>
      <c r="G61" t="n">
        <v>2</v>
      </c>
      <c r="H61" t="n">
        <v>12</v>
      </c>
      <c r="I61" t="s">
        <v>208</v>
      </c>
      <c r="J61" t="n">
        <v>0</v>
      </c>
      <c r="K61" t="n">
        <v>0</v>
      </c>
      <c r="L61" t="n">
        <v>0</v>
      </c>
      <c r="M61" t="n">
        <v>12</v>
      </c>
      <c r="N61" t="n">
        <v>-0.5</v>
      </c>
      <c r="O61" t="n">
        <v>-0.25</v>
      </c>
      <c r="P61" t="n">
        <v>0</v>
      </c>
      <c r="Q61" t="n">
        <v>12</v>
      </c>
      <c r="R61" t="s">
        <v>208</v>
      </c>
      <c r="S61" t="s">
        <v>217</v>
      </c>
      <c r="T61" t="n">
        <v>-0.5</v>
      </c>
    </row>
    <row r="62">
      <c r="A62" t="s">
        <v>31</v>
      </c>
      <c r="B62" t="n">
        <v>0.96</v>
      </c>
      <c r="C62" t="n">
        <v>0.81</v>
      </c>
      <c r="D62" t="n">
        <v>0.96</v>
      </c>
      <c r="E62" t="n">
        <v>-2.5</v>
      </c>
      <c r="F62" t="n">
        <v>-0.75</v>
      </c>
      <c r="G62" t="n">
        <v>81</v>
      </c>
      <c r="H62" t="n">
        <v>12</v>
      </c>
      <c r="I62" t="s">
        <v>209</v>
      </c>
      <c r="J62" t="n">
        <v>0</v>
      </c>
      <c r="K62" t="n">
        <v>0</v>
      </c>
      <c r="L62" t="n">
        <v>0</v>
      </c>
      <c r="M62" t="n">
        <v>12</v>
      </c>
      <c r="N62" t="n">
        <v>-0.25</v>
      </c>
      <c r="O62" t="n">
        <v>-0.5</v>
      </c>
      <c r="P62" t="n">
        <v>85</v>
      </c>
      <c r="Q62" t="n">
        <v>12</v>
      </c>
      <c r="R62" t="s">
        <v>209</v>
      </c>
      <c r="S62" t="s">
        <v>211</v>
      </c>
      <c r="T62" t="n">
        <v>-0.5</v>
      </c>
    </row>
    <row r="63">
      <c r="A63" t="s">
        <v>31</v>
      </c>
      <c r="B63" t="n">
        <v>1.06</v>
      </c>
      <c r="C63" t="n">
        <v>1</v>
      </c>
      <c r="D63" t="n">
        <v>1.14</v>
      </c>
      <c r="E63" t="n">
        <v>-1</v>
      </c>
      <c r="F63" t="n">
        <v>-1.5</v>
      </c>
      <c r="G63" t="n">
        <v>165</v>
      </c>
      <c r="H63" t="n">
        <v>12</v>
      </c>
      <c r="I63" t="s">
        <v>207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-0.5</v>
      </c>
      <c r="P63" t="n">
        <v>179</v>
      </c>
      <c r="Q63" t="n">
        <v>12</v>
      </c>
      <c r="R63" t="s">
        <v>216</v>
      </c>
      <c r="S63" t="s">
        <v>208</v>
      </c>
      <c r="T63" t="n">
        <v>-0.25</v>
      </c>
    </row>
    <row r="64">
      <c r="A64" t="s">
        <v>31</v>
      </c>
      <c r="B64" t="n">
        <v>1</v>
      </c>
      <c r="C64" t="n">
        <v>0.93</v>
      </c>
      <c r="D64" t="n">
        <v>1</v>
      </c>
      <c r="E64" t="n">
        <v>-2</v>
      </c>
      <c r="F64" t="n">
        <v>-1.25</v>
      </c>
      <c r="G64" t="n">
        <v>102</v>
      </c>
      <c r="H64" t="n">
        <v>12</v>
      </c>
      <c r="I64" t="s">
        <v>208</v>
      </c>
      <c r="J64" t="n">
        <v>0</v>
      </c>
      <c r="K64" t="n">
        <v>0</v>
      </c>
      <c r="L64" t="n">
        <v>0</v>
      </c>
      <c r="M64" t="n">
        <v>12</v>
      </c>
      <c r="N64" t="n">
        <v>0.25</v>
      </c>
      <c r="O64" t="n">
        <v>-0.5</v>
      </c>
      <c r="P64" t="n">
        <v>100</v>
      </c>
      <c r="Q64" t="n">
        <v>12</v>
      </c>
      <c r="R64" t="s">
        <v>208</v>
      </c>
      <c r="S64" t="s">
        <v>210</v>
      </c>
      <c r="T64" t="n">
        <v>0</v>
      </c>
    </row>
    <row r="65">
      <c r="A65" t="s">
        <v>31</v>
      </c>
      <c r="B65" t="n">
        <v>1.05</v>
      </c>
      <c r="C65" t="n">
        <v>0.94</v>
      </c>
      <c r="D65" t="n">
        <v>1</v>
      </c>
      <c r="E65" t="n">
        <v>-5.75</v>
      </c>
      <c r="F65" t="n">
        <v>-0.5</v>
      </c>
      <c r="G65" t="n">
        <v>18</v>
      </c>
      <c r="H65" t="n">
        <v>12</v>
      </c>
      <c r="I65" t="s">
        <v>207</v>
      </c>
      <c r="J65" t="n">
        <v>0</v>
      </c>
      <c r="K65" t="n">
        <v>0</v>
      </c>
      <c r="L65" t="n">
        <v>0</v>
      </c>
      <c r="M65" t="n">
        <v>12</v>
      </c>
      <c r="N65" t="n">
        <v>0</v>
      </c>
      <c r="O65" t="n">
        <v>-0.25</v>
      </c>
      <c r="P65" t="n">
        <v>166</v>
      </c>
      <c r="Q65" t="n">
        <v>12</v>
      </c>
      <c r="R65" t="s">
        <v>208</v>
      </c>
      <c r="S65" t="s">
        <v>209</v>
      </c>
      <c r="T65" t="n">
        <v>0</v>
      </c>
    </row>
    <row r="66">
      <c r="A66" t="s">
        <v>31</v>
      </c>
      <c r="B66" t="n">
        <v>1.11</v>
      </c>
      <c r="C66" t="n">
        <v>0.93</v>
      </c>
      <c r="D66" t="n">
        <v>1.09</v>
      </c>
      <c r="E66" t="n">
        <v>-2</v>
      </c>
      <c r="F66" t="n">
        <v>-1</v>
      </c>
      <c r="G66" t="n">
        <v>176</v>
      </c>
      <c r="H66" t="n">
        <v>12</v>
      </c>
      <c r="I66" t="s">
        <v>212</v>
      </c>
      <c r="J66" t="n">
        <v>0</v>
      </c>
      <c r="K66" t="n">
        <v>0</v>
      </c>
      <c r="L66" t="n">
        <v>0</v>
      </c>
      <c r="M66" t="n">
        <v>12</v>
      </c>
      <c r="N66" t="n">
        <v>-0.5</v>
      </c>
      <c r="O66" t="n">
        <v>-0.25</v>
      </c>
      <c r="P66" t="n">
        <v>21</v>
      </c>
      <c r="Q66" t="n">
        <v>12</v>
      </c>
      <c r="R66" t="s">
        <v>212</v>
      </c>
      <c r="S66" t="s">
        <v>210</v>
      </c>
      <c r="T66" t="n">
        <v>-0.75</v>
      </c>
    </row>
    <row r="67">
      <c r="A67" t="s">
        <v>31</v>
      </c>
      <c r="B67" t="n">
        <v>1.01</v>
      </c>
      <c r="C67" t="n">
        <v>0.96</v>
      </c>
      <c r="D67" t="n">
        <v>1</v>
      </c>
      <c r="E67" t="n">
        <v>-3.75</v>
      </c>
      <c r="F67" t="n">
        <v>-0.5</v>
      </c>
      <c r="G67" t="n">
        <v>167</v>
      </c>
      <c r="H67" t="n">
        <v>12</v>
      </c>
      <c r="I67" t="s">
        <v>208</v>
      </c>
      <c r="J67" t="n">
        <v>0</v>
      </c>
      <c r="K67" t="n">
        <v>0</v>
      </c>
      <c r="L67" t="n">
        <v>0</v>
      </c>
      <c r="M67" t="n">
        <v>12</v>
      </c>
      <c r="N67" t="n">
        <v>-0.25</v>
      </c>
      <c r="O67" t="n">
        <v>0</v>
      </c>
      <c r="P67" t="n">
        <v>64</v>
      </c>
      <c r="Q67" t="n">
        <v>12</v>
      </c>
      <c r="R67" t="s">
        <v>208</v>
      </c>
      <c r="S67" t="s">
        <v>209</v>
      </c>
      <c r="T67" t="n">
        <v>-0.25</v>
      </c>
    </row>
    <row r="68">
      <c r="A68" t="s">
        <v>31</v>
      </c>
      <c r="B68" t="n">
        <v>1.01</v>
      </c>
      <c r="C68" t="n">
        <v>0.73</v>
      </c>
      <c r="D68" t="n">
        <v>0.96</v>
      </c>
      <c r="E68" t="n">
        <v>-1.25</v>
      </c>
      <c r="F68" t="n">
        <v>0</v>
      </c>
      <c r="G68" t="n">
        <v>178</v>
      </c>
      <c r="H68" t="n">
        <v>12</v>
      </c>
      <c r="I68" t="s">
        <v>208</v>
      </c>
      <c r="J68" t="n">
        <v>0</v>
      </c>
      <c r="K68" t="n">
        <v>0</v>
      </c>
      <c r="L68" t="n">
        <v>0</v>
      </c>
      <c r="M68" t="n">
        <v>12</v>
      </c>
      <c r="N68" t="n">
        <v>0.5</v>
      </c>
      <c r="O68" t="n">
        <v>-0.25</v>
      </c>
      <c r="P68" t="n">
        <v>41</v>
      </c>
      <c r="Q68" t="n">
        <v>12</v>
      </c>
      <c r="R68" t="s">
        <v>209</v>
      </c>
      <c r="S68" t="s">
        <v>221</v>
      </c>
      <c r="T68" t="n">
        <v>0.5</v>
      </c>
    </row>
    <row r="69">
      <c r="A69" t="s">
        <v>31</v>
      </c>
      <c r="B69" t="n">
        <v>0.94</v>
      </c>
      <c r="C69" t="n">
        <v>0.79</v>
      </c>
      <c r="D69" t="n">
        <v>0.89</v>
      </c>
      <c r="E69" t="n">
        <v>-5</v>
      </c>
      <c r="F69" t="n">
        <v>-1</v>
      </c>
      <c r="G69" t="n">
        <v>18</v>
      </c>
      <c r="H69" t="n">
        <v>12</v>
      </c>
      <c r="I69" t="s">
        <v>209</v>
      </c>
      <c r="J69" t="n">
        <v>0</v>
      </c>
      <c r="K69" t="n">
        <v>0</v>
      </c>
      <c r="L69" t="n">
        <v>0</v>
      </c>
      <c r="M69" t="n">
        <v>12</v>
      </c>
      <c r="N69" t="n">
        <v>-0.5</v>
      </c>
      <c r="O69" t="n">
        <v>-0.25</v>
      </c>
      <c r="P69" t="n">
        <v>174</v>
      </c>
      <c r="Q69" t="n">
        <v>12</v>
      </c>
      <c r="R69" t="s">
        <v>219</v>
      </c>
      <c r="S69" t="s">
        <v>211</v>
      </c>
      <c r="T69" t="n">
        <v>-0.5</v>
      </c>
    </row>
    <row r="70">
      <c r="A70" t="s">
        <v>31</v>
      </c>
      <c r="B70" t="n">
        <v>0.92</v>
      </c>
      <c r="C70" t="n">
        <v>0.61</v>
      </c>
      <c r="D70" t="n">
        <v>0.91</v>
      </c>
      <c r="E70" t="n">
        <v>-4.75</v>
      </c>
      <c r="F70" t="n">
        <v>-1</v>
      </c>
      <c r="G70" t="n">
        <v>161</v>
      </c>
      <c r="H70" t="n">
        <v>12</v>
      </c>
      <c r="I70" t="s">
        <v>210</v>
      </c>
      <c r="J70" t="n">
        <v>0</v>
      </c>
      <c r="K70" t="n">
        <v>0</v>
      </c>
      <c r="L70" t="n">
        <v>0</v>
      </c>
      <c r="M70" t="n">
        <v>12</v>
      </c>
      <c r="N70" t="n">
        <v>-1</v>
      </c>
      <c r="O70" t="n">
        <v>-0.25</v>
      </c>
      <c r="P70" t="n">
        <v>100</v>
      </c>
      <c r="Q70" t="n">
        <v>12</v>
      </c>
      <c r="R70" t="s">
        <v>210</v>
      </c>
      <c r="S70" t="s">
        <v>222</v>
      </c>
      <c r="T70" t="n">
        <v>-1</v>
      </c>
    </row>
    <row r="71">
      <c r="A71" t="s">
        <v>31</v>
      </c>
      <c r="B71" t="n">
        <v>1.25</v>
      </c>
      <c r="C71" t="n">
        <v>1.24</v>
      </c>
      <c r="D71" t="n">
        <v>1.28</v>
      </c>
      <c r="E71" t="n">
        <v>-0.5</v>
      </c>
      <c r="F71" t="n">
        <v>-2.75</v>
      </c>
      <c r="G71" t="n">
        <v>20</v>
      </c>
      <c r="H71" t="n">
        <v>12</v>
      </c>
      <c r="I71" t="s">
        <v>215</v>
      </c>
      <c r="J71" t="n">
        <v>0</v>
      </c>
      <c r="K71" t="n">
        <v>0</v>
      </c>
      <c r="L71" t="n">
        <v>0</v>
      </c>
      <c r="M71" t="n">
        <v>12</v>
      </c>
      <c r="N71" t="n">
        <v>-0.25</v>
      </c>
      <c r="O71" t="n">
        <v>0</v>
      </c>
      <c r="P71" t="n">
        <v>26</v>
      </c>
      <c r="Q71" t="n">
        <v>12</v>
      </c>
      <c r="R71" t="s">
        <v>215</v>
      </c>
      <c r="S71" t="s">
        <v>215</v>
      </c>
      <c r="T71" t="n">
        <v>-0.25</v>
      </c>
    </row>
    <row r="72">
      <c r="A72" t="s">
        <v>31</v>
      </c>
      <c r="B72" t="n">
        <v>1</v>
      </c>
      <c r="C72" t="n">
        <v>0.95</v>
      </c>
      <c r="D72" t="n">
        <v>0.97</v>
      </c>
      <c r="E72" t="n">
        <v>-4.75</v>
      </c>
      <c r="F72" t="n">
        <v>-0.5</v>
      </c>
      <c r="G72" t="n">
        <v>12</v>
      </c>
      <c r="H72" t="n">
        <v>12</v>
      </c>
      <c r="I72" t="s">
        <v>208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-0.25</v>
      </c>
      <c r="P72" t="n">
        <v>54</v>
      </c>
      <c r="Q72" t="n">
        <v>12</v>
      </c>
      <c r="R72" t="s">
        <v>209</v>
      </c>
      <c r="S72" t="s">
        <v>209</v>
      </c>
      <c r="T72" t="n">
        <v>0</v>
      </c>
    </row>
    <row r="73">
      <c r="A73" t="s">
        <v>31</v>
      </c>
      <c r="B73" t="n">
        <v>0.91</v>
      </c>
      <c r="C73" t="n">
        <v>0.83</v>
      </c>
      <c r="D73" t="n">
        <v>0.95</v>
      </c>
      <c r="E73" t="n">
        <v>-2.5</v>
      </c>
      <c r="F73" t="n">
        <v>-0.25</v>
      </c>
      <c r="G73" t="n">
        <v>37</v>
      </c>
      <c r="H73" t="n">
        <v>12</v>
      </c>
      <c r="I73" t="s">
        <v>210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-0.25</v>
      </c>
      <c r="P73" t="n">
        <v>48</v>
      </c>
      <c r="Q73" t="n">
        <v>12</v>
      </c>
      <c r="R73" t="s">
        <v>209</v>
      </c>
      <c r="S73" t="s">
        <v>217</v>
      </c>
      <c r="T73" t="n">
        <v>-0.25</v>
      </c>
    </row>
    <row r="74">
      <c r="A74" t="s">
        <v>31</v>
      </c>
      <c r="B74" t="n">
        <v>1.14</v>
      </c>
      <c r="C74" t="n">
        <v>0.81</v>
      </c>
      <c r="D74" t="n">
        <v>1.1</v>
      </c>
      <c r="E74" t="n">
        <v>-4.75</v>
      </c>
      <c r="F74" t="n">
        <v>-1</v>
      </c>
      <c r="G74" t="n">
        <v>12</v>
      </c>
      <c r="H74" t="n">
        <v>12</v>
      </c>
      <c r="I74" t="s">
        <v>216</v>
      </c>
      <c r="J74" t="n">
        <v>0</v>
      </c>
      <c r="K74" t="n">
        <v>0</v>
      </c>
      <c r="L74" t="n">
        <v>0</v>
      </c>
      <c r="M74" t="n">
        <v>12</v>
      </c>
      <c r="N74" t="n">
        <v>-1</v>
      </c>
      <c r="O74" t="n">
        <v>-0.25</v>
      </c>
      <c r="P74" t="n">
        <v>32</v>
      </c>
      <c r="Q74" t="n">
        <v>12</v>
      </c>
      <c r="R74" t="s">
        <v>212</v>
      </c>
      <c r="S74" t="s">
        <v>211</v>
      </c>
      <c r="T74" t="n">
        <v>-1</v>
      </c>
    </row>
    <row r="75">
      <c r="A75" t="s">
        <v>31</v>
      </c>
      <c r="B75" t="n">
        <v>1</v>
      </c>
      <c r="C75" t="n">
        <v>0.92</v>
      </c>
      <c r="D75" t="n">
        <v>0.95</v>
      </c>
      <c r="E75" t="n">
        <v>-3.25</v>
      </c>
      <c r="F75" t="n">
        <v>-0.75</v>
      </c>
      <c r="G75" t="n">
        <v>180</v>
      </c>
      <c r="H75" t="n">
        <v>12</v>
      </c>
      <c r="I75" t="s">
        <v>208</v>
      </c>
      <c r="J75" t="n">
        <v>0</v>
      </c>
      <c r="K75" t="n">
        <v>0</v>
      </c>
      <c r="L75" t="n">
        <v>0</v>
      </c>
      <c r="M75" t="n">
        <v>12</v>
      </c>
      <c r="N75" t="n">
        <v>-0.25</v>
      </c>
      <c r="O75" t="n">
        <v>-0.5</v>
      </c>
      <c r="P75" t="n">
        <v>167</v>
      </c>
      <c r="Q75" t="n">
        <v>12</v>
      </c>
      <c r="R75" t="s">
        <v>209</v>
      </c>
      <c r="S75" t="s">
        <v>210</v>
      </c>
      <c r="T75" t="n">
        <v>-0.5</v>
      </c>
    </row>
    <row r="76">
      <c r="A76" t="s">
        <v>31</v>
      </c>
      <c r="B76" t="n">
        <v>1.09</v>
      </c>
      <c r="C76" t="n">
        <v>0.97</v>
      </c>
      <c r="D76" t="n">
        <v>1.15</v>
      </c>
      <c r="E76" t="n">
        <v>-8.5</v>
      </c>
      <c r="F76" t="n">
        <v>-0.5</v>
      </c>
      <c r="G76" t="n">
        <v>103</v>
      </c>
      <c r="H76" t="n">
        <v>12</v>
      </c>
      <c r="I76" t="s">
        <v>212</v>
      </c>
      <c r="J76" t="n">
        <v>0</v>
      </c>
      <c r="K76" t="n">
        <v>0</v>
      </c>
      <c r="L76" t="n">
        <v>0</v>
      </c>
      <c r="M76" t="n">
        <v>12</v>
      </c>
      <c r="N76" t="n">
        <v>0.5</v>
      </c>
      <c r="O76" t="n">
        <v>-0.25</v>
      </c>
      <c r="P76" t="n">
        <v>89</v>
      </c>
      <c r="Q76" t="n">
        <v>12</v>
      </c>
      <c r="R76" t="s">
        <v>216</v>
      </c>
      <c r="S76" t="s">
        <v>209</v>
      </c>
      <c r="T76" t="n">
        <v>0.5</v>
      </c>
    </row>
    <row r="77">
      <c r="A77" t="s">
        <v>31</v>
      </c>
      <c r="B77" t="n">
        <v>0.98</v>
      </c>
      <c r="C77" t="n">
        <v>0.82</v>
      </c>
      <c r="D77" t="n">
        <v>1.01</v>
      </c>
      <c r="E77" t="n">
        <v>-4</v>
      </c>
      <c r="F77" t="n">
        <v>-0.25</v>
      </c>
      <c r="G77" t="n">
        <v>78</v>
      </c>
      <c r="H77" t="n">
        <v>12</v>
      </c>
      <c r="I77" t="s">
        <v>208</v>
      </c>
      <c r="J77" t="n">
        <v>0</v>
      </c>
      <c r="K77" t="n">
        <v>0</v>
      </c>
      <c r="L77" t="n">
        <v>0</v>
      </c>
      <c r="M77" t="n">
        <v>12</v>
      </c>
      <c r="N77" t="n">
        <v>-1</v>
      </c>
      <c r="O77" t="n">
        <v>-0.25</v>
      </c>
      <c r="P77" t="n">
        <v>78</v>
      </c>
      <c r="Q77" t="n">
        <v>12</v>
      </c>
      <c r="R77" t="s">
        <v>208</v>
      </c>
      <c r="S77" t="s">
        <v>217</v>
      </c>
      <c r="T77" t="n">
        <v>-1</v>
      </c>
    </row>
    <row r="78">
      <c r="A78" t="s">
        <v>31</v>
      </c>
      <c r="B78" t="n">
        <v>1.04</v>
      </c>
      <c r="C78" t="n">
        <v>0.9</v>
      </c>
      <c r="D78" t="n">
        <v>1.06</v>
      </c>
      <c r="E78" t="n">
        <v>-6.5</v>
      </c>
      <c r="F78" t="n">
        <v>-0.5</v>
      </c>
      <c r="G78" t="n">
        <v>12</v>
      </c>
      <c r="H78" t="n">
        <v>12</v>
      </c>
      <c r="I78" t="s">
        <v>207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-0.25</v>
      </c>
      <c r="P78" t="n">
        <v>5</v>
      </c>
      <c r="Q78" t="n">
        <v>12</v>
      </c>
      <c r="R78" t="s">
        <v>207</v>
      </c>
      <c r="S78" t="s">
        <v>210</v>
      </c>
      <c r="T78" t="n">
        <v>-0.25</v>
      </c>
    </row>
    <row r="79">
      <c r="A79" t="s">
        <v>31</v>
      </c>
      <c r="B79" t="n">
        <v>1.1</v>
      </c>
      <c r="C79" t="n">
        <v>0.95</v>
      </c>
      <c r="D79" t="n">
        <v>1.11</v>
      </c>
      <c r="E79" t="n">
        <v>-6.75</v>
      </c>
      <c r="F79" t="n">
        <v>-0.25</v>
      </c>
      <c r="G79" t="n">
        <v>21</v>
      </c>
      <c r="H79" t="n">
        <v>12</v>
      </c>
      <c r="I79" t="s">
        <v>212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-0.25</v>
      </c>
      <c r="P79" t="n">
        <v>35</v>
      </c>
      <c r="Q79" t="n">
        <v>12</v>
      </c>
      <c r="R79" t="s">
        <v>212</v>
      </c>
      <c r="S79" t="s">
        <v>209</v>
      </c>
      <c r="T79" t="n">
        <v>-0.25</v>
      </c>
    </row>
    <row r="80">
      <c r="A80" t="s">
        <v>31</v>
      </c>
      <c r="B80" t="n">
        <v>0.97</v>
      </c>
      <c r="C80" t="n">
        <v>0.59</v>
      </c>
      <c r="D80" t="n">
        <v>0.93</v>
      </c>
      <c r="E80" t="n">
        <v>-3.25</v>
      </c>
      <c r="F80" t="n">
        <v>-0.25</v>
      </c>
      <c r="G80" t="n">
        <v>169</v>
      </c>
      <c r="H80" t="n">
        <v>12</v>
      </c>
      <c r="I80" t="s">
        <v>209</v>
      </c>
      <c r="J80" t="n">
        <v>0</v>
      </c>
      <c r="K80" t="n">
        <v>0</v>
      </c>
      <c r="L80" t="n">
        <v>0</v>
      </c>
      <c r="M80" t="n">
        <v>12</v>
      </c>
      <c r="N80" t="n">
        <v>-1</v>
      </c>
      <c r="O80" t="n">
        <v>0</v>
      </c>
      <c r="P80" t="n">
        <v>82</v>
      </c>
      <c r="Q80" t="n">
        <v>12</v>
      </c>
      <c r="R80" t="s">
        <v>210</v>
      </c>
      <c r="S80" t="s">
        <v>222</v>
      </c>
      <c r="T80" t="n">
        <v>-1</v>
      </c>
    </row>
    <row r="81">
      <c r="A81" t="s">
        <v>31</v>
      </c>
      <c r="B81" t="n">
        <v>1.04</v>
      </c>
      <c r="C81" t="n">
        <v>0.89</v>
      </c>
      <c r="D81" t="n">
        <v>1.04</v>
      </c>
      <c r="E81" t="n">
        <v>-4</v>
      </c>
      <c r="F81" t="n">
        <v>-0.25</v>
      </c>
      <c r="G81" t="n">
        <v>12</v>
      </c>
      <c r="H81" t="n">
        <v>12</v>
      </c>
      <c r="I81" t="s">
        <v>207</v>
      </c>
      <c r="J81" t="n">
        <v>0</v>
      </c>
      <c r="K81" t="n">
        <v>0</v>
      </c>
      <c r="L81" t="n">
        <v>0</v>
      </c>
      <c r="M81" t="n">
        <v>12</v>
      </c>
      <c r="N81" t="n">
        <v>0.5</v>
      </c>
      <c r="O81" t="n">
        <v>-0.25</v>
      </c>
      <c r="P81" t="n">
        <v>3</v>
      </c>
      <c r="Q81" t="n">
        <v>12</v>
      </c>
      <c r="R81" t="s">
        <v>207</v>
      </c>
      <c r="S81" t="s">
        <v>219</v>
      </c>
      <c r="T81" t="n">
        <v>0.25</v>
      </c>
    </row>
    <row r="82">
      <c r="A82" t="s">
        <v>31</v>
      </c>
      <c r="B82" t="n">
        <v>1.08</v>
      </c>
      <c r="C82" t="n">
        <v>1.06</v>
      </c>
      <c r="D82" t="n">
        <v>1.17</v>
      </c>
      <c r="E82" t="n">
        <v>-4.5</v>
      </c>
      <c r="F82" t="n">
        <v>-0.75</v>
      </c>
      <c r="G82" t="n">
        <v>77</v>
      </c>
      <c r="H82" t="n">
        <v>12</v>
      </c>
      <c r="I82" t="s">
        <v>212</v>
      </c>
      <c r="J82" t="n">
        <v>0</v>
      </c>
      <c r="K82" t="n">
        <v>0</v>
      </c>
      <c r="L82" t="n">
        <v>0</v>
      </c>
      <c r="M82" t="n">
        <v>12</v>
      </c>
      <c r="N82" t="n">
        <v>-1</v>
      </c>
      <c r="O82" t="n">
        <v>-0.25</v>
      </c>
      <c r="P82" t="n">
        <v>117</v>
      </c>
      <c r="Q82" t="n">
        <v>12</v>
      </c>
      <c r="R82" t="s">
        <v>216</v>
      </c>
      <c r="S82" t="s">
        <v>207</v>
      </c>
      <c r="T82" t="n">
        <v>-1</v>
      </c>
    </row>
    <row r="83">
      <c r="A83" t="s">
        <v>31</v>
      </c>
      <c r="B83" t="n">
        <v>1.05</v>
      </c>
      <c r="C83" t="n">
        <v>0.85</v>
      </c>
      <c r="D83" t="n">
        <v>1.06</v>
      </c>
      <c r="E83" t="n">
        <v>-3</v>
      </c>
      <c r="F83" t="n">
        <v>-0.75</v>
      </c>
      <c r="G83" t="n">
        <v>7</v>
      </c>
      <c r="H83" t="n">
        <v>12</v>
      </c>
      <c r="I83" t="s">
        <v>207</v>
      </c>
      <c r="J83" t="n">
        <v>0</v>
      </c>
      <c r="K83" t="n">
        <v>0</v>
      </c>
      <c r="L83" t="n">
        <v>0</v>
      </c>
      <c r="M83" t="n">
        <v>12</v>
      </c>
      <c r="N83" t="n">
        <v>-0.75</v>
      </c>
      <c r="O83" t="n">
        <v>0</v>
      </c>
      <c r="P83" t="n">
        <v>13</v>
      </c>
      <c r="Q83" t="n">
        <v>12</v>
      </c>
      <c r="R83" t="s">
        <v>207</v>
      </c>
      <c r="S83" t="s">
        <v>217</v>
      </c>
      <c r="T83" t="n">
        <v>-0.75</v>
      </c>
    </row>
    <row r="84">
      <c r="A84" t="s">
        <v>31</v>
      </c>
      <c r="B84" t="n">
        <v>1.15</v>
      </c>
      <c r="C84" t="n">
        <v>1.07</v>
      </c>
      <c r="D84" t="n">
        <v>1.13</v>
      </c>
      <c r="E84" t="n">
        <v>-3</v>
      </c>
      <c r="F84" t="n">
        <v>-0.5</v>
      </c>
      <c r="G84" t="n">
        <v>12</v>
      </c>
      <c r="H84" t="n">
        <v>12</v>
      </c>
      <c r="I84" t="s">
        <v>216</v>
      </c>
      <c r="J84" t="n">
        <v>0</v>
      </c>
      <c r="K84" t="n">
        <v>0</v>
      </c>
      <c r="L84" t="n">
        <v>0</v>
      </c>
      <c r="M84" t="n">
        <v>12</v>
      </c>
      <c r="N84" t="n">
        <v>-0.5</v>
      </c>
      <c r="O84" t="n">
        <v>-0.25</v>
      </c>
      <c r="P84" t="n">
        <v>17</v>
      </c>
      <c r="Q84" t="n">
        <v>12</v>
      </c>
      <c r="R84" t="s">
        <v>216</v>
      </c>
      <c r="S84" t="s">
        <v>207</v>
      </c>
      <c r="T84" t="n">
        <v>-0.5</v>
      </c>
    </row>
    <row r="85">
      <c r="A85" t="s">
        <v>31</v>
      </c>
      <c r="B85" t="n">
        <v>0.96</v>
      </c>
      <c r="C85" t="n">
        <v>0.92</v>
      </c>
      <c r="D85" t="n">
        <v>1</v>
      </c>
      <c r="E85" t="n">
        <v>-5.25</v>
      </c>
      <c r="F85" t="n">
        <v>-0.5</v>
      </c>
      <c r="G85" t="n">
        <v>156</v>
      </c>
      <c r="H85" t="n">
        <v>12</v>
      </c>
      <c r="I85" t="s">
        <v>209</v>
      </c>
      <c r="J85" t="n">
        <v>0</v>
      </c>
      <c r="K85" t="n">
        <v>0</v>
      </c>
      <c r="L85" t="n">
        <v>0</v>
      </c>
      <c r="M85" t="n">
        <v>12</v>
      </c>
      <c r="N85" t="n">
        <v>0.5</v>
      </c>
      <c r="O85" t="n">
        <v>-0.5</v>
      </c>
      <c r="P85" t="n">
        <v>1</v>
      </c>
      <c r="Q85" t="n">
        <v>12</v>
      </c>
      <c r="R85" t="s">
        <v>208</v>
      </c>
      <c r="S85" t="s">
        <v>210</v>
      </c>
      <c r="T85" t="n">
        <v>0.25</v>
      </c>
    </row>
    <row r="86">
      <c r="A86" t="s">
        <v>31</v>
      </c>
      <c r="B86" t="n">
        <v>0.97</v>
      </c>
      <c r="C86" t="n">
        <v>0.76</v>
      </c>
      <c r="D86" t="n">
        <v>0.96</v>
      </c>
      <c r="E86" t="n">
        <v>-3.75</v>
      </c>
      <c r="F86" t="n">
        <v>-0.5</v>
      </c>
      <c r="G86" t="n">
        <v>174</v>
      </c>
      <c r="H86" t="n">
        <v>12</v>
      </c>
      <c r="I86" t="s">
        <v>209</v>
      </c>
      <c r="J86" t="n">
        <v>0</v>
      </c>
      <c r="K86" t="n">
        <v>0</v>
      </c>
      <c r="L86" t="n">
        <v>0</v>
      </c>
      <c r="M86" t="n">
        <v>12</v>
      </c>
      <c r="N86" t="n">
        <v>1</v>
      </c>
      <c r="O86" t="n">
        <v>-0.25</v>
      </c>
      <c r="P86" t="n">
        <v>9</v>
      </c>
      <c r="Q86" t="n">
        <v>12</v>
      </c>
      <c r="R86" t="s">
        <v>209</v>
      </c>
      <c r="S86" t="s">
        <v>220</v>
      </c>
      <c r="T86" t="n">
        <v>0.75</v>
      </c>
    </row>
    <row r="87">
      <c r="A87" t="s">
        <v>31</v>
      </c>
      <c r="B87" t="n">
        <v>1.08</v>
      </c>
      <c r="C87" t="n">
        <v>1.01</v>
      </c>
      <c r="D87" t="n">
        <v>1.1</v>
      </c>
      <c r="E87" t="n">
        <v>-1.75</v>
      </c>
      <c r="F87" t="n">
        <v>-1</v>
      </c>
      <c r="G87" t="n">
        <v>59</v>
      </c>
      <c r="H87" t="n">
        <v>12</v>
      </c>
      <c r="I87" t="s">
        <v>212</v>
      </c>
      <c r="J87" t="n">
        <v>0</v>
      </c>
      <c r="K87" t="n">
        <v>0</v>
      </c>
      <c r="L87" t="n">
        <v>0</v>
      </c>
      <c r="M87" t="n">
        <v>12</v>
      </c>
      <c r="N87" t="n">
        <v>0.5</v>
      </c>
      <c r="O87" t="n">
        <v>-0.5</v>
      </c>
      <c r="P87" t="n">
        <v>84</v>
      </c>
      <c r="Q87" t="n">
        <v>12</v>
      </c>
      <c r="R87" t="s">
        <v>212</v>
      </c>
      <c r="S87" t="s">
        <v>208</v>
      </c>
      <c r="T87" t="n">
        <v>0.25</v>
      </c>
    </row>
    <row r="88">
      <c r="A88" t="s">
        <v>31</v>
      </c>
      <c r="B88" t="n">
        <v>1.09</v>
      </c>
      <c r="C88" t="n">
        <v>0.94</v>
      </c>
      <c r="D88" t="n">
        <v>1.11</v>
      </c>
      <c r="E88" t="n">
        <v>-7.5</v>
      </c>
      <c r="F88" t="n">
        <v>-0.5</v>
      </c>
      <c r="G88" t="n">
        <v>76</v>
      </c>
      <c r="H88" t="n">
        <v>12</v>
      </c>
      <c r="I88" t="s">
        <v>212</v>
      </c>
      <c r="J88" t="n">
        <v>0</v>
      </c>
      <c r="K88" t="n">
        <v>0</v>
      </c>
      <c r="L88" t="n">
        <v>0</v>
      </c>
      <c r="M88" t="n">
        <v>12</v>
      </c>
      <c r="N88" t="n">
        <v>0.5</v>
      </c>
      <c r="O88" t="n">
        <v>-0.25</v>
      </c>
      <c r="P88" t="n">
        <v>50</v>
      </c>
      <c r="Q88" t="n">
        <v>12</v>
      </c>
      <c r="R88" t="s">
        <v>212</v>
      </c>
      <c r="S88" t="s">
        <v>209</v>
      </c>
      <c r="T88" t="n">
        <v>0.25</v>
      </c>
    </row>
    <row r="89">
      <c r="A89" t="s">
        <v>31</v>
      </c>
      <c r="B89" t="n">
        <v>1.02</v>
      </c>
      <c r="C89" t="n">
        <v>0.8</v>
      </c>
      <c r="D89" t="n">
        <v>1.03</v>
      </c>
      <c r="E89" t="n">
        <v>-3.5</v>
      </c>
      <c r="F89" t="n">
        <v>0</v>
      </c>
      <c r="G89" t="n">
        <v>179</v>
      </c>
      <c r="H89" t="n">
        <v>12</v>
      </c>
      <c r="I89" t="s">
        <v>208</v>
      </c>
      <c r="J89" t="n">
        <v>0</v>
      </c>
      <c r="K89" t="n">
        <v>0</v>
      </c>
      <c r="L89" t="n">
        <v>0</v>
      </c>
      <c r="M89" t="n">
        <v>12</v>
      </c>
      <c r="N89" t="n">
        <v>-0.75</v>
      </c>
      <c r="O89" t="n">
        <v>0</v>
      </c>
      <c r="P89" t="n">
        <v>20</v>
      </c>
      <c r="Q89" t="n">
        <v>12</v>
      </c>
      <c r="R89" t="s">
        <v>207</v>
      </c>
      <c r="S89" t="s">
        <v>211</v>
      </c>
      <c r="T89" t="n">
        <v>-0.75</v>
      </c>
    </row>
    <row r="90">
      <c r="A90" t="s">
        <v>31</v>
      </c>
      <c r="B90" t="n">
        <v>1.01</v>
      </c>
      <c r="C90" t="n">
        <v>0.94</v>
      </c>
      <c r="D90" t="n">
        <v>1.02</v>
      </c>
      <c r="E90" t="n">
        <v>-4.25</v>
      </c>
      <c r="F90" t="n">
        <v>-0.25</v>
      </c>
      <c r="G90" t="n">
        <v>100</v>
      </c>
      <c r="H90" t="n">
        <v>12</v>
      </c>
      <c r="I90" t="s">
        <v>208</v>
      </c>
      <c r="J90" t="n">
        <v>0</v>
      </c>
      <c r="K90" t="n">
        <v>0</v>
      </c>
      <c r="L90" t="n">
        <v>0</v>
      </c>
      <c r="M90" t="n">
        <v>12</v>
      </c>
      <c r="N90" t="n">
        <v>0</v>
      </c>
      <c r="O90" t="n">
        <v>-0.25</v>
      </c>
      <c r="P90" t="n">
        <v>102</v>
      </c>
      <c r="Q90" t="n">
        <v>12</v>
      </c>
      <c r="R90" t="s">
        <v>208</v>
      </c>
      <c r="S90" t="s">
        <v>209</v>
      </c>
      <c r="T90" t="n">
        <v>0</v>
      </c>
    </row>
    <row r="91">
      <c r="A91" t="s">
        <v>31</v>
      </c>
      <c r="B91" t="n">
        <v>0.87</v>
      </c>
      <c r="C91" t="n">
        <v>0.64</v>
      </c>
      <c r="D91" t="n">
        <v>0.84</v>
      </c>
      <c r="E91" t="n">
        <v>-3.75</v>
      </c>
      <c r="F91" t="n">
        <v>-0.75</v>
      </c>
      <c r="G91" t="n">
        <v>172</v>
      </c>
      <c r="H91" t="n">
        <v>12</v>
      </c>
      <c r="I91" t="s">
        <v>219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-0.25</v>
      </c>
      <c r="P91" t="n">
        <v>159</v>
      </c>
      <c r="Q91" t="n">
        <v>12</v>
      </c>
      <c r="R91" t="s">
        <v>217</v>
      </c>
      <c r="S91" t="s">
        <v>223</v>
      </c>
      <c r="T91" t="n">
        <v>-0.25</v>
      </c>
    </row>
    <row r="92">
      <c r="A92" t="s">
        <v>31</v>
      </c>
      <c r="B92" t="n">
        <v>1.09</v>
      </c>
      <c r="C92" t="n">
        <v>1.05</v>
      </c>
      <c r="D92" t="n">
        <v>1.18</v>
      </c>
      <c r="E92" t="n">
        <v>-3.25</v>
      </c>
      <c r="F92" t="n">
        <v>-0.5</v>
      </c>
      <c r="G92" t="n">
        <v>1</v>
      </c>
      <c r="H92" t="n">
        <v>12</v>
      </c>
      <c r="I92" t="s">
        <v>212</v>
      </c>
      <c r="J92" t="n">
        <v>0</v>
      </c>
      <c r="K92" t="n">
        <v>0</v>
      </c>
      <c r="L92" t="n">
        <v>0</v>
      </c>
      <c r="M92" t="n">
        <v>12</v>
      </c>
      <c r="N92" t="n">
        <v>0</v>
      </c>
      <c r="O92" t="n">
        <v>-0.25</v>
      </c>
      <c r="P92" t="n">
        <v>148</v>
      </c>
      <c r="Q92" t="n">
        <v>12</v>
      </c>
      <c r="R92" t="s">
        <v>213</v>
      </c>
      <c r="S92" t="s">
        <v>207</v>
      </c>
      <c r="T92" t="n">
        <v>-0.25</v>
      </c>
    </row>
    <row r="93">
      <c r="A93" t="s">
        <v>31</v>
      </c>
      <c r="B93" t="n">
        <v>1.12</v>
      </c>
      <c r="C93" t="n">
        <v>0.78</v>
      </c>
      <c r="D93" t="n">
        <v>1.06</v>
      </c>
      <c r="E93" t="n">
        <v>-6.75</v>
      </c>
      <c r="F93" t="n">
        <v>0</v>
      </c>
      <c r="G93" t="n">
        <v>22</v>
      </c>
      <c r="H93" t="n">
        <v>12</v>
      </c>
      <c r="I93" t="s">
        <v>212</v>
      </c>
      <c r="J93" t="n">
        <v>0</v>
      </c>
      <c r="K93" t="n">
        <v>0</v>
      </c>
      <c r="L93" t="n">
        <v>0</v>
      </c>
      <c r="M93" t="n">
        <v>12</v>
      </c>
      <c r="N93" t="n">
        <v>0</v>
      </c>
      <c r="O93" t="n">
        <v>-0.25</v>
      </c>
      <c r="P93" t="n">
        <v>97</v>
      </c>
      <c r="Q93" t="n">
        <v>12</v>
      </c>
      <c r="R93" t="s">
        <v>207</v>
      </c>
      <c r="S93" t="s">
        <v>211</v>
      </c>
      <c r="T93" t="n">
        <v>-0.25</v>
      </c>
    </row>
    <row r="94">
      <c r="A94" t="s">
        <v>31</v>
      </c>
      <c r="B94" t="n">
        <v>1.01</v>
      </c>
      <c r="C94" t="n">
        <v>0.89</v>
      </c>
      <c r="D94" t="n">
        <v>0.99</v>
      </c>
      <c r="E94" t="n">
        <v>-6</v>
      </c>
      <c r="F94" t="n">
        <v>0</v>
      </c>
      <c r="G94" t="n">
        <v>87</v>
      </c>
      <c r="H94" t="n">
        <v>12</v>
      </c>
      <c r="I94" t="s">
        <v>208</v>
      </c>
      <c r="J94" t="n">
        <v>0</v>
      </c>
      <c r="K94" t="n">
        <v>0</v>
      </c>
      <c r="L94" t="n">
        <v>0</v>
      </c>
      <c r="M94" t="n">
        <v>12</v>
      </c>
      <c r="N94" t="n">
        <v>-0.5</v>
      </c>
      <c r="O94" t="n">
        <v>-0.25</v>
      </c>
      <c r="P94" t="n">
        <v>160</v>
      </c>
      <c r="Q94" t="n">
        <v>12</v>
      </c>
      <c r="R94" t="s">
        <v>208</v>
      </c>
      <c r="S94" t="s">
        <v>219</v>
      </c>
      <c r="T94" t="n">
        <v>-0.5</v>
      </c>
    </row>
    <row r="95">
      <c r="A95" t="s">
        <v>31</v>
      </c>
      <c r="B95" t="n">
        <v>1.02</v>
      </c>
      <c r="C95" t="n">
        <v>0.88</v>
      </c>
      <c r="D95" t="n">
        <v>1.03</v>
      </c>
      <c r="E95" t="n">
        <v>-2.5</v>
      </c>
      <c r="F95" t="n">
        <v>-0.25</v>
      </c>
      <c r="G95" t="n">
        <v>177</v>
      </c>
      <c r="H95" t="n">
        <v>12</v>
      </c>
      <c r="I95" t="s">
        <v>208</v>
      </c>
      <c r="J95" t="n">
        <v>0</v>
      </c>
      <c r="K95" t="n">
        <v>0</v>
      </c>
      <c r="L95" t="n">
        <v>0</v>
      </c>
      <c r="M95" t="n">
        <v>12</v>
      </c>
      <c r="N95" t="n">
        <v>1</v>
      </c>
      <c r="O95" t="n">
        <v>-0.25</v>
      </c>
      <c r="P95" t="n">
        <v>161</v>
      </c>
      <c r="Q95" t="n">
        <v>12</v>
      </c>
      <c r="R95" t="s">
        <v>207</v>
      </c>
      <c r="S95" t="s">
        <v>219</v>
      </c>
      <c r="T95" t="n">
        <v>0.75</v>
      </c>
    </row>
    <row r="96">
      <c r="A96" t="s">
        <v>31</v>
      </c>
      <c r="B96" t="n">
        <v>1</v>
      </c>
      <c r="C96" t="n">
        <v>0.65</v>
      </c>
      <c r="D96" t="n">
        <v>0.93</v>
      </c>
      <c r="E96" t="n">
        <v>-5</v>
      </c>
      <c r="F96" t="n">
        <v>0</v>
      </c>
      <c r="G96" t="n">
        <v>92</v>
      </c>
      <c r="H96" t="n">
        <v>12</v>
      </c>
      <c r="I96" t="s">
        <v>208</v>
      </c>
      <c r="J96" t="n">
        <v>0</v>
      </c>
      <c r="K96" t="n">
        <v>0</v>
      </c>
      <c r="L96" t="n">
        <v>0</v>
      </c>
      <c r="M96" t="n">
        <v>12</v>
      </c>
      <c r="N96" t="n">
        <v>-1</v>
      </c>
      <c r="O96" t="n">
        <v>0</v>
      </c>
      <c r="P96" t="n">
        <v>108</v>
      </c>
      <c r="Q96" t="n">
        <v>12</v>
      </c>
      <c r="R96" t="s">
        <v>210</v>
      </c>
      <c r="S96" t="s">
        <v>224</v>
      </c>
      <c r="T96" t="n">
        <v>-1</v>
      </c>
    </row>
    <row r="97">
      <c r="A97" t="s">
        <v>31</v>
      </c>
      <c r="B97" t="n">
        <v>0.95</v>
      </c>
      <c r="C97" t="n">
        <v>0.68</v>
      </c>
      <c r="D97" t="n">
        <v>0.89</v>
      </c>
      <c r="E97" t="n">
        <v>-6.25</v>
      </c>
      <c r="F97" t="n">
        <v>-0.25</v>
      </c>
      <c r="G97" t="n">
        <v>84</v>
      </c>
      <c r="H97" t="n">
        <v>12</v>
      </c>
      <c r="I97" t="s">
        <v>209</v>
      </c>
      <c r="J97" t="n">
        <v>0</v>
      </c>
      <c r="K97" t="n">
        <v>0</v>
      </c>
      <c r="L97" t="n">
        <v>0</v>
      </c>
      <c r="M97" t="n">
        <v>12</v>
      </c>
      <c r="N97" t="n">
        <v>0.5</v>
      </c>
      <c r="O97" t="n">
        <v>0</v>
      </c>
      <c r="P97" t="n">
        <v>66</v>
      </c>
      <c r="Q97" t="n">
        <v>12</v>
      </c>
      <c r="R97" t="s">
        <v>219</v>
      </c>
      <c r="S97" t="s">
        <v>218</v>
      </c>
      <c r="T97" t="n">
        <v>0.5</v>
      </c>
    </row>
    <row r="98">
      <c r="A98" t="s">
        <v>31</v>
      </c>
      <c r="B98" t="n">
        <v>1.07</v>
      </c>
      <c r="C98" t="n">
        <v>0.83</v>
      </c>
      <c r="D98" t="n">
        <v>0.99</v>
      </c>
      <c r="E98" t="n">
        <v>-4.25</v>
      </c>
      <c r="F98" t="n">
        <v>-2</v>
      </c>
      <c r="G98" t="n">
        <v>39</v>
      </c>
      <c r="H98" t="n">
        <v>12</v>
      </c>
      <c r="I98" t="s">
        <v>207</v>
      </c>
      <c r="J98" t="n">
        <v>0</v>
      </c>
      <c r="K98" t="n">
        <v>0</v>
      </c>
      <c r="L98" t="n">
        <v>0</v>
      </c>
      <c r="M98" t="n">
        <v>12</v>
      </c>
      <c r="N98" t="n">
        <v>0</v>
      </c>
      <c r="O98" t="n">
        <v>-0.25</v>
      </c>
      <c r="P98" t="n">
        <v>32</v>
      </c>
      <c r="Q98" t="n">
        <v>12</v>
      </c>
      <c r="R98" t="s">
        <v>208</v>
      </c>
      <c r="S98" t="s">
        <v>217</v>
      </c>
      <c r="T98" t="n">
        <v>0</v>
      </c>
    </row>
    <row r="99">
      <c r="A99" t="s">
        <v>31</v>
      </c>
      <c r="B99" t="n">
        <v>1.07</v>
      </c>
      <c r="C99" t="n">
        <v>0.97</v>
      </c>
      <c r="D99" t="n">
        <v>1.06</v>
      </c>
      <c r="E99" t="n">
        <v>-6</v>
      </c>
      <c r="F99" t="n">
        <v>-1.25</v>
      </c>
      <c r="G99" t="n">
        <v>33</v>
      </c>
      <c r="H99" t="n">
        <v>12</v>
      </c>
      <c r="I99" t="s">
        <v>207</v>
      </c>
      <c r="J99" t="n">
        <v>0</v>
      </c>
      <c r="K99" t="n">
        <v>0</v>
      </c>
      <c r="L99" t="n">
        <v>0</v>
      </c>
      <c r="M99" t="n">
        <v>12</v>
      </c>
      <c r="N99" t="n">
        <v>0.5</v>
      </c>
      <c r="O99" t="n">
        <v>0</v>
      </c>
      <c r="P99" t="n">
        <v>20</v>
      </c>
      <c r="Q99" t="n">
        <v>12</v>
      </c>
      <c r="R99" t="s">
        <v>207</v>
      </c>
      <c r="S99" t="s">
        <v>209</v>
      </c>
      <c r="T99" t="n">
        <v>0.5</v>
      </c>
    </row>
    <row r="100">
      <c r="A100" t="s">
        <v>31</v>
      </c>
      <c r="B100" t="n">
        <v>1</v>
      </c>
      <c r="C100" t="n">
        <v>0.97</v>
      </c>
      <c r="D100" t="n">
        <v>1.03</v>
      </c>
      <c r="E100" t="n">
        <v>-4.25</v>
      </c>
      <c r="F100" t="n">
        <v>-0.75</v>
      </c>
      <c r="G100" t="n">
        <v>171</v>
      </c>
      <c r="H100" t="n">
        <v>12</v>
      </c>
      <c r="I100" t="s">
        <v>208</v>
      </c>
      <c r="J100" t="n">
        <v>0</v>
      </c>
      <c r="K100" t="n">
        <v>0</v>
      </c>
      <c r="L100" t="n">
        <v>0</v>
      </c>
      <c r="M100" t="n">
        <v>12</v>
      </c>
      <c r="N100" t="n">
        <v>-0.5</v>
      </c>
      <c r="O100" t="n">
        <v>0</v>
      </c>
      <c r="P100" t="n">
        <v>11</v>
      </c>
      <c r="Q100" t="n">
        <v>12</v>
      </c>
      <c r="R100" t="s">
        <v>207</v>
      </c>
      <c r="S100" t="s">
        <v>209</v>
      </c>
      <c r="T100" t="n">
        <v>-0.5</v>
      </c>
    </row>
    <row r="101">
      <c r="A101" t="s">
        <v>31</v>
      </c>
      <c r="B101" t="n">
        <v>1.02</v>
      </c>
      <c r="C101" t="n">
        <v>0.9</v>
      </c>
      <c r="D101" t="n">
        <v>1.01</v>
      </c>
      <c r="E101" t="n">
        <v>-4.25</v>
      </c>
      <c r="F101" t="n">
        <v>-0.5</v>
      </c>
      <c r="G101" t="n">
        <v>77</v>
      </c>
      <c r="H101" t="n">
        <v>12</v>
      </c>
      <c r="I101" t="s">
        <v>208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-0.25</v>
      </c>
      <c r="P101" t="n">
        <v>67</v>
      </c>
      <c r="Q101" t="n">
        <v>12</v>
      </c>
      <c r="R101" t="s">
        <v>208</v>
      </c>
      <c r="S101" t="s">
        <v>210</v>
      </c>
      <c r="T101" t="n">
        <v>0</v>
      </c>
    </row>
    <row r="102">
      <c r="A102" t="s">
        <v>31</v>
      </c>
      <c r="B102" t="n">
        <v>1.03</v>
      </c>
      <c r="C102" t="n">
        <v>0.92</v>
      </c>
      <c r="D102" t="n">
        <v>1.02</v>
      </c>
      <c r="E102" t="n">
        <v>-3.75</v>
      </c>
      <c r="F102" t="n">
        <v>-0.25</v>
      </c>
      <c r="G102" t="n">
        <v>140</v>
      </c>
      <c r="H102" t="n">
        <v>12</v>
      </c>
      <c r="I102" t="s">
        <v>207</v>
      </c>
      <c r="J102" t="n">
        <v>0</v>
      </c>
      <c r="K102" t="n">
        <v>0</v>
      </c>
      <c r="L102" t="n">
        <v>0</v>
      </c>
      <c r="M102" t="n">
        <v>12</v>
      </c>
      <c r="N102" t="n">
        <v>-0.5</v>
      </c>
      <c r="O102" t="n">
        <v>-0.25</v>
      </c>
      <c r="P102" t="n">
        <v>142</v>
      </c>
      <c r="Q102" t="n">
        <v>12</v>
      </c>
      <c r="R102" t="s">
        <v>208</v>
      </c>
      <c r="S102" t="s">
        <v>210</v>
      </c>
      <c r="T102" t="n">
        <v>-0.5</v>
      </c>
    </row>
    <row r="103">
      <c r="A103" t="s">
        <v>31</v>
      </c>
      <c r="B103" t="n">
        <v>0.96</v>
      </c>
      <c r="C103" t="n">
        <v>0.85</v>
      </c>
      <c r="D103" t="n">
        <v>1</v>
      </c>
      <c r="E103" t="n">
        <v>-3.75</v>
      </c>
      <c r="F103" t="n">
        <v>-0.5</v>
      </c>
      <c r="G103" t="n">
        <v>170</v>
      </c>
      <c r="H103" t="n">
        <v>12</v>
      </c>
      <c r="I103" t="s">
        <v>209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-0.25</v>
      </c>
      <c r="P103" t="n">
        <v>172</v>
      </c>
      <c r="Q103" t="n">
        <v>12</v>
      </c>
      <c r="R103" t="s">
        <v>208</v>
      </c>
      <c r="S103" t="s">
        <v>217</v>
      </c>
      <c r="T103" t="n">
        <v>-0.25</v>
      </c>
    </row>
    <row r="104">
      <c r="A104" t="s">
        <v>31</v>
      </c>
      <c r="B104" t="n">
        <v>1.02</v>
      </c>
      <c r="C104" t="n">
        <v>0.92</v>
      </c>
      <c r="D104" t="n">
        <v>1</v>
      </c>
      <c r="E104" t="n">
        <v>-1.75</v>
      </c>
      <c r="F104" t="n">
        <v>-1</v>
      </c>
      <c r="G104" t="n">
        <v>56</v>
      </c>
      <c r="H104" t="n">
        <v>12</v>
      </c>
      <c r="I104" t="s">
        <v>208</v>
      </c>
      <c r="J104" t="n">
        <v>0</v>
      </c>
      <c r="K104" t="n">
        <v>0</v>
      </c>
      <c r="L104" t="n">
        <v>0</v>
      </c>
      <c r="M104" t="n">
        <v>12</v>
      </c>
      <c r="N104" t="n">
        <v>0</v>
      </c>
      <c r="O104" t="n">
        <v>0</v>
      </c>
      <c r="P104" t="n">
        <v>53</v>
      </c>
      <c r="Q104" t="n">
        <v>12</v>
      </c>
      <c r="R104" t="s">
        <v>208</v>
      </c>
      <c r="S104" t="s">
        <v>210</v>
      </c>
      <c r="T104" t="n">
        <v>0</v>
      </c>
    </row>
    <row r="105">
      <c r="A105" t="s">
        <v>31</v>
      </c>
      <c r="B105" t="n">
        <v>1</v>
      </c>
      <c r="C105" t="n">
        <v>0.85</v>
      </c>
      <c r="D105" t="n">
        <v>0.95</v>
      </c>
      <c r="E105" t="n">
        <v>-8.5</v>
      </c>
      <c r="F105" t="n">
        <v>-0.5</v>
      </c>
      <c r="G105" t="n">
        <v>103</v>
      </c>
      <c r="H105" t="n">
        <v>12</v>
      </c>
      <c r="I105" t="s">
        <v>208</v>
      </c>
      <c r="J105" t="n">
        <v>0</v>
      </c>
      <c r="K105" t="n">
        <v>0</v>
      </c>
      <c r="L105" t="n">
        <v>0</v>
      </c>
      <c r="M105" t="n">
        <v>12</v>
      </c>
      <c r="N105" t="n">
        <v>0</v>
      </c>
      <c r="O105" t="n">
        <v>0</v>
      </c>
      <c r="P105" t="n">
        <v>27</v>
      </c>
      <c r="Q105" t="n">
        <v>12</v>
      </c>
      <c r="R105" t="s">
        <v>209</v>
      </c>
      <c r="S105" t="s">
        <v>217</v>
      </c>
      <c r="T105" t="n">
        <v>0</v>
      </c>
    </row>
    <row r="106">
      <c r="A106" t="s">
        <v>31</v>
      </c>
      <c r="B106" t="n">
        <v>0.99</v>
      </c>
      <c r="C106" t="n">
        <v>0.94</v>
      </c>
      <c r="D106" t="n">
        <v>1.02</v>
      </c>
      <c r="E106" t="n">
        <v>-8.75</v>
      </c>
      <c r="F106" t="n">
        <v>-1</v>
      </c>
      <c r="G106" t="n">
        <v>101</v>
      </c>
      <c r="H106" t="n">
        <v>12</v>
      </c>
      <c r="I106" t="s">
        <v>208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0</v>
      </c>
      <c r="P106" t="n">
        <v>32</v>
      </c>
      <c r="Q106" t="n">
        <v>12</v>
      </c>
      <c r="R106" t="s">
        <v>208</v>
      </c>
      <c r="S106" t="s">
        <v>209</v>
      </c>
      <c r="T106" t="n">
        <v>0</v>
      </c>
    </row>
    <row r="107">
      <c r="A107" t="s">
        <v>31</v>
      </c>
      <c r="B107" t="n">
        <v>0.99</v>
      </c>
      <c r="C107" t="n">
        <v>0.88</v>
      </c>
      <c r="D107" t="n">
        <v>0.96</v>
      </c>
      <c r="E107" t="n">
        <v>-4.5</v>
      </c>
      <c r="F107" t="n">
        <v>0</v>
      </c>
      <c r="G107" t="n">
        <v>155</v>
      </c>
      <c r="H107" t="n">
        <v>12</v>
      </c>
      <c r="I107" t="s">
        <v>208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-0.25</v>
      </c>
      <c r="P107" t="n">
        <v>161</v>
      </c>
      <c r="Q107" t="n">
        <v>12</v>
      </c>
      <c r="R107" t="s">
        <v>209</v>
      </c>
      <c r="S107" t="s">
        <v>219</v>
      </c>
      <c r="T107" t="n">
        <v>-0.25</v>
      </c>
    </row>
    <row r="108">
      <c r="A108" t="s">
        <v>31</v>
      </c>
      <c r="B108" t="n">
        <v>1.04</v>
      </c>
      <c r="C108" t="n">
        <v>1.02</v>
      </c>
      <c r="D108" t="n">
        <v>1.06</v>
      </c>
      <c r="E108" t="n">
        <v>-3</v>
      </c>
      <c r="F108" t="n">
        <v>-2</v>
      </c>
      <c r="G108" t="n">
        <v>170</v>
      </c>
      <c r="H108" t="n">
        <v>12</v>
      </c>
      <c r="I108" t="s">
        <v>207</v>
      </c>
      <c r="J108" t="n">
        <v>0</v>
      </c>
      <c r="K108" t="n">
        <v>0</v>
      </c>
      <c r="L108" t="n">
        <v>0</v>
      </c>
      <c r="M108" t="n">
        <v>12</v>
      </c>
      <c r="N108" t="n">
        <v>-0.25</v>
      </c>
      <c r="O108" t="n">
        <v>0</v>
      </c>
      <c r="P108" t="n">
        <v>164</v>
      </c>
      <c r="Q108" t="n">
        <v>12</v>
      </c>
      <c r="R108" t="s">
        <v>207</v>
      </c>
      <c r="S108" t="s">
        <v>208</v>
      </c>
      <c r="T108" t="n">
        <v>-0.25</v>
      </c>
    </row>
    <row r="109">
      <c r="A109" t="s">
        <v>31</v>
      </c>
      <c r="B109" t="n">
        <v>1.08</v>
      </c>
      <c r="C109" t="n">
        <v>0.87</v>
      </c>
      <c r="D109" t="n">
        <v>1.07</v>
      </c>
      <c r="E109" t="n">
        <v>-8</v>
      </c>
      <c r="F109" t="n">
        <v>-0.5</v>
      </c>
      <c r="G109" t="n">
        <v>103</v>
      </c>
      <c r="H109" t="n">
        <v>12</v>
      </c>
      <c r="I109" t="s">
        <v>212</v>
      </c>
      <c r="J109" t="n">
        <v>0</v>
      </c>
      <c r="K109" t="n">
        <v>0</v>
      </c>
      <c r="L109" t="n">
        <v>0</v>
      </c>
      <c r="M109" t="n">
        <v>12</v>
      </c>
      <c r="N109" t="n">
        <v>0.5</v>
      </c>
      <c r="O109" t="n">
        <v>-0.25</v>
      </c>
      <c r="P109" t="n">
        <v>103</v>
      </c>
      <c r="Q109" t="n">
        <v>12</v>
      </c>
      <c r="R109" t="s">
        <v>207</v>
      </c>
      <c r="S109" t="s">
        <v>219</v>
      </c>
      <c r="T109" t="n">
        <v>0.5</v>
      </c>
    </row>
    <row r="110">
      <c r="A110" t="s">
        <v>31</v>
      </c>
      <c r="B110" t="n">
        <v>1.09</v>
      </c>
      <c r="C110" t="n">
        <v>0.99</v>
      </c>
      <c r="D110" t="n">
        <v>1.12</v>
      </c>
      <c r="E110" t="n">
        <v>-0.5</v>
      </c>
      <c r="F110" t="n">
        <v>-0.75</v>
      </c>
      <c r="G110" t="n">
        <v>97</v>
      </c>
      <c r="H110" t="n">
        <v>12</v>
      </c>
      <c r="I110" t="s">
        <v>212</v>
      </c>
      <c r="J110" t="n">
        <v>0</v>
      </c>
      <c r="K110" t="n">
        <v>0</v>
      </c>
      <c r="L110" t="n">
        <v>0</v>
      </c>
      <c r="M110" t="n">
        <v>12</v>
      </c>
      <c r="N110" t="n">
        <v>-0.25</v>
      </c>
      <c r="O110" t="n">
        <v>0</v>
      </c>
      <c r="P110" t="n">
        <v>71</v>
      </c>
      <c r="Q110" t="n">
        <v>12</v>
      </c>
      <c r="R110" t="s">
        <v>212</v>
      </c>
      <c r="S110" t="s">
        <v>208</v>
      </c>
      <c r="T110" t="n">
        <v>-0.25</v>
      </c>
    </row>
    <row r="111">
      <c r="A111" t="s">
        <v>31</v>
      </c>
      <c r="B111" t="n">
        <v>1.03</v>
      </c>
      <c r="C111" t="n">
        <v>0.84</v>
      </c>
      <c r="D111" t="n">
        <v>0.99</v>
      </c>
      <c r="E111" t="n">
        <v>-0.25</v>
      </c>
      <c r="F111" t="n">
        <v>-1.75</v>
      </c>
      <c r="G111" t="n">
        <v>178</v>
      </c>
      <c r="H111" t="n">
        <v>12</v>
      </c>
      <c r="I111" t="s">
        <v>207</v>
      </c>
      <c r="J111" t="n">
        <v>0</v>
      </c>
      <c r="K111" t="n">
        <v>0</v>
      </c>
      <c r="L111" t="n">
        <v>0</v>
      </c>
      <c r="M111" t="n">
        <v>12</v>
      </c>
      <c r="N111" t="n">
        <v>0</v>
      </c>
      <c r="O111" t="n">
        <v>-0.25</v>
      </c>
      <c r="P111" t="n">
        <v>147</v>
      </c>
      <c r="Q111" t="n">
        <v>12</v>
      </c>
      <c r="R111" t="s">
        <v>208</v>
      </c>
      <c r="S111" t="s">
        <v>217</v>
      </c>
      <c r="T111" t="n">
        <v>-0.25</v>
      </c>
    </row>
    <row r="112">
      <c r="A112" t="s">
        <v>31</v>
      </c>
      <c r="B112" t="n">
        <v>1.05</v>
      </c>
      <c r="C112" t="n">
        <v>1.07</v>
      </c>
      <c r="D112" t="n">
        <v>1.08</v>
      </c>
      <c r="E112" t="n">
        <v>-3.5</v>
      </c>
      <c r="F112" t="n">
        <v>-1</v>
      </c>
      <c r="G112" t="n">
        <v>162</v>
      </c>
      <c r="H112" t="n">
        <v>12</v>
      </c>
      <c r="I112" t="s">
        <v>207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-0.5</v>
      </c>
      <c r="P112" t="n">
        <v>12</v>
      </c>
      <c r="Q112" t="n">
        <v>12</v>
      </c>
      <c r="R112" t="s">
        <v>212</v>
      </c>
      <c r="S112" t="s">
        <v>207</v>
      </c>
      <c r="T112" t="n">
        <v>-0.25</v>
      </c>
    </row>
    <row r="113">
      <c r="A113" t="s">
        <v>31</v>
      </c>
      <c r="B113" t="n">
        <v>0.98</v>
      </c>
      <c r="C113" t="n">
        <v>0.89</v>
      </c>
      <c r="D113" t="n">
        <v>1.03</v>
      </c>
      <c r="E113" t="n">
        <v>-2.5</v>
      </c>
      <c r="F113" t="n">
        <v>-0.75</v>
      </c>
      <c r="G113" t="n">
        <v>172</v>
      </c>
      <c r="H113" t="n">
        <v>12</v>
      </c>
      <c r="I113" t="s">
        <v>208</v>
      </c>
      <c r="J113" t="n">
        <v>0</v>
      </c>
      <c r="K113" t="n">
        <v>0</v>
      </c>
      <c r="L113" t="n">
        <v>0</v>
      </c>
      <c r="M113" t="n">
        <v>12</v>
      </c>
      <c r="N113" t="n">
        <v>0</v>
      </c>
      <c r="O113" t="n">
        <v>-0.25</v>
      </c>
      <c r="P113" t="n">
        <v>168</v>
      </c>
      <c r="Q113" t="n">
        <v>12</v>
      </c>
      <c r="R113" t="s">
        <v>207</v>
      </c>
      <c r="S113" t="s">
        <v>219</v>
      </c>
      <c r="T113" t="n">
        <v>0</v>
      </c>
    </row>
    <row r="114">
      <c r="A114" t="s">
        <v>31</v>
      </c>
      <c r="B114" t="n">
        <v>1.03</v>
      </c>
      <c r="C114" t="n">
        <v>0.72</v>
      </c>
      <c r="D114" t="n">
        <v>1.02</v>
      </c>
      <c r="E114" t="n">
        <v>-2.25</v>
      </c>
      <c r="F114" t="n">
        <v>0</v>
      </c>
      <c r="G114" t="n">
        <v>10</v>
      </c>
      <c r="H114" t="n">
        <v>12</v>
      </c>
      <c r="I114" t="s">
        <v>207</v>
      </c>
      <c r="J114" t="n">
        <v>0</v>
      </c>
      <c r="K114" t="n">
        <v>0</v>
      </c>
      <c r="L114" t="n">
        <v>0</v>
      </c>
      <c r="M114" t="n">
        <v>12</v>
      </c>
      <c r="N114" t="n">
        <v>-1</v>
      </c>
      <c r="O114" t="n">
        <v>0</v>
      </c>
      <c r="P114" t="n">
        <v>141</v>
      </c>
      <c r="Q114" t="n">
        <v>12</v>
      </c>
      <c r="R114" t="s">
        <v>208</v>
      </c>
      <c r="S114" t="s">
        <v>221</v>
      </c>
      <c r="T114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</v>
      </c>
      <c r="B1" t="s">
        <v>226</v>
      </c>
      <c r="C1" t="s">
        <v>227</v>
      </c>
      <c r="D1" t="s">
        <v>228</v>
      </c>
      <c r="E1" t="s">
        <v>229</v>
      </c>
    </row>
    <row r="2">
      <c r="A2" t="s">
        <v>230</v>
      </c>
      <c r="B2" t="n">
        <v>-1.5</v>
      </c>
      <c r="C2" t="n">
        <v>161</v>
      </c>
      <c r="D2" t="n">
        <v>-0.25</v>
      </c>
      <c r="E2" t="n">
        <v>167</v>
      </c>
    </row>
    <row r="3">
      <c r="A3" t="s">
        <v>230</v>
      </c>
      <c r="B3" t="n">
        <v>-2.25</v>
      </c>
      <c r="C3" t="n">
        <v>35</v>
      </c>
      <c r="D3" t="n">
        <v>0</v>
      </c>
      <c r="E3" t="n">
        <v>40</v>
      </c>
    </row>
    <row r="4">
      <c r="A4" t="s">
        <v>231</v>
      </c>
      <c r="B4" t="n">
        <v>-0.75</v>
      </c>
      <c r="C4" t="n">
        <v>78</v>
      </c>
      <c r="D4" t="n">
        <v>-0.25</v>
      </c>
      <c r="E4" t="n">
        <v>110</v>
      </c>
    </row>
    <row r="5">
      <c r="A5" t="s">
        <v>230</v>
      </c>
      <c r="B5" t="n">
        <v>0</v>
      </c>
      <c r="C5" t="n">
        <v>80</v>
      </c>
      <c r="D5" t="n">
        <v>0</v>
      </c>
      <c r="E5" t="n">
        <v>89</v>
      </c>
    </row>
    <row r="6">
      <c r="A6" t="s">
        <v>231</v>
      </c>
      <c r="B6" t="n">
        <v>-1</v>
      </c>
      <c r="C6" t="n">
        <v>103</v>
      </c>
      <c r="D6" t="n">
        <v>-0.5</v>
      </c>
      <c r="E6" t="n">
        <v>78</v>
      </c>
    </row>
    <row r="7">
      <c r="A7" t="s">
        <v>230</v>
      </c>
      <c r="B7" t="n">
        <v>-0.25</v>
      </c>
      <c r="C7" t="n">
        <v>3</v>
      </c>
      <c r="D7" t="n">
        <v>-0.25</v>
      </c>
      <c r="E7" t="n">
        <v>177</v>
      </c>
    </row>
    <row r="8">
      <c r="A8" t="s">
        <v>231</v>
      </c>
      <c r="B8" t="n">
        <v>-1.25</v>
      </c>
      <c r="C8" t="n">
        <v>103</v>
      </c>
      <c r="D8" t="n">
        <v>-0.5</v>
      </c>
      <c r="E8" t="n">
        <v>75</v>
      </c>
    </row>
    <row r="9">
      <c r="A9" t="s">
        <v>230</v>
      </c>
      <c r="B9" t="n">
        <v>-1</v>
      </c>
      <c r="C9" t="n">
        <v>24</v>
      </c>
      <c r="D9" t="n">
        <v>-0.5</v>
      </c>
      <c r="E9" t="n">
        <v>36</v>
      </c>
    </row>
    <row r="10">
      <c r="A10" t="s">
        <v>231</v>
      </c>
      <c r="B10" t="n">
        <v>-0.5</v>
      </c>
      <c r="C10" t="n">
        <v>101</v>
      </c>
      <c r="D10" t="n">
        <v>-0.25</v>
      </c>
      <c r="E10" t="n">
        <v>98</v>
      </c>
    </row>
    <row r="11">
      <c r="A11" t="s">
        <v>230</v>
      </c>
      <c r="B11" t="n">
        <v>-1.25</v>
      </c>
      <c r="C11" t="n">
        <v>79</v>
      </c>
      <c r="D11" t="n">
        <v>-0.75</v>
      </c>
      <c r="E11" t="n">
        <v>64</v>
      </c>
    </row>
    <row r="12">
      <c r="A12" t="s">
        <v>230</v>
      </c>
      <c r="B12" t="n">
        <v>-0.5</v>
      </c>
      <c r="C12" t="n">
        <v>162</v>
      </c>
      <c r="D12" t="n">
        <v>-0.25</v>
      </c>
      <c r="E12" t="n">
        <v>138</v>
      </c>
    </row>
    <row r="13">
      <c r="A13" t="s">
        <v>231</v>
      </c>
      <c r="B13" t="n">
        <v>-1.5</v>
      </c>
      <c r="C13" t="n">
        <v>20</v>
      </c>
      <c r="D13" t="n">
        <v>0</v>
      </c>
      <c r="E13" t="n">
        <v>24</v>
      </c>
    </row>
    <row r="14">
      <c r="A14" t="s">
        <v>230</v>
      </c>
      <c r="B14" t="n">
        <v>-1</v>
      </c>
      <c r="C14" t="n">
        <v>102</v>
      </c>
      <c r="D14" t="n">
        <v>0</v>
      </c>
      <c r="E14" t="n">
        <v>88</v>
      </c>
    </row>
    <row r="15">
      <c r="A15" t="s">
        <v>231</v>
      </c>
      <c r="B15" t="n">
        <v>-0.25</v>
      </c>
      <c r="C15" t="n">
        <v>3</v>
      </c>
      <c r="D15" t="n">
        <v>-0.25</v>
      </c>
      <c r="E15" t="n">
        <v>152</v>
      </c>
    </row>
    <row r="16">
      <c r="A16" t="s">
        <v>230</v>
      </c>
      <c r="B16" t="n">
        <v>0</v>
      </c>
      <c r="C16" t="n">
        <v>8</v>
      </c>
      <c r="D16" t="n">
        <v>-0.25</v>
      </c>
      <c r="E16" t="n">
        <v>75</v>
      </c>
    </row>
    <row r="17">
      <c r="A17" t="s">
        <v>231</v>
      </c>
      <c r="B17" t="n">
        <v>-1.5</v>
      </c>
      <c r="C17" t="n">
        <v>92</v>
      </c>
      <c r="D17" t="n">
        <v>-0.25</v>
      </c>
      <c r="E17" t="n">
        <v>97</v>
      </c>
    </row>
    <row r="18">
      <c r="A18" t="s">
        <v>230</v>
      </c>
      <c r="B18" t="n">
        <v>-0.75</v>
      </c>
      <c r="C18" t="n">
        <v>17</v>
      </c>
      <c r="D18" t="n">
        <v>-0.25</v>
      </c>
      <c r="E18" t="n">
        <v>20</v>
      </c>
    </row>
    <row r="19">
      <c r="A19" t="s">
        <v>231</v>
      </c>
      <c r="B19" t="n">
        <v>-0.25</v>
      </c>
      <c r="C19" t="n">
        <v>7</v>
      </c>
      <c r="D19" t="n">
        <v>0</v>
      </c>
      <c r="E19" t="n">
        <v>178</v>
      </c>
    </row>
    <row r="20">
      <c r="A20" t="s">
        <v>230</v>
      </c>
      <c r="B20" t="n">
        <v>0</v>
      </c>
      <c r="C20" t="n">
        <v>97</v>
      </c>
      <c r="D20" t="n">
        <v>-0.25</v>
      </c>
      <c r="E20" t="n">
        <v>122</v>
      </c>
    </row>
    <row r="21">
      <c r="A21" t="s">
        <v>231</v>
      </c>
      <c r="B21" t="n">
        <v>-1.5</v>
      </c>
      <c r="C21" t="n">
        <v>161</v>
      </c>
      <c r="D21" t="n">
        <v>-0.25</v>
      </c>
      <c r="E21" t="n">
        <v>12</v>
      </c>
    </row>
    <row r="22">
      <c r="A22" t="s">
        <v>230</v>
      </c>
      <c r="B22" t="n">
        <v>-2.5</v>
      </c>
      <c r="C22" t="n">
        <v>3</v>
      </c>
      <c r="D22" t="n">
        <v>0</v>
      </c>
      <c r="E22" t="n">
        <v>9</v>
      </c>
    </row>
    <row r="23">
      <c r="A23" t="s">
        <v>230</v>
      </c>
      <c r="B23" t="n">
        <v>-0.5</v>
      </c>
      <c r="C23" t="n">
        <v>13</v>
      </c>
      <c r="D23" t="n">
        <v>-0.25</v>
      </c>
      <c r="E23" t="n">
        <v>173</v>
      </c>
    </row>
    <row r="24">
      <c r="A24" t="s">
        <v>231</v>
      </c>
      <c r="B24" t="n">
        <v>-0.25</v>
      </c>
      <c r="C24" t="n">
        <v>178</v>
      </c>
      <c r="D24" t="n">
        <v>-0.25</v>
      </c>
      <c r="E24" t="n">
        <v>162</v>
      </c>
    </row>
    <row r="25">
      <c r="A25" t="s">
        <v>230</v>
      </c>
      <c r="B25" t="n">
        <v>0</v>
      </c>
      <c r="C25" t="n">
        <v>159</v>
      </c>
      <c r="D25" t="n">
        <v>0</v>
      </c>
      <c r="E25" t="n">
        <v>159</v>
      </c>
    </row>
    <row r="26">
      <c r="A26" t="s">
        <v>231</v>
      </c>
      <c r="B26" t="n">
        <v>0</v>
      </c>
      <c r="C26" t="n">
        <v>161</v>
      </c>
      <c r="D26" t="n">
        <v>-0.25</v>
      </c>
      <c r="E26" t="n">
        <v>7</v>
      </c>
    </row>
    <row r="27">
      <c r="A27" t="s">
        <v>230</v>
      </c>
      <c r="B27" t="n">
        <v>-1.75</v>
      </c>
      <c r="C27" t="n">
        <v>15</v>
      </c>
      <c r="D27" t="n">
        <v>-0.5</v>
      </c>
      <c r="E27" t="n">
        <v>24</v>
      </c>
    </row>
    <row r="28">
      <c r="A28" t="s">
        <v>231</v>
      </c>
      <c r="B28" t="n">
        <v>0</v>
      </c>
      <c r="C28" t="n">
        <v>3</v>
      </c>
      <c r="D28" t="n">
        <v>-0.5</v>
      </c>
      <c r="E28" t="n">
        <v>91</v>
      </c>
    </row>
    <row r="29">
      <c r="A29" t="s">
        <v>230</v>
      </c>
      <c r="B29" t="n">
        <v>-1.25</v>
      </c>
      <c r="C29" t="n">
        <v>100</v>
      </c>
      <c r="D29" t="n">
        <v>-0.25</v>
      </c>
      <c r="E29" t="n">
        <v>103</v>
      </c>
    </row>
    <row r="30">
      <c r="A30" t="s">
        <v>230</v>
      </c>
      <c r="B30" t="n">
        <v>0</v>
      </c>
      <c r="C30" t="n">
        <v>3</v>
      </c>
      <c r="D30" t="n">
        <v>-0.25</v>
      </c>
      <c r="E30" t="n">
        <v>140</v>
      </c>
    </row>
    <row r="31">
      <c r="A31" t="s">
        <v>231</v>
      </c>
      <c r="B31" t="n">
        <v>0</v>
      </c>
      <c r="C31" t="n">
        <v>1</v>
      </c>
      <c r="D31" t="n">
        <v>-0.5</v>
      </c>
      <c r="E31" t="n">
        <v>23</v>
      </c>
    </row>
    <row r="32">
      <c r="A32" t="s">
        <v>230</v>
      </c>
      <c r="B32" t="n">
        <v>0</v>
      </c>
      <c r="C32" t="n">
        <v>163</v>
      </c>
      <c r="D32" t="n">
        <v>-0.25</v>
      </c>
      <c r="E32" t="n">
        <v>149</v>
      </c>
    </row>
    <row r="33">
      <c r="A33" t="s">
        <v>231</v>
      </c>
      <c r="B33" t="n">
        <v>-1</v>
      </c>
      <c r="C33" t="n">
        <v>159</v>
      </c>
      <c r="D33" t="n">
        <v>-0.5</v>
      </c>
      <c r="E33" t="n">
        <v>169</v>
      </c>
    </row>
    <row r="34">
      <c r="A34" t="s">
        <v>230</v>
      </c>
      <c r="B34" t="n">
        <v>-0.5</v>
      </c>
      <c r="C34" t="n">
        <v>168</v>
      </c>
      <c r="D34" t="n">
        <v>-0.25</v>
      </c>
      <c r="E34" t="n">
        <v>4</v>
      </c>
    </row>
    <row r="35">
      <c r="A35" t="s">
        <v>231</v>
      </c>
      <c r="B35" t="n">
        <v>-0.5</v>
      </c>
      <c r="C35" t="n">
        <v>164</v>
      </c>
      <c r="D35" t="n">
        <v>-0.25</v>
      </c>
      <c r="E35" t="n">
        <v>170</v>
      </c>
    </row>
    <row r="36">
      <c r="A36" t="s">
        <v>230</v>
      </c>
      <c r="B36" t="n">
        <v>-0.25</v>
      </c>
      <c r="C36" t="n">
        <v>10</v>
      </c>
      <c r="D36" t="n">
        <v>-0.5</v>
      </c>
      <c r="E36" t="n">
        <v>28</v>
      </c>
    </row>
    <row r="37">
      <c r="A37" t="s">
        <v>231</v>
      </c>
      <c r="B37" t="n">
        <v>-0.25</v>
      </c>
      <c r="C37" t="n">
        <v>47</v>
      </c>
      <c r="D37" t="n">
        <v>-0.5</v>
      </c>
      <c r="E37" t="n">
        <v>48</v>
      </c>
    </row>
    <row r="38">
      <c r="A38" t="s">
        <v>230</v>
      </c>
      <c r="B38" t="n">
        <v>-0.5</v>
      </c>
      <c r="C38" t="n">
        <v>7</v>
      </c>
      <c r="D38" t="n">
        <v>-0.25</v>
      </c>
      <c r="E38" t="n">
        <v>21</v>
      </c>
    </row>
    <row r="39">
      <c r="A39" t="s">
        <v>231</v>
      </c>
      <c r="B39" t="n">
        <v>-0.5</v>
      </c>
      <c r="C39" t="n">
        <v>180</v>
      </c>
      <c r="D39" t="n">
        <v>-0.5</v>
      </c>
      <c r="E39" t="n">
        <v>16</v>
      </c>
    </row>
    <row r="40">
      <c r="A40" t="s">
        <v>230</v>
      </c>
      <c r="B40" t="n">
        <v>-0.75</v>
      </c>
      <c r="C40" t="n">
        <v>85</v>
      </c>
      <c r="D40" t="n">
        <v>0</v>
      </c>
      <c r="E40" t="n">
        <v>137</v>
      </c>
    </row>
    <row r="41">
      <c r="A41" t="s">
        <v>231</v>
      </c>
      <c r="B41" t="n">
        <v>-0.75</v>
      </c>
      <c r="C41" t="n">
        <v>14</v>
      </c>
      <c r="D41" t="n">
        <v>-0.5</v>
      </c>
      <c r="E41" t="n">
        <v>167</v>
      </c>
    </row>
    <row r="42">
      <c r="A42" t="s">
        <v>230</v>
      </c>
      <c r="B42" t="n">
        <v>-1.25</v>
      </c>
      <c r="C42" t="n">
        <v>75</v>
      </c>
      <c r="D42" t="n">
        <v>-0.5</v>
      </c>
      <c r="E42" t="n">
        <v>50</v>
      </c>
    </row>
    <row r="43">
      <c r="A43" t="s">
        <v>231</v>
      </c>
      <c r="B43" t="n">
        <v>-1.25</v>
      </c>
      <c r="C43" t="n">
        <v>17</v>
      </c>
      <c r="D43" t="n">
        <v>0</v>
      </c>
      <c r="E43" t="n">
        <v>18</v>
      </c>
    </row>
    <row r="44">
      <c r="A44" t="s">
        <v>230</v>
      </c>
      <c r="B44" t="n">
        <v>-2.75</v>
      </c>
      <c r="C44" t="n">
        <v>170</v>
      </c>
      <c r="D44" t="n">
        <v>-0.5</v>
      </c>
      <c r="E44" t="n">
        <v>13</v>
      </c>
    </row>
    <row r="45">
      <c r="A45" t="s">
        <v>230</v>
      </c>
      <c r="B45" t="n">
        <v>-0.5</v>
      </c>
      <c r="C45" t="n">
        <v>23</v>
      </c>
      <c r="D45" t="n">
        <v>-0.25</v>
      </c>
      <c r="E45" t="n">
        <v>49</v>
      </c>
    </row>
    <row r="46">
      <c r="A46" t="s">
        <v>231</v>
      </c>
      <c r="B46" t="n">
        <v>-0.25</v>
      </c>
      <c r="C46" t="n">
        <v>172</v>
      </c>
      <c r="D46" t="n">
        <v>-0.25</v>
      </c>
      <c r="E46" t="n">
        <v>15</v>
      </c>
    </row>
    <row r="47">
      <c r="A47" t="s">
        <v>230</v>
      </c>
      <c r="B47" t="n">
        <v>-0.25</v>
      </c>
      <c r="C47" t="n">
        <v>97</v>
      </c>
      <c r="D47" t="n">
        <v>-0.25</v>
      </c>
      <c r="E47" t="n">
        <v>122</v>
      </c>
    </row>
    <row r="48">
      <c r="A48" t="s">
        <v>231</v>
      </c>
      <c r="B48" t="n">
        <v>-2.25</v>
      </c>
      <c r="C48" t="n">
        <v>7</v>
      </c>
      <c r="D48" t="n">
        <v>-0.25</v>
      </c>
      <c r="E48" t="n">
        <v>153</v>
      </c>
    </row>
    <row r="49">
      <c r="A49" t="s">
        <v>230</v>
      </c>
      <c r="B49" t="n">
        <v>-0.75</v>
      </c>
      <c r="C49" t="n">
        <v>165</v>
      </c>
      <c r="D49" t="n">
        <v>-0.5</v>
      </c>
      <c r="E49" t="n">
        <v>12</v>
      </c>
    </row>
    <row r="50">
      <c r="A50" t="s">
        <v>230</v>
      </c>
      <c r="B50" t="n">
        <v>-0.5</v>
      </c>
      <c r="C50" t="n">
        <v>76</v>
      </c>
      <c r="D50" t="n">
        <v>-0.25</v>
      </c>
      <c r="E50" t="n">
        <v>62</v>
      </c>
    </row>
    <row r="51">
      <c r="A51" t="s">
        <v>230</v>
      </c>
      <c r="B51" t="n">
        <v>0</v>
      </c>
      <c r="C51" t="n">
        <v>170</v>
      </c>
      <c r="D51" t="n">
        <v>-0.25</v>
      </c>
      <c r="E51" t="n">
        <v>165</v>
      </c>
    </row>
    <row r="52">
      <c r="A52" t="s">
        <v>231</v>
      </c>
      <c r="B52" t="n">
        <v>-1.25</v>
      </c>
      <c r="C52" t="n">
        <v>84</v>
      </c>
      <c r="D52" t="n">
        <v>-0.25</v>
      </c>
      <c r="E52" t="n">
        <v>62</v>
      </c>
    </row>
    <row r="53">
      <c r="A53" t="s">
        <v>230</v>
      </c>
      <c r="B53" t="n">
        <v>-0.75</v>
      </c>
      <c r="C53" t="n">
        <v>81</v>
      </c>
      <c r="D53" t="n">
        <v>-0.25</v>
      </c>
      <c r="E53" t="n">
        <v>34</v>
      </c>
    </row>
    <row r="54">
      <c r="A54" t="s">
        <v>231</v>
      </c>
      <c r="B54" t="n">
        <v>-0.5</v>
      </c>
      <c r="C54" t="n">
        <v>149</v>
      </c>
      <c r="D54" t="n">
        <v>-0.25</v>
      </c>
      <c r="E54" t="n">
        <v>161</v>
      </c>
    </row>
    <row r="55">
      <c r="A55" t="s">
        <v>231</v>
      </c>
      <c r="B55" t="n">
        <v>-0.75</v>
      </c>
      <c r="C55" t="n">
        <v>172</v>
      </c>
      <c r="D55" t="n">
        <v>-0.25</v>
      </c>
      <c r="E55" t="n">
        <v>171</v>
      </c>
    </row>
    <row r="56">
      <c r="A56" t="s">
        <v>230</v>
      </c>
      <c r="B56" t="n">
        <v>-0.25</v>
      </c>
      <c r="C56" t="n">
        <v>161</v>
      </c>
      <c r="D56" t="n">
        <v>0</v>
      </c>
      <c r="E56" t="n">
        <v>80</v>
      </c>
    </row>
    <row r="57">
      <c r="A57" t="s">
        <v>231</v>
      </c>
      <c r="B57" t="n">
        <v>-0.25</v>
      </c>
      <c r="C57" t="n">
        <v>166</v>
      </c>
      <c r="D57" t="n">
        <v>0</v>
      </c>
      <c r="E57" t="n">
        <v>141</v>
      </c>
    </row>
    <row r="58">
      <c r="A58" t="s">
        <v>230</v>
      </c>
      <c r="B58" t="n">
        <v>0</v>
      </c>
      <c r="C58" t="n">
        <v>168</v>
      </c>
      <c r="D58" t="n">
        <v>0</v>
      </c>
      <c r="E58" t="n">
        <v>12</v>
      </c>
    </row>
    <row r="59">
      <c r="A59" t="s">
        <v>231</v>
      </c>
      <c r="B59" t="n">
        <v>-1</v>
      </c>
      <c r="C59" t="n">
        <v>83</v>
      </c>
      <c r="D59" t="n">
        <v>-0.25</v>
      </c>
      <c r="E59" t="n">
        <v>78</v>
      </c>
    </row>
    <row r="60">
      <c r="A60" t="s">
        <v>231</v>
      </c>
      <c r="B60" t="n">
        <v>0</v>
      </c>
      <c r="C60" t="n">
        <v>100</v>
      </c>
      <c r="D60" t="n">
        <v>0</v>
      </c>
      <c r="E60" t="n">
        <v>124</v>
      </c>
    </row>
    <row r="61">
      <c r="A61" t="s">
        <v>230</v>
      </c>
      <c r="B61" t="n">
        <v>-0.5</v>
      </c>
      <c r="C61" t="n">
        <v>82</v>
      </c>
      <c r="D61" t="n">
        <v>-0.5</v>
      </c>
      <c r="E61" t="n">
        <v>86</v>
      </c>
    </row>
    <row r="62">
      <c r="A62" t="s">
        <v>231</v>
      </c>
      <c r="B62" t="n">
        <v>-0.5</v>
      </c>
      <c r="C62" t="n">
        <v>80</v>
      </c>
      <c r="D62" t="n">
        <v>0</v>
      </c>
      <c r="E62" t="n">
        <v>11</v>
      </c>
    </row>
    <row r="63">
      <c r="A63" t="s">
        <v>231</v>
      </c>
      <c r="B63" t="n">
        <v>-1</v>
      </c>
      <c r="C63" t="n">
        <v>180</v>
      </c>
      <c r="D63" t="n">
        <v>0</v>
      </c>
      <c r="E63" t="n">
        <v>178</v>
      </c>
    </row>
    <row r="64">
      <c r="A64" t="s">
        <v>231</v>
      </c>
      <c r="B64" t="n">
        <v>-0.75</v>
      </c>
      <c r="C64" t="n">
        <v>7</v>
      </c>
      <c r="D64" t="n">
        <v>-0.25</v>
      </c>
      <c r="E64" t="n">
        <v>24</v>
      </c>
    </row>
    <row r="65">
      <c r="A65" t="s">
        <v>230</v>
      </c>
      <c r="B65" t="n">
        <v>0</v>
      </c>
      <c r="C65" t="n">
        <v>170</v>
      </c>
      <c r="D65" t="n">
        <v>-0.5</v>
      </c>
      <c r="E65" t="n">
        <v>23</v>
      </c>
    </row>
    <row r="66">
      <c r="A66" t="s">
        <v>231</v>
      </c>
      <c r="B66" t="n">
        <v>-0.25</v>
      </c>
      <c r="C66" t="n">
        <v>175</v>
      </c>
      <c r="D66" t="n">
        <v>-0.25</v>
      </c>
      <c r="E66" t="n">
        <v>23</v>
      </c>
    </row>
    <row r="67">
      <c r="A67" t="s">
        <v>230</v>
      </c>
      <c r="B67" t="n">
        <v>-0.25</v>
      </c>
      <c r="C67" t="n">
        <v>165</v>
      </c>
      <c r="D67" t="n">
        <v>-0.25</v>
      </c>
      <c r="E67" t="n">
        <v>164</v>
      </c>
    </row>
    <row r="68">
      <c r="A68" t="s">
        <v>231</v>
      </c>
      <c r="B68" t="n">
        <v>-0.5</v>
      </c>
      <c r="C68" t="n">
        <v>86</v>
      </c>
      <c r="D68" t="n">
        <v>-0.25</v>
      </c>
      <c r="E68" t="n">
        <v>106</v>
      </c>
    </row>
    <row r="69">
      <c r="A69" t="s">
        <v>230</v>
      </c>
      <c r="B69" t="n">
        <v>-0.75</v>
      </c>
      <c r="C69" t="n">
        <v>171</v>
      </c>
      <c r="D69" t="n">
        <v>-0.5</v>
      </c>
      <c r="E69" t="n">
        <v>129</v>
      </c>
    </row>
    <row r="70">
      <c r="A70" t="s">
        <v>231</v>
      </c>
      <c r="B70" t="n">
        <v>-0.25</v>
      </c>
      <c r="C70" t="n">
        <v>91</v>
      </c>
      <c r="D70" t="n">
        <v>0</v>
      </c>
      <c r="E70" t="n">
        <v>164</v>
      </c>
    </row>
    <row r="71">
      <c r="A71" t="s">
        <v>230</v>
      </c>
      <c r="B71" t="n">
        <v>-0.75</v>
      </c>
      <c r="C71" t="n">
        <v>88</v>
      </c>
      <c r="D71" t="n">
        <v>-0.5</v>
      </c>
      <c r="E71" t="n">
        <v>148</v>
      </c>
    </row>
    <row r="72">
      <c r="A72" t="s">
        <v>230</v>
      </c>
      <c r="B72" t="n">
        <v>-0.75</v>
      </c>
      <c r="C72" t="n">
        <v>99</v>
      </c>
      <c r="D72" t="n">
        <v>-0.25</v>
      </c>
      <c r="E72" t="n">
        <v>75</v>
      </c>
    </row>
    <row r="73">
      <c r="A73" t="s">
        <v>231</v>
      </c>
      <c r="B73" t="n">
        <v>-1.25</v>
      </c>
      <c r="C73" t="n">
        <v>23</v>
      </c>
      <c r="D73" t="n">
        <v>-0.75</v>
      </c>
      <c r="E73" t="n">
        <v>166</v>
      </c>
    </row>
    <row r="74">
      <c r="A74" t="s">
        <v>230</v>
      </c>
      <c r="B74" t="n">
        <v>0</v>
      </c>
      <c r="C74" t="n">
        <v>5</v>
      </c>
      <c r="D74" t="n">
        <v>0</v>
      </c>
      <c r="E74" t="n">
        <v>177</v>
      </c>
    </row>
    <row r="75">
      <c r="A75" t="s">
        <v>230</v>
      </c>
      <c r="B75" t="n">
        <v>-0.5</v>
      </c>
      <c r="C75" t="n">
        <v>16</v>
      </c>
      <c r="D75" t="n">
        <v>0</v>
      </c>
      <c r="E75" t="n">
        <v>128</v>
      </c>
    </row>
    <row r="76">
      <c r="A76" t="s">
        <v>231</v>
      </c>
      <c r="B76" t="n">
        <v>-0.25</v>
      </c>
      <c r="C76" t="n">
        <v>67</v>
      </c>
      <c r="D76" t="n">
        <v>-0.25</v>
      </c>
      <c r="E76" t="n">
        <v>8</v>
      </c>
    </row>
    <row r="77">
      <c r="A77" t="s">
        <v>231</v>
      </c>
      <c r="B77" t="n">
        <v>-0.75</v>
      </c>
      <c r="C77" t="n">
        <v>100</v>
      </c>
      <c r="D77" t="n">
        <v>0</v>
      </c>
      <c r="E77" t="n">
        <v>86</v>
      </c>
    </row>
    <row r="78">
      <c r="A78" t="s">
        <v>230</v>
      </c>
      <c r="B78" t="n">
        <v>-0.25</v>
      </c>
      <c r="C78" t="n">
        <v>89</v>
      </c>
      <c r="D78" t="n">
        <v>-0.25</v>
      </c>
      <c r="E78" t="n">
        <v>106</v>
      </c>
    </row>
    <row r="79">
      <c r="A79" t="s">
        <v>231</v>
      </c>
      <c r="B79" t="n">
        <v>-1.5</v>
      </c>
      <c r="C79" t="n">
        <v>96</v>
      </c>
      <c r="D79" t="n">
        <v>0</v>
      </c>
      <c r="E79" t="n">
        <v>21</v>
      </c>
    </row>
    <row r="80">
      <c r="A80" t="s">
        <v>231</v>
      </c>
      <c r="B80" t="n">
        <v>-0.25</v>
      </c>
      <c r="C80" t="n">
        <v>11</v>
      </c>
      <c r="D80" t="n">
        <v>-0.25</v>
      </c>
      <c r="E80" t="n">
        <v>18</v>
      </c>
    </row>
    <row r="81">
      <c r="A81" t="s">
        <v>230</v>
      </c>
      <c r="B81" t="n">
        <v>-0.75</v>
      </c>
      <c r="C81" t="n">
        <v>180</v>
      </c>
      <c r="D81" t="n">
        <v>-0.5</v>
      </c>
      <c r="E81" t="n">
        <v>10</v>
      </c>
    </row>
    <row r="82">
      <c r="A82" t="s">
        <v>230</v>
      </c>
      <c r="B82" t="n">
        <v>-0.25</v>
      </c>
      <c r="C82" t="n">
        <v>155</v>
      </c>
      <c r="D82" t="n">
        <v>-0.25</v>
      </c>
      <c r="E82" t="n">
        <v>160</v>
      </c>
    </row>
    <row r="83">
      <c r="A83" t="s">
        <v>231</v>
      </c>
      <c r="B83" t="n">
        <v>-0.5</v>
      </c>
      <c r="C83" t="n">
        <v>84</v>
      </c>
      <c r="D83" t="n">
        <v>-0.25</v>
      </c>
      <c r="E83" t="n">
        <v>101</v>
      </c>
    </row>
    <row r="84">
      <c r="A84" t="s">
        <v>230</v>
      </c>
      <c r="B84" t="n">
        <v>-0.75</v>
      </c>
      <c r="C84" t="n">
        <v>168</v>
      </c>
      <c r="D84" t="n">
        <v>-0.75</v>
      </c>
      <c r="E84" t="n">
        <v>163</v>
      </c>
    </row>
    <row r="85">
      <c r="A85" t="s">
        <v>231</v>
      </c>
      <c r="B85" t="n">
        <v>-1.75</v>
      </c>
      <c r="C85" t="n">
        <v>178</v>
      </c>
      <c r="D85" t="n">
        <v>0</v>
      </c>
      <c r="E85" t="n">
        <v>16</v>
      </c>
    </row>
    <row r="86">
      <c r="A86" t="s">
        <v>230</v>
      </c>
      <c r="B86" t="n">
        <v>-1.25</v>
      </c>
      <c r="C86" t="n">
        <v>99</v>
      </c>
      <c r="D86" t="n">
        <v>0</v>
      </c>
      <c r="E86" t="n">
        <v>79</v>
      </c>
    </row>
    <row r="87">
      <c r="A87" t="s">
        <v>231</v>
      </c>
      <c r="B87" t="n">
        <v>-0.75</v>
      </c>
      <c r="C87" t="n">
        <v>96</v>
      </c>
      <c r="D87" t="n">
        <v>0</v>
      </c>
      <c r="E87" t="n">
        <v>6</v>
      </c>
    </row>
    <row r="88">
      <c r="A88" t="s">
        <v>230</v>
      </c>
      <c r="B88" t="n">
        <v>0</v>
      </c>
      <c r="C88" t="n">
        <v>93</v>
      </c>
      <c r="D88" t="n">
        <v>-0.5</v>
      </c>
      <c r="E88" t="n">
        <v>70</v>
      </c>
    </row>
    <row r="89">
      <c r="A89" t="s">
        <v>231</v>
      </c>
      <c r="B89" t="n">
        <v>-0.25</v>
      </c>
      <c r="C89" t="n">
        <v>40</v>
      </c>
      <c r="D89" t="n">
        <v>0</v>
      </c>
      <c r="E89" t="n">
        <v>139</v>
      </c>
    </row>
    <row r="90">
      <c r="A90" t="s">
        <v>231</v>
      </c>
      <c r="B90" t="n">
        <v>-0.25</v>
      </c>
      <c r="C90" t="n">
        <v>138</v>
      </c>
      <c r="D90" t="n">
        <v>0</v>
      </c>
      <c r="E90" t="n">
        <v>131</v>
      </c>
    </row>
    <row r="91">
      <c r="A91" t="s">
        <v>230</v>
      </c>
      <c r="B91" t="n">
        <v>-0.25</v>
      </c>
      <c r="C91" t="n">
        <v>80</v>
      </c>
      <c r="D91" t="n">
        <v>-0.25</v>
      </c>
      <c r="E91" t="n">
        <v>56</v>
      </c>
    </row>
    <row r="92">
      <c r="A92" t="s">
        <v>231</v>
      </c>
      <c r="B92" t="n">
        <v>-0.25</v>
      </c>
      <c r="C92" t="n">
        <v>20</v>
      </c>
      <c r="D92" t="n">
        <v>-0.25</v>
      </c>
      <c r="E92" t="n">
        <v>25</v>
      </c>
    </row>
    <row r="93">
      <c r="A93" t="s">
        <v>230</v>
      </c>
      <c r="B93" t="n">
        <v>-0.5</v>
      </c>
      <c r="C93" t="n">
        <v>85</v>
      </c>
      <c r="D93" t="n">
        <v>-0.25</v>
      </c>
      <c r="E93" t="n">
        <v>78</v>
      </c>
    </row>
    <row r="94">
      <c r="A94" t="s">
        <v>231</v>
      </c>
      <c r="B94" t="n">
        <v>-0.25</v>
      </c>
      <c r="C94" t="n">
        <v>87</v>
      </c>
      <c r="D94" t="n">
        <v>0</v>
      </c>
      <c r="E94" t="n">
        <v>149</v>
      </c>
    </row>
    <row r="95">
      <c r="A95" t="s">
        <v>230</v>
      </c>
      <c r="B95" t="n">
        <v>-0.25</v>
      </c>
      <c r="C95" t="n">
        <v>100</v>
      </c>
      <c r="D95" t="n">
        <v>-0.25</v>
      </c>
      <c r="E95" t="n">
        <v>122</v>
      </c>
    </row>
    <row r="96">
      <c r="A96" t="s">
        <v>231</v>
      </c>
      <c r="B96" t="n">
        <v>-0.25</v>
      </c>
      <c r="C96" t="n">
        <v>94</v>
      </c>
      <c r="D96" t="n">
        <v>0</v>
      </c>
      <c r="E96" t="n">
        <v>78</v>
      </c>
    </row>
    <row r="97">
      <c r="A97" t="s">
        <v>231</v>
      </c>
      <c r="B97" t="n">
        <v>-0.75</v>
      </c>
      <c r="C97" t="n">
        <v>102</v>
      </c>
      <c r="D97" t="n">
        <v>0</v>
      </c>
      <c r="E97" t="n">
        <v>0</v>
      </c>
    </row>
    <row r="98">
      <c r="A98" t="s">
        <v>231</v>
      </c>
      <c r="B98" t="n">
        <v>-0.5</v>
      </c>
      <c r="C98" t="n">
        <v>95</v>
      </c>
      <c r="D98" t="n">
        <v>-0.25</v>
      </c>
      <c r="E98" t="n">
        <v>89</v>
      </c>
    </row>
    <row r="99">
      <c r="A99" t="s">
        <v>231</v>
      </c>
      <c r="B99" t="n">
        <v>-0.25</v>
      </c>
      <c r="C99" t="n">
        <v>156</v>
      </c>
      <c r="D99" t="n">
        <v>0</v>
      </c>
      <c r="E99" t="n">
        <v>91</v>
      </c>
    </row>
    <row r="100">
      <c r="A100" t="s">
        <v>230</v>
      </c>
      <c r="B100" t="n">
        <v>-0.25</v>
      </c>
      <c r="C100" t="n">
        <v>79</v>
      </c>
      <c r="D100" t="n">
        <v>0</v>
      </c>
      <c r="E100" t="n">
        <v>65</v>
      </c>
    </row>
    <row r="101">
      <c r="A101" t="s">
        <v>230</v>
      </c>
      <c r="B101" t="n">
        <v>-0.25</v>
      </c>
      <c r="C101" t="n">
        <v>92</v>
      </c>
      <c r="D101" t="n">
        <v>-0.25</v>
      </c>
      <c r="E101" t="n">
        <v>69</v>
      </c>
    </row>
    <row r="102">
      <c r="A102" t="s">
        <v>231</v>
      </c>
      <c r="B102" t="n">
        <v>0</v>
      </c>
      <c r="C102" t="n">
        <v>3</v>
      </c>
      <c r="D102" t="n">
        <v>0</v>
      </c>
      <c r="E102" t="n">
        <v>28</v>
      </c>
    </row>
    <row r="103">
      <c r="A103" t="s">
        <v>231</v>
      </c>
      <c r="B103" t="n">
        <v>-0.75</v>
      </c>
      <c r="C103" t="n">
        <v>104</v>
      </c>
      <c r="D103" t="n">
        <v>-0.25</v>
      </c>
      <c r="E103" t="n">
        <v>103</v>
      </c>
    </row>
    <row r="104">
      <c r="A104" t="s">
        <v>230</v>
      </c>
      <c r="B104" t="n">
        <v>-0.75</v>
      </c>
      <c r="C104" t="n">
        <v>174</v>
      </c>
      <c r="D104" t="n">
        <v>-0.25</v>
      </c>
      <c r="E104" t="n">
        <v>32</v>
      </c>
    </row>
    <row r="105">
      <c r="A105" t="s">
        <v>231</v>
      </c>
      <c r="B105" t="n">
        <v>-1</v>
      </c>
      <c r="C105" t="n">
        <v>162</v>
      </c>
      <c r="D105" t="n">
        <v>0</v>
      </c>
      <c r="E105" t="n">
        <v>78</v>
      </c>
    </row>
    <row r="106">
      <c r="A106" t="s">
        <v>230</v>
      </c>
      <c r="B106" t="n">
        <v>-1</v>
      </c>
      <c r="C106" t="n">
        <v>177</v>
      </c>
      <c r="D106" t="n">
        <v>-0.25</v>
      </c>
      <c r="E106" t="n">
        <v>177</v>
      </c>
    </row>
    <row r="107">
      <c r="A107" t="s">
        <v>231</v>
      </c>
      <c r="B107" t="n">
        <v>-0.75</v>
      </c>
      <c r="C107" t="n">
        <v>83</v>
      </c>
      <c r="D107" t="n">
        <v>-0.25</v>
      </c>
      <c r="E107" t="n">
        <v>100</v>
      </c>
    </row>
    <row r="108">
      <c r="A108" t="s">
        <v>230</v>
      </c>
      <c r="B108" t="n">
        <v>0</v>
      </c>
      <c r="C108" t="n">
        <v>9</v>
      </c>
      <c r="D108" t="n">
        <v>-0.25</v>
      </c>
      <c r="E108" t="n">
        <v>159</v>
      </c>
    </row>
    <row r="109">
      <c r="A109" t="s">
        <v>231</v>
      </c>
      <c r="B109" t="n">
        <v>-0.25</v>
      </c>
      <c r="C109" t="n">
        <v>96</v>
      </c>
      <c r="D109" t="n">
        <v>0</v>
      </c>
      <c r="E109" t="n">
        <v>86</v>
      </c>
    </row>
    <row r="110">
      <c r="A110" t="s">
        <v>230</v>
      </c>
      <c r="B110" t="n">
        <v>-1.25</v>
      </c>
      <c r="C110" t="n">
        <v>98</v>
      </c>
      <c r="D110" t="n">
        <v>-0.25</v>
      </c>
      <c r="E110" t="n">
        <v>98</v>
      </c>
    </row>
    <row r="111">
      <c r="A111" t="s">
        <v>231</v>
      </c>
      <c r="B111" t="n">
        <v>-0.5</v>
      </c>
      <c r="C111" t="n">
        <v>86</v>
      </c>
      <c r="D111" t="n">
        <v>0</v>
      </c>
      <c r="E111" t="n">
        <v>85</v>
      </c>
    </row>
    <row r="112">
      <c r="A112" t="s">
        <v>230</v>
      </c>
      <c r="B112" t="n">
        <v>0</v>
      </c>
      <c r="C112" t="n">
        <v>99</v>
      </c>
      <c r="D112" t="n">
        <v>-0.25</v>
      </c>
      <c r="E112" t="n">
        <v>111</v>
      </c>
    </row>
    <row r="113">
      <c r="A113" t="s">
        <v>231</v>
      </c>
      <c r="B113" t="n">
        <v>-1</v>
      </c>
      <c r="C113" t="n">
        <v>58</v>
      </c>
      <c r="D113" t="n">
        <v>0</v>
      </c>
      <c r="E113" t="n">
        <v>65</v>
      </c>
    </row>
    <row r="114">
      <c r="A114" t="s">
        <v>230</v>
      </c>
      <c r="B114" t="n">
        <v>-0.25</v>
      </c>
      <c r="C114" t="n">
        <v>99</v>
      </c>
      <c r="D114" t="n">
        <v>0</v>
      </c>
      <c r="E114" t="n">
        <v>64</v>
      </c>
    </row>
    <row r="115">
      <c r="A115" t="s">
        <v>231</v>
      </c>
      <c r="B115" t="n">
        <v>-0.25</v>
      </c>
      <c r="C115" t="n">
        <v>96</v>
      </c>
      <c r="D115" t="n">
        <v>0</v>
      </c>
      <c r="E115" t="n">
        <v>43</v>
      </c>
    </row>
    <row r="116">
      <c r="A116" t="s">
        <v>230</v>
      </c>
      <c r="B116" t="n">
        <v>-0.5</v>
      </c>
      <c r="C116" t="n">
        <v>95</v>
      </c>
      <c r="D116" t="n">
        <v>-0.25</v>
      </c>
      <c r="E116" t="n">
        <v>90</v>
      </c>
    </row>
    <row r="117">
      <c r="A117" t="s">
        <v>230</v>
      </c>
      <c r="B117" t="n">
        <v>-0.75</v>
      </c>
      <c r="C117" t="n">
        <v>23</v>
      </c>
      <c r="D117" t="n">
        <v>-0.25</v>
      </c>
      <c r="E117" t="n">
        <v>5</v>
      </c>
    </row>
    <row r="118">
      <c r="A118" t="s">
        <v>231</v>
      </c>
      <c r="B118" t="n">
        <v>-0.75</v>
      </c>
      <c r="C118" t="n">
        <v>6</v>
      </c>
      <c r="D118" t="n">
        <v>0</v>
      </c>
      <c r="E118" t="n">
        <v>26</v>
      </c>
    </row>
    <row r="119">
      <c r="A119" t="s">
        <v>230</v>
      </c>
      <c r="B119" t="n">
        <v>-0.75</v>
      </c>
      <c r="C119" t="n">
        <v>178</v>
      </c>
      <c r="D119" t="n">
        <v>-0.25</v>
      </c>
      <c r="E119" t="n">
        <v>4</v>
      </c>
    </row>
    <row r="120">
      <c r="A120" t="s">
        <v>231</v>
      </c>
      <c r="B120" t="n">
        <v>-0.5</v>
      </c>
      <c r="C120" t="n">
        <v>84</v>
      </c>
      <c r="D120" t="n">
        <v>0</v>
      </c>
      <c r="E120" t="n">
        <v>138</v>
      </c>
    </row>
    <row r="121">
      <c r="A121" t="s">
        <v>230</v>
      </c>
      <c r="B121" t="n">
        <v>-0.5</v>
      </c>
      <c r="C121" t="n">
        <v>94</v>
      </c>
      <c r="D121" t="n">
        <v>-0.25</v>
      </c>
      <c r="E121" t="n">
        <v>96</v>
      </c>
    </row>
    <row r="122">
      <c r="A122" t="s">
        <v>231</v>
      </c>
      <c r="B122" t="n">
        <v>0</v>
      </c>
      <c r="C122" t="n">
        <v>7</v>
      </c>
      <c r="D122" t="n">
        <v>-0.5</v>
      </c>
      <c r="E122" t="n">
        <v>3</v>
      </c>
    </row>
    <row r="123">
      <c r="A123" t="s">
        <v>231</v>
      </c>
      <c r="B123" t="n">
        <v>-0.25</v>
      </c>
      <c r="C123" t="n">
        <v>85</v>
      </c>
      <c r="D123" t="n">
        <v>-0.5</v>
      </c>
      <c r="E123" t="n">
        <v>133</v>
      </c>
    </row>
    <row r="124">
      <c r="A124" t="s">
        <v>230</v>
      </c>
      <c r="B124" t="n">
        <v>-1.75</v>
      </c>
      <c r="C124" t="n">
        <v>16</v>
      </c>
      <c r="D124" t="n">
        <v>-0.5</v>
      </c>
      <c r="E124" t="n">
        <v>16</v>
      </c>
    </row>
    <row r="125">
      <c r="A125" t="s">
        <v>231</v>
      </c>
      <c r="B125" t="n">
        <v>-0.75</v>
      </c>
      <c r="C125" t="n">
        <v>170</v>
      </c>
      <c r="D125" t="n">
        <v>-0.25</v>
      </c>
      <c r="E125" t="n">
        <v>170</v>
      </c>
    </row>
    <row r="126">
      <c r="A126" t="s">
        <v>230</v>
      </c>
      <c r="B126" t="n">
        <v>0</v>
      </c>
      <c r="C126" t="n">
        <v>80</v>
      </c>
      <c r="D126" t="n">
        <v>0</v>
      </c>
      <c r="E126" t="n">
        <v>68</v>
      </c>
    </row>
    <row r="127">
      <c r="A127" t="s">
        <v>231</v>
      </c>
      <c r="B127" t="n">
        <v>-0.5</v>
      </c>
      <c r="C127" t="n">
        <v>167</v>
      </c>
      <c r="D127" t="n">
        <v>0</v>
      </c>
      <c r="E127" t="n">
        <v>24</v>
      </c>
    </row>
    <row r="128">
      <c r="A128" t="s">
        <v>230</v>
      </c>
      <c r="B128" t="n">
        <v>-1.5</v>
      </c>
      <c r="C128" t="n">
        <v>175</v>
      </c>
      <c r="D128" t="n">
        <v>0</v>
      </c>
      <c r="E128" t="n">
        <v>99</v>
      </c>
    </row>
    <row r="129">
      <c r="A129" t="s">
        <v>231</v>
      </c>
      <c r="B129" t="n">
        <v>-0.75</v>
      </c>
      <c r="C129" t="n">
        <v>173</v>
      </c>
      <c r="D129" t="n">
        <v>-0.25</v>
      </c>
      <c r="E129" t="n">
        <v>162</v>
      </c>
    </row>
    <row r="130">
      <c r="A130" t="s">
        <v>231</v>
      </c>
      <c r="B130" t="n">
        <v>-0.5</v>
      </c>
      <c r="C130" t="n">
        <v>11</v>
      </c>
      <c r="D130" t="n">
        <v>-0.25</v>
      </c>
      <c r="E130" t="n">
        <v>2</v>
      </c>
    </row>
    <row r="131">
      <c r="A131" t="s">
        <v>230</v>
      </c>
      <c r="B131" t="n">
        <v>-0.25</v>
      </c>
      <c r="C131" t="n">
        <v>166</v>
      </c>
      <c r="D131" t="n">
        <v>-0.5</v>
      </c>
      <c r="E131" t="n">
        <v>1</v>
      </c>
    </row>
    <row r="132">
      <c r="A132" t="s">
        <v>231</v>
      </c>
      <c r="B132" t="n">
        <v>-0.5</v>
      </c>
      <c r="C132" t="n">
        <v>98</v>
      </c>
      <c r="D132" t="n">
        <v>-0.5</v>
      </c>
      <c r="E132" t="n">
        <v>125</v>
      </c>
    </row>
    <row r="133">
      <c r="A133" t="s">
        <v>230</v>
      </c>
      <c r="B133" t="n">
        <v>-1.5</v>
      </c>
      <c r="C133" t="n">
        <v>6</v>
      </c>
      <c r="D133" t="n">
        <v>-0.25</v>
      </c>
      <c r="E133" t="n">
        <v>18</v>
      </c>
    </row>
    <row r="134">
      <c r="A134" t="s">
        <v>230</v>
      </c>
      <c r="B134" t="n">
        <v>-0.5</v>
      </c>
      <c r="C134" t="n">
        <v>76</v>
      </c>
      <c r="D134" t="n">
        <v>0</v>
      </c>
      <c r="E134" t="n">
        <v>34</v>
      </c>
    </row>
    <row r="135">
      <c r="A135" t="s">
        <v>231</v>
      </c>
      <c r="B135" t="n">
        <v>-1</v>
      </c>
      <c r="C135" t="n">
        <v>13</v>
      </c>
      <c r="D135" t="n">
        <v>-0.25</v>
      </c>
      <c r="E135" t="n">
        <v>16</v>
      </c>
    </row>
    <row r="136">
      <c r="A136" t="s">
        <v>230</v>
      </c>
      <c r="B136" t="n">
        <v>0</v>
      </c>
      <c r="C136" t="n">
        <v>95</v>
      </c>
      <c r="D136" t="n">
        <v>0</v>
      </c>
      <c r="E136" t="n">
        <v>114</v>
      </c>
    </row>
    <row r="137">
      <c r="A137" t="s">
        <v>231</v>
      </c>
      <c r="B137" t="n">
        <v>-1.25</v>
      </c>
      <c r="C137" t="n">
        <v>169</v>
      </c>
      <c r="D137" t="n">
        <v>-0.25</v>
      </c>
      <c r="E137" t="n">
        <v>176</v>
      </c>
    </row>
    <row r="138">
      <c r="A138" t="s">
        <v>230</v>
      </c>
      <c r="B138" t="n">
        <v>-1.25</v>
      </c>
      <c r="C138" t="n">
        <v>22</v>
      </c>
      <c r="D138" t="n">
        <v>-0.25</v>
      </c>
      <c r="E138" t="n">
        <v>33</v>
      </c>
    </row>
    <row r="139">
      <c r="A139" t="s">
        <v>231</v>
      </c>
      <c r="B139" t="n">
        <v>-2.75</v>
      </c>
      <c r="C139" t="n">
        <v>0</v>
      </c>
      <c r="D139" t="n">
        <v>-0.5</v>
      </c>
      <c r="E139" t="n">
        <v>155</v>
      </c>
    </row>
    <row r="140">
      <c r="A140" t="s">
        <v>231</v>
      </c>
      <c r="B140" t="n">
        <v>-0.5</v>
      </c>
      <c r="C140" t="n">
        <v>86</v>
      </c>
      <c r="D140" t="n">
        <v>-0.25</v>
      </c>
      <c r="E140" t="n">
        <v>118</v>
      </c>
    </row>
    <row r="141">
      <c r="A141" t="s">
        <v>230</v>
      </c>
      <c r="B141" t="n">
        <v>-0.25</v>
      </c>
      <c r="C141" t="n">
        <v>157</v>
      </c>
      <c r="D141" t="n">
        <v>0</v>
      </c>
      <c r="E141" t="n">
        <v>156</v>
      </c>
    </row>
    <row r="142">
      <c r="A142" t="s">
        <v>230</v>
      </c>
      <c r="B142" t="n">
        <v>-1.5</v>
      </c>
      <c r="C142" t="n">
        <v>171</v>
      </c>
      <c r="D142" t="n">
        <v>0</v>
      </c>
      <c r="E142" t="n">
        <v>9</v>
      </c>
    </row>
    <row r="143">
      <c r="A143" t="s">
        <v>231</v>
      </c>
      <c r="B143" t="n">
        <v>-2.25</v>
      </c>
      <c r="C143" t="n">
        <v>170</v>
      </c>
      <c r="D143" t="n">
        <v>-0.25</v>
      </c>
      <c r="E143" t="n">
        <v>175</v>
      </c>
    </row>
    <row r="144">
      <c r="A144" t="s">
        <v>230</v>
      </c>
      <c r="B144" t="n">
        <v>-0.5</v>
      </c>
      <c r="C144" t="n">
        <v>109</v>
      </c>
      <c r="D144" t="n">
        <v>-0.25</v>
      </c>
      <c r="E144" t="n">
        <v>120</v>
      </c>
    </row>
    <row r="145">
      <c r="A145" t="s">
        <v>231</v>
      </c>
      <c r="B145" t="n">
        <v>-0.25</v>
      </c>
      <c r="C145" t="n">
        <v>172</v>
      </c>
      <c r="D145" t="n">
        <v>-0.25</v>
      </c>
      <c r="E145" t="n">
        <v>165</v>
      </c>
    </row>
    <row r="146">
      <c r="A146" t="s">
        <v>231</v>
      </c>
      <c r="B146" t="n">
        <v>-0.25</v>
      </c>
      <c r="C146" t="n">
        <v>85</v>
      </c>
      <c r="D146" t="n">
        <v>0</v>
      </c>
      <c r="E146" t="n">
        <v>63</v>
      </c>
    </row>
    <row r="147">
      <c r="A147" t="s">
        <v>231</v>
      </c>
      <c r="B147" t="n">
        <v>-0.25</v>
      </c>
      <c r="C147" t="n">
        <v>170</v>
      </c>
      <c r="D147" t="n">
        <v>0</v>
      </c>
      <c r="E147" t="n">
        <v>157</v>
      </c>
    </row>
    <row r="148">
      <c r="A148" t="s">
        <v>230</v>
      </c>
      <c r="B148" t="n">
        <v>-0.5</v>
      </c>
      <c r="C148" t="n">
        <v>18</v>
      </c>
      <c r="D148" t="n">
        <v>-0.5</v>
      </c>
      <c r="E148" t="n">
        <v>43</v>
      </c>
    </row>
    <row r="149">
      <c r="A149" t="s">
        <v>231</v>
      </c>
      <c r="B149" t="n">
        <v>-2.25</v>
      </c>
      <c r="C149" t="n">
        <v>82</v>
      </c>
      <c r="D149" t="n">
        <v>-0.5</v>
      </c>
      <c r="E149" t="n">
        <v>54</v>
      </c>
    </row>
    <row r="150">
      <c r="A150" t="s">
        <v>230</v>
      </c>
      <c r="B150" t="n">
        <v>-0.25</v>
      </c>
      <c r="C150" t="n">
        <v>94</v>
      </c>
      <c r="D150" t="n">
        <v>0</v>
      </c>
      <c r="E150" t="n">
        <v>59</v>
      </c>
    </row>
    <row r="151">
      <c r="A151" t="s">
        <v>231</v>
      </c>
      <c r="B151" t="n">
        <v>-0.75</v>
      </c>
      <c r="C151" t="n">
        <v>54</v>
      </c>
      <c r="D151" t="n">
        <v>0</v>
      </c>
      <c r="E151" t="n">
        <v>167</v>
      </c>
    </row>
    <row r="152">
      <c r="A152" t="s">
        <v>230</v>
      </c>
      <c r="B152" t="n">
        <v>-0.5</v>
      </c>
      <c r="C152" t="n">
        <v>177</v>
      </c>
      <c r="D152" t="n">
        <v>-0.25</v>
      </c>
      <c r="E152" t="n">
        <v>3</v>
      </c>
    </row>
    <row r="153">
      <c r="A153" t="s">
        <v>231</v>
      </c>
      <c r="B153" t="n">
        <v>-1</v>
      </c>
      <c r="C153" t="n">
        <v>1</v>
      </c>
      <c r="D153" t="n">
        <v>0</v>
      </c>
      <c r="E153" t="n">
        <v>110</v>
      </c>
    </row>
    <row r="154">
      <c r="A154" t="s">
        <v>230</v>
      </c>
      <c r="B154" t="n">
        <v>-0.25</v>
      </c>
      <c r="C154" t="n">
        <v>40</v>
      </c>
      <c r="D154" t="n">
        <v>0</v>
      </c>
      <c r="E154" t="n">
        <v>17</v>
      </c>
    </row>
    <row r="155">
      <c r="A155" t="s">
        <v>231</v>
      </c>
      <c r="B155" t="n">
        <v>-0.25</v>
      </c>
      <c r="C155" t="n">
        <v>8</v>
      </c>
      <c r="D155" t="n">
        <v>-0.25</v>
      </c>
      <c r="E155" t="n">
        <v>33</v>
      </c>
    </row>
    <row r="156">
      <c r="A156" t="s">
        <v>231</v>
      </c>
      <c r="B156" t="n">
        <v>-0.75</v>
      </c>
      <c r="C156" t="n">
        <v>91</v>
      </c>
      <c r="D156" t="n">
        <v>-0.25</v>
      </c>
      <c r="E156" t="n">
        <v>94</v>
      </c>
    </row>
    <row r="157">
      <c r="A157" t="s">
        <v>231</v>
      </c>
      <c r="B157" t="n">
        <v>0</v>
      </c>
      <c r="C157" t="n">
        <v>169</v>
      </c>
      <c r="D157" t="n">
        <v>0</v>
      </c>
      <c r="E157" t="n">
        <v>145</v>
      </c>
    </row>
    <row r="158">
      <c r="A158" t="s">
        <v>230</v>
      </c>
      <c r="B158" t="n">
        <v>-0.5</v>
      </c>
      <c r="C158" t="n">
        <v>177</v>
      </c>
      <c r="D158" t="n">
        <v>-0.25</v>
      </c>
      <c r="E158" t="n">
        <v>9</v>
      </c>
    </row>
    <row r="159">
      <c r="A159" t="s">
        <v>231</v>
      </c>
      <c r="B159" t="n">
        <v>-0.25</v>
      </c>
      <c r="C159" t="n">
        <v>17</v>
      </c>
      <c r="D159" t="n">
        <v>-0.5</v>
      </c>
      <c r="E159" t="n">
        <v>178</v>
      </c>
    </row>
    <row r="160">
      <c r="A160" t="s">
        <v>230</v>
      </c>
      <c r="B160" t="n">
        <v>-1.5</v>
      </c>
      <c r="C160" t="n">
        <v>16</v>
      </c>
      <c r="D160" t="n">
        <v>0</v>
      </c>
      <c r="E160" t="n">
        <v>7</v>
      </c>
    </row>
    <row r="161">
      <c r="A161" t="s">
        <v>231</v>
      </c>
      <c r="B161" t="n">
        <v>-0.25</v>
      </c>
      <c r="C161" t="n">
        <v>5</v>
      </c>
      <c r="D161" t="n">
        <v>0</v>
      </c>
      <c r="E161" t="n">
        <v>149</v>
      </c>
    </row>
    <row r="162">
      <c r="A162" t="s">
        <v>230</v>
      </c>
      <c r="B162" t="n">
        <v>-0.5</v>
      </c>
      <c r="C162" t="n">
        <v>9</v>
      </c>
      <c r="D162" t="n">
        <v>-0.25</v>
      </c>
      <c r="E162" t="n">
        <v>15</v>
      </c>
    </row>
    <row r="163">
      <c r="A163" t="s">
        <v>231</v>
      </c>
      <c r="B163" t="n">
        <v>0</v>
      </c>
      <c r="C163" t="n">
        <v>68</v>
      </c>
      <c r="D163" t="n">
        <v>-0.25</v>
      </c>
      <c r="E163" t="n">
        <v>174</v>
      </c>
    </row>
    <row r="164">
      <c r="A164" t="s">
        <v>230</v>
      </c>
      <c r="B164" t="n">
        <v>-0.5</v>
      </c>
      <c r="C164" t="n">
        <v>98</v>
      </c>
      <c r="D164" t="n">
        <v>-0.25</v>
      </c>
      <c r="E164" t="n">
        <v>77</v>
      </c>
    </row>
    <row r="165">
      <c r="A165" t="s">
        <v>231</v>
      </c>
      <c r="B165" t="n">
        <v>-1.25</v>
      </c>
      <c r="C165" t="n">
        <v>162</v>
      </c>
      <c r="D165" t="n">
        <v>-0.25</v>
      </c>
      <c r="E165" t="n">
        <v>148</v>
      </c>
    </row>
    <row r="166">
      <c r="A166" t="s">
        <v>231</v>
      </c>
      <c r="B166" t="n">
        <v>-0.5</v>
      </c>
      <c r="C166" t="n">
        <v>95</v>
      </c>
      <c r="D166" t="n">
        <v>-0.25</v>
      </c>
      <c r="E166" t="n">
        <v>95</v>
      </c>
    </row>
    <row r="167">
      <c r="A167" t="s">
        <v>230</v>
      </c>
      <c r="B167" t="n">
        <v>-0.25</v>
      </c>
      <c r="C167" t="n">
        <v>27</v>
      </c>
      <c r="D167" t="n">
        <v>-0.25</v>
      </c>
      <c r="E167" t="n">
        <v>38</v>
      </c>
    </row>
    <row r="168">
      <c r="A168" t="s">
        <v>230</v>
      </c>
      <c r="B168" t="n">
        <v>-1.25</v>
      </c>
      <c r="C168" t="n">
        <v>4</v>
      </c>
      <c r="D168" t="n">
        <v>-0.25</v>
      </c>
      <c r="E168" t="n">
        <v>46</v>
      </c>
    </row>
    <row r="169">
      <c r="A169" t="s">
        <v>231</v>
      </c>
      <c r="B169" t="n">
        <v>-0.5</v>
      </c>
      <c r="C169" t="n">
        <v>82</v>
      </c>
      <c r="D169" t="n">
        <v>-0.25</v>
      </c>
      <c r="E169" t="n">
        <v>61</v>
      </c>
    </row>
    <row r="170">
      <c r="A170" t="s">
        <v>231</v>
      </c>
      <c r="B170" t="n">
        <v>-0.25</v>
      </c>
      <c r="C170" t="n">
        <v>94</v>
      </c>
      <c r="D170" t="n">
        <v>0</v>
      </c>
      <c r="E170" t="n">
        <v>18</v>
      </c>
    </row>
    <row r="171">
      <c r="A171" t="s">
        <v>230</v>
      </c>
      <c r="B171" t="n">
        <v>-0.25</v>
      </c>
      <c r="C171" t="n">
        <v>24</v>
      </c>
      <c r="D171" t="n">
        <v>-0.25</v>
      </c>
      <c r="E171" t="n">
        <v>152</v>
      </c>
    </row>
    <row r="172">
      <c r="A172" t="s">
        <v>231</v>
      </c>
      <c r="B172" t="n">
        <v>-1.25</v>
      </c>
      <c r="C172" t="n">
        <v>102</v>
      </c>
      <c r="D172" t="n">
        <v>-0.25</v>
      </c>
      <c r="E172" t="n">
        <v>93</v>
      </c>
    </row>
    <row r="173">
      <c r="A173" t="s">
        <v>230</v>
      </c>
      <c r="B173" t="n">
        <v>-0.25</v>
      </c>
      <c r="C173" t="n">
        <v>97</v>
      </c>
      <c r="D173" t="n">
        <v>0</v>
      </c>
      <c r="E173" t="n">
        <v>119</v>
      </c>
    </row>
    <row r="174">
      <c r="A174" t="s">
        <v>231</v>
      </c>
      <c r="B174" t="n">
        <v>-0.5</v>
      </c>
      <c r="C174" t="n">
        <v>71</v>
      </c>
      <c r="D174" t="n">
        <v>-0.5</v>
      </c>
      <c r="E174" t="n">
        <v>96</v>
      </c>
    </row>
    <row r="175">
      <c r="A175" t="s">
        <v>230</v>
      </c>
      <c r="B175" t="n">
        <v>0</v>
      </c>
      <c r="C175" t="n">
        <v>80</v>
      </c>
      <c r="D175" t="n">
        <v>-0.25</v>
      </c>
      <c r="E175" t="n">
        <v>130</v>
      </c>
    </row>
    <row r="176">
      <c r="A176" t="s">
        <v>231</v>
      </c>
      <c r="B176" t="n">
        <v>-1</v>
      </c>
      <c r="C176" t="n">
        <v>161</v>
      </c>
      <c r="D176" t="n">
        <v>-0.25</v>
      </c>
      <c r="E176" t="n">
        <v>147</v>
      </c>
    </row>
    <row r="177">
      <c r="A177" t="s">
        <v>230</v>
      </c>
      <c r="B177" t="n">
        <v>-0.5</v>
      </c>
      <c r="C177" t="n">
        <v>62</v>
      </c>
      <c r="D177" t="n">
        <v>-0.25</v>
      </c>
      <c r="E177" t="n">
        <v>92</v>
      </c>
    </row>
    <row r="178">
      <c r="A178" t="s">
        <v>231</v>
      </c>
      <c r="B178" t="n">
        <v>-0.75</v>
      </c>
      <c r="C178" t="n">
        <v>103</v>
      </c>
      <c r="D178" t="n">
        <v>0</v>
      </c>
      <c r="E178" t="n">
        <v>8</v>
      </c>
    </row>
    <row r="179">
      <c r="A179" t="s">
        <v>230</v>
      </c>
      <c r="B179" t="n">
        <v>-1.25</v>
      </c>
      <c r="C179" t="n">
        <v>10</v>
      </c>
      <c r="D179" t="n">
        <v>-0.25</v>
      </c>
      <c r="E179" t="n">
        <v>21</v>
      </c>
    </row>
    <row r="180">
      <c r="A180" t="s">
        <v>230</v>
      </c>
      <c r="B180" t="n">
        <v>-0.5</v>
      </c>
      <c r="C180" t="n">
        <v>82</v>
      </c>
      <c r="D180" t="n">
        <v>-0.5</v>
      </c>
      <c r="E180" t="n">
        <v>106</v>
      </c>
    </row>
    <row r="181">
      <c r="A181" t="s">
        <v>231</v>
      </c>
      <c r="B181" t="n">
        <v>-1.25</v>
      </c>
      <c r="C181" t="n">
        <v>165</v>
      </c>
      <c r="D181" t="n">
        <v>0</v>
      </c>
      <c r="E181" t="n">
        <v>14</v>
      </c>
    </row>
    <row r="182">
      <c r="A182" t="s">
        <v>230</v>
      </c>
      <c r="B182" t="n">
        <v>0</v>
      </c>
      <c r="C182" t="n">
        <v>149</v>
      </c>
      <c r="D182" t="n">
        <v>-0.5</v>
      </c>
      <c r="E182" t="n">
        <v>143</v>
      </c>
    </row>
    <row r="183">
      <c r="A183" t="s">
        <v>231</v>
      </c>
      <c r="B183" t="n">
        <v>-0.5</v>
      </c>
      <c r="C183" t="n">
        <v>2</v>
      </c>
      <c r="D183" t="n">
        <v>-0.25</v>
      </c>
      <c r="E183" t="n">
        <v>175</v>
      </c>
    </row>
    <row r="184">
      <c r="A184" t="s">
        <v>231</v>
      </c>
      <c r="B184" t="n">
        <v>-1</v>
      </c>
      <c r="C184" t="n">
        <v>152</v>
      </c>
      <c r="D184" t="n">
        <v>0</v>
      </c>
      <c r="E184" t="n">
        <v>156</v>
      </c>
    </row>
    <row r="185">
      <c r="A185" t="s">
        <v>230</v>
      </c>
      <c r="B185" t="n">
        <v>-1</v>
      </c>
      <c r="C185" t="n">
        <v>24</v>
      </c>
      <c r="D185" t="n">
        <v>-0.25</v>
      </c>
      <c r="E185" t="n">
        <v>15</v>
      </c>
    </row>
    <row r="186">
      <c r="A186" t="s">
        <v>230</v>
      </c>
      <c r="B186" t="n">
        <v>-1.5</v>
      </c>
      <c r="C186" t="n">
        <v>5</v>
      </c>
      <c r="D186" t="n">
        <v>-0.25</v>
      </c>
      <c r="E186" t="n">
        <v>172</v>
      </c>
    </row>
    <row r="187">
      <c r="A187" t="s">
        <v>231</v>
      </c>
      <c r="B187" t="n">
        <v>-0.75</v>
      </c>
      <c r="C187" t="n">
        <v>88</v>
      </c>
      <c r="D187" t="n">
        <v>-0.25</v>
      </c>
      <c r="E187" t="n">
        <v>81</v>
      </c>
    </row>
    <row r="188">
      <c r="A188" t="s">
        <v>230</v>
      </c>
      <c r="B188" t="n">
        <v>-0.5</v>
      </c>
      <c r="C188" t="n">
        <v>180</v>
      </c>
      <c r="D188" t="n">
        <v>-0.25</v>
      </c>
      <c r="E188" t="n">
        <v>152</v>
      </c>
    </row>
    <row r="189">
      <c r="A189" t="s">
        <v>230</v>
      </c>
      <c r="B189" t="n">
        <v>-0.25</v>
      </c>
      <c r="C189" t="n">
        <v>89</v>
      </c>
      <c r="D189" t="n">
        <v>-0.25</v>
      </c>
      <c r="E189" t="n">
        <v>103</v>
      </c>
    </row>
    <row r="190">
      <c r="A190" t="s">
        <v>230</v>
      </c>
      <c r="B190" t="n">
        <v>-1</v>
      </c>
      <c r="C190" t="n">
        <v>22</v>
      </c>
      <c r="D190" t="n">
        <v>-0.5</v>
      </c>
      <c r="E190" t="n">
        <v>14</v>
      </c>
    </row>
    <row r="191">
      <c r="A191" t="s">
        <v>231</v>
      </c>
      <c r="B191" t="n">
        <v>-0.5</v>
      </c>
      <c r="C191" t="n">
        <v>101</v>
      </c>
      <c r="D191" t="n">
        <v>-0.25</v>
      </c>
      <c r="E191" t="n">
        <v>98</v>
      </c>
    </row>
    <row r="192">
      <c r="A192" t="s">
        <v>230</v>
      </c>
      <c r="B192" t="n">
        <v>-0.5</v>
      </c>
      <c r="C192" t="n">
        <v>173</v>
      </c>
      <c r="D192" t="n">
        <v>-0.5</v>
      </c>
      <c r="E192" t="n">
        <v>24</v>
      </c>
    </row>
    <row r="193">
      <c r="A193" t="s">
        <v>231</v>
      </c>
      <c r="B193" t="n">
        <v>-1</v>
      </c>
      <c r="C193" t="n">
        <v>156</v>
      </c>
      <c r="D193" t="n">
        <v>-0.5</v>
      </c>
      <c r="E193" t="n">
        <v>40</v>
      </c>
    </row>
    <row r="194">
      <c r="A194" t="s">
        <v>230</v>
      </c>
      <c r="B194" t="n">
        <v>-0.5</v>
      </c>
      <c r="C194" t="n">
        <v>21</v>
      </c>
      <c r="D194" t="n">
        <v>-0.25</v>
      </c>
      <c r="E194" t="n">
        <v>8</v>
      </c>
    </row>
    <row r="195">
      <c r="A195" t="s">
        <v>231</v>
      </c>
      <c r="B195" t="n">
        <v>-0.25</v>
      </c>
      <c r="C195" t="n">
        <v>6</v>
      </c>
      <c r="D195" t="n">
        <v>-0.25</v>
      </c>
      <c r="E195" t="n">
        <v>179</v>
      </c>
    </row>
    <row r="196">
      <c r="A196" t="s">
        <v>230</v>
      </c>
      <c r="B196" t="n">
        <v>-0.75</v>
      </c>
      <c r="C196" t="n">
        <v>167</v>
      </c>
      <c r="D196" t="n">
        <v>-0.25</v>
      </c>
      <c r="E196" t="n">
        <v>168</v>
      </c>
    </row>
    <row r="197">
      <c r="A197" t="s">
        <v>231</v>
      </c>
      <c r="B197" t="n">
        <v>-0.5</v>
      </c>
      <c r="C197" t="n">
        <v>2</v>
      </c>
      <c r="D197" t="n">
        <v>-0.5</v>
      </c>
      <c r="E197" t="n">
        <v>19</v>
      </c>
    </row>
    <row r="198">
      <c r="A198" t="s">
        <v>231</v>
      </c>
      <c r="B198" t="n">
        <v>-0.25</v>
      </c>
      <c r="C198" t="n">
        <v>11</v>
      </c>
      <c r="D198" t="n">
        <v>0</v>
      </c>
      <c r="E198" t="n">
        <v>160</v>
      </c>
    </row>
    <row r="199">
      <c r="A199" t="s">
        <v>230</v>
      </c>
      <c r="B199" t="n">
        <v>-1</v>
      </c>
      <c r="C199" t="n">
        <v>159</v>
      </c>
      <c r="D199" t="n">
        <v>0</v>
      </c>
      <c r="E199" t="n">
        <v>13</v>
      </c>
    </row>
    <row r="200">
      <c r="A200" t="s">
        <v>231</v>
      </c>
      <c r="B200" t="n">
        <v>0</v>
      </c>
      <c r="C200" t="n">
        <v>1</v>
      </c>
      <c r="D200" t="n">
        <v>-0.25</v>
      </c>
      <c r="E200" t="n">
        <v>13</v>
      </c>
    </row>
    <row r="201">
      <c r="A201" t="s">
        <v>230</v>
      </c>
      <c r="B201" t="n">
        <v>-0.25</v>
      </c>
      <c r="C201" t="n">
        <v>89</v>
      </c>
      <c r="D201" t="n">
        <v>-0.25</v>
      </c>
      <c r="E201" t="n">
        <v>60</v>
      </c>
    </row>
    <row r="202">
      <c r="A202" t="s">
        <v>231</v>
      </c>
      <c r="B202" t="n">
        <v>-1</v>
      </c>
      <c r="C202" t="n">
        <v>110</v>
      </c>
      <c r="D202" t="n">
        <v>-0.25</v>
      </c>
      <c r="E202" t="n">
        <v>121</v>
      </c>
    </row>
    <row r="203">
      <c r="A203" t="s">
        <v>230</v>
      </c>
      <c r="B203" t="n">
        <v>-0.25</v>
      </c>
      <c r="C203" t="n">
        <v>105</v>
      </c>
      <c r="D203" t="n">
        <v>-0.5</v>
      </c>
      <c r="E203" t="n">
        <v>132</v>
      </c>
    </row>
    <row r="204">
      <c r="A204" t="s">
        <v>231</v>
      </c>
      <c r="B204" t="n">
        <v>-1.25</v>
      </c>
      <c r="C204" t="n">
        <v>14</v>
      </c>
      <c r="D204" t="n">
        <v>-0.25</v>
      </c>
      <c r="E204" t="n">
        <v>13</v>
      </c>
    </row>
    <row r="205">
      <c r="A205" t="s">
        <v>231</v>
      </c>
      <c r="B205" t="n">
        <v>-1.25</v>
      </c>
      <c r="C205" t="n">
        <v>163</v>
      </c>
      <c r="D205" t="n">
        <v>0</v>
      </c>
      <c r="E205" t="n">
        <v>5</v>
      </c>
    </row>
    <row r="206">
      <c r="A206" t="s">
        <v>230</v>
      </c>
      <c r="B206" t="n">
        <v>-1</v>
      </c>
      <c r="C206" t="n">
        <v>94</v>
      </c>
      <c r="D206" t="n">
        <v>0</v>
      </c>
      <c r="E206" t="n">
        <v>104</v>
      </c>
    </row>
    <row r="207">
      <c r="A207" t="s">
        <v>231</v>
      </c>
      <c r="B207" t="n">
        <v>-0.5</v>
      </c>
      <c r="C207" t="n">
        <v>85</v>
      </c>
      <c r="D207" t="n">
        <v>-0.25</v>
      </c>
      <c r="E207" t="n">
        <v>110</v>
      </c>
    </row>
    <row r="208">
      <c r="A208" t="s">
        <v>231</v>
      </c>
      <c r="B208" t="n">
        <v>-0.5</v>
      </c>
      <c r="C208" t="n">
        <v>127</v>
      </c>
      <c r="D208" t="n">
        <v>-0.5</v>
      </c>
      <c r="E208" t="n">
        <v>132</v>
      </c>
    </row>
    <row r="209">
      <c r="A209" t="s">
        <v>230</v>
      </c>
      <c r="B209" t="n">
        <v>-0.25</v>
      </c>
      <c r="C209" t="n">
        <v>173</v>
      </c>
      <c r="D209" t="n">
        <v>0</v>
      </c>
      <c r="E209" t="n">
        <v>11</v>
      </c>
    </row>
    <row r="210">
      <c r="A210" t="s">
        <v>231</v>
      </c>
      <c r="B210" t="n">
        <v>-1</v>
      </c>
      <c r="C210" t="n">
        <v>87</v>
      </c>
      <c r="D210" t="n">
        <v>-0.25</v>
      </c>
      <c r="E210" t="n">
        <v>102</v>
      </c>
    </row>
    <row r="211">
      <c r="A211" t="s">
        <v>231</v>
      </c>
      <c r="B211" t="n">
        <v>-0.75</v>
      </c>
      <c r="C211" t="n">
        <v>89</v>
      </c>
      <c r="D211" t="n">
        <v>-0.25</v>
      </c>
      <c r="E211" t="n">
        <v>74</v>
      </c>
    </row>
    <row r="212">
      <c r="A212" t="s">
        <v>230</v>
      </c>
      <c r="B212" t="n">
        <v>-2.5</v>
      </c>
      <c r="C212" t="n">
        <v>20</v>
      </c>
      <c r="D212" t="n">
        <v>0</v>
      </c>
      <c r="E212" t="n">
        <v>33</v>
      </c>
    </row>
    <row r="213">
      <c r="A213" t="s">
        <v>230</v>
      </c>
      <c r="B213" t="n">
        <v>-0.75</v>
      </c>
      <c r="C213" t="n">
        <v>15</v>
      </c>
      <c r="D213" t="n">
        <v>0</v>
      </c>
      <c r="E213" t="n">
        <v>108</v>
      </c>
    </row>
    <row r="214">
      <c r="A214" t="s">
        <v>231</v>
      </c>
      <c r="B214" t="n">
        <v>-1</v>
      </c>
      <c r="C214" t="n">
        <v>60</v>
      </c>
      <c r="D214" t="n">
        <v>0</v>
      </c>
      <c r="E214" t="n">
        <v>130</v>
      </c>
    </row>
    <row r="215">
      <c r="A215" t="s">
        <v>230</v>
      </c>
      <c r="B215" t="n">
        <v>-0.25</v>
      </c>
      <c r="C215" t="n">
        <v>99</v>
      </c>
      <c r="D215" t="n">
        <v>-0.25</v>
      </c>
      <c r="E215" t="n">
        <v>110</v>
      </c>
    </row>
    <row r="216">
      <c r="A216" t="s">
        <v>231</v>
      </c>
      <c r="B216" t="n">
        <v>-1</v>
      </c>
      <c r="C216" t="n">
        <v>87</v>
      </c>
      <c r="D216" t="n">
        <v>-0.25</v>
      </c>
      <c r="E216" t="n">
        <v>104</v>
      </c>
    </row>
    <row r="217">
      <c r="A217" t="s">
        <v>230</v>
      </c>
      <c r="B217" t="n">
        <v>-0.25</v>
      </c>
      <c r="C217" t="n">
        <v>12</v>
      </c>
      <c r="D217" t="n">
        <v>-0.25</v>
      </c>
      <c r="E217" t="n">
        <v>34</v>
      </c>
    </row>
    <row r="218">
      <c r="A218" t="s">
        <v>231</v>
      </c>
      <c r="B218" t="n">
        <v>-0.5</v>
      </c>
      <c r="C218" t="n">
        <v>158</v>
      </c>
      <c r="D218" t="n">
        <v>-0.5</v>
      </c>
      <c r="E218" t="n">
        <v>158</v>
      </c>
    </row>
    <row r="219">
      <c r="A219" t="s">
        <v>231</v>
      </c>
      <c r="B219" t="n">
        <v>-0.5</v>
      </c>
      <c r="C219" t="n">
        <v>177</v>
      </c>
      <c r="D219" t="n">
        <v>-0.25</v>
      </c>
      <c r="E219" t="n">
        <v>14</v>
      </c>
    </row>
    <row r="220">
      <c r="A220" t="s">
        <v>230</v>
      </c>
      <c r="B220" t="n">
        <v>-0.25</v>
      </c>
      <c r="C220" t="n">
        <v>81</v>
      </c>
      <c r="D220" t="n">
        <v>-0.25</v>
      </c>
      <c r="E220" t="n">
        <v>104</v>
      </c>
    </row>
    <row r="221">
      <c r="A221" t="s">
        <v>231</v>
      </c>
      <c r="B221" t="n">
        <v>-0.5</v>
      </c>
      <c r="C221" t="n">
        <v>17</v>
      </c>
      <c r="D221" t="n">
        <v>0</v>
      </c>
      <c r="E221" t="n">
        <v>10</v>
      </c>
    </row>
    <row r="222">
      <c r="A222" t="s">
        <v>230</v>
      </c>
      <c r="B222" t="n">
        <v>-0.5</v>
      </c>
      <c r="C222" t="n">
        <v>91</v>
      </c>
      <c r="D222" t="n">
        <v>0</v>
      </c>
      <c r="E222" t="n">
        <v>93</v>
      </c>
    </row>
    <row r="223">
      <c r="A223" t="s">
        <v>230</v>
      </c>
      <c r="B223" t="n">
        <v>0</v>
      </c>
      <c r="C223" t="n">
        <v>166</v>
      </c>
      <c r="D223" t="n">
        <v>0</v>
      </c>
      <c r="E223" t="n">
        <v>5</v>
      </c>
    </row>
    <row r="224">
      <c r="A224" t="s">
        <v>231</v>
      </c>
      <c r="B224" t="n">
        <v>-0.25</v>
      </c>
      <c r="C224" t="n">
        <v>100</v>
      </c>
      <c r="D224" t="n">
        <v>0</v>
      </c>
      <c r="E224" t="n">
        <v>114</v>
      </c>
    </row>
    <row r="225">
      <c r="A225" t="s">
        <v>231</v>
      </c>
      <c r="B225" t="n">
        <v>0</v>
      </c>
      <c r="C225" t="n">
        <v>87</v>
      </c>
      <c r="D225" t="n">
        <v>0</v>
      </c>
      <c r="E225" t="n">
        <v>97</v>
      </c>
    </row>
    <row r="226">
      <c r="A226" t="s">
        <v>230</v>
      </c>
      <c r="B226" t="n">
        <v>-0.75</v>
      </c>
      <c r="C226" t="n">
        <v>117</v>
      </c>
      <c r="D226" t="n">
        <v>-0.5</v>
      </c>
      <c r="E226" t="n">
        <v>103</v>
      </c>
    </row>
    <row r="227">
      <c r="A227" t="s">
        <v>231</v>
      </c>
      <c r="B227" t="n">
        <v>0</v>
      </c>
      <c r="C227" t="n">
        <v>146</v>
      </c>
      <c r="D227" t="n">
        <v>-0.25</v>
      </c>
      <c r="E227" t="n">
        <v>116</v>
      </c>
    </row>
    <row r="228">
      <c r="A228" t="s">
        <v>230</v>
      </c>
      <c r="B228" t="n">
        <v>-0.25</v>
      </c>
      <c r="C228" t="n">
        <v>1</v>
      </c>
      <c r="D228" t="n">
        <v>0</v>
      </c>
      <c r="E228" t="n">
        <v>97</v>
      </c>
    </row>
    <row r="229">
      <c r="A229" t="s">
        <v>230</v>
      </c>
      <c r="B229" t="n">
        <v>-1.25</v>
      </c>
      <c r="C229" t="n">
        <v>75</v>
      </c>
      <c r="D229" t="n">
        <v>-0.25</v>
      </c>
      <c r="E229" t="n">
        <v>50</v>
      </c>
    </row>
    <row r="230">
      <c r="A230" t="s">
        <v>231</v>
      </c>
      <c r="B230" t="n">
        <v>-0.5</v>
      </c>
      <c r="C230" t="n">
        <v>10</v>
      </c>
      <c r="D230" t="n">
        <v>-0.25</v>
      </c>
      <c r="E230" t="n">
        <v>176</v>
      </c>
    </row>
    <row r="231">
      <c r="A231" t="s">
        <v>230</v>
      </c>
      <c r="B231" t="n">
        <v>-0.25</v>
      </c>
      <c r="C231" t="n">
        <v>152</v>
      </c>
      <c r="D231" t="n">
        <v>0</v>
      </c>
      <c r="E231" t="n">
        <v>57</v>
      </c>
    </row>
    <row r="232">
      <c r="A232" t="s">
        <v>230</v>
      </c>
      <c r="B232" t="n">
        <v>-1.25</v>
      </c>
      <c r="C232" t="n">
        <v>105</v>
      </c>
      <c r="D232" t="n">
        <v>-0.5</v>
      </c>
      <c r="E232" t="n">
        <v>107</v>
      </c>
    </row>
    <row r="233">
      <c r="A233" t="s">
        <v>231</v>
      </c>
      <c r="B233" t="n">
        <v>-0.5</v>
      </c>
      <c r="C233" t="n">
        <v>78</v>
      </c>
      <c r="D233" t="n">
        <v>-0.25</v>
      </c>
      <c r="E233" t="n">
        <v>65</v>
      </c>
    </row>
    <row r="234">
      <c r="A234" t="s">
        <v>230</v>
      </c>
      <c r="B234" t="n">
        <v>-0.25</v>
      </c>
      <c r="C234" t="n">
        <v>179</v>
      </c>
      <c r="D234" t="n">
        <v>-0.25</v>
      </c>
      <c r="E234" t="n">
        <v>24</v>
      </c>
    </row>
    <row r="235">
      <c r="A235" t="s">
        <v>231</v>
      </c>
      <c r="B235" t="n">
        <v>-0.25</v>
      </c>
      <c r="C235" t="n">
        <v>102</v>
      </c>
      <c r="D235" t="n">
        <v>-0.25</v>
      </c>
      <c r="E235" t="n">
        <v>81</v>
      </c>
    </row>
    <row r="236">
      <c r="A236" t="s">
        <v>230</v>
      </c>
      <c r="B236" t="n">
        <v>-2.75</v>
      </c>
      <c r="C236" t="n">
        <v>43</v>
      </c>
      <c r="D236" t="n">
        <v>-0.25</v>
      </c>
      <c r="E236" t="n">
        <v>47</v>
      </c>
    </row>
    <row r="237">
      <c r="A237" t="s">
        <v>231</v>
      </c>
      <c r="B237" t="n">
        <v>-0.25</v>
      </c>
      <c r="C237" t="n">
        <v>85</v>
      </c>
      <c r="D237" t="n">
        <v>0</v>
      </c>
      <c r="E237" t="n">
        <v>83</v>
      </c>
    </row>
    <row r="238">
      <c r="A238" t="s">
        <v>230</v>
      </c>
      <c r="B238" t="n">
        <v>-0.25</v>
      </c>
      <c r="C238" t="n">
        <v>76</v>
      </c>
      <c r="D238" t="n">
        <v>-0.5</v>
      </c>
      <c r="E238" t="n">
        <v>66</v>
      </c>
    </row>
    <row r="239">
      <c r="A239" t="s">
        <v>231</v>
      </c>
      <c r="B239" t="n">
        <v>-0.5</v>
      </c>
      <c r="C239" t="n">
        <v>176</v>
      </c>
      <c r="D239" t="n">
        <v>-0.25</v>
      </c>
      <c r="E239" t="n">
        <v>137</v>
      </c>
    </row>
    <row r="240">
      <c r="A240" t="s">
        <v>230</v>
      </c>
      <c r="B240" t="n">
        <v>-1.5</v>
      </c>
      <c r="C240" t="n">
        <v>3</v>
      </c>
      <c r="D240" t="n">
        <v>-0.25</v>
      </c>
      <c r="E240" t="n">
        <v>2</v>
      </c>
    </row>
    <row r="241">
      <c r="A241" t="s">
        <v>231</v>
      </c>
      <c r="B241" t="n">
        <v>-0.75</v>
      </c>
      <c r="C241" t="n">
        <v>32</v>
      </c>
      <c r="D241" t="n">
        <v>-0.25</v>
      </c>
      <c r="E241" t="n">
        <v>23</v>
      </c>
    </row>
    <row r="242">
      <c r="A242" t="s">
        <v>230</v>
      </c>
      <c r="B242" t="n">
        <v>-0.5</v>
      </c>
      <c r="C242" t="n">
        <v>93</v>
      </c>
      <c r="D242" t="n">
        <v>0</v>
      </c>
      <c r="E242" t="n">
        <v>83</v>
      </c>
    </row>
    <row r="243">
      <c r="A243" t="s">
        <v>231</v>
      </c>
      <c r="B243" t="n">
        <v>-0.5</v>
      </c>
      <c r="C243" t="n">
        <v>40</v>
      </c>
      <c r="D243" t="n">
        <v>0</v>
      </c>
      <c r="E243" t="n">
        <v>109</v>
      </c>
    </row>
    <row r="244">
      <c r="A244" t="s">
        <v>231</v>
      </c>
      <c r="B244" t="n">
        <v>-0.5</v>
      </c>
      <c r="C244" t="n">
        <v>2</v>
      </c>
      <c r="D244" t="n">
        <v>-0.25</v>
      </c>
      <c r="E244" t="n">
        <v>171</v>
      </c>
    </row>
    <row r="245">
      <c r="A245" t="s">
        <v>230</v>
      </c>
      <c r="B245" t="n">
        <v>-1</v>
      </c>
      <c r="C245" t="n">
        <v>155</v>
      </c>
      <c r="D245" t="n">
        <v>0</v>
      </c>
      <c r="E245" t="n">
        <v>108</v>
      </c>
    </row>
    <row r="246">
      <c r="A246" t="s">
        <v>231</v>
      </c>
      <c r="B246" t="n">
        <v>-0.5</v>
      </c>
      <c r="C246" t="n">
        <v>180</v>
      </c>
      <c r="D246" t="n">
        <v>-0.5</v>
      </c>
      <c r="E246" t="n">
        <v>13</v>
      </c>
    </row>
    <row r="247">
      <c r="A247" t="s">
        <v>231</v>
      </c>
      <c r="B247" t="n">
        <v>-1</v>
      </c>
      <c r="C247" t="n">
        <v>11</v>
      </c>
      <c r="D247" t="n">
        <v>0</v>
      </c>
      <c r="E247" t="n">
        <v>167</v>
      </c>
    </row>
    <row r="248">
      <c r="A248" t="s">
        <v>230</v>
      </c>
      <c r="B248" t="n">
        <v>-0.25</v>
      </c>
      <c r="C248" t="n">
        <v>8</v>
      </c>
      <c r="D248" t="n">
        <v>-0.25</v>
      </c>
      <c r="E248" t="n">
        <v>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</v>
      </c>
      <c r="B1" t="s">
        <v>226</v>
      </c>
      <c r="C1" t="s">
        <v>227</v>
      </c>
      <c r="D1" t="s">
        <v>228</v>
      </c>
      <c r="E1" t="s">
        <v>229</v>
      </c>
    </row>
    <row r="2">
      <c r="A2" t="s">
        <v>231</v>
      </c>
      <c r="B2" t="n">
        <v>-0.25</v>
      </c>
      <c r="C2" t="n">
        <v>48</v>
      </c>
      <c r="D2" t="n">
        <v>0</v>
      </c>
      <c r="E2" t="n">
        <v>108</v>
      </c>
    </row>
    <row r="3">
      <c r="A3" t="s">
        <v>230</v>
      </c>
      <c r="B3" t="n">
        <v>-1.25</v>
      </c>
      <c r="C3" t="n">
        <v>12</v>
      </c>
      <c r="D3" t="n">
        <v>-0.25</v>
      </c>
      <c r="E3" t="n">
        <v>8</v>
      </c>
    </row>
    <row r="4">
      <c r="A4" t="s">
        <v>231</v>
      </c>
      <c r="B4" t="n">
        <v>-1.25</v>
      </c>
      <c r="C4" t="n">
        <v>174</v>
      </c>
      <c r="D4" t="n">
        <v>-0.25</v>
      </c>
      <c r="E4" t="n">
        <v>162</v>
      </c>
    </row>
    <row r="5">
      <c r="A5" t="s">
        <v>230</v>
      </c>
      <c r="B5" t="n">
        <v>-0.25</v>
      </c>
      <c r="C5" t="n">
        <v>99</v>
      </c>
      <c r="D5" t="n">
        <v>-0.25</v>
      </c>
      <c r="E5" t="n">
        <v>87</v>
      </c>
    </row>
    <row r="6">
      <c r="A6" t="s">
        <v>231</v>
      </c>
      <c r="B6" t="n">
        <v>-0.25</v>
      </c>
      <c r="C6" t="n">
        <v>94</v>
      </c>
      <c r="D6" t="n">
        <v>0</v>
      </c>
      <c r="E6" t="n">
        <v>154</v>
      </c>
    </row>
    <row r="7">
      <c r="A7" t="s">
        <v>230</v>
      </c>
      <c r="B7" t="n">
        <v>0</v>
      </c>
      <c r="C7" t="n">
        <v>96</v>
      </c>
      <c r="D7" t="n">
        <v>0</v>
      </c>
      <c r="E7" t="n">
        <v>82</v>
      </c>
    </row>
    <row r="8">
      <c r="A8" t="s">
        <v>231</v>
      </c>
      <c r="B8" t="n">
        <v>-0.5</v>
      </c>
      <c r="C8" t="n">
        <v>18</v>
      </c>
      <c r="D8" t="n">
        <v>-0.25</v>
      </c>
      <c r="E8" t="n">
        <v>154</v>
      </c>
    </row>
    <row r="9">
      <c r="A9" t="s">
        <v>230</v>
      </c>
      <c r="B9" t="n">
        <v>-0.5</v>
      </c>
      <c r="C9" t="n">
        <v>159</v>
      </c>
      <c r="D9" t="n">
        <v>-0.5</v>
      </c>
      <c r="E9" t="n">
        <v>128</v>
      </c>
    </row>
    <row r="10">
      <c r="A10" t="s">
        <v>231</v>
      </c>
      <c r="B10" t="n">
        <v>-0.25</v>
      </c>
      <c r="C10" t="n">
        <v>94</v>
      </c>
      <c r="D10" t="n">
        <v>0</v>
      </c>
      <c r="E10" t="n">
        <v>70</v>
      </c>
    </row>
    <row r="11">
      <c r="A11" t="s">
        <v>230</v>
      </c>
      <c r="B11" t="n">
        <v>-1.25</v>
      </c>
      <c r="C11" t="n">
        <v>96</v>
      </c>
      <c r="D11" t="n">
        <v>0</v>
      </c>
      <c r="E11" t="n">
        <v>99</v>
      </c>
    </row>
    <row r="12">
      <c r="A12" t="s">
        <v>231</v>
      </c>
      <c r="B12" t="n">
        <v>-1</v>
      </c>
      <c r="C12" t="n">
        <v>11</v>
      </c>
      <c r="D12" t="n">
        <v>-0.25</v>
      </c>
      <c r="E12" t="n">
        <v>44</v>
      </c>
    </row>
    <row r="13">
      <c r="A13" t="s">
        <v>230</v>
      </c>
      <c r="B13" t="n">
        <v>-1.25</v>
      </c>
      <c r="C13" t="n">
        <v>32</v>
      </c>
      <c r="D13" t="n">
        <v>0</v>
      </c>
      <c r="E13" t="n">
        <v>43</v>
      </c>
    </row>
    <row r="14">
      <c r="A14" t="s">
        <v>230</v>
      </c>
      <c r="B14" t="n">
        <v>-0.5</v>
      </c>
      <c r="C14" t="n">
        <v>24</v>
      </c>
      <c r="D14" t="n">
        <v>0</v>
      </c>
      <c r="E14" t="n">
        <v>17</v>
      </c>
    </row>
    <row r="15">
      <c r="A15" t="s">
        <v>231</v>
      </c>
      <c r="B15" t="n">
        <v>-0.25</v>
      </c>
      <c r="C15" t="n">
        <v>68</v>
      </c>
      <c r="D15" t="n">
        <v>0</v>
      </c>
      <c r="E15" t="n">
        <v>71</v>
      </c>
    </row>
    <row r="16">
      <c r="A16" t="s">
        <v>230</v>
      </c>
      <c r="B16" t="n">
        <v>-0.75</v>
      </c>
      <c r="C16" t="n">
        <v>85</v>
      </c>
      <c r="D16" t="n">
        <v>-0.25</v>
      </c>
      <c r="E16" t="n">
        <v>117</v>
      </c>
    </row>
    <row r="17">
      <c r="A17" t="s">
        <v>231</v>
      </c>
      <c r="B17" t="n">
        <v>-2</v>
      </c>
      <c r="C17" t="n">
        <v>173</v>
      </c>
      <c r="D17" t="n">
        <v>-0.25</v>
      </c>
      <c r="E17" t="n">
        <v>157</v>
      </c>
    </row>
    <row r="18">
      <c r="A18" t="s">
        <v>231</v>
      </c>
      <c r="B18" t="n">
        <v>-0.25</v>
      </c>
      <c r="C18" t="n">
        <v>18</v>
      </c>
      <c r="D18" t="n">
        <v>0</v>
      </c>
      <c r="E18" t="n">
        <v>170</v>
      </c>
    </row>
    <row r="19">
      <c r="A19" t="s">
        <v>231</v>
      </c>
      <c r="B19" t="n">
        <v>-0.25</v>
      </c>
      <c r="C19" t="n">
        <v>164</v>
      </c>
      <c r="D19" t="n">
        <v>-0.25</v>
      </c>
      <c r="E19" t="n">
        <v>159</v>
      </c>
    </row>
    <row r="20">
      <c r="A20" t="s">
        <v>230</v>
      </c>
      <c r="B20" t="n">
        <v>-0.5</v>
      </c>
      <c r="C20" t="n">
        <v>172</v>
      </c>
      <c r="D20" t="n">
        <v>-0.25</v>
      </c>
      <c r="E20" t="n">
        <v>142</v>
      </c>
    </row>
    <row r="21">
      <c r="A21" t="s">
        <v>231</v>
      </c>
      <c r="B21" t="n">
        <v>-1.25</v>
      </c>
      <c r="C21" t="n">
        <v>179</v>
      </c>
      <c r="D21" t="n">
        <v>0</v>
      </c>
      <c r="E21" t="n">
        <v>155</v>
      </c>
    </row>
    <row r="22">
      <c r="A22" t="s">
        <v>230</v>
      </c>
      <c r="B22" t="n">
        <v>-0.25</v>
      </c>
      <c r="C22" t="n">
        <v>11</v>
      </c>
      <c r="D22" t="n">
        <v>-0.25</v>
      </c>
      <c r="E22" t="n">
        <v>169</v>
      </c>
    </row>
    <row r="23">
      <c r="A23" t="s">
        <v>231</v>
      </c>
      <c r="B23" t="n">
        <v>-0.5</v>
      </c>
      <c r="C23" t="n">
        <v>167</v>
      </c>
      <c r="D23" t="n">
        <v>-0.75</v>
      </c>
      <c r="E23" t="n">
        <v>3</v>
      </c>
    </row>
    <row r="24">
      <c r="A24" t="s">
        <v>230</v>
      </c>
      <c r="B24" t="n">
        <v>-0.75</v>
      </c>
      <c r="C24" t="n">
        <v>94</v>
      </c>
      <c r="D24" t="n">
        <v>-0.25</v>
      </c>
      <c r="E24" t="n">
        <v>63</v>
      </c>
    </row>
    <row r="25">
      <c r="A25" t="s">
        <v>231</v>
      </c>
      <c r="B25" t="n">
        <v>-1.5</v>
      </c>
      <c r="C25" t="n">
        <v>174</v>
      </c>
      <c r="D25" t="n">
        <v>-0.25</v>
      </c>
      <c r="E25" t="n">
        <v>1</v>
      </c>
    </row>
    <row r="26">
      <c r="A26" t="s">
        <v>230</v>
      </c>
      <c r="B26" t="n">
        <v>-0.5</v>
      </c>
      <c r="C26" t="n">
        <v>9</v>
      </c>
      <c r="D26" t="n">
        <v>-0.25</v>
      </c>
      <c r="E26" t="n">
        <v>175</v>
      </c>
    </row>
    <row r="27">
      <c r="A27" t="s">
        <v>230</v>
      </c>
      <c r="B27" t="n">
        <v>-0.5</v>
      </c>
      <c r="C27" t="n">
        <v>89</v>
      </c>
      <c r="D27" t="n">
        <v>-0.5</v>
      </c>
      <c r="E27" t="n">
        <v>109</v>
      </c>
    </row>
    <row r="28">
      <c r="A28" t="s">
        <v>231</v>
      </c>
      <c r="B28" t="n">
        <v>-1.5</v>
      </c>
      <c r="C28" t="n">
        <v>100</v>
      </c>
      <c r="D28" t="n">
        <v>-0.5</v>
      </c>
      <c r="E28" t="n">
        <v>95</v>
      </c>
    </row>
    <row r="29">
      <c r="A29" t="s">
        <v>230</v>
      </c>
      <c r="B29" t="n">
        <v>-0.25</v>
      </c>
      <c r="C29" t="n">
        <v>100</v>
      </c>
      <c r="D29" t="n">
        <v>-0.5</v>
      </c>
      <c r="E29" t="n">
        <v>74</v>
      </c>
    </row>
    <row r="30">
      <c r="A30" t="s">
        <v>231</v>
      </c>
      <c r="B30" t="n">
        <v>-0.5</v>
      </c>
      <c r="C30" t="n">
        <v>4</v>
      </c>
      <c r="D30" t="n">
        <v>-0.25</v>
      </c>
      <c r="E30" t="n">
        <v>179</v>
      </c>
    </row>
    <row r="31">
      <c r="A31" t="s">
        <v>230</v>
      </c>
      <c r="B31" t="n">
        <v>-0.75</v>
      </c>
      <c r="C31" t="n">
        <v>159</v>
      </c>
      <c r="D31" t="n">
        <v>-0.25</v>
      </c>
      <c r="E31" t="n">
        <v>175</v>
      </c>
    </row>
    <row r="32">
      <c r="A32" t="s">
        <v>231</v>
      </c>
      <c r="B32" t="n">
        <v>-1</v>
      </c>
      <c r="C32" t="n">
        <v>180</v>
      </c>
      <c r="D32" t="n">
        <v>-0.25</v>
      </c>
      <c r="E32" t="n">
        <v>13</v>
      </c>
    </row>
    <row r="33">
      <c r="A33" t="s">
        <v>230</v>
      </c>
      <c r="B33" t="n">
        <v>-1.25</v>
      </c>
      <c r="C33" t="n">
        <v>179</v>
      </c>
      <c r="D33" t="n">
        <v>0</v>
      </c>
      <c r="E33" t="n">
        <v>12</v>
      </c>
    </row>
    <row r="34">
      <c r="A34" t="s">
        <v>231</v>
      </c>
      <c r="B34" t="n">
        <v>-0.75</v>
      </c>
      <c r="C34" t="n">
        <v>6</v>
      </c>
      <c r="D34" t="n">
        <v>0</v>
      </c>
      <c r="E34" t="n">
        <v>23</v>
      </c>
    </row>
    <row r="35">
      <c r="A35" t="s">
        <v>231</v>
      </c>
      <c r="B35" t="n">
        <v>0</v>
      </c>
      <c r="C35" t="n">
        <v>19</v>
      </c>
      <c r="D35" t="n">
        <v>0</v>
      </c>
      <c r="E35" t="n">
        <v>52</v>
      </c>
    </row>
    <row r="36">
      <c r="A36" t="s">
        <v>230</v>
      </c>
      <c r="B36" t="n">
        <v>-0.5</v>
      </c>
      <c r="C36" t="n">
        <v>17</v>
      </c>
      <c r="D36" t="n">
        <v>0</v>
      </c>
      <c r="E36" t="n">
        <v>171</v>
      </c>
    </row>
    <row r="37">
      <c r="A37" t="s">
        <v>231</v>
      </c>
      <c r="B37" t="n">
        <v>-0.25</v>
      </c>
      <c r="C37" t="n">
        <v>157</v>
      </c>
      <c r="D37" t="n">
        <v>-0.25</v>
      </c>
      <c r="E37" t="n">
        <v>128</v>
      </c>
    </row>
    <row r="38">
      <c r="A38" t="s">
        <v>230</v>
      </c>
      <c r="B38" t="n">
        <v>-1.5</v>
      </c>
      <c r="C38" t="n">
        <v>0</v>
      </c>
      <c r="D38" t="n">
        <v>0</v>
      </c>
      <c r="E38" t="n">
        <v>5</v>
      </c>
    </row>
    <row r="39">
      <c r="A39" t="s">
        <v>230</v>
      </c>
      <c r="B39" t="n">
        <v>0</v>
      </c>
      <c r="C39" t="n">
        <v>100</v>
      </c>
      <c r="D39" t="n">
        <v>-0.5</v>
      </c>
      <c r="E39" t="n">
        <v>87</v>
      </c>
    </row>
    <row r="40">
      <c r="A40" t="s">
        <v>231</v>
      </c>
      <c r="B40" t="n">
        <v>-0.75</v>
      </c>
      <c r="C40" t="n">
        <v>13</v>
      </c>
      <c r="D40" t="n">
        <v>0</v>
      </c>
      <c r="E40" t="n">
        <v>9</v>
      </c>
    </row>
    <row r="41">
      <c r="A41" t="s">
        <v>230</v>
      </c>
      <c r="B41" t="n">
        <v>0</v>
      </c>
      <c r="C41" t="n">
        <v>158</v>
      </c>
      <c r="D41" t="n">
        <v>-0.25</v>
      </c>
      <c r="E41" t="n">
        <v>5</v>
      </c>
    </row>
    <row r="42">
      <c r="A42" t="s">
        <v>231</v>
      </c>
      <c r="B42" t="n">
        <v>-1.75</v>
      </c>
      <c r="C42" t="n">
        <v>104</v>
      </c>
      <c r="D42" t="n">
        <v>-0.25</v>
      </c>
      <c r="E42" t="n">
        <v>99</v>
      </c>
    </row>
    <row r="43">
      <c r="A43" t="s">
        <v>230</v>
      </c>
      <c r="B43" t="n">
        <v>-0.5</v>
      </c>
      <c r="C43" t="n">
        <v>38</v>
      </c>
      <c r="D43" t="n">
        <v>-0.5</v>
      </c>
      <c r="E43" t="n">
        <v>3</v>
      </c>
    </row>
    <row r="44">
      <c r="A44" t="s">
        <v>231</v>
      </c>
      <c r="B44" t="n">
        <v>-0.5</v>
      </c>
      <c r="C44" t="n">
        <v>179</v>
      </c>
      <c r="D44" t="n">
        <v>-0.75</v>
      </c>
      <c r="E44" t="n">
        <v>0</v>
      </c>
    </row>
    <row r="45">
      <c r="A45" t="s">
        <v>230</v>
      </c>
      <c r="B45" t="n">
        <v>-0.75</v>
      </c>
      <c r="C45" t="n">
        <v>21</v>
      </c>
      <c r="D45" t="n">
        <v>-0.5</v>
      </c>
      <c r="E45" t="n">
        <v>28</v>
      </c>
    </row>
    <row r="46">
      <c r="A46" t="s">
        <v>231</v>
      </c>
      <c r="B46" t="n">
        <v>-1</v>
      </c>
      <c r="C46" t="n">
        <v>77</v>
      </c>
      <c r="D46" t="n">
        <v>0</v>
      </c>
      <c r="E46" t="n">
        <v>72</v>
      </c>
    </row>
    <row r="47">
      <c r="A47" t="s">
        <v>230</v>
      </c>
      <c r="B47" t="n">
        <v>-0.25</v>
      </c>
      <c r="C47" t="n">
        <v>85</v>
      </c>
      <c r="D47" t="n">
        <v>-0.25</v>
      </c>
      <c r="E47" t="n">
        <v>78</v>
      </c>
    </row>
    <row r="48">
      <c r="A48" t="s">
        <v>231</v>
      </c>
      <c r="B48" t="n">
        <v>-2.5</v>
      </c>
      <c r="C48" t="n">
        <v>104</v>
      </c>
      <c r="D48" t="n">
        <v>-0.25</v>
      </c>
      <c r="E48" t="n">
        <v>105</v>
      </c>
    </row>
    <row r="49">
      <c r="A49" t="s">
        <v>230</v>
      </c>
      <c r="B49" t="n">
        <v>-0.25</v>
      </c>
      <c r="C49" t="n">
        <v>2</v>
      </c>
      <c r="D49" t="n">
        <v>0</v>
      </c>
      <c r="E49" t="n">
        <v>82</v>
      </c>
    </row>
    <row r="50">
      <c r="A50" t="s">
        <v>231</v>
      </c>
      <c r="B50" t="n">
        <v>-0.25</v>
      </c>
      <c r="C50" t="n">
        <v>10</v>
      </c>
      <c r="D50" t="n">
        <v>-0.25</v>
      </c>
      <c r="E50" t="n">
        <v>172</v>
      </c>
    </row>
    <row r="51">
      <c r="A51" t="s">
        <v>230</v>
      </c>
      <c r="B51" t="n">
        <v>0</v>
      </c>
      <c r="C51" t="n">
        <v>78</v>
      </c>
      <c r="D51" t="n">
        <v>-0.25</v>
      </c>
      <c r="E51" t="n">
        <v>64</v>
      </c>
    </row>
    <row r="52">
      <c r="A52" t="s">
        <v>231</v>
      </c>
      <c r="B52" t="n">
        <v>-0.5</v>
      </c>
      <c r="C52" t="n">
        <v>87</v>
      </c>
      <c r="D52" t="n">
        <v>-0.25</v>
      </c>
      <c r="E52" t="n">
        <v>90</v>
      </c>
    </row>
    <row r="53">
      <c r="A53" t="s">
        <v>230</v>
      </c>
      <c r="B53" t="n">
        <v>-1.25</v>
      </c>
      <c r="C53" t="n">
        <v>165</v>
      </c>
      <c r="D53" t="n">
        <v>-0.25</v>
      </c>
      <c r="E53" t="n">
        <v>156</v>
      </c>
    </row>
    <row r="54">
      <c r="A54" t="s">
        <v>230</v>
      </c>
      <c r="B54" t="n">
        <v>-1.25</v>
      </c>
      <c r="C54" t="n">
        <v>13</v>
      </c>
      <c r="D54" t="n">
        <v>-0.5</v>
      </c>
      <c r="E54" t="n">
        <v>164</v>
      </c>
    </row>
    <row r="55">
      <c r="A55" t="s">
        <v>231</v>
      </c>
      <c r="B55" t="n">
        <v>0</v>
      </c>
      <c r="C55" t="n">
        <v>84</v>
      </c>
      <c r="D55" t="n">
        <v>-0.25</v>
      </c>
      <c r="E55" t="n">
        <v>161</v>
      </c>
    </row>
    <row r="56">
      <c r="A56" t="s">
        <v>230</v>
      </c>
      <c r="B56" t="n">
        <v>-1</v>
      </c>
      <c r="C56" t="n">
        <v>176</v>
      </c>
      <c r="D56" t="n">
        <v>-0.25</v>
      </c>
      <c r="E56" t="n">
        <v>31</v>
      </c>
    </row>
    <row r="57">
      <c r="A57" t="s">
        <v>231</v>
      </c>
      <c r="B57" t="n">
        <v>-2.75</v>
      </c>
      <c r="C57" t="n">
        <v>8</v>
      </c>
      <c r="D57" t="n">
        <v>-0.25</v>
      </c>
      <c r="E57" t="n">
        <v>177</v>
      </c>
    </row>
    <row r="58">
      <c r="A58" t="s">
        <v>230</v>
      </c>
      <c r="B58" t="n">
        <v>0</v>
      </c>
      <c r="C58" t="n">
        <v>174</v>
      </c>
      <c r="D58" t="n">
        <v>-0.25</v>
      </c>
      <c r="E58" t="n">
        <v>116</v>
      </c>
    </row>
    <row r="59">
      <c r="A59" t="s">
        <v>230</v>
      </c>
      <c r="B59" t="n">
        <v>-0.75</v>
      </c>
      <c r="C59" t="n">
        <v>103</v>
      </c>
      <c r="D59" t="n">
        <v>0</v>
      </c>
      <c r="E59" t="n">
        <v>88</v>
      </c>
    </row>
    <row r="60">
      <c r="A60" t="s">
        <v>231</v>
      </c>
      <c r="B60" t="n">
        <v>0</v>
      </c>
      <c r="C60" t="n">
        <v>78</v>
      </c>
      <c r="D60" t="n">
        <v>0</v>
      </c>
      <c r="E60" t="n">
        <v>88</v>
      </c>
    </row>
    <row r="61">
      <c r="A61" t="s">
        <v>231</v>
      </c>
      <c r="B61" t="n">
        <v>-0.5</v>
      </c>
      <c r="C61" t="n">
        <v>2</v>
      </c>
      <c r="D61" t="n">
        <v>-0.25</v>
      </c>
      <c r="E61" t="n">
        <v>0</v>
      </c>
    </row>
    <row r="62">
      <c r="A62" t="s">
        <v>230</v>
      </c>
      <c r="B62" t="n">
        <v>-0.75</v>
      </c>
      <c r="C62" t="n">
        <v>81</v>
      </c>
      <c r="D62" t="n">
        <v>-0.5</v>
      </c>
      <c r="E62" t="n">
        <v>85</v>
      </c>
    </row>
    <row r="63">
      <c r="A63" t="s">
        <v>231</v>
      </c>
      <c r="B63" t="n">
        <v>-1.5</v>
      </c>
      <c r="C63" t="n">
        <v>165</v>
      </c>
      <c r="D63" t="n">
        <v>-0.5</v>
      </c>
      <c r="E63" t="n">
        <v>179</v>
      </c>
    </row>
    <row r="64">
      <c r="A64" t="s">
        <v>231</v>
      </c>
      <c r="B64" t="n">
        <v>-1.25</v>
      </c>
      <c r="C64" t="n">
        <v>102</v>
      </c>
      <c r="D64" t="n">
        <v>-0.5</v>
      </c>
      <c r="E64" t="n">
        <v>100</v>
      </c>
    </row>
    <row r="65">
      <c r="A65" t="s">
        <v>230</v>
      </c>
      <c r="B65" t="n">
        <v>-0.5</v>
      </c>
      <c r="C65" t="n">
        <v>18</v>
      </c>
      <c r="D65" t="n">
        <v>-0.25</v>
      </c>
      <c r="E65" t="n">
        <v>166</v>
      </c>
    </row>
    <row r="66">
      <c r="A66" t="s">
        <v>231</v>
      </c>
      <c r="B66" t="n">
        <v>-1</v>
      </c>
      <c r="C66" t="n">
        <v>176</v>
      </c>
      <c r="D66" t="n">
        <v>-0.25</v>
      </c>
      <c r="E66" t="n">
        <v>21</v>
      </c>
    </row>
    <row r="67">
      <c r="A67" t="s">
        <v>230</v>
      </c>
      <c r="B67" t="n">
        <v>-0.5</v>
      </c>
      <c r="C67" t="n">
        <v>167</v>
      </c>
      <c r="D67" t="n">
        <v>0</v>
      </c>
      <c r="E67" t="n">
        <v>64</v>
      </c>
    </row>
    <row r="68">
      <c r="A68" t="s">
        <v>230</v>
      </c>
      <c r="B68" t="n">
        <v>0</v>
      </c>
      <c r="C68" t="n">
        <v>178</v>
      </c>
      <c r="D68" t="n">
        <v>-0.25</v>
      </c>
      <c r="E68" t="n">
        <v>41</v>
      </c>
    </row>
    <row r="69">
      <c r="A69" t="s">
        <v>231</v>
      </c>
      <c r="B69" t="n">
        <v>-1</v>
      </c>
      <c r="C69" t="n">
        <v>18</v>
      </c>
      <c r="D69" t="n">
        <v>-0.25</v>
      </c>
      <c r="E69" t="n">
        <v>174</v>
      </c>
    </row>
    <row r="70">
      <c r="A70" t="s">
        <v>230</v>
      </c>
      <c r="B70" t="n">
        <v>-1</v>
      </c>
      <c r="C70" t="n">
        <v>161</v>
      </c>
      <c r="D70" t="n">
        <v>-0.25</v>
      </c>
      <c r="E70" t="n">
        <v>100</v>
      </c>
    </row>
    <row r="71">
      <c r="A71" t="s">
        <v>231</v>
      </c>
      <c r="B71" t="n">
        <v>-2.75</v>
      </c>
      <c r="C71" t="n">
        <v>20</v>
      </c>
      <c r="D71" t="n">
        <v>0</v>
      </c>
      <c r="E71" t="n">
        <v>26</v>
      </c>
    </row>
    <row r="72">
      <c r="A72" t="s">
        <v>230</v>
      </c>
      <c r="B72" t="n">
        <v>-0.5</v>
      </c>
      <c r="C72" t="n">
        <v>12</v>
      </c>
      <c r="D72" t="n">
        <v>-0.25</v>
      </c>
      <c r="E72" t="n">
        <v>54</v>
      </c>
    </row>
    <row r="73">
      <c r="A73" t="s">
        <v>231</v>
      </c>
      <c r="B73" t="n">
        <v>-0.25</v>
      </c>
      <c r="C73" t="n">
        <v>37</v>
      </c>
      <c r="D73" t="n">
        <v>-0.25</v>
      </c>
      <c r="E73" t="n">
        <v>48</v>
      </c>
    </row>
    <row r="74">
      <c r="A74" t="s">
        <v>230</v>
      </c>
      <c r="B74" t="n">
        <v>-1</v>
      </c>
      <c r="C74" t="n">
        <v>12</v>
      </c>
      <c r="D74" t="n">
        <v>-0.25</v>
      </c>
      <c r="E74" t="n">
        <v>32</v>
      </c>
    </row>
    <row r="75">
      <c r="A75" t="s">
        <v>230</v>
      </c>
      <c r="B75" t="n">
        <v>-0.75</v>
      </c>
      <c r="C75" t="n">
        <v>180</v>
      </c>
      <c r="D75" t="n">
        <v>-0.5</v>
      </c>
      <c r="E75" t="n">
        <v>167</v>
      </c>
    </row>
    <row r="76">
      <c r="A76" t="s">
        <v>231</v>
      </c>
      <c r="B76" t="n">
        <v>-0.5</v>
      </c>
      <c r="C76" t="n">
        <v>103</v>
      </c>
      <c r="D76" t="n">
        <v>-0.25</v>
      </c>
      <c r="E76" t="n">
        <v>89</v>
      </c>
    </row>
    <row r="77">
      <c r="A77" t="s">
        <v>230</v>
      </c>
      <c r="B77" t="n">
        <v>-0.25</v>
      </c>
      <c r="C77" t="n">
        <v>78</v>
      </c>
      <c r="D77" t="n">
        <v>-0.25</v>
      </c>
      <c r="E77" t="n">
        <v>78</v>
      </c>
    </row>
    <row r="78">
      <c r="A78" t="s">
        <v>231</v>
      </c>
      <c r="B78" t="n">
        <v>-0.5</v>
      </c>
      <c r="C78" t="n">
        <v>12</v>
      </c>
      <c r="D78" t="n">
        <v>-0.25</v>
      </c>
      <c r="E78" t="n">
        <v>5</v>
      </c>
    </row>
    <row r="79">
      <c r="A79" t="s">
        <v>230</v>
      </c>
      <c r="B79" t="n">
        <v>-0.25</v>
      </c>
      <c r="C79" t="n">
        <v>21</v>
      </c>
      <c r="D79" t="n">
        <v>-0.25</v>
      </c>
      <c r="E79" t="n">
        <v>35</v>
      </c>
    </row>
    <row r="80">
      <c r="A80" t="s">
        <v>231</v>
      </c>
      <c r="B80" t="n">
        <v>-0.25</v>
      </c>
      <c r="C80" t="n">
        <v>169</v>
      </c>
      <c r="D80" t="n">
        <v>0</v>
      </c>
      <c r="E80" t="n">
        <v>82</v>
      </c>
    </row>
    <row r="81">
      <c r="A81" t="s">
        <v>230</v>
      </c>
      <c r="B81" t="n">
        <v>-0.25</v>
      </c>
      <c r="C81" t="n">
        <v>12</v>
      </c>
      <c r="D81" t="n">
        <v>-0.25</v>
      </c>
      <c r="E81" t="n">
        <v>3</v>
      </c>
    </row>
    <row r="82">
      <c r="A82" t="s">
        <v>231</v>
      </c>
      <c r="B82" t="n">
        <v>-0.75</v>
      </c>
      <c r="C82" t="n">
        <v>77</v>
      </c>
      <c r="D82" t="n">
        <v>-0.25</v>
      </c>
      <c r="E82" t="n">
        <v>117</v>
      </c>
    </row>
    <row r="83">
      <c r="A83" t="s">
        <v>230</v>
      </c>
      <c r="B83" t="n">
        <v>-0.75</v>
      </c>
      <c r="C83" t="n">
        <v>7</v>
      </c>
      <c r="D83" t="n">
        <v>0</v>
      </c>
      <c r="E83" t="n">
        <v>13</v>
      </c>
    </row>
    <row r="84">
      <c r="A84" t="s">
        <v>231</v>
      </c>
      <c r="B84" t="n">
        <v>-0.5</v>
      </c>
      <c r="C84" t="n">
        <v>12</v>
      </c>
      <c r="D84" t="n">
        <v>-0.25</v>
      </c>
      <c r="E84" t="n">
        <v>17</v>
      </c>
    </row>
    <row r="85">
      <c r="A85" t="s">
        <v>230</v>
      </c>
      <c r="B85" t="n">
        <v>-0.5</v>
      </c>
      <c r="C85" t="n">
        <v>156</v>
      </c>
      <c r="D85" t="n">
        <v>-0.5</v>
      </c>
      <c r="E85" t="n">
        <v>1</v>
      </c>
    </row>
    <row r="86">
      <c r="A86" t="s">
        <v>231</v>
      </c>
      <c r="B86" t="n">
        <v>-0.5</v>
      </c>
      <c r="C86" t="n">
        <v>174</v>
      </c>
      <c r="D86" t="n">
        <v>-0.25</v>
      </c>
      <c r="E86" t="n">
        <v>9</v>
      </c>
    </row>
    <row r="87">
      <c r="A87" t="s">
        <v>230</v>
      </c>
      <c r="B87" t="n">
        <v>-1</v>
      </c>
      <c r="C87" t="n">
        <v>59</v>
      </c>
      <c r="D87" t="n">
        <v>-0.5</v>
      </c>
      <c r="E87" t="n">
        <v>84</v>
      </c>
    </row>
    <row r="88">
      <c r="A88" t="s">
        <v>231</v>
      </c>
      <c r="B88" t="n">
        <v>-0.5</v>
      </c>
      <c r="C88" t="n">
        <v>76</v>
      </c>
      <c r="D88" t="n">
        <v>-0.25</v>
      </c>
      <c r="E88" t="n">
        <v>50</v>
      </c>
    </row>
    <row r="89">
      <c r="A89" t="s">
        <v>230</v>
      </c>
      <c r="B89" t="n">
        <v>0</v>
      </c>
      <c r="C89" t="n">
        <v>179</v>
      </c>
      <c r="D89" t="n">
        <v>0</v>
      </c>
      <c r="E89" t="n">
        <v>20</v>
      </c>
    </row>
    <row r="90">
      <c r="A90" t="s">
        <v>231</v>
      </c>
      <c r="B90" t="n">
        <v>-0.25</v>
      </c>
      <c r="C90" t="n">
        <v>100</v>
      </c>
      <c r="D90" t="n">
        <v>-0.25</v>
      </c>
      <c r="E90" t="n">
        <v>102</v>
      </c>
    </row>
    <row r="91">
      <c r="A91" t="s">
        <v>230</v>
      </c>
      <c r="B91" t="n">
        <v>-0.75</v>
      </c>
      <c r="C91" t="n">
        <v>172</v>
      </c>
      <c r="D91" t="n">
        <v>-0.25</v>
      </c>
      <c r="E91" t="n">
        <v>159</v>
      </c>
    </row>
    <row r="92">
      <c r="A92" t="s">
        <v>231</v>
      </c>
      <c r="B92" t="n">
        <v>-0.5</v>
      </c>
      <c r="C92" t="n">
        <v>1</v>
      </c>
      <c r="D92" t="n">
        <v>-0.25</v>
      </c>
      <c r="E92" t="n">
        <v>148</v>
      </c>
    </row>
    <row r="93">
      <c r="A93" t="s">
        <v>231</v>
      </c>
      <c r="B93" t="n">
        <v>0</v>
      </c>
      <c r="C93" t="n">
        <v>22</v>
      </c>
      <c r="D93" t="n">
        <v>-0.25</v>
      </c>
      <c r="E93" t="n">
        <v>97</v>
      </c>
    </row>
    <row r="94">
      <c r="A94" t="s">
        <v>230</v>
      </c>
      <c r="B94" t="n">
        <v>0</v>
      </c>
      <c r="C94" t="n">
        <v>87</v>
      </c>
      <c r="D94" t="n">
        <v>-0.25</v>
      </c>
      <c r="E94" t="n">
        <v>160</v>
      </c>
    </row>
    <row r="95">
      <c r="A95" t="s">
        <v>230</v>
      </c>
      <c r="B95" t="n">
        <v>-0.25</v>
      </c>
      <c r="C95" t="n">
        <v>177</v>
      </c>
      <c r="D95" t="n">
        <v>-0.25</v>
      </c>
      <c r="E95" t="n">
        <v>161</v>
      </c>
    </row>
    <row r="96">
      <c r="A96" t="s">
        <v>231</v>
      </c>
      <c r="B96" t="n">
        <v>0</v>
      </c>
      <c r="C96" t="n">
        <v>92</v>
      </c>
      <c r="D96" t="n">
        <v>0</v>
      </c>
      <c r="E96" t="n">
        <v>108</v>
      </c>
    </row>
    <row r="97">
      <c r="A97" t="s">
        <v>230</v>
      </c>
      <c r="B97" t="n">
        <v>-0.25</v>
      </c>
      <c r="C97" t="n">
        <v>84</v>
      </c>
      <c r="D97" t="n">
        <v>0</v>
      </c>
      <c r="E97" t="n">
        <v>66</v>
      </c>
    </row>
    <row r="98">
      <c r="A98" t="s">
        <v>230</v>
      </c>
      <c r="B98" t="n">
        <v>-2</v>
      </c>
      <c r="C98" t="n">
        <v>39</v>
      </c>
      <c r="D98" t="n">
        <v>-0.25</v>
      </c>
      <c r="E98" t="n">
        <v>32</v>
      </c>
    </row>
    <row r="99">
      <c r="A99" t="s">
        <v>231</v>
      </c>
      <c r="B99" t="n">
        <v>-1.25</v>
      </c>
      <c r="C99" t="n">
        <v>33</v>
      </c>
      <c r="D99" t="n">
        <v>0</v>
      </c>
      <c r="E99" t="n">
        <v>20</v>
      </c>
    </row>
    <row r="100">
      <c r="A100" t="s">
        <v>230</v>
      </c>
      <c r="B100" t="n">
        <v>-0.75</v>
      </c>
      <c r="C100" t="n">
        <v>171</v>
      </c>
      <c r="D100" t="n">
        <v>0</v>
      </c>
      <c r="E100" t="n">
        <v>11</v>
      </c>
    </row>
    <row r="101">
      <c r="A101" t="s">
        <v>230</v>
      </c>
      <c r="B101" t="n">
        <v>-0.5</v>
      </c>
      <c r="C101" t="n">
        <v>77</v>
      </c>
      <c r="D101" t="n">
        <v>-0.25</v>
      </c>
      <c r="E101" t="n">
        <v>67</v>
      </c>
    </row>
    <row r="102">
      <c r="A102" t="s">
        <v>231</v>
      </c>
      <c r="B102" t="n">
        <v>-0.25</v>
      </c>
      <c r="C102" t="n">
        <v>140</v>
      </c>
      <c r="D102" t="n">
        <v>-0.25</v>
      </c>
      <c r="E102" t="n">
        <v>142</v>
      </c>
    </row>
    <row r="103">
      <c r="A103" t="s">
        <v>230</v>
      </c>
      <c r="B103" t="n">
        <v>-0.5</v>
      </c>
      <c r="C103" t="n">
        <v>170</v>
      </c>
      <c r="D103" t="n">
        <v>-0.25</v>
      </c>
      <c r="E103" t="n">
        <v>172</v>
      </c>
    </row>
    <row r="104">
      <c r="A104" t="s">
        <v>231</v>
      </c>
      <c r="B104" t="n">
        <v>-1</v>
      </c>
      <c r="C104" t="n">
        <v>56</v>
      </c>
      <c r="D104" t="n">
        <v>0</v>
      </c>
      <c r="E104" t="n">
        <v>53</v>
      </c>
    </row>
    <row r="105">
      <c r="A105" t="s">
        <v>230</v>
      </c>
      <c r="B105" t="n">
        <v>-0.5</v>
      </c>
      <c r="C105" t="n">
        <v>103</v>
      </c>
      <c r="D105" t="n">
        <v>0</v>
      </c>
      <c r="E105" t="n">
        <v>27</v>
      </c>
    </row>
    <row r="106">
      <c r="A106" t="s">
        <v>231</v>
      </c>
      <c r="B106" t="n">
        <v>-1</v>
      </c>
      <c r="C106" t="n">
        <v>101</v>
      </c>
      <c r="D106" t="n">
        <v>0</v>
      </c>
      <c r="E106" t="n">
        <v>32</v>
      </c>
    </row>
    <row r="107">
      <c r="A107" t="s">
        <v>231</v>
      </c>
      <c r="B107" t="n">
        <v>0</v>
      </c>
      <c r="C107" t="n">
        <v>155</v>
      </c>
      <c r="D107" t="n">
        <v>-0.25</v>
      </c>
      <c r="E107" t="n">
        <v>161</v>
      </c>
    </row>
    <row r="108">
      <c r="A108" t="s">
        <v>231</v>
      </c>
      <c r="B108" t="n">
        <v>-2</v>
      </c>
      <c r="C108" t="n">
        <v>170</v>
      </c>
      <c r="D108" t="n">
        <v>0</v>
      </c>
      <c r="E108" t="n">
        <v>164</v>
      </c>
    </row>
    <row r="109">
      <c r="A109" t="s">
        <v>230</v>
      </c>
      <c r="B109" t="n">
        <v>-0.5</v>
      </c>
      <c r="C109" t="n">
        <v>103</v>
      </c>
      <c r="D109" t="n">
        <v>-0.25</v>
      </c>
      <c r="E109" t="n">
        <v>103</v>
      </c>
    </row>
    <row r="110">
      <c r="A110" t="s">
        <v>231</v>
      </c>
      <c r="B110" t="n">
        <v>-0.75</v>
      </c>
      <c r="C110" t="n">
        <v>97</v>
      </c>
      <c r="D110" t="n">
        <v>0</v>
      </c>
      <c r="E110" t="n">
        <v>71</v>
      </c>
    </row>
    <row r="111">
      <c r="A111" t="s">
        <v>230</v>
      </c>
      <c r="B111" t="n">
        <v>-1.75</v>
      </c>
      <c r="C111" t="n">
        <v>178</v>
      </c>
      <c r="D111" t="n">
        <v>-0.25</v>
      </c>
      <c r="E111" t="n">
        <v>147</v>
      </c>
    </row>
    <row r="112">
      <c r="A112" t="s">
        <v>231</v>
      </c>
      <c r="B112" t="n">
        <v>-1</v>
      </c>
      <c r="C112" t="n">
        <v>162</v>
      </c>
      <c r="D112" t="n">
        <v>-0.5</v>
      </c>
      <c r="E112" t="n">
        <v>12</v>
      </c>
    </row>
    <row r="113">
      <c r="A113" t="s">
        <v>230</v>
      </c>
      <c r="B113" t="n">
        <v>-0.75</v>
      </c>
      <c r="C113" t="n">
        <v>172</v>
      </c>
      <c r="D113" t="n">
        <v>-0.25</v>
      </c>
      <c r="E113" t="n">
        <v>168</v>
      </c>
    </row>
    <row r="114">
      <c r="A114" t="s">
        <v>230</v>
      </c>
      <c r="B114" t="n">
        <v>0</v>
      </c>
      <c r="C114" t="n">
        <v>10</v>
      </c>
      <c r="D114" t="n">
        <v>0</v>
      </c>
      <c r="E114" t="n">
        <v>141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80.71" hidden="0" customWidth="1"/>
  </cols>
  <sheetData>
    <row r="1">
      <c r="A1" t="s">
        <v>232</v>
      </c>
      <c r="B1" t="s">
        <v>5</v>
      </c>
    </row>
    <row r="2">
      <c r="A2" t="s">
        <v>233</v>
      </c>
      <c r="B2" t="s">
        <v>234</v>
      </c>
    </row>
    <row r="3">
      <c r="A3" t="s">
        <v>235</v>
      </c>
      <c r="B3" t="s">
        <v>234</v>
      </c>
    </row>
    <row r="4">
      <c r="A4" t="s">
        <v>236</v>
      </c>
      <c r="B4" t="s">
        <v>237</v>
      </c>
    </row>
    <row r="5">
      <c r="A5" t="s">
        <v>238</v>
      </c>
      <c r="B5" t="s">
        <v>239</v>
      </c>
    </row>
    <row r="6">
      <c r="A6" t="s">
        <v>240</v>
      </c>
      <c r="B6" t="s">
        <v>241</v>
      </c>
    </row>
    <row r="7">
      <c r="A7" t="s">
        <v>242</v>
      </c>
      <c r="B7" t="s">
        <v>243</v>
      </c>
    </row>
    <row r="8">
      <c r="A8" t="s">
        <v>244</v>
      </c>
      <c r="B8" t="s">
        <v>245</v>
      </c>
    </row>
    <row r="9">
      <c r="A9" t="s">
        <v>246</v>
      </c>
      <c r="B9" t="s">
        <v>247</v>
      </c>
    </row>
    <row r="10">
      <c r="A10" t="s">
        <v>248</v>
      </c>
      <c r="B10" t="s">
        <v>249</v>
      </c>
    </row>
    <row r="11">
      <c r="A11" t="s">
        <v>250</v>
      </c>
      <c r="B11" t="s">
        <v>251</v>
      </c>
    </row>
    <row r="12">
      <c r="A12" t="s">
        <v>252</v>
      </c>
      <c r="B12" t="s">
        <v>253</v>
      </c>
    </row>
    <row r="13">
      <c r="A13" t="s">
        <v>254</v>
      </c>
      <c r="B13" t="s">
        <v>255</v>
      </c>
    </row>
    <row r="14">
      <c r="A14" t="s">
        <v>256</v>
      </c>
      <c r="B14" t="s">
        <v>257</v>
      </c>
    </row>
    <row r="15">
      <c r="A15" t="s">
        <v>258</v>
      </c>
      <c r="B15" t="s">
        <v>9</v>
      </c>
    </row>
    <row r="16">
      <c r="A16" t="s">
        <v>259</v>
      </c>
      <c r="B16" t="s">
        <v>260</v>
      </c>
    </row>
    <row r="17">
      <c r="A17" t="s">
        <v>28</v>
      </c>
      <c r="B17" t="s">
        <v>261</v>
      </c>
    </row>
    <row r="18">
      <c r="A18" t="s">
        <v>262</v>
      </c>
      <c r="B18" t="s">
        <v>30</v>
      </c>
    </row>
    <row r="19">
      <c r="A19" t="s">
        <v>263</v>
      </c>
      <c r="B19" t="s">
        <v>264</v>
      </c>
    </row>
    <row r="20">
      <c r="A20" t="s">
        <v>265</v>
      </c>
      <c r="B20" t="s">
        <v>266</v>
      </c>
    </row>
    <row r="21">
      <c r="A21" t="s">
        <v>267</v>
      </c>
      <c r="B21" t="s">
        <v>268</v>
      </c>
    </row>
    <row r="22">
      <c r="A22" t="s">
        <v>269</v>
      </c>
      <c r="B22" t="s">
        <v>270</v>
      </c>
    </row>
    <row r="23">
      <c r="A23" t="s">
        <v>271</v>
      </c>
      <c r="B23" t="s">
        <v>272</v>
      </c>
    </row>
    <row r="24">
      <c r="A24" t="s">
        <v>273</v>
      </c>
      <c r="B24" t="s">
        <v>270</v>
      </c>
    </row>
    <row r="25">
      <c r="A25" t="s">
        <v>274</v>
      </c>
      <c r="B25" t="s">
        <v>270</v>
      </c>
    </row>
    <row r="26">
      <c r="A26" t="s">
        <v>275</v>
      </c>
      <c r="B26" t="s">
        <v>270</v>
      </c>
    </row>
    <row r="27">
      <c r="A27" t="s">
        <v>276</v>
      </c>
      <c r="B27" t="s">
        <v>277</v>
      </c>
    </row>
    <row r="28">
      <c r="A28" t="s">
        <v>278</v>
      </c>
      <c r="B28" t="s">
        <v>279</v>
      </c>
    </row>
    <row r="29">
      <c r="A29" t="s">
        <v>280</v>
      </c>
      <c r="B29" t="s">
        <v>281</v>
      </c>
    </row>
    <row r="30">
      <c r="A30" t="s">
        <v>282</v>
      </c>
      <c r="B30" t="s">
        <v>283</v>
      </c>
    </row>
    <row r="31">
      <c r="A31" t="s">
        <v>284</v>
      </c>
      <c r="B31" t="s">
        <v>285</v>
      </c>
    </row>
    <row r="32">
      <c r="A32" t="s">
        <v>286</v>
      </c>
      <c r="B32" t="s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44.71" hidden="0" customWidth="1"/>
    <col min="3" max="3" width="90.71" hidden="0" customWidth="1"/>
  </cols>
  <sheetData>
    <row r="1">
      <c r="A1" t="s">
        <v>252</v>
      </c>
      <c r="B1" t="s">
        <v>288</v>
      </c>
      <c r="C1" t="s">
        <v>4</v>
      </c>
    </row>
    <row r="2">
      <c r="A2" s="9" t="str">
        <f>HYPERLINK("#'Manifest'!A1", "Manifest")</f>
      </c>
      <c r="B2" t="s">
        <v>289</v>
      </c>
      <c r="C2" t="s">
        <v>290</v>
      </c>
    </row>
    <row r="3">
      <c r="A3" s="9" t="str">
        <f>HYPERLINK("#'Overview'!A1", "Overview")</f>
      </c>
      <c r="B3" t="s">
        <v>291</v>
      </c>
      <c r="C3" t="s">
        <v>292</v>
      </c>
    </row>
    <row r="4">
      <c r="A4" s="9" t="str">
        <f>HYPERLINK("#'Baseline &amp; Preop Summary'!A1", "Baseline &amp; Preop Summary")</f>
      </c>
      <c r="B4" t="s">
        <v>293</v>
      </c>
      <c r="C4" t="s">
        <v>294</v>
      </c>
    </row>
    <row r="5">
      <c r="A5" s="9" t="str">
        <f>HYPERLINK("#'Outcome Summary'!A1", "Outcome Summary")</f>
      </c>
      <c r="B5" t="s">
        <v>295</v>
      </c>
      <c r="C5" t="s">
        <v>296</v>
      </c>
    </row>
    <row r="6">
      <c r="A6" s="9" t="str">
        <f>HYPERLINK("#'Publication Table'!A1", "Publication Table")</f>
      </c>
      <c r="B6" t="s">
        <v>297</v>
      </c>
      <c r="C6" t="s">
        <v>298</v>
      </c>
    </row>
    <row r="7">
      <c r="A7" s="9" t="str">
        <f>HYPERLINK("#'mEYEstro_Control'!A1", "mEYEstro_Control")</f>
      </c>
      <c r="B7" t="s">
        <v>299</v>
      </c>
      <c r="C7" t="s">
        <v>300</v>
      </c>
    </row>
    <row r="8">
      <c r="A8" s="9" t="str">
        <f>HYPERLINK("#'mEYEstro_Diabetes'!A1", "mEYEstro_Diabetes")</f>
      </c>
      <c r="B8" t="s">
        <v>301</v>
      </c>
      <c r="C8" t="s">
        <v>300</v>
      </c>
    </row>
    <row r="9">
      <c r="A9" s="9" t="str">
        <f>HYPERLINK("#'AstigMATIC_Control'!A1", "AstigMATIC_Control")</f>
      </c>
      <c r="B9" t="s">
        <v>302</v>
      </c>
      <c r="C9" t="s">
        <v>303</v>
      </c>
    </row>
    <row r="10">
      <c r="A10" s="9" t="str">
        <f>HYPERLINK("#'AstigMATIC_Diabetes'!A1", "AstigMATIC_Diabetes")</f>
      </c>
      <c r="B10" t="s">
        <v>304</v>
      </c>
      <c r="C10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dror</dc:creator>
  <cp:lastModifiedBy>dror</cp:lastModifiedBy>
  <dcterms:created xsi:type="dcterms:W3CDTF">2026-10-02T19:39:50Z</dcterms:created>
</coreProperties>
</file>