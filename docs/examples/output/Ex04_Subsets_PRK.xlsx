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5.xml" ContentType="application/vnd.openxmlformats-officedocument.spreadsheetml.table+xml"/>
  <Override PartName="/xl/worksheets/sheet26.xml" ContentType="application/vnd.openxmlformats-officedocument.spreadsheetml.worksheet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28" state="visible" r:id="rId28"/>
    <sheet name="Manifest" sheetId="27" state="visible" r:id="rId27"/>
    <sheet name="Overview" sheetId="1" state="visible" r:id="rId1"/>
    <sheet name="Baseline &amp; Preop Summary" sheetId="2" state="visible" r:id="rId2"/>
    <sheet name="Outcome Summary" sheetId="3" state="visible" r:id="rId3"/>
    <sheet name="Publication Table" sheetId="4" state="visible" r:id="rId4"/>
    <sheet name="mEYEstro_Control" sheetId="5" state="visible" r:id="rId5"/>
    <sheet name="mEYEstro_Diabetes" sheetId="6" state="visible" r:id="rId6"/>
    <sheet name="AstigMATIC_Control" sheetId="7" state="visible" r:id="rId7"/>
    <sheet name="AstigMATIC_Diabetes" sheetId="8" state="visible" r:id="rId8"/>
    <sheet name="GEE_Main_Unmatched_Base" sheetId="9" state="visible" r:id="rId9"/>
    <sheet name="GEE_Main_Unmatched_Preop" sheetId="10" state="visible" r:id="rId10"/>
    <sheet name="GEE_Main_Unmatched_Out" sheetId="11" state="visible" r:id="rId11"/>
    <sheet name="GEE_Adj_Unmatched_Base" sheetId="12" state="visible" r:id="rId12"/>
    <sheet name="GEE_Adj_Unmatched_Preop" sheetId="13" state="visible" r:id="rId13"/>
    <sheet name="GEE_Adj_Unmatched_Out" sheetId="14" state="visible" r:id="rId14"/>
    <sheet name="Regression (adjusted)" sheetId="15" state="visible" r:id="rId15"/>
    <sheet name="PSM_Diabetes_vs_Control" sheetId="16" state="visible" r:id="rId16"/>
    <sheet name="GEE_M_Diabetes_vs_Control" sheetId="17" state="visible" r:id="rId17"/>
    <sheet name="GEE_Adj_M_Diabetes_vs_Control" sheetId="18" state="visible" r:id="rId18"/>
    <sheet name="Reg_M_Diabetes_vs_Control" sheetId="19" state="visible" r:id="rId19"/>
    <sheet name="BasePreop_M_Diabetes_vs_Control" sheetId="20" state="visible" r:id="rId20"/>
    <sheet name="Out_M_Diabetes_vs_Control" sheetId="21" state="visible" r:id="rId21"/>
    <sheet name="Pub_M_Diabetes_vs_Control" sheetId="22" state="visible" r:id="rId22"/>
    <sheet name="mEYEstro_M_Control_Diabetes_vs_" sheetId="23" state="visible" r:id="rId23"/>
    <sheet name="mEYEstro_M_Diabetes_Diabetes_vs" sheetId="24" state="visible" r:id="rId24"/>
    <sheet name="AstigMATIC_M_Control_Diabetes_v" sheetId="25" state="visible" r:id="rId25"/>
    <sheet name="AstigMATIC_M_Diabetes_Diabetes_" sheetId="26" state="visible" r:id="rId26"/>
  </sheets>
</workbook>
</file>

<file path=xl/sharedStrings.xml><?xml version="1.0" encoding="utf-8"?>
<sst xmlns="http://schemas.openxmlformats.org/spreadsheetml/2006/main" count="929" uniqueCount="929">
  <si>
    <t xml:space="preserve">Notes</t>
  </si>
  <si>
    <t xml:space="preserve">Note</t>
  </si>
  <si>
    <t xml:space="preserve">Visual acuity analysed in logMAR (lower = better): Preop_UDVA, Preop_CDVA, Postop_UDVA, Postop_CDVA - converted from the recorded notation.</t>
  </si>
  <si>
    <t xml:space="preserve">Initial Summary</t>
  </si>
  <si>
    <t xml:space="preserve">Description</t>
  </si>
  <si>
    <t xml:space="preserve">Value</t>
  </si>
  <si>
    <t xml:space="preserve">Number of Patients</t>
  </si>
  <si>
    <t xml:space="preserve">101</t>
  </si>
  <si>
    <t xml:space="preserve">Number of Eyes</t>
  </si>
  <si>
    <t xml:space="preserve">150</t>
  </si>
  <si>
    <t xml:space="preserve">Mean Age (per patient)</t>
  </si>
  <si>
    <t xml:space="preserve">33.32</t>
  </si>
  <si>
    <t xml:space="preserve">SD Age (per patient)</t>
  </si>
  <si>
    <t xml:space="preserve">7.49</t>
  </si>
  <si>
    <t xml:space="preserve">Age Range (per patient)</t>
  </si>
  <si>
    <t xml:space="preserve">18 - 54</t>
  </si>
  <si>
    <t xml:space="preserve">Mean Follow-up Time (per eye)</t>
  </si>
  <si>
    <t xml:space="preserve">186.41</t>
  </si>
  <si>
    <t xml:space="preserve">SD Follow-up Time (per eye)</t>
  </si>
  <si>
    <t xml:space="preserve">87.46</t>
  </si>
  <si>
    <t xml:space="preserve">Median Follow-up Time [IQR] (per eye)</t>
  </si>
  <si>
    <t xml:space="preserve">171 [116–263.75]</t>
  </si>
  <si>
    <t xml:space="preserve">Sex (per patient)</t>
  </si>
  <si>
    <t xml:space="preserve">Sex</t>
  </si>
  <si>
    <t xml:space="preserve">Count</t>
  </si>
  <si>
    <t xml:space="preserve">Percentage</t>
  </si>
  <si>
    <t xml:space="preserve">F</t>
  </si>
  <si>
    <t xml:space="preserve">M</t>
  </si>
  <si>
    <t xml:space="preserve">Groups</t>
  </si>
  <si>
    <t xml:space="preserve">GroupLabel</t>
  </si>
  <si>
    <t xml:space="preserve">Control</t>
  </si>
  <si>
    <t xml:space="preserve">Diabetes</t>
  </si>
  <si>
    <t xml:space="preserve">QC - group assignment by source value</t>
  </si>
  <si>
    <t xml:space="preserve">Group_Source_Value</t>
  </si>
  <si>
    <t xml:space="preserve">N</t>
  </si>
  <si>
    <t xml:space="preserve">Baseline</t>
  </si>
  <si>
    <t xml:space="preserve">Parameter</t>
  </si>
  <si>
    <t xml:space="preserve">Control (n = 108 eyes; 73 patients)</t>
  </si>
  <si>
    <t xml:space="preserve">Diabetes (n = 42 eyes; 28 patients)</t>
  </si>
  <si>
    <t xml:space="preserve">p_value</t>
  </si>
  <si>
    <t xml:space="preserve">Test</t>
  </si>
  <si>
    <t xml:space="preserve">Practical Interpretation</t>
  </si>
  <si>
    <t xml:space="preserve">GEE effect (95% CI)</t>
  </si>
  <si>
    <t xml:space="preserve">GEE p value</t>
  </si>
  <si>
    <t xml:space="preserve">Age_Years [per patient]</t>
  </si>
  <si>
    <t xml:space="preserve">30.84 ± 6.17</t>
  </si>
  <si>
    <t xml:space="preserve">39.79 ± 6.78</t>
  </si>
  <si>
    <t xml:space="preserve">&lt;0.001</t>
  </si>
  <si>
    <t xml:space="preserve">Welch t-test</t>
  </si>
  <si>
    <t xml:space="preserve">Significant difference between groups.</t>
  </si>
  <si>
    <t xml:space="preserve">β = 8.924 [6.085, 11.762]</t>
  </si>
  <si>
    <t xml:space="preserve">Preop_SEQ_D</t>
  </si>
  <si>
    <t xml:space="preserve">-4.29 ± 1.81</t>
  </si>
  <si>
    <t xml:space="preserve">-4.44 ± 2.03</t>
  </si>
  <si>
    <t xml:space="preserve">0.683</t>
  </si>
  <si>
    <t xml:space="preserve">No significant difference between groups.</t>
  </si>
  <si>
    <t xml:space="preserve">β = -0.133 [-0.839, 0.572]</t>
  </si>
  <si>
    <t xml:space="preserve">0.711</t>
  </si>
  <si>
    <t xml:space="preserve">Preop_Sphere_D</t>
  </si>
  <si>
    <t xml:space="preserve">-3.98 ± 1.83</t>
  </si>
  <si>
    <t xml:space="preserve">-4.05 ± 2.08</t>
  </si>
  <si>
    <t xml:space="preserve">0.862</t>
  </si>
  <si>
    <t xml:space="preserve">β = -0.041 [-0.759, 0.677]</t>
  </si>
  <si>
    <t xml:space="preserve">0.911</t>
  </si>
  <si>
    <t xml:space="preserve">Preop_Cylinder_D</t>
  </si>
  <si>
    <t xml:space="preserve">-0.64 ± 0.55</t>
  </si>
  <si>
    <t xml:space="preserve">-0.74 ± 0.62</t>
  </si>
  <si>
    <t xml:space="preserve">0.353</t>
  </si>
  <si>
    <t xml:space="preserve">β = -0.092 [-0.299, 0.114]</t>
  </si>
  <si>
    <t xml:space="preserve">0.382</t>
  </si>
  <si>
    <t xml:space="preserve">Preop_UDVA</t>
  </si>
  <si>
    <t xml:space="preserve">1.09 ± 0.22</t>
  </si>
  <si>
    <t xml:space="preserve">1.12 ± 0.24</t>
  </si>
  <si>
    <t xml:space="preserve">0.548</t>
  </si>
  <si>
    <t xml:space="preserve">β = 0.025 [-0.055, 0.104]</t>
  </si>
  <si>
    <t xml:space="preserve">0.544</t>
  </si>
  <si>
    <t xml:space="preserve">Preop_CDVA</t>
  </si>
  <si>
    <t xml:space="preserve">-0.01 ± 0.03</t>
  </si>
  <si>
    <t xml:space="preserve">0.174</t>
  </si>
  <si>
    <t xml:space="preserve">β = 0.008 [-0.003, 0.019]</t>
  </si>
  <si>
    <t xml:space="preserve">0.152</t>
  </si>
  <si>
    <t xml:space="preserve">Preop_Pachymetry_um</t>
  </si>
  <si>
    <t xml:space="preserve">549.36 ± 26.13 (n = 104)</t>
  </si>
  <si>
    <t xml:space="preserve">537.08 ± 20.72 (n = 39)</t>
  </si>
  <si>
    <t xml:space="preserve">0.004</t>
  </si>
  <si>
    <t xml:space="preserve">β = -11.808 [-20.118, -3.499]</t>
  </si>
  <si>
    <t xml:space="preserve">0.005</t>
  </si>
  <si>
    <t xml:space="preserve">Preop_Mean_K_D</t>
  </si>
  <si>
    <t xml:space="preserve">43.53 ± 1.38 (n = 106)</t>
  </si>
  <si>
    <t xml:space="preserve">43.55 ± 1.44 (n = 40)</t>
  </si>
  <si>
    <t xml:space="preserve">0.957</t>
  </si>
  <si>
    <t xml:space="preserve">β = 0.037 [-0.461, 0.535]</t>
  </si>
  <si>
    <t xml:space="preserve">0.884</t>
  </si>
  <si>
    <t xml:space="preserve">Preop_DryEye_Grade</t>
  </si>
  <si>
    <t xml:space="preserve">0 [0–1]</t>
  </si>
  <si>
    <t xml:space="preserve">1 [0–2]</t>
  </si>
  <si>
    <t xml:space="preserve">0.164</t>
  </si>
  <si>
    <t xml:space="preserve">Wilcoxon rank-sum test</t>
  </si>
  <si>
    <t xml:space="preserve"/>
  </si>
  <si>
    <t xml:space="preserve">Sex (F) [per patient]</t>
  </si>
  <si>
    <t xml:space="preserve">45/73 (61.6%)</t>
  </si>
  <si>
    <t xml:space="preserve">20/28 (71.4%)</t>
  </si>
  <si>
    <t xml:space="preserve">0.358</t>
  </si>
  <si>
    <t xml:space="preserve">Chi-squared test</t>
  </si>
  <si>
    <t xml:space="preserve">OR = 1.555 [0.604, 4.006]</t>
  </si>
  <si>
    <t xml:space="preserve">0.360</t>
  </si>
  <si>
    <t xml:space="preserve">Smoker (Yes) [per patient]</t>
  </si>
  <si>
    <t xml:space="preserve">17/73 (23.3%)</t>
  </si>
  <si>
    <t xml:space="preserve">3/28 (10.7%)</t>
  </si>
  <si>
    <t xml:space="preserve">0.156</t>
  </si>
  <si>
    <t xml:space="preserve">OR = 0.381 [0.102, 1.418]</t>
  </si>
  <si>
    <t xml:space="preserve">0.150</t>
  </si>
  <si>
    <t xml:space="preserve">Surgeon: Surgeon A</t>
  </si>
  <si>
    <t xml:space="preserve">51/108 (47.2%)</t>
  </si>
  <si>
    <t xml:space="preserve">13/42 (31%)</t>
  </si>
  <si>
    <t xml:space="preserve">0.194</t>
  </si>
  <si>
    <t xml:space="preserve">Surgeon: Surgeon B</t>
  </si>
  <si>
    <t xml:space="preserve">36/108 (33.3%)</t>
  </si>
  <si>
    <t xml:space="preserve">18/42 (42.9%)</t>
  </si>
  <si>
    <t xml:space="preserve">Surgeon: Surgeon C</t>
  </si>
  <si>
    <t xml:space="preserve">21/108 (19.4%)</t>
  </si>
  <si>
    <t xml:space="preserve">11/42 (26.2%)</t>
  </si>
  <si>
    <t xml:space="preserve">Preoperative / intraoperative</t>
  </si>
  <si>
    <t xml:space="preserve">Optical_Zone_mm</t>
  </si>
  <si>
    <t xml:space="preserve">6.52 ± 0.27</t>
  </si>
  <si>
    <t xml:space="preserve">6.54 ± 0.34</t>
  </si>
  <si>
    <t xml:space="preserve">0.724</t>
  </si>
  <si>
    <t xml:space="preserve">β = 0.025 [-0.075, 0.126]</t>
  </si>
  <si>
    <t xml:space="preserve">0.622</t>
  </si>
  <si>
    <t xml:space="preserve">Ablation_Depth_um</t>
  </si>
  <si>
    <t xml:space="preserve">65.59 ± 25.43</t>
  </si>
  <si>
    <t xml:space="preserve">67.98 ± 29.19</t>
  </si>
  <si>
    <t xml:space="preserve">0.643</t>
  </si>
  <si>
    <t xml:space="preserve">β = 2.399 [-7.581, 12.378]</t>
  </si>
  <si>
    <t xml:space="preserve">0.638</t>
  </si>
  <si>
    <t xml:space="preserve">Procedure: PRK</t>
  </si>
  <si>
    <t xml:space="preserve">108/108 (100%)</t>
  </si>
  <si>
    <t xml:space="preserve">42/42 (100%)</t>
  </si>
  <si>
    <t xml:space="preserve">Not applicable (variable constant in cohort)</t>
  </si>
  <si>
    <t xml:space="preserve">Not estimable - variable is constant in this cohort.</t>
  </si>
  <si>
    <t xml:space="preserve">Adjusted effect (95% CI)</t>
  </si>
  <si>
    <t xml:space="preserve">Adjusted P</t>
  </si>
  <si>
    <t xml:space="preserve">FollowUp_Days</t>
  </si>
  <si>
    <t xml:space="preserve">184.68 ± 90.18</t>
  </si>
  <si>
    <t xml:space="preserve">190.86 ± 80.9</t>
  </si>
  <si>
    <t xml:space="preserve">0.685</t>
  </si>
  <si>
    <t xml:space="preserve">β = 6.716 [-25.295, 38.728]</t>
  </si>
  <si>
    <t xml:space="preserve">0.681</t>
  </si>
  <si>
    <t xml:space="preserve">beta = 7.87 [-29.75, 45.49]</t>
  </si>
  <si>
    <t xml:space="preserve">0.682</t>
  </si>
  <si>
    <t xml:space="preserve">Postop_SEQ_D</t>
  </si>
  <si>
    <t xml:space="preserve">0.03 ± 0.32</t>
  </si>
  <si>
    <t xml:space="preserve">-0.23 ± 0.42</t>
  </si>
  <si>
    <t xml:space="preserve">β = -0.253 [-0.388, -0.119]</t>
  </si>
  <si>
    <t xml:space="preserve">beta = -0.26 [-0.41, -0.11]</t>
  </si>
  <si>
    <t xml:space="preserve">Postop_Cylinder_D</t>
  </si>
  <si>
    <t xml:space="preserve">-0.24 ± 0.17</t>
  </si>
  <si>
    <t xml:space="preserve">-0.17 ± 0.14</t>
  </si>
  <si>
    <t xml:space="preserve">0.017</t>
  </si>
  <si>
    <t xml:space="preserve">β = 0.065 [0.011, 0.120]</t>
  </si>
  <si>
    <t xml:space="preserve">0.019</t>
  </si>
  <si>
    <t xml:space="preserve">beta = 0.05 [-0.01, 0.11]</t>
  </si>
  <si>
    <t xml:space="preserve">0.130</t>
  </si>
  <si>
    <t xml:space="preserve">Postop_UDVA</t>
  </si>
  <si>
    <t xml:space="preserve">0 ± 0.05</t>
  </si>
  <si>
    <t xml:space="preserve">0.05 ± 0.06</t>
  </si>
  <si>
    <t xml:space="preserve">β = 0.057 [0.037, 0.078]</t>
  </si>
  <si>
    <t xml:space="preserve">beta = 0.05 [0.03, 0.07]</t>
  </si>
  <si>
    <t xml:space="preserve">Postop_CDVA</t>
  </si>
  <si>
    <t xml:space="preserve">-0.02 ± 0.03</t>
  </si>
  <si>
    <t xml:space="preserve">0.139</t>
  </si>
  <si>
    <t xml:space="preserve">β = 0.009 [-0.003, 0.021]</t>
  </si>
  <si>
    <t xml:space="preserve">0.127</t>
  </si>
  <si>
    <t xml:space="preserve">beta = 0.00 [-0.01, 0.02]</t>
  </si>
  <si>
    <t xml:space="preserve">0.536</t>
  </si>
  <si>
    <t xml:space="preserve">Postop_Haze_Grade</t>
  </si>
  <si>
    <t xml:space="preserve">1 [0–1]</t>
  </si>
  <si>
    <t xml:space="preserve">Patient_Satisfaction_1to5</t>
  </si>
  <si>
    <t xml:space="preserve">4.5 [4–5] (n = 102)</t>
  </si>
  <si>
    <t xml:space="preserve">4 [3–5] (n = 39)</t>
  </si>
  <si>
    <t xml:space="preserve">0.010</t>
  </si>
  <si>
    <t xml:space="preserve">DryEye_Symptoms (Yes)</t>
  </si>
  <si>
    <t xml:space="preserve">16/108 (14.8%)</t>
  </si>
  <si>
    <t xml:space="preserve">17/42 (40.5%)</t>
  </si>
  <si>
    <t xml:space="preserve">OR = 3.916 [1.780, 8.613]</t>
  </si>
  <si>
    <t xml:space="preserve">OR = 3.02 [1.21, 7.57]</t>
  </si>
  <si>
    <t xml:space="preserve">0.018</t>
  </si>
  <si>
    <t xml:space="preserve">Retreatment_Required (Yes)</t>
  </si>
  <si>
    <t xml:space="preserve">1/108 (0.9%)</t>
  </si>
  <si>
    <t xml:space="preserve">5/42 (11.9%)</t>
  </si>
  <si>
    <t xml:space="preserve">0.007</t>
  </si>
  <si>
    <t xml:space="preserve">Fisher's exact test</t>
  </si>
  <si>
    <t xml:space="preserve">OR = 14.256 [1.674, 121.385]</t>
  </si>
  <si>
    <t xml:space="preserve">0.015</t>
  </si>
  <si>
    <t xml:space="preserve">OR = 3.40 [0.17, 68.54]</t>
  </si>
  <si>
    <t xml:space="preserve">0.424</t>
  </si>
  <si>
    <t xml:space="preserve">Complication_Type: Corneal haze</t>
  </si>
  <si>
    <t xml:space="preserve">12/108 (11.1%)</t>
  </si>
  <si>
    <t xml:space="preserve">4/42 (9.5%)</t>
  </si>
  <si>
    <t xml:space="preserve">0.498</t>
  </si>
  <si>
    <t xml:space="preserve">Complication_Type: Epithelial defect</t>
  </si>
  <si>
    <t xml:space="preserve">5/108 (4.6%)</t>
  </si>
  <si>
    <t xml:space="preserve">Complication_Type: None</t>
  </si>
  <si>
    <t xml:space="preserve">91/108 (84.3%)</t>
  </si>
  <si>
    <t xml:space="preserve">34/42 (81%)</t>
  </si>
  <si>
    <t xml:space="preserve">p value</t>
  </si>
  <si>
    <t xml:space="preserve">Baseline characteristics</t>
  </si>
  <si>
    <t xml:space="preserve">Age Years [per patient]</t>
  </si>
  <si>
    <t xml:space="preserve">Preop SEQ D</t>
  </si>
  <si>
    <t xml:space="preserve">Preop Sphere D</t>
  </si>
  <si>
    <t xml:space="preserve">Preop Cylinder D</t>
  </si>
  <si>
    <t xml:space="preserve">Preop UDVA</t>
  </si>
  <si>
    <t xml:space="preserve">Preop CDVA</t>
  </si>
  <si>
    <t xml:space="preserve">Preop Pachymetry um</t>
  </si>
  <si>
    <t xml:space="preserve">Preop Mean K D</t>
  </si>
  <si>
    <t xml:space="preserve">Preop DryEye Grade</t>
  </si>
  <si>
    <t xml:space="preserve">Optical Zone mm</t>
  </si>
  <si>
    <t xml:space="preserve">Ablation Depth um</t>
  </si>
  <si>
    <t xml:space="preserve">NE</t>
  </si>
  <si>
    <t xml:space="preserve">Outcomes</t>
  </si>
  <si>
    <t xml:space="preserve">FollowUp Days</t>
  </si>
  <si>
    <t xml:space="preserve">Postop SEQ D</t>
  </si>
  <si>
    <t xml:space="preserve">Postop Cylinder D</t>
  </si>
  <si>
    <t xml:space="preserve">Postop UDVA</t>
  </si>
  <si>
    <t xml:space="preserve">Postop CDVA</t>
  </si>
  <si>
    <t xml:space="preserve">Postop Haze Grade</t>
  </si>
  <si>
    <t xml:space="preserve">Patient Satisfaction 1to5</t>
  </si>
  <si>
    <t xml:space="preserve">DryEye Symptoms (Yes)</t>
  </si>
  <si>
    <t xml:space="preserve">Retreatment Required (Yes)</t>
  </si>
  <si>
    <t xml:space="preserve">Complication Type: Corneal haze</t>
  </si>
  <si>
    <t xml:space="preserve">Complication Type: Epithelial defect</t>
  </si>
  <si>
    <t xml:space="preserve">Complication Type: None</t>
  </si>
  <si>
    <t xml:space="preserve">NE = not estimable (no P value):</t>
  </si>
  <si>
    <t xml:space="preserve">- variable is constant in this cohort: Procedure.</t>
  </si>
  <si>
    <t xml:space="preserve">Pre_BCVA</t>
  </si>
  <si>
    <t xml:space="preserve">Post_UCVA</t>
  </si>
  <si>
    <t xml:space="preserve">Post_BCVA</t>
  </si>
  <si>
    <t xml:space="preserve">Pre_Sph</t>
  </si>
  <si>
    <t xml:space="preserve">Pre_Cyl</t>
  </si>
  <si>
    <t xml:space="preserve">Pre_Axis</t>
  </si>
  <si>
    <t xml:space="preserve">Preop_MR_Vertex_Distance</t>
  </si>
  <si>
    <t xml:space="preserve">Intended_Postop_MR_Sphere</t>
  </si>
  <si>
    <t xml:space="preserve">Intended_Postop_MR_Cylinder</t>
  </si>
  <si>
    <t xml:space="preserve">Intended_Postop_MR_Axis</t>
  </si>
  <si>
    <t xml:space="preserve">Intended_Postop_MR_Vertex_Distance</t>
  </si>
  <si>
    <t xml:space="preserve">Post_Sph</t>
  </si>
  <si>
    <t xml:space="preserve">Post_Cyl</t>
  </si>
  <si>
    <t xml:space="preserve">Post_Axis</t>
  </si>
  <si>
    <t xml:space="preserve">Postop_MR_Vertex_Distance</t>
  </si>
  <si>
    <t xml:space="preserve">Post_SEQ</t>
  </si>
  <si>
    <t xml:space="preserve">20+</t>
  </si>
  <si>
    <t xml:space="preserve">20</t>
  </si>
  <si>
    <t xml:space="preserve">16-3</t>
  </si>
  <si>
    <t xml:space="preserve">20-2</t>
  </si>
  <si>
    <t xml:space="preserve">20-1</t>
  </si>
  <si>
    <t xml:space="preserve">15-3</t>
  </si>
  <si>
    <t xml:space="preserve">15-2</t>
  </si>
  <si>
    <t xml:space="preserve">20-3</t>
  </si>
  <si>
    <t xml:space="preserve">25+</t>
  </si>
  <si>
    <t xml:space="preserve">15-1</t>
  </si>
  <si>
    <t xml:space="preserve">25</t>
  </si>
  <si>
    <t xml:space="preserve">25-3</t>
  </si>
  <si>
    <t xml:space="preserve">25-1</t>
  </si>
  <si>
    <t xml:space="preserve">25-2</t>
  </si>
  <si>
    <t xml:space="preserve">30-2</t>
  </si>
  <si>
    <t xml:space="preserve">Eye</t>
  </si>
  <si>
    <t xml:space="preserve">preoperative cylinder</t>
  </si>
  <si>
    <t xml:space="preserve">preoperative axis</t>
  </si>
  <si>
    <t xml:space="preserve">postoperative cylinder</t>
  </si>
  <si>
    <t xml:space="preserve">postoperative axis</t>
  </si>
  <si>
    <t xml:space="preserve">OS</t>
  </si>
  <si>
    <t xml:space="preserve">OD</t>
  </si>
  <si>
    <t xml:space="preserve">GEE results</t>
  </si>
  <si>
    <t xml:space="preserve">Outcome</t>
  </si>
  <si>
    <t xml:space="preserve">term</t>
  </si>
  <si>
    <t xml:space="preserve">estimate</t>
  </si>
  <si>
    <t xml:space="preserve">std.error</t>
  </si>
  <si>
    <t xml:space="preserve">statistic</t>
  </si>
  <si>
    <t xml:space="preserve">p.value</t>
  </si>
  <si>
    <t xml:space="preserve">Effect</t>
  </si>
  <si>
    <t xml:space="preserve">EffectValue</t>
  </si>
  <si>
    <t xml:space="preserve">CI_low</t>
  </si>
  <si>
    <t xml:space="preserve">CI_high</t>
  </si>
  <si>
    <t xml:space="preserve">CI</t>
  </si>
  <si>
    <t xml:space="preserve">Model</t>
  </si>
  <si>
    <t xml:space="preserve">Covariates</t>
  </si>
  <si>
    <t xml:space="preserve">Age_Years</t>
  </si>
  <si>
    <t xml:space="preserve">(Intercept)</t>
  </si>
  <si>
    <t xml:space="preserve">Beta</t>
  </si>
  <si>
    <t xml:space="preserve">[29.437, 32.247]</t>
  </si>
  <si>
    <t xml:space="preserve">GEE Gaussian (exchangeable)</t>
  </si>
  <si>
    <t xml:space="preserve">none</t>
  </si>
  <si>
    <t xml:space="preserve">GroupLabelDiabetes</t>
  </si>
  <si>
    <t xml:space="preserve">[6.085, 11.762]</t>
  </si>
  <si>
    <t xml:space="preserve">[-4.663, -3.924]</t>
  </si>
  <si>
    <t xml:space="preserve">[-0.839, 0.572]</t>
  </si>
  <si>
    <t xml:space="preserve">[-4.365, -3.608]</t>
  </si>
  <si>
    <t xml:space="preserve">[-0.759, 0.677]</t>
  </si>
  <si>
    <t xml:space="preserve">[-0.745, -0.543]</t>
  </si>
  <si>
    <t xml:space="preserve">[-0.299, 0.114]</t>
  </si>
  <si>
    <t xml:space="preserve">[1.050, 1.138]</t>
  </si>
  <si>
    <t xml:space="preserve">[-0.055, 0.104]</t>
  </si>
  <si>
    <t xml:space="preserve">[-0.018, -0.008]</t>
  </si>
  <si>
    <t xml:space="preserve">[-0.003, 0.019]</t>
  </si>
  <si>
    <t xml:space="preserve">[544.001, 554.489]</t>
  </si>
  <si>
    <t xml:space="preserve">[-20.118, -3.499]</t>
  </si>
  <si>
    <t xml:space="preserve">[43.267, 43.773]</t>
  </si>
  <si>
    <t xml:space="preserve">[-0.461, 0.535]</t>
  </si>
  <si>
    <t xml:space="preserve">Skipped: ordinal outcome not modeled in GEE</t>
  </si>
  <si>
    <t xml:space="preserve">OR</t>
  </si>
  <si>
    <t xml:space="preserve">[1.003, 2.576]</t>
  </si>
  <si>
    <t xml:space="preserve">GEE Binomial (exchangeable)</t>
  </si>
  <si>
    <t xml:space="preserve">[0.604, 4.006]</t>
  </si>
  <si>
    <t xml:space="preserve">Smoker</t>
  </si>
  <si>
    <t xml:space="preserve">[0.178, 0.526]</t>
  </si>
  <si>
    <t xml:space="preserve">[0.102, 1.418]</t>
  </si>
  <si>
    <t xml:space="preserve">Surgeon</t>
  </si>
  <si>
    <t xml:space="preserve">Skipped: categorical outcome not modeled in GEE</t>
  </si>
  <si>
    <t xml:space="preserve">[6.466, 6.565]</t>
  </si>
  <si>
    <t xml:space="preserve">[-0.075, 0.126]</t>
  </si>
  <si>
    <t xml:space="preserve">[60.590, 70.546]</t>
  </si>
  <si>
    <t xml:space="preserve">[-7.581, 12.378]</t>
  </si>
  <si>
    <t xml:space="preserve">Procedure</t>
  </si>
  <si>
    <t xml:space="preserve">[167.017, 201.904]</t>
  </si>
  <si>
    <t xml:space="preserve">[-25.295, 38.728]</t>
  </si>
  <si>
    <t xml:space="preserve">[-0.036, 0.091]</t>
  </si>
  <si>
    <t xml:space="preserve">[-0.388, -0.119]</t>
  </si>
  <si>
    <t xml:space="preserve">[-0.270, -0.206]</t>
  </si>
  <si>
    <t xml:space="preserve">[0.011, 0.120]</t>
  </si>
  <si>
    <t xml:space="preserve">[-0.014, 0.004]</t>
  </si>
  <si>
    <t xml:space="preserve">[0.037, 0.078]</t>
  </si>
  <si>
    <t xml:space="preserve">[-0.022, -0.010]</t>
  </si>
  <si>
    <t xml:space="preserve">[-0.003, 0.021]</t>
  </si>
  <si>
    <t xml:space="preserve">DryEye_Symptoms</t>
  </si>
  <si>
    <t xml:space="preserve">[0.101, 0.287]</t>
  </si>
  <si>
    <t xml:space="preserve">[1.780, 8.613]</t>
  </si>
  <si>
    <t xml:space="preserve">Retreatment_Required</t>
  </si>
  <si>
    <t xml:space="preserve">[0.001, 0.068]</t>
  </si>
  <si>
    <t xml:space="preserve">[1.674, 121.385]</t>
  </si>
  <si>
    <t xml:space="preserve">Complication_Type</t>
  </si>
  <si>
    <t xml:space="preserve">[29.352, 32.249]</t>
  </si>
  <si>
    <t xml:space="preserve">Not adjusted for itself (own value omitted from the covariates). GEE Gaussian (exchangeable)</t>
  </si>
  <si>
    <t xml:space="preserve">[6.084, 11.761]</t>
  </si>
  <si>
    <t xml:space="preserve">[-0.077, 0.058]</t>
  </si>
  <si>
    <t xml:space="preserve">[-5.499, -2.306]</t>
  </si>
  <si>
    <t xml:space="preserve">[-0.909, 0.851]</t>
  </si>
  <si>
    <t xml:space="preserve">[-0.064, 0.038]</t>
  </si>
  <si>
    <t xml:space="preserve">[-0.098, 0.321]</t>
  </si>
  <si>
    <t xml:space="preserve">Age_Years, Preop_SEQ_D</t>
  </si>
  <si>
    <t xml:space="preserve">[-0.099, 0.139]</t>
  </si>
  <si>
    <t xml:space="preserve">[0.001, 0.014]</t>
  </si>
  <si>
    <t xml:space="preserve">[0.985, 1.027]</t>
  </si>
  <si>
    <t xml:space="preserve">[-0.633, 0.163]</t>
  </si>
  <si>
    <t xml:space="preserve">[-0.195, 0.260]</t>
  </si>
  <si>
    <t xml:space="preserve">[-0.028, -0.003]</t>
  </si>
  <si>
    <t xml:space="preserve">[-0.060, 0.026]</t>
  </si>
  <si>
    <t xml:space="preserve">[0.522, 0.678]</t>
  </si>
  <si>
    <t xml:space="preserve">[-0.034, 0.036]</t>
  </si>
  <si>
    <t xml:space="preserve">[-0.001, 0.003]</t>
  </si>
  <si>
    <t xml:space="preserve">[-0.116, -0.099]</t>
  </si>
  <si>
    <t xml:space="preserve">[-0.059, -0.006]</t>
  </si>
  <si>
    <t xml:space="preserve">[-0.009, 0.016]</t>
  </si>
  <si>
    <t xml:space="preserve">[-0.000, 0.001]</t>
  </si>
  <si>
    <t xml:space="preserve">[-0.003, 0.002]</t>
  </si>
  <si>
    <t xml:space="preserve">[535.496, 585.269]</t>
  </si>
  <si>
    <t xml:space="preserve">[-19.954, 0.811]</t>
  </si>
  <si>
    <t xml:space="preserve">[-0.929, 0.468]</t>
  </si>
  <si>
    <t xml:space="preserve">[-1.145, 3.014]</t>
  </si>
  <si>
    <t xml:space="preserve">[41.453, 43.669]</t>
  </si>
  <si>
    <t xml:space="preserve">[-0.782, 0.360]</t>
  </si>
  <si>
    <t xml:space="preserve">[-0.001, 0.066]</t>
  </si>
  <si>
    <t xml:space="preserve">[-0.100, 0.124]</t>
  </si>
  <si>
    <t xml:space="preserve">[0.518, 30.547]</t>
  </si>
  <si>
    <t xml:space="preserve">[0.668, 6.166]</t>
  </si>
  <si>
    <t xml:space="preserve">[0.911, 1.035]</t>
  </si>
  <si>
    <t xml:space="preserve">[1.000, 1.000]</t>
  </si>
  <si>
    <t xml:space="preserve">[0.001, 0.458]</t>
  </si>
  <si>
    <t xml:space="preserve">[0.027, 0.806]</t>
  </si>
  <si>
    <t xml:space="preserve">[1.000, 1.209]</t>
  </si>
  <si>
    <t xml:space="preserve">[0.967, 1.158]</t>
  </si>
  <si>
    <t xml:space="preserve">[6.163, 6.682]</t>
  </si>
  <si>
    <t xml:space="preserve">[-0.108, 0.113]</t>
  </si>
  <si>
    <t xml:space="preserve">[-0.004, 0.010]</t>
  </si>
  <si>
    <t xml:space="preserve">[-0.026, 0.026]</t>
  </si>
  <si>
    <t xml:space="preserve">[-1.202, 9.511]</t>
  </si>
  <si>
    <t xml:space="preserve">[-3.302, 2.315]</t>
  </si>
  <si>
    <t xml:space="preserve">[-0.057, 0.252]</t>
  </si>
  <si>
    <t xml:space="preserve">[-14.180, -13.050]</t>
  </si>
  <si>
    <t xml:space="preserve">[69.813, 236.253]</t>
  </si>
  <si>
    <t xml:space="preserve">[-35.540, 38.276]</t>
  </si>
  <si>
    <t xml:space="preserve">[-1.829, 3.006]</t>
  </si>
  <si>
    <t xml:space="preserve">[-11.082, 4.926]</t>
  </si>
  <si>
    <t xml:space="preserve">[-0.157, 0.470]</t>
  </si>
  <si>
    <t xml:space="preserve">[-0.393, -0.103]</t>
  </si>
  <si>
    <t xml:space="preserve">[-0.009, 0.009]</t>
  </si>
  <si>
    <t xml:space="preserve">[-0.002, 0.061]</t>
  </si>
  <si>
    <t xml:space="preserve">[-0.367, -0.092]</t>
  </si>
  <si>
    <t xml:space="preserve">[-0.005, 0.122]</t>
  </si>
  <si>
    <t xml:space="preserve">[-0.003, 0.005]</t>
  </si>
  <si>
    <t xml:space="preserve">[-0.004, 0.022]</t>
  </si>
  <si>
    <t xml:space="preserve">[-0.093, 0.005]</t>
  </si>
  <si>
    <t xml:space="preserve">[0.026, 0.069]</t>
  </si>
  <si>
    <t xml:space="preserve">[-0.000, 0.003]</t>
  </si>
  <si>
    <t xml:space="preserve">[-0.005, 0.004]</t>
  </si>
  <si>
    <t xml:space="preserve">[-0.067, -0.005]</t>
  </si>
  <si>
    <t xml:space="preserve">[-0.011, 0.019]</t>
  </si>
  <si>
    <t xml:space="preserve">[-0.003, 0.003]</t>
  </si>
  <si>
    <t xml:space="preserve">[0.006, 0.382]</t>
  </si>
  <si>
    <t xml:space="preserve">[1.380, 8.001]</t>
  </si>
  <si>
    <t xml:space="preserve">[0.960, 1.085]</t>
  </si>
  <si>
    <t xml:space="preserve">[0.709, 1.066]</t>
  </si>
  <si>
    <t xml:space="preserve">[0.000, 0.001]</t>
  </si>
  <si>
    <t xml:space="preserve">[0.322, 44.138]</t>
  </si>
  <si>
    <t xml:space="preserve">[1.061, 1.353]</t>
  </si>
  <si>
    <t xml:space="preserve">[0.426, 1.012]</t>
  </si>
  <si>
    <t xml:space="preserve">NOTE: 2 model(s) carry a small-sample caution or failed - see the Note column. Interpret flagged estimates cautiously.</t>
  </si>
  <si>
    <t xml:space="preserve">Adjusted regression - unmatched cohort (covariates: Age_Years, Preop_SEQ_D, Preop_Pachymetry_um)</t>
  </si>
  <si>
    <t xml:space="preserve">Comparison</t>
  </si>
  <si>
    <t xml:space="preserve">P value</t>
  </si>
  <si>
    <t xml:space="preserve">n</t>
  </si>
  <si>
    <t xml:space="preserve">Diabetes vs Control</t>
  </si>
  <si>
    <t xml:space="preserve">143</t>
  </si>
  <si>
    <t xml:space="preserve">Skipped: ordinal outcome</t>
  </si>
  <si>
    <t xml:space="preserve">143 (31 events)</t>
  </si>
  <si>
    <t xml:space="preserve">CAUTION: only 31 eyes in the smaller outcome class for 4 parameters (&lt;10 per parameter) - possible overfitting</t>
  </si>
  <si>
    <t xml:space="preserve">143 (6 events)</t>
  </si>
  <si>
    <t xml:space="preserve">CAUTION: only 6 eyes in the smaller outcome class for 4 parameters (&lt;10 per parameter) - possible overfitting</t>
  </si>
  <si>
    <t xml:space="preserve">Skipped: categorical outcome</t>
  </si>
  <si>
    <t xml:space="preserve">Full models (every term)</t>
  </si>
  <si>
    <t xml:space="preserve">[-253.862, 387.538]</t>
  </si>
  <si>
    <t xml:space="preserve">Linear GEE (beta)</t>
  </si>
  <si>
    <t xml:space="preserve">[-29.753, 45.487]</t>
  </si>
  <si>
    <t xml:space="preserve">[-1.994, 2.828]</t>
  </si>
  <si>
    <t xml:space="preserve">[-8.630, 6.695]</t>
  </si>
  <si>
    <t xml:space="preserve">[-0.377, 0.745]</t>
  </si>
  <si>
    <t xml:space="preserve">[-0.853, 1.487]</t>
  </si>
  <si>
    <t xml:space="preserve">[-0.415, -0.113]</t>
  </si>
  <si>
    <t xml:space="preserve">[-0.010, 0.010]</t>
  </si>
  <si>
    <t xml:space="preserve">[-0.006, 0.059]</t>
  </si>
  <si>
    <t xml:space="preserve">[-0.002, 0.002]</t>
  </si>
  <si>
    <t xml:space="preserve">[-0.365, 0.754]</t>
  </si>
  <si>
    <t xml:space="preserve">[-0.014, 0.112]</t>
  </si>
  <si>
    <t xml:space="preserve">[-0.007, 0.022]</t>
  </si>
  <si>
    <t xml:space="preserve">[-0.002, 0.000]</t>
  </si>
  <si>
    <t xml:space="preserve">[-0.281, 0.142]</t>
  </si>
  <si>
    <t xml:space="preserve">[0.030, 0.074]</t>
  </si>
  <si>
    <t xml:space="preserve">[-0.001, 0.002]</t>
  </si>
  <si>
    <t xml:space="preserve">[-0.004, 0.005]</t>
  </si>
  <si>
    <t xml:space="preserve">[-0.000, 0.000]</t>
  </si>
  <si>
    <t xml:space="preserve">[-0.128, 0.127]</t>
  </si>
  <si>
    <t xml:space="preserve">[-0.010, 0.020]</t>
  </si>
  <si>
    <t xml:space="preserve">[0.000, 26544.115]</t>
  </si>
  <si>
    <t xml:space="preserve">Logistic GEE (OR)</t>
  </si>
  <si>
    <t xml:space="preserve">[1.205, 7.568]</t>
  </si>
  <si>
    <t xml:space="preserve">[0.967, 1.098]</t>
  </si>
  <si>
    <t xml:space="preserve">[0.709, 1.111]</t>
  </si>
  <si>
    <t xml:space="preserve">[0.976, 1.012]</t>
  </si>
  <si>
    <t xml:space="preserve">[3.972, 11442955030173468672.000]</t>
  </si>
  <si>
    <t xml:space="preserve">[0.169, 68.540]</t>
  </si>
  <si>
    <t xml:space="preserve">[1.145, 1.451]</t>
  </si>
  <si>
    <t xml:space="preserve">[0.330, 1.240]</t>
  </si>
  <si>
    <t xml:space="preserve">[0.894, 0.967]</t>
  </si>
  <si>
    <t xml:space="preserve">PSM settings</t>
  </si>
  <si>
    <t xml:space="preserve">Setting</t>
  </si>
  <si>
    <t xml:space="preserve">Matching method</t>
  </si>
  <si>
    <t xml:space="preserve">nearest</t>
  </si>
  <si>
    <t xml:space="preserve">Distance</t>
  </si>
  <si>
    <t xml:space="preserve">logit</t>
  </si>
  <si>
    <t xml:space="preserve">Ratio</t>
  </si>
  <si>
    <t xml:space="preserve">2</t>
  </si>
  <si>
    <t xml:space="preserve">Replacement</t>
  </si>
  <si>
    <t xml:space="preserve">FALSE</t>
  </si>
  <si>
    <t xml:space="preserve">Caliper</t>
  </si>
  <si>
    <t xml:space="preserve">0.2</t>
  </si>
  <si>
    <t xml:space="preserve">Standardized caliper</t>
  </si>
  <si>
    <t xml:space="preserve">TRUE</t>
  </si>
  <si>
    <t xml:space="preserve">Matching order</t>
  </si>
  <si>
    <t xml:space="preserve">largest</t>
  </si>
  <si>
    <t xml:space="preserve">Random seed (matching)</t>
  </si>
  <si>
    <t xml:space="preserve">20250601</t>
  </si>
  <si>
    <t xml:space="preserve">Reference group</t>
  </si>
  <si>
    <t xml:space="preserve">Patient ID (clustering for GEE only; not used in matching)</t>
  </si>
  <si>
    <t xml:space="preserve">PatientID</t>
  </si>
  <si>
    <t xml:space="preserve">Matching covariates</t>
  </si>
  <si>
    <t xml:space="preserve">PSM_Covariates</t>
  </si>
  <si>
    <t xml:space="preserve">Covariate balance (cobalt; standardized differences for every covariate)</t>
  </si>
  <si>
    <t xml:space="preserve">Variable</t>
  </si>
  <si>
    <t xml:space="preserve">Type</t>
  </si>
  <si>
    <t xml:space="preserve">Diff.Un</t>
  </si>
  <si>
    <t xml:space="preserve">Diff.Adj</t>
  </si>
  <si>
    <t xml:space="preserve">M.Threshold</t>
  </si>
  <si>
    <t xml:space="preserve">distance</t>
  </si>
  <si>
    <t xml:space="preserve">Balanced, &lt;0.1</t>
  </si>
  <si>
    <t xml:space="preserve">Contin.</t>
  </si>
  <si>
    <t xml:space="preserve">Not Balanced, &gt;0.1</t>
  </si>
  <si>
    <t xml:space="preserve">Propensity-score distribution (matched rows)</t>
  </si>
  <si>
    <t xml:space="preserve">PropensityScore</t>
  </si>
  <si>
    <t xml:space="preserve">MatchingWeight</t>
  </si>
  <si>
    <t xml:space="preserve">P0004</t>
  </si>
  <si>
    <t xml:space="preserve">P0005</t>
  </si>
  <si>
    <t xml:space="preserve">P0012</t>
  </si>
  <si>
    <t xml:space="preserve">P0013</t>
  </si>
  <si>
    <t xml:space="preserve">P0031</t>
  </si>
  <si>
    <t xml:space="preserve">P0034</t>
  </si>
  <si>
    <t xml:space="preserve">P0042</t>
  </si>
  <si>
    <t xml:space="preserve">P0047</t>
  </si>
  <si>
    <t xml:space="preserve">P0053</t>
  </si>
  <si>
    <t xml:space="preserve">P0059</t>
  </si>
  <si>
    <t xml:space="preserve">P0062</t>
  </si>
  <si>
    <t xml:space="preserve">P0071</t>
  </si>
  <si>
    <t xml:space="preserve">P0093</t>
  </si>
  <si>
    <t xml:space="preserve">P0094</t>
  </si>
  <si>
    <t xml:space="preserve">P0095</t>
  </si>
  <si>
    <t xml:space="preserve">P0103</t>
  </si>
  <si>
    <t xml:space="preserve">P0109</t>
  </si>
  <si>
    <t xml:space="preserve">P0114</t>
  </si>
  <si>
    <t xml:space="preserve">P0124</t>
  </si>
  <si>
    <t xml:space="preserve">P0125</t>
  </si>
  <si>
    <t xml:space="preserve">P0127</t>
  </si>
  <si>
    <t xml:space="preserve">P0140</t>
  </si>
  <si>
    <t xml:space="preserve">P0147</t>
  </si>
  <si>
    <t xml:space="preserve">P0148</t>
  </si>
  <si>
    <t xml:space="preserve">P0157</t>
  </si>
  <si>
    <t xml:space="preserve">P0159</t>
  </si>
  <si>
    <t xml:space="preserve">P0166</t>
  </si>
  <si>
    <t xml:space="preserve">P0171</t>
  </si>
  <si>
    <t xml:space="preserve">P0176</t>
  </si>
  <si>
    <t xml:space="preserve">P0196</t>
  </si>
  <si>
    <t xml:space="preserve">P0198</t>
  </si>
  <si>
    <t xml:space="preserve">P0201</t>
  </si>
  <si>
    <t xml:space="preserve">P0205</t>
  </si>
  <si>
    <t xml:space="preserve">P0218</t>
  </si>
  <si>
    <t xml:space="preserve">P0222</t>
  </si>
  <si>
    <t xml:space="preserve">P0226</t>
  </si>
  <si>
    <t xml:space="preserve">P0231</t>
  </si>
  <si>
    <t xml:space="preserve">P0244</t>
  </si>
  <si>
    <t xml:space="preserve">P0262</t>
  </si>
  <si>
    <t xml:space="preserve">P0270</t>
  </si>
  <si>
    <t xml:space="preserve">P0274</t>
  </si>
  <si>
    <t xml:space="preserve">P0280</t>
  </si>
  <si>
    <t xml:space="preserve">P0281</t>
  </si>
  <si>
    <t xml:space="preserve">P0283</t>
  </si>
  <si>
    <t xml:space="preserve">P0284</t>
  </si>
  <si>
    <t xml:space="preserve">P0287</t>
  </si>
  <si>
    <t xml:space="preserve">P0291</t>
  </si>
  <si>
    <t xml:space="preserve">P0296</t>
  </si>
  <si>
    <t xml:space="preserve">P0297</t>
  </si>
  <si>
    <t xml:space="preserve">P0298</t>
  </si>
  <si>
    <t xml:space="preserve">P0307</t>
  </si>
  <si>
    <t xml:space="preserve">P0308</t>
  </si>
  <si>
    <t xml:space="preserve">P0315</t>
  </si>
  <si>
    <t xml:space="preserve">P0320</t>
  </si>
  <si>
    <t xml:space="preserve">NOTE: Models weighted by the matching weights - working correlation: independence (weighted), robust (sandwich) standard errors.</t>
  </si>
  <si>
    <t xml:space="preserve">GEE - baseline</t>
  </si>
  <si>
    <t xml:space="preserve">[34.861, 37.806]</t>
  </si>
  <si>
    <t xml:space="preserve">GEE Gaussian, working correlation: independence (weighted)</t>
  </si>
  <si>
    <t xml:space="preserve">[-2.500, 2.796]</t>
  </si>
  <si>
    <t xml:space="preserve">[-4.920, -3.784]</t>
  </si>
  <si>
    <t xml:space="preserve">[-1.274, 0.738]</t>
  </si>
  <si>
    <t xml:space="preserve">[-4.586, -3.386]</t>
  </si>
  <si>
    <t xml:space="preserve">[-1.283, 0.774]</t>
  </si>
  <si>
    <t xml:space="preserve">[-0.912, -0.561]</t>
  </si>
  <si>
    <t xml:space="preserve">[-0.212, 0.314]</t>
  </si>
  <si>
    <t xml:space="preserve">[1.041, 1.162]</t>
  </si>
  <si>
    <t xml:space="preserve">[-0.098, 0.130]</t>
  </si>
  <si>
    <t xml:space="preserve">[-0.017, 0.000]</t>
  </si>
  <si>
    <t xml:space="preserve">[-0.008, 0.019]</t>
  </si>
  <si>
    <t xml:space="preserve">[529.626, 545.374]</t>
  </si>
  <si>
    <t xml:space="preserve">[-10.797, 13.427]</t>
  </si>
  <si>
    <t xml:space="preserve">[43.235, 44.055]</t>
  </si>
  <si>
    <t xml:space="preserve">[-1.032, 0.194]</t>
  </si>
  <si>
    <t xml:space="preserve">[0.484, 2.067]</t>
  </si>
  <si>
    <t xml:space="preserve">GEE Binomial, working correlation: independence (weighted)</t>
  </si>
  <si>
    <t xml:space="preserve">[0.782, 10.433]</t>
  </si>
  <si>
    <t xml:space="preserve">[0.351, 1.568]</t>
  </si>
  <si>
    <t xml:space="preserve">[0.021, 0.561]</t>
  </si>
  <si>
    <t xml:space="preserve">GEE - preop/intraop</t>
  </si>
  <si>
    <t xml:space="preserve">[6.411, 6.565]</t>
  </si>
  <si>
    <t xml:space="preserve">[-0.158, 0.098]</t>
  </si>
  <si>
    <t xml:space="preserve">[59.281, 74.459]</t>
  </si>
  <si>
    <t xml:space="preserve">[-11.934, 16.860]</t>
  </si>
  <si>
    <t xml:space="preserve">GEE - outcomes</t>
  </si>
  <si>
    <t xml:space="preserve">[157.704, 211.407]</t>
  </si>
  <si>
    <t xml:space="preserve">[-25.259, 61.852]</t>
  </si>
  <si>
    <t xml:space="preserve">[-0.027, 0.166]</t>
  </si>
  <si>
    <t xml:space="preserve">[-0.427, -0.063]</t>
  </si>
  <si>
    <t xml:space="preserve">[-0.225, -0.136]</t>
  </si>
  <si>
    <t xml:space="preserve">[-0.044, 0.090]</t>
  </si>
  <si>
    <t xml:space="preserve">[0.032, 0.076]</t>
  </si>
  <si>
    <t xml:space="preserve">[-0.018, -0.001]</t>
  </si>
  <si>
    <t xml:space="preserve">[-0.009, 0.022]</t>
  </si>
  <si>
    <t xml:space="preserve">[0.061, 0.366]</t>
  </si>
  <si>
    <t xml:space="preserve">[1.690, 17.074]</t>
  </si>
  <si>
    <t xml:space="preserve">[0.003, 0.129]</t>
  </si>
  <si>
    <t xml:space="preserve">[0.391, 45.926]</t>
  </si>
  <si>
    <t xml:space="preserve">Adjusted GEE - baseline</t>
  </si>
  <si>
    <t xml:space="preserve">[33.174, 38.764]</t>
  </si>
  <si>
    <t xml:space="preserve">Not adjusted for itself (own value omitted from the covariates). GEE Gaussian, working correlation: independence (weighted)</t>
  </si>
  <si>
    <t xml:space="preserve">[-2.510, 2.761]</t>
  </si>
  <si>
    <t xml:space="preserve">[-0.626, 0.458]</t>
  </si>
  <si>
    <t xml:space="preserve">[-7.368, -0.221]</t>
  </si>
  <si>
    <t xml:space="preserve">[-1.276, 0.744]</t>
  </si>
  <si>
    <t xml:space="preserve">[-0.115, 0.085]</t>
  </si>
  <si>
    <t xml:space="preserve">[-0.359, 0.875]</t>
  </si>
  <si>
    <t xml:space="preserve">[-0.117, 0.152]</t>
  </si>
  <si>
    <t xml:space="preserve">[-0.011, 0.021]</t>
  </si>
  <si>
    <t xml:space="preserve">[0.991, 1.045]</t>
  </si>
  <si>
    <t xml:space="preserve">[-1.688, 0.731]</t>
  </si>
  <si>
    <t xml:space="preserve">[-0.221, 0.300]</t>
  </si>
  <si>
    <t xml:space="preserve">[-0.045, 0.019]</t>
  </si>
  <si>
    <t xml:space="preserve">[-0.108, 0.010]</t>
  </si>
  <si>
    <t xml:space="preserve">[0.417, 0.771]</t>
  </si>
  <si>
    <t xml:space="preserve">[-0.052, 0.026]</t>
  </si>
  <si>
    <t xml:space="preserve">[-0.118, -0.099]</t>
  </si>
  <si>
    <t xml:space="preserve">[-0.048, 0.056]</t>
  </si>
  <si>
    <t xml:space="preserve">[-0.002, 0.001]</t>
  </si>
  <si>
    <t xml:space="preserve">[-0.006, 0.001]</t>
  </si>
  <si>
    <t xml:space="preserve">[441.007, 524.874]</t>
  </si>
  <si>
    <t xml:space="preserve">[-9.418, 12.316]</t>
  </si>
  <si>
    <t xml:space="preserve">[0.501, 2.844]</t>
  </si>
  <si>
    <t xml:space="preserve">[-0.989, 3.839]</t>
  </si>
  <si>
    <t xml:space="preserve">[37.775, 42.904]</t>
  </si>
  <si>
    <t xml:space="preserve">[-1.039, 0.175]</t>
  </si>
  <si>
    <t xml:space="preserve">[0.024, 0.159]</t>
  </si>
  <si>
    <t xml:space="preserve">[-0.146, 0.150]</t>
  </si>
  <si>
    <t xml:space="preserve">[0.038, 364.286]</t>
  </si>
  <si>
    <t xml:space="preserve">[0.823, 11.659]</t>
  </si>
  <si>
    <t xml:space="preserve">[0.871, 1.113]</t>
  </si>
  <si>
    <t xml:space="preserve">[0.894, 1.579]</t>
  </si>
  <si>
    <t xml:space="preserve">[0.000, 6.383]</t>
  </si>
  <si>
    <t xml:space="preserve">[0.018, 0.564]</t>
  </si>
  <si>
    <t xml:space="preserve">[0.940, 1.254]</t>
  </si>
  <si>
    <t xml:space="preserve">[0.701, 1.426]</t>
  </si>
  <si>
    <t xml:space="preserve">Adjusted GEE - preop/intraop</t>
  </si>
  <si>
    <t xml:space="preserve">[6.012, 7.232]</t>
  </si>
  <si>
    <t xml:space="preserve">[-0.155, 0.093]</t>
  </si>
  <si>
    <t xml:space="preserve">[-0.020, 0.012]</t>
  </si>
  <si>
    <t xml:space="preserve">[-0.041, 0.028]</t>
  </si>
  <si>
    <t xml:space="preserve">[-12.019, 15.645]</t>
  </si>
  <si>
    <t xml:space="preserve">[-4.663, 2.200]</t>
  </si>
  <si>
    <t xml:space="preserve">[-0.201, 0.501]</t>
  </si>
  <si>
    <t xml:space="preserve">[-14.588, -12.803]</t>
  </si>
  <si>
    <t xml:space="preserve">Adjusted GEE - outcomes</t>
  </si>
  <si>
    <t xml:space="preserve">[-71.093, 267.979]</t>
  </si>
  <si>
    <t xml:space="preserve">[-27.992, 61.894]</t>
  </si>
  <si>
    <t xml:space="preserve">[-2.852, 6.641]</t>
  </si>
  <si>
    <t xml:space="preserve">[-16.028, 8.087]</t>
  </si>
  <si>
    <t xml:space="preserve">[-1.178, 0.159]</t>
  </si>
  <si>
    <t xml:space="preserve">[-0.424, -0.061]</t>
  </si>
  <si>
    <t xml:space="preserve">[-0.001, 0.037]</t>
  </si>
  <si>
    <t xml:space="preserve">[-0.025, 0.065]</t>
  </si>
  <si>
    <t xml:space="preserve">[-0.621, -0.092]</t>
  </si>
  <si>
    <t xml:space="preserve">[-0.041, 0.090]</t>
  </si>
  <si>
    <t xml:space="preserve">[-0.001, 0.014]</t>
  </si>
  <si>
    <t xml:space="preserve">[-0.007, 0.027]</t>
  </si>
  <si>
    <t xml:space="preserve">[-0.078, 0.089]</t>
  </si>
  <si>
    <t xml:space="preserve">[0.031, 0.075]</t>
  </si>
  <si>
    <t xml:space="preserve">[-0.009, 0.004]</t>
  </si>
  <si>
    <t xml:space="preserve">[-0.074, 0.042]</t>
  </si>
  <si>
    <t xml:space="preserve">[-0.010, 0.021]</t>
  </si>
  <si>
    <t xml:space="preserve">[-0.006, 0.002]</t>
  </si>
  <si>
    <t xml:space="preserve">[0.000, 1.602]</t>
  </si>
  <si>
    <t xml:space="preserve">[1.746, 17.515]</t>
  </si>
  <si>
    <t xml:space="preserve">[0.950, 1.217]</t>
  </si>
  <si>
    <t xml:space="preserve">[0.809, 1.376]</t>
  </si>
  <si>
    <t xml:space="preserve">[0.356, 41.977]</t>
  </si>
  <si>
    <t xml:space="preserve">[1.096, 1.587]</t>
  </si>
  <si>
    <t xml:space="preserve">[0.495, 1.495]</t>
  </si>
  <si>
    <t xml:space="preserve">Adjusted regression - matched cohort (Diabetes_vs_Control) (covariates: Age_Years, Preop_SEQ_D, Preop_Pachymetry_um)</t>
  </si>
  <si>
    <t xml:space="preserve">beta = 16.47 [-28.37, 61.32]</t>
  </si>
  <si>
    <t xml:space="preserve">0.472</t>
  </si>
  <si>
    <t xml:space="preserve">72</t>
  </si>
  <si>
    <t xml:space="preserve">beta = -0.24 [-0.43, -0.06]</t>
  </si>
  <si>
    <t xml:space="preserve">0.009</t>
  </si>
  <si>
    <t xml:space="preserve">beta = 0.03 [-0.04, 0.09]</t>
  </si>
  <si>
    <t xml:space="preserve">0.456</t>
  </si>
  <si>
    <t xml:space="preserve">beta = 0.01 [-0.01, 0.02]</t>
  </si>
  <si>
    <t xml:space="preserve">0.466</t>
  </si>
  <si>
    <t xml:space="preserve">OR = 5.94 [1.84, 19.19]</t>
  </si>
  <si>
    <t xml:space="preserve">0.003</t>
  </si>
  <si>
    <t xml:space="preserve">72 (18 events)</t>
  </si>
  <si>
    <t xml:space="preserve">CAUTION: only 18 eyes in the smaller outcome class for 4 parameters (&lt;10 per parameter) - possible overfitting</t>
  </si>
  <si>
    <t xml:space="preserve">OR = 11.68 [0.09, 1584.56]</t>
  </si>
  <si>
    <t xml:space="preserve">0.327</t>
  </si>
  <si>
    <t xml:space="preserve">72 (3 events)</t>
  </si>
  <si>
    <t xml:space="preserve">CAUTION: only 3 eyes in the smaller outcome class for 4 parameters (&lt;10 per parameter) - possible overfitting</t>
  </si>
  <si>
    <t xml:space="preserve">[-455.492, 334.712]</t>
  </si>
  <si>
    <t xml:space="preserve">Linear GEE (beta), working correlation: independence (weighted)</t>
  </si>
  <si>
    <t xml:space="preserve">[-28.372, 61.321]</t>
  </si>
  <si>
    <t xml:space="preserve">[-3.647, 6.336]</t>
  </si>
  <si>
    <t xml:space="preserve">[-16.359, 7.481]</t>
  </si>
  <si>
    <t xml:space="preserve">[-0.463, 1.121]</t>
  </si>
  <si>
    <t xml:space="preserve">[-2.457, 0.757]</t>
  </si>
  <si>
    <t xml:space="preserve">[-0.427, -0.060]</t>
  </si>
  <si>
    <t xml:space="preserve">[-0.003, 0.037]</t>
  </si>
  <si>
    <t xml:space="preserve">[-0.026, 0.063]</t>
  </si>
  <si>
    <t xml:space="preserve">[-0.002, 0.004]</t>
  </si>
  <si>
    <t xml:space="preserve">[-0.990, 0.442]</t>
  </si>
  <si>
    <t xml:space="preserve">[-0.041, 0.091]</t>
  </si>
  <si>
    <t xml:space="preserve">[-0.008, 0.028]</t>
  </si>
  <si>
    <t xml:space="preserve">[-0.471, -0.022]</t>
  </si>
  <si>
    <t xml:space="preserve">[0.031, 0.074]</t>
  </si>
  <si>
    <t xml:space="preserve">[-0.004, 0.001]</t>
  </si>
  <si>
    <t xml:space="preserve">[-0.010, 0.003]</t>
  </si>
  <si>
    <t xml:space="preserve">[-0.194, 0.126]</t>
  </si>
  <si>
    <t xml:space="preserve">[0.000, 340487627.922]</t>
  </si>
  <si>
    <t xml:space="preserve">Logistic GEE (OR), working correlation: independence (weighted)</t>
  </si>
  <si>
    <t xml:space="preserve">[1.838, 19.195]</t>
  </si>
  <si>
    <t xml:space="preserve">[0.956, 1.265]</t>
  </si>
  <si>
    <t xml:space="preserve">[0.825, 1.442]</t>
  </si>
  <si>
    <t xml:space="preserve">[0.951, 1.021]</t>
  </si>
  <si>
    <t xml:space="preserve">[0.000, 3498949200644936734620242.000]</t>
  </si>
  <si>
    <t xml:space="preserve">[0.086, 1584.557]</t>
  </si>
  <si>
    <t xml:space="preserve">[1.230, 2.186]</t>
  </si>
  <si>
    <t xml:space="preserve">[0.316, 1.962]</t>
  </si>
  <si>
    <t xml:space="preserve">[0.846, 1.002]</t>
  </si>
  <si>
    <t xml:space="preserve">NOTE: the matched cohort carries non-unit matching weights (0.833-1.67).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</si>
  <si>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Baseline (matched)</t>
  </si>
  <si>
    <t xml:space="preserve">Control (n = 45 eyes; 34 patients, ESS = 40)</t>
  </si>
  <si>
    <t xml:space="preserve">Diabetes (n = 27 eyes; 20 patients, ESS = 27)</t>
  </si>
  <si>
    <t xml:space="preserve">36.23 ± 4.63</t>
  </si>
  <si>
    <t xml:space="preserve">37.05 ± 4.72</t>
  </si>
  <si>
    <t xml:space="preserve">0.537</t>
  </si>
  <si>
    <t xml:space="preserve">Weighted Wald test (GEE, robust SE)</t>
  </si>
  <si>
    <t xml:space="preserve">β = 0.148 [-2.500, 2.796]</t>
  </si>
  <si>
    <t xml:space="preserve">0.913</t>
  </si>
  <si>
    <t xml:space="preserve">-4.35 ± 1.71</t>
  </si>
  <si>
    <t xml:space="preserve">-4.62 ± 2.23</t>
  </si>
  <si>
    <t xml:space="preserve">0.601</t>
  </si>
  <si>
    <t xml:space="preserve">β = -0.268 [-1.274, 0.738]</t>
  </si>
  <si>
    <t xml:space="preserve">-3.99 ± 1.78</t>
  </si>
  <si>
    <t xml:space="preserve">-4.24 ± 2.28</t>
  </si>
  <si>
    <t xml:space="preserve">0.627</t>
  </si>
  <si>
    <t xml:space="preserve">β = -0.255 [-1.283, 0.774]</t>
  </si>
  <si>
    <t xml:space="preserve">-0.74 ± 0.59</t>
  </si>
  <si>
    <t xml:space="preserve">-0.69 ± 0.57</t>
  </si>
  <si>
    <t xml:space="preserve">0.704</t>
  </si>
  <si>
    <t xml:space="preserve">β = 0.051 [-0.212, 0.314]</t>
  </si>
  <si>
    <t xml:space="preserve">1.1 ± 0.19</t>
  </si>
  <si>
    <t xml:space="preserve">1.12 ± 0.27</t>
  </si>
  <si>
    <t xml:space="preserve">0.780</t>
  </si>
  <si>
    <t xml:space="preserve">β = 0.016 [-0.098, 0.130]</t>
  </si>
  <si>
    <t xml:space="preserve">0 ± 0.03</t>
  </si>
  <si>
    <t xml:space="preserve">0.408</t>
  </si>
  <si>
    <t xml:space="preserve">β = 0.006 [-0.008, 0.019]</t>
  </si>
  <si>
    <t xml:space="preserve">537.5 ± 24.99</t>
  </si>
  <si>
    <t xml:space="preserve">538.81 ± 23.34</t>
  </si>
  <si>
    <t xml:space="preserve">0.832</t>
  </si>
  <si>
    <t xml:space="preserve">β = 1.315 [-10.797, 13.427]</t>
  </si>
  <si>
    <t xml:space="preserve">43.64 ± 1.51</t>
  </si>
  <si>
    <t xml:space="preserve">43.23 ± 1.39</t>
  </si>
  <si>
    <t xml:space="preserve">0.180</t>
  </si>
  <si>
    <t xml:space="preserve">β = -0.419 [-1.032, 0.194]</t>
  </si>
  <si>
    <t xml:space="preserve">0 [0–2]</t>
  </si>
  <si>
    <t xml:space="preserve">0.788</t>
  </si>
  <si>
    <t xml:space="preserve">Weighted Wald test on ranks (GEE, robust SE)</t>
  </si>
  <si>
    <t xml:space="preserve">17.9/34.6 (51.8%)</t>
  </si>
  <si>
    <t xml:space="preserve">15/20 (75%)</t>
  </si>
  <si>
    <t xml:space="preserve">0.103</t>
  </si>
  <si>
    <t xml:space="preserve">OR = 2.857 [0.782, 10.433]</t>
  </si>
  <si>
    <t xml:space="preserve">0.112</t>
  </si>
  <si>
    <t xml:space="preserve">13.3/34.6 (38.6%)</t>
  </si>
  <si>
    <t xml:space="preserve">2/20 (10%)</t>
  </si>
  <si>
    <t xml:space="preserve">0.038</t>
  </si>
  <si>
    <t xml:space="preserve">OR = 0.108 [0.021, 0.561]</t>
  </si>
  <si>
    <t xml:space="preserve">0.008</t>
  </si>
  <si>
    <t xml:space="preserve">20.8/45 (46.3%)</t>
  </si>
  <si>
    <t xml:space="preserve">8/27 (29.6%)</t>
  </si>
  <si>
    <t xml:space="preserve">Not available with matching weights</t>
  </si>
  <si>
    <t xml:space="preserve">Not estimable - no weighted test for a categorical variable with more than two levels.</t>
  </si>
  <si>
    <t xml:space="preserve">17.5/45 (38.9%)</t>
  </si>
  <si>
    <t xml:space="preserve">10/27 (37%)</t>
  </si>
  <si>
    <t xml:space="preserve">6.7/45 (14.8%)</t>
  </si>
  <si>
    <t xml:space="preserve">9/27 (33.3%)</t>
  </si>
  <si>
    <t xml:space="preserve">Preoperative / intraoperative (matched)</t>
  </si>
  <si>
    <t xml:space="preserve">6.49 ± 0.26</t>
  </si>
  <si>
    <t xml:space="preserve">6.46 ± 0.3</t>
  </si>
  <si>
    <t xml:space="preserve">0.644</t>
  </si>
  <si>
    <t xml:space="preserve">β = -0.030 [-0.158, 0.098]</t>
  </si>
  <si>
    <t xml:space="preserve">66.87 ± 23.96</t>
  </si>
  <si>
    <t xml:space="preserve">69.33 ± 32.65</t>
  </si>
  <si>
    <t xml:space="preserve">0.737</t>
  </si>
  <si>
    <t xml:space="preserve">β = 2.463 [-11.934, 16.860]</t>
  </si>
  <si>
    <t xml:space="preserve">45/45 (100%)</t>
  </si>
  <si>
    <t xml:space="preserve">27/27 (100%)</t>
  </si>
  <si>
    <t xml:space="preserve">184.56 ± 91.78</t>
  </si>
  <si>
    <t xml:space="preserve">202.85 ± 85.39</t>
  </si>
  <si>
    <t xml:space="preserve">0.410</t>
  </si>
  <si>
    <t xml:space="preserve">β = 18.296 [-25.259, 61.852]</t>
  </si>
  <si>
    <t xml:space="preserve">0.07 ± 0.32</t>
  </si>
  <si>
    <t xml:space="preserve">-0.18 ± 0.4</t>
  </si>
  <si>
    <t xml:space="preserve">β = -0.245 [-0.427, -0.063]</t>
  </si>
  <si>
    <t xml:space="preserve">-0.18 ± 0.15</t>
  </si>
  <si>
    <t xml:space="preserve">-0.16 ± 0.14</t>
  </si>
  <si>
    <t xml:space="preserve">0.500</t>
  </si>
  <si>
    <t xml:space="preserve">β = 0.023 [-0.044, 0.090]</t>
  </si>
  <si>
    <t xml:space="preserve">0 ± 0.04</t>
  </si>
  <si>
    <t xml:space="preserve">0.06 ± 0.05</t>
  </si>
  <si>
    <t xml:space="preserve">β = 0.054 [0.032, 0.076]</t>
  </si>
  <si>
    <t xml:space="preserve">0.415</t>
  </si>
  <si>
    <t xml:space="preserve">β = 0.006 [-0.009, 0.022]</t>
  </si>
  <si>
    <t xml:space="preserve">0 [0–0]</t>
  </si>
  <si>
    <t xml:space="preserve">0.002</t>
  </si>
  <si>
    <t xml:space="preserve">4 [4–5] (n = 44)</t>
  </si>
  <si>
    <t xml:space="preserve">4 [3–5]</t>
  </si>
  <si>
    <t xml:space="preserve">0.217</t>
  </si>
  <si>
    <t xml:space="preserve">5.8/45 (13%)</t>
  </si>
  <si>
    <t xml:space="preserve">12/27 (44.4%)</t>
  </si>
  <si>
    <t xml:space="preserve">OR = 5.371 [1.690, 17.074]</t>
  </si>
  <si>
    <t xml:space="preserve">0.8/45 (1.9%)</t>
  </si>
  <si>
    <t xml:space="preserve">2/27 (7.4%)</t>
  </si>
  <si>
    <t xml:space="preserve">0.235</t>
  </si>
  <si>
    <t xml:space="preserve">OR = 4.240 [0.391, 45.926]</t>
  </si>
  <si>
    <t xml:space="preserve">3.3/45 (7.4%)</t>
  </si>
  <si>
    <t xml:space="preserve">4/27 (14.8%)</t>
  </si>
  <si>
    <t xml:space="preserve">2.5/45 (5.6%)</t>
  </si>
  <si>
    <t xml:space="preserve">39.2/45 (87%)</t>
  </si>
  <si>
    <t xml:space="preserve">21/27 (77.8%)</t>
  </si>
  <si>
    <t xml:space="preserve">- no weighted test for a categorical variable with more than two levels: Surgeon; Complication Type.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</si>
  <si>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</si>
  <si>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</si>
  <si>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</si>
  <si>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</si>
  <si>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</si>
  <si>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</si>
  <si>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</si>
  <si>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</si>
  <si>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</si>
  <si>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</si>
  <si>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</si>
  <si>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</si>
  <si>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</si>
  <si>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</si>
  <si>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</si>
  <si>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</si>
  <si>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22:38:12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</si>
  <si>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</si>
  <si>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</si>
  <si>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</si>
  <si>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</si>
  <si>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</si>
  <si>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</si>
  <si>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</si>
  <si>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PRK: Procedure in {PRK}</t>
  </si>
  <si>
    <t xml:space="preserve">Rows analyzed</t>
  </si>
  <si>
    <t xml:space="preserve">Patient ID</t>
  </si>
  <si>
    <t xml:space="preserve">'PatientID'</t>
  </si>
  <si>
    <t xml:space="preserve">Control = 108; Diabetes = 42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</si>
  <si>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</si>
  <si>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</si>
  <si>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</si>
  <si>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</si>
  <si>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</si>
  <si>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</si>
  <si>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</si>
  <si>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</si>
  <si>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</si>
  <si>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</si>
  <si>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</si>
  <si>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(0.833-1.67);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</si>
  <si>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</si>
  <si>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</si>
  <si>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</si>
  <si>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</si>
  <si>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</si>
  <si>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</si>
  <si>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</si>
  <si>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</si>
  <si>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</si>
  <si>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</si>
  <si>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mEYEstro intended refraction</t>
  </si>
  <si>
    <t xml:space="preserve">SEQ plano (no target SEQ mapped); no cylinder (no astigmatism target mapped); vertex distance 12 mm assumed</t>
  </si>
  <si>
    <t xml:space="preserve">mEYEstro refraction notation</t>
  </si>
  <si>
    <t xml:space="preserve">minus cylinder (plus-cylinder rows transposed in the tab only)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</si>
  <si>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</si>
  <si>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</si>
  <si>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Figure p-values</t>
  </si>
  <si>
    <t xml:space="preserve">clustered by patient (GEE)</t>
  </si>
  <si>
    <t xml:space="preserve">Full name</t>
  </si>
  <si>
    <t xml:space="preserve">Manifest</t>
  </si>
  <si>
    <t xml:space="preserve">Versions, input checksum and settings of this run.</t>
  </si>
  <si>
    <t xml:space="preserve">Overview</t>
  </si>
  <si>
    <t xml:space="preserve">Initial data summary, notes and quality checks.</t>
  </si>
  <si>
    <t xml:space="preserve">Baseline &amp; Preop Summary</t>
  </si>
  <si>
    <t xml:space="preserve">Baseline and preoperative tables, with within-group sections.</t>
  </si>
  <si>
    <t xml:space="preserve">Outcome Summary</t>
  </si>
  <si>
    <t xml:space="preserve">Outcome comparisons (GEE / adjusted columns merged in when requested).</t>
  </si>
  <si>
    <t xml:space="preserve">Publication Table</t>
  </si>
  <si>
    <t xml:space="preserve">Manuscript-ready stacked table.</t>
  </si>
  <si>
    <t xml:space="preserve">mEYEstro_Control</t>
  </si>
  <si>
    <t xml:space="preserve">mEYEstro-format export of one group (all rows):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</si>
  <si>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mEYEstro_Diabetes</t>
  </si>
  <si>
    <t xml:space="preserve">AstigMATIC_Control</t>
  </si>
  <si>
    <t xml:space="preserve">AstigMATIC input for one group (all rows): columns A-E (eye OD/OS, preop cylinder, preop axis, postop cylinder, postop axis) load directly into AstigMATIC; minus cylinder accepted.</t>
  </si>
  <si>
    <t xml:space="preserve">AstigMATIC_Diabetes</t>
  </si>
  <si>
    <t xml:space="preserve">GEE_Main_Unmatched_Base</t>
  </si>
  <si>
    <t xml:space="preserve">Clustered GEE, group as the only predictor.</t>
  </si>
  <si>
    <t xml:space="preserve">GEE_Main_Unmatched_Preop</t>
  </si>
  <si>
    <t xml:space="preserve">GEE_Main_Unmatched_Out</t>
  </si>
  <si>
    <t xml:space="preserve">GEE_Adj_Unmatched_Base</t>
  </si>
  <si>
    <t xml:space="preserve">Clustered GEE adjusted for the covariates listed per row and in the Manifest (a variable is never adjusted for itself).</t>
  </si>
  <si>
    <t xml:space="preserve">GEE_Adj_Unmatched_Preop</t>
  </si>
  <si>
    <t xml:space="preserve">GEE_Adj_Unmatched_Out</t>
  </si>
  <si>
    <t xml:space="preserve">Regression (adjusted)</t>
  </si>
  <si>
    <t xml:space="preserve">Covariate-adjusted models, with full-model appendix.</t>
  </si>
  <si>
    <t xml:space="preserve">PSM_Diabetes_vs_Control</t>
  </si>
  <si>
    <t xml:space="preserve">Matching (MatchIt): settings, covariates, balance and the matched rows.</t>
  </si>
  <si>
    <t xml:space="preserve">GEE_M_Diabetes_vs_Control</t>
  </si>
  <si>
    <t xml:space="preserve">Clustered GEE on the matched cohort.</t>
  </si>
  <si>
    <t xml:space="preserve">GEE_Adj_M_Diabetes_vs_Control</t>
  </si>
  <si>
    <t xml:space="preserve">Adjusted clustered GEE on the matched cohort (covariates listed per row and in the Manifest).</t>
  </si>
  <si>
    <t xml:space="preserve">Reg_M_Diabetes_vs_Control</t>
  </si>
  <si>
    <t xml:space="preserve">Covariate-adjusted models on the matched cohort.</t>
  </si>
  <si>
    <t xml:space="preserve">BasePreop_M_Diabetes_vs_Control</t>
  </si>
  <si>
    <t xml:space="preserve">Baseline and preop tables after matching.</t>
  </si>
  <si>
    <t xml:space="preserve">Out_M_Diabetes_vs_Control</t>
  </si>
  <si>
    <t xml:space="preserve">Outcome comparisons after matching.</t>
  </si>
  <si>
    <t xml:space="preserve">Pub_M_Diabetes_vs_Control</t>
  </si>
  <si>
    <t xml:space="preserve">Publication-style table for the matched cohort.</t>
  </si>
  <si>
    <t xml:space="preserve">mEYEstro_M_Control_Diabetes_vs_</t>
  </si>
  <si>
    <t xml:space="preserve">mEYEstro_M_Control_Diabetes_vs_Control</t>
  </si>
  <si>
    <t xml:space="preserve">mEYEstro-format export of one group of a matched pairing (matched rows, unweighted):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</si>
  <si>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mEYEstro_M_Diabetes_Diabetes_vs</t>
  </si>
  <si>
    <t xml:space="preserve">mEYEstro_M_Diabetes_Diabetes_vs_Control</t>
  </si>
  <si>
    <t xml:space="preserve">AstigMATIC_M_Control_Diabetes_v</t>
  </si>
  <si>
    <t xml:space="preserve">AstigMATIC_M_Control_Diabetes_vs_Control</t>
  </si>
  <si>
    <t xml:space="preserve">AstigMATIC input for one group of a matched pairing (matched rows, unweighted): columns A-E (eye OD/OS, preop cylinder, preop axis, postop cylinder, postop axis) load directly into AstigMATIC; minus cylinder accepted.</t>
  </si>
  <si>
    <t xml:space="preserve">AstigMATIC_M_Diabetes_Diabetes_</t>
  </si>
  <si>
    <t xml:space="preserve">AstigMATIC_M_Diabetes_Diabetes_vs_Control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</si>
</sst>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  <b/>
    </font>
    <font>
      <sz val="11"/>
      <color rgb="FFC00000"/>
      <name val="Calibri"/>
      <b/>
    </font>
    <font>
      <sz val="11"/>
      <color theme="10"/>
      <name val="Calibri"/>
      <u val="single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3D3D3"/>
      </patternFill>
    </fill>
    <fill>
      <patternFill patternType="solid">
        <fgColor rgb="FFFFFF99"/>
      </patternFill>
    </fill>
    <fill>
      <patternFill patternType="solid">
        <fgColor rgb="FFCCFFCC"/>
      </patternFill>
    </fill>
    <fill>
      <patternFill patternType="solid">
        <fgColor rgb="FFFF99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0" xfId="0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theme" Target="theme/theme1.xml"/><Relationship Id="rId30" Type="http://schemas.openxmlformats.org/officeDocument/2006/relationships/styles" Target="styles.xml"/><Relationship Id="rId31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E109" totalsRowCount="0" totalsRowShown="0">
  <autoFilter ref="A1:E109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43" totalsRowCount="0" totalsRowShown="0">
  <autoFilter ref="A1:E43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E46" totalsRowCount="0" totalsRowShown="0">
  <autoFilter ref="A1:E46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E28" totalsRowCount="0" totalsRowShown="0">
  <autoFilter ref="A1:E28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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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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Relationship Id="rId3" Type="http://schemas.openxmlformats.org/officeDocument/2006/relationships/table" Target="../tables/table3.xml"/></Relationships>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Relationship Id="rId4" Type="http://schemas.openxmlformats.org/officeDocument/2006/relationships/table" Target="../tables/table4.xml"/></Relationships>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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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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
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
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
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
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
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
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
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
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
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
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
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
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
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Relationship Id="rId5" Type="http://schemas.openxmlformats.org/officeDocument/2006/relationships/table" Target="../tables/table5.xml"/></Relationships>
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Relationship Id="rId6" Type="http://schemas.openxmlformats.org/officeDocument/2006/relationships/table" Target="../tables/table6.xml"/></Relationships>
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

</file>

<file path=xl/worksheets/_rels/sheet2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8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t="s">
        <v>1</v>
      </c>
    </row>
    <row r="3">
      <c r="A3" t="s">
        <v>2</v>
      </c>
    </row>
    <row r="5">
      <c r="A5" s="1" t="s">
        <v>3</v>
      </c>
    </row>
    <row r="6">
      <c r="A6" t="s">
        <v>4</v>
      </c>
      <c r="B6" t="s">
        <v>5</v>
      </c>
    </row>
    <row r="7">
      <c r="A7" t="s">
        <v>6</v>
      </c>
      <c r="B7" t="s">
        <v>7</v>
      </c>
    </row>
    <row r="8">
      <c r="A8" t="s">
        <v>8</v>
      </c>
      <c r="B8" t="s">
        <v>9</v>
      </c>
    </row>
    <row r="9">
      <c r="A9" t="s">
        <v>10</v>
      </c>
      <c r="B9" t="s">
        <v>11</v>
      </c>
    </row>
    <row r="10">
      <c r="A10" t="s">
        <v>12</v>
      </c>
      <c r="B10" t="s">
        <v>13</v>
      </c>
    </row>
    <row r="11">
      <c r="A11" t="s">
        <v>14</v>
      </c>
      <c r="B11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t="s">
        <v>21</v>
      </c>
    </row>
    <row r="16">
      <c r="A16" s="1" t="s">
        <v>22</v>
      </c>
    </row>
    <row r="17">
      <c r="A17" t="s">
        <v>23</v>
      </c>
      <c r="B17" t="s">
        <v>24</v>
      </c>
      <c r="C17" t="s">
        <v>25</v>
      </c>
    </row>
    <row r="18">
      <c r="A18" t="s">
        <v>26</v>
      </c>
      <c r="B18" t="n">
        <v>65</v>
      </c>
      <c r="C18" t="n">
        <v>64.4</v>
      </c>
    </row>
    <row r="19">
      <c r="A19" t="s">
        <v>27</v>
      </c>
      <c r="B19" t="n">
        <v>36</v>
      </c>
      <c r="C19" t="n">
        <v>35.6</v>
      </c>
    </row>
    <row r="21">
      <c r="A21" s="1" t="s">
        <v>28</v>
      </c>
    </row>
    <row r="22">
      <c r="A22" t="s">
        <v>29</v>
      </c>
      <c r="B22" t="s">
        <v>24</v>
      </c>
      <c r="C22" t="s">
        <v>25</v>
      </c>
    </row>
    <row r="23">
      <c r="A23" t="s">
        <v>30</v>
      </c>
      <c r="B23" t="n">
        <v>108</v>
      </c>
      <c r="C23" t="n">
        <v>72</v>
      </c>
    </row>
    <row r="24">
      <c r="A24" t="s">
        <v>31</v>
      </c>
      <c r="B24" t="n">
        <v>42</v>
      </c>
      <c r="C24" t="n">
        <v>28</v>
      </c>
    </row>
    <row r="26">
      <c r="A26" s="1" t="s">
        <v>32</v>
      </c>
    </row>
    <row r="27">
      <c r="A27" t="s">
        <v>33</v>
      </c>
      <c r="B27" t="s">
        <v>29</v>
      </c>
      <c r="C27" t="s">
        <v>34</v>
      </c>
    </row>
    <row r="28">
      <c r="A28" t="s">
        <v>30</v>
      </c>
      <c r="B28" t="s">
        <v>30</v>
      </c>
      <c r="C28" t="n">
        <v>108</v>
      </c>
    </row>
    <row r="29">
      <c r="A29" t="s">
        <v>31</v>
      </c>
      <c r="B29" t="s">
        <v>31</v>
      </c>
      <c r="C29" t="n">
        <v>42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35</v>
      </c>
    </row>
    <row r="2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>
      <c r="A3" t="s">
        <v>44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47</v>
      </c>
    </row>
    <row r="4">
      <c r="A4" t="s">
        <v>51</v>
      </c>
      <c r="B4" t="s">
        <v>52</v>
      </c>
      <c r="C4" t="s">
        <v>53</v>
      </c>
      <c r="D4" t="s">
        <v>54</v>
      </c>
      <c r="E4" t="s">
        <v>48</v>
      </c>
      <c r="F4" t="s">
        <v>55</v>
      </c>
      <c r="G4" t="s">
        <v>56</v>
      </c>
      <c r="H4" t="s">
        <v>57</v>
      </c>
    </row>
    <row r="5">
      <c r="A5" t="s">
        <v>58</v>
      </c>
      <c r="B5" t="s">
        <v>59</v>
      </c>
      <c r="C5" t="s">
        <v>60</v>
      </c>
      <c r="D5" t="s">
        <v>61</v>
      </c>
      <c r="E5" t="s">
        <v>48</v>
      </c>
      <c r="F5" t="s">
        <v>55</v>
      </c>
      <c r="G5" t="s">
        <v>62</v>
      </c>
      <c r="H5" t="s">
        <v>63</v>
      </c>
    </row>
    <row r="6">
      <c r="A6" t="s">
        <v>64</v>
      </c>
      <c r="B6" t="s">
        <v>65</v>
      </c>
      <c r="C6" t="s">
        <v>66</v>
      </c>
      <c r="D6" t="s">
        <v>67</v>
      </c>
      <c r="E6" t="s">
        <v>48</v>
      </c>
      <c r="F6" t="s">
        <v>55</v>
      </c>
      <c r="G6" t="s">
        <v>68</v>
      </c>
      <c r="H6" t="s">
        <v>69</v>
      </c>
    </row>
    <row r="7">
      <c r="A7" t="s">
        <v>70</v>
      </c>
      <c r="B7" t="s">
        <v>71</v>
      </c>
      <c r="C7" t="s">
        <v>72</v>
      </c>
      <c r="D7" t="s">
        <v>73</v>
      </c>
      <c r="E7" t="s">
        <v>48</v>
      </c>
      <c r="F7" t="s">
        <v>55</v>
      </c>
      <c r="G7" t="s">
        <v>74</v>
      </c>
      <c r="H7" t="s">
        <v>75</v>
      </c>
    </row>
    <row r="8">
      <c r="A8" t="s">
        <v>76</v>
      </c>
      <c r="B8" t="s">
        <v>77</v>
      </c>
      <c r="C8" t="s">
        <v>77</v>
      </c>
      <c r="D8" t="s">
        <v>78</v>
      </c>
      <c r="E8" t="s">
        <v>48</v>
      </c>
      <c r="F8" t="s">
        <v>55</v>
      </c>
      <c r="G8" t="s">
        <v>79</v>
      </c>
      <c r="H8" t="s">
        <v>80</v>
      </c>
    </row>
    <row r="9">
      <c r="A9" t="s">
        <v>81</v>
      </c>
      <c r="B9" t="s">
        <v>82</v>
      </c>
      <c r="C9" t="s">
        <v>83</v>
      </c>
      <c r="D9" t="s">
        <v>84</v>
      </c>
      <c r="E9" t="s">
        <v>48</v>
      </c>
      <c r="F9" t="s">
        <v>49</v>
      </c>
      <c r="G9" t="s">
        <v>85</v>
      </c>
      <c r="H9" t="s">
        <v>86</v>
      </c>
    </row>
    <row r="10">
      <c r="A10" t="s">
        <v>87</v>
      </c>
      <c r="B10" t="s">
        <v>88</v>
      </c>
      <c r="C10" t="s">
        <v>89</v>
      </c>
      <c r="D10" t="s">
        <v>90</v>
      </c>
      <c r="E10" t="s">
        <v>48</v>
      </c>
      <c r="F10" t="s">
        <v>55</v>
      </c>
      <c r="G10" t="s">
        <v>91</v>
      </c>
      <c r="H10" t="s">
        <v>92</v>
      </c>
    </row>
    <row r="11">
      <c r="A11" t="s">
        <v>93</v>
      </c>
      <c r="B11" t="s">
        <v>94</v>
      </c>
      <c r="C11" t="s">
        <v>95</v>
      </c>
      <c r="D11" t="s">
        <v>96</v>
      </c>
      <c r="E11" t="s">
        <v>97</v>
      </c>
      <c r="F11" t="s">
        <v>55</v>
      </c>
      <c r="G11" t="s">
        <v>98</v>
      </c>
      <c r="H11" t="s">
        <v>98</v>
      </c>
    </row>
    <row r="12">
      <c r="A12" t="s">
        <v>99</v>
      </c>
      <c r="B12" t="s">
        <v>100</v>
      </c>
      <c r="C12" t="s">
        <v>101</v>
      </c>
      <c r="D12" t="s">
        <v>102</v>
      </c>
      <c r="E12" t="s">
        <v>103</v>
      </c>
      <c r="F12" t="s">
        <v>55</v>
      </c>
      <c r="G12" t="s">
        <v>104</v>
      </c>
      <c r="H12" t="s">
        <v>105</v>
      </c>
    </row>
    <row r="13">
      <c r="A13" t="s">
        <v>106</v>
      </c>
      <c r="B13" t="s">
        <v>107</v>
      </c>
      <c r="C13" t="s">
        <v>108</v>
      </c>
      <c r="D13" t="s">
        <v>109</v>
      </c>
      <c r="E13" t="s">
        <v>103</v>
      </c>
      <c r="F13" t="s">
        <v>55</v>
      </c>
      <c r="G13" t="s">
        <v>110</v>
      </c>
      <c r="H13" t="s">
        <v>111</v>
      </c>
    </row>
    <row r="14">
      <c r="A14" t="s">
        <v>112</v>
      </c>
      <c r="B14" t="s">
        <v>113</v>
      </c>
      <c r="C14" t="s">
        <v>114</v>
      </c>
      <c r="D14" t="s">
        <v>115</v>
      </c>
      <c r="E14" t="s">
        <v>103</v>
      </c>
      <c r="F14" t="s">
        <v>55</v>
      </c>
      <c r="G14" t="s">
        <v>98</v>
      </c>
      <c r="H14" t="s">
        <v>98</v>
      </c>
    </row>
    <row r="15">
      <c r="A15" t="s">
        <v>116</v>
      </c>
      <c r="B15" t="s">
        <v>117</v>
      </c>
      <c r="C15" t="s">
        <v>118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</row>
    <row r="16">
      <c r="A16" t="s">
        <v>119</v>
      </c>
      <c r="B16" t="s">
        <v>120</v>
      </c>
      <c r="C16" t="s">
        <v>121</v>
      </c>
      <c r="D16" t="s">
        <v>98</v>
      </c>
      <c r="E16" t="s">
        <v>98</v>
      </c>
      <c r="F16" t="s">
        <v>98</v>
      </c>
      <c r="G16" t="s">
        <v>98</v>
      </c>
      <c r="H16" t="s">
        <v>98</v>
      </c>
    </row>
    <row r="18">
      <c r="A18" s="1" t="s">
        <v>122</v>
      </c>
    </row>
    <row r="19">
      <c r="A19" t="s">
        <v>36</v>
      </c>
      <c r="B19" t="s">
        <v>37</v>
      </c>
      <c r="C19" t="s">
        <v>38</v>
      </c>
      <c r="D19" t="s">
        <v>39</v>
      </c>
      <c r="E19" t="s">
        <v>40</v>
      </c>
      <c r="F19" t="s">
        <v>41</v>
      </c>
      <c r="G19" t="s">
        <v>42</v>
      </c>
      <c r="H19" t="s">
        <v>43</v>
      </c>
    </row>
    <row r="20">
      <c r="A20" t="s">
        <v>123</v>
      </c>
      <c r="B20" t="s">
        <v>124</v>
      </c>
      <c r="C20" t="s">
        <v>125</v>
      </c>
      <c r="D20" t="s">
        <v>126</v>
      </c>
      <c r="E20" t="s">
        <v>48</v>
      </c>
      <c r="F20" t="s">
        <v>55</v>
      </c>
      <c r="G20" t="s">
        <v>127</v>
      </c>
      <c r="H20" t="s">
        <v>128</v>
      </c>
    </row>
    <row r="21">
      <c r="A21" t="s">
        <v>129</v>
      </c>
      <c r="B21" t="s">
        <v>130</v>
      </c>
      <c r="C21" t="s">
        <v>131</v>
      </c>
      <c r="D21" t="s">
        <v>132</v>
      </c>
      <c r="E21" t="s">
        <v>48</v>
      </c>
      <c r="F21" t="s">
        <v>55</v>
      </c>
      <c r="G21" t="s">
        <v>133</v>
      </c>
      <c r="H21" t="s">
        <v>134</v>
      </c>
    </row>
    <row r="22">
      <c r="A22" t="s">
        <v>135</v>
      </c>
      <c r="B22" t="s">
        <v>136</v>
      </c>
      <c r="C22" t="s">
        <v>137</v>
      </c>
      <c r="D22"/>
      <c r="E22" t="s">
        <v>138</v>
      </c>
      <c r="F22" t="s">
        <v>139</v>
      </c>
      <c r="G22" t="s">
        <v>98</v>
      </c>
      <c r="H22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140</v>
      </c>
      <c r="J1" t="s">
        <v>141</v>
      </c>
    </row>
    <row r="2">
      <c r="A2" t="s">
        <v>142</v>
      </c>
      <c r="B2" t="s">
        <v>143</v>
      </c>
      <c r="C2" t="s">
        <v>144</v>
      </c>
      <c r="D2" t="s">
        <v>145</v>
      </c>
      <c r="E2" t="s">
        <v>48</v>
      </c>
      <c r="F2" t="s">
        <v>55</v>
      </c>
      <c r="G2" t="s">
        <v>146</v>
      </c>
      <c r="H2" t="s">
        <v>147</v>
      </c>
      <c r="I2" t="s">
        <v>148</v>
      </c>
      <c r="J2" t="s">
        <v>149</v>
      </c>
    </row>
    <row r="3">
      <c r="A3" t="s">
        <v>150</v>
      </c>
      <c r="B3" t="s">
        <v>151</v>
      </c>
      <c r="C3" t="s">
        <v>152</v>
      </c>
      <c r="D3" t="s">
        <v>47</v>
      </c>
      <c r="E3" t="s">
        <v>48</v>
      </c>
      <c r="F3" t="s">
        <v>49</v>
      </c>
      <c r="G3" t="s">
        <v>153</v>
      </c>
      <c r="H3" t="s">
        <v>47</v>
      </c>
      <c r="I3" t="s">
        <v>154</v>
      </c>
      <c r="J3" t="s">
        <v>47</v>
      </c>
    </row>
    <row r="4">
      <c r="A4" t="s">
        <v>155</v>
      </c>
      <c r="B4" t="s">
        <v>156</v>
      </c>
      <c r="C4" t="s">
        <v>157</v>
      </c>
      <c r="D4" t="s">
        <v>158</v>
      </c>
      <c r="E4" t="s">
        <v>48</v>
      </c>
      <c r="F4" t="s">
        <v>49</v>
      </c>
      <c r="G4" t="s">
        <v>159</v>
      </c>
      <c r="H4" t="s">
        <v>160</v>
      </c>
      <c r="I4" t="s">
        <v>161</v>
      </c>
      <c r="J4" t="s">
        <v>162</v>
      </c>
    </row>
    <row r="5">
      <c r="A5" t="s">
        <v>163</v>
      </c>
      <c r="B5" t="s">
        <v>164</v>
      </c>
      <c r="C5" t="s">
        <v>165</v>
      </c>
      <c r="D5" t="s">
        <v>47</v>
      </c>
      <c r="E5" t="s">
        <v>48</v>
      </c>
      <c r="F5" t="s">
        <v>49</v>
      </c>
      <c r="G5" t="s">
        <v>166</v>
      </c>
      <c r="H5" t="s">
        <v>47</v>
      </c>
      <c r="I5" t="s">
        <v>167</v>
      </c>
      <c r="J5" t="s">
        <v>47</v>
      </c>
    </row>
    <row r="6">
      <c r="A6" t="s">
        <v>168</v>
      </c>
      <c r="B6" t="s">
        <v>169</v>
      </c>
      <c r="C6" t="s">
        <v>77</v>
      </c>
      <c r="D6" t="s">
        <v>170</v>
      </c>
      <c r="E6" t="s">
        <v>48</v>
      </c>
      <c r="F6" t="s">
        <v>55</v>
      </c>
      <c r="G6" t="s">
        <v>171</v>
      </c>
      <c r="H6" t="s">
        <v>172</v>
      </c>
      <c r="I6" t="s">
        <v>173</v>
      </c>
      <c r="J6" t="s">
        <v>174</v>
      </c>
    </row>
    <row r="7">
      <c r="A7" t="s">
        <v>175</v>
      </c>
      <c r="B7" t="s">
        <v>176</v>
      </c>
      <c r="C7" t="s">
        <v>94</v>
      </c>
      <c r="D7" t="s">
        <v>158</v>
      </c>
      <c r="E7" t="s">
        <v>97</v>
      </c>
      <c r="F7" t="s">
        <v>49</v>
      </c>
      <c r="G7" t="s">
        <v>98</v>
      </c>
      <c r="H7" t="s">
        <v>98</v>
      </c>
      <c r="I7" t="s">
        <v>98</v>
      </c>
      <c r="J7" t="s">
        <v>98</v>
      </c>
    </row>
    <row r="8">
      <c r="A8" t="s">
        <v>177</v>
      </c>
      <c r="B8" t="s">
        <v>178</v>
      </c>
      <c r="C8" t="s">
        <v>179</v>
      </c>
      <c r="D8" t="s">
        <v>180</v>
      </c>
      <c r="E8" t="s">
        <v>97</v>
      </c>
      <c r="F8" t="s">
        <v>49</v>
      </c>
      <c r="G8" t="s">
        <v>98</v>
      </c>
      <c r="H8" t="s">
        <v>98</v>
      </c>
      <c r="I8" t="s">
        <v>98</v>
      </c>
      <c r="J8" t="s">
        <v>98</v>
      </c>
    </row>
    <row r="9">
      <c r="A9" t="s">
        <v>181</v>
      </c>
      <c r="B9" t="s">
        <v>182</v>
      </c>
      <c r="C9" t="s">
        <v>183</v>
      </c>
      <c r="D9" t="s">
        <v>47</v>
      </c>
      <c r="E9" t="s">
        <v>103</v>
      </c>
      <c r="F9" t="s">
        <v>49</v>
      </c>
      <c r="G9" t="s">
        <v>184</v>
      </c>
      <c r="H9" t="s">
        <v>47</v>
      </c>
      <c r="I9" t="s">
        <v>185</v>
      </c>
      <c r="J9" t="s">
        <v>186</v>
      </c>
    </row>
    <row r="10">
      <c r="A10" t="s">
        <v>187</v>
      </c>
      <c r="B10" t="s">
        <v>188</v>
      </c>
      <c r="C10" t="s">
        <v>189</v>
      </c>
      <c r="D10" t="s">
        <v>190</v>
      </c>
      <c r="E10" t="s">
        <v>191</v>
      </c>
      <c r="F10" t="s">
        <v>49</v>
      </c>
      <c r="G10" t="s">
        <v>192</v>
      </c>
      <c r="H10" t="s">
        <v>193</v>
      </c>
      <c r="I10" t="s">
        <v>194</v>
      </c>
      <c r="J10" t="s">
        <v>195</v>
      </c>
    </row>
    <row r="11">
      <c r="A11" t="s">
        <v>196</v>
      </c>
      <c r="B11" t="s">
        <v>197</v>
      </c>
      <c r="C11" t="s">
        <v>198</v>
      </c>
      <c r="D11" t="s">
        <v>199</v>
      </c>
      <c r="E11" t="s">
        <v>191</v>
      </c>
      <c r="F11" t="s">
        <v>55</v>
      </c>
      <c r="G11" t="s">
        <v>98</v>
      </c>
      <c r="H11" t="s">
        <v>98</v>
      </c>
      <c r="I11" t="s">
        <v>98</v>
      </c>
      <c r="J11" t="s">
        <v>98</v>
      </c>
    </row>
    <row r="12">
      <c r="A12" t="s">
        <v>200</v>
      </c>
      <c r="B12" t="s">
        <v>201</v>
      </c>
      <c r="C12" t="s">
        <v>198</v>
      </c>
      <c r="D12" t="s">
        <v>98</v>
      </c>
      <c r="E12" t="s">
        <v>98</v>
      </c>
      <c r="F12" t="s">
        <v>98</v>
      </c>
      <c r="G12" t="s">
        <v>98</v>
      </c>
      <c r="H12" t="s">
        <v>98</v>
      </c>
      <c r="I12" t="s">
        <v>98</v>
      </c>
      <c r="J12" t="s">
        <v>98</v>
      </c>
    </row>
    <row r="13">
      <c r="A13" t="s">
        <v>202</v>
      </c>
      <c r="B13" t="s">
        <v>203</v>
      </c>
      <c r="C13" t="s">
        <v>204</v>
      </c>
      <c r="D13" t="s">
        <v>98</v>
      </c>
      <c r="E13" t="s">
        <v>98</v>
      </c>
      <c r="F13" t="s">
        <v>98</v>
      </c>
      <c r="G13" t="s">
        <v>98</v>
      </c>
      <c r="H13" t="s">
        <v>98</v>
      </c>
      <c r="I13" t="s">
        <v>98</v>
      </c>
      <c r="J13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2" t="s">
        <v>36</v>
      </c>
      <c r="B1" s="2" t="s">
        <v>37</v>
      </c>
      <c r="C1" s="2" t="s">
        <v>38</v>
      </c>
      <c r="D1" s="2" t="s">
        <v>205</v>
      </c>
      <c r="E1" s="2" t="s">
        <v>42</v>
      </c>
      <c r="F1" s="2" t="s">
        <v>43</v>
      </c>
      <c r="G1" s="2" t="s">
        <v>140</v>
      </c>
      <c r="H1" s="2" t="s">
        <v>141</v>
      </c>
    </row>
    <row r="2">
      <c r="A2" s="3" t="s">
        <v>206</v>
      </c>
      <c r="B2" s="3" t="s">
        <v>98</v>
      </c>
      <c r="C2" s="3" t="s">
        <v>98</v>
      </c>
      <c r="D2" s="3" t="s">
        <v>98</v>
      </c>
      <c r="E2" s="3" t="s">
        <v>98</v>
      </c>
      <c r="F2" s="3" t="s">
        <v>98</v>
      </c>
      <c r="G2" s="3" t="s">
        <v>98</v>
      </c>
      <c r="H2" s="3" t="s">
        <v>98</v>
      </c>
    </row>
    <row r="3">
      <c r="A3" t="s">
        <v>207</v>
      </c>
      <c r="B3" t="s">
        <v>45</v>
      </c>
      <c r="C3" t="s">
        <v>46</v>
      </c>
      <c r="D3" t="s">
        <v>47</v>
      </c>
      <c r="E3" t="s">
        <v>50</v>
      </c>
      <c r="F3" t="s">
        <v>47</v>
      </c>
      <c r="G3" t="s">
        <v>98</v>
      </c>
      <c r="H3" t="s">
        <v>98</v>
      </c>
    </row>
    <row r="4">
      <c r="A4" t="s">
        <v>208</v>
      </c>
      <c r="B4" t="s">
        <v>52</v>
      </c>
      <c r="C4" t="s">
        <v>53</v>
      </c>
      <c r="D4" t="s">
        <v>54</v>
      </c>
      <c r="E4" t="s">
        <v>56</v>
      </c>
      <c r="F4" t="s">
        <v>57</v>
      </c>
      <c r="G4" t="s">
        <v>98</v>
      </c>
      <c r="H4" t="s">
        <v>98</v>
      </c>
    </row>
    <row r="5">
      <c r="A5" t="s">
        <v>209</v>
      </c>
      <c r="B5" t="s">
        <v>59</v>
      </c>
      <c r="C5" t="s">
        <v>60</v>
      </c>
      <c r="D5" t="s">
        <v>61</v>
      </c>
      <c r="E5" t="s">
        <v>62</v>
      </c>
      <c r="F5" t="s">
        <v>63</v>
      </c>
      <c r="G5" t="s">
        <v>98</v>
      </c>
      <c r="H5" t="s">
        <v>98</v>
      </c>
    </row>
    <row r="6">
      <c r="A6" t="s">
        <v>210</v>
      </c>
      <c r="B6" t="s">
        <v>65</v>
      </c>
      <c r="C6" t="s">
        <v>66</v>
      </c>
      <c r="D6" t="s">
        <v>67</v>
      </c>
      <c r="E6" t="s">
        <v>68</v>
      </c>
      <c r="F6" t="s">
        <v>69</v>
      </c>
      <c r="G6" t="s">
        <v>98</v>
      </c>
      <c r="H6" t="s">
        <v>98</v>
      </c>
    </row>
    <row r="7">
      <c r="A7" t="s">
        <v>211</v>
      </c>
      <c r="B7" t="s">
        <v>71</v>
      </c>
      <c r="C7" t="s">
        <v>72</v>
      </c>
      <c r="D7" t="s">
        <v>73</v>
      </c>
      <c r="E7" t="s">
        <v>74</v>
      </c>
      <c r="F7" t="s">
        <v>75</v>
      </c>
      <c r="G7" t="s">
        <v>98</v>
      </c>
      <c r="H7" t="s">
        <v>98</v>
      </c>
    </row>
    <row r="8">
      <c r="A8" t="s">
        <v>212</v>
      </c>
      <c r="B8" t="s">
        <v>77</v>
      </c>
      <c r="C8" t="s">
        <v>77</v>
      </c>
      <c r="D8" t="s">
        <v>78</v>
      </c>
      <c r="E8" t="s">
        <v>79</v>
      </c>
      <c r="F8" t="s">
        <v>80</v>
      </c>
      <c r="G8" t="s">
        <v>98</v>
      </c>
      <c r="H8" t="s">
        <v>98</v>
      </c>
    </row>
    <row r="9">
      <c r="A9" t="s">
        <v>213</v>
      </c>
      <c r="B9" t="s">
        <v>82</v>
      </c>
      <c r="C9" t="s">
        <v>83</v>
      </c>
      <c r="D9" t="s">
        <v>84</v>
      </c>
      <c r="E9" t="s">
        <v>85</v>
      </c>
      <c r="F9" t="s">
        <v>86</v>
      </c>
      <c r="G9" t="s">
        <v>98</v>
      </c>
      <c r="H9" t="s">
        <v>98</v>
      </c>
    </row>
    <row r="10">
      <c r="A10" t="s">
        <v>214</v>
      </c>
      <c r="B10" t="s">
        <v>88</v>
      </c>
      <c r="C10" t="s">
        <v>89</v>
      </c>
      <c r="D10" t="s">
        <v>90</v>
      </c>
      <c r="E10" t="s">
        <v>91</v>
      </c>
      <c r="F10" t="s">
        <v>92</v>
      </c>
      <c r="G10" t="s">
        <v>98</v>
      </c>
      <c r="H10" t="s">
        <v>98</v>
      </c>
    </row>
    <row r="11">
      <c r="A11" t="s">
        <v>215</v>
      </c>
      <c r="B11" t="s">
        <v>94</v>
      </c>
      <c r="C11" t="s">
        <v>95</v>
      </c>
      <c r="D11" t="s">
        <v>96</v>
      </c>
      <c r="E11" t="s">
        <v>98</v>
      </c>
      <c r="F11" t="s">
        <v>98</v>
      </c>
      <c r="G11" t="s">
        <v>98</v>
      </c>
      <c r="H11" t="s">
        <v>98</v>
      </c>
    </row>
    <row r="12">
      <c r="A12" t="s">
        <v>99</v>
      </c>
      <c r="B12" t="s">
        <v>100</v>
      </c>
      <c r="C12" t="s">
        <v>101</v>
      </c>
      <c r="D12" t="s">
        <v>102</v>
      </c>
      <c r="E12" t="s">
        <v>104</v>
      </c>
      <c r="F12" t="s">
        <v>105</v>
      </c>
      <c r="G12" t="s">
        <v>98</v>
      </c>
      <c r="H12" t="s">
        <v>98</v>
      </c>
    </row>
    <row r="13">
      <c r="A13" t="s">
        <v>106</v>
      </c>
      <c r="B13" t="s">
        <v>107</v>
      </c>
      <c r="C13" t="s">
        <v>108</v>
      </c>
      <c r="D13" t="s">
        <v>109</v>
      </c>
      <c r="E13" t="s">
        <v>110</v>
      </c>
      <c r="F13" t="s">
        <v>111</v>
      </c>
      <c r="G13" t="s">
        <v>98</v>
      </c>
      <c r="H13" t="s">
        <v>98</v>
      </c>
    </row>
    <row r="14">
      <c r="A14" t="s">
        <v>112</v>
      </c>
      <c r="B14" t="s">
        <v>113</v>
      </c>
      <c r="C14" t="s">
        <v>114</v>
      </c>
      <c r="D14" t="s">
        <v>115</v>
      </c>
      <c r="E14" t="s">
        <v>98</v>
      </c>
      <c r="F14" t="s">
        <v>98</v>
      </c>
      <c r="G14" t="s">
        <v>98</v>
      </c>
      <c r="H14" t="s">
        <v>98</v>
      </c>
    </row>
    <row r="15">
      <c r="A15" t="s">
        <v>116</v>
      </c>
      <c r="B15" t="s">
        <v>117</v>
      </c>
      <c r="C15" t="s">
        <v>118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</row>
    <row r="16">
      <c r="A16" t="s">
        <v>119</v>
      </c>
      <c r="B16" t="s">
        <v>120</v>
      </c>
      <c r="C16" t="s">
        <v>121</v>
      </c>
      <c r="D16" t="s">
        <v>98</v>
      </c>
      <c r="E16" t="s">
        <v>98</v>
      </c>
      <c r="F16" t="s">
        <v>98</v>
      </c>
      <c r="G16" t="s">
        <v>98</v>
      </c>
      <c r="H16" t="s">
        <v>98</v>
      </c>
    </row>
    <row r="17">
      <c r="A17" s="3" t="s">
        <v>122</v>
      </c>
      <c r="B17" s="3" t="s">
        <v>98</v>
      </c>
      <c r="C17" s="3" t="s">
        <v>98</v>
      </c>
      <c r="D17" s="3" t="s">
        <v>98</v>
      </c>
      <c r="E17" s="3" t="s">
        <v>98</v>
      </c>
      <c r="F17" s="3" t="s">
        <v>98</v>
      </c>
      <c r="G17" s="3" t="s">
        <v>98</v>
      </c>
      <c r="H17" s="3" t="s">
        <v>98</v>
      </c>
    </row>
    <row r="18">
      <c r="A18" t="s">
        <v>216</v>
      </c>
      <c r="B18" t="s">
        <v>124</v>
      </c>
      <c r="C18" t="s">
        <v>125</v>
      </c>
      <c r="D18" t="s">
        <v>126</v>
      </c>
      <c r="E18" t="s">
        <v>127</v>
      </c>
      <c r="F18" t="s">
        <v>128</v>
      </c>
      <c r="G18" t="s">
        <v>98</v>
      </c>
      <c r="H18" t="s">
        <v>98</v>
      </c>
    </row>
    <row r="19">
      <c r="A19" t="s">
        <v>217</v>
      </c>
      <c r="B19" t="s">
        <v>130</v>
      </c>
      <c r="C19" t="s">
        <v>131</v>
      </c>
      <c r="D19" t="s">
        <v>132</v>
      </c>
      <c r="E19" t="s">
        <v>133</v>
      </c>
      <c r="F19" t="s">
        <v>134</v>
      </c>
      <c r="G19" t="s">
        <v>98</v>
      </c>
      <c r="H19" t="s">
        <v>98</v>
      </c>
    </row>
    <row r="20">
      <c r="A20" t="s">
        <v>135</v>
      </c>
      <c r="B20" t="s">
        <v>136</v>
      </c>
      <c r="C20" t="s">
        <v>137</v>
      </c>
      <c r="D20" t="s">
        <v>218</v>
      </c>
      <c r="E20" t="s">
        <v>98</v>
      </c>
      <c r="F20" t="s">
        <v>98</v>
      </c>
      <c r="G20" t="s">
        <v>98</v>
      </c>
      <c r="H20" t="s">
        <v>98</v>
      </c>
    </row>
    <row r="21">
      <c r="A21" s="3" t="s">
        <v>219</v>
      </c>
      <c r="B21" s="3" t="s">
        <v>98</v>
      </c>
      <c r="C21" s="3" t="s">
        <v>98</v>
      </c>
      <c r="D21" s="3" t="s">
        <v>98</v>
      </c>
      <c r="E21" s="3" t="s">
        <v>98</v>
      </c>
      <c r="F21" s="3" t="s">
        <v>98</v>
      </c>
      <c r="G21" s="3" t="s">
        <v>98</v>
      </c>
      <c r="H21" s="3" t="s">
        <v>98</v>
      </c>
    </row>
    <row r="22">
      <c r="A22" t="s">
        <v>220</v>
      </c>
      <c r="B22" t="s">
        <v>143</v>
      </c>
      <c r="C22" t="s">
        <v>144</v>
      </c>
      <c r="D22" t="s">
        <v>145</v>
      </c>
      <c r="E22" t="s">
        <v>146</v>
      </c>
      <c r="F22" t="s">
        <v>147</v>
      </c>
      <c r="G22" t="s">
        <v>148</v>
      </c>
      <c r="H22" t="s">
        <v>149</v>
      </c>
    </row>
    <row r="23">
      <c r="A23" t="s">
        <v>221</v>
      </c>
      <c r="B23" t="s">
        <v>151</v>
      </c>
      <c r="C23" t="s">
        <v>152</v>
      </c>
      <c r="D23" t="s">
        <v>47</v>
      </c>
      <c r="E23" t="s">
        <v>153</v>
      </c>
      <c r="F23" t="s">
        <v>47</v>
      </c>
      <c r="G23" t="s">
        <v>154</v>
      </c>
      <c r="H23" t="s">
        <v>47</v>
      </c>
    </row>
    <row r="24">
      <c r="A24" t="s">
        <v>222</v>
      </c>
      <c r="B24" t="s">
        <v>156</v>
      </c>
      <c r="C24" t="s">
        <v>157</v>
      </c>
      <c r="D24" t="s">
        <v>158</v>
      </c>
      <c r="E24" t="s">
        <v>159</v>
      </c>
      <c r="F24" t="s">
        <v>160</v>
      </c>
      <c r="G24" t="s">
        <v>161</v>
      </c>
      <c r="H24" t="s">
        <v>162</v>
      </c>
    </row>
    <row r="25">
      <c r="A25" t="s">
        <v>223</v>
      </c>
      <c r="B25" t="s">
        <v>164</v>
      </c>
      <c r="C25" t="s">
        <v>165</v>
      </c>
      <c r="D25" t="s">
        <v>47</v>
      </c>
      <c r="E25" t="s">
        <v>166</v>
      </c>
      <c r="F25" t="s">
        <v>47</v>
      </c>
      <c r="G25" t="s">
        <v>167</v>
      </c>
      <c r="H25" t="s">
        <v>47</v>
      </c>
    </row>
    <row r="26">
      <c r="A26" t="s">
        <v>224</v>
      </c>
      <c r="B26" t="s">
        <v>169</v>
      </c>
      <c r="C26" t="s">
        <v>77</v>
      </c>
      <c r="D26" t="s">
        <v>170</v>
      </c>
      <c r="E26" t="s">
        <v>171</v>
      </c>
      <c r="F26" t="s">
        <v>172</v>
      </c>
      <c r="G26" t="s">
        <v>173</v>
      </c>
      <c r="H26" t="s">
        <v>174</v>
      </c>
    </row>
    <row r="27">
      <c r="A27" t="s">
        <v>225</v>
      </c>
      <c r="B27" t="s">
        <v>176</v>
      </c>
      <c r="C27" t="s">
        <v>94</v>
      </c>
      <c r="D27" t="s">
        <v>158</v>
      </c>
      <c r="E27" t="s">
        <v>98</v>
      </c>
      <c r="F27" t="s">
        <v>98</v>
      </c>
      <c r="G27" t="s">
        <v>98</v>
      </c>
      <c r="H27" t="s">
        <v>98</v>
      </c>
    </row>
    <row r="28">
      <c r="A28" t="s">
        <v>226</v>
      </c>
      <c r="B28" t="s">
        <v>178</v>
      </c>
      <c r="C28" t="s">
        <v>179</v>
      </c>
      <c r="D28" t="s">
        <v>180</v>
      </c>
      <c r="E28" t="s">
        <v>98</v>
      </c>
      <c r="F28" t="s">
        <v>98</v>
      </c>
      <c r="G28" t="s">
        <v>98</v>
      </c>
      <c r="H28" t="s">
        <v>98</v>
      </c>
    </row>
    <row r="29">
      <c r="A29" t="s">
        <v>227</v>
      </c>
      <c r="B29" t="s">
        <v>182</v>
      </c>
      <c r="C29" t="s">
        <v>183</v>
      </c>
      <c r="D29" t="s">
        <v>47</v>
      </c>
      <c r="E29" t="s">
        <v>184</v>
      </c>
      <c r="F29" t="s">
        <v>47</v>
      </c>
      <c r="G29" t="s">
        <v>185</v>
      </c>
      <c r="H29" t="s">
        <v>186</v>
      </c>
    </row>
    <row r="30">
      <c r="A30" t="s">
        <v>228</v>
      </c>
      <c r="B30" t="s">
        <v>188</v>
      </c>
      <c r="C30" t="s">
        <v>189</v>
      </c>
      <c r="D30" t="s">
        <v>190</v>
      </c>
      <c r="E30" t="s">
        <v>192</v>
      </c>
      <c r="F30" t="s">
        <v>193</v>
      </c>
      <c r="G30" t="s">
        <v>194</v>
      </c>
      <c r="H30" t="s">
        <v>195</v>
      </c>
    </row>
    <row r="31">
      <c r="A31" t="s">
        <v>229</v>
      </c>
      <c r="B31" t="s">
        <v>197</v>
      </c>
      <c r="C31" t="s">
        <v>198</v>
      </c>
      <c r="D31" t="s">
        <v>199</v>
      </c>
      <c r="E31" t="s">
        <v>98</v>
      </c>
      <c r="F31" t="s">
        <v>98</v>
      </c>
      <c r="G31" t="s">
        <v>98</v>
      </c>
      <c r="H31" t="s">
        <v>98</v>
      </c>
    </row>
    <row r="32">
      <c r="A32" t="s">
        <v>230</v>
      </c>
      <c r="B32" t="s">
        <v>201</v>
      </c>
      <c r="C32" t="s">
        <v>198</v>
      </c>
      <c r="D32" t="s">
        <v>98</v>
      </c>
      <c r="E32" t="s">
        <v>98</v>
      </c>
      <c r="F32" t="s">
        <v>98</v>
      </c>
      <c r="G32" t="s">
        <v>98</v>
      </c>
      <c r="H32" t="s">
        <v>98</v>
      </c>
    </row>
    <row r="33">
      <c r="A33" t="s">
        <v>231</v>
      </c>
      <c r="B33" t="s">
        <v>203</v>
      </c>
      <c r="C33" t="s">
        <v>204</v>
      </c>
      <c r="D33" t="s">
        <v>98</v>
      </c>
      <c r="E33" t="s">
        <v>98</v>
      </c>
      <c r="F33" t="s">
        <v>98</v>
      </c>
      <c r="G33" t="s">
        <v>98</v>
      </c>
      <c r="H33" t="s">
        <v>98</v>
      </c>
    </row>
    <row r="35">
      <c r="A35" t="s">
        <v>232</v>
      </c>
    </row>
    <row r="36">
      <c r="A36" t="s">
        <v>233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234</v>
      </c>
      <c r="C1" s="4" t="s">
        <v>235</v>
      </c>
      <c r="D1" s="4" t="s">
        <v>236</v>
      </c>
      <c r="E1" s="5" t="s">
        <v>237</v>
      </c>
      <c r="F1" s="5" t="s">
        <v>238</v>
      </c>
      <c r="G1" s="5" t="s">
        <v>239</v>
      </c>
      <c r="H1" s="5" t="s">
        <v>240</v>
      </c>
      <c r="I1" s="5" t="s">
        <v>76</v>
      </c>
      <c r="J1" s="6" t="s">
        <v>241</v>
      </c>
      <c r="K1" s="6" t="s">
        <v>242</v>
      </c>
      <c r="L1" s="6" t="s">
        <v>243</v>
      </c>
      <c r="M1" s="6" t="s">
        <v>244</v>
      </c>
      <c r="N1" s="7" t="s">
        <v>245</v>
      </c>
      <c r="O1" s="7" t="s">
        <v>246</v>
      </c>
      <c r="P1" s="7" t="s">
        <v>247</v>
      </c>
      <c r="Q1" s="7" t="s">
        <v>248</v>
      </c>
      <c r="R1" s="7" t="s">
        <v>168</v>
      </c>
      <c r="S1" s="7" t="s">
        <v>163</v>
      </c>
      <c r="T1" s="8" t="s">
        <v>249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250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251</v>
      </c>
      <c r="S2" t="s">
        <v>250</v>
      </c>
      <c r="T2" t="n">
        <v>0</v>
      </c>
    </row>
    <row r="3">
      <c r="A3" t="s">
        <v>30</v>
      </c>
      <c r="B3" t="n">
        <v>1.03</v>
      </c>
      <c r="C3" t="n">
        <v>1</v>
      </c>
      <c r="D3" t="n">
        <v>1.03</v>
      </c>
      <c r="E3" t="n">
        <v>-3</v>
      </c>
      <c r="F3" t="n">
        <v>-0.75</v>
      </c>
      <c r="G3" t="n">
        <v>78</v>
      </c>
      <c r="H3" t="n">
        <v>12</v>
      </c>
      <c r="I3" t="s">
        <v>250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110</v>
      </c>
      <c r="Q3" t="n">
        <v>12</v>
      </c>
      <c r="R3" t="s">
        <v>250</v>
      </c>
      <c r="S3" t="s">
        <v>251</v>
      </c>
      <c r="T3" t="n">
        <v>0</v>
      </c>
    </row>
    <row r="4">
      <c r="A4" t="s">
        <v>30</v>
      </c>
      <c r="B4" t="n">
        <v>1.06</v>
      </c>
      <c r="C4" t="n">
        <v>1.02</v>
      </c>
      <c r="D4" t="n">
        <v>1.08</v>
      </c>
      <c r="E4" t="n">
        <v>-0.75</v>
      </c>
      <c r="F4" t="n">
        <v>0</v>
      </c>
      <c r="G4" t="n">
        <v>80</v>
      </c>
      <c r="H4" t="n">
        <v>12</v>
      </c>
      <c r="I4" t="s">
        <v>250</v>
      </c>
      <c r="J4" t="n">
        <v>0</v>
      </c>
      <c r="K4" t="n">
        <v>0</v>
      </c>
      <c r="L4" t="n">
        <v>0</v>
      </c>
      <c r="M4" t="n">
        <v>12</v>
      </c>
      <c r="N4" t="n">
        <v>0.25</v>
      </c>
      <c r="O4" t="n">
        <v>0</v>
      </c>
      <c r="P4" t="n">
        <v>89</v>
      </c>
      <c r="Q4" t="n">
        <v>12</v>
      </c>
      <c r="R4" t="s">
        <v>252</v>
      </c>
      <c r="S4" t="s">
        <v>251</v>
      </c>
      <c r="T4" t="n">
        <v>0.25</v>
      </c>
    </row>
    <row r="5">
      <c r="A5" t="s">
        <v>30</v>
      </c>
      <c r="B5" t="n">
        <v>1.1</v>
      </c>
      <c r="C5" t="n">
        <v>1.09</v>
      </c>
      <c r="D5" t="n">
        <v>1.12</v>
      </c>
      <c r="E5" t="n">
        <v>-5.25</v>
      </c>
      <c r="F5" t="n">
        <v>-1.25</v>
      </c>
      <c r="G5" t="n">
        <v>103</v>
      </c>
      <c r="H5" t="n">
        <v>12</v>
      </c>
      <c r="I5" t="s">
        <v>252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-0.5</v>
      </c>
      <c r="P5" t="n">
        <v>75</v>
      </c>
      <c r="Q5" t="n">
        <v>12</v>
      </c>
      <c r="R5" t="s">
        <v>252</v>
      </c>
      <c r="S5" t="s">
        <v>252</v>
      </c>
      <c r="T5" t="n">
        <v>0.25</v>
      </c>
    </row>
    <row r="6">
      <c r="A6" t="s">
        <v>30</v>
      </c>
      <c r="B6" t="n">
        <v>0.93</v>
      </c>
      <c r="C6" t="n">
        <v>0.93</v>
      </c>
      <c r="D6" t="n">
        <v>0.95</v>
      </c>
      <c r="E6" t="n">
        <v>-3.25</v>
      </c>
      <c r="F6" t="n">
        <v>-1</v>
      </c>
      <c r="G6" t="n">
        <v>24</v>
      </c>
      <c r="H6" t="n">
        <v>12</v>
      </c>
      <c r="I6" t="s">
        <v>253</v>
      </c>
      <c r="J6" t="n">
        <v>0</v>
      </c>
      <c r="K6" t="n">
        <v>0</v>
      </c>
      <c r="L6" t="n">
        <v>0</v>
      </c>
      <c r="M6" t="n">
        <v>12</v>
      </c>
      <c r="N6" t="n">
        <v>0.5</v>
      </c>
      <c r="O6" t="n">
        <v>-0.5</v>
      </c>
      <c r="P6" t="n">
        <v>36</v>
      </c>
      <c r="Q6" t="n">
        <v>12</v>
      </c>
      <c r="R6" t="s">
        <v>254</v>
      </c>
      <c r="S6" t="s">
        <v>253</v>
      </c>
      <c r="T6" t="n">
        <v>0.25</v>
      </c>
    </row>
    <row r="7">
      <c r="A7" t="s">
        <v>30</v>
      </c>
      <c r="B7" t="n">
        <v>0.96</v>
      </c>
      <c r="C7" t="n">
        <v>0.94</v>
      </c>
      <c r="D7" t="n">
        <v>0.95</v>
      </c>
      <c r="E7" t="n">
        <v>-1</v>
      </c>
      <c r="F7" t="n">
        <v>-0.5</v>
      </c>
      <c r="G7" t="n">
        <v>101</v>
      </c>
      <c r="H7" t="n">
        <v>12</v>
      </c>
      <c r="I7" t="s">
        <v>254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98</v>
      </c>
      <c r="Q7" t="n">
        <v>12</v>
      </c>
      <c r="R7" t="s">
        <v>254</v>
      </c>
      <c r="S7" t="s">
        <v>254</v>
      </c>
      <c r="T7" t="n">
        <v>0.25</v>
      </c>
    </row>
    <row r="8">
      <c r="A8" t="s">
        <v>30</v>
      </c>
      <c r="B8" t="n">
        <v>0.95</v>
      </c>
      <c r="C8" t="n">
        <v>0.9</v>
      </c>
      <c r="D8" t="n">
        <v>1.01</v>
      </c>
      <c r="E8" t="n">
        <v>-5.25</v>
      </c>
      <c r="F8" t="n">
        <v>-1.25</v>
      </c>
      <c r="G8" t="n">
        <v>79</v>
      </c>
      <c r="H8" t="n">
        <v>12</v>
      </c>
      <c r="I8" t="s">
        <v>254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-0.75</v>
      </c>
      <c r="P8" t="n">
        <v>64</v>
      </c>
      <c r="Q8" t="n">
        <v>12</v>
      </c>
      <c r="R8" t="s">
        <v>251</v>
      </c>
      <c r="S8" t="s">
        <v>253</v>
      </c>
      <c r="T8" t="n">
        <v>-0.25</v>
      </c>
    </row>
    <row r="9">
      <c r="A9" t="s">
        <v>30</v>
      </c>
      <c r="B9" t="n">
        <v>1.06</v>
      </c>
      <c r="C9" t="n">
        <v>1.05</v>
      </c>
      <c r="D9" t="n">
        <v>1.13</v>
      </c>
      <c r="E9" t="n">
        <v>-2</v>
      </c>
      <c r="F9" t="n">
        <v>-0.5</v>
      </c>
      <c r="G9" t="n">
        <v>162</v>
      </c>
      <c r="H9" t="n">
        <v>12</v>
      </c>
      <c r="I9" t="s">
        <v>250</v>
      </c>
      <c r="J9" t="n">
        <v>0</v>
      </c>
      <c r="K9" t="n">
        <v>0</v>
      </c>
      <c r="L9" t="n">
        <v>0</v>
      </c>
      <c r="M9" t="n">
        <v>12</v>
      </c>
      <c r="N9" t="n">
        <v>0.5</v>
      </c>
      <c r="O9" t="n">
        <v>-0.25</v>
      </c>
      <c r="P9" t="n">
        <v>138</v>
      </c>
      <c r="Q9" t="n">
        <v>12</v>
      </c>
      <c r="R9" t="s">
        <v>255</v>
      </c>
      <c r="S9" t="s">
        <v>250</v>
      </c>
      <c r="T9" t="n">
        <v>0.25</v>
      </c>
    </row>
    <row r="10">
      <c r="A10" t="s">
        <v>30</v>
      </c>
      <c r="B10" t="n">
        <v>1.07</v>
      </c>
      <c r="C10" t="n">
        <v>0.97</v>
      </c>
      <c r="D10" t="n">
        <v>1.1</v>
      </c>
      <c r="E10" t="n">
        <v>-2.75</v>
      </c>
      <c r="F10" t="n">
        <v>-0.25</v>
      </c>
      <c r="G10" t="n">
        <v>178</v>
      </c>
      <c r="H10" t="n">
        <v>12</v>
      </c>
      <c r="I10" t="s">
        <v>250</v>
      </c>
      <c r="J10" t="n">
        <v>0</v>
      </c>
      <c r="K10" t="n">
        <v>0</v>
      </c>
      <c r="L10" t="n">
        <v>0</v>
      </c>
      <c r="M10" t="n">
        <v>12</v>
      </c>
      <c r="N10" t="n">
        <v>1</v>
      </c>
      <c r="O10" t="n">
        <v>-0.25</v>
      </c>
      <c r="P10" t="n">
        <v>162</v>
      </c>
      <c r="Q10" t="n">
        <v>12</v>
      </c>
      <c r="R10" t="s">
        <v>252</v>
      </c>
      <c r="S10" t="s">
        <v>254</v>
      </c>
      <c r="T10" t="n">
        <v>0.75</v>
      </c>
    </row>
    <row r="11">
      <c r="A11" t="s">
        <v>30</v>
      </c>
      <c r="B11" t="n">
        <v>1.02</v>
      </c>
      <c r="C11" t="n">
        <v>0.99</v>
      </c>
      <c r="D11" t="n">
        <v>0.96</v>
      </c>
      <c r="E11" t="n">
        <v>-3.75</v>
      </c>
      <c r="F11" t="n">
        <v>0</v>
      </c>
      <c r="G11" t="n">
        <v>159</v>
      </c>
      <c r="H11" t="n">
        <v>12</v>
      </c>
      <c r="I11" t="s">
        <v>251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0</v>
      </c>
      <c r="P11" t="n">
        <v>159</v>
      </c>
      <c r="Q11" t="n">
        <v>12</v>
      </c>
      <c r="R11" t="s">
        <v>254</v>
      </c>
      <c r="S11" t="s">
        <v>251</v>
      </c>
      <c r="T11" t="n">
        <v>0.5</v>
      </c>
    </row>
    <row r="12">
      <c r="A12" t="s">
        <v>30</v>
      </c>
      <c r="B12" t="n">
        <v>1.04</v>
      </c>
      <c r="C12" t="n">
        <v>0.91</v>
      </c>
      <c r="D12" t="n">
        <v>1.04</v>
      </c>
      <c r="E12" t="n">
        <v>-5.25</v>
      </c>
      <c r="F12" t="n">
        <v>0</v>
      </c>
      <c r="G12" t="n">
        <v>3</v>
      </c>
      <c r="H12" t="n">
        <v>12</v>
      </c>
      <c r="I12" t="s">
        <v>250</v>
      </c>
      <c r="J12" t="n">
        <v>0</v>
      </c>
      <c r="K12" t="n">
        <v>0</v>
      </c>
      <c r="L12" t="n">
        <v>0</v>
      </c>
      <c r="M12" t="n">
        <v>12</v>
      </c>
      <c r="N12" t="n">
        <v>0.25</v>
      </c>
      <c r="O12" t="n">
        <v>-0.5</v>
      </c>
      <c r="P12" t="n">
        <v>91</v>
      </c>
      <c r="Q12" t="n">
        <v>12</v>
      </c>
      <c r="R12" t="s">
        <v>250</v>
      </c>
      <c r="S12" t="s">
        <v>253</v>
      </c>
      <c r="T12" t="n">
        <v>0</v>
      </c>
    </row>
    <row r="13">
      <c r="A13" t="s">
        <v>30</v>
      </c>
      <c r="B13" t="n">
        <v>1.13</v>
      </c>
      <c r="C13" t="n">
        <v>1.18</v>
      </c>
      <c r="D13" t="n">
        <v>1.16</v>
      </c>
      <c r="E13" t="n">
        <v>-5.75</v>
      </c>
      <c r="F13" t="n">
        <v>-1.25</v>
      </c>
      <c r="G13" t="n">
        <v>100</v>
      </c>
      <c r="H13" t="n">
        <v>12</v>
      </c>
      <c r="I13" t="s">
        <v>255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-0.25</v>
      </c>
      <c r="P13" t="n">
        <v>103</v>
      </c>
      <c r="Q13" t="n">
        <v>12</v>
      </c>
      <c r="R13" t="s">
        <v>255</v>
      </c>
      <c r="S13" t="s">
        <v>256</v>
      </c>
      <c r="T13" t="n">
        <v>0</v>
      </c>
    </row>
    <row r="14">
      <c r="A14" t="s">
        <v>30</v>
      </c>
      <c r="B14" t="n">
        <v>0.97</v>
      </c>
      <c r="C14" t="n">
        <v>1</v>
      </c>
      <c r="D14" t="n">
        <v>0.95</v>
      </c>
      <c r="E14" t="n">
        <v>-5</v>
      </c>
      <c r="F14" t="n">
        <v>-1</v>
      </c>
      <c r="G14" t="n">
        <v>159</v>
      </c>
      <c r="H14" t="n">
        <v>12</v>
      </c>
      <c r="I14" t="s">
        <v>254</v>
      </c>
      <c r="J14" t="n">
        <v>0</v>
      </c>
      <c r="K14" t="n">
        <v>0</v>
      </c>
      <c r="L14" t="n">
        <v>0</v>
      </c>
      <c r="M14" t="n">
        <v>12</v>
      </c>
      <c r="N14" t="n">
        <v>0.25</v>
      </c>
      <c r="O14" t="n">
        <v>-0.5</v>
      </c>
      <c r="P14" t="n">
        <v>169</v>
      </c>
      <c r="Q14" t="n">
        <v>12</v>
      </c>
      <c r="R14" t="s">
        <v>254</v>
      </c>
      <c r="S14" t="s">
        <v>251</v>
      </c>
      <c r="T14" t="n">
        <v>0</v>
      </c>
    </row>
    <row r="15">
      <c r="A15" t="s">
        <v>30</v>
      </c>
      <c r="B15" t="n">
        <v>1.02</v>
      </c>
      <c r="C15" t="n">
        <v>1.2</v>
      </c>
      <c r="D15" t="n">
        <v>1.05</v>
      </c>
      <c r="E15" t="n">
        <v>-2.5</v>
      </c>
      <c r="F15" t="n">
        <v>-0.5</v>
      </c>
      <c r="G15" t="n">
        <v>168</v>
      </c>
      <c r="H15" t="n">
        <v>12</v>
      </c>
      <c r="I15" t="s">
        <v>251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4</v>
      </c>
      <c r="Q15" t="n">
        <v>12</v>
      </c>
      <c r="R15" t="s">
        <v>250</v>
      </c>
      <c r="S15" t="s">
        <v>256</v>
      </c>
      <c r="T15" t="n">
        <v>0</v>
      </c>
    </row>
    <row r="16">
      <c r="A16" t="s">
        <v>30</v>
      </c>
      <c r="B16" t="n">
        <v>0.99</v>
      </c>
      <c r="C16" t="n">
        <v>0.92</v>
      </c>
      <c r="D16" t="n">
        <v>0.98</v>
      </c>
      <c r="E16" t="n">
        <v>-0.5</v>
      </c>
      <c r="F16" t="n">
        <v>-0.5</v>
      </c>
      <c r="G16" t="n">
        <v>23</v>
      </c>
      <c r="H16" t="n">
        <v>12</v>
      </c>
      <c r="I16" t="s">
        <v>251</v>
      </c>
      <c r="J16" t="n">
        <v>0</v>
      </c>
      <c r="K16" t="n">
        <v>0</v>
      </c>
      <c r="L16" t="n">
        <v>0</v>
      </c>
      <c r="M16" t="n">
        <v>12</v>
      </c>
      <c r="N16" t="n">
        <v>0.5</v>
      </c>
      <c r="O16" t="n">
        <v>-0.25</v>
      </c>
      <c r="P16" t="n">
        <v>49</v>
      </c>
      <c r="Q16" t="n">
        <v>12</v>
      </c>
      <c r="R16" t="s">
        <v>251</v>
      </c>
      <c r="S16" t="s">
        <v>253</v>
      </c>
      <c r="T16" t="n">
        <v>0.5</v>
      </c>
    </row>
    <row r="17">
      <c r="A17" t="s">
        <v>30</v>
      </c>
      <c r="B17" t="n">
        <v>1.08</v>
      </c>
      <c r="C17" t="n">
        <v>1.15</v>
      </c>
      <c r="D17" t="n">
        <v>1.04</v>
      </c>
      <c r="E17" t="n">
        <v>-4.75</v>
      </c>
      <c r="F17" t="n">
        <v>-0.25</v>
      </c>
      <c r="G17" t="n">
        <v>172</v>
      </c>
      <c r="H17" t="n">
        <v>12</v>
      </c>
      <c r="I17" t="s">
        <v>252</v>
      </c>
      <c r="J17" t="n">
        <v>0</v>
      </c>
      <c r="K17" t="n">
        <v>0</v>
      </c>
      <c r="L17" t="n">
        <v>0</v>
      </c>
      <c r="M17" t="n">
        <v>12</v>
      </c>
      <c r="N17" t="n">
        <v>0.5</v>
      </c>
      <c r="O17" t="n">
        <v>-0.25</v>
      </c>
      <c r="P17" t="n">
        <v>15</v>
      </c>
      <c r="Q17" t="n">
        <v>12</v>
      </c>
      <c r="R17" t="s">
        <v>250</v>
      </c>
      <c r="S17" t="s">
        <v>255</v>
      </c>
      <c r="T17" t="n">
        <v>0.25</v>
      </c>
    </row>
    <row r="18">
      <c r="A18" t="s">
        <v>30</v>
      </c>
      <c r="B18" t="n">
        <v>1.06</v>
      </c>
      <c r="C18" t="n">
        <v>1.09</v>
      </c>
      <c r="D18" t="n">
        <v>1.13</v>
      </c>
      <c r="E18" t="n">
        <v>-3.25</v>
      </c>
      <c r="F18" t="n">
        <v>-0.25</v>
      </c>
      <c r="G18" t="n">
        <v>97</v>
      </c>
      <c r="H18" t="n">
        <v>12</v>
      </c>
      <c r="I18" t="s">
        <v>250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-0.25</v>
      </c>
      <c r="P18" t="n">
        <v>122</v>
      </c>
      <c r="Q18" t="n">
        <v>12</v>
      </c>
      <c r="R18" t="s">
        <v>255</v>
      </c>
      <c r="S18" t="s">
        <v>252</v>
      </c>
      <c r="T18" t="n">
        <v>0.25</v>
      </c>
    </row>
    <row r="19">
      <c r="A19" t="s">
        <v>30</v>
      </c>
      <c r="B19" t="n">
        <v>1.02</v>
      </c>
      <c r="C19" t="n">
        <v>0.94</v>
      </c>
      <c r="D19" t="n">
        <v>1.02</v>
      </c>
      <c r="E19" t="n">
        <v>-2.75</v>
      </c>
      <c r="F19" t="n">
        <v>-2.25</v>
      </c>
      <c r="G19" t="n">
        <v>7</v>
      </c>
      <c r="H19" t="n">
        <v>12</v>
      </c>
      <c r="I19" t="s">
        <v>251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153</v>
      </c>
      <c r="Q19" t="n">
        <v>12</v>
      </c>
      <c r="R19" t="s">
        <v>251</v>
      </c>
      <c r="S19" t="s">
        <v>254</v>
      </c>
      <c r="T19" t="n">
        <v>-0.5</v>
      </c>
    </row>
    <row r="20">
      <c r="A20" t="s">
        <v>30</v>
      </c>
      <c r="B20" t="n">
        <v>1.06</v>
      </c>
      <c r="C20" t="n">
        <v>1.11</v>
      </c>
      <c r="D20" t="n">
        <v>1.06</v>
      </c>
      <c r="E20" t="n">
        <v>-3</v>
      </c>
      <c r="F20" t="n">
        <v>-0.75</v>
      </c>
      <c r="G20" t="n">
        <v>165</v>
      </c>
      <c r="H20" t="n">
        <v>12</v>
      </c>
      <c r="I20" t="s">
        <v>250</v>
      </c>
      <c r="J20" t="n">
        <v>0</v>
      </c>
      <c r="K20" t="n">
        <v>0</v>
      </c>
      <c r="L20" t="n">
        <v>0</v>
      </c>
      <c r="M20" t="n">
        <v>12</v>
      </c>
      <c r="N20" t="n">
        <v>0</v>
      </c>
      <c r="O20" t="n">
        <v>-0.5</v>
      </c>
      <c r="P20" t="n">
        <v>12</v>
      </c>
      <c r="Q20" t="n">
        <v>12</v>
      </c>
      <c r="R20" t="s">
        <v>250</v>
      </c>
      <c r="S20" t="s">
        <v>252</v>
      </c>
      <c r="T20" t="n">
        <v>-0.25</v>
      </c>
    </row>
    <row r="21">
      <c r="A21" t="s">
        <v>30</v>
      </c>
      <c r="B21" t="n">
        <v>1.06</v>
      </c>
      <c r="C21" t="n">
        <v>0.95</v>
      </c>
      <c r="D21" t="n">
        <v>1.06</v>
      </c>
      <c r="E21" t="n">
        <v>-3.25</v>
      </c>
      <c r="F21" t="n">
        <v>-1.25</v>
      </c>
      <c r="G21" t="n">
        <v>84</v>
      </c>
      <c r="H21" t="n">
        <v>12</v>
      </c>
      <c r="I21" t="s">
        <v>250</v>
      </c>
      <c r="J21" t="n">
        <v>0</v>
      </c>
      <c r="K21" t="n">
        <v>0</v>
      </c>
      <c r="L21" t="n">
        <v>0</v>
      </c>
      <c r="M21" t="n">
        <v>12</v>
      </c>
      <c r="N21" t="n">
        <v>0.5</v>
      </c>
      <c r="O21" t="n">
        <v>-0.25</v>
      </c>
      <c r="P21" t="n">
        <v>62</v>
      </c>
      <c r="Q21" t="n">
        <v>12</v>
      </c>
      <c r="R21" t="s">
        <v>250</v>
      </c>
      <c r="S21" t="s">
        <v>254</v>
      </c>
      <c r="T21" t="n">
        <v>0.5</v>
      </c>
    </row>
    <row r="22">
      <c r="A22" t="s">
        <v>30</v>
      </c>
      <c r="B22" t="n">
        <v>1.11</v>
      </c>
      <c r="C22" t="n">
        <v>1.06</v>
      </c>
      <c r="D22" t="n">
        <v>1.09</v>
      </c>
      <c r="E22" t="n">
        <v>-6.75</v>
      </c>
      <c r="F22" t="n">
        <v>-0.75</v>
      </c>
      <c r="G22" t="n">
        <v>81</v>
      </c>
      <c r="H22" t="n">
        <v>12</v>
      </c>
      <c r="I22" t="s">
        <v>252</v>
      </c>
      <c r="J22" t="n">
        <v>0</v>
      </c>
      <c r="K22" t="n">
        <v>0</v>
      </c>
      <c r="L22" t="n">
        <v>0</v>
      </c>
      <c r="M22" t="n">
        <v>12</v>
      </c>
      <c r="N22" t="n">
        <v>-0.5</v>
      </c>
      <c r="O22" t="n">
        <v>-0.25</v>
      </c>
      <c r="P22" t="n">
        <v>34</v>
      </c>
      <c r="Q22" t="n">
        <v>12</v>
      </c>
      <c r="R22" t="s">
        <v>252</v>
      </c>
      <c r="S22" t="s">
        <v>250</v>
      </c>
      <c r="T22" t="n">
        <v>-0.5</v>
      </c>
    </row>
    <row r="23">
      <c r="A23" t="s">
        <v>30</v>
      </c>
      <c r="B23" t="n">
        <v>0.93</v>
      </c>
      <c r="C23" t="n">
        <v>0.96</v>
      </c>
      <c r="D23" t="n">
        <v>0.94</v>
      </c>
      <c r="E23" t="n">
        <v>-5.75</v>
      </c>
      <c r="F23" t="n">
        <v>-1</v>
      </c>
      <c r="G23" t="n">
        <v>83</v>
      </c>
      <c r="H23" t="n">
        <v>12</v>
      </c>
      <c r="I23" t="s">
        <v>253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78</v>
      </c>
      <c r="Q23" t="n">
        <v>12</v>
      </c>
      <c r="R23" t="s">
        <v>254</v>
      </c>
      <c r="S23" t="s">
        <v>254</v>
      </c>
      <c r="T23" t="n">
        <v>0</v>
      </c>
    </row>
    <row r="24">
      <c r="A24" t="s">
        <v>30</v>
      </c>
      <c r="B24" t="n">
        <v>1.03</v>
      </c>
      <c r="C24" t="n">
        <v>1.08</v>
      </c>
      <c r="D24" t="n">
        <v>1.06</v>
      </c>
      <c r="E24" t="n">
        <v>-1</v>
      </c>
      <c r="F24" t="n">
        <v>-0.5</v>
      </c>
      <c r="G24" t="n">
        <v>80</v>
      </c>
      <c r="H24" t="n">
        <v>12</v>
      </c>
      <c r="I24" t="s">
        <v>250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0</v>
      </c>
      <c r="P24" t="n">
        <v>11</v>
      </c>
      <c r="Q24" t="n">
        <v>12</v>
      </c>
      <c r="R24" t="s">
        <v>250</v>
      </c>
      <c r="S24" t="s">
        <v>252</v>
      </c>
      <c r="T24" t="n">
        <v>0</v>
      </c>
    </row>
    <row r="25">
      <c r="A25" t="s">
        <v>30</v>
      </c>
      <c r="B25" t="n">
        <v>0.98</v>
      </c>
      <c r="C25" t="n">
        <v>1.08</v>
      </c>
      <c r="D25" t="n">
        <v>1.02</v>
      </c>
      <c r="E25" t="n">
        <v>-0.5</v>
      </c>
      <c r="F25" t="n">
        <v>-0.75</v>
      </c>
      <c r="G25" t="n">
        <v>7</v>
      </c>
      <c r="H25" t="n">
        <v>12</v>
      </c>
      <c r="I25" t="s">
        <v>251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-0.25</v>
      </c>
      <c r="P25" t="n">
        <v>24</v>
      </c>
      <c r="Q25" t="n">
        <v>12</v>
      </c>
      <c r="R25" t="s">
        <v>251</v>
      </c>
      <c r="S25" t="s">
        <v>252</v>
      </c>
      <c r="T25" t="n">
        <v>0</v>
      </c>
    </row>
    <row r="26">
      <c r="A26" t="s">
        <v>30</v>
      </c>
      <c r="B26" t="n">
        <v>1.19</v>
      </c>
      <c r="C26" t="n">
        <v>1.16</v>
      </c>
      <c r="D26" t="n">
        <v>1.23</v>
      </c>
      <c r="E26" t="n">
        <v>-2</v>
      </c>
      <c r="F26" t="n">
        <v>0</v>
      </c>
      <c r="G26" t="n">
        <v>170</v>
      </c>
      <c r="H26" t="n">
        <v>12</v>
      </c>
      <c r="I26" t="s">
        <v>256</v>
      </c>
      <c r="J26" t="n">
        <v>0</v>
      </c>
      <c r="K26" t="n">
        <v>0</v>
      </c>
      <c r="L26" t="n">
        <v>0</v>
      </c>
      <c r="M26" t="n">
        <v>12</v>
      </c>
      <c r="N26" t="n">
        <v>0.25</v>
      </c>
      <c r="O26" t="n">
        <v>-0.5</v>
      </c>
      <c r="P26" t="n">
        <v>23</v>
      </c>
      <c r="Q26" t="n">
        <v>12</v>
      </c>
      <c r="R26" t="s">
        <v>256</v>
      </c>
      <c r="S26" t="s">
        <v>255</v>
      </c>
      <c r="T26" t="n">
        <v>0</v>
      </c>
    </row>
    <row r="27">
      <c r="A27" t="s">
        <v>30</v>
      </c>
      <c r="B27" t="n">
        <v>1.07</v>
      </c>
      <c r="C27" t="n">
        <v>1.09</v>
      </c>
      <c r="D27" t="n">
        <v>1.1</v>
      </c>
      <c r="E27" t="n">
        <v>-4.25</v>
      </c>
      <c r="F27" t="n">
        <v>-0.25</v>
      </c>
      <c r="G27" t="n">
        <v>175</v>
      </c>
      <c r="H27" t="n">
        <v>12</v>
      </c>
      <c r="I27" t="s">
        <v>250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23</v>
      </c>
      <c r="Q27" t="n">
        <v>12</v>
      </c>
      <c r="R27" t="s">
        <v>252</v>
      </c>
      <c r="S27" t="s">
        <v>252</v>
      </c>
      <c r="T27" t="n">
        <v>0</v>
      </c>
    </row>
    <row r="28">
      <c r="A28" t="s">
        <v>30</v>
      </c>
      <c r="B28" t="n">
        <v>1.05</v>
      </c>
      <c r="C28" t="n">
        <v>0.96</v>
      </c>
      <c r="D28" t="n">
        <v>1.02</v>
      </c>
      <c r="E28" t="n">
        <v>-4.5</v>
      </c>
      <c r="F28" t="n">
        <v>-0.25</v>
      </c>
      <c r="G28" t="n">
        <v>165</v>
      </c>
      <c r="H28" t="n">
        <v>12</v>
      </c>
      <c r="I28" t="s">
        <v>250</v>
      </c>
      <c r="J28" t="n">
        <v>0</v>
      </c>
      <c r="K28" t="n">
        <v>0</v>
      </c>
      <c r="L28" t="n">
        <v>0</v>
      </c>
      <c r="M28" t="n">
        <v>12</v>
      </c>
      <c r="N28" t="n">
        <v>0.5</v>
      </c>
      <c r="O28" t="n">
        <v>-0.25</v>
      </c>
      <c r="P28" t="n">
        <v>164</v>
      </c>
      <c r="Q28" t="n">
        <v>12</v>
      </c>
      <c r="R28" t="s">
        <v>251</v>
      </c>
      <c r="S28" t="s">
        <v>254</v>
      </c>
      <c r="T28" t="n">
        <v>0.25</v>
      </c>
    </row>
    <row r="29">
      <c r="A29" t="s">
        <v>30</v>
      </c>
      <c r="B29" t="n">
        <v>1</v>
      </c>
      <c r="C29" t="n">
        <v>1.07</v>
      </c>
      <c r="D29" t="n">
        <v>0.97</v>
      </c>
      <c r="E29" t="n">
        <v>-6.25</v>
      </c>
      <c r="F29" t="n">
        <v>-0.25</v>
      </c>
      <c r="G29" t="n">
        <v>91</v>
      </c>
      <c r="H29" t="n">
        <v>12</v>
      </c>
      <c r="I29" t="s">
        <v>251</v>
      </c>
      <c r="J29" t="n">
        <v>0</v>
      </c>
      <c r="K29" t="n">
        <v>0</v>
      </c>
      <c r="L29" t="n">
        <v>0</v>
      </c>
      <c r="M29" t="n">
        <v>12</v>
      </c>
      <c r="N29" t="n">
        <v>-0.25</v>
      </c>
      <c r="O29" t="n">
        <v>0</v>
      </c>
      <c r="P29" t="n">
        <v>164</v>
      </c>
      <c r="Q29" t="n">
        <v>12</v>
      </c>
      <c r="R29" t="s">
        <v>254</v>
      </c>
      <c r="S29" t="s">
        <v>250</v>
      </c>
      <c r="T29" t="n">
        <v>-0.25</v>
      </c>
    </row>
    <row r="30">
      <c r="A30" t="s">
        <v>30</v>
      </c>
      <c r="B30" t="n">
        <v>0.93</v>
      </c>
      <c r="C30" t="n">
        <v>0.87</v>
      </c>
      <c r="D30" t="n">
        <v>0.94</v>
      </c>
      <c r="E30" t="n">
        <v>-5</v>
      </c>
      <c r="F30" t="n">
        <v>-0.75</v>
      </c>
      <c r="G30" t="n">
        <v>88</v>
      </c>
      <c r="H30" t="n">
        <v>12</v>
      </c>
      <c r="I30" t="s">
        <v>253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-0.5</v>
      </c>
      <c r="P30" t="n">
        <v>148</v>
      </c>
      <c r="Q30" t="n">
        <v>12</v>
      </c>
      <c r="R30" t="s">
        <v>254</v>
      </c>
      <c r="S30" t="s">
        <v>257</v>
      </c>
      <c r="T30" t="n">
        <v>0.25</v>
      </c>
    </row>
    <row r="31">
      <c r="A31" t="s">
        <v>30</v>
      </c>
      <c r="B31" t="n">
        <v>1.06</v>
      </c>
      <c r="C31" t="n">
        <v>1.13</v>
      </c>
      <c r="D31" t="n">
        <v>1.05</v>
      </c>
      <c r="E31" t="n">
        <v>-1.25</v>
      </c>
      <c r="F31" t="n">
        <v>-0.75</v>
      </c>
      <c r="G31" t="n">
        <v>99</v>
      </c>
      <c r="H31" t="n">
        <v>12</v>
      </c>
      <c r="I31" t="s">
        <v>250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-0.25</v>
      </c>
      <c r="P31" t="n">
        <v>75</v>
      </c>
      <c r="Q31" t="n">
        <v>12</v>
      </c>
      <c r="R31" t="s">
        <v>250</v>
      </c>
      <c r="S31" t="s">
        <v>255</v>
      </c>
      <c r="T31" t="n">
        <v>-0.5</v>
      </c>
    </row>
    <row r="32">
      <c r="A32" t="s">
        <v>30</v>
      </c>
      <c r="B32" t="n">
        <v>1.1</v>
      </c>
      <c r="C32" t="n">
        <v>1.13</v>
      </c>
      <c r="D32" t="n">
        <v>1.14</v>
      </c>
      <c r="E32" t="n">
        <v>-5.25</v>
      </c>
      <c r="F32" t="n">
        <v>-1.5</v>
      </c>
      <c r="G32" t="n">
        <v>96</v>
      </c>
      <c r="H32" t="n">
        <v>12</v>
      </c>
      <c r="I32" t="s">
        <v>252</v>
      </c>
      <c r="J32" t="n">
        <v>0</v>
      </c>
      <c r="K32" t="n">
        <v>0</v>
      </c>
      <c r="L32" t="n">
        <v>0</v>
      </c>
      <c r="M32" t="n">
        <v>12</v>
      </c>
      <c r="N32" t="n">
        <v>-0.5</v>
      </c>
      <c r="O32" t="n">
        <v>0</v>
      </c>
      <c r="P32" t="n">
        <v>21</v>
      </c>
      <c r="Q32" t="n">
        <v>12</v>
      </c>
      <c r="R32" t="s">
        <v>255</v>
      </c>
      <c r="S32" t="s">
        <v>255</v>
      </c>
      <c r="T32" t="n">
        <v>-0.5</v>
      </c>
    </row>
    <row r="33">
      <c r="A33" t="s">
        <v>30</v>
      </c>
      <c r="B33" t="n">
        <v>1.07</v>
      </c>
      <c r="C33" t="n">
        <v>0.94</v>
      </c>
      <c r="D33" t="n">
        <v>1.05</v>
      </c>
      <c r="E33" t="n">
        <v>-5.5</v>
      </c>
      <c r="F33" t="n">
        <v>-0.25</v>
      </c>
      <c r="G33" t="n">
        <v>11</v>
      </c>
      <c r="H33" t="n">
        <v>12</v>
      </c>
      <c r="I33" t="s">
        <v>250</v>
      </c>
      <c r="J33" t="n">
        <v>0</v>
      </c>
      <c r="K33" t="n">
        <v>0</v>
      </c>
      <c r="L33" t="n">
        <v>0</v>
      </c>
      <c r="M33" t="n">
        <v>12</v>
      </c>
      <c r="N33" t="n">
        <v>0</v>
      </c>
      <c r="O33" t="n">
        <v>-0.25</v>
      </c>
      <c r="P33" t="n">
        <v>18</v>
      </c>
      <c r="Q33" t="n">
        <v>12</v>
      </c>
      <c r="R33" t="s">
        <v>250</v>
      </c>
      <c r="S33" t="s">
        <v>254</v>
      </c>
      <c r="T33" t="n">
        <v>-0.25</v>
      </c>
    </row>
    <row r="34">
      <c r="A34" t="s">
        <v>30</v>
      </c>
      <c r="B34" t="n">
        <v>0.92</v>
      </c>
      <c r="C34" t="n">
        <v>0.84</v>
      </c>
      <c r="D34" t="n">
        <v>0.87</v>
      </c>
      <c r="E34" t="n">
        <v>-2</v>
      </c>
      <c r="F34" t="n">
        <v>-0.75</v>
      </c>
      <c r="G34" t="n">
        <v>180</v>
      </c>
      <c r="H34" t="n">
        <v>12</v>
      </c>
      <c r="I34" t="s">
        <v>253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-0.5</v>
      </c>
      <c r="P34" t="n">
        <v>10</v>
      </c>
      <c r="Q34" t="n">
        <v>12</v>
      </c>
      <c r="R34" t="s">
        <v>257</v>
      </c>
      <c r="S34" t="s">
        <v>258</v>
      </c>
      <c r="T34" t="n">
        <v>-0.25</v>
      </c>
    </row>
    <row r="35">
      <c r="A35" t="s">
        <v>30</v>
      </c>
      <c r="B35" t="n">
        <v>1.18</v>
      </c>
      <c r="C35" t="n">
        <v>1.24</v>
      </c>
      <c r="D35" t="n">
        <v>1.2</v>
      </c>
      <c r="E35" t="n">
        <v>-5</v>
      </c>
      <c r="F35" t="n">
        <v>-0.25</v>
      </c>
      <c r="G35" t="n">
        <v>155</v>
      </c>
      <c r="H35" t="n">
        <v>12</v>
      </c>
      <c r="I35" t="s">
        <v>256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-0.25</v>
      </c>
      <c r="P35" t="n">
        <v>160</v>
      </c>
      <c r="Q35" t="n">
        <v>12</v>
      </c>
      <c r="R35" t="s">
        <v>256</v>
      </c>
      <c r="S35" t="s">
        <v>259</v>
      </c>
      <c r="T35" t="n">
        <v>-0.25</v>
      </c>
    </row>
    <row r="36">
      <c r="A36" t="s">
        <v>30</v>
      </c>
      <c r="B36" t="n">
        <v>1.03</v>
      </c>
      <c r="C36" t="n">
        <v>1.03</v>
      </c>
      <c r="D36" t="n">
        <v>1.01</v>
      </c>
      <c r="E36" t="n">
        <v>-3.5</v>
      </c>
      <c r="F36" t="n">
        <v>-0.75</v>
      </c>
      <c r="G36" t="n">
        <v>96</v>
      </c>
      <c r="H36" t="n">
        <v>12</v>
      </c>
      <c r="I36" t="s">
        <v>250</v>
      </c>
      <c r="J36" t="n">
        <v>0</v>
      </c>
      <c r="K36" t="n">
        <v>0</v>
      </c>
      <c r="L36" t="n">
        <v>0</v>
      </c>
      <c r="M36" t="n">
        <v>12</v>
      </c>
      <c r="N36" t="n">
        <v>-0.5</v>
      </c>
      <c r="O36" t="n">
        <v>0</v>
      </c>
      <c r="P36" t="n">
        <v>6</v>
      </c>
      <c r="Q36" t="n">
        <v>12</v>
      </c>
      <c r="R36" t="s">
        <v>251</v>
      </c>
      <c r="S36" t="s">
        <v>250</v>
      </c>
      <c r="T36" t="n">
        <v>-0.5</v>
      </c>
    </row>
    <row r="37">
      <c r="A37" t="s">
        <v>30</v>
      </c>
      <c r="B37" t="n">
        <v>1.12</v>
      </c>
      <c r="C37" t="n">
        <v>1.22</v>
      </c>
      <c r="D37" t="n">
        <v>1.14</v>
      </c>
      <c r="E37" t="n">
        <v>-6</v>
      </c>
      <c r="F37" t="n">
        <v>0</v>
      </c>
      <c r="G37" t="n">
        <v>93</v>
      </c>
      <c r="H37" t="n">
        <v>12</v>
      </c>
      <c r="I37" t="s">
        <v>252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-0.5</v>
      </c>
      <c r="P37" t="n">
        <v>70</v>
      </c>
      <c r="Q37" t="n">
        <v>12</v>
      </c>
      <c r="R37" t="s">
        <v>255</v>
      </c>
      <c r="S37" t="s">
        <v>256</v>
      </c>
      <c r="T37" t="n">
        <v>-0.25</v>
      </c>
    </row>
    <row r="38">
      <c r="A38" t="s">
        <v>30</v>
      </c>
      <c r="B38" t="n">
        <v>0.96</v>
      </c>
      <c r="C38" t="n">
        <v>0.94</v>
      </c>
      <c r="D38" t="n">
        <v>1.01</v>
      </c>
      <c r="E38" t="n">
        <v>-6.5</v>
      </c>
      <c r="F38" t="n">
        <v>-0.25</v>
      </c>
      <c r="G38" t="n">
        <v>138</v>
      </c>
      <c r="H38" t="n">
        <v>12</v>
      </c>
      <c r="I38" t="s">
        <v>254</v>
      </c>
      <c r="J38" t="n">
        <v>0</v>
      </c>
      <c r="K38" t="n">
        <v>0</v>
      </c>
      <c r="L38" t="n">
        <v>0</v>
      </c>
      <c r="M38" t="n">
        <v>12</v>
      </c>
      <c r="N38" t="n">
        <v>0.25</v>
      </c>
      <c r="O38" t="n">
        <v>0</v>
      </c>
      <c r="P38" t="n">
        <v>131</v>
      </c>
      <c r="Q38" t="n">
        <v>12</v>
      </c>
      <c r="R38" t="s">
        <v>251</v>
      </c>
      <c r="S38" t="s">
        <v>254</v>
      </c>
      <c r="T38" t="n">
        <v>0.25</v>
      </c>
    </row>
    <row r="39">
      <c r="A39" t="s">
        <v>30</v>
      </c>
      <c r="B39" t="n">
        <v>0.92</v>
      </c>
      <c r="C39" t="n">
        <v>0.89</v>
      </c>
      <c r="D39" t="n">
        <v>0.9</v>
      </c>
      <c r="E39" t="n">
        <v>-7</v>
      </c>
      <c r="F39" t="n">
        <v>-0.25</v>
      </c>
      <c r="G39" t="n">
        <v>80</v>
      </c>
      <c r="H39" t="n">
        <v>12</v>
      </c>
      <c r="I39" t="s">
        <v>253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-0.25</v>
      </c>
      <c r="P39" t="n">
        <v>56</v>
      </c>
      <c r="Q39" t="n">
        <v>12</v>
      </c>
      <c r="R39" t="s">
        <v>253</v>
      </c>
      <c r="S39" t="s">
        <v>257</v>
      </c>
      <c r="T39" t="n">
        <v>0.5</v>
      </c>
    </row>
    <row r="40">
      <c r="A40" t="s">
        <v>30</v>
      </c>
      <c r="B40" t="n">
        <v>1</v>
      </c>
      <c r="C40" t="n">
        <v>0.89</v>
      </c>
      <c r="D40" t="n">
        <v>0.98</v>
      </c>
      <c r="E40" t="n">
        <v>-5.75</v>
      </c>
      <c r="F40" t="n">
        <v>-0.25</v>
      </c>
      <c r="G40" t="n">
        <v>20</v>
      </c>
      <c r="H40" t="n">
        <v>12</v>
      </c>
      <c r="I40" t="s">
        <v>251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25</v>
      </c>
      <c r="Q40" t="n">
        <v>12</v>
      </c>
      <c r="R40" t="s">
        <v>251</v>
      </c>
      <c r="S40" t="s">
        <v>257</v>
      </c>
      <c r="T40" t="n">
        <v>0.25</v>
      </c>
    </row>
    <row r="41">
      <c r="A41" t="s">
        <v>30</v>
      </c>
      <c r="B41" t="n">
        <v>0.97</v>
      </c>
      <c r="C41" t="n">
        <v>0.96</v>
      </c>
      <c r="D41" t="n">
        <v>1.02</v>
      </c>
      <c r="E41" t="n">
        <v>-3.75</v>
      </c>
      <c r="F41" t="n">
        <v>-0.5</v>
      </c>
      <c r="G41" t="n">
        <v>85</v>
      </c>
      <c r="H41" t="n">
        <v>12</v>
      </c>
      <c r="I41" t="s">
        <v>254</v>
      </c>
      <c r="J41" t="n">
        <v>0</v>
      </c>
      <c r="K41" t="n">
        <v>0</v>
      </c>
      <c r="L41" t="n">
        <v>0</v>
      </c>
      <c r="M41" t="n">
        <v>12</v>
      </c>
      <c r="N41" t="n">
        <v>0.5</v>
      </c>
      <c r="O41" t="n">
        <v>-0.25</v>
      </c>
      <c r="P41" t="n">
        <v>78</v>
      </c>
      <c r="Q41" t="n">
        <v>12</v>
      </c>
      <c r="R41" t="s">
        <v>251</v>
      </c>
      <c r="S41" t="s">
        <v>254</v>
      </c>
      <c r="T41" t="n">
        <v>0.25</v>
      </c>
    </row>
    <row r="42">
      <c r="A42" t="s">
        <v>30</v>
      </c>
      <c r="B42" t="n">
        <v>1.1</v>
      </c>
      <c r="C42" t="n">
        <v>1.09</v>
      </c>
      <c r="D42" t="n">
        <v>1.12</v>
      </c>
      <c r="E42" t="n">
        <v>-4</v>
      </c>
      <c r="F42" t="n">
        <v>-0.25</v>
      </c>
      <c r="G42" t="n">
        <v>94</v>
      </c>
      <c r="H42" t="n">
        <v>12</v>
      </c>
      <c r="I42" t="s">
        <v>252</v>
      </c>
      <c r="J42" t="n">
        <v>0</v>
      </c>
      <c r="K42" t="n">
        <v>0</v>
      </c>
      <c r="L42" t="n">
        <v>0</v>
      </c>
      <c r="M42" t="n">
        <v>12</v>
      </c>
      <c r="N42" t="n">
        <v>-0.25</v>
      </c>
      <c r="O42" t="n">
        <v>0</v>
      </c>
      <c r="P42" t="n">
        <v>78</v>
      </c>
      <c r="Q42" t="n">
        <v>12</v>
      </c>
      <c r="R42" t="s">
        <v>252</v>
      </c>
      <c r="S42" t="s">
        <v>252</v>
      </c>
      <c r="T42" t="n">
        <v>-0.25</v>
      </c>
    </row>
    <row r="43">
      <c r="A43" t="s">
        <v>30</v>
      </c>
      <c r="B43" t="n">
        <v>1.08</v>
      </c>
      <c r="C43" t="n">
        <v>1.12</v>
      </c>
      <c r="D43" t="n">
        <v>1.11</v>
      </c>
      <c r="E43" t="n">
        <v>-1.25</v>
      </c>
      <c r="F43" t="n">
        <v>-0.75</v>
      </c>
      <c r="G43" t="n">
        <v>102</v>
      </c>
      <c r="H43" t="n">
        <v>12</v>
      </c>
      <c r="I43" t="s">
        <v>252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0</v>
      </c>
      <c r="P43" t="n">
        <v>0</v>
      </c>
      <c r="Q43" t="n">
        <v>12</v>
      </c>
      <c r="R43" t="s">
        <v>252</v>
      </c>
      <c r="S43" t="s">
        <v>252</v>
      </c>
      <c r="T43" t="n">
        <v>0</v>
      </c>
    </row>
    <row r="44">
      <c r="A44" t="s">
        <v>30</v>
      </c>
      <c r="B44" t="n">
        <v>0.97</v>
      </c>
      <c r="C44" t="n">
        <v>1.02</v>
      </c>
      <c r="D44" t="n">
        <v>0.99</v>
      </c>
      <c r="E44" t="n">
        <v>-5.75</v>
      </c>
      <c r="F44" t="n">
        <v>-0.5</v>
      </c>
      <c r="G44" t="n">
        <v>95</v>
      </c>
      <c r="H44" t="n">
        <v>12</v>
      </c>
      <c r="I44" t="s">
        <v>254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89</v>
      </c>
      <c r="Q44" t="n">
        <v>12</v>
      </c>
      <c r="R44" t="s">
        <v>251</v>
      </c>
      <c r="S44" t="s">
        <v>251</v>
      </c>
      <c r="T44" t="n">
        <v>-0.25</v>
      </c>
    </row>
    <row r="45">
      <c r="A45" t="s">
        <v>30</v>
      </c>
      <c r="B45" t="n">
        <v>1.1</v>
      </c>
      <c r="C45" t="n">
        <v>1.11</v>
      </c>
      <c r="D45" t="n">
        <v>1.12</v>
      </c>
      <c r="E45" t="n">
        <v>-5</v>
      </c>
      <c r="F45" t="n">
        <v>0</v>
      </c>
      <c r="G45" t="n">
        <v>3</v>
      </c>
      <c r="H45" t="n">
        <v>12</v>
      </c>
      <c r="I45" t="s">
        <v>252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28</v>
      </c>
      <c r="Q45" t="n">
        <v>12</v>
      </c>
      <c r="R45" t="s">
        <v>252</v>
      </c>
      <c r="S45" t="s">
        <v>252</v>
      </c>
      <c r="T45" t="n">
        <v>0.25</v>
      </c>
    </row>
    <row r="46">
      <c r="A46" t="s">
        <v>30</v>
      </c>
      <c r="B46" t="n">
        <v>1.03</v>
      </c>
      <c r="C46" t="n">
        <v>1.05</v>
      </c>
      <c r="D46" t="n">
        <v>1.02</v>
      </c>
      <c r="E46" t="n">
        <v>-1.5</v>
      </c>
      <c r="F46" t="n">
        <v>-0.75</v>
      </c>
      <c r="G46" t="n">
        <v>104</v>
      </c>
      <c r="H46" t="n">
        <v>12</v>
      </c>
      <c r="I46" t="s">
        <v>250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-0.25</v>
      </c>
      <c r="P46" t="n">
        <v>103</v>
      </c>
      <c r="Q46" t="n">
        <v>12</v>
      </c>
      <c r="R46" t="s">
        <v>251</v>
      </c>
      <c r="S46" t="s">
        <v>250</v>
      </c>
      <c r="T46" t="n">
        <v>0</v>
      </c>
    </row>
    <row r="47">
      <c r="A47" t="s">
        <v>30</v>
      </c>
      <c r="B47" t="n">
        <v>1.07</v>
      </c>
      <c r="C47" t="n">
        <v>1.25</v>
      </c>
      <c r="D47" t="n">
        <v>1.12</v>
      </c>
      <c r="E47" t="n">
        <v>-4.25</v>
      </c>
      <c r="F47" t="n">
        <v>-0.75</v>
      </c>
      <c r="G47" t="n">
        <v>174</v>
      </c>
      <c r="H47" t="n">
        <v>12</v>
      </c>
      <c r="I47" t="s">
        <v>250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32</v>
      </c>
      <c r="Q47" t="n">
        <v>12</v>
      </c>
      <c r="R47" t="s">
        <v>252</v>
      </c>
      <c r="S47" t="s">
        <v>259</v>
      </c>
      <c r="T47" t="n">
        <v>0</v>
      </c>
    </row>
    <row r="48">
      <c r="A48" t="s">
        <v>30</v>
      </c>
      <c r="B48" t="n">
        <v>1</v>
      </c>
      <c r="C48" t="n">
        <v>0.91</v>
      </c>
      <c r="D48" t="n">
        <v>1</v>
      </c>
      <c r="E48" t="n">
        <v>-5</v>
      </c>
      <c r="F48" t="n">
        <v>-1</v>
      </c>
      <c r="G48" t="n">
        <v>177</v>
      </c>
      <c r="H48" t="n">
        <v>12</v>
      </c>
      <c r="I48" t="s">
        <v>251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177</v>
      </c>
      <c r="Q48" t="n">
        <v>12</v>
      </c>
      <c r="R48" t="s">
        <v>251</v>
      </c>
      <c r="S48" t="s">
        <v>253</v>
      </c>
      <c r="T48" t="n">
        <v>0</v>
      </c>
    </row>
    <row r="49">
      <c r="A49" t="s">
        <v>30</v>
      </c>
      <c r="B49" t="n">
        <v>1.04</v>
      </c>
      <c r="C49" t="n">
        <v>1.05</v>
      </c>
      <c r="D49" t="n">
        <v>1.05</v>
      </c>
      <c r="E49" t="n">
        <v>-6.75</v>
      </c>
      <c r="F49" t="n">
        <v>-0.75</v>
      </c>
      <c r="G49" t="n">
        <v>83</v>
      </c>
      <c r="H49" t="n">
        <v>12</v>
      </c>
      <c r="I49" t="s">
        <v>250</v>
      </c>
      <c r="J49" t="n">
        <v>0</v>
      </c>
      <c r="K49" t="n">
        <v>0</v>
      </c>
      <c r="L49" t="n">
        <v>0</v>
      </c>
      <c r="M49" t="n">
        <v>12</v>
      </c>
      <c r="N49" t="n">
        <v>0.5</v>
      </c>
      <c r="O49" t="n">
        <v>-0.25</v>
      </c>
      <c r="P49" t="n">
        <v>100</v>
      </c>
      <c r="Q49" t="n">
        <v>12</v>
      </c>
      <c r="R49" t="s">
        <v>250</v>
      </c>
      <c r="S49" t="s">
        <v>250</v>
      </c>
      <c r="T49" t="n">
        <v>0.25</v>
      </c>
    </row>
    <row r="50">
      <c r="A50" t="s">
        <v>30</v>
      </c>
      <c r="B50" t="n">
        <v>1</v>
      </c>
      <c r="C50" t="n">
        <v>0.93</v>
      </c>
      <c r="D50" t="n">
        <v>0.93</v>
      </c>
      <c r="E50" t="n">
        <v>-1</v>
      </c>
      <c r="F50" t="n">
        <v>0</v>
      </c>
      <c r="G50" t="n">
        <v>9</v>
      </c>
      <c r="H50" t="n">
        <v>12</v>
      </c>
      <c r="I50" t="s">
        <v>251</v>
      </c>
      <c r="J50" t="n">
        <v>0</v>
      </c>
      <c r="K50" t="n">
        <v>0</v>
      </c>
      <c r="L50" t="n">
        <v>0</v>
      </c>
      <c r="M50" t="n">
        <v>12</v>
      </c>
      <c r="N50" t="n">
        <v>0.5</v>
      </c>
      <c r="O50" t="n">
        <v>-0.25</v>
      </c>
      <c r="P50" t="n">
        <v>159</v>
      </c>
      <c r="Q50" t="n">
        <v>12</v>
      </c>
      <c r="R50" t="s">
        <v>253</v>
      </c>
      <c r="S50" t="s">
        <v>253</v>
      </c>
      <c r="T50" t="n">
        <v>0.25</v>
      </c>
    </row>
    <row r="51">
      <c r="A51" t="s">
        <v>30</v>
      </c>
      <c r="B51" t="n">
        <v>1.01</v>
      </c>
      <c r="C51" t="n">
        <v>0.86</v>
      </c>
      <c r="D51" t="n">
        <v>1.03</v>
      </c>
      <c r="E51" t="n">
        <v>-5</v>
      </c>
      <c r="F51" t="n">
        <v>-0.5</v>
      </c>
      <c r="G51" t="n">
        <v>86</v>
      </c>
      <c r="H51" t="n">
        <v>12</v>
      </c>
      <c r="I51" t="s">
        <v>251</v>
      </c>
      <c r="J51" t="n">
        <v>0</v>
      </c>
      <c r="K51" t="n">
        <v>0</v>
      </c>
      <c r="L51" t="n">
        <v>0</v>
      </c>
      <c r="M51" t="n">
        <v>12</v>
      </c>
      <c r="N51" t="n">
        <v>-0.5</v>
      </c>
      <c r="O51" t="n">
        <v>0</v>
      </c>
      <c r="P51" t="n">
        <v>85</v>
      </c>
      <c r="Q51" t="n">
        <v>12</v>
      </c>
      <c r="R51" t="s">
        <v>250</v>
      </c>
      <c r="S51" t="s">
        <v>257</v>
      </c>
      <c r="T51" t="n">
        <v>-0.5</v>
      </c>
    </row>
    <row r="52">
      <c r="A52" t="s">
        <v>30</v>
      </c>
      <c r="B52" t="n">
        <v>1.1</v>
      </c>
      <c r="C52" t="n">
        <v>1.19</v>
      </c>
      <c r="D52" t="n">
        <v>1.16</v>
      </c>
      <c r="E52" t="n">
        <v>-4</v>
      </c>
      <c r="F52" t="n">
        <v>0</v>
      </c>
      <c r="G52" t="n">
        <v>99</v>
      </c>
      <c r="H52" t="n">
        <v>12</v>
      </c>
      <c r="I52" t="s">
        <v>252</v>
      </c>
      <c r="J52" t="n">
        <v>0</v>
      </c>
      <c r="K52" t="n">
        <v>0</v>
      </c>
      <c r="L52" t="n">
        <v>0</v>
      </c>
      <c r="M52" t="n">
        <v>12</v>
      </c>
      <c r="N52" t="n">
        <v>0</v>
      </c>
      <c r="O52" t="n">
        <v>-0.25</v>
      </c>
      <c r="P52" t="n">
        <v>111</v>
      </c>
      <c r="Q52" t="n">
        <v>12</v>
      </c>
      <c r="R52" t="s">
        <v>255</v>
      </c>
      <c r="S52" t="s">
        <v>256</v>
      </c>
      <c r="T52" t="n">
        <v>0</v>
      </c>
    </row>
    <row r="53">
      <c r="A53" t="s">
        <v>30</v>
      </c>
      <c r="B53" t="n">
        <v>1.06</v>
      </c>
      <c r="C53" t="n">
        <v>1.04</v>
      </c>
      <c r="D53" t="n">
        <v>1.02</v>
      </c>
      <c r="E53" t="n">
        <v>-5</v>
      </c>
      <c r="F53" t="n">
        <v>0</v>
      </c>
      <c r="G53" t="n">
        <v>7</v>
      </c>
      <c r="H53" t="n">
        <v>12</v>
      </c>
      <c r="I53" t="s">
        <v>250</v>
      </c>
      <c r="J53" t="n">
        <v>0</v>
      </c>
      <c r="K53" t="n">
        <v>0</v>
      </c>
      <c r="L53" t="n">
        <v>0</v>
      </c>
      <c r="M53" t="n">
        <v>12</v>
      </c>
      <c r="N53" t="n">
        <v>0.25</v>
      </c>
      <c r="O53" t="n">
        <v>-0.5</v>
      </c>
      <c r="P53" t="n">
        <v>3</v>
      </c>
      <c r="Q53" t="n">
        <v>12</v>
      </c>
      <c r="R53" t="s">
        <v>251</v>
      </c>
      <c r="S53" t="s">
        <v>250</v>
      </c>
      <c r="T53" t="n">
        <v>0</v>
      </c>
    </row>
    <row r="54">
      <c r="A54" t="s">
        <v>30</v>
      </c>
      <c r="B54" t="n">
        <v>1.03</v>
      </c>
      <c r="C54" t="n">
        <v>1.04</v>
      </c>
      <c r="D54" t="n">
        <v>1.07</v>
      </c>
      <c r="E54" t="n">
        <v>-5.25</v>
      </c>
      <c r="F54" t="n">
        <v>-0.25</v>
      </c>
      <c r="G54" t="n">
        <v>85</v>
      </c>
      <c r="H54" t="n">
        <v>12</v>
      </c>
      <c r="I54" t="s">
        <v>250</v>
      </c>
      <c r="J54" t="n">
        <v>0</v>
      </c>
      <c r="K54" t="n">
        <v>0</v>
      </c>
      <c r="L54" t="n">
        <v>0</v>
      </c>
      <c r="M54" t="n">
        <v>12</v>
      </c>
      <c r="N54" t="n">
        <v>0.25</v>
      </c>
      <c r="O54" t="n">
        <v>-0.5</v>
      </c>
      <c r="P54" t="n">
        <v>133</v>
      </c>
      <c r="Q54" t="n">
        <v>12</v>
      </c>
      <c r="R54" t="s">
        <v>250</v>
      </c>
      <c r="S54" t="s">
        <v>250</v>
      </c>
      <c r="T54" t="n">
        <v>0</v>
      </c>
    </row>
    <row r="55">
      <c r="A55" t="s">
        <v>30</v>
      </c>
      <c r="B55" t="n">
        <v>0.99</v>
      </c>
      <c r="C55" t="n">
        <v>1.03</v>
      </c>
      <c r="D55" t="n">
        <v>1</v>
      </c>
      <c r="E55" t="n">
        <v>-3.25</v>
      </c>
      <c r="F55" t="n">
        <v>-1.75</v>
      </c>
      <c r="G55" t="n">
        <v>16</v>
      </c>
      <c r="H55" t="n">
        <v>12</v>
      </c>
      <c r="I55" t="s">
        <v>251</v>
      </c>
      <c r="J55" t="n">
        <v>0</v>
      </c>
      <c r="K55" t="n">
        <v>0</v>
      </c>
      <c r="L55" t="n">
        <v>0</v>
      </c>
      <c r="M55" t="n">
        <v>12</v>
      </c>
      <c r="N55" t="n">
        <v>0.25</v>
      </c>
      <c r="O55" t="n">
        <v>-0.5</v>
      </c>
      <c r="P55" t="n">
        <v>16</v>
      </c>
      <c r="Q55" t="n">
        <v>12</v>
      </c>
      <c r="R55" t="s">
        <v>251</v>
      </c>
      <c r="S55" t="s">
        <v>250</v>
      </c>
      <c r="T55" t="n">
        <v>0</v>
      </c>
    </row>
    <row r="56">
      <c r="A56" t="s">
        <v>30</v>
      </c>
      <c r="B56" t="n">
        <v>1.04</v>
      </c>
      <c r="C56" t="n">
        <v>1.01</v>
      </c>
      <c r="D56" t="n">
        <v>1.01</v>
      </c>
      <c r="E56" t="n">
        <v>-4.25</v>
      </c>
      <c r="F56" t="n">
        <v>-1.5</v>
      </c>
      <c r="G56" t="n">
        <v>175</v>
      </c>
      <c r="H56" t="n">
        <v>12</v>
      </c>
      <c r="I56" t="s">
        <v>250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0</v>
      </c>
      <c r="P56" t="n">
        <v>99</v>
      </c>
      <c r="Q56" t="n">
        <v>12</v>
      </c>
      <c r="R56" t="s">
        <v>251</v>
      </c>
      <c r="S56" t="s">
        <v>251</v>
      </c>
      <c r="T56" t="n">
        <v>0</v>
      </c>
    </row>
    <row r="57">
      <c r="A57" t="s">
        <v>30</v>
      </c>
      <c r="B57" t="n">
        <v>1.12</v>
      </c>
      <c r="C57" t="n">
        <v>1.04</v>
      </c>
      <c r="D57" t="n">
        <v>1.09</v>
      </c>
      <c r="E57" t="n">
        <v>-5.25</v>
      </c>
      <c r="F57" t="n">
        <v>-0.75</v>
      </c>
      <c r="G57" t="n">
        <v>173</v>
      </c>
      <c r="H57" t="n">
        <v>12</v>
      </c>
      <c r="I57" t="s">
        <v>252</v>
      </c>
      <c r="J57" t="n">
        <v>0</v>
      </c>
      <c r="K57" t="n">
        <v>0</v>
      </c>
      <c r="L57" t="n">
        <v>0</v>
      </c>
      <c r="M57" t="n">
        <v>12</v>
      </c>
      <c r="N57" t="n">
        <v>1</v>
      </c>
      <c r="O57" t="n">
        <v>-0.25</v>
      </c>
      <c r="P57" t="n">
        <v>162</v>
      </c>
      <c r="Q57" t="n">
        <v>12</v>
      </c>
      <c r="R57" t="s">
        <v>252</v>
      </c>
      <c r="S57" t="s">
        <v>250</v>
      </c>
      <c r="T57" t="n">
        <v>0.75</v>
      </c>
    </row>
    <row r="58">
      <c r="A58" t="s">
        <v>30</v>
      </c>
      <c r="B58" t="n">
        <v>1.1</v>
      </c>
      <c r="C58" t="n">
        <v>1.01</v>
      </c>
      <c r="D58" t="n">
        <v>1.05</v>
      </c>
      <c r="E58" t="n">
        <v>-3.75</v>
      </c>
      <c r="F58" t="n">
        <v>-1</v>
      </c>
      <c r="G58" t="n">
        <v>13</v>
      </c>
      <c r="H58" t="n">
        <v>12</v>
      </c>
      <c r="I58" t="s">
        <v>252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-0.25</v>
      </c>
      <c r="P58" t="n">
        <v>16</v>
      </c>
      <c r="Q58" t="n">
        <v>12</v>
      </c>
      <c r="R58" t="s">
        <v>250</v>
      </c>
      <c r="S58" t="s">
        <v>251</v>
      </c>
      <c r="T58" t="n">
        <v>0</v>
      </c>
    </row>
    <row r="59">
      <c r="A59" t="s">
        <v>30</v>
      </c>
      <c r="B59" t="n">
        <v>1</v>
      </c>
      <c r="C59" t="n">
        <v>0.99</v>
      </c>
      <c r="D59" t="n">
        <v>0.99</v>
      </c>
      <c r="E59" t="n">
        <v>-4.25</v>
      </c>
      <c r="F59" t="n">
        <v>0</v>
      </c>
      <c r="G59" t="n">
        <v>95</v>
      </c>
      <c r="H59" t="n">
        <v>12</v>
      </c>
      <c r="I59" t="s">
        <v>251</v>
      </c>
      <c r="J59" t="n">
        <v>0</v>
      </c>
      <c r="K59" t="n">
        <v>0</v>
      </c>
      <c r="L59" t="n">
        <v>0</v>
      </c>
      <c r="M59" t="n">
        <v>12</v>
      </c>
      <c r="N59" t="n">
        <v>0.25</v>
      </c>
      <c r="O59" t="n">
        <v>0</v>
      </c>
      <c r="P59" t="n">
        <v>114</v>
      </c>
      <c r="Q59" t="n">
        <v>12</v>
      </c>
      <c r="R59" t="s">
        <v>251</v>
      </c>
      <c r="S59" t="s">
        <v>251</v>
      </c>
      <c r="T59" t="n">
        <v>0.25</v>
      </c>
    </row>
    <row r="60">
      <c r="A60" t="s">
        <v>30</v>
      </c>
      <c r="B60" t="n">
        <v>1.02</v>
      </c>
      <c r="C60" t="n">
        <v>1.04</v>
      </c>
      <c r="D60" t="n">
        <v>1.03</v>
      </c>
      <c r="E60" t="n">
        <v>-2.25</v>
      </c>
      <c r="F60" t="n">
        <v>-0.5</v>
      </c>
      <c r="G60" t="n">
        <v>86</v>
      </c>
      <c r="H60" t="n">
        <v>12</v>
      </c>
      <c r="I60" t="s">
        <v>251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-0.25</v>
      </c>
      <c r="P60" t="n">
        <v>118</v>
      </c>
      <c r="Q60" t="n">
        <v>12</v>
      </c>
      <c r="R60" t="s">
        <v>250</v>
      </c>
      <c r="S60" t="s">
        <v>250</v>
      </c>
      <c r="T60" t="n">
        <v>0</v>
      </c>
    </row>
    <row r="61">
      <c r="A61" t="s">
        <v>30</v>
      </c>
      <c r="B61" t="n">
        <v>0.98</v>
      </c>
      <c r="C61" t="n">
        <v>0.9</v>
      </c>
      <c r="D61" t="n">
        <v>0.95</v>
      </c>
      <c r="E61" t="n">
        <v>-5.5</v>
      </c>
      <c r="F61" t="n">
        <v>-0.25</v>
      </c>
      <c r="G61" t="n">
        <v>157</v>
      </c>
      <c r="H61" t="n">
        <v>12</v>
      </c>
      <c r="I61" t="s">
        <v>251</v>
      </c>
      <c r="J61" t="n">
        <v>0</v>
      </c>
      <c r="K61" t="n">
        <v>0</v>
      </c>
      <c r="L61" t="n">
        <v>0</v>
      </c>
      <c r="M61" t="n">
        <v>12</v>
      </c>
      <c r="N61" t="n">
        <v>0.25</v>
      </c>
      <c r="O61" t="n">
        <v>0</v>
      </c>
      <c r="P61" t="n">
        <v>156</v>
      </c>
      <c r="Q61" t="n">
        <v>12</v>
      </c>
      <c r="R61" t="s">
        <v>254</v>
      </c>
      <c r="S61" t="s">
        <v>253</v>
      </c>
      <c r="T61" t="n">
        <v>0.25</v>
      </c>
    </row>
    <row r="62">
      <c r="A62" t="s">
        <v>30</v>
      </c>
      <c r="B62" t="n">
        <v>0.95</v>
      </c>
      <c r="C62" t="n">
        <v>1.01</v>
      </c>
      <c r="D62" t="n">
        <v>0.97</v>
      </c>
      <c r="E62" t="n">
        <v>-2.25</v>
      </c>
      <c r="F62" t="n">
        <v>-2.25</v>
      </c>
      <c r="G62" t="n">
        <v>170</v>
      </c>
      <c r="H62" t="n">
        <v>12</v>
      </c>
      <c r="I62" t="s">
        <v>254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-0.25</v>
      </c>
      <c r="P62" t="n">
        <v>175</v>
      </c>
      <c r="Q62" t="n">
        <v>12</v>
      </c>
      <c r="R62" t="s">
        <v>254</v>
      </c>
      <c r="S62" t="s">
        <v>251</v>
      </c>
      <c r="T62" t="n">
        <v>0</v>
      </c>
    </row>
    <row r="63">
      <c r="A63" t="s">
        <v>30</v>
      </c>
      <c r="B63" t="n">
        <v>0.99</v>
      </c>
      <c r="C63" t="n">
        <v>0.84</v>
      </c>
      <c r="D63" t="n">
        <v>0.95</v>
      </c>
      <c r="E63" t="n">
        <v>-1.25</v>
      </c>
      <c r="F63" t="n">
        <v>-0.5</v>
      </c>
      <c r="G63" t="n">
        <v>109</v>
      </c>
      <c r="H63" t="n">
        <v>12</v>
      </c>
      <c r="I63" t="s">
        <v>251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-0.25</v>
      </c>
      <c r="P63" t="n">
        <v>120</v>
      </c>
      <c r="Q63" t="n">
        <v>12</v>
      </c>
      <c r="R63" t="s">
        <v>254</v>
      </c>
      <c r="S63" t="s">
        <v>258</v>
      </c>
      <c r="T63" t="n">
        <v>-0.25</v>
      </c>
    </row>
    <row r="64">
      <c r="A64" t="s">
        <v>30</v>
      </c>
      <c r="B64" t="n">
        <v>1</v>
      </c>
      <c r="C64" t="n">
        <v>1.03</v>
      </c>
      <c r="D64" t="n">
        <v>1.06</v>
      </c>
      <c r="E64" t="n">
        <v>-7.5</v>
      </c>
      <c r="F64" t="n">
        <v>-0.25</v>
      </c>
      <c r="G64" t="n">
        <v>172</v>
      </c>
      <c r="H64" t="n">
        <v>12</v>
      </c>
      <c r="I64" t="s">
        <v>251</v>
      </c>
      <c r="J64" t="n">
        <v>0</v>
      </c>
      <c r="K64" t="n">
        <v>0</v>
      </c>
      <c r="L64" t="n">
        <v>0</v>
      </c>
      <c r="M64" t="n">
        <v>12</v>
      </c>
      <c r="N64" t="n">
        <v>-0.5</v>
      </c>
      <c r="O64" t="n">
        <v>-0.25</v>
      </c>
      <c r="P64" t="n">
        <v>165</v>
      </c>
      <c r="Q64" t="n">
        <v>12</v>
      </c>
      <c r="R64" t="s">
        <v>250</v>
      </c>
      <c r="S64" t="s">
        <v>250</v>
      </c>
      <c r="T64" t="n">
        <v>-0.5</v>
      </c>
    </row>
    <row r="65">
      <c r="A65" t="s">
        <v>30</v>
      </c>
      <c r="B65" t="n">
        <v>1.11</v>
      </c>
      <c r="C65" t="n">
        <v>1.17</v>
      </c>
      <c r="D65" t="n">
        <v>1.16</v>
      </c>
      <c r="E65" t="n">
        <v>-6</v>
      </c>
      <c r="F65" t="n">
        <v>-0.25</v>
      </c>
      <c r="G65" t="n">
        <v>94</v>
      </c>
      <c r="H65" t="n">
        <v>12</v>
      </c>
      <c r="I65" t="s">
        <v>252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0</v>
      </c>
      <c r="P65" t="n">
        <v>59</v>
      </c>
      <c r="Q65" t="n">
        <v>12</v>
      </c>
      <c r="R65" t="s">
        <v>255</v>
      </c>
      <c r="S65" t="s">
        <v>255</v>
      </c>
      <c r="T65" t="n">
        <v>0</v>
      </c>
    </row>
    <row r="66">
      <c r="A66" t="s">
        <v>30</v>
      </c>
      <c r="B66" t="n">
        <v>1.02</v>
      </c>
      <c r="C66" t="n">
        <v>1.07</v>
      </c>
      <c r="D66" t="n">
        <v>1.08</v>
      </c>
      <c r="E66" t="n">
        <v>-3.25</v>
      </c>
      <c r="F66" t="n">
        <v>-1.25</v>
      </c>
      <c r="G66" t="n">
        <v>162</v>
      </c>
      <c r="H66" t="n">
        <v>12</v>
      </c>
      <c r="I66" t="s">
        <v>251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148</v>
      </c>
      <c r="Q66" t="n">
        <v>12</v>
      </c>
      <c r="R66" t="s">
        <v>252</v>
      </c>
      <c r="S66" t="s">
        <v>250</v>
      </c>
      <c r="T66" t="n">
        <v>0.25</v>
      </c>
    </row>
    <row r="67">
      <c r="A67" t="s">
        <v>30</v>
      </c>
      <c r="B67" t="n">
        <v>0.97</v>
      </c>
      <c r="C67" t="n">
        <v>0.93</v>
      </c>
      <c r="D67" t="n">
        <v>0.98</v>
      </c>
      <c r="E67" t="n">
        <v>-2</v>
      </c>
      <c r="F67" t="n">
        <v>-0.25</v>
      </c>
      <c r="G67" t="n">
        <v>27</v>
      </c>
      <c r="H67" t="n">
        <v>12</v>
      </c>
      <c r="I67" t="s">
        <v>254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-0.25</v>
      </c>
      <c r="P67" t="n">
        <v>38</v>
      </c>
      <c r="Q67" t="n">
        <v>12</v>
      </c>
      <c r="R67" t="s">
        <v>251</v>
      </c>
      <c r="S67" t="s">
        <v>253</v>
      </c>
      <c r="T67" t="n">
        <v>0.25</v>
      </c>
    </row>
    <row r="68">
      <c r="A68" t="s">
        <v>30</v>
      </c>
      <c r="B68" t="n">
        <v>1.05</v>
      </c>
      <c r="C68" t="n">
        <v>0.92</v>
      </c>
      <c r="D68" t="n">
        <v>1.04</v>
      </c>
      <c r="E68" t="n">
        <v>-3.5</v>
      </c>
      <c r="F68" t="n">
        <v>-1.25</v>
      </c>
      <c r="G68" t="n">
        <v>102</v>
      </c>
      <c r="H68" t="n">
        <v>12</v>
      </c>
      <c r="I68" t="s">
        <v>250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93</v>
      </c>
      <c r="Q68" t="n">
        <v>12</v>
      </c>
      <c r="R68" t="s">
        <v>250</v>
      </c>
      <c r="S68" t="s">
        <v>253</v>
      </c>
      <c r="T68" t="n">
        <v>0</v>
      </c>
    </row>
    <row r="69">
      <c r="A69" t="s">
        <v>30</v>
      </c>
      <c r="B69" t="n">
        <v>0.96</v>
      </c>
      <c r="C69" t="n">
        <v>0.82</v>
      </c>
      <c r="D69" t="n">
        <v>0.93</v>
      </c>
      <c r="E69" t="n">
        <v>-4</v>
      </c>
      <c r="F69" t="n">
        <v>-0.25</v>
      </c>
      <c r="G69" t="n">
        <v>97</v>
      </c>
      <c r="H69" t="n">
        <v>12</v>
      </c>
      <c r="I69" t="s">
        <v>254</v>
      </c>
      <c r="J69" t="n">
        <v>0</v>
      </c>
      <c r="K69" t="n">
        <v>0</v>
      </c>
      <c r="L69" t="n">
        <v>0</v>
      </c>
      <c r="M69" t="n">
        <v>12</v>
      </c>
      <c r="N69" t="n">
        <v>0.5</v>
      </c>
      <c r="O69" t="n">
        <v>0</v>
      </c>
      <c r="P69" t="n">
        <v>119</v>
      </c>
      <c r="Q69" t="n">
        <v>12</v>
      </c>
      <c r="R69" t="s">
        <v>253</v>
      </c>
      <c r="S69" t="s">
        <v>258</v>
      </c>
      <c r="T69" t="n">
        <v>0.5</v>
      </c>
    </row>
    <row r="70">
      <c r="A70" t="s">
        <v>30</v>
      </c>
      <c r="B70" t="n">
        <v>1.11</v>
      </c>
      <c r="C70" t="n">
        <v>1.17</v>
      </c>
      <c r="D70" t="n">
        <v>1.14</v>
      </c>
      <c r="E70" t="n">
        <v>-4</v>
      </c>
      <c r="F70" t="n">
        <v>0</v>
      </c>
      <c r="G70" t="n">
        <v>80</v>
      </c>
      <c r="H70" t="n">
        <v>12</v>
      </c>
      <c r="I70" t="s">
        <v>252</v>
      </c>
      <c r="J70" t="n">
        <v>0</v>
      </c>
      <c r="K70" t="n">
        <v>0</v>
      </c>
      <c r="L70" t="n">
        <v>0</v>
      </c>
      <c r="M70" t="n">
        <v>12</v>
      </c>
      <c r="N70" t="n">
        <v>0</v>
      </c>
      <c r="O70" t="n">
        <v>-0.25</v>
      </c>
      <c r="P70" t="n">
        <v>130</v>
      </c>
      <c r="Q70" t="n">
        <v>12</v>
      </c>
      <c r="R70" t="s">
        <v>255</v>
      </c>
      <c r="S70" t="s">
        <v>255</v>
      </c>
      <c r="T70" t="n">
        <v>-0.25</v>
      </c>
    </row>
    <row r="71">
      <c r="A71" t="s">
        <v>30</v>
      </c>
      <c r="B71" t="n">
        <v>1.14</v>
      </c>
      <c r="C71" t="n">
        <v>1.14</v>
      </c>
      <c r="D71" t="n">
        <v>1.17</v>
      </c>
      <c r="E71" t="n">
        <v>-4</v>
      </c>
      <c r="F71" t="n">
        <v>-0.75</v>
      </c>
      <c r="G71" t="n">
        <v>103</v>
      </c>
      <c r="H71" t="n">
        <v>12</v>
      </c>
      <c r="I71" t="s">
        <v>255</v>
      </c>
      <c r="J71" t="n">
        <v>0</v>
      </c>
      <c r="K71" t="n">
        <v>0</v>
      </c>
      <c r="L71" t="n">
        <v>0</v>
      </c>
      <c r="M71" t="n">
        <v>12</v>
      </c>
      <c r="N71" t="n">
        <v>0.5</v>
      </c>
      <c r="O71" t="n">
        <v>0</v>
      </c>
      <c r="P71" t="n">
        <v>8</v>
      </c>
      <c r="Q71" t="n">
        <v>12</v>
      </c>
      <c r="R71" t="s">
        <v>255</v>
      </c>
      <c r="S71" t="s">
        <v>255</v>
      </c>
      <c r="T71" t="n">
        <v>0.5</v>
      </c>
    </row>
    <row r="72">
      <c r="A72" t="s">
        <v>30</v>
      </c>
      <c r="B72" t="n">
        <v>1.08</v>
      </c>
      <c r="C72" t="n">
        <v>1.2</v>
      </c>
      <c r="D72" t="n">
        <v>1.12</v>
      </c>
      <c r="E72" t="n">
        <v>-3.5</v>
      </c>
      <c r="F72" t="n">
        <v>-1.25</v>
      </c>
      <c r="G72" t="n">
        <v>10</v>
      </c>
      <c r="H72" t="n">
        <v>12</v>
      </c>
      <c r="I72" t="s">
        <v>252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21</v>
      </c>
      <c r="Q72" t="n">
        <v>12</v>
      </c>
      <c r="R72" t="s">
        <v>252</v>
      </c>
      <c r="S72" t="s">
        <v>256</v>
      </c>
      <c r="T72" t="n">
        <v>0</v>
      </c>
    </row>
    <row r="73">
      <c r="A73" t="s">
        <v>30</v>
      </c>
      <c r="B73" t="n">
        <v>1.13</v>
      </c>
      <c r="C73" t="n">
        <v>1.07</v>
      </c>
      <c r="D73" t="n">
        <v>1.09</v>
      </c>
      <c r="E73" t="n">
        <v>-6</v>
      </c>
      <c r="F73" t="n">
        <v>-0.5</v>
      </c>
      <c r="G73" t="n">
        <v>82</v>
      </c>
      <c r="H73" t="n">
        <v>12</v>
      </c>
      <c r="I73" t="s">
        <v>255</v>
      </c>
      <c r="J73" t="n">
        <v>0</v>
      </c>
      <c r="K73" t="n">
        <v>0</v>
      </c>
      <c r="L73" t="n">
        <v>0</v>
      </c>
      <c r="M73" t="n">
        <v>12</v>
      </c>
      <c r="N73" t="n">
        <v>0.25</v>
      </c>
      <c r="O73" t="n">
        <v>-0.5</v>
      </c>
      <c r="P73" t="n">
        <v>106</v>
      </c>
      <c r="Q73" t="n">
        <v>12</v>
      </c>
      <c r="R73" t="s">
        <v>252</v>
      </c>
      <c r="S73" t="s">
        <v>250</v>
      </c>
      <c r="T73" t="n">
        <v>0</v>
      </c>
    </row>
    <row r="74">
      <c r="A74" t="s">
        <v>30</v>
      </c>
      <c r="B74" t="n">
        <v>0.99</v>
      </c>
      <c r="C74" t="n">
        <v>1.03</v>
      </c>
      <c r="D74" t="n">
        <v>1.03</v>
      </c>
      <c r="E74" t="n">
        <v>-6</v>
      </c>
      <c r="F74" t="n">
        <v>-1.25</v>
      </c>
      <c r="G74" t="n">
        <v>165</v>
      </c>
      <c r="H74" t="n">
        <v>12</v>
      </c>
      <c r="I74" t="s">
        <v>251</v>
      </c>
      <c r="J74" t="n">
        <v>0</v>
      </c>
      <c r="K74" t="n">
        <v>0</v>
      </c>
      <c r="L74" t="n">
        <v>0</v>
      </c>
      <c r="M74" t="n">
        <v>12</v>
      </c>
      <c r="N74" t="n">
        <v>-0.75</v>
      </c>
      <c r="O74" t="n">
        <v>0</v>
      </c>
      <c r="P74" t="n">
        <v>14</v>
      </c>
      <c r="Q74" t="n">
        <v>12</v>
      </c>
      <c r="R74" t="s">
        <v>250</v>
      </c>
      <c r="S74" t="s">
        <v>250</v>
      </c>
      <c r="T74" t="n">
        <v>-0.75</v>
      </c>
    </row>
    <row r="75">
      <c r="A75" t="s">
        <v>30</v>
      </c>
      <c r="B75" t="n">
        <v>0.94</v>
      </c>
      <c r="C75" t="n">
        <v>0.96</v>
      </c>
      <c r="D75" t="n">
        <v>0.93</v>
      </c>
      <c r="E75" t="n">
        <v>-3.75</v>
      </c>
      <c r="F75" t="n">
        <v>0</v>
      </c>
      <c r="G75" t="n">
        <v>149</v>
      </c>
      <c r="H75" t="n">
        <v>12</v>
      </c>
      <c r="I75" t="s">
        <v>254</v>
      </c>
      <c r="J75" t="n">
        <v>0</v>
      </c>
      <c r="K75" t="n">
        <v>0</v>
      </c>
      <c r="L75" t="n">
        <v>0</v>
      </c>
      <c r="M75" t="n">
        <v>12</v>
      </c>
      <c r="N75" t="n">
        <v>0</v>
      </c>
      <c r="O75" t="n">
        <v>-0.5</v>
      </c>
      <c r="P75" t="n">
        <v>143</v>
      </c>
      <c r="Q75" t="n">
        <v>12</v>
      </c>
      <c r="R75" t="s">
        <v>253</v>
      </c>
      <c r="S75" t="s">
        <v>254</v>
      </c>
      <c r="T75" t="n">
        <v>-0.25</v>
      </c>
    </row>
    <row r="76">
      <c r="A76" t="s">
        <v>30</v>
      </c>
      <c r="B76" t="n">
        <v>0.96</v>
      </c>
      <c r="C76" t="n">
        <v>1.08</v>
      </c>
      <c r="D76" t="n">
        <v>0.97</v>
      </c>
      <c r="E76" t="n">
        <v>-3.5</v>
      </c>
      <c r="F76" t="n">
        <v>-0.5</v>
      </c>
      <c r="G76" t="n">
        <v>2</v>
      </c>
      <c r="H76" t="n">
        <v>12</v>
      </c>
      <c r="I76" t="s">
        <v>254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175</v>
      </c>
      <c r="Q76" t="n">
        <v>12</v>
      </c>
      <c r="R76" t="s">
        <v>254</v>
      </c>
      <c r="S76" t="s">
        <v>252</v>
      </c>
      <c r="T76" t="n">
        <v>0.25</v>
      </c>
    </row>
    <row r="77">
      <c r="A77" t="s">
        <v>30</v>
      </c>
      <c r="B77" t="n">
        <v>1.11</v>
      </c>
      <c r="C77" t="n">
        <v>0.99</v>
      </c>
      <c r="D77" t="n">
        <v>1.08</v>
      </c>
      <c r="E77" t="n">
        <v>-4</v>
      </c>
      <c r="F77" t="n">
        <v>-0.75</v>
      </c>
      <c r="G77" t="n">
        <v>88</v>
      </c>
      <c r="H77" t="n">
        <v>12</v>
      </c>
      <c r="I77" t="s">
        <v>252</v>
      </c>
      <c r="J77" t="n">
        <v>0</v>
      </c>
      <c r="K77" t="n">
        <v>0</v>
      </c>
      <c r="L77" t="n">
        <v>0</v>
      </c>
      <c r="M77" t="n">
        <v>12</v>
      </c>
      <c r="N77" t="n">
        <v>0.5</v>
      </c>
      <c r="O77" t="n">
        <v>-0.25</v>
      </c>
      <c r="P77" t="n">
        <v>81</v>
      </c>
      <c r="Q77" t="n">
        <v>12</v>
      </c>
      <c r="R77" t="s">
        <v>252</v>
      </c>
      <c r="S77" t="s">
        <v>251</v>
      </c>
      <c r="T77" t="n">
        <v>0.25</v>
      </c>
    </row>
    <row r="78">
      <c r="A78" t="s">
        <v>30</v>
      </c>
      <c r="B78" t="n">
        <v>1.03</v>
      </c>
      <c r="C78" t="n">
        <v>0.9</v>
      </c>
      <c r="D78" t="n">
        <v>1.09</v>
      </c>
      <c r="E78" t="n">
        <v>-3.25</v>
      </c>
      <c r="F78" t="n">
        <v>-0.5</v>
      </c>
      <c r="G78" t="n">
        <v>180</v>
      </c>
      <c r="H78" t="n">
        <v>12</v>
      </c>
      <c r="I78" t="s">
        <v>250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152</v>
      </c>
      <c r="Q78" t="n">
        <v>12</v>
      </c>
      <c r="R78" t="s">
        <v>252</v>
      </c>
      <c r="S78" t="s">
        <v>253</v>
      </c>
      <c r="T78" t="n">
        <v>-0.25</v>
      </c>
    </row>
    <row r="79">
      <c r="A79" t="s">
        <v>30</v>
      </c>
      <c r="B79" t="n">
        <v>1.11</v>
      </c>
      <c r="C79" t="n">
        <v>0.97</v>
      </c>
      <c r="D79" t="n">
        <v>1.11</v>
      </c>
      <c r="E79" t="n">
        <v>-5.25</v>
      </c>
      <c r="F79" t="n">
        <v>-1</v>
      </c>
      <c r="G79" t="n">
        <v>22</v>
      </c>
      <c r="H79" t="n">
        <v>12</v>
      </c>
      <c r="I79" t="s">
        <v>252</v>
      </c>
      <c r="J79" t="n">
        <v>0</v>
      </c>
      <c r="K79" t="n">
        <v>0</v>
      </c>
      <c r="L79" t="n">
        <v>0</v>
      </c>
      <c r="M79" t="n">
        <v>12</v>
      </c>
      <c r="N79" t="n">
        <v>0.75</v>
      </c>
      <c r="O79" t="n">
        <v>-0.5</v>
      </c>
      <c r="P79" t="n">
        <v>14</v>
      </c>
      <c r="Q79" t="n">
        <v>12</v>
      </c>
      <c r="R79" t="s">
        <v>252</v>
      </c>
      <c r="S79" t="s">
        <v>254</v>
      </c>
      <c r="T79" t="n">
        <v>0.5</v>
      </c>
    </row>
    <row r="80">
      <c r="A80" t="s">
        <v>30</v>
      </c>
      <c r="B80" t="n">
        <v>1.04</v>
      </c>
      <c r="C80" t="n">
        <v>1.08</v>
      </c>
      <c r="D80" t="n">
        <v>1.07</v>
      </c>
      <c r="E80" t="n">
        <v>-3.25</v>
      </c>
      <c r="F80" t="n">
        <v>-0.5</v>
      </c>
      <c r="G80" t="n">
        <v>101</v>
      </c>
      <c r="H80" t="n">
        <v>12</v>
      </c>
      <c r="I80" t="s">
        <v>250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98</v>
      </c>
      <c r="Q80" t="n">
        <v>12</v>
      </c>
      <c r="R80" t="s">
        <v>250</v>
      </c>
      <c r="S80" t="s">
        <v>252</v>
      </c>
      <c r="T80" t="n">
        <v>-0.25</v>
      </c>
    </row>
    <row r="81">
      <c r="A81" t="s">
        <v>30</v>
      </c>
      <c r="B81" t="n">
        <v>1.1</v>
      </c>
      <c r="C81" t="n">
        <v>1.14</v>
      </c>
      <c r="D81" t="n">
        <v>1.13</v>
      </c>
      <c r="E81" t="n">
        <v>-7.25</v>
      </c>
      <c r="F81" t="n">
        <v>-1</v>
      </c>
      <c r="G81" t="n">
        <v>156</v>
      </c>
      <c r="H81" t="n">
        <v>12</v>
      </c>
      <c r="I81" t="s">
        <v>252</v>
      </c>
      <c r="J81" t="n">
        <v>0</v>
      </c>
      <c r="K81" t="n">
        <v>0</v>
      </c>
      <c r="L81" t="n">
        <v>0</v>
      </c>
      <c r="M81" t="n">
        <v>12</v>
      </c>
      <c r="N81" t="n">
        <v>0.25</v>
      </c>
      <c r="O81" t="n">
        <v>-0.5</v>
      </c>
      <c r="P81" t="n">
        <v>40</v>
      </c>
      <c r="Q81" t="n">
        <v>12</v>
      </c>
      <c r="R81" t="s">
        <v>255</v>
      </c>
      <c r="S81" t="s">
        <v>255</v>
      </c>
      <c r="T81" t="n">
        <v>0</v>
      </c>
    </row>
    <row r="82">
      <c r="A82" t="s">
        <v>30</v>
      </c>
      <c r="B82" t="n">
        <v>1.11</v>
      </c>
      <c r="C82" t="n">
        <v>1.07</v>
      </c>
      <c r="D82" t="n">
        <v>1.14</v>
      </c>
      <c r="E82" t="n">
        <v>-5.5</v>
      </c>
      <c r="F82" t="n">
        <v>-0.5</v>
      </c>
      <c r="G82" t="n">
        <v>21</v>
      </c>
      <c r="H82" t="n">
        <v>12</v>
      </c>
      <c r="I82" t="s">
        <v>252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8</v>
      </c>
      <c r="Q82" t="n">
        <v>12</v>
      </c>
      <c r="R82" t="s">
        <v>255</v>
      </c>
      <c r="S82" t="s">
        <v>250</v>
      </c>
      <c r="T82" t="n">
        <v>0</v>
      </c>
    </row>
    <row r="83">
      <c r="A83" t="s">
        <v>30</v>
      </c>
      <c r="B83" t="n">
        <v>1.03</v>
      </c>
      <c r="C83" t="n">
        <v>1.01</v>
      </c>
      <c r="D83" t="n">
        <v>1.03</v>
      </c>
      <c r="E83" t="n">
        <v>-0.5</v>
      </c>
      <c r="F83" t="n">
        <v>-0.25</v>
      </c>
      <c r="G83" t="n">
        <v>6</v>
      </c>
      <c r="H83" t="n">
        <v>12</v>
      </c>
      <c r="I83" t="s">
        <v>250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-0.25</v>
      </c>
      <c r="P83" t="n">
        <v>179</v>
      </c>
      <c r="Q83" t="n">
        <v>12</v>
      </c>
      <c r="R83" t="s">
        <v>250</v>
      </c>
      <c r="S83" t="s">
        <v>251</v>
      </c>
      <c r="T83" t="n">
        <v>-0.25</v>
      </c>
    </row>
    <row r="84">
      <c r="A84" t="s">
        <v>30</v>
      </c>
      <c r="B84" t="n">
        <v>1.02</v>
      </c>
      <c r="C84" t="n">
        <v>1.12</v>
      </c>
      <c r="D84" t="n">
        <v>1.05</v>
      </c>
      <c r="E84" t="n">
        <v>-3.5</v>
      </c>
      <c r="F84" t="n">
        <v>-0.75</v>
      </c>
      <c r="G84" t="n">
        <v>167</v>
      </c>
      <c r="H84" t="n">
        <v>12</v>
      </c>
      <c r="I84" t="s">
        <v>251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-0.25</v>
      </c>
      <c r="P84" t="n">
        <v>168</v>
      </c>
      <c r="Q84" t="n">
        <v>12</v>
      </c>
      <c r="R84" t="s">
        <v>250</v>
      </c>
      <c r="S84" t="s">
        <v>252</v>
      </c>
      <c r="T84" t="n">
        <v>0</v>
      </c>
    </row>
    <row r="85">
      <c r="A85" t="s">
        <v>30</v>
      </c>
      <c r="B85" t="n">
        <v>1.06</v>
      </c>
      <c r="C85" t="n">
        <v>1.07</v>
      </c>
      <c r="D85" t="n">
        <v>1.09</v>
      </c>
      <c r="E85" t="n">
        <v>-4.25</v>
      </c>
      <c r="F85" t="n">
        <v>0</v>
      </c>
      <c r="G85" t="n">
        <v>1</v>
      </c>
      <c r="H85" t="n">
        <v>12</v>
      </c>
      <c r="I85" t="s">
        <v>250</v>
      </c>
      <c r="J85" t="n">
        <v>0</v>
      </c>
      <c r="K85" t="n">
        <v>0</v>
      </c>
      <c r="L85" t="n">
        <v>0</v>
      </c>
      <c r="M85" t="n">
        <v>12</v>
      </c>
      <c r="N85" t="n">
        <v>0.5</v>
      </c>
      <c r="O85" t="n">
        <v>-0.25</v>
      </c>
      <c r="P85" t="n">
        <v>13</v>
      </c>
      <c r="Q85" t="n">
        <v>12</v>
      </c>
      <c r="R85" t="s">
        <v>252</v>
      </c>
      <c r="S85" t="s">
        <v>250</v>
      </c>
      <c r="T85" t="n">
        <v>0.25</v>
      </c>
    </row>
    <row r="86">
      <c r="A86" t="s">
        <v>30</v>
      </c>
      <c r="B86" t="n">
        <v>1.04</v>
      </c>
      <c r="C86" t="n">
        <v>1.07</v>
      </c>
      <c r="D86" t="n">
        <v>1.01</v>
      </c>
      <c r="E86" t="n">
        <v>-5</v>
      </c>
      <c r="F86" t="n">
        <v>-0.25</v>
      </c>
      <c r="G86" t="n">
        <v>89</v>
      </c>
      <c r="H86" t="n">
        <v>12</v>
      </c>
      <c r="I86" t="s">
        <v>250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60</v>
      </c>
      <c r="Q86" t="n">
        <v>12</v>
      </c>
      <c r="R86" t="s">
        <v>251</v>
      </c>
      <c r="S86" t="s">
        <v>250</v>
      </c>
      <c r="T86" t="n">
        <v>0</v>
      </c>
    </row>
    <row r="87">
      <c r="A87" t="s">
        <v>30</v>
      </c>
      <c r="B87" t="n">
        <v>1.04</v>
      </c>
      <c r="C87" t="n">
        <v>0.89</v>
      </c>
      <c r="D87" t="n">
        <v>1.05</v>
      </c>
      <c r="E87" t="n">
        <v>-2.5</v>
      </c>
      <c r="F87" t="n">
        <v>-0.25</v>
      </c>
      <c r="G87" t="n">
        <v>105</v>
      </c>
      <c r="H87" t="n">
        <v>12</v>
      </c>
      <c r="I87" t="s">
        <v>250</v>
      </c>
      <c r="J87" t="n">
        <v>0</v>
      </c>
      <c r="K87" t="n">
        <v>0</v>
      </c>
      <c r="L87" t="n">
        <v>0</v>
      </c>
      <c r="M87" t="n">
        <v>12</v>
      </c>
      <c r="N87" t="n">
        <v>0.25</v>
      </c>
      <c r="O87" t="n">
        <v>-0.5</v>
      </c>
      <c r="P87" t="n">
        <v>132</v>
      </c>
      <c r="Q87" t="n">
        <v>12</v>
      </c>
      <c r="R87" t="s">
        <v>250</v>
      </c>
      <c r="S87" t="s">
        <v>257</v>
      </c>
      <c r="T87" t="n">
        <v>0</v>
      </c>
    </row>
    <row r="88">
      <c r="A88" t="s">
        <v>30</v>
      </c>
      <c r="B88" t="n">
        <v>0.94</v>
      </c>
      <c r="C88" t="n">
        <v>0.92</v>
      </c>
      <c r="D88" t="n">
        <v>0.95</v>
      </c>
      <c r="E88" t="n">
        <v>-3</v>
      </c>
      <c r="F88" t="n">
        <v>-1.25</v>
      </c>
      <c r="G88" t="n">
        <v>163</v>
      </c>
      <c r="H88" t="n">
        <v>12</v>
      </c>
      <c r="I88" t="s">
        <v>254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0</v>
      </c>
      <c r="P88" t="n">
        <v>5</v>
      </c>
      <c r="Q88" t="n">
        <v>12</v>
      </c>
      <c r="R88" t="s">
        <v>254</v>
      </c>
      <c r="S88" t="s">
        <v>253</v>
      </c>
      <c r="T88" t="n">
        <v>0</v>
      </c>
    </row>
    <row r="89">
      <c r="A89" t="s">
        <v>30</v>
      </c>
      <c r="B89" t="n">
        <v>1.03</v>
      </c>
      <c r="C89" t="n">
        <v>0.87</v>
      </c>
      <c r="D89" t="n">
        <v>1</v>
      </c>
      <c r="E89" t="n">
        <v>-2</v>
      </c>
      <c r="F89" t="n">
        <v>-1</v>
      </c>
      <c r="G89" t="n">
        <v>94</v>
      </c>
      <c r="H89" t="n">
        <v>12</v>
      </c>
      <c r="I89" t="s">
        <v>250</v>
      </c>
      <c r="J89" t="n">
        <v>0</v>
      </c>
      <c r="K89" t="n">
        <v>0</v>
      </c>
      <c r="L89" t="n">
        <v>0</v>
      </c>
      <c r="M89" t="n">
        <v>12</v>
      </c>
      <c r="N89" t="n">
        <v>0.5</v>
      </c>
      <c r="O89" t="n">
        <v>0</v>
      </c>
      <c r="P89" t="n">
        <v>104</v>
      </c>
      <c r="Q89" t="n">
        <v>12</v>
      </c>
      <c r="R89" t="s">
        <v>251</v>
      </c>
      <c r="S89" t="s">
        <v>257</v>
      </c>
      <c r="T89" t="n">
        <v>0.5</v>
      </c>
    </row>
    <row r="90">
      <c r="A90" t="s">
        <v>30</v>
      </c>
      <c r="B90" t="n">
        <v>0.94</v>
      </c>
      <c r="C90" t="n">
        <v>0.91</v>
      </c>
      <c r="D90" t="n">
        <v>0.93</v>
      </c>
      <c r="E90" t="n">
        <v>-6</v>
      </c>
      <c r="F90" t="n">
        <v>-0.5</v>
      </c>
      <c r="G90" t="n">
        <v>85</v>
      </c>
      <c r="H90" t="n">
        <v>12</v>
      </c>
      <c r="I90" t="s">
        <v>254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-0.25</v>
      </c>
      <c r="P90" t="n">
        <v>110</v>
      </c>
      <c r="Q90" t="n">
        <v>12</v>
      </c>
      <c r="R90" t="s">
        <v>253</v>
      </c>
      <c r="S90" t="s">
        <v>253</v>
      </c>
      <c r="T90" t="n">
        <v>0</v>
      </c>
    </row>
    <row r="91">
      <c r="A91" t="s">
        <v>30</v>
      </c>
      <c r="B91" t="n">
        <v>0.99</v>
      </c>
      <c r="C91" t="n">
        <v>0.89</v>
      </c>
      <c r="D91" t="n">
        <v>0.99</v>
      </c>
      <c r="E91" t="n">
        <v>-0.5</v>
      </c>
      <c r="F91" t="n">
        <v>-0.75</v>
      </c>
      <c r="G91" t="n">
        <v>89</v>
      </c>
      <c r="H91" t="n">
        <v>12</v>
      </c>
      <c r="I91" t="s">
        <v>251</v>
      </c>
      <c r="J91" t="n">
        <v>0</v>
      </c>
      <c r="K91" t="n">
        <v>0</v>
      </c>
      <c r="L91" t="n">
        <v>0</v>
      </c>
      <c r="M91" t="n">
        <v>12</v>
      </c>
      <c r="N91" t="n">
        <v>0.5</v>
      </c>
      <c r="O91" t="n">
        <v>-0.25</v>
      </c>
      <c r="P91" t="n">
        <v>74</v>
      </c>
      <c r="Q91" t="n">
        <v>12</v>
      </c>
      <c r="R91" t="s">
        <v>251</v>
      </c>
      <c r="S91" t="s">
        <v>257</v>
      </c>
      <c r="T91" t="n">
        <v>0.5</v>
      </c>
    </row>
    <row r="92">
      <c r="A92" t="s">
        <v>30</v>
      </c>
      <c r="B92" t="n">
        <v>1.06</v>
      </c>
      <c r="C92" t="n">
        <v>1.02</v>
      </c>
      <c r="D92" t="n">
        <v>1.07</v>
      </c>
      <c r="E92" t="n">
        <v>-1.75</v>
      </c>
      <c r="F92" t="n">
        <v>-2.5</v>
      </c>
      <c r="G92" t="n">
        <v>20</v>
      </c>
      <c r="H92" t="n">
        <v>12</v>
      </c>
      <c r="I92" t="s">
        <v>250</v>
      </c>
      <c r="J92" t="n">
        <v>0</v>
      </c>
      <c r="K92" t="n">
        <v>0</v>
      </c>
      <c r="L92" t="n">
        <v>0</v>
      </c>
      <c r="M92" t="n">
        <v>12</v>
      </c>
      <c r="N92" t="n">
        <v>0.25</v>
      </c>
      <c r="O92" t="n">
        <v>0</v>
      </c>
      <c r="P92" t="n">
        <v>33</v>
      </c>
      <c r="Q92" t="n">
        <v>12</v>
      </c>
      <c r="R92" t="s">
        <v>250</v>
      </c>
      <c r="S92" t="s">
        <v>251</v>
      </c>
      <c r="T92" t="n">
        <v>0.25</v>
      </c>
    </row>
    <row r="93">
      <c r="A93" t="s">
        <v>30</v>
      </c>
      <c r="B93" t="n">
        <v>1.06</v>
      </c>
      <c r="C93" t="n">
        <v>1.08</v>
      </c>
      <c r="D93" t="n">
        <v>1.07</v>
      </c>
      <c r="E93" t="n">
        <v>-4</v>
      </c>
      <c r="F93" t="n">
        <v>-1</v>
      </c>
      <c r="G93" t="n">
        <v>60</v>
      </c>
      <c r="H93" t="n">
        <v>12</v>
      </c>
      <c r="I93" t="s">
        <v>250</v>
      </c>
      <c r="J93" t="n">
        <v>0</v>
      </c>
      <c r="K93" t="n">
        <v>0</v>
      </c>
      <c r="L93" t="n">
        <v>0</v>
      </c>
      <c r="M93" t="n">
        <v>12</v>
      </c>
      <c r="N93" t="n">
        <v>-0.25</v>
      </c>
      <c r="O93" t="n">
        <v>0</v>
      </c>
      <c r="P93" t="n">
        <v>130</v>
      </c>
      <c r="Q93" t="n">
        <v>12</v>
      </c>
      <c r="R93" t="s">
        <v>250</v>
      </c>
      <c r="S93" t="s">
        <v>252</v>
      </c>
      <c r="T93" t="n">
        <v>-0.25</v>
      </c>
    </row>
    <row r="94">
      <c r="A94" t="s">
        <v>30</v>
      </c>
      <c r="B94" t="n">
        <v>1</v>
      </c>
      <c r="C94" t="n">
        <v>0.81</v>
      </c>
      <c r="D94" t="n">
        <v>0.85</v>
      </c>
      <c r="E94" t="n">
        <v>-5.5</v>
      </c>
      <c r="F94" t="n">
        <v>-0.25</v>
      </c>
      <c r="G94" t="n">
        <v>99</v>
      </c>
      <c r="H94" t="n">
        <v>12</v>
      </c>
      <c r="I94" t="s">
        <v>251</v>
      </c>
      <c r="J94" t="n">
        <v>0</v>
      </c>
      <c r="K94" t="n">
        <v>0</v>
      </c>
      <c r="L94" t="n">
        <v>0</v>
      </c>
      <c r="M94" t="n">
        <v>12</v>
      </c>
      <c r="N94" t="n">
        <v>0</v>
      </c>
      <c r="O94" t="n">
        <v>-0.25</v>
      </c>
      <c r="P94" t="n">
        <v>110</v>
      </c>
      <c r="Q94" t="n">
        <v>12</v>
      </c>
      <c r="R94" t="s">
        <v>258</v>
      </c>
      <c r="S94" t="s">
        <v>260</v>
      </c>
      <c r="T94" t="n">
        <v>0</v>
      </c>
    </row>
    <row r="95">
      <c r="A95" t="s">
        <v>30</v>
      </c>
      <c r="B95" t="n">
        <v>0.98</v>
      </c>
      <c r="C95" t="n">
        <v>0.83</v>
      </c>
      <c r="D95" t="n">
        <v>0.93</v>
      </c>
      <c r="E95" t="n">
        <v>-8.75</v>
      </c>
      <c r="F95" t="n">
        <v>-1</v>
      </c>
      <c r="G95" t="n">
        <v>87</v>
      </c>
      <c r="H95" t="n">
        <v>12</v>
      </c>
      <c r="I95" t="s">
        <v>251</v>
      </c>
      <c r="J95" t="n">
        <v>0</v>
      </c>
      <c r="K95" t="n">
        <v>0</v>
      </c>
      <c r="L95" t="n">
        <v>0</v>
      </c>
      <c r="M95" t="n">
        <v>12</v>
      </c>
      <c r="N95" t="n">
        <v>-0.5</v>
      </c>
      <c r="O95" t="n">
        <v>-0.25</v>
      </c>
      <c r="P95" t="n">
        <v>104</v>
      </c>
      <c r="Q95" t="n">
        <v>12</v>
      </c>
      <c r="R95" t="s">
        <v>253</v>
      </c>
      <c r="S95" t="s">
        <v>258</v>
      </c>
      <c r="T95" t="n">
        <v>-0.5</v>
      </c>
    </row>
    <row r="96">
      <c r="A96" t="s">
        <v>30</v>
      </c>
      <c r="B96" t="n">
        <v>0.91</v>
      </c>
      <c r="C96" t="n">
        <v>0.81</v>
      </c>
      <c r="D96" t="n">
        <v>0.9</v>
      </c>
      <c r="E96" t="n">
        <v>-7.25</v>
      </c>
      <c r="F96" t="n">
        <v>-0.25</v>
      </c>
      <c r="G96" t="n">
        <v>12</v>
      </c>
      <c r="H96" t="n">
        <v>12</v>
      </c>
      <c r="I96" t="s">
        <v>253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-0.25</v>
      </c>
      <c r="P96" t="n">
        <v>34</v>
      </c>
      <c r="Q96" t="n">
        <v>12</v>
      </c>
      <c r="R96" t="s">
        <v>253</v>
      </c>
      <c r="S96" t="s">
        <v>260</v>
      </c>
      <c r="T96" t="n">
        <v>-0.25</v>
      </c>
    </row>
    <row r="97">
      <c r="A97" t="s">
        <v>30</v>
      </c>
      <c r="B97" t="n">
        <v>1</v>
      </c>
      <c r="C97" t="n">
        <v>0.8</v>
      </c>
      <c r="D97" t="n">
        <v>0.97</v>
      </c>
      <c r="E97" t="n">
        <v>-3.5</v>
      </c>
      <c r="F97" t="n">
        <v>-0.5</v>
      </c>
      <c r="G97" t="n">
        <v>158</v>
      </c>
      <c r="H97" t="n">
        <v>12</v>
      </c>
      <c r="I97" t="s">
        <v>251</v>
      </c>
      <c r="J97" t="n">
        <v>0</v>
      </c>
      <c r="K97" t="n">
        <v>0</v>
      </c>
      <c r="L97" t="n">
        <v>0</v>
      </c>
      <c r="M97" t="n">
        <v>12</v>
      </c>
      <c r="N97" t="n">
        <v>-0.25</v>
      </c>
      <c r="O97" t="n">
        <v>-0.5</v>
      </c>
      <c r="P97" t="n">
        <v>158</v>
      </c>
      <c r="Q97" t="n">
        <v>12</v>
      </c>
      <c r="R97" t="s">
        <v>254</v>
      </c>
      <c r="S97" t="s">
        <v>260</v>
      </c>
      <c r="T97" t="n">
        <v>-0.5</v>
      </c>
    </row>
    <row r="98">
      <c r="A98" t="s">
        <v>30</v>
      </c>
      <c r="B98" t="n">
        <v>0.94</v>
      </c>
      <c r="C98" t="n">
        <v>0.99</v>
      </c>
      <c r="D98" t="n">
        <v>0.98</v>
      </c>
      <c r="E98" t="n">
        <v>-6</v>
      </c>
      <c r="F98" t="n">
        <v>0</v>
      </c>
      <c r="G98" t="n">
        <v>166</v>
      </c>
      <c r="H98" t="n">
        <v>12</v>
      </c>
      <c r="I98" t="s">
        <v>254</v>
      </c>
      <c r="J98" t="n">
        <v>0</v>
      </c>
      <c r="K98" t="n">
        <v>0</v>
      </c>
      <c r="L98" t="n">
        <v>0</v>
      </c>
      <c r="M98" t="n">
        <v>12</v>
      </c>
      <c r="N98" t="n">
        <v>0.25</v>
      </c>
      <c r="O98" t="n">
        <v>0</v>
      </c>
      <c r="P98" t="n">
        <v>5</v>
      </c>
      <c r="Q98" t="n">
        <v>12</v>
      </c>
      <c r="R98" t="s">
        <v>251</v>
      </c>
      <c r="S98" t="s">
        <v>251</v>
      </c>
      <c r="T98" t="n">
        <v>0.25</v>
      </c>
    </row>
    <row r="99">
      <c r="A99" t="s">
        <v>30</v>
      </c>
      <c r="B99" t="n">
        <v>1.13</v>
      </c>
      <c r="C99" t="n">
        <v>1.11</v>
      </c>
      <c r="D99" t="n">
        <v>1.19</v>
      </c>
      <c r="E99" t="n">
        <v>-5.25</v>
      </c>
      <c r="F99" t="n">
        <v>-0.75</v>
      </c>
      <c r="G99" t="n">
        <v>117</v>
      </c>
      <c r="H99" t="n">
        <v>12</v>
      </c>
      <c r="I99" t="s">
        <v>255</v>
      </c>
      <c r="J99" t="n">
        <v>0</v>
      </c>
      <c r="K99" t="n">
        <v>0</v>
      </c>
      <c r="L99" t="n">
        <v>0</v>
      </c>
      <c r="M99" t="n">
        <v>12</v>
      </c>
      <c r="N99" t="n">
        <v>-0.25</v>
      </c>
      <c r="O99" t="n">
        <v>-0.5</v>
      </c>
      <c r="P99" t="n">
        <v>103</v>
      </c>
      <c r="Q99" t="n">
        <v>12</v>
      </c>
      <c r="R99" t="s">
        <v>256</v>
      </c>
      <c r="S99" t="s">
        <v>252</v>
      </c>
      <c r="T99" t="n">
        <v>-0.5</v>
      </c>
    </row>
    <row r="100">
      <c r="A100" t="s">
        <v>30</v>
      </c>
      <c r="B100" t="n">
        <v>0.98</v>
      </c>
      <c r="C100" t="n">
        <v>0.96</v>
      </c>
      <c r="D100" t="n">
        <v>0.97</v>
      </c>
      <c r="E100" t="n">
        <v>-6.75</v>
      </c>
      <c r="F100" t="n">
        <v>0</v>
      </c>
      <c r="G100" t="n">
        <v>146</v>
      </c>
      <c r="H100" t="n">
        <v>12</v>
      </c>
      <c r="I100" t="s">
        <v>251</v>
      </c>
      <c r="J100" t="n">
        <v>0</v>
      </c>
      <c r="K100" t="n">
        <v>0</v>
      </c>
      <c r="L100" t="n">
        <v>0</v>
      </c>
      <c r="M100" t="n">
        <v>12</v>
      </c>
      <c r="N100" t="n">
        <v>0</v>
      </c>
      <c r="O100" t="n">
        <v>-0.25</v>
      </c>
      <c r="P100" t="n">
        <v>116</v>
      </c>
      <c r="Q100" t="n">
        <v>12</v>
      </c>
      <c r="R100" t="s">
        <v>254</v>
      </c>
      <c r="S100" t="s">
        <v>254</v>
      </c>
      <c r="T100" t="n">
        <v>-0.25</v>
      </c>
    </row>
    <row r="101">
      <c r="A101" t="s">
        <v>30</v>
      </c>
      <c r="B101" t="n">
        <v>1.14</v>
      </c>
      <c r="C101" t="n">
        <v>1.25</v>
      </c>
      <c r="D101" t="n">
        <v>1.19</v>
      </c>
      <c r="E101" t="n">
        <v>-6.5</v>
      </c>
      <c r="F101" t="n">
        <v>-0.25</v>
      </c>
      <c r="G101" t="n">
        <v>1</v>
      </c>
      <c r="H101" t="n">
        <v>12</v>
      </c>
      <c r="I101" t="s">
        <v>255</v>
      </c>
      <c r="J101" t="n">
        <v>0</v>
      </c>
      <c r="K101" t="n">
        <v>0</v>
      </c>
      <c r="L101" t="n">
        <v>0</v>
      </c>
      <c r="M101" t="n">
        <v>12</v>
      </c>
      <c r="N101" t="n">
        <v>-0.25</v>
      </c>
      <c r="O101" t="n">
        <v>0</v>
      </c>
      <c r="P101" t="n">
        <v>97</v>
      </c>
      <c r="Q101" t="n">
        <v>12</v>
      </c>
      <c r="R101" t="s">
        <v>256</v>
      </c>
      <c r="S101" t="s">
        <v>259</v>
      </c>
      <c r="T101" t="n">
        <v>-0.25</v>
      </c>
    </row>
    <row r="102">
      <c r="A102" t="s">
        <v>30</v>
      </c>
      <c r="B102" t="n">
        <v>1</v>
      </c>
      <c r="C102" t="n">
        <v>0.99</v>
      </c>
      <c r="D102" t="n">
        <v>1.06</v>
      </c>
      <c r="E102" t="n">
        <v>-4.25</v>
      </c>
      <c r="F102" t="n">
        <v>-1.25</v>
      </c>
      <c r="G102" t="n">
        <v>75</v>
      </c>
      <c r="H102" t="n">
        <v>12</v>
      </c>
      <c r="I102" t="s">
        <v>251</v>
      </c>
      <c r="J102" t="n">
        <v>0</v>
      </c>
      <c r="K102" t="n">
        <v>0</v>
      </c>
      <c r="L102" t="n">
        <v>0</v>
      </c>
      <c r="M102" t="n">
        <v>12</v>
      </c>
      <c r="N102" t="n">
        <v>1</v>
      </c>
      <c r="O102" t="n">
        <v>-0.25</v>
      </c>
      <c r="P102" t="n">
        <v>50</v>
      </c>
      <c r="Q102" t="n">
        <v>12</v>
      </c>
      <c r="R102" t="s">
        <v>250</v>
      </c>
      <c r="S102" t="s">
        <v>251</v>
      </c>
      <c r="T102" t="n">
        <v>0.75</v>
      </c>
    </row>
    <row r="103">
      <c r="A103" t="s">
        <v>30</v>
      </c>
      <c r="B103" t="n">
        <v>0.98</v>
      </c>
      <c r="C103" t="n">
        <v>1.05</v>
      </c>
      <c r="D103" t="n">
        <v>0.99</v>
      </c>
      <c r="E103" t="n">
        <v>-1</v>
      </c>
      <c r="F103" t="n">
        <v>-0.5</v>
      </c>
      <c r="G103" t="n">
        <v>78</v>
      </c>
      <c r="H103" t="n">
        <v>12</v>
      </c>
      <c r="I103" t="s">
        <v>251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65</v>
      </c>
      <c r="Q103" t="n">
        <v>12</v>
      </c>
      <c r="R103" t="s">
        <v>251</v>
      </c>
      <c r="S103" t="s">
        <v>250</v>
      </c>
      <c r="T103" t="n">
        <v>0</v>
      </c>
    </row>
    <row r="104">
      <c r="A104" t="s">
        <v>30</v>
      </c>
      <c r="B104" t="n">
        <v>1.18</v>
      </c>
      <c r="C104" t="n">
        <v>1.13</v>
      </c>
      <c r="D104" t="n">
        <v>1.23</v>
      </c>
      <c r="E104" t="n">
        <v>-2.75</v>
      </c>
      <c r="F104" t="n">
        <v>-0.25</v>
      </c>
      <c r="G104" t="n">
        <v>179</v>
      </c>
      <c r="H104" t="n">
        <v>12</v>
      </c>
      <c r="I104" t="s">
        <v>256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24</v>
      </c>
      <c r="Q104" t="n">
        <v>12</v>
      </c>
      <c r="R104" t="s">
        <v>256</v>
      </c>
      <c r="S104" t="s">
        <v>255</v>
      </c>
      <c r="T104" t="n">
        <v>-0.25</v>
      </c>
    </row>
    <row r="105">
      <c r="A105" t="s">
        <v>30</v>
      </c>
      <c r="B105" t="n">
        <v>0.99</v>
      </c>
      <c r="C105" t="n">
        <v>1.01</v>
      </c>
      <c r="D105" t="n">
        <v>1.03</v>
      </c>
      <c r="E105" t="n">
        <v>-2.75</v>
      </c>
      <c r="F105" t="n">
        <v>-0.25</v>
      </c>
      <c r="G105" t="n">
        <v>102</v>
      </c>
      <c r="H105" t="n">
        <v>12</v>
      </c>
      <c r="I105" t="s">
        <v>251</v>
      </c>
      <c r="J105" t="n">
        <v>0</v>
      </c>
      <c r="K105" t="n">
        <v>0</v>
      </c>
      <c r="L105" t="n">
        <v>0</v>
      </c>
      <c r="M105" t="n">
        <v>12</v>
      </c>
      <c r="N105" t="n">
        <v>1</v>
      </c>
      <c r="O105" t="n">
        <v>-0.25</v>
      </c>
      <c r="P105" t="n">
        <v>81</v>
      </c>
      <c r="Q105" t="n">
        <v>12</v>
      </c>
      <c r="R105" t="s">
        <v>250</v>
      </c>
      <c r="S105" t="s">
        <v>251</v>
      </c>
      <c r="T105" t="n">
        <v>0.75</v>
      </c>
    </row>
    <row r="106">
      <c r="A106" t="s">
        <v>30</v>
      </c>
      <c r="B106" t="n">
        <v>0.98</v>
      </c>
      <c r="C106" t="n">
        <v>1.03</v>
      </c>
      <c r="D106" t="n">
        <v>1.03</v>
      </c>
      <c r="E106" t="n">
        <v>-1.5</v>
      </c>
      <c r="F106" t="n">
        <v>-2.75</v>
      </c>
      <c r="G106" t="n">
        <v>43</v>
      </c>
      <c r="H106" t="n">
        <v>12</v>
      </c>
      <c r="I106" t="s">
        <v>251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47</v>
      </c>
      <c r="Q106" t="n">
        <v>12</v>
      </c>
      <c r="R106" t="s">
        <v>250</v>
      </c>
      <c r="S106" t="s">
        <v>250</v>
      </c>
      <c r="T106" t="n">
        <v>0</v>
      </c>
    </row>
    <row r="107">
      <c r="A107" t="s">
        <v>30</v>
      </c>
      <c r="B107" t="n">
        <v>1.08</v>
      </c>
      <c r="C107" t="n">
        <v>1.02</v>
      </c>
      <c r="D107" t="n">
        <v>1.05</v>
      </c>
      <c r="E107" t="n">
        <v>-2.5</v>
      </c>
      <c r="F107" t="n">
        <v>-0.5</v>
      </c>
      <c r="G107" t="n">
        <v>40</v>
      </c>
      <c r="H107" t="n">
        <v>12</v>
      </c>
      <c r="I107" t="s">
        <v>252</v>
      </c>
      <c r="J107" t="n">
        <v>0</v>
      </c>
      <c r="K107" t="n">
        <v>0</v>
      </c>
      <c r="L107" t="n">
        <v>0</v>
      </c>
      <c r="M107" t="n">
        <v>12</v>
      </c>
      <c r="N107" t="n">
        <v>0.25</v>
      </c>
      <c r="O107" t="n">
        <v>0</v>
      </c>
      <c r="P107" t="n">
        <v>109</v>
      </c>
      <c r="Q107" t="n">
        <v>12</v>
      </c>
      <c r="R107" t="s">
        <v>250</v>
      </c>
      <c r="S107" t="s">
        <v>251</v>
      </c>
      <c r="T107" t="n">
        <v>0.25</v>
      </c>
    </row>
    <row r="108">
      <c r="A108" t="s">
        <v>30</v>
      </c>
      <c r="B108" t="n">
        <v>1.01</v>
      </c>
      <c r="C108" t="n">
        <v>0.87</v>
      </c>
      <c r="D108" t="n">
        <v>0.98</v>
      </c>
      <c r="E108" t="n">
        <v>-4.75</v>
      </c>
      <c r="F108" t="n">
        <v>-1</v>
      </c>
      <c r="G108" t="n">
        <v>11</v>
      </c>
      <c r="H108" t="n">
        <v>12</v>
      </c>
      <c r="I108" t="s">
        <v>251</v>
      </c>
      <c r="J108" t="n">
        <v>0</v>
      </c>
      <c r="K108" t="n">
        <v>0</v>
      </c>
      <c r="L108" t="n">
        <v>0</v>
      </c>
      <c r="M108" t="n">
        <v>12</v>
      </c>
      <c r="N108" t="n">
        <v>-0.5</v>
      </c>
      <c r="O108" t="n">
        <v>0</v>
      </c>
      <c r="P108" t="n">
        <v>167</v>
      </c>
      <c r="Q108" t="n">
        <v>12</v>
      </c>
      <c r="R108" t="s">
        <v>251</v>
      </c>
      <c r="S108" t="s">
        <v>257</v>
      </c>
      <c r="T108" t="n">
        <v>-0.5</v>
      </c>
    </row>
    <row r="109">
      <c r="A109" t="s">
        <v>30</v>
      </c>
      <c r="B109" t="n">
        <v>1.07</v>
      </c>
      <c r="C109" t="n">
        <v>1.07</v>
      </c>
      <c r="D109" t="n">
        <v>1.1</v>
      </c>
      <c r="E109" t="n">
        <v>-3.75</v>
      </c>
      <c r="F109" t="n">
        <v>-0.25</v>
      </c>
      <c r="G109" t="n">
        <v>8</v>
      </c>
      <c r="H109" t="n">
        <v>12</v>
      </c>
      <c r="I109" t="s">
        <v>250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-0.25</v>
      </c>
      <c r="P109" t="n">
        <v>179</v>
      </c>
      <c r="Q109" t="n">
        <v>12</v>
      </c>
      <c r="R109" t="s">
        <v>252</v>
      </c>
      <c r="S109" t="s">
        <v>250</v>
      </c>
      <c r="T109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234</v>
      </c>
      <c r="C1" s="4" t="s">
        <v>235</v>
      </c>
      <c r="D1" s="4" t="s">
        <v>236</v>
      </c>
      <c r="E1" s="5" t="s">
        <v>237</v>
      </c>
      <c r="F1" s="5" t="s">
        <v>238</v>
      </c>
      <c r="G1" s="5" t="s">
        <v>239</v>
      </c>
      <c r="H1" s="5" t="s">
        <v>240</v>
      </c>
      <c r="I1" s="5" t="s">
        <v>76</v>
      </c>
      <c r="J1" s="6" t="s">
        <v>241</v>
      </c>
      <c r="K1" s="6" t="s">
        <v>242</v>
      </c>
      <c r="L1" s="6" t="s">
        <v>243</v>
      </c>
      <c r="M1" s="6" t="s">
        <v>244</v>
      </c>
      <c r="N1" s="7" t="s">
        <v>245</v>
      </c>
      <c r="O1" s="7" t="s">
        <v>246</v>
      </c>
      <c r="P1" s="7" t="s">
        <v>247</v>
      </c>
      <c r="Q1" s="7" t="s">
        <v>248</v>
      </c>
      <c r="R1" s="7" t="s">
        <v>168</v>
      </c>
      <c r="S1" s="7" t="s">
        <v>163</v>
      </c>
      <c r="T1" s="8" t="s">
        <v>249</v>
      </c>
    </row>
    <row r="2">
      <c r="A2" t="s">
        <v>31</v>
      </c>
      <c r="B2" t="n">
        <v>1.13</v>
      </c>
      <c r="C2" t="n">
        <v>0.89</v>
      </c>
      <c r="D2" t="n">
        <v>1.18</v>
      </c>
      <c r="E2" t="n">
        <v>-1.25</v>
      </c>
      <c r="F2" t="n">
        <v>-1.25</v>
      </c>
      <c r="G2" t="n">
        <v>174</v>
      </c>
      <c r="H2" t="n">
        <v>12</v>
      </c>
      <c r="I2" t="s">
        <v>255</v>
      </c>
      <c r="J2" t="n">
        <v>0</v>
      </c>
      <c r="K2" t="n">
        <v>0</v>
      </c>
      <c r="L2" t="n">
        <v>0</v>
      </c>
      <c r="M2" t="n">
        <v>12</v>
      </c>
      <c r="N2" t="n">
        <v>-0.5</v>
      </c>
      <c r="O2" t="n">
        <v>-0.25</v>
      </c>
      <c r="P2" t="n">
        <v>162</v>
      </c>
      <c r="Q2" t="n">
        <v>12</v>
      </c>
      <c r="R2" t="s">
        <v>256</v>
      </c>
      <c r="S2" t="s">
        <v>257</v>
      </c>
      <c r="T2" t="n">
        <v>-0.5</v>
      </c>
    </row>
    <row r="3">
      <c r="A3" t="s">
        <v>31</v>
      </c>
      <c r="B3" t="n">
        <v>1.02</v>
      </c>
      <c r="C3" t="n">
        <v>1.04</v>
      </c>
      <c r="D3" t="n">
        <v>1.03</v>
      </c>
      <c r="E3" t="n">
        <v>-3</v>
      </c>
      <c r="F3" t="n">
        <v>-0.25</v>
      </c>
      <c r="G3" t="n">
        <v>99</v>
      </c>
      <c r="H3" t="n">
        <v>12</v>
      </c>
      <c r="I3" t="s">
        <v>251</v>
      </c>
      <c r="J3" t="n">
        <v>0</v>
      </c>
      <c r="K3" t="n">
        <v>0</v>
      </c>
      <c r="L3" t="n">
        <v>0</v>
      </c>
      <c r="M3" t="n">
        <v>12</v>
      </c>
      <c r="N3" t="n">
        <v>0.5</v>
      </c>
      <c r="O3" t="n">
        <v>-0.25</v>
      </c>
      <c r="P3" t="n">
        <v>87</v>
      </c>
      <c r="Q3" t="n">
        <v>12</v>
      </c>
      <c r="R3" t="s">
        <v>250</v>
      </c>
      <c r="S3" t="s">
        <v>250</v>
      </c>
      <c r="T3" t="n">
        <v>0.25</v>
      </c>
    </row>
    <row r="4">
      <c r="A4" t="s">
        <v>31</v>
      </c>
      <c r="B4" t="n">
        <v>0.9</v>
      </c>
      <c r="C4" t="n">
        <v>0.69</v>
      </c>
      <c r="D4" t="n">
        <v>0.93</v>
      </c>
      <c r="E4" t="n">
        <v>-5</v>
      </c>
      <c r="F4" t="n">
        <v>-0.25</v>
      </c>
      <c r="G4" t="n">
        <v>94</v>
      </c>
      <c r="H4" t="n">
        <v>12</v>
      </c>
      <c r="I4" t="s">
        <v>253</v>
      </c>
      <c r="J4" t="n">
        <v>0</v>
      </c>
      <c r="K4" t="n">
        <v>0</v>
      </c>
      <c r="L4" t="n">
        <v>0</v>
      </c>
      <c r="M4" t="n">
        <v>12</v>
      </c>
      <c r="N4" t="n">
        <v>-1</v>
      </c>
      <c r="O4" t="n">
        <v>0</v>
      </c>
      <c r="P4" t="n">
        <v>70</v>
      </c>
      <c r="Q4" t="n">
        <v>12</v>
      </c>
      <c r="R4" t="s">
        <v>253</v>
      </c>
      <c r="S4" t="s">
        <v>261</v>
      </c>
      <c r="T4" t="n">
        <v>-1</v>
      </c>
    </row>
    <row r="5">
      <c r="A5" t="s">
        <v>31</v>
      </c>
      <c r="B5" t="n">
        <v>1.06</v>
      </c>
      <c r="C5" t="n">
        <v>0.92</v>
      </c>
      <c r="D5" t="n">
        <v>1.07</v>
      </c>
      <c r="E5" t="n">
        <v>-2</v>
      </c>
      <c r="F5" t="n">
        <v>-1.25</v>
      </c>
      <c r="G5" t="n">
        <v>96</v>
      </c>
      <c r="H5" t="n">
        <v>12</v>
      </c>
      <c r="I5" t="s">
        <v>250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0</v>
      </c>
      <c r="P5" t="n">
        <v>99</v>
      </c>
      <c r="Q5" t="n">
        <v>12</v>
      </c>
      <c r="R5" t="s">
        <v>250</v>
      </c>
      <c r="S5" t="s">
        <v>253</v>
      </c>
      <c r="T5" t="n">
        <v>0.25</v>
      </c>
    </row>
    <row r="6">
      <c r="A6" t="s">
        <v>31</v>
      </c>
      <c r="B6" t="n">
        <v>0.97</v>
      </c>
      <c r="C6" t="n">
        <v>0.78</v>
      </c>
      <c r="D6" t="n">
        <v>0.92</v>
      </c>
      <c r="E6" t="n">
        <v>-0.5</v>
      </c>
      <c r="F6" t="n">
        <v>-0.5</v>
      </c>
      <c r="G6" t="n">
        <v>24</v>
      </c>
      <c r="H6" t="n">
        <v>12</v>
      </c>
      <c r="I6" t="s">
        <v>254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0</v>
      </c>
      <c r="P6" t="n">
        <v>17</v>
      </c>
      <c r="Q6" t="n">
        <v>12</v>
      </c>
      <c r="R6" t="s">
        <v>253</v>
      </c>
      <c r="S6" t="s">
        <v>260</v>
      </c>
      <c r="T6" t="n">
        <v>0</v>
      </c>
    </row>
    <row r="7">
      <c r="A7" t="s">
        <v>31</v>
      </c>
      <c r="B7" t="n">
        <v>0.92</v>
      </c>
      <c r="C7" t="n">
        <v>0.8</v>
      </c>
      <c r="D7" t="n">
        <v>0.98</v>
      </c>
      <c r="E7" t="n">
        <v>-1.25</v>
      </c>
      <c r="F7" t="n">
        <v>-0.25</v>
      </c>
      <c r="G7" t="n">
        <v>68</v>
      </c>
      <c r="H7" t="n">
        <v>12</v>
      </c>
      <c r="I7" t="s">
        <v>253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0</v>
      </c>
      <c r="P7" t="n">
        <v>71</v>
      </c>
      <c r="Q7" t="n">
        <v>12</v>
      </c>
      <c r="R7" t="s">
        <v>251</v>
      </c>
      <c r="S7" t="s">
        <v>260</v>
      </c>
      <c r="T7" t="n">
        <v>0</v>
      </c>
    </row>
    <row r="8">
      <c r="A8" t="s">
        <v>31</v>
      </c>
      <c r="B8" t="n">
        <v>0.89</v>
      </c>
      <c r="C8" t="n">
        <v>0.78</v>
      </c>
      <c r="D8" t="n">
        <v>0.93</v>
      </c>
      <c r="E8" t="n">
        <v>-6.25</v>
      </c>
      <c r="F8" t="n">
        <v>-0.75</v>
      </c>
      <c r="G8" t="n">
        <v>85</v>
      </c>
      <c r="H8" t="n">
        <v>12</v>
      </c>
      <c r="I8" t="s">
        <v>257</v>
      </c>
      <c r="J8" t="n">
        <v>0</v>
      </c>
      <c r="K8" t="n">
        <v>0</v>
      </c>
      <c r="L8" t="n">
        <v>0</v>
      </c>
      <c r="M8" t="n">
        <v>12</v>
      </c>
      <c r="N8" t="n">
        <v>-0.5</v>
      </c>
      <c r="O8" t="n">
        <v>-0.25</v>
      </c>
      <c r="P8" t="n">
        <v>117</v>
      </c>
      <c r="Q8" t="n">
        <v>12</v>
      </c>
      <c r="R8" t="s">
        <v>253</v>
      </c>
      <c r="S8" t="s">
        <v>260</v>
      </c>
      <c r="T8" t="n">
        <v>-0.5</v>
      </c>
    </row>
    <row r="9">
      <c r="A9" t="s">
        <v>31</v>
      </c>
      <c r="B9" t="n">
        <v>1.07</v>
      </c>
      <c r="C9" t="n">
        <v>1.02</v>
      </c>
      <c r="D9" t="n">
        <v>1.08</v>
      </c>
      <c r="E9" t="n">
        <v>-3</v>
      </c>
      <c r="F9" t="n">
        <v>-2</v>
      </c>
      <c r="G9" t="n">
        <v>173</v>
      </c>
      <c r="H9" t="n">
        <v>12</v>
      </c>
      <c r="I9" t="s">
        <v>250</v>
      </c>
      <c r="J9" t="n">
        <v>0</v>
      </c>
      <c r="K9" t="n">
        <v>0</v>
      </c>
      <c r="L9" t="n">
        <v>0</v>
      </c>
      <c r="M9" t="n">
        <v>12</v>
      </c>
      <c r="N9" t="n">
        <v>-0.5</v>
      </c>
      <c r="O9" t="n">
        <v>-0.25</v>
      </c>
      <c r="P9" t="n">
        <v>157</v>
      </c>
      <c r="Q9" t="n">
        <v>12</v>
      </c>
      <c r="R9" t="s">
        <v>252</v>
      </c>
      <c r="S9" t="s">
        <v>251</v>
      </c>
      <c r="T9" t="n">
        <v>-0.5</v>
      </c>
    </row>
    <row r="10">
      <c r="A10" t="s">
        <v>31</v>
      </c>
      <c r="B10" t="n">
        <v>1</v>
      </c>
      <c r="C10" t="n">
        <v>0.94</v>
      </c>
      <c r="D10" t="n">
        <v>1.04</v>
      </c>
      <c r="E10" t="n">
        <v>-1.75</v>
      </c>
      <c r="F10" t="n">
        <v>-1.25</v>
      </c>
      <c r="G10" t="n">
        <v>179</v>
      </c>
      <c r="H10" t="n">
        <v>12</v>
      </c>
      <c r="I10" t="s">
        <v>251</v>
      </c>
      <c r="J10" t="n">
        <v>0</v>
      </c>
      <c r="K10" t="n">
        <v>0</v>
      </c>
      <c r="L10" t="n">
        <v>0</v>
      </c>
      <c r="M10" t="n">
        <v>12</v>
      </c>
      <c r="N10" t="n">
        <v>0.25</v>
      </c>
      <c r="O10" t="n">
        <v>0</v>
      </c>
      <c r="P10" t="n">
        <v>155</v>
      </c>
      <c r="Q10" t="n">
        <v>12</v>
      </c>
      <c r="R10" t="s">
        <v>250</v>
      </c>
      <c r="S10" t="s">
        <v>254</v>
      </c>
      <c r="T10" t="n">
        <v>0.25</v>
      </c>
    </row>
    <row r="11">
      <c r="A11" t="s">
        <v>31</v>
      </c>
      <c r="B11" t="n">
        <v>0.93</v>
      </c>
      <c r="C11" t="n">
        <v>0.91</v>
      </c>
      <c r="D11" t="n">
        <v>0.92</v>
      </c>
      <c r="E11" t="n">
        <v>-3.25</v>
      </c>
      <c r="F11" t="n">
        <v>-0.25</v>
      </c>
      <c r="G11" t="n">
        <v>11</v>
      </c>
      <c r="H11" t="n">
        <v>12</v>
      </c>
      <c r="I11" t="s">
        <v>253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-0.25</v>
      </c>
      <c r="P11" t="n">
        <v>169</v>
      </c>
      <c r="Q11" t="n">
        <v>12</v>
      </c>
      <c r="R11" t="s">
        <v>253</v>
      </c>
      <c r="S11" t="s">
        <v>253</v>
      </c>
      <c r="T11" t="n">
        <v>0.25</v>
      </c>
    </row>
    <row r="12">
      <c r="A12" t="s">
        <v>31</v>
      </c>
      <c r="B12" t="n">
        <v>1.07</v>
      </c>
      <c r="C12" t="n">
        <v>1.09</v>
      </c>
      <c r="D12" t="n">
        <v>1.14</v>
      </c>
      <c r="E12" t="n">
        <v>-8</v>
      </c>
      <c r="F12" t="n">
        <v>-0.5</v>
      </c>
      <c r="G12" t="n">
        <v>89</v>
      </c>
      <c r="H12" t="n">
        <v>12</v>
      </c>
      <c r="I12" t="s">
        <v>250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-0.5</v>
      </c>
      <c r="P12" t="n">
        <v>109</v>
      </c>
      <c r="Q12" t="n">
        <v>12</v>
      </c>
      <c r="R12" t="s">
        <v>255</v>
      </c>
      <c r="S12" t="s">
        <v>252</v>
      </c>
      <c r="T12" t="n">
        <v>-0.25</v>
      </c>
    </row>
    <row r="13">
      <c r="A13" t="s">
        <v>31</v>
      </c>
      <c r="B13" t="n">
        <v>0.94</v>
      </c>
      <c r="C13" t="n">
        <v>0.87</v>
      </c>
      <c r="D13" t="n">
        <v>0.93</v>
      </c>
      <c r="E13" t="n">
        <v>-4.75</v>
      </c>
      <c r="F13" t="n">
        <v>-1</v>
      </c>
      <c r="G13" t="n">
        <v>180</v>
      </c>
      <c r="H13" t="n">
        <v>12</v>
      </c>
      <c r="I13" t="s">
        <v>254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-0.25</v>
      </c>
      <c r="P13" t="n">
        <v>13</v>
      </c>
      <c r="Q13" t="n">
        <v>12</v>
      </c>
      <c r="R13" t="s">
        <v>253</v>
      </c>
      <c r="S13" t="s">
        <v>257</v>
      </c>
      <c r="T13" t="n">
        <v>0</v>
      </c>
    </row>
    <row r="14">
      <c r="A14" t="s">
        <v>31</v>
      </c>
      <c r="B14" t="n">
        <v>0.94</v>
      </c>
      <c r="C14" t="n">
        <v>0.8</v>
      </c>
      <c r="D14" t="n">
        <v>0.97</v>
      </c>
      <c r="E14" t="n">
        <v>-6</v>
      </c>
      <c r="F14" t="n">
        <v>-1.25</v>
      </c>
      <c r="G14" t="n">
        <v>179</v>
      </c>
      <c r="H14" t="n">
        <v>12</v>
      </c>
      <c r="I14" t="s">
        <v>254</v>
      </c>
      <c r="J14" t="n">
        <v>0</v>
      </c>
      <c r="K14" t="n">
        <v>0</v>
      </c>
      <c r="L14" t="n">
        <v>0</v>
      </c>
      <c r="M14" t="n">
        <v>12</v>
      </c>
      <c r="N14" t="n">
        <v>-0.5</v>
      </c>
      <c r="O14" t="n">
        <v>0</v>
      </c>
      <c r="P14" t="n">
        <v>12</v>
      </c>
      <c r="Q14" t="n">
        <v>12</v>
      </c>
      <c r="R14" t="s">
        <v>254</v>
      </c>
      <c r="S14" t="s">
        <v>260</v>
      </c>
      <c r="T14" t="n">
        <v>-0.5</v>
      </c>
    </row>
    <row r="15">
      <c r="A15" t="s">
        <v>31</v>
      </c>
      <c r="B15" t="n">
        <v>0.94</v>
      </c>
      <c r="C15" t="n">
        <v>0.91</v>
      </c>
      <c r="D15" t="n">
        <v>0.94</v>
      </c>
      <c r="E15" t="n">
        <v>-6.25</v>
      </c>
      <c r="F15" t="n">
        <v>-0.75</v>
      </c>
      <c r="G15" t="n">
        <v>13</v>
      </c>
      <c r="H15" t="n">
        <v>12</v>
      </c>
      <c r="I15" t="s">
        <v>254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0</v>
      </c>
      <c r="P15" t="n">
        <v>9</v>
      </c>
      <c r="Q15" t="n">
        <v>12</v>
      </c>
      <c r="R15" t="s">
        <v>254</v>
      </c>
      <c r="S15" t="s">
        <v>253</v>
      </c>
      <c r="T15" t="n">
        <v>0</v>
      </c>
    </row>
    <row r="16">
      <c r="A16" t="s">
        <v>31</v>
      </c>
      <c r="B16" t="n">
        <v>1.01</v>
      </c>
      <c r="C16" t="n">
        <v>0.99</v>
      </c>
      <c r="D16" t="n">
        <v>1.05</v>
      </c>
      <c r="E16" t="n">
        <v>-4.75</v>
      </c>
      <c r="F16" t="n">
        <v>0</v>
      </c>
      <c r="G16" t="n">
        <v>158</v>
      </c>
      <c r="H16" t="n">
        <v>12</v>
      </c>
      <c r="I16" t="s">
        <v>251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5</v>
      </c>
      <c r="Q16" t="n">
        <v>12</v>
      </c>
      <c r="R16" t="s">
        <v>250</v>
      </c>
      <c r="S16" t="s">
        <v>251</v>
      </c>
      <c r="T16" t="n">
        <v>-0.25</v>
      </c>
    </row>
    <row r="17">
      <c r="A17" t="s">
        <v>31</v>
      </c>
      <c r="B17" t="n">
        <v>0.94</v>
      </c>
      <c r="C17" t="n">
        <v>0.77</v>
      </c>
      <c r="D17" t="n">
        <v>0.94</v>
      </c>
      <c r="E17" t="n">
        <v>-4.25</v>
      </c>
      <c r="F17" t="n">
        <v>-0.25</v>
      </c>
      <c r="G17" t="n">
        <v>10</v>
      </c>
      <c r="H17" t="n">
        <v>12</v>
      </c>
      <c r="I17" t="s">
        <v>254</v>
      </c>
      <c r="J17" t="n">
        <v>0</v>
      </c>
      <c r="K17" t="n">
        <v>0</v>
      </c>
      <c r="L17" t="n">
        <v>0</v>
      </c>
      <c r="M17" t="n">
        <v>12</v>
      </c>
      <c r="N17" t="n">
        <v>-0.5</v>
      </c>
      <c r="O17" t="n">
        <v>-0.25</v>
      </c>
      <c r="P17" t="n">
        <v>172</v>
      </c>
      <c r="Q17" t="n">
        <v>12</v>
      </c>
      <c r="R17" t="s">
        <v>254</v>
      </c>
      <c r="S17" t="s">
        <v>262</v>
      </c>
      <c r="T17" t="n">
        <v>-0.5</v>
      </c>
    </row>
    <row r="18">
      <c r="A18" t="s">
        <v>31</v>
      </c>
      <c r="B18" t="n">
        <v>1.04</v>
      </c>
      <c r="C18" t="n">
        <v>0.94</v>
      </c>
      <c r="D18" t="n">
        <v>0.99</v>
      </c>
      <c r="E18" t="n">
        <v>-3.5</v>
      </c>
      <c r="F18" t="n">
        <v>0</v>
      </c>
      <c r="G18" t="n">
        <v>78</v>
      </c>
      <c r="H18" t="n">
        <v>12</v>
      </c>
      <c r="I18" t="s">
        <v>250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-0.25</v>
      </c>
      <c r="P18" t="n">
        <v>64</v>
      </c>
      <c r="Q18" t="n">
        <v>12</v>
      </c>
      <c r="R18" t="s">
        <v>251</v>
      </c>
      <c r="S18" t="s">
        <v>254</v>
      </c>
      <c r="T18" t="n">
        <v>0.25</v>
      </c>
    </row>
    <row r="19">
      <c r="A19" t="s">
        <v>31</v>
      </c>
      <c r="B19" t="n">
        <v>0.91</v>
      </c>
      <c r="C19" t="n">
        <v>0.79</v>
      </c>
      <c r="D19" t="n">
        <v>0.88</v>
      </c>
      <c r="E19" t="n">
        <v>-6.75</v>
      </c>
      <c r="F19" t="n">
        <v>0</v>
      </c>
      <c r="G19" t="n">
        <v>84</v>
      </c>
      <c r="H19" t="n">
        <v>12</v>
      </c>
      <c r="I19" t="s">
        <v>253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-0.25</v>
      </c>
      <c r="P19" t="n">
        <v>161</v>
      </c>
      <c r="Q19" t="n">
        <v>12</v>
      </c>
      <c r="R19" t="s">
        <v>257</v>
      </c>
      <c r="S19" t="s">
        <v>260</v>
      </c>
      <c r="T19" t="n">
        <v>0</v>
      </c>
    </row>
    <row r="20">
      <c r="A20" t="s">
        <v>31</v>
      </c>
      <c r="B20" t="n">
        <v>0.98</v>
      </c>
      <c r="C20" t="n">
        <v>0.8</v>
      </c>
      <c r="D20" t="n">
        <v>0.95</v>
      </c>
      <c r="E20" t="n">
        <v>-3.25</v>
      </c>
      <c r="F20" t="n">
        <v>-1</v>
      </c>
      <c r="G20" t="n">
        <v>176</v>
      </c>
      <c r="H20" t="n">
        <v>12</v>
      </c>
      <c r="I20" t="s">
        <v>251</v>
      </c>
      <c r="J20" t="n">
        <v>0</v>
      </c>
      <c r="K20" t="n">
        <v>0</v>
      </c>
      <c r="L20" t="n">
        <v>0</v>
      </c>
      <c r="M20" t="n">
        <v>12</v>
      </c>
      <c r="N20" t="n">
        <v>-0.5</v>
      </c>
      <c r="O20" t="n">
        <v>-0.25</v>
      </c>
      <c r="P20" t="n">
        <v>31</v>
      </c>
      <c r="Q20" t="n">
        <v>12</v>
      </c>
      <c r="R20" t="s">
        <v>254</v>
      </c>
      <c r="S20" t="s">
        <v>260</v>
      </c>
      <c r="T20" t="n">
        <v>-0.5</v>
      </c>
    </row>
    <row r="21">
      <c r="A21" t="s">
        <v>31</v>
      </c>
      <c r="B21" t="n">
        <v>1.04</v>
      </c>
      <c r="C21" t="n">
        <v>0.87</v>
      </c>
      <c r="D21" t="n">
        <v>1</v>
      </c>
      <c r="E21" t="n">
        <v>-0.75</v>
      </c>
      <c r="F21" t="n">
        <v>-0.75</v>
      </c>
      <c r="G21" t="n">
        <v>103</v>
      </c>
      <c r="H21" t="n">
        <v>12</v>
      </c>
      <c r="I21" t="s">
        <v>250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0</v>
      </c>
      <c r="P21" t="n">
        <v>88</v>
      </c>
      <c r="Q21" t="n">
        <v>12</v>
      </c>
      <c r="R21" t="s">
        <v>251</v>
      </c>
      <c r="S21" t="s">
        <v>257</v>
      </c>
      <c r="T21" t="n">
        <v>0</v>
      </c>
    </row>
    <row r="22">
      <c r="A22" t="s">
        <v>31</v>
      </c>
      <c r="B22" t="n">
        <v>1.11</v>
      </c>
      <c r="C22" t="n">
        <v>0.93</v>
      </c>
      <c r="D22" t="n">
        <v>1.09</v>
      </c>
      <c r="E22" t="n">
        <v>-2</v>
      </c>
      <c r="F22" t="n">
        <v>-1</v>
      </c>
      <c r="G22" t="n">
        <v>176</v>
      </c>
      <c r="H22" t="n">
        <v>12</v>
      </c>
      <c r="I22" t="s">
        <v>252</v>
      </c>
      <c r="J22" t="n">
        <v>0</v>
      </c>
      <c r="K22" t="n">
        <v>0</v>
      </c>
      <c r="L22" t="n">
        <v>0</v>
      </c>
      <c r="M22" t="n">
        <v>12</v>
      </c>
      <c r="N22" t="n">
        <v>-0.5</v>
      </c>
      <c r="O22" t="n">
        <v>-0.25</v>
      </c>
      <c r="P22" t="n">
        <v>21</v>
      </c>
      <c r="Q22" t="n">
        <v>12</v>
      </c>
      <c r="R22" t="s">
        <v>252</v>
      </c>
      <c r="S22" t="s">
        <v>253</v>
      </c>
      <c r="T22" t="n">
        <v>-0.75</v>
      </c>
    </row>
    <row r="23">
      <c r="A23" t="s">
        <v>31</v>
      </c>
      <c r="B23" t="n">
        <v>1.01</v>
      </c>
      <c r="C23" t="n">
        <v>0.96</v>
      </c>
      <c r="D23" t="n">
        <v>1</v>
      </c>
      <c r="E23" t="n">
        <v>-3.75</v>
      </c>
      <c r="F23" t="n">
        <v>-0.5</v>
      </c>
      <c r="G23" t="n">
        <v>167</v>
      </c>
      <c r="H23" t="n">
        <v>12</v>
      </c>
      <c r="I23" t="s">
        <v>251</v>
      </c>
      <c r="J23" t="n">
        <v>0</v>
      </c>
      <c r="K23" t="n">
        <v>0</v>
      </c>
      <c r="L23" t="n">
        <v>0</v>
      </c>
      <c r="M23" t="n">
        <v>12</v>
      </c>
      <c r="N23" t="n">
        <v>-0.25</v>
      </c>
      <c r="O23" t="n">
        <v>0</v>
      </c>
      <c r="P23" t="n">
        <v>64</v>
      </c>
      <c r="Q23" t="n">
        <v>12</v>
      </c>
      <c r="R23" t="s">
        <v>251</v>
      </c>
      <c r="S23" t="s">
        <v>254</v>
      </c>
      <c r="T23" t="n">
        <v>-0.25</v>
      </c>
    </row>
    <row r="24">
      <c r="A24" t="s">
        <v>31</v>
      </c>
      <c r="B24" t="n">
        <v>1.01</v>
      </c>
      <c r="C24" t="n">
        <v>0.73</v>
      </c>
      <c r="D24" t="n">
        <v>0.96</v>
      </c>
      <c r="E24" t="n">
        <v>-1.25</v>
      </c>
      <c r="F24" t="n">
        <v>0</v>
      </c>
      <c r="G24" t="n">
        <v>178</v>
      </c>
      <c r="H24" t="n">
        <v>12</v>
      </c>
      <c r="I24" t="s">
        <v>251</v>
      </c>
      <c r="J24" t="n">
        <v>0</v>
      </c>
      <c r="K24" t="n">
        <v>0</v>
      </c>
      <c r="L24" t="n">
        <v>0</v>
      </c>
      <c r="M24" t="n">
        <v>12</v>
      </c>
      <c r="N24" t="n">
        <v>0.5</v>
      </c>
      <c r="O24" t="n">
        <v>-0.25</v>
      </c>
      <c r="P24" t="n">
        <v>41</v>
      </c>
      <c r="Q24" t="n">
        <v>12</v>
      </c>
      <c r="R24" t="s">
        <v>254</v>
      </c>
      <c r="S24" t="s">
        <v>263</v>
      </c>
      <c r="T24" t="n">
        <v>0.5</v>
      </c>
    </row>
    <row r="25">
      <c r="A25" t="s">
        <v>31</v>
      </c>
      <c r="B25" t="n">
        <v>0.92</v>
      </c>
      <c r="C25" t="n">
        <v>0.61</v>
      </c>
      <c r="D25" t="n">
        <v>0.91</v>
      </c>
      <c r="E25" t="n">
        <v>-4.75</v>
      </c>
      <c r="F25" t="n">
        <v>-1</v>
      </c>
      <c r="G25" t="n">
        <v>161</v>
      </c>
      <c r="H25" t="n">
        <v>12</v>
      </c>
      <c r="I25" t="s">
        <v>253</v>
      </c>
      <c r="J25" t="n">
        <v>0</v>
      </c>
      <c r="K25" t="n">
        <v>0</v>
      </c>
      <c r="L25" t="n">
        <v>0</v>
      </c>
      <c r="M25" t="n">
        <v>12</v>
      </c>
      <c r="N25" t="n">
        <v>-1</v>
      </c>
      <c r="O25" t="n">
        <v>-0.25</v>
      </c>
      <c r="P25" t="n">
        <v>100</v>
      </c>
      <c r="Q25" t="n">
        <v>12</v>
      </c>
      <c r="R25" t="s">
        <v>253</v>
      </c>
      <c r="S25" t="s">
        <v>264</v>
      </c>
      <c r="T25" t="n">
        <v>-1</v>
      </c>
    </row>
    <row r="26">
      <c r="A26" t="s">
        <v>31</v>
      </c>
      <c r="B26" t="n">
        <v>1.25</v>
      </c>
      <c r="C26" t="n">
        <v>1.24</v>
      </c>
      <c r="D26" t="n">
        <v>1.28</v>
      </c>
      <c r="E26" t="n">
        <v>-0.5</v>
      </c>
      <c r="F26" t="n">
        <v>-2.75</v>
      </c>
      <c r="G26" t="n">
        <v>20</v>
      </c>
      <c r="H26" t="n">
        <v>12</v>
      </c>
      <c r="I26" t="s">
        <v>259</v>
      </c>
      <c r="J26" t="n">
        <v>0</v>
      </c>
      <c r="K26" t="n">
        <v>0</v>
      </c>
      <c r="L26" t="n">
        <v>0</v>
      </c>
      <c r="M26" t="n">
        <v>12</v>
      </c>
      <c r="N26" t="n">
        <v>-0.25</v>
      </c>
      <c r="O26" t="n">
        <v>0</v>
      </c>
      <c r="P26" t="n">
        <v>26</v>
      </c>
      <c r="Q26" t="n">
        <v>12</v>
      </c>
      <c r="R26" t="s">
        <v>259</v>
      </c>
      <c r="S26" t="s">
        <v>259</v>
      </c>
      <c r="T26" t="n">
        <v>-0.25</v>
      </c>
    </row>
    <row r="27">
      <c r="A27" t="s">
        <v>31</v>
      </c>
      <c r="B27" t="n">
        <v>1</v>
      </c>
      <c r="C27" t="n">
        <v>0.95</v>
      </c>
      <c r="D27" t="n">
        <v>0.97</v>
      </c>
      <c r="E27" t="n">
        <v>-4.75</v>
      </c>
      <c r="F27" t="n">
        <v>-0.5</v>
      </c>
      <c r="G27" t="n">
        <v>12</v>
      </c>
      <c r="H27" t="n">
        <v>12</v>
      </c>
      <c r="I27" t="s">
        <v>251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54</v>
      </c>
      <c r="Q27" t="n">
        <v>12</v>
      </c>
      <c r="R27" t="s">
        <v>254</v>
      </c>
      <c r="S27" t="s">
        <v>254</v>
      </c>
      <c r="T27" t="n">
        <v>0</v>
      </c>
    </row>
    <row r="28">
      <c r="A28" t="s">
        <v>31</v>
      </c>
      <c r="B28" t="n">
        <v>0.91</v>
      </c>
      <c r="C28" t="n">
        <v>0.83</v>
      </c>
      <c r="D28" t="n">
        <v>0.95</v>
      </c>
      <c r="E28" t="n">
        <v>-2.5</v>
      </c>
      <c r="F28" t="n">
        <v>-0.25</v>
      </c>
      <c r="G28" t="n">
        <v>37</v>
      </c>
      <c r="H28" t="n">
        <v>12</v>
      </c>
      <c r="I28" t="s">
        <v>253</v>
      </c>
      <c r="J28" t="n">
        <v>0</v>
      </c>
      <c r="K28" t="n">
        <v>0</v>
      </c>
      <c r="L28" t="n">
        <v>0</v>
      </c>
      <c r="M28" t="n">
        <v>12</v>
      </c>
      <c r="N28" t="n">
        <v>0</v>
      </c>
      <c r="O28" t="n">
        <v>-0.25</v>
      </c>
      <c r="P28" t="n">
        <v>48</v>
      </c>
      <c r="Q28" t="n">
        <v>12</v>
      </c>
      <c r="R28" t="s">
        <v>254</v>
      </c>
      <c r="S28" t="s">
        <v>258</v>
      </c>
      <c r="T28" t="n">
        <v>-0.25</v>
      </c>
    </row>
    <row r="29">
      <c r="A29" t="s">
        <v>31</v>
      </c>
      <c r="B29" t="n">
        <v>1.14</v>
      </c>
      <c r="C29" t="n">
        <v>0.81</v>
      </c>
      <c r="D29" t="n">
        <v>1.1</v>
      </c>
      <c r="E29" t="n">
        <v>-4.75</v>
      </c>
      <c r="F29" t="n">
        <v>-1</v>
      </c>
      <c r="G29" t="n">
        <v>12</v>
      </c>
      <c r="H29" t="n">
        <v>12</v>
      </c>
      <c r="I29" t="s">
        <v>255</v>
      </c>
      <c r="J29" t="n">
        <v>0</v>
      </c>
      <c r="K29" t="n">
        <v>0</v>
      </c>
      <c r="L29" t="n">
        <v>0</v>
      </c>
      <c r="M29" t="n">
        <v>12</v>
      </c>
      <c r="N29" t="n">
        <v>-1</v>
      </c>
      <c r="O29" t="n">
        <v>-0.25</v>
      </c>
      <c r="P29" t="n">
        <v>32</v>
      </c>
      <c r="Q29" t="n">
        <v>12</v>
      </c>
      <c r="R29" t="s">
        <v>252</v>
      </c>
      <c r="S29" t="s">
        <v>260</v>
      </c>
      <c r="T29" t="n">
        <v>-1</v>
      </c>
    </row>
    <row r="30">
      <c r="A30" t="s">
        <v>31</v>
      </c>
      <c r="B30" t="n">
        <v>1.08</v>
      </c>
      <c r="C30" t="n">
        <v>1.06</v>
      </c>
      <c r="D30" t="n">
        <v>1.17</v>
      </c>
      <c r="E30" t="n">
        <v>-4.5</v>
      </c>
      <c r="F30" t="n">
        <v>-0.75</v>
      </c>
      <c r="G30" t="n">
        <v>77</v>
      </c>
      <c r="H30" t="n">
        <v>12</v>
      </c>
      <c r="I30" t="s">
        <v>252</v>
      </c>
      <c r="J30" t="n">
        <v>0</v>
      </c>
      <c r="K30" t="n">
        <v>0</v>
      </c>
      <c r="L30" t="n">
        <v>0</v>
      </c>
      <c r="M30" t="n">
        <v>12</v>
      </c>
      <c r="N30" t="n">
        <v>-1</v>
      </c>
      <c r="O30" t="n">
        <v>-0.25</v>
      </c>
      <c r="P30" t="n">
        <v>117</v>
      </c>
      <c r="Q30" t="n">
        <v>12</v>
      </c>
      <c r="R30" t="s">
        <v>255</v>
      </c>
      <c r="S30" t="s">
        <v>250</v>
      </c>
      <c r="T30" t="n">
        <v>-1</v>
      </c>
    </row>
    <row r="31">
      <c r="A31" t="s">
        <v>31</v>
      </c>
      <c r="B31" t="n">
        <v>1.05</v>
      </c>
      <c r="C31" t="n">
        <v>0.85</v>
      </c>
      <c r="D31" t="n">
        <v>1.06</v>
      </c>
      <c r="E31" t="n">
        <v>-3</v>
      </c>
      <c r="F31" t="n">
        <v>-0.75</v>
      </c>
      <c r="G31" t="n">
        <v>7</v>
      </c>
      <c r="H31" t="n">
        <v>12</v>
      </c>
      <c r="I31" t="s">
        <v>250</v>
      </c>
      <c r="J31" t="n">
        <v>0</v>
      </c>
      <c r="K31" t="n">
        <v>0</v>
      </c>
      <c r="L31" t="n">
        <v>0</v>
      </c>
      <c r="M31" t="n">
        <v>12</v>
      </c>
      <c r="N31" t="n">
        <v>-0.75</v>
      </c>
      <c r="O31" t="n">
        <v>0</v>
      </c>
      <c r="P31" t="n">
        <v>13</v>
      </c>
      <c r="Q31" t="n">
        <v>12</v>
      </c>
      <c r="R31" t="s">
        <v>250</v>
      </c>
      <c r="S31" t="s">
        <v>258</v>
      </c>
      <c r="T31" t="n">
        <v>-0.75</v>
      </c>
    </row>
    <row r="32">
      <c r="A32" t="s">
        <v>31</v>
      </c>
      <c r="B32" t="n">
        <v>1.15</v>
      </c>
      <c r="C32" t="n">
        <v>1.07</v>
      </c>
      <c r="D32" t="n">
        <v>1.13</v>
      </c>
      <c r="E32" t="n">
        <v>-3</v>
      </c>
      <c r="F32" t="n">
        <v>-0.5</v>
      </c>
      <c r="G32" t="n">
        <v>12</v>
      </c>
      <c r="H32" t="n">
        <v>12</v>
      </c>
      <c r="I32" t="s">
        <v>255</v>
      </c>
      <c r="J32" t="n">
        <v>0</v>
      </c>
      <c r="K32" t="n">
        <v>0</v>
      </c>
      <c r="L32" t="n">
        <v>0</v>
      </c>
      <c r="M32" t="n">
        <v>12</v>
      </c>
      <c r="N32" t="n">
        <v>-0.5</v>
      </c>
      <c r="O32" t="n">
        <v>-0.25</v>
      </c>
      <c r="P32" t="n">
        <v>17</v>
      </c>
      <c r="Q32" t="n">
        <v>12</v>
      </c>
      <c r="R32" t="s">
        <v>255</v>
      </c>
      <c r="S32" t="s">
        <v>250</v>
      </c>
      <c r="T32" t="n">
        <v>-0.5</v>
      </c>
    </row>
    <row r="33">
      <c r="A33" t="s">
        <v>31</v>
      </c>
      <c r="B33" t="n">
        <v>0.96</v>
      </c>
      <c r="C33" t="n">
        <v>0.92</v>
      </c>
      <c r="D33" t="n">
        <v>1</v>
      </c>
      <c r="E33" t="n">
        <v>-5.25</v>
      </c>
      <c r="F33" t="n">
        <v>-0.5</v>
      </c>
      <c r="G33" t="n">
        <v>156</v>
      </c>
      <c r="H33" t="n">
        <v>12</v>
      </c>
      <c r="I33" t="s">
        <v>254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-0.5</v>
      </c>
      <c r="P33" t="n">
        <v>1</v>
      </c>
      <c r="Q33" t="n">
        <v>12</v>
      </c>
      <c r="R33" t="s">
        <v>251</v>
      </c>
      <c r="S33" t="s">
        <v>253</v>
      </c>
      <c r="T33" t="n">
        <v>0.25</v>
      </c>
    </row>
    <row r="34">
      <c r="A34" t="s">
        <v>31</v>
      </c>
      <c r="B34" t="n">
        <v>1.12</v>
      </c>
      <c r="C34" t="n">
        <v>0.78</v>
      </c>
      <c r="D34" t="n">
        <v>1.06</v>
      </c>
      <c r="E34" t="n">
        <v>-6.75</v>
      </c>
      <c r="F34" t="n">
        <v>0</v>
      </c>
      <c r="G34" t="n">
        <v>22</v>
      </c>
      <c r="H34" t="n">
        <v>12</v>
      </c>
      <c r="I34" t="s">
        <v>252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97</v>
      </c>
      <c r="Q34" t="n">
        <v>12</v>
      </c>
      <c r="R34" t="s">
        <v>250</v>
      </c>
      <c r="S34" t="s">
        <v>260</v>
      </c>
      <c r="T34" t="n">
        <v>-0.25</v>
      </c>
    </row>
    <row r="35">
      <c r="A35" t="s">
        <v>31</v>
      </c>
      <c r="B35" t="n">
        <v>1.01</v>
      </c>
      <c r="C35" t="n">
        <v>0.89</v>
      </c>
      <c r="D35" t="n">
        <v>0.99</v>
      </c>
      <c r="E35" t="n">
        <v>-6</v>
      </c>
      <c r="F35" t="n">
        <v>0</v>
      </c>
      <c r="G35" t="n">
        <v>87</v>
      </c>
      <c r="H35" t="n">
        <v>12</v>
      </c>
      <c r="I35" t="s">
        <v>251</v>
      </c>
      <c r="J35" t="n">
        <v>0</v>
      </c>
      <c r="K35" t="n">
        <v>0</v>
      </c>
      <c r="L35" t="n">
        <v>0</v>
      </c>
      <c r="M35" t="n">
        <v>12</v>
      </c>
      <c r="N35" t="n">
        <v>-0.5</v>
      </c>
      <c r="O35" t="n">
        <v>-0.25</v>
      </c>
      <c r="P35" t="n">
        <v>160</v>
      </c>
      <c r="Q35" t="n">
        <v>12</v>
      </c>
      <c r="R35" t="s">
        <v>251</v>
      </c>
      <c r="S35" t="s">
        <v>257</v>
      </c>
      <c r="T35" t="n">
        <v>-0.5</v>
      </c>
    </row>
    <row r="36">
      <c r="A36" t="s">
        <v>31</v>
      </c>
      <c r="B36" t="n">
        <v>1.07</v>
      </c>
      <c r="C36" t="n">
        <v>0.83</v>
      </c>
      <c r="D36" t="n">
        <v>0.99</v>
      </c>
      <c r="E36" t="n">
        <v>-4.25</v>
      </c>
      <c r="F36" t="n">
        <v>-2</v>
      </c>
      <c r="G36" t="n">
        <v>39</v>
      </c>
      <c r="H36" t="n">
        <v>12</v>
      </c>
      <c r="I36" t="s">
        <v>250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-0.25</v>
      </c>
      <c r="P36" t="n">
        <v>32</v>
      </c>
      <c r="Q36" t="n">
        <v>12</v>
      </c>
      <c r="R36" t="s">
        <v>251</v>
      </c>
      <c r="S36" t="s">
        <v>258</v>
      </c>
      <c r="T36" t="n">
        <v>0</v>
      </c>
    </row>
    <row r="37">
      <c r="A37" t="s">
        <v>31</v>
      </c>
      <c r="B37" t="n">
        <v>1.07</v>
      </c>
      <c r="C37" t="n">
        <v>0.97</v>
      </c>
      <c r="D37" t="n">
        <v>1.06</v>
      </c>
      <c r="E37" t="n">
        <v>-6</v>
      </c>
      <c r="F37" t="n">
        <v>-1.25</v>
      </c>
      <c r="G37" t="n">
        <v>33</v>
      </c>
      <c r="H37" t="n">
        <v>12</v>
      </c>
      <c r="I37" t="s">
        <v>250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0</v>
      </c>
      <c r="P37" t="n">
        <v>20</v>
      </c>
      <c r="Q37" t="n">
        <v>12</v>
      </c>
      <c r="R37" t="s">
        <v>250</v>
      </c>
      <c r="S37" t="s">
        <v>254</v>
      </c>
      <c r="T37" t="n">
        <v>0.5</v>
      </c>
    </row>
    <row r="38">
      <c r="A38" t="s">
        <v>31</v>
      </c>
      <c r="B38" t="n">
        <v>1</v>
      </c>
      <c r="C38" t="n">
        <v>0.97</v>
      </c>
      <c r="D38" t="n">
        <v>1.03</v>
      </c>
      <c r="E38" t="n">
        <v>-4.25</v>
      </c>
      <c r="F38" t="n">
        <v>-0.75</v>
      </c>
      <c r="G38" t="n">
        <v>171</v>
      </c>
      <c r="H38" t="n">
        <v>12</v>
      </c>
      <c r="I38" t="s">
        <v>251</v>
      </c>
      <c r="J38" t="n">
        <v>0</v>
      </c>
      <c r="K38" t="n">
        <v>0</v>
      </c>
      <c r="L38" t="n">
        <v>0</v>
      </c>
      <c r="M38" t="n">
        <v>12</v>
      </c>
      <c r="N38" t="n">
        <v>-0.5</v>
      </c>
      <c r="O38" t="n">
        <v>0</v>
      </c>
      <c r="P38" t="n">
        <v>11</v>
      </c>
      <c r="Q38" t="n">
        <v>12</v>
      </c>
      <c r="R38" t="s">
        <v>250</v>
      </c>
      <c r="S38" t="s">
        <v>254</v>
      </c>
      <c r="T38" t="n">
        <v>-0.5</v>
      </c>
    </row>
    <row r="39">
      <c r="A39" t="s">
        <v>31</v>
      </c>
      <c r="B39" t="n">
        <v>1.03</v>
      </c>
      <c r="C39" t="n">
        <v>0.92</v>
      </c>
      <c r="D39" t="n">
        <v>1.02</v>
      </c>
      <c r="E39" t="n">
        <v>-3.75</v>
      </c>
      <c r="F39" t="n">
        <v>-0.25</v>
      </c>
      <c r="G39" t="n">
        <v>140</v>
      </c>
      <c r="H39" t="n">
        <v>12</v>
      </c>
      <c r="I39" t="s">
        <v>250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-0.25</v>
      </c>
      <c r="P39" t="n">
        <v>142</v>
      </c>
      <c r="Q39" t="n">
        <v>12</v>
      </c>
      <c r="R39" t="s">
        <v>251</v>
      </c>
      <c r="S39" t="s">
        <v>253</v>
      </c>
      <c r="T39" t="n">
        <v>-0.5</v>
      </c>
    </row>
    <row r="40">
      <c r="A40" t="s">
        <v>31</v>
      </c>
      <c r="B40" t="n">
        <v>0.96</v>
      </c>
      <c r="C40" t="n">
        <v>0.85</v>
      </c>
      <c r="D40" t="n">
        <v>1</v>
      </c>
      <c r="E40" t="n">
        <v>-3.75</v>
      </c>
      <c r="F40" t="n">
        <v>-0.5</v>
      </c>
      <c r="G40" t="n">
        <v>170</v>
      </c>
      <c r="H40" t="n">
        <v>12</v>
      </c>
      <c r="I40" t="s">
        <v>254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-0.25</v>
      </c>
      <c r="P40" t="n">
        <v>172</v>
      </c>
      <c r="Q40" t="n">
        <v>12</v>
      </c>
      <c r="R40" t="s">
        <v>251</v>
      </c>
      <c r="S40" t="s">
        <v>258</v>
      </c>
      <c r="T40" t="n">
        <v>-0.25</v>
      </c>
    </row>
    <row r="41">
      <c r="A41" t="s">
        <v>31</v>
      </c>
      <c r="B41" t="n">
        <v>0.99</v>
      </c>
      <c r="C41" t="n">
        <v>0.94</v>
      </c>
      <c r="D41" t="n">
        <v>1.02</v>
      </c>
      <c r="E41" t="n">
        <v>-8.75</v>
      </c>
      <c r="F41" t="n">
        <v>-1</v>
      </c>
      <c r="G41" t="n">
        <v>101</v>
      </c>
      <c r="H41" t="n">
        <v>12</v>
      </c>
      <c r="I41" t="s">
        <v>251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0</v>
      </c>
      <c r="P41" t="n">
        <v>32</v>
      </c>
      <c r="Q41" t="n">
        <v>12</v>
      </c>
      <c r="R41" t="s">
        <v>251</v>
      </c>
      <c r="S41" t="s">
        <v>254</v>
      </c>
      <c r="T41" t="n">
        <v>0</v>
      </c>
    </row>
    <row r="42">
      <c r="A42" t="s">
        <v>31</v>
      </c>
      <c r="B42" t="n">
        <v>1.04</v>
      </c>
      <c r="C42" t="n">
        <v>1.02</v>
      </c>
      <c r="D42" t="n">
        <v>1.06</v>
      </c>
      <c r="E42" t="n">
        <v>-3</v>
      </c>
      <c r="F42" t="n">
        <v>-2</v>
      </c>
      <c r="G42" t="n">
        <v>170</v>
      </c>
      <c r="H42" t="n">
        <v>12</v>
      </c>
      <c r="I42" t="s">
        <v>250</v>
      </c>
      <c r="J42" t="n">
        <v>0</v>
      </c>
      <c r="K42" t="n">
        <v>0</v>
      </c>
      <c r="L42" t="n">
        <v>0</v>
      </c>
      <c r="M42" t="n">
        <v>12</v>
      </c>
      <c r="N42" t="n">
        <v>-0.25</v>
      </c>
      <c r="O42" t="n">
        <v>0</v>
      </c>
      <c r="P42" t="n">
        <v>164</v>
      </c>
      <c r="Q42" t="n">
        <v>12</v>
      </c>
      <c r="R42" t="s">
        <v>250</v>
      </c>
      <c r="S42" t="s">
        <v>251</v>
      </c>
      <c r="T42" t="n">
        <v>-0.25</v>
      </c>
    </row>
    <row r="43">
      <c r="A43" t="s">
        <v>31</v>
      </c>
      <c r="B43" t="n">
        <v>1.08</v>
      </c>
      <c r="C43" t="n">
        <v>0.87</v>
      </c>
      <c r="D43" t="n">
        <v>1.07</v>
      </c>
      <c r="E43" t="n">
        <v>-8</v>
      </c>
      <c r="F43" t="n">
        <v>-0.5</v>
      </c>
      <c r="G43" t="n">
        <v>103</v>
      </c>
      <c r="H43" t="n">
        <v>12</v>
      </c>
      <c r="I43" t="s">
        <v>252</v>
      </c>
      <c r="J43" t="n">
        <v>0</v>
      </c>
      <c r="K43" t="n">
        <v>0</v>
      </c>
      <c r="L43" t="n">
        <v>0</v>
      </c>
      <c r="M43" t="n">
        <v>12</v>
      </c>
      <c r="N43" t="n">
        <v>0.5</v>
      </c>
      <c r="O43" t="n">
        <v>-0.25</v>
      </c>
      <c r="P43" t="n">
        <v>103</v>
      </c>
      <c r="Q43" t="n">
        <v>12</v>
      </c>
      <c r="R43" t="s">
        <v>250</v>
      </c>
      <c r="S43" t="s">
        <v>257</v>
      </c>
      <c r="T43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265</v>
      </c>
      <c r="B1" t="s">
        <v>266</v>
      </c>
      <c r="C1" t="s">
        <v>267</v>
      </c>
      <c r="D1" t="s">
        <v>268</v>
      </c>
      <c r="E1" t="s">
        <v>269</v>
      </c>
    </row>
    <row r="2">
      <c r="A2" t="s">
        <v>270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271</v>
      </c>
      <c r="B3" t="n">
        <v>-0.75</v>
      </c>
      <c r="C3" t="n">
        <v>78</v>
      </c>
      <c r="D3" t="n">
        <v>-0.25</v>
      </c>
      <c r="E3" t="n">
        <v>110</v>
      </c>
    </row>
    <row r="4">
      <c r="A4" t="s">
        <v>270</v>
      </c>
      <c r="B4" t="n">
        <v>0</v>
      </c>
      <c r="C4" t="n">
        <v>80</v>
      </c>
      <c r="D4" t="n">
        <v>0</v>
      </c>
      <c r="E4" t="n">
        <v>89</v>
      </c>
    </row>
    <row r="5">
      <c r="A5" t="s">
        <v>271</v>
      </c>
      <c r="B5" t="n">
        <v>-1.25</v>
      </c>
      <c r="C5" t="n">
        <v>103</v>
      </c>
      <c r="D5" t="n">
        <v>-0.5</v>
      </c>
      <c r="E5" t="n">
        <v>75</v>
      </c>
    </row>
    <row r="6">
      <c r="A6" t="s">
        <v>270</v>
      </c>
      <c r="B6" t="n">
        <v>-1</v>
      </c>
      <c r="C6" t="n">
        <v>24</v>
      </c>
      <c r="D6" t="n">
        <v>-0.5</v>
      </c>
      <c r="E6" t="n">
        <v>36</v>
      </c>
    </row>
    <row r="7">
      <c r="A7" t="s">
        <v>271</v>
      </c>
      <c r="B7" t="n">
        <v>-0.5</v>
      </c>
      <c r="C7" t="n">
        <v>101</v>
      </c>
      <c r="D7" t="n">
        <v>-0.25</v>
      </c>
      <c r="E7" t="n">
        <v>98</v>
      </c>
    </row>
    <row r="8">
      <c r="A8" t="s">
        <v>270</v>
      </c>
      <c r="B8" t="n">
        <v>-1.25</v>
      </c>
      <c r="C8" t="n">
        <v>79</v>
      </c>
      <c r="D8" t="n">
        <v>-0.75</v>
      </c>
      <c r="E8" t="n">
        <v>64</v>
      </c>
    </row>
    <row r="9">
      <c r="A9" t="s">
        <v>270</v>
      </c>
      <c r="B9" t="n">
        <v>-0.5</v>
      </c>
      <c r="C9" t="n">
        <v>162</v>
      </c>
      <c r="D9" t="n">
        <v>-0.25</v>
      </c>
      <c r="E9" t="n">
        <v>138</v>
      </c>
    </row>
    <row r="10">
      <c r="A10" t="s">
        <v>271</v>
      </c>
      <c r="B10" t="n">
        <v>-0.25</v>
      </c>
      <c r="C10" t="n">
        <v>178</v>
      </c>
      <c r="D10" t="n">
        <v>-0.25</v>
      </c>
      <c r="E10" t="n">
        <v>162</v>
      </c>
    </row>
    <row r="11">
      <c r="A11" t="s">
        <v>270</v>
      </c>
      <c r="B11" t="n">
        <v>0</v>
      </c>
      <c r="C11" t="n">
        <v>159</v>
      </c>
      <c r="D11" t="n">
        <v>0</v>
      </c>
      <c r="E11" t="n">
        <v>159</v>
      </c>
    </row>
    <row r="12">
      <c r="A12" t="s">
        <v>271</v>
      </c>
      <c r="B12" t="n">
        <v>0</v>
      </c>
      <c r="C12" t="n">
        <v>3</v>
      </c>
      <c r="D12" t="n">
        <v>-0.5</v>
      </c>
      <c r="E12" t="n">
        <v>91</v>
      </c>
    </row>
    <row r="13">
      <c r="A13" t="s">
        <v>270</v>
      </c>
      <c r="B13" t="n">
        <v>-1.25</v>
      </c>
      <c r="C13" t="n">
        <v>100</v>
      </c>
      <c r="D13" t="n">
        <v>-0.25</v>
      </c>
      <c r="E13" t="n">
        <v>103</v>
      </c>
    </row>
    <row r="14">
      <c r="A14" t="s">
        <v>271</v>
      </c>
      <c r="B14" t="n">
        <v>-1</v>
      </c>
      <c r="C14" t="n">
        <v>159</v>
      </c>
      <c r="D14" t="n">
        <v>-0.5</v>
      </c>
      <c r="E14" t="n">
        <v>169</v>
      </c>
    </row>
    <row r="15">
      <c r="A15" t="s">
        <v>270</v>
      </c>
      <c r="B15" t="n">
        <v>-0.5</v>
      </c>
      <c r="C15" t="n">
        <v>168</v>
      </c>
      <c r="D15" t="n">
        <v>-0.25</v>
      </c>
      <c r="E15" t="n">
        <v>4</v>
      </c>
    </row>
    <row r="16">
      <c r="A16" t="s">
        <v>270</v>
      </c>
      <c r="B16" t="n">
        <v>-0.5</v>
      </c>
      <c r="C16" t="n">
        <v>23</v>
      </c>
      <c r="D16" t="n">
        <v>-0.25</v>
      </c>
      <c r="E16" t="n">
        <v>49</v>
      </c>
    </row>
    <row r="17">
      <c r="A17" t="s">
        <v>271</v>
      </c>
      <c r="B17" t="n">
        <v>-0.25</v>
      </c>
      <c r="C17" t="n">
        <v>172</v>
      </c>
      <c r="D17" t="n">
        <v>-0.25</v>
      </c>
      <c r="E17" t="n">
        <v>15</v>
      </c>
    </row>
    <row r="18">
      <c r="A18" t="s">
        <v>270</v>
      </c>
      <c r="B18" t="n">
        <v>-0.25</v>
      </c>
      <c r="C18" t="n">
        <v>97</v>
      </c>
      <c r="D18" t="n">
        <v>-0.25</v>
      </c>
      <c r="E18" t="n">
        <v>122</v>
      </c>
    </row>
    <row r="19">
      <c r="A19" t="s">
        <v>271</v>
      </c>
      <c r="B19" t="n">
        <v>-2.25</v>
      </c>
      <c r="C19" t="n">
        <v>7</v>
      </c>
      <c r="D19" t="n">
        <v>-0.25</v>
      </c>
      <c r="E19" t="n">
        <v>153</v>
      </c>
    </row>
    <row r="20">
      <c r="A20" t="s">
        <v>270</v>
      </c>
      <c r="B20" t="n">
        <v>-0.75</v>
      </c>
      <c r="C20" t="n">
        <v>165</v>
      </c>
      <c r="D20" t="n">
        <v>-0.5</v>
      </c>
      <c r="E20" t="n">
        <v>12</v>
      </c>
    </row>
    <row r="21">
      <c r="A21" t="s">
        <v>271</v>
      </c>
      <c r="B21" t="n">
        <v>-1.25</v>
      </c>
      <c r="C21" t="n">
        <v>84</v>
      </c>
      <c r="D21" t="n">
        <v>-0.25</v>
      </c>
      <c r="E21" t="n">
        <v>62</v>
      </c>
    </row>
    <row r="22">
      <c r="A22" t="s">
        <v>270</v>
      </c>
      <c r="B22" t="n">
        <v>-0.75</v>
      </c>
      <c r="C22" t="n">
        <v>81</v>
      </c>
      <c r="D22" t="n">
        <v>-0.25</v>
      </c>
      <c r="E22" t="n">
        <v>34</v>
      </c>
    </row>
    <row r="23">
      <c r="A23" t="s">
        <v>271</v>
      </c>
      <c r="B23" t="n">
        <v>-1</v>
      </c>
      <c r="C23" t="n">
        <v>83</v>
      </c>
      <c r="D23" t="n">
        <v>-0.25</v>
      </c>
      <c r="E23" t="n">
        <v>78</v>
      </c>
    </row>
    <row r="24">
      <c r="A24" t="s">
        <v>271</v>
      </c>
      <c r="B24" t="n">
        <v>-0.5</v>
      </c>
      <c r="C24" t="n">
        <v>80</v>
      </c>
      <c r="D24" t="n">
        <v>0</v>
      </c>
      <c r="E24" t="n">
        <v>11</v>
      </c>
    </row>
    <row r="25">
      <c r="A25" t="s">
        <v>271</v>
      </c>
      <c r="B25" t="n">
        <v>-0.75</v>
      </c>
      <c r="C25" t="n">
        <v>7</v>
      </c>
      <c r="D25" t="n">
        <v>-0.25</v>
      </c>
      <c r="E25" t="n">
        <v>24</v>
      </c>
    </row>
    <row r="26">
      <c r="A26" t="s">
        <v>270</v>
      </c>
      <c r="B26" t="n">
        <v>0</v>
      </c>
      <c r="C26" t="n">
        <v>170</v>
      </c>
      <c r="D26" t="n">
        <v>-0.5</v>
      </c>
      <c r="E26" t="n">
        <v>23</v>
      </c>
    </row>
    <row r="27">
      <c r="A27" t="s">
        <v>271</v>
      </c>
      <c r="B27" t="n">
        <v>-0.25</v>
      </c>
      <c r="C27" t="n">
        <v>175</v>
      </c>
      <c r="D27" t="n">
        <v>-0.25</v>
      </c>
      <c r="E27" t="n">
        <v>23</v>
      </c>
    </row>
    <row r="28">
      <c r="A28" t="s">
        <v>270</v>
      </c>
      <c r="B28" t="n">
        <v>-0.25</v>
      </c>
      <c r="C28" t="n">
        <v>165</v>
      </c>
      <c r="D28" t="n">
        <v>-0.25</v>
      </c>
      <c r="E28" t="n">
        <v>164</v>
      </c>
    </row>
    <row r="29">
      <c r="A29" t="s">
        <v>271</v>
      </c>
      <c r="B29" t="n">
        <v>-0.25</v>
      </c>
      <c r="C29" t="n">
        <v>91</v>
      </c>
      <c r="D29" t="n">
        <v>0</v>
      </c>
      <c r="E29" t="n">
        <v>164</v>
      </c>
    </row>
    <row r="30">
      <c r="A30" t="s">
        <v>270</v>
      </c>
      <c r="B30" t="n">
        <v>-0.75</v>
      </c>
      <c r="C30" t="n">
        <v>88</v>
      </c>
      <c r="D30" t="n">
        <v>-0.5</v>
      </c>
      <c r="E30" t="n">
        <v>148</v>
      </c>
    </row>
    <row r="31">
      <c r="A31" t="s">
        <v>270</v>
      </c>
      <c r="B31" t="n">
        <v>-0.75</v>
      </c>
      <c r="C31" t="n">
        <v>99</v>
      </c>
      <c r="D31" t="n">
        <v>-0.25</v>
      </c>
      <c r="E31" t="n">
        <v>75</v>
      </c>
    </row>
    <row r="32">
      <c r="A32" t="s">
        <v>271</v>
      </c>
      <c r="B32" t="n">
        <v>-1.5</v>
      </c>
      <c r="C32" t="n">
        <v>96</v>
      </c>
      <c r="D32" t="n">
        <v>0</v>
      </c>
      <c r="E32" t="n">
        <v>21</v>
      </c>
    </row>
    <row r="33">
      <c r="A33" t="s">
        <v>271</v>
      </c>
      <c r="B33" t="n">
        <v>-0.25</v>
      </c>
      <c r="C33" t="n">
        <v>11</v>
      </c>
      <c r="D33" t="n">
        <v>-0.25</v>
      </c>
      <c r="E33" t="n">
        <v>18</v>
      </c>
    </row>
    <row r="34">
      <c r="A34" t="s">
        <v>270</v>
      </c>
      <c r="B34" t="n">
        <v>-0.75</v>
      </c>
      <c r="C34" t="n">
        <v>180</v>
      </c>
      <c r="D34" t="n">
        <v>-0.5</v>
      </c>
      <c r="E34" t="n">
        <v>10</v>
      </c>
    </row>
    <row r="35">
      <c r="A35" t="s">
        <v>270</v>
      </c>
      <c r="B35" t="n">
        <v>-0.25</v>
      </c>
      <c r="C35" t="n">
        <v>155</v>
      </c>
      <c r="D35" t="n">
        <v>-0.25</v>
      </c>
      <c r="E35" t="n">
        <v>160</v>
      </c>
    </row>
    <row r="36">
      <c r="A36" t="s">
        <v>271</v>
      </c>
      <c r="B36" t="n">
        <v>-0.75</v>
      </c>
      <c r="C36" t="n">
        <v>96</v>
      </c>
      <c r="D36" t="n">
        <v>0</v>
      </c>
      <c r="E36" t="n">
        <v>6</v>
      </c>
    </row>
    <row r="37">
      <c r="A37" t="s">
        <v>270</v>
      </c>
      <c r="B37" t="n">
        <v>0</v>
      </c>
      <c r="C37" t="n">
        <v>93</v>
      </c>
      <c r="D37" t="n">
        <v>-0.5</v>
      </c>
      <c r="E37" t="n">
        <v>70</v>
      </c>
    </row>
    <row r="38">
      <c r="A38" t="s">
        <v>271</v>
      </c>
      <c r="B38" t="n">
        <v>-0.25</v>
      </c>
      <c r="C38" t="n">
        <v>138</v>
      </c>
      <c r="D38" t="n">
        <v>0</v>
      </c>
      <c r="E38" t="n">
        <v>131</v>
      </c>
    </row>
    <row r="39">
      <c r="A39" t="s">
        <v>270</v>
      </c>
      <c r="B39" t="n">
        <v>-0.25</v>
      </c>
      <c r="C39" t="n">
        <v>80</v>
      </c>
      <c r="D39" t="n">
        <v>-0.25</v>
      </c>
      <c r="E39" t="n">
        <v>56</v>
      </c>
    </row>
    <row r="40">
      <c r="A40" t="s">
        <v>271</v>
      </c>
      <c r="B40" t="n">
        <v>-0.25</v>
      </c>
      <c r="C40" t="n">
        <v>20</v>
      </c>
      <c r="D40" t="n">
        <v>-0.25</v>
      </c>
      <c r="E40" t="n">
        <v>25</v>
      </c>
    </row>
    <row r="41">
      <c r="A41" t="s">
        <v>270</v>
      </c>
      <c r="B41" t="n">
        <v>-0.5</v>
      </c>
      <c r="C41" t="n">
        <v>85</v>
      </c>
      <c r="D41" t="n">
        <v>-0.25</v>
      </c>
      <c r="E41" t="n">
        <v>78</v>
      </c>
    </row>
    <row r="42">
      <c r="A42" t="s">
        <v>271</v>
      </c>
      <c r="B42" t="n">
        <v>-0.25</v>
      </c>
      <c r="C42" t="n">
        <v>94</v>
      </c>
      <c r="D42" t="n">
        <v>0</v>
      </c>
      <c r="E42" t="n">
        <v>78</v>
      </c>
    </row>
    <row r="43">
      <c r="A43" t="s">
        <v>271</v>
      </c>
      <c r="B43" t="n">
        <v>-0.75</v>
      </c>
      <c r="C43" t="n">
        <v>102</v>
      </c>
      <c r="D43" t="n">
        <v>0</v>
      </c>
      <c r="E43" t="n">
        <v>0</v>
      </c>
    </row>
    <row r="44">
      <c r="A44" t="s">
        <v>271</v>
      </c>
      <c r="B44" t="n">
        <v>-0.5</v>
      </c>
      <c r="C44" t="n">
        <v>95</v>
      </c>
      <c r="D44" t="n">
        <v>-0.25</v>
      </c>
      <c r="E44" t="n">
        <v>89</v>
      </c>
    </row>
    <row r="45">
      <c r="A45" t="s">
        <v>271</v>
      </c>
      <c r="B45" t="n">
        <v>0</v>
      </c>
      <c r="C45" t="n">
        <v>3</v>
      </c>
      <c r="D45" t="n">
        <v>0</v>
      </c>
      <c r="E45" t="n">
        <v>28</v>
      </c>
    </row>
    <row r="46">
      <c r="A46" t="s">
        <v>271</v>
      </c>
      <c r="B46" t="n">
        <v>-0.75</v>
      </c>
      <c r="C46" t="n">
        <v>104</v>
      </c>
      <c r="D46" t="n">
        <v>-0.25</v>
      </c>
      <c r="E46" t="n">
        <v>103</v>
      </c>
    </row>
    <row r="47">
      <c r="A47" t="s">
        <v>270</v>
      </c>
      <c r="B47" t="n">
        <v>-0.75</v>
      </c>
      <c r="C47" t="n">
        <v>174</v>
      </c>
      <c r="D47" t="n">
        <v>-0.25</v>
      </c>
      <c r="E47" t="n">
        <v>32</v>
      </c>
    </row>
    <row r="48">
      <c r="A48" t="s">
        <v>270</v>
      </c>
      <c r="B48" t="n">
        <v>-1</v>
      </c>
      <c r="C48" t="n">
        <v>177</v>
      </c>
      <c r="D48" t="n">
        <v>-0.25</v>
      </c>
      <c r="E48" t="n">
        <v>177</v>
      </c>
    </row>
    <row r="49">
      <c r="A49" t="s">
        <v>271</v>
      </c>
      <c r="B49" t="n">
        <v>-0.75</v>
      </c>
      <c r="C49" t="n">
        <v>83</v>
      </c>
      <c r="D49" t="n">
        <v>-0.25</v>
      </c>
      <c r="E49" t="n">
        <v>100</v>
      </c>
    </row>
    <row r="50">
      <c r="A50" t="s">
        <v>270</v>
      </c>
      <c r="B50" t="n">
        <v>0</v>
      </c>
      <c r="C50" t="n">
        <v>9</v>
      </c>
      <c r="D50" t="n">
        <v>-0.25</v>
      </c>
      <c r="E50" t="n">
        <v>159</v>
      </c>
    </row>
    <row r="51">
      <c r="A51" t="s">
        <v>271</v>
      </c>
      <c r="B51" t="n">
        <v>-0.5</v>
      </c>
      <c r="C51" t="n">
        <v>86</v>
      </c>
      <c r="D51" t="n">
        <v>0</v>
      </c>
      <c r="E51" t="n">
        <v>85</v>
      </c>
    </row>
    <row r="52">
      <c r="A52" t="s">
        <v>270</v>
      </c>
      <c r="B52" t="n">
        <v>0</v>
      </c>
      <c r="C52" t="n">
        <v>99</v>
      </c>
      <c r="D52" t="n">
        <v>-0.25</v>
      </c>
      <c r="E52" t="n">
        <v>111</v>
      </c>
    </row>
    <row r="53">
      <c r="A53" t="s">
        <v>271</v>
      </c>
      <c r="B53" t="n">
        <v>0</v>
      </c>
      <c r="C53" t="n">
        <v>7</v>
      </c>
      <c r="D53" t="n">
        <v>-0.5</v>
      </c>
      <c r="E53" t="n">
        <v>3</v>
      </c>
    </row>
    <row r="54">
      <c r="A54" t="s">
        <v>271</v>
      </c>
      <c r="B54" t="n">
        <v>-0.25</v>
      </c>
      <c r="C54" t="n">
        <v>85</v>
      </c>
      <c r="D54" t="n">
        <v>-0.5</v>
      </c>
      <c r="E54" t="n">
        <v>133</v>
      </c>
    </row>
    <row r="55">
      <c r="A55" t="s">
        <v>270</v>
      </c>
      <c r="B55" t="n">
        <v>-1.75</v>
      </c>
      <c r="C55" t="n">
        <v>16</v>
      </c>
      <c r="D55" t="n">
        <v>-0.5</v>
      </c>
      <c r="E55" t="n">
        <v>16</v>
      </c>
    </row>
    <row r="56">
      <c r="A56" t="s">
        <v>270</v>
      </c>
      <c r="B56" t="n">
        <v>-1.5</v>
      </c>
      <c r="C56" t="n">
        <v>175</v>
      </c>
      <c r="D56" t="n">
        <v>0</v>
      </c>
      <c r="E56" t="n">
        <v>99</v>
      </c>
    </row>
    <row r="57">
      <c r="A57" t="s">
        <v>271</v>
      </c>
      <c r="B57" t="n">
        <v>-0.75</v>
      </c>
      <c r="C57" t="n">
        <v>173</v>
      </c>
      <c r="D57" t="n">
        <v>-0.25</v>
      </c>
      <c r="E57" t="n">
        <v>162</v>
      </c>
    </row>
    <row r="58">
      <c r="A58" t="s">
        <v>271</v>
      </c>
      <c r="B58" t="n">
        <v>-1</v>
      </c>
      <c r="C58" t="n">
        <v>13</v>
      </c>
      <c r="D58" t="n">
        <v>-0.25</v>
      </c>
      <c r="E58" t="n">
        <v>16</v>
      </c>
    </row>
    <row r="59">
      <c r="A59" t="s">
        <v>270</v>
      </c>
      <c r="B59" t="n">
        <v>0</v>
      </c>
      <c r="C59" t="n">
        <v>95</v>
      </c>
      <c r="D59" t="n">
        <v>0</v>
      </c>
      <c r="E59" t="n">
        <v>114</v>
      </c>
    </row>
    <row r="60">
      <c r="A60" t="s">
        <v>271</v>
      </c>
      <c r="B60" t="n">
        <v>-0.5</v>
      </c>
      <c r="C60" t="n">
        <v>86</v>
      </c>
      <c r="D60" t="n">
        <v>-0.25</v>
      </c>
      <c r="E60" t="n">
        <v>118</v>
      </c>
    </row>
    <row r="61">
      <c r="A61" t="s">
        <v>270</v>
      </c>
      <c r="B61" t="n">
        <v>-0.25</v>
      </c>
      <c r="C61" t="n">
        <v>157</v>
      </c>
      <c r="D61" t="n">
        <v>0</v>
      </c>
      <c r="E61" t="n">
        <v>156</v>
      </c>
    </row>
    <row r="62">
      <c r="A62" t="s">
        <v>271</v>
      </c>
      <c r="B62" t="n">
        <v>-2.25</v>
      </c>
      <c r="C62" t="n">
        <v>170</v>
      </c>
      <c r="D62" t="n">
        <v>-0.25</v>
      </c>
      <c r="E62" t="n">
        <v>175</v>
      </c>
    </row>
    <row r="63">
      <c r="A63" t="s">
        <v>270</v>
      </c>
      <c r="B63" t="n">
        <v>-0.5</v>
      </c>
      <c r="C63" t="n">
        <v>109</v>
      </c>
      <c r="D63" t="n">
        <v>-0.25</v>
      </c>
      <c r="E63" t="n">
        <v>120</v>
      </c>
    </row>
    <row r="64">
      <c r="A64" t="s">
        <v>271</v>
      </c>
      <c r="B64" t="n">
        <v>-0.25</v>
      </c>
      <c r="C64" t="n">
        <v>172</v>
      </c>
      <c r="D64" t="n">
        <v>-0.25</v>
      </c>
      <c r="E64" t="n">
        <v>165</v>
      </c>
    </row>
    <row r="65">
      <c r="A65" t="s">
        <v>270</v>
      </c>
      <c r="B65" t="n">
        <v>-0.25</v>
      </c>
      <c r="C65" t="n">
        <v>94</v>
      </c>
      <c r="D65" t="n">
        <v>0</v>
      </c>
      <c r="E65" t="n">
        <v>59</v>
      </c>
    </row>
    <row r="66">
      <c r="A66" t="s">
        <v>271</v>
      </c>
      <c r="B66" t="n">
        <v>-1.25</v>
      </c>
      <c r="C66" t="n">
        <v>162</v>
      </c>
      <c r="D66" t="n">
        <v>-0.25</v>
      </c>
      <c r="E66" t="n">
        <v>148</v>
      </c>
    </row>
    <row r="67">
      <c r="A67" t="s">
        <v>270</v>
      </c>
      <c r="B67" t="n">
        <v>-0.25</v>
      </c>
      <c r="C67" t="n">
        <v>27</v>
      </c>
      <c r="D67" t="n">
        <v>-0.25</v>
      </c>
      <c r="E67" t="n">
        <v>38</v>
      </c>
    </row>
    <row r="68">
      <c r="A68" t="s">
        <v>271</v>
      </c>
      <c r="B68" t="n">
        <v>-1.25</v>
      </c>
      <c r="C68" t="n">
        <v>102</v>
      </c>
      <c r="D68" t="n">
        <v>-0.25</v>
      </c>
      <c r="E68" t="n">
        <v>93</v>
      </c>
    </row>
    <row r="69">
      <c r="A69" t="s">
        <v>270</v>
      </c>
      <c r="B69" t="n">
        <v>-0.25</v>
      </c>
      <c r="C69" t="n">
        <v>97</v>
      </c>
      <c r="D69" t="n">
        <v>0</v>
      </c>
      <c r="E69" t="n">
        <v>119</v>
      </c>
    </row>
    <row r="70">
      <c r="A70" t="s">
        <v>270</v>
      </c>
      <c r="B70" t="n">
        <v>0</v>
      </c>
      <c r="C70" t="n">
        <v>80</v>
      </c>
      <c r="D70" t="n">
        <v>-0.25</v>
      </c>
      <c r="E70" t="n">
        <v>130</v>
      </c>
    </row>
    <row r="71">
      <c r="A71" t="s">
        <v>271</v>
      </c>
      <c r="B71" t="n">
        <v>-0.75</v>
      </c>
      <c r="C71" t="n">
        <v>103</v>
      </c>
      <c r="D71" t="n">
        <v>0</v>
      </c>
      <c r="E71" t="n">
        <v>8</v>
      </c>
    </row>
    <row r="72">
      <c r="A72" t="s">
        <v>270</v>
      </c>
      <c r="B72" t="n">
        <v>-1.25</v>
      </c>
      <c r="C72" t="n">
        <v>10</v>
      </c>
      <c r="D72" t="n">
        <v>-0.25</v>
      </c>
      <c r="E72" t="n">
        <v>21</v>
      </c>
    </row>
    <row r="73">
      <c r="A73" t="s">
        <v>270</v>
      </c>
      <c r="B73" t="n">
        <v>-0.5</v>
      </c>
      <c r="C73" t="n">
        <v>82</v>
      </c>
      <c r="D73" t="n">
        <v>-0.5</v>
      </c>
      <c r="E73" t="n">
        <v>106</v>
      </c>
    </row>
    <row r="74">
      <c r="A74" t="s">
        <v>271</v>
      </c>
      <c r="B74" t="n">
        <v>-1.25</v>
      </c>
      <c r="C74" t="n">
        <v>165</v>
      </c>
      <c r="D74" t="n">
        <v>0</v>
      </c>
      <c r="E74" t="n">
        <v>14</v>
      </c>
    </row>
    <row r="75">
      <c r="A75" t="s">
        <v>270</v>
      </c>
      <c r="B75" t="n">
        <v>0</v>
      </c>
      <c r="C75" t="n">
        <v>149</v>
      </c>
      <c r="D75" t="n">
        <v>-0.5</v>
      </c>
      <c r="E75" t="n">
        <v>143</v>
      </c>
    </row>
    <row r="76">
      <c r="A76" t="s">
        <v>271</v>
      </c>
      <c r="B76" t="n">
        <v>-0.5</v>
      </c>
      <c r="C76" t="n">
        <v>2</v>
      </c>
      <c r="D76" t="n">
        <v>-0.25</v>
      </c>
      <c r="E76" t="n">
        <v>175</v>
      </c>
    </row>
    <row r="77">
      <c r="A77" t="s">
        <v>271</v>
      </c>
      <c r="B77" t="n">
        <v>-0.75</v>
      </c>
      <c r="C77" t="n">
        <v>88</v>
      </c>
      <c r="D77" t="n">
        <v>-0.25</v>
      </c>
      <c r="E77" t="n">
        <v>81</v>
      </c>
    </row>
    <row r="78">
      <c r="A78" t="s">
        <v>270</v>
      </c>
      <c r="B78" t="n">
        <v>-0.5</v>
      </c>
      <c r="C78" t="n">
        <v>180</v>
      </c>
      <c r="D78" t="n">
        <v>-0.25</v>
      </c>
      <c r="E78" t="n">
        <v>152</v>
      </c>
    </row>
    <row r="79">
      <c r="A79" t="s">
        <v>270</v>
      </c>
      <c r="B79" t="n">
        <v>-1</v>
      </c>
      <c r="C79" t="n">
        <v>22</v>
      </c>
      <c r="D79" t="n">
        <v>-0.5</v>
      </c>
      <c r="E79" t="n">
        <v>14</v>
      </c>
    </row>
    <row r="80">
      <c r="A80" t="s">
        <v>271</v>
      </c>
      <c r="B80" t="n">
        <v>-0.5</v>
      </c>
      <c r="C80" t="n">
        <v>101</v>
      </c>
      <c r="D80" t="n">
        <v>-0.25</v>
      </c>
      <c r="E80" t="n">
        <v>98</v>
      </c>
    </row>
    <row r="81">
      <c r="A81" t="s">
        <v>271</v>
      </c>
      <c r="B81" t="n">
        <v>-1</v>
      </c>
      <c r="C81" t="n">
        <v>156</v>
      </c>
      <c r="D81" t="n">
        <v>-0.5</v>
      </c>
      <c r="E81" t="n">
        <v>40</v>
      </c>
    </row>
    <row r="82">
      <c r="A82" t="s">
        <v>270</v>
      </c>
      <c r="B82" t="n">
        <v>-0.5</v>
      </c>
      <c r="C82" t="n">
        <v>21</v>
      </c>
      <c r="D82" t="n">
        <v>-0.25</v>
      </c>
      <c r="E82" t="n">
        <v>8</v>
      </c>
    </row>
    <row r="83">
      <c r="A83" t="s">
        <v>271</v>
      </c>
      <c r="B83" t="n">
        <v>-0.25</v>
      </c>
      <c r="C83" t="n">
        <v>6</v>
      </c>
      <c r="D83" t="n">
        <v>-0.25</v>
      </c>
      <c r="E83" t="n">
        <v>179</v>
      </c>
    </row>
    <row r="84">
      <c r="A84" t="s">
        <v>270</v>
      </c>
      <c r="B84" t="n">
        <v>-0.75</v>
      </c>
      <c r="C84" t="n">
        <v>167</v>
      </c>
      <c r="D84" t="n">
        <v>-0.25</v>
      </c>
      <c r="E84" t="n">
        <v>168</v>
      </c>
    </row>
    <row r="85">
      <c r="A85" t="s">
        <v>271</v>
      </c>
      <c r="B85" t="n">
        <v>0</v>
      </c>
      <c r="C85" t="n">
        <v>1</v>
      </c>
      <c r="D85" t="n">
        <v>-0.25</v>
      </c>
      <c r="E85" t="n">
        <v>13</v>
      </c>
    </row>
    <row r="86">
      <c r="A86" t="s">
        <v>270</v>
      </c>
      <c r="B86" t="n">
        <v>-0.25</v>
      </c>
      <c r="C86" t="n">
        <v>89</v>
      </c>
      <c r="D86" t="n">
        <v>-0.25</v>
      </c>
      <c r="E86" t="n">
        <v>60</v>
      </c>
    </row>
    <row r="87">
      <c r="A87" t="s">
        <v>270</v>
      </c>
      <c r="B87" t="n">
        <v>-0.25</v>
      </c>
      <c r="C87" t="n">
        <v>105</v>
      </c>
      <c r="D87" t="n">
        <v>-0.5</v>
      </c>
      <c r="E87" t="n">
        <v>132</v>
      </c>
    </row>
    <row r="88">
      <c r="A88" t="s">
        <v>271</v>
      </c>
      <c r="B88" t="n">
        <v>-1.25</v>
      </c>
      <c r="C88" t="n">
        <v>163</v>
      </c>
      <c r="D88" t="n">
        <v>0</v>
      </c>
      <c r="E88" t="n">
        <v>5</v>
      </c>
    </row>
    <row r="89">
      <c r="A89" t="s">
        <v>270</v>
      </c>
      <c r="B89" t="n">
        <v>-1</v>
      </c>
      <c r="C89" t="n">
        <v>94</v>
      </c>
      <c r="D89" t="n">
        <v>0</v>
      </c>
      <c r="E89" t="n">
        <v>104</v>
      </c>
    </row>
    <row r="90">
      <c r="A90" t="s">
        <v>271</v>
      </c>
      <c r="B90" t="n">
        <v>-0.5</v>
      </c>
      <c r="C90" t="n">
        <v>85</v>
      </c>
      <c r="D90" t="n">
        <v>-0.25</v>
      </c>
      <c r="E90" t="n">
        <v>110</v>
      </c>
    </row>
    <row r="91">
      <c r="A91" t="s">
        <v>271</v>
      </c>
      <c r="B91" t="n">
        <v>-0.75</v>
      </c>
      <c r="C91" t="n">
        <v>89</v>
      </c>
      <c r="D91" t="n">
        <v>-0.25</v>
      </c>
      <c r="E91" t="n">
        <v>74</v>
      </c>
    </row>
    <row r="92">
      <c r="A92" t="s">
        <v>270</v>
      </c>
      <c r="B92" t="n">
        <v>-2.5</v>
      </c>
      <c r="C92" t="n">
        <v>20</v>
      </c>
      <c r="D92" t="n">
        <v>0</v>
      </c>
      <c r="E92" t="n">
        <v>33</v>
      </c>
    </row>
    <row r="93">
      <c r="A93" t="s">
        <v>271</v>
      </c>
      <c r="B93" t="n">
        <v>-1</v>
      </c>
      <c r="C93" t="n">
        <v>60</v>
      </c>
      <c r="D93" t="n">
        <v>0</v>
      </c>
      <c r="E93" t="n">
        <v>130</v>
      </c>
    </row>
    <row r="94">
      <c r="A94" t="s">
        <v>270</v>
      </c>
      <c r="B94" t="n">
        <v>-0.25</v>
      </c>
      <c r="C94" t="n">
        <v>99</v>
      </c>
      <c r="D94" t="n">
        <v>-0.25</v>
      </c>
      <c r="E94" t="n">
        <v>110</v>
      </c>
    </row>
    <row r="95">
      <c r="A95" t="s">
        <v>271</v>
      </c>
      <c r="B95" t="n">
        <v>-1</v>
      </c>
      <c r="C95" t="n">
        <v>87</v>
      </c>
      <c r="D95" t="n">
        <v>-0.25</v>
      </c>
      <c r="E95" t="n">
        <v>104</v>
      </c>
    </row>
    <row r="96">
      <c r="A96" t="s">
        <v>270</v>
      </c>
      <c r="B96" t="n">
        <v>-0.25</v>
      </c>
      <c r="C96" t="n">
        <v>12</v>
      </c>
      <c r="D96" t="n">
        <v>-0.25</v>
      </c>
      <c r="E96" t="n">
        <v>34</v>
      </c>
    </row>
    <row r="97">
      <c r="A97" t="s">
        <v>271</v>
      </c>
      <c r="B97" t="n">
        <v>-0.5</v>
      </c>
      <c r="C97" t="n">
        <v>158</v>
      </c>
      <c r="D97" t="n">
        <v>-0.5</v>
      </c>
      <c r="E97" t="n">
        <v>158</v>
      </c>
    </row>
    <row r="98">
      <c r="A98" t="s">
        <v>270</v>
      </c>
      <c r="B98" t="n">
        <v>0</v>
      </c>
      <c r="C98" t="n">
        <v>166</v>
      </c>
      <c r="D98" t="n">
        <v>0</v>
      </c>
      <c r="E98" t="n">
        <v>5</v>
      </c>
    </row>
    <row r="99">
      <c r="A99" t="s">
        <v>270</v>
      </c>
      <c r="B99" t="n">
        <v>-0.75</v>
      </c>
      <c r="C99" t="n">
        <v>117</v>
      </c>
      <c r="D99" t="n">
        <v>-0.5</v>
      </c>
      <c r="E99" t="n">
        <v>103</v>
      </c>
    </row>
    <row r="100">
      <c r="A100" t="s">
        <v>271</v>
      </c>
      <c r="B100" t="n">
        <v>0</v>
      </c>
      <c r="C100" t="n">
        <v>146</v>
      </c>
      <c r="D100" t="n">
        <v>-0.25</v>
      </c>
      <c r="E100" t="n">
        <v>116</v>
      </c>
    </row>
    <row r="101">
      <c r="A101" t="s">
        <v>270</v>
      </c>
      <c r="B101" t="n">
        <v>-0.25</v>
      </c>
      <c r="C101" t="n">
        <v>1</v>
      </c>
      <c r="D101" t="n">
        <v>0</v>
      </c>
      <c r="E101" t="n">
        <v>97</v>
      </c>
    </row>
    <row r="102">
      <c r="A102" t="s">
        <v>270</v>
      </c>
      <c r="B102" t="n">
        <v>-1.25</v>
      </c>
      <c r="C102" t="n">
        <v>75</v>
      </c>
      <c r="D102" t="n">
        <v>-0.25</v>
      </c>
      <c r="E102" t="n">
        <v>50</v>
      </c>
    </row>
    <row r="103">
      <c r="A103" t="s">
        <v>271</v>
      </c>
      <c r="B103" t="n">
        <v>-0.5</v>
      </c>
      <c r="C103" t="n">
        <v>78</v>
      </c>
      <c r="D103" t="n">
        <v>-0.25</v>
      </c>
      <c r="E103" t="n">
        <v>65</v>
      </c>
    </row>
    <row r="104">
      <c r="A104" t="s">
        <v>270</v>
      </c>
      <c r="B104" t="n">
        <v>-0.25</v>
      </c>
      <c r="C104" t="n">
        <v>179</v>
      </c>
      <c r="D104" t="n">
        <v>-0.25</v>
      </c>
      <c r="E104" t="n">
        <v>24</v>
      </c>
    </row>
    <row r="105">
      <c r="A105" t="s">
        <v>271</v>
      </c>
      <c r="B105" t="n">
        <v>-0.25</v>
      </c>
      <c r="C105" t="n">
        <v>102</v>
      </c>
      <c r="D105" t="n">
        <v>-0.25</v>
      </c>
      <c r="E105" t="n">
        <v>81</v>
      </c>
    </row>
    <row r="106">
      <c r="A106" t="s">
        <v>270</v>
      </c>
      <c r="B106" t="n">
        <v>-2.75</v>
      </c>
      <c r="C106" t="n">
        <v>43</v>
      </c>
      <c r="D106" t="n">
        <v>-0.25</v>
      </c>
      <c r="E106" t="n">
        <v>47</v>
      </c>
    </row>
    <row r="107">
      <c r="A107" t="s">
        <v>271</v>
      </c>
      <c r="B107" t="n">
        <v>-0.5</v>
      </c>
      <c r="C107" t="n">
        <v>40</v>
      </c>
      <c r="D107" t="n">
        <v>0</v>
      </c>
      <c r="E107" t="n">
        <v>109</v>
      </c>
    </row>
    <row r="108">
      <c r="A108" t="s">
        <v>271</v>
      </c>
      <c r="B108" t="n">
        <v>-1</v>
      </c>
      <c r="C108" t="n">
        <v>11</v>
      </c>
      <c r="D108" t="n">
        <v>0</v>
      </c>
      <c r="E108" t="n">
        <v>167</v>
      </c>
    </row>
    <row r="109">
      <c r="A109" t="s">
        <v>270</v>
      </c>
      <c r="B109" t="n">
        <v>-0.25</v>
      </c>
      <c r="C109" t="n">
        <v>8</v>
      </c>
      <c r="D109" t="n">
        <v>-0.25</v>
      </c>
      <c r="E109" t="n">
        <v>179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265</v>
      </c>
      <c r="B1" t="s">
        <v>266</v>
      </c>
      <c r="C1" t="s">
        <v>267</v>
      </c>
      <c r="D1" t="s">
        <v>268</v>
      </c>
      <c r="E1" t="s">
        <v>269</v>
      </c>
    </row>
    <row r="2">
      <c r="A2" t="s">
        <v>271</v>
      </c>
      <c r="B2" t="n">
        <v>-1.25</v>
      </c>
      <c r="C2" t="n">
        <v>174</v>
      </c>
      <c r="D2" t="n">
        <v>-0.25</v>
      </c>
      <c r="E2" t="n">
        <v>162</v>
      </c>
    </row>
    <row r="3">
      <c r="A3" t="s">
        <v>270</v>
      </c>
      <c r="B3" t="n">
        <v>-0.25</v>
      </c>
      <c r="C3" t="n">
        <v>99</v>
      </c>
      <c r="D3" t="n">
        <v>-0.25</v>
      </c>
      <c r="E3" t="n">
        <v>87</v>
      </c>
    </row>
    <row r="4">
      <c r="A4" t="s">
        <v>271</v>
      </c>
      <c r="B4" t="n">
        <v>-0.25</v>
      </c>
      <c r="C4" t="n">
        <v>94</v>
      </c>
      <c r="D4" t="n">
        <v>0</v>
      </c>
      <c r="E4" t="n">
        <v>70</v>
      </c>
    </row>
    <row r="5">
      <c r="A5" t="s">
        <v>270</v>
      </c>
      <c r="B5" t="n">
        <v>-1.25</v>
      </c>
      <c r="C5" t="n">
        <v>96</v>
      </c>
      <c r="D5" t="n">
        <v>0</v>
      </c>
      <c r="E5" t="n">
        <v>99</v>
      </c>
    </row>
    <row r="6">
      <c r="A6" t="s">
        <v>270</v>
      </c>
      <c r="B6" t="n">
        <v>-0.5</v>
      </c>
      <c r="C6" t="n">
        <v>24</v>
      </c>
      <c r="D6" t="n">
        <v>0</v>
      </c>
      <c r="E6" t="n">
        <v>17</v>
      </c>
    </row>
    <row r="7">
      <c r="A7" t="s">
        <v>271</v>
      </c>
      <c r="B7" t="n">
        <v>-0.25</v>
      </c>
      <c r="C7" t="n">
        <v>68</v>
      </c>
      <c r="D7" t="n">
        <v>0</v>
      </c>
      <c r="E7" t="n">
        <v>71</v>
      </c>
    </row>
    <row r="8">
      <c r="A8" t="s">
        <v>270</v>
      </c>
      <c r="B8" t="n">
        <v>-0.75</v>
      </c>
      <c r="C8" t="n">
        <v>85</v>
      </c>
      <c r="D8" t="n">
        <v>-0.25</v>
      </c>
      <c r="E8" t="n">
        <v>117</v>
      </c>
    </row>
    <row r="9">
      <c r="A9" t="s">
        <v>271</v>
      </c>
      <c r="B9" t="n">
        <v>-2</v>
      </c>
      <c r="C9" t="n">
        <v>173</v>
      </c>
      <c r="D9" t="n">
        <v>-0.25</v>
      </c>
      <c r="E9" t="n">
        <v>157</v>
      </c>
    </row>
    <row r="10">
      <c r="A10" t="s">
        <v>271</v>
      </c>
      <c r="B10" t="n">
        <v>-1.25</v>
      </c>
      <c r="C10" t="n">
        <v>179</v>
      </c>
      <c r="D10" t="n">
        <v>0</v>
      </c>
      <c r="E10" t="n">
        <v>155</v>
      </c>
    </row>
    <row r="11">
      <c r="A11" t="s">
        <v>270</v>
      </c>
      <c r="B11" t="n">
        <v>-0.25</v>
      </c>
      <c r="C11" t="n">
        <v>11</v>
      </c>
      <c r="D11" t="n">
        <v>-0.25</v>
      </c>
      <c r="E11" t="n">
        <v>169</v>
      </c>
    </row>
    <row r="12">
      <c r="A12" t="s">
        <v>270</v>
      </c>
      <c r="B12" t="n">
        <v>-0.5</v>
      </c>
      <c r="C12" t="n">
        <v>89</v>
      </c>
      <c r="D12" t="n">
        <v>-0.5</v>
      </c>
      <c r="E12" t="n">
        <v>109</v>
      </c>
    </row>
    <row r="13">
      <c r="A13" t="s">
        <v>271</v>
      </c>
      <c r="B13" t="n">
        <v>-1</v>
      </c>
      <c r="C13" t="n">
        <v>180</v>
      </c>
      <c r="D13" t="n">
        <v>-0.25</v>
      </c>
      <c r="E13" t="n">
        <v>13</v>
      </c>
    </row>
    <row r="14">
      <c r="A14" t="s">
        <v>270</v>
      </c>
      <c r="B14" t="n">
        <v>-1.25</v>
      </c>
      <c r="C14" t="n">
        <v>179</v>
      </c>
      <c r="D14" t="n">
        <v>0</v>
      </c>
      <c r="E14" t="n">
        <v>12</v>
      </c>
    </row>
    <row r="15">
      <c r="A15" t="s">
        <v>271</v>
      </c>
      <c r="B15" t="n">
        <v>-0.75</v>
      </c>
      <c r="C15" t="n">
        <v>13</v>
      </c>
      <c r="D15" t="n">
        <v>0</v>
      </c>
      <c r="E15" t="n">
        <v>9</v>
      </c>
    </row>
    <row r="16">
      <c r="A16" t="s">
        <v>270</v>
      </c>
      <c r="B16" t="n">
        <v>0</v>
      </c>
      <c r="C16" t="n">
        <v>158</v>
      </c>
      <c r="D16" t="n">
        <v>-0.25</v>
      </c>
      <c r="E16" t="n">
        <v>5</v>
      </c>
    </row>
    <row r="17">
      <c r="A17" t="s">
        <v>271</v>
      </c>
      <c r="B17" t="n">
        <v>-0.25</v>
      </c>
      <c r="C17" t="n">
        <v>10</v>
      </c>
      <c r="D17" t="n">
        <v>-0.25</v>
      </c>
      <c r="E17" t="n">
        <v>172</v>
      </c>
    </row>
    <row r="18">
      <c r="A18" t="s">
        <v>270</v>
      </c>
      <c r="B18" t="n">
        <v>0</v>
      </c>
      <c r="C18" t="n">
        <v>78</v>
      </c>
      <c r="D18" t="n">
        <v>-0.25</v>
      </c>
      <c r="E18" t="n">
        <v>64</v>
      </c>
    </row>
    <row r="19">
      <c r="A19" t="s">
        <v>271</v>
      </c>
      <c r="B19" t="n">
        <v>0</v>
      </c>
      <c r="C19" t="n">
        <v>84</v>
      </c>
      <c r="D19" t="n">
        <v>-0.25</v>
      </c>
      <c r="E19" t="n">
        <v>161</v>
      </c>
    </row>
    <row r="20">
      <c r="A20" t="s">
        <v>270</v>
      </c>
      <c r="B20" t="n">
        <v>-1</v>
      </c>
      <c r="C20" t="n">
        <v>176</v>
      </c>
      <c r="D20" t="n">
        <v>-0.25</v>
      </c>
      <c r="E20" t="n">
        <v>31</v>
      </c>
    </row>
    <row r="21">
      <c r="A21" t="s">
        <v>270</v>
      </c>
      <c r="B21" t="n">
        <v>-0.75</v>
      </c>
      <c r="C21" t="n">
        <v>103</v>
      </c>
      <c r="D21" t="n">
        <v>0</v>
      </c>
      <c r="E21" t="n">
        <v>88</v>
      </c>
    </row>
    <row r="22">
      <c r="A22" t="s">
        <v>271</v>
      </c>
      <c r="B22" t="n">
        <v>-1</v>
      </c>
      <c r="C22" t="n">
        <v>176</v>
      </c>
      <c r="D22" t="n">
        <v>-0.25</v>
      </c>
      <c r="E22" t="n">
        <v>21</v>
      </c>
    </row>
    <row r="23">
      <c r="A23" t="s">
        <v>270</v>
      </c>
      <c r="B23" t="n">
        <v>-0.5</v>
      </c>
      <c r="C23" t="n">
        <v>167</v>
      </c>
      <c r="D23" t="n">
        <v>0</v>
      </c>
      <c r="E23" t="n">
        <v>64</v>
      </c>
    </row>
    <row r="24">
      <c r="A24" t="s">
        <v>270</v>
      </c>
      <c r="B24" t="n">
        <v>0</v>
      </c>
      <c r="C24" t="n">
        <v>178</v>
      </c>
      <c r="D24" t="n">
        <v>-0.25</v>
      </c>
      <c r="E24" t="n">
        <v>41</v>
      </c>
    </row>
    <row r="25">
      <c r="A25" t="s">
        <v>270</v>
      </c>
      <c r="B25" t="n">
        <v>-1</v>
      </c>
      <c r="C25" t="n">
        <v>161</v>
      </c>
      <c r="D25" t="n">
        <v>-0.25</v>
      </c>
      <c r="E25" t="n">
        <v>100</v>
      </c>
    </row>
    <row r="26">
      <c r="A26" t="s">
        <v>271</v>
      </c>
      <c r="B26" t="n">
        <v>-2.75</v>
      </c>
      <c r="C26" t="n">
        <v>20</v>
      </c>
      <c r="D26" t="n">
        <v>0</v>
      </c>
      <c r="E26" t="n">
        <v>26</v>
      </c>
    </row>
    <row r="27">
      <c r="A27" t="s">
        <v>270</v>
      </c>
      <c r="B27" t="n">
        <v>-0.5</v>
      </c>
      <c r="C27" t="n">
        <v>12</v>
      </c>
      <c r="D27" t="n">
        <v>-0.25</v>
      </c>
      <c r="E27" t="n">
        <v>54</v>
      </c>
    </row>
    <row r="28">
      <c r="A28" t="s">
        <v>271</v>
      </c>
      <c r="B28" t="n">
        <v>-0.25</v>
      </c>
      <c r="C28" t="n">
        <v>37</v>
      </c>
      <c r="D28" t="n">
        <v>-0.25</v>
      </c>
      <c r="E28" t="n">
        <v>48</v>
      </c>
    </row>
    <row r="29">
      <c r="A29" t="s">
        <v>270</v>
      </c>
      <c r="B29" t="n">
        <v>-1</v>
      </c>
      <c r="C29" t="n">
        <v>12</v>
      </c>
      <c r="D29" t="n">
        <v>-0.25</v>
      </c>
      <c r="E29" t="n">
        <v>32</v>
      </c>
    </row>
    <row r="30">
      <c r="A30" t="s">
        <v>271</v>
      </c>
      <c r="B30" t="n">
        <v>-0.75</v>
      </c>
      <c r="C30" t="n">
        <v>77</v>
      </c>
      <c r="D30" t="n">
        <v>-0.25</v>
      </c>
      <c r="E30" t="n">
        <v>117</v>
      </c>
    </row>
    <row r="31">
      <c r="A31" t="s">
        <v>270</v>
      </c>
      <c r="B31" t="n">
        <v>-0.75</v>
      </c>
      <c r="C31" t="n">
        <v>7</v>
      </c>
      <c r="D31" t="n">
        <v>0</v>
      </c>
      <c r="E31" t="n">
        <v>13</v>
      </c>
    </row>
    <row r="32">
      <c r="A32" t="s">
        <v>271</v>
      </c>
      <c r="B32" t="n">
        <v>-0.5</v>
      </c>
      <c r="C32" t="n">
        <v>12</v>
      </c>
      <c r="D32" t="n">
        <v>-0.25</v>
      </c>
      <c r="E32" t="n">
        <v>17</v>
      </c>
    </row>
    <row r="33">
      <c r="A33" t="s">
        <v>270</v>
      </c>
      <c r="B33" t="n">
        <v>-0.5</v>
      </c>
      <c r="C33" t="n">
        <v>156</v>
      </c>
      <c r="D33" t="n">
        <v>-0.5</v>
      </c>
      <c r="E33" t="n">
        <v>1</v>
      </c>
    </row>
    <row r="34">
      <c r="A34" t="s">
        <v>271</v>
      </c>
      <c r="B34" t="n">
        <v>0</v>
      </c>
      <c r="C34" t="n">
        <v>22</v>
      </c>
      <c r="D34" t="n">
        <v>-0.25</v>
      </c>
      <c r="E34" t="n">
        <v>97</v>
      </c>
    </row>
    <row r="35">
      <c r="A35" t="s">
        <v>270</v>
      </c>
      <c r="B35" t="n">
        <v>0</v>
      </c>
      <c r="C35" t="n">
        <v>87</v>
      </c>
      <c r="D35" t="n">
        <v>-0.25</v>
      </c>
      <c r="E35" t="n">
        <v>160</v>
      </c>
    </row>
    <row r="36">
      <c r="A36" t="s">
        <v>270</v>
      </c>
      <c r="B36" t="n">
        <v>-2</v>
      </c>
      <c r="C36" t="n">
        <v>39</v>
      </c>
      <c r="D36" t="n">
        <v>-0.25</v>
      </c>
      <c r="E36" t="n">
        <v>32</v>
      </c>
    </row>
    <row r="37">
      <c r="A37" t="s">
        <v>271</v>
      </c>
      <c r="B37" t="n">
        <v>-1.25</v>
      </c>
      <c r="C37" t="n">
        <v>33</v>
      </c>
      <c r="D37" t="n">
        <v>0</v>
      </c>
      <c r="E37" t="n">
        <v>20</v>
      </c>
    </row>
    <row r="38">
      <c r="A38" t="s">
        <v>270</v>
      </c>
      <c r="B38" t="n">
        <v>-0.75</v>
      </c>
      <c r="C38" t="n">
        <v>171</v>
      </c>
      <c r="D38" t="n">
        <v>0</v>
      </c>
      <c r="E38" t="n">
        <v>11</v>
      </c>
    </row>
    <row r="39">
      <c r="A39" t="s">
        <v>271</v>
      </c>
      <c r="B39" t="n">
        <v>-0.25</v>
      </c>
      <c r="C39" t="n">
        <v>140</v>
      </c>
      <c r="D39" t="n">
        <v>-0.25</v>
      </c>
      <c r="E39" t="n">
        <v>142</v>
      </c>
    </row>
    <row r="40">
      <c r="A40" t="s">
        <v>270</v>
      </c>
      <c r="B40" t="n">
        <v>-0.5</v>
      </c>
      <c r="C40" t="n">
        <v>170</v>
      </c>
      <c r="D40" t="n">
        <v>-0.25</v>
      </c>
      <c r="E40" t="n">
        <v>172</v>
      </c>
    </row>
    <row r="41">
      <c r="A41" t="s">
        <v>271</v>
      </c>
      <c r="B41" t="n">
        <v>-1</v>
      </c>
      <c r="C41" t="n">
        <v>101</v>
      </c>
      <c r="D41" t="n">
        <v>0</v>
      </c>
      <c r="E41" t="n">
        <v>32</v>
      </c>
    </row>
    <row r="42">
      <c r="A42" t="s">
        <v>271</v>
      </c>
      <c r="B42" t="n">
        <v>-2</v>
      </c>
      <c r="C42" t="n">
        <v>170</v>
      </c>
      <c r="D42" t="n">
        <v>0</v>
      </c>
      <c r="E42" t="n">
        <v>164</v>
      </c>
    </row>
    <row r="43">
      <c r="A43" t="s">
        <v>270</v>
      </c>
      <c r="B43" t="n">
        <v>-0.5</v>
      </c>
      <c r="C43" t="n">
        <v>103</v>
      </c>
      <c r="D43" t="n">
        <v>-0.25</v>
      </c>
      <c r="E43" t="n">
        <v>103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286</v>
      </c>
      <c r="B3" t="s">
        <v>287</v>
      </c>
      <c r="C3" t="n">
        <v>30.8417680407629</v>
      </c>
      <c r="D3" t="n">
        <v>0.716781416658986</v>
      </c>
      <c r="E3" t="n">
        <v>1851.4204591189</v>
      </c>
      <c r="F3" t="n">
        <v>0</v>
      </c>
      <c r="G3" t="s">
        <v>288</v>
      </c>
      <c r="H3" t="n">
        <v>30.8417680407629</v>
      </c>
      <c r="I3" t="n">
        <v>29.4368764641113</v>
      </c>
      <c r="J3" t="n">
        <v>32.2466596174145</v>
      </c>
      <c r="K3" t="s">
        <v>289</v>
      </c>
      <c r="L3" t="s">
        <v>290</v>
      </c>
      <c r="M3" t="s">
        <v>291</v>
      </c>
      <c r="N3"/>
    </row>
    <row r="4">
      <c r="A4" t="s">
        <v>286</v>
      </c>
      <c r="B4" t="s">
        <v>292</v>
      </c>
      <c r="C4" t="n">
        <v>8.92365784157187</v>
      </c>
      <c r="D4" t="n">
        <v>1.44820840144533</v>
      </c>
      <c r="E4" t="n">
        <v>37.9685222425121</v>
      </c>
      <c r="F4" t="n">
        <v>0.000000000718952675171636</v>
      </c>
      <c r="G4" t="s">
        <v>288</v>
      </c>
      <c r="H4" t="n">
        <v>8.92365784157187</v>
      </c>
      <c r="I4" t="n">
        <v>6.08516937473903</v>
      </c>
      <c r="J4" t="n">
        <v>11.7621463084047</v>
      </c>
      <c r="K4" t="s">
        <v>293</v>
      </c>
      <c r="L4" t="s">
        <v>290</v>
      </c>
      <c r="M4" t="s">
        <v>291</v>
      </c>
      <c r="N4"/>
    </row>
    <row r="5">
      <c r="A5" t="s">
        <v>51</v>
      </c>
      <c r="B5" t="s">
        <v>287</v>
      </c>
      <c r="C5" t="n">
        <v>-4.29360208519903</v>
      </c>
      <c r="D5" t="n">
        <v>0.188631137435615</v>
      </c>
      <c r="E5" t="n">
        <v>518.103849790476</v>
      </c>
      <c r="F5" t="n">
        <v>0</v>
      </c>
      <c r="G5" t="s">
        <v>288</v>
      </c>
      <c r="H5" t="n">
        <v>-4.29360208519903</v>
      </c>
      <c r="I5" t="n">
        <v>-4.66331911457283</v>
      </c>
      <c r="J5" t="n">
        <v>-3.92388505582522</v>
      </c>
      <c r="K5" t="s">
        <v>294</v>
      </c>
      <c r="L5" t="s">
        <v>290</v>
      </c>
      <c r="M5" t="s">
        <v>291</v>
      </c>
      <c r="N5"/>
    </row>
    <row r="6">
      <c r="A6" t="s">
        <v>51</v>
      </c>
      <c r="B6" t="s">
        <v>292</v>
      </c>
      <c r="C6" t="n">
        <v>-0.133358471333492</v>
      </c>
      <c r="D6" t="n">
        <v>0.359833732219062</v>
      </c>
      <c r="E6" t="n">
        <v>0.137352785232345</v>
      </c>
      <c r="F6" t="n">
        <v>0.710927014566014</v>
      </c>
      <c r="G6" t="s">
        <v>288</v>
      </c>
      <c r="H6" t="n">
        <v>-0.133358471333492</v>
      </c>
      <c r="I6" t="n">
        <v>-0.838632586482854</v>
      </c>
      <c r="J6" t="n">
        <v>0.57191564381587</v>
      </c>
      <c r="K6" t="s">
        <v>295</v>
      </c>
      <c r="L6" t="s">
        <v>290</v>
      </c>
      <c r="M6" t="s">
        <v>291</v>
      </c>
      <c r="N6"/>
    </row>
    <row r="7">
      <c r="A7" t="s">
        <v>58</v>
      </c>
      <c r="B7" t="s">
        <v>287</v>
      </c>
      <c r="C7" t="n">
        <v>-3.98652956941948</v>
      </c>
      <c r="D7" t="n">
        <v>0.193209714273311</v>
      </c>
      <c r="E7" t="n">
        <v>425.727851443338</v>
      </c>
      <c r="F7" t="n">
        <v>0</v>
      </c>
      <c r="G7" t="s">
        <v>288</v>
      </c>
      <c r="H7" t="n">
        <v>-3.98652956941948</v>
      </c>
      <c r="I7" t="n">
        <v>-4.36522060939517</v>
      </c>
      <c r="J7" t="n">
        <v>-3.60783852944379</v>
      </c>
      <c r="K7" t="s">
        <v>296</v>
      </c>
      <c r="L7" t="s">
        <v>290</v>
      </c>
      <c r="M7" t="s">
        <v>291</v>
      </c>
      <c r="N7"/>
    </row>
    <row r="8">
      <c r="A8" t="s">
        <v>58</v>
      </c>
      <c r="B8" t="s">
        <v>292</v>
      </c>
      <c r="C8" t="n">
        <v>-0.0407207251075136</v>
      </c>
      <c r="D8" t="n">
        <v>0.36623455824598</v>
      </c>
      <c r="E8" t="n">
        <v>0.0123626723988021</v>
      </c>
      <c r="F8" t="n">
        <v>0.911467620068445</v>
      </c>
      <c r="G8" t="s">
        <v>288</v>
      </c>
      <c r="H8" t="n">
        <v>-0.0407207251075136</v>
      </c>
      <c r="I8" t="n">
        <v>-0.758540459269634</v>
      </c>
      <c r="J8" t="n">
        <v>0.677099009054607</v>
      </c>
      <c r="K8" t="s">
        <v>297</v>
      </c>
      <c r="L8" t="s">
        <v>290</v>
      </c>
      <c r="M8" t="s">
        <v>291</v>
      </c>
      <c r="N8"/>
    </row>
    <row r="9">
      <c r="A9" t="s">
        <v>64</v>
      </c>
      <c r="B9" t="s">
        <v>287</v>
      </c>
      <c r="C9" t="n">
        <v>-0.644021414238511</v>
      </c>
      <c r="D9" t="n">
        <v>0.0513389345923292</v>
      </c>
      <c r="E9" t="n">
        <v>157.364553185078</v>
      </c>
      <c r="F9" t="n">
        <v>0</v>
      </c>
      <c r="G9" t="s">
        <v>288</v>
      </c>
      <c r="H9" t="n">
        <v>-0.644021414238511</v>
      </c>
      <c r="I9" t="n">
        <v>-0.744645726039476</v>
      </c>
      <c r="J9" t="n">
        <v>-0.543397102437546</v>
      </c>
      <c r="K9" t="s">
        <v>298</v>
      </c>
      <c r="L9" t="s">
        <v>290</v>
      </c>
      <c r="M9" t="s">
        <v>291</v>
      </c>
      <c r="N9"/>
    </row>
    <row r="10">
      <c r="A10" t="s">
        <v>64</v>
      </c>
      <c r="B10" t="s">
        <v>292</v>
      </c>
      <c r="C10" t="n">
        <v>-0.092133046037384</v>
      </c>
      <c r="D10" t="n">
        <v>0.105338983473238</v>
      </c>
      <c r="E10" t="n">
        <v>0.76498446069231</v>
      </c>
      <c r="F10" t="n">
        <v>0.381773135761719</v>
      </c>
      <c r="G10" t="s">
        <v>288</v>
      </c>
      <c r="H10" t="n">
        <v>-0.092133046037384</v>
      </c>
      <c r="I10" t="n">
        <v>-0.298597453644931</v>
      </c>
      <c r="J10" t="n">
        <v>0.114331361570163</v>
      </c>
      <c r="K10" t="s">
        <v>299</v>
      </c>
      <c r="L10" t="s">
        <v>290</v>
      </c>
      <c r="M10" t="s">
        <v>291</v>
      </c>
      <c r="N10"/>
    </row>
    <row r="11">
      <c r="A11" t="s">
        <v>70</v>
      </c>
      <c r="B11" t="s">
        <v>287</v>
      </c>
      <c r="C11" t="n">
        <v>1.09434144463731</v>
      </c>
      <c r="D11" t="n">
        <v>0.0225023648554107</v>
      </c>
      <c r="E11" t="n">
        <v>2365.09924725953</v>
      </c>
      <c r="F11" t="n">
        <v>0</v>
      </c>
      <c r="G11" t="s">
        <v>288</v>
      </c>
      <c r="H11" t="n">
        <v>1.09434144463731</v>
      </c>
      <c r="I11" t="n">
        <v>1.05023680952071</v>
      </c>
      <c r="J11" t="n">
        <v>1.13844607975392</v>
      </c>
      <c r="K11" t="s">
        <v>300</v>
      </c>
      <c r="L11" t="s">
        <v>290</v>
      </c>
      <c r="M11" t="s">
        <v>291</v>
      </c>
      <c r="N11"/>
    </row>
    <row r="12">
      <c r="A12" t="s">
        <v>70</v>
      </c>
      <c r="B12" t="s">
        <v>292</v>
      </c>
      <c r="C12" t="n">
        <v>0.0245748711025024</v>
      </c>
      <c r="D12" t="n">
        <v>0.040536872622118</v>
      </c>
      <c r="E12" t="n">
        <v>0.36752087906646</v>
      </c>
      <c r="F12" t="n">
        <v>0.544358712271616</v>
      </c>
      <c r="G12" t="s">
        <v>288</v>
      </c>
      <c r="H12" t="n">
        <v>0.0245748711025024</v>
      </c>
      <c r="I12" t="n">
        <v>-0.0548773992368488</v>
      </c>
      <c r="J12" t="n">
        <v>0.104027141441854</v>
      </c>
      <c r="K12" t="s">
        <v>301</v>
      </c>
      <c r="L12" t="s">
        <v>290</v>
      </c>
      <c r="M12" t="s">
        <v>291</v>
      </c>
      <c r="N12"/>
    </row>
    <row r="13">
      <c r="A13" t="s">
        <v>76</v>
      </c>
      <c r="B13" t="s">
        <v>287</v>
      </c>
      <c r="C13" t="n">
        <v>-0.0133920658733498</v>
      </c>
      <c r="D13" t="n">
        <v>0.00257102932267387</v>
      </c>
      <c r="E13" t="n">
        <v>27.1319553771068</v>
      </c>
      <c r="F13" t="n">
        <v>0.000000190030661206819</v>
      </c>
      <c r="G13" t="s">
        <v>288</v>
      </c>
      <c r="H13" t="n">
        <v>-0.0133920658733498</v>
      </c>
      <c r="I13" t="n">
        <v>-0.0184312833457905</v>
      </c>
      <c r="J13" t="n">
        <v>-0.00835284840090898</v>
      </c>
      <c r="K13" t="s">
        <v>302</v>
      </c>
      <c r="L13" t="s">
        <v>290</v>
      </c>
      <c r="M13" t="s">
        <v>291</v>
      </c>
      <c r="N13"/>
    </row>
    <row r="14">
      <c r="A14" t="s">
        <v>76</v>
      </c>
      <c r="B14" t="s">
        <v>292</v>
      </c>
      <c r="C14" t="n">
        <v>0.00789695791296539</v>
      </c>
      <c r="D14" t="n">
        <v>0.00551550837219166</v>
      </c>
      <c r="E14" t="n">
        <v>2.04997493301772</v>
      </c>
      <c r="F14" t="n">
        <v>0.152208695823646</v>
      </c>
      <c r="G14" t="s">
        <v>288</v>
      </c>
      <c r="H14" t="n">
        <v>0.00789695791296539</v>
      </c>
      <c r="I14" t="n">
        <v>-0.00291343849653027</v>
      </c>
      <c r="J14" t="n">
        <v>0.018707354322461</v>
      </c>
      <c r="K14" t="s">
        <v>303</v>
      </c>
      <c r="L14" t="s">
        <v>290</v>
      </c>
      <c r="M14" t="s">
        <v>291</v>
      </c>
      <c r="N14"/>
    </row>
    <row r="15">
      <c r="A15" t="s">
        <v>81</v>
      </c>
      <c r="B15" t="s">
        <v>287</v>
      </c>
      <c r="C15" t="n">
        <v>549.24492281785</v>
      </c>
      <c r="D15" t="n">
        <v>2.67555470899219</v>
      </c>
      <c r="E15" t="n">
        <v>42140.9605500745</v>
      </c>
      <c r="F15" t="n">
        <v>0</v>
      </c>
      <c r="G15" t="s">
        <v>288</v>
      </c>
      <c r="H15" t="n">
        <v>549.24492281785</v>
      </c>
      <c r="I15" t="n">
        <v>544.000835588225</v>
      </c>
      <c r="J15" t="n">
        <v>554.489010047475</v>
      </c>
      <c r="K15" t="s">
        <v>304</v>
      </c>
      <c r="L15" t="s">
        <v>290</v>
      </c>
      <c r="M15" t="s">
        <v>291</v>
      </c>
      <c r="N15"/>
    </row>
    <row r="16">
      <c r="A16" t="s">
        <v>81</v>
      </c>
      <c r="B16" t="s">
        <v>292</v>
      </c>
      <c r="C16" t="n">
        <v>-11.8081996387722</v>
      </c>
      <c r="D16" t="n">
        <v>4.23947465178704</v>
      </c>
      <c r="E16" t="n">
        <v>7.75788412112513</v>
      </c>
      <c r="F16" t="n">
        <v>0.00534785738310184</v>
      </c>
      <c r="G16" t="s">
        <v>288</v>
      </c>
      <c r="H16" t="n">
        <v>-11.8081996387722</v>
      </c>
      <c r="I16" t="n">
        <v>-20.1175699562748</v>
      </c>
      <c r="J16" t="n">
        <v>-3.49882932126959</v>
      </c>
      <c r="K16" t="s">
        <v>305</v>
      </c>
      <c r="L16" t="s">
        <v>290</v>
      </c>
      <c r="M16" t="s">
        <v>291</v>
      </c>
      <c r="N16"/>
    </row>
    <row r="17">
      <c r="A17" t="s">
        <v>87</v>
      </c>
      <c r="B17" t="s">
        <v>287</v>
      </c>
      <c r="C17" t="n">
        <v>43.5200492455376</v>
      </c>
      <c r="D17" t="n">
        <v>0.12918778671058</v>
      </c>
      <c r="E17" t="n">
        <v>113484.315012075</v>
      </c>
      <c r="F17" t="n">
        <v>0</v>
      </c>
      <c r="G17" t="s">
        <v>288</v>
      </c>
      <c r="H17" t="n">
        <v>43.5200492455376</v>
      </c>
      <c r="I17" t="n">
        <v>43.2668411835849</v>
      </c>
      <c r="J17" t="n">
        <v>43.7732573074904</v>
      </c>
      <c r="K17" t="s">
        <v>306</v>
      </c>
      <c r="L17" t="s">
        <v>290</v>
      </c>
      <c r="M17" t="s">
        <v>291</v>
      </c>
      <c r="N17"/>
    </row>
    <row r="18">
      <c r="A18" t="s">
        <v>87</v>
      </c>
      <c r="B18" t="s">
        <v>292</v>
      </c>
      <c r="C18" t="n">
        <v>0.0369404096938055</v>
      </c>
      <c r="D18" t="n">
        <v>0.253933543420166</v>
      </c>
      <c r="E18" t="n">
        <v>0.0211623196351065</v>
      </c>
      <c r="F18" t="n">
        <v>0.884337632898608</v>
      </c>
      <c r="G18" t="s">
        <v>288</v>
      </c>
      <c r="H18" t="n">
        <v>0.0369404096938055</v>
      </c>
      <c r="I18" t="n">
        <v>-0.460769335409719</v>
      </c>
      <c r="J18" t="n">
        <v>0.53465015479733</v>
      </c>
      <c r="K18" t="s">
        <v>307</v>
      </c>
      <c r="L18" t="s">
        <v>290</v>
      </c>
      <c r="M18" t="s">
        <v>291</v>
      </c>
      <c r="N18"/>
    </row>
    <row r="19">
      <c r="A19" t="s">
        <v>93</v>
      </c>
      <c r="B19"/>
      <c r="C19"/>
      <c r="D19"/>
      <c r="E19"/>
      <c r="F19"/>
      <c r="G19"/>
      <c r="H19"/>
      <c r="I19"/>
      <c r="J19"/>
      <c r="K19"/>
      <c r="L19" t="s">
        <v>308</v>
      </c>
      <c r="M19"/>
      <c r="N19"/>
    </row>
    <row r="20">
      <c r="A20" t="s">
        <v>23</v>
      </c>
      <c r="B20" t="s">
        <v>287</v>
      </c>
      <c r="C20" t="n">
        <v>0.47458702917537</v>
      </c>
      <c r="D20" t="n">
        <v>0.240700486679604</v>
      </c>
      <c r="E20" t="n">
        <v>3.88756615135278</v>
      </c>
      <c r="F20" t="n">
        <v>0.0486448699035777</v>
      </c>
      <c r="G20" t="s">
        <v>309</v>
      </c>
      <c r="H20" t="n">
        <v>1.60735027163707</v>
      </c>
      <c r="I20" t="n">
        <v>1.00281803850993</v>
      </c>
      <c r="J20" t="n">
        <v>2.5763147415763</v>
      </c>
      <c r="K20" t="s">
        <v>310</v>
      </c>
      <c r="L20" t="s">
        <v>311</v>
      </c>
      <c r="M20" t="s">
        <v>291</v>
      </c>
      <c r="N20"/>
    </row>
    <row r="21">
      <c r="A21" t="s">
        <v>23</v>
      </c>
      <c r="B21" t="s">
        <v>292</v>
      </c>
      <c r="C21" t="n">
        <v>0.441703702698784</v>
      </c>
      <c r="D21" t="n">
        <v>0.482635867169808</v>
      </c>
      <c r="E21" t="n">
        <v>0.837573431728048</v>
      </c>
      <c r="F21" t="n">
        <v>0.360091693989336</v>
      </c>
      <c r="G21" t="s">
        <v>309</v>
      </c>
      <c r="H21" t="n">
        <v>1.55535482471644</v>
      </c>
      <c r="I21" t="n">
        <v>0.603950766399031</v>
      </c>
      <c r="J21" t="n">
        <v>4.00550635144056</v>
      </c>
      <c r="K21" t="s">
        <v>312</v>
      </c>
      <c r="L21" t="s">
        <v>311</v>
      </c>
      <c r="M21" t="s">
        <v>291</v>
      </c>
      <c r="N21"/>
    </row>
    <row r="22">
      <c r="A22" t="s">
        <v>313</v>
      </c>
      <c r="B22" t="s">
        <v>287</v>
      </c>
      <c r="C22" t="n">
        <v>-1.18459265643909</v>
      </c>
      <c r="D22" t="n">
        <v>0.277007783062947</v>
      </c>
      <c r="E22" t="n">
        <v>18.2874911476593</v>
      </c>
      <c r="F22" t="n">
        <v>0.000018995036769609</v>
      </c>
      <c r="G22" t="s">
        <v>309</v>
      </c>
      <c r="H22" t="n">
        <v>0.305870748605693</v>
      </c>
      <c r="I22" t="n">
        <v>0.17772321492558</v>
      </c>
      <c r="J22" t="n">
        <v>0.526419212547911</v>
      </c>
      <c r="K22" t="s">
        <v>314</v>
      </c>
      <c r="L22" t="s">
        <v>311</v>
      </c>
      <c r="M22" t="s">
        <v>291</v>
      </c>
      <c r="N22"/>
    </row>
    <row r="23">
      <c r="A23" t="s">
        <v>313</v>
      </c>
      <c r="B23" t="s">
        <v>292</v>
      </c>
      <c r="C23" t="n">
        <v>-0.965852361306526</v>
      </c>
      <c r="D23" t="n">
        <v>0.670890566407089</v>
      </c>
      <c r="E23" t="n">
        <v>2.0726125400681</v>
      </c>
      <c r="F23" t="n">
        <v>0.149964438774316</v>
      </c>
      <c r="G23" t="s">
        <v>309</v>
      </c>
      <c r="H23" t="n">
        <v>0.380658602758049</v>
      </c>
      <c r="I23" t="n">
        <v>0.102202629614087</v>
      </c>
      <c r="J23" t="n">
        <v>1.41778124888616</v>
      </c>
      <c r="K23" t="s">
        <v>315</v>
      </c>
      <c r="L23" t="s">
        <v>311</v>
      </c>
      <c r="M23" t="s">
        <v>291</v>
      </c>
      <c r="N23"/>
    </row>
    <row r="24">
      <c r="A24" t="s">
        <v>316</v>
      </c>
      <c r="B24"/>
      <c r="C24"/>
      <c r="D24"/>
      <c r="E24"/>
      <c r="F24"/>
      <c r="G24"/>
      <c r="H24"/>
      <c r="I24"/>
      <c r="J24"/>
      <c r="K24"/>
      <c r="L24" t="s">
        <v>317</v>
      </c>
      <c r="M24"/>
      <c r="N24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123</v>
      </c>
      <c r="B3" t="s">
        <v>287</v>
      </c>
      <c r="C3" t="n">
        <v>6.51583055405957</v>
      </c>
      <c r="D3" t="n">
        <v>0.0252777432222848</v>
      </c>
      <c r="E3" t="n">
        <v>66445.1013131191</v>
      </c>
      <c r="F3" t="n">
        <v>0</v>
      </c>
      <c r="G3" t="s">
        <v>288</v>
      </c>
      <c r="H3" t="n">
        <v>6.51583055405957</v>
      </c>
      <c r="I3" t="n">
        <v>6.46628617734389</v>
      </c>
      <c r="J3" t="n">
        <v>6.56537493077524</v>
      </c>
      <c r="K3" t="s">
        <v>318</v>
      </c>
      <c r="L3" t="s">
        <v>290</v>
      </c>
      <c r="M3" t="s">
        <v>291</v>
      </c>
      <c r="N3"/>
    </row>
    <row r="4">
      <c r="A4" t="s">
        <v>123</v>
      </c>
      <c r="B4" t="s">
        <v>292</v>
      </c>
      <c r="C4" t="n">
        <v>0.0254076795756754</v>
      </c>
      <c r="D4" t="n">
        <v>0.0514752444342956</v>
      </c>
      <c r="E4" t="n">
        <v>0.24363135036271</v>
      </c>
      <c r="F4" t="n">
        <v>0.621595576877507</v>
      </c>
      <c r="G4" t="s">
        <v>288</v>
      </c>
      <c r="H4" t="n">
        <v>0.0254076795756754</v>
      </c>
      <c r="I4" t="n">
        <v>-0.075483799515544</v>
      </c>
      <c r="J4" t="n">
        <v>0.126299158666895</v>
      </c>
      <c r="K4" t="s">
        <v>319</v>
      </c>
      <c r="L4" t="s">
        <v>290</v>
      </c>
      <c r="M4" t="s">
        <v>291</v>
      </c>
      <c r="N4"/>
    </row>
    <row r="5">
      <c r="A5" t="s">
        <v>129</v>
      </c>
      <c r="B5" t="s">
        <v>287</v>
      </c>
      <c r="C5" t="n">
        <v>65.5681776781831</v>
      </c>
      <c r="D5" t="n">
        <v>2.53965099125006</v>
      </c>
      <c r="E5" t="n">
        <v>666.558315308284</v>
      </c>
      <c r="F5" t="n">
        <v>0</v>
      </c>
      <c r="G5" t="s">
        <v>288</v>
      </c>
      <c r="H5" t="n">
        <v>65.5681776781831</v>
      </c>
      <c r="I5" t="n">
        <v>60.590461735333</v>
      </c>
      <c r="J5" t="n">
        <v>70.5458936210332</v>
      </c>
      <c r="K5" t="s">
        <v>320</v>
      </c>
      <c r="L5" t="s">
        <v>290</v>
      </c>
      <c r="M5" t="s">
        <v>291</v>
      </c>
      <c r="N5"/>
    </row>
    <row r="6">
      <c r="A6" t="s">
        <v>129</v>
      </c>
      <c r="B6" t="s">
        <v>292</v>
      </c>
      <c r="C6" t="n">
        <v>2.39876499295585</v>
      </c>
      <c r="D6" t="n">
        <v>5.09159375173132</v>
      </c>
      <c r="E6" t="n">
        <v>0.221956523938884</v>
      </c>
      <c r="F6" t="n">
        <v>0.63755317204803</v>
      </c>
      <c r="G6" t="s">
        <v>288</v>
      </c>
      <c r="H6" t="n">
        <v>2.39876499295585</v>
      </c>
      <c r="I6" t="n">
        <v>-7.58075876043753</v>
      </c>
      <c r="J6" t="n">
        <v>12.3782887463492</v>
      </c>
      <c r="K6" t="s">
        <v>321</v>
      </c>
      <c r="L6" t="s">
        <v>290</v>
      </c>
      <c r="M6" t="s">
        <v>291</v>
      </c>
      <c r="N6"/>
    </row>
    <row r="7">
      <c r="A7" t="s">
        <v>322</v>
      </c>
      <c r="B7"/>
      <c r="C7"/>
      <c r="D7"/>
      <c r="E7"/>
      <c r="F7"/>
      <c r="G7"/>
      <c r="H7"/>
      <c r="I7"/>
      <c r="J7"/>
      <c r="K7"/>
      <c r="L7" t="s">
        <v>317</v>
      </c>
      <c r="M7"/>
      <c r="N7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142</v>
      </c>
      <c r="B3" t="s">
        <v>287</v>
      </c>
      <c r="C3" t="n">
        <v>184.460177997727</v>
      </c>
      <c r="D3" t="n">
        <v>8.89973650632784</v>
      </c>
      <c r="E3" t="n">
        <v>429.586820853511</v>
      </c>
      <c r="F3" t="n">
        <v>0</v>
      </c>
      <c r="G3" t="s">
        <v>288</v>
      </c>
      <c r="H3" t="n">
        <v>184.460177997727</v>
      </c>
      <c r="I3" t="n">
        <v>167.016694445325</v>
      </c>
      <c r="J3" t="n">
        <v>201.90366155013</v>
      </c>
      <c r="K3" t="s">
        <v>323</v>
      </c>
      <c r="L3" t="s">
        <v>290</v>
      </c>
      <c r="M3" t="s">
        <v>291</v>
      </c>
      <c r="N3"/>
    </row>
    <row r="4">
      <c r="A4" t="s">
        <v>142</v>
      </c>
      <c r="B4" t="s">
        <v>292</v>
      </c>
      <c r="C4" t="n">
        <v>6.71607042216596</v>
      </c>
      <c r="D4" t="n">
        <v>16.3324093333566</v>
      </c>
      <c r="E4" t="n">
        <v>0.169094690348252</v>
      </c>
      <c r="F4" t="n">
        <v>0.680917641360638</v>
      </c>
      <c r="G4" t="s">
        <v>288</v>
      </c>
      <c r="H4" t="n">
        <v>6.71607042216596</v>
      </c>
      <c r="I4" t="n">
        <v>-25.2954518712131</v>
      </c>
      <c r="J4" t="n">
        <v>38.727592715545</v>
      </c>
      <c r="K4" t="s">
        <v>324</v>
      </c>
      <c r="L4" t="s">
        <v>290</v>
      </c>
      <c r="M4" t="s">
        <v>291</v>
      </c>
      <c r="N4"/>
    </row>
    <row r="5">
      <c r="A5" t="s">
        <v>150</v>
      </c>
      <c r="B5" t="s">
        <v>287</v>
      </c>
      <c r="C5" t="n">
        <v>0.0275322721737659</v>
      </c>
      <c r="D5" t="n">
        <v>0.0326195292954325</v>
      </c>
      <c r="E5" t="n">
        <v>0.712407903187123</v>
      </c>
      <c r="F5" t="n">
        <v>0.398645603508461</v>
      </c>
      <c r="G5" t="s">
        <v>288</v>
      </c>
      <c r="H5" t="n">
        <v>0.0275322721737659</v>
      </c>
      <c r="I5" t="n">
        <v>-0.0364020052452818</v>
      </c>
      <c r="J5" t="n">
        <v>0.0914665495928137</v>
      </c>
      <c r="K5" t="s">
        <v>325</v>
      </c>
      <c r="L5" t="s">
        <v>290</v>
      </c>
      <c r="M5" t="s">
        <v>291</v>
      </c>
      <c r="N5"/>
    </row>
    <row r="6">
      <c r="A6" t="s">
        <v>150</v>
      </c>
      <c r="B6" t="s">
        <v>292</v>
      </c>
      <c r="C6" t="n">
        <v>-0.253377848606525</v>
      </c>
      <c r="D6" t="n">
        <v>0.0687921509336482</v>
      </c>
      <c r="E6" t="n">
        <v>13.5662404712295</v>
      </c>
      <c r="F6" t="n">
        <v>0.000230290170714298</v>
      </c>
      <c r="G6" t="s">
        <v>288</v>
      </c>
      <c r="H6" t="n">
        <v>-0.253377848606525</v>
      </c>
      <c r="I6" t="n">
        <v>-0.388210464436475</v>
      </c>
      <c r="J6" t="n">
        <v>-0.118545232776574</v>
      </c>
      <c r="K6" t="s">
        <v>326</v>
      </c>
      <c r="L6" t="s">
        <v>290</v>
      </c>
      <c r="M6" t="s">
        <v>291</v>
      </c>
      <c r="N6"/>
    </row>
    <row r="7">
      <c r="A7" t="s">
        <v>155</v>
      </c>
      <c r="B7" t="s">
        <v>287</v>
      </c>
      <c r="C7" t="n">
        <v>-0.238212475010313</v>
      </c>
      <c r="D7" t="n">
        <v>0.0164729219583213</v>
      </c>
      <c r="E7" t="n">
        <v>209.116220486667</v>
      </c>
      <c r="F7" t="n">
        <v>0</v>
      </c>
      <c r="G7" t="s">
        <v>288</v>
      </c>
      <c r="H7" t="n">
        <v>-0.238212475010313</v>
      </c>
      <c r="I7" t="n">
        <v>-0.270499402048623</v>
      </c>
      <c r="J7" t="n">
        <v>-0.205925547972003</v>
      </c>
      <c r="K7" t="s">
        <v>327</v>
      </c>
      <c r="L7" t="s">
        <v>290</v>
      </c>
      <c r="M7" t="s">
        <v>291</v>
      </c>
      <c r="N7"/>
    </row>
    <row r="8">
      <c r="A8" t="s">
        <v>155</v>
      </c>
      <c r="B8" t="s">
        <v>292</v>
      </c>
      <c r="C8" t="n">
        <v>0.0654457655388625</v>
      </c>
      <c r="D8" t="n">
        <v>0.0277851106525965</v>
      </c>
      <c r="E8" t="n">
        <v>5.54803053855609</v>
      </c>
      <c r="F8" t="n">
        <v>0.0185014933282051</v>
      </c>
      <c r="G8" t="s">
        <v>288</v>
      </c>
      <c r="H8" t="n">
        <v>0.0654457655388625</v>
      </c>
      <c r="I8" t="n">
        <v>0.0109869486597733</v>
      </c>
      <c r="J8" t="n">
        <v>0.119904582417952</v>
      </c>
      <c r="K8" t="s">
        <v>328</v>
      </c>
      <c r="L8" t="s">
        <v>290</v>
      </c>
      <c r="M8" t="s">
        <v>291</v>
      </c>
      <c r="N8"/>
    </row>
    <row r="9">
      <c r="A9" t="s">
        <v>163</v>
      </c>
      <c r="B9" t="s">
        <v>287</v>
      </c>
      <c r="C9" t="n">
        <v>-0.00527076699595708</v>
      </c>
      <c r="D9" t="n">
        <v>0.00454915380377311</v>
      </c>
      <c r="E9" t="n">
        <v>1.3424137600827</v>
      </c>
      <c r="F9" t="n">
        <v>0.246608744949803</v>
      </c>
      <c r="G9" t="s">
        <v>288</v>
      </c>
      <c r="H9" t="n">
        <v>-0.00527076699595708</v>
      </c>
      <c r="I9" t="n">
        <v>-0.0141871084513524</v>
      </c>
      <c r="J9" t="n">
        <v>0.0036455744594382</v>
      </c>
      <c r="K9" t="s">
        <v>329</v>
      </c>
      <c r="L9" t="s">
        <v>290</v>
      </c>
      <c r="M9" t="s">
        <v>291</v>
      </c>
      <c r="N9"/>
    </row>
    <row r="10">
      <c r="A10" t="s">
        <v>163</v>
      </c>
      <c r="B10" t="s">
        <v>292</v>
      </c>
      <c r="C10" t="n">
        <v>0.057422717007844</v>
      </c>
      <c r="D10" t="n">
        <v>0.0104494657817831</v>
      </c>
      <c r="E10" t="n">
        <v>30.1980777577139</v>
      </c>
      <c r="F10" t="n">
        <v>0.0000000390095908908705</v>
      </c>
      <c r="G10" t="s">
        <v>288</v>
      </c>
      <c r="H10" t="n">
        <v>0.057422717007844</v>
      </c>
      <c r="I10" t="n">
        <v>0.0369417640755492</v>
      </c>
      <c r="J10" t="n">
        <v>0.0779036699401388</v>
      </c>
      <c r="K10" t="s">
        <v>330</v>
      </c>
      <c r="L10" t="s">
        <v>290</v>
      </c>
      <c r="M10" t="s">
        <v>291</v>
      </c>
      <c r="N10"/>
    </row>
    <row r="11">
      <c r="A11" t="s">
        <v>168</v>
      </c>
      <c r="B11" t="s">
        <v>287</v>
      </c>
      <c r="C11" t="n">
        <v>-0.0159319264775736</v>
      </c>
      <c r="D11" t="n">
        <v>0.00310694264146592</v>
      </c>
      <c r="E11" t="n">
        <v>26.2948147707755</v>
      </c>
      <c r="F11" t="n">
        <v>0.000000293074476243049</v>
      </c>
      <c r="G11" t="s">
        <v>288</v>
      </c>
      <c r="H11" t="n">
        <v>-0.0159319264775736</v>
      </c>
      <c r="I11" t="n">
        <v>-0.0220215340548468</v>
      </c>
      <c r="J11" t="n">
        <v>-0.00984231890030035</v>
      </c>
      <c r="K11" t="s">
        <v>331</v>
      </c>
      <c r="L11" t="s">
        <v>290</v>
      </c>
      <c r="M11" t="s">
        <v>291</v>
      </c>
      <c r="N11"/>
    </row>
    <row r="12">
      <c r="A12" t="s">
        <v>168</v>
      </c>
      <c r="B12" t="s">
        <v>292</v>
      </c>
      <c r="C12" t="n">
        <v>0.00918818809337454</v>
      </c>
      <c r="D12" t="n">
        <v>0.00602686802425013</v>
      </c>
      <c r="E12" t="n">
        <v>2.32421549087673</v>
      </c>
      <c r="F12" t="n">
        <v>0.127374422782633</v>
      </c>
      <c r="G12" t="s">
        <v>288</v>
      </c>
      <c r="H12" t="n">
        <v>0.00918818809337454</v>
      </c>
      <c r="I12" t="n">
        <v>-0.00262447323415571</v>
      </c>
      <c r="J12" t="n">
        <v>0.0210008494209048</v>
      </c>
      <c r="K12" t="s">
        <v>332</v>
      </c>
      <c r="L12" t="s">
        <v>290</v>
      </c>
      <c r="M12" t="s">
        <v>291</v>
      </c>
      <c r="N12"/>
    </row>
    <row r="13">
      <c r="A13" t="s">
        <v>175</v>
      </c>
      <c r="B13"/>
      <c r="C13"/>
      <c r="D13"/>
      <c r="E13"/>
      <c r="F13"/>
      <c r="G13"/>
      <c r="H13"/>
      <c r="I13"/>
      <c r="J13"/>
      <c r="K13"/>
      <c r="L13" t="s">
        <v>308</v>
      </c>
      <c r="M13"/>
      <c r="N13"/>
    </row>
    <row r="14">
      <c r="A14" t="s">
        <v>177</v>
      </c>
      <c r="B14"/>
      <c r="C14"/>
      <c r="D14"/>
      <c r="E14"/>
      <c r="F14"/>
      <c r="G14"/>
      <c r="H14"/>
      <c r="I14"/>
      <c r="J14"/>
      <c r="K14"/>
      <c r="L14" t="s">
        <v>308</v>
      </c>
      <c r="M14"/>
      <c r="N14"/>
    </row>
    <row r="15">
      <c r="A15" t="s">
        <v>333</v>
      </c>
      <c r="B15" t="s">
        <v>287</v>
      </c>
      <c r="C15" t="n">
        <v>-1.76839382602393</v>
      </c>
      <c r="D15" t="n">
        <v>0.265043188950216</v>
      </c>
      <c r="E15" t="n">
        <v>44.5168763715123</v>
      </c>
      <c r="F15" t="n">
        <v>0.0000000000252173837367309</v>
      </c>
      <c r="G15" t="s">
        <v>309</v>
      </c>
      <c r="H15" t="n">
        <v>0.170606793069089</v>
      </c>
      <c r="I15" t="n">
        <v>0.10148152910046</v>
      </c>
      <c r="J15" t="n">
        <v>0.286817493777665</v>
      </c>
      <c r="K15" t="s">
        <v>334</v>
      </c>
      <c r="L15" t="s">
        <v>311</v>
      </c>
      <c r="M15" t="s">
        <v>291</v>
      </c>
      <c r="N15"/>
    </row>
    <row r="16">
      <c r="A16" t="s">
        <v>333</v>
      </c>
      <c r="B16" t="s">
        <v>292</v>
      </c>
      <c r="C16" t="n">
        <v>1.36494860167343</v>
      </c>
      <c r="D16" t="n">
        <v>0.402214337692774</v>
      </c>
      <c r="E16" t="n">
        <v>11.5164201392876</v>
      </c>
      <c r="F16" t="n">
        <v>0.000689841096206623</v>
      </c>
      <c r="G16" t="s">
        <v>309</v>
      </c>
      <c r="H16" t="n">
        <v>3.9155217955527</v>
      </c>
      <c r="I16" t="n">
        <v>1.7799913411961</v>
      </c>
      <c r="J16" t="n">
        <v>8.61313792748342</v>
      </c>
      <c r="K16" t="s">
        <v>335</v>
      </c>
      <c r="L16" t="s">
        <v>311</v>
      </c>
      <c r="M16" t="s">
        <v>291</v>
      </c>
      <c r="N16"/>
    </row>
    <row r="17">
      <c r="A17" t="s">
        <v>336</v>
      </c>
      <c r="B17" t="s">
        <v>287</v>
      </c>
      <c r="C17" t="n">
        <v>-4.64806795798945</v>
      </c>
      <c r="D17" t="n">
        <v>0.998216942609581</v>
      </c>
      <c r="E17" t="n">
        <v>21.6817865488084</v>
      </c>
      <c r="F17" t="n">
        <v>0.00000321832500282948</v>
      </c>
      <c r="G17" t="s">
        <v>309</v>
      </c>
      <c r="H17" t="n">
        <v>0.0095800932043684</v>
      </c>
      <c r="I17" t="n">
        <v>0.00135416105296706</v>
      </c>
      <c r="J17" t="n">
        <v>0.067774941247419</v>
      </c>
      <c r="K17" t="s">
        <v>337</v>
      </c>
      <c r="L17" t="s">
        <v>311</v>
      </c>
      <c r="M17" t="s">
        <v>291</v>
      </c>
      <c r="N17"/>
    </row>
    <row r="18">
      <c r="A18" t="s">
        <v>336</v>
      </c>
      <c r="B18" t="s">
        <v>292</v>
      </c>
      <c r="C18" t="n">
        <v>2.65721262141917</v>
      </c>
      <c r="D18" t="n">
        <v>1.09273010760589</v>
      </c>
      <c r="E18" t="n">
        <v>5.91325754812647</v>
      </c>
      <c r="F18" t="n">
        <v>0.0150273584971125</v>
      </c>
      <c r="G18" t="s">
        <v>309</v>
      </c>
      <c r="H18" t="n">
        <v>14.2564954144549</v>
      </c>
      <c r="I18" t="n">
        <v>1.67441124926308</v>
      </c>
      <c r="J18" t="n">
        <v>121.38455328213</v>
      </c>
      <c r="K18" t="s">
        <v>338</v>
      </c>
      <c r="L18" t="s">
        <v>311</v>
      </c>
      <c r="M18" t="s">
        <v>291</v>
      </c>
      <c r="N18"/>
    </row>
    <row r="19">
      <c r="A19" t="s">
        <v>339</v>
      </c>
      <c r="B19"/>
      <c r="C19"/>
      <c r="D19"/>
      <c r="E19"/>
      <c r="F19"/>
      <c r="G19"/>
      <c r="H19"/>
      <c r="I19"/>
      <c r="J19"/>
      <c r="K19"/>
      <c r="L19" t="s">
        <v>317</v>
      </c>
      <c r="M19"/>
      <c r="N19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286</v>
      </c>
      <c r="B3" t="s">
        <v>287</v>
      </c>
      <c r="C3" t="n">
        <v>30.8008016947374</v>
      </c>
      <c r="D3" t="n">
        <v>0.738947027353704</v>
      </c>
      <c r="E3" t="n">
        <v>1737.39044399633</v>
      </c>
      <c r="F3" t="n">
        <v>0</v>
      </c>
      <c r="G3" t="s">
        <v>288</v>
      </c>
      <c r="H3" t="n">
        <v>30.8008016947374</v>
      </c>
      <c r="I3" t="n">
        <v>29.3524655211242</v>
      </c>
      <c r="J3" t="n">
        <v>32.2491378683507</v>
      </c>
      <c r="K3" t="s">
        <v>340</v>
      </c>
      <c r="L3" t="s">
        <v>341</v>
      </c>
      <c r="M3" t="s">
        <v>51</v>
      </c>
      <c r="N3"/>
    </row>
    <row r="4">
      <c r="A4" t="s">
        <v>286</v>
      </c>
      <c r="B4" t="s">
        <v>292</v>
      </c>
      <c r="C4" t="n">
        <v>8.92270733682489</v>
      </c>
      <c r="D4" t="n">
        <v>1.44820418004224</v>
      </c>
      <c r="E4" t="n">
        <v>37.9606555314327</v>
      </c>
      <c r="F4" t="n">
        <v>0.000000000721857462693265</v>
      </c>
      <c r="G4" t="s">
        <v>288</v>
      </c>
      <c r="H4" t="n">
        <v>8.92270733682489</v>
      </c>
      <c r="I4" t="n">
        <v>6.08422714394211</v>
      </c>
      <c r="J4" t="n">
        <v>11.7611875297077</v>
      </c>
      <c r="K4" t="s">
        <v>342</v>
      </c>
      <c r="L4" t="s">
        <v>341</v>
      </c>
      <c r="M4" t="s">
        <v>51</v>
      </c>
      <c r="N4"/>
    </row>
    <row r="5">
      <c r="A5" t="s">
        <v>286</v>
      </c>
      <c r="B5" t="s">
        <v>51</v>
      </c>
      <c r="C5" t="n">
        <v>-0.00954626046207748</v>
      </c>
      <c r="D5" t="n">
        <v>0.0345759557650239</v>
      </c>
      <c r="E5" t="n">
        <v>0.0762286399527415</v>
      </c>
      <c r="F5" t="n">
        <v>0.78247483533796</v>
      </c>
      <c r="G5" t="s">
        <v>288</v>
      </c>
      <c r="H5" t="n">
        <v>-0.00954626046207748</v>
      </c>
      <c r="I5" t="n">
        <v>-0.0773151337615242</v>
      </c>
      <c r="J5" t="n">
        <v>0.0582226128373693</v>
      </c>
      <c r="K5" t="s">
        <v>343</v>
      </c>
      <c r="L5" t="s">
        <v>341</v>
      </c>
      <c r="M5" t="s">
        <v>51</v>
      </c>
      <c r="N5"/>
    </row>
    <row r="6">
      <c r="A6" t="s">
        <v>51</v>
      </c>
      <c r="B6" t="s">
        <v>287</v>
      </c>
      <c r="C6" t="n">
        <v>-3.90295545938616</v>
      </c>
      <c r="D6" t="n">
        <v>0.814528717485897</v>
      </c>
      <c r="E6" t="n">
        <v>22.9601324459616</v>
      </c>
      <c r="F6" t="n">
        <v>0.00000165396117779437</v>
      </c>
      <c r="G6" t="s">
        <v>288</v>
      </c>
      <c r="H6" t="n">
        <v>-3.90295545938616</v>
      </c>
      <c r="I6" t="n">
        <v>-5.49943174565852</v>
      </c>
      <c r="J6" t="n">
        <v>-2.3064791731138</v>
      </c>
      <c r="K6" t="s">
        <v>344</v>
      </c>
      <c r="L6" t="s">
        <v>341</v>
      </c>
      <c r="M6" t="s">
        <v>286</v>
      </c>
      <c r="N6"/>
    </row>
    <row r="7">
      <c r="A7" t="s">
        <v>51</v>
      </c>
      <c r="B7" t="s">
        <v>292</v>
      </c>
      <c r="C7" t="n">
        <v>-0.028832600042603</v>
      </c>
      <c r="D7" t="n">
        <v>0.4491304132509</v>
      </c>
      <c r="E7" t="n">
        <v>0.00412119046026472</v>
      </c>
      <c r="F7" t="n">
        <v>0.948813765186293</v>
      </c>
      <c r="G7" t="s">
        <v>288</v>
      </c>
      <c r="H7" t="n">
        <v>-0.028832600042603</v>
      </c>
      <c r="I7" t="n">
        <v>-0.909128210014366</v>
      </c>
      <c r="J7" t="n">
        <v>0.85146300992916</v>
      </c>
      <c r="K7" t="s">
        <v>345</v>
      </c>
      <c r="L7" t="s">
        <v>341</v>
      </c>
      <c r="M7" t="s">
        <v>286</v>
      </c>
      <c r="N7"/>
    </row>
    <row r="8">
      <c r="A8" t="s">
        <v>51</v>
      </c>
      <c r="B8" t="s">
        <v>286</v>
      </c>
      <c r="C8" t="n">
        <v>-0.0126084366227412</v>
      </c>
      <c r="D8" t="n">
        <v>0.0260722838679426</v>
      </c>
      <c r="E8" t="n">
        <v>0.233864513746832</v>
      </c>
      <c r="F8" t="n">
        <v>0.628673037918663</v>
      </c>
      <c r="G8" t="s">
        <v>288</v>
      </c>
      <c r="H8" t="n">
        <v>-0.0126084366227412</v>
      </c>
      <c r="I8" t="n">
        <v>-0.0637101130039087</v>
      </c>
      <c r="J8" t="n">
        <v>0.0384932397584263</v>
      </c>
      <c r="K8" t="s">
        <v>346</v>
      </c>
      <c r="L8" t="s">
        <v>341</v>
      </c>
      <c r="M8" t="s">
        <v>286</v>
      </c>
      <c r="N8"/>
    </row>
    <row r="9">
      <c r="A9" t="s">
        <v>58</v>
      </c>
      <c r="B9" t="s">
        <v>287</v>
      </c>
      <c r="C9" t="n">
        <v>0.111808909263669</v>
      </c>
      <c r="D9" t="n">
        <v>0.106942262689478</v>
      </c>
      <c r="E9" t="n">
        <v>1.09308537637551</v>
      </c>
      <c r="F9" t="n">
        <v>0.295788598940009</v>
      </c>
      <c r="G9" t="s">
        <v>288</v>
      </c>
      <c r="H9" t="n">
        <v>0.111808909263669</v>
      </c>
      <c r="I9" t="n">
        <v>-0.0977979256077071</v>
      </c>
      <c r="J9" t="n">
        <v>0.321415744135046</v>
      </c>
      <c r="K9" t="s">
        <v>347</v>
      </c>
      <c r="L9" t="s">
        <v>290</v>
      </c>
      <c r="M9" t="s">
        <v>348</v>
      </c>
      <c r="N9"/>
    </row>
    <row r="10">
      <c r="A10" t="s">
        <v>58</v>
      </c>
      <c r="B10" t="s">
        <v>292</v>
      </c>
      <c r="C10" t="n">
        <v>0.0196186779545474</v>
      </c>
      <c r="D10" t="n">
        <v>0.0607036636126488</v>
      </c>
      <c r="E10" t="n">
        <v>0.104450295074773</v>
      </c>
      <c r="F10" t="n">
        <v>0.746553088873119</v>
      </c>
      <c r="G10" t="s">
        <v>288</v>
      </c>
      <c r="H10" t="n">
        <v>0.0196186779545474</v>
      </c>
      <c r="I10" t="n">
        <v>-0.0993605027262442</v>
      </c>
      <c r="J10" t="n">
        <v>0.138597858635339</v>
      </c>
      <c r="K10" t="s">
        <v>349</v>
      </c>
      <c r="L10" t="s">
        <v>290</v>
      </c>
      <c r="M10" t="s">
        <v>348</v>
      </c>
      <c r="N10"/>
    </row>
    <row r="11">
      <c r="A11" t="s">
        <v>58</v>
      </c>
      <c r="B11" t="s">
        <v>286</v>
      </c>
      <c r="C11" t="n">
        <v>0.00729284097701272</v>
      </c>
      <c r="D11" t="n">
        <v>0.00321001394415805</v>
      </c>
      <c r="E11" t="n">
        <v>5.16154418589123</v>
      </c>
      <c r="F11" t="n">
        <v>0.0230923571183026</v>
      </c>
      <c r="G11" t="s">
        <v>288</v>
      </c>
      <c r="H11" t="n">
        <v>0.00729284097701272</v>
      </c>
      <c r="I11" t="n">
        <v>0.00100121364646294</v>
      </c>
      <c r="J11" t="n">
        <v>0.0135844683075625</v>
      </c>
      <c r="K11" t="s">
        <v>350</v>
      </c>
      <c r="L11" t="s">
        <v>290</v>
      </c>
      <c r="M11" t="s">
        <v>348</v>
      </c>
      <c r="N11"/>
    </row>
    <row r="12">
      <c r="A12" t="s">
        <v>58</v>
      </c>
      <c r="B12" t="s">
        <v>51</v>
      </c>
      <c r="C12" t="n">
        <v>1.00627564649158</v>
      </c>
      <c r="D12" t="n">
        <v>0.0108029959407566</v>
      </c>
      <c r="E12" t="n">
        <v>8676.51852878991</v>
      </c>
      <c r="F12" t="n">
        <v>0</v>
      </c>
      <c r="G12" t="s">
        <v>288</v>
      </c>
      <c r="H12" t="n">
        <v>1.00627564649158</v>
      </c>
      <c r="I12" t="n">
        <v>0.985101774447692</v>
      </c>
      <c r="J12" t="n">
        <v>1.02744951853546</v>
      </c>
      <c r="K12" t="s">
        <v>351</v>
      </c>
      <c r="L12" t="s">
        <v>290</v>
      </c>
      <c r="M12" t="s">
        <v>348</v>
      </c>
      <c r="N12"/>
    </row>
    <row r="13">
      <c r="A13" t="s">
        <v>64</v>
      </c>
      <c r="B13" t="s">
        <v>287</v>
      </c>
      <c r="C13" t="n">
        <v>-0.234988921286768</v>
      </c>
      <c r="D13" t="n">
        <v>0.203073054721749</v>
      </c>
      <c r="E13" t="n">
        <v>1.33902958269057</v>
      </c>
      <c r="F13" t="n">
        <v>0.24720517576653</v>
      </c>
      <c r="G13" t="s">
        <v>288</v>
      </c>
      <c r="H13" t="n">
        <v>-0.234988921286768</v>
      </c>
      <c r="I13" t="n">
        <v>-0.633012108541397</v>
      </c>
      <c r="J13" t="n">
        <v>0.16303426596786</v>
      </c>
      <c r="K13" t="s">
        <v>352</v>
      </c>
      <c r="L13" t="s">
        <v>290</v>
      </c>
      <c r="M13" t="s">
        <v>348</v>
      </c>
      <c r="N13"/>
    </row>
    <row r="14">
      <c r="A14" t="s">
        <v>64</v>
      </c>
      <c r="B14" t="s">
        <v>292</v>
      </c>
      <c r="C14" t="n">
        <v>0.0324361578071441</v>
      </c>
      <c r="D14" t="n">
        <v>0.115978057814057</v>
      </c>
      <c r="E14" t="n">
        <v>0.0782180790411929</v>
      </c>
      <c r="F14" t="n">
        <v>0.779726896785471</v>
      </c>
      <c r="G14" t="s">
        <v>288</v>
      </c>
      <c r="H14" t="n">
        <v>0.0324361578071441</v>
      </c>
      <c r="I14" t="n">
        <v>-0.194880835508409</v>
      </c>
      <c r="J14" t="n">
        <v>0.259753151122697</v>
      </c>
      <c r="K14" t="s">
        <v>353</v>
      </c>
      <c r="L14" t="s">
        <v>290</v>
      </c>
      <c r="M14" t="s">
        <v>348</v>
      </c>
      <c r="N14"/>
    </row>
    <row r="15">
      <c r="A15" t="s">
        <v>64</v>
      </c>
      <c r="B15" t="s">
        <v>286</v>
      </c>
      <c r="C15" t="n">
        <v>-0.0155930249351762</v>
      </c>
      <c r="D15" t="n">
        <v>0.00629734040509972</v>
      </c>
      <c r="E15" t="n">
        <v>6.13121304362089</v>
      </c>
      <c r="F15" t="n">
        <v>0.0132815714040667</v>
      </c>
      <c r="G15" t="s">
        <v>288</v>
      </c>
      <c r="H15" t="n">
        <v>-0.0155930249351762</v>
      </c>
      <c r="I15" t="n">
        <v>-0.0279358121291716</v>
      </c>
      <c r="J15" t="n">
        <v>-0.00325023774118071</v>
      </c>
      <c r="K15" t="s">
        <v>354</v>
      </c>
      <c r="L15" t="s">
        <v>290</v>
      </c>
      <c r="M15" t="s">
        <v>348</v>
      </c>
      <c r="N15"/>
    </row>
    <row r="16">
      <c r="A16" t="s">
        <v>64</v>
      </c>
      <c r="B16" t="s">
        <v>51</v>
      </c>
      <c r="C16" t="n">
        <v>-0.0173758979566122</v>
      </c>
      <c r="D16" t="n">
        <v>0.0219897974290856</v>
      </c>
      <c r="E16" t="n">
        <v>0.624384419758256</v>
      </c>
      <c r="F16" t="n">
        <v>0.429422659111962</v>
      </c>
      <c r="G16" t="s">
        <v>288</v>
      </c>
      <c r="H16" t="n">
        <v>-0.0173758979566122</v>
      </c>
      <c r="I16" t="n">
        <v>-0.0604759009176199</v>
      </c>
      <c r="J16" t="n">
        <v>0.0257241050043954</v>
      </c>
      <c r="K16" t="s">
        <v>355</v>
      </c>
      <c r="L16" t="s">
        <v>290</v>
      </c>
      <c r="M16" t="s">
        <v>348</v>
      </c>
      <c r="N16"/>
    </row>
    <row r="17">
      <c r="A17" t="s">
        <v>70</v>
      </c>
      <c r="B17" t="s">
        <v>287</v>
      </c>
      <c r="C17" t="n">
        <v>0.599711528917115</v>
      </c>
      <c r="D17" t="n">
        <v>0.0398821075557867</v>
      </c>
      <c r="E17" t="n">
        <v>226.114594632536</v>
      </c>
      <c r="F17" t="n">
        <v>0</v>
      </c>
      <c r="G17" t="s">
        <v>288</v>
      </c>
      <c r="H17" t="n">
        <v>0.599711528917115</v>
      </c>
      <c r="I17" t="n">
        <v>0.521542598107773</v>
      </c>
      <c r="J17" t="n">
        <v>0.677880459726457</v>
      </c>
      <c r="K17" t="s">
        <v>356</v>
      </c>
      <c r="L17" t="s">
        <v>290</v>
      </c>
      <c r="M17" t="s">
        <v>348</v>
      </c>
      <c r="N17"/>
    </row>
    <row r="18">
      <c r="A18" t="s">
        <v>70</v>
      </c>
      <c r="B18" t="s">
        <v>292</v>
      </c>
      <c r="C18" t="n">
        <v>0.0010668140748993</v>
      </c>
      <c r="D18" t="n">
        <v>0.017869121190208</v>
      </c>
      <c r="E18" t="n">
        <v>0.00356427402134997</v>
      </c>
      <c r="F18" t="n">
        <v>0.952393344228583</v>
      </c>
      <c r="G18" t="s">
        <v>288</v>
      </c>
      <c r="H18" t="n">
        <v>0.0010668140748993</v>
      </c>
      <c r="I18" t="n">
        <v>-0.0339566634579083</v>
      </c>
      <c r="J18" t="n">
        <v>0.0360902916077069</v>
      </c>
      <c r="K18" t="s">
        <v>357</v>
      </c>
      <c r="L18" t="s">
        <v>290</v>
      </c>
      <c r="M18" t="s">
        <v>348</v>
      </c>
      <c r="N18"/>
    </row>
    <row r="19">
      <c r="A19" t="s">
        <v>70</v>
      </c>
      <c r="B19" t="s">
        <v>286</v>
      </c>
      <c r="C19" t="n">
        <v>0.00103297076555342</v>
      </c>
      <c r="D19" t="n">
        <v>0.00117752336467026</v>
      </c>
      <c r="E19" t="n">
        <v>0.769550269599572</v>
      </c>
      <c r="F19" t="n">
        <v>0.380356215981916</v>
      </c>
      <c r="G19" t="s">
        <v>288</v>
      </c>
      <c r="H19" t="n">
        <v>0.00103297076555342</v>
      </c>
      <c r="I19" t="n">
        <v>-0.00127497502920028</v>
      </c>
      <c r="J19" t="n">
        <v>0.00334091656030713</v>
      </c>
      <c r="K19" t="s">
        <v>358</v>
      </c>
      <c r="L19" t="s">
        <v>290</v>
      </c>
      <c r="M19" t="s">
        <v>348</v>
      </c>
      <c r="N19"/>
    </row>
    <row r="20">
      <c r="A20" t="s">
        <v>70</v>
      </c>
      <c r="B20" t="s">
        <v>51</v>
      </c>
      <c r="C20" t="n">
        <v>-0.107758351771093</v>
      </c>
      <c r="D20" t="n">
        <v>0.00422161342295388</v>
      </c>
      <c r="E20" t="n">
        <v>651.545809410295</v>
      </c>
      <c r="F20" t="n">
        <v>0</v>
      </c>
      <c r="G20" t="s">
        <v>288</v>
      </c>
      <c r="H20" t="n">
        <v>-0.107758351771093</v>
      </c>
      <c r="I20" t="n">
        <v>-0.116032714080083</v>
      </c>
      <c r="J20" t="n">
        <v>-0.0994839894621038</v>
      </c>
      <c r="K20" t="s">
        <v>359</v>
      </c>
      <c r="L20" t="s">
        <v>290</v>
      </c>
      <c r="M20" t="s">
        <v>348</v>
      </c>
      <c r="N20"/>
    </row>
    <row r="21">
      <c r="A21" t="s">
        <v>76</v>
      </c>
      <c r="B21" t="s">
        <v>287</v>
      </c>
      <c r="C21" t="n">
        <v>-0.0323592284496369</v>
      </c>
      <c r="D21" t="n">
        <v>0.0135144419682979</v>
      </c>
      <c r="E21" t="n">
        <v>5.73323945123016</v>
      </c>
      <c r="F21" t="n">
        <v>0.0166467473228266</v>
      </c>
      <c r="G21" t="s">
        <v>288</v>
      </c>
      <c r="H21" t="n">
        <v>-0.0323592284496369</v>
      </c>
      <c r="I21" t="n">
        <v>-0.0588475347075007</v>
      </c>
      <c r="J21" t="n">
        <v>-0.00587092219177303</v>
      </c>
      <c r="K21" t="s">
        <v>360</v>
      </c>
      <c r="L21" t="s">
        <v>290</v>
      </c>
      <c r="M21" t="s">
        <v>348</v>
      </c>
      <c r="N21"/>
    </row>
    <row r="22">
      <c r="A22" t="s">
        <v>76</v>
      </c>
      <c r="B22" t="s">
        <v>292</v>
      </c>
      <c r="C22" t="n">
        <v>0.00331958512086699</v>
      </c>
      <c r="D22" t="n">
        <v>0.00632346401798631</v>
      </c>
      <c r="E22" t="n">
        <v>0.275586230998936</v>
      </c>
      <c r="F22" t="n">
        <v>0.599608859623964</v>
      </c>
      <c r="G22" t="s">
        <v>288</v>
      </c>
      <c r="H22" t="n">
        <v>0.00331958512086699</v>
      </c>
      <c r="I22" t="n">
        <v>-0.00907440435438618</v>
      </c>
      <c r="J22" t="n">
        <v>0.0157135745961202</v>
      </c>
      <c r="K22" t="s">
        <v>361</v>
      </c>
      <c r="L22" t="s">
        <v>290</v>
      </c>
      <c r="M22" t="s">
        <v>348</v>
      </c>
      <c r="N22"/>
    </row>
    <row r="23">
      <c r="A23" t="s">
        <v>76</v>
      </c>
      <c r="B23" t="s">
        <v>286</v>
      </c>
      <c r="C23" t="n">
        <v>0.00055415465660349</v>
      </c>
      <c r="D23" t="n">
        <v>0.000418474719788102</v>
      </c>
      <c r="E23" t="n">
        <v>1.75357166577349</v>
      </c>
      <c r="F23" t="n">
        <v>0.185428353542836</v>
      </c>
      <c r="G23" t="s">
        <v>288</v>
      </c>
      <c r="H23" t="n">
        <v>0.00055415465660349</v>
      </c>
      <c r="I23" t="n">
        <v>-0.00026605579418119</v>
      </c>
      <c r="J23" t="n">
        <v>0.00137436510738817</v>
      </c>
      <c r="K23" t="s">
        <v>362</v>
      </c>
      <c r="L23" t="s">
        <v>290</v>
      </c>
      <c r="M23" t="s">
        <v>348</v>
      </c>
      <c r="N23"/>
    </row>
    <row r="24">
      <c r="A24" t="s">
        <v>76</v>
      </c>
      <c r="B24" t="s">
        <v>51</v>
      </c>
      <c r="C24" t="n">
        <v>-0.000418967691295694</v>
      </c>
      <c r="D24" t="n">
        <v>0.00123359658382289</v>
      </c>
      <c r="E24" t="n">
        <v>0.11534924365717</v>
      </c>
      <c r="F24" t="n">
        <v>0.734134399291614</v>
      </c>
      <c r="G24" t="s">
        <v>288</v>
      </c>
      <c r="H24" t="n">
        <v>-0.000418967691295694</v>
      </c>
      <c r="I24" t="n">
        <v>-0.00283681699558856</v>
      </c>
      <c r="J24" t="n">
        <v>0.00199888161299717</v>
      </c>
      <c r="K24" t="s">
        <v>363</v>
      </c>
      <c r="L24" t="s">
        <v>290</v>
      </c>
      <c r="M24" t="s">
        <v>348</v>
      </c>
      <c r="N24"/>
    </row>
    <row r="25">
      <c r="A25" t="s">
        <v>81</v>
      </c>
      <c r="B25" t="s">
        <v>287</v>
      </c>
      <c r="C25" t="n">
        <v>560.382910786286</v>
      </c>
      <c r="D25" t="n">
        <v>12.6971590970683</v>
      </c>
      <c r="E25" t="n">
        <v>1947.85508170307</v>
      </c>
      <c r="F25" t="n">
        <v>0</v>
      </c>
      <c r="G25" t="s">
        <v>288</v>
      </c>
      <c r="H25" t="n">
        <v>560.382910786286</v>
      </c>
      <c r="I25" t="n">
        <v>535.496478956032</v>
      </c>
      <c r="J25" t="n">
        <v>585.26934261654</v>
      </c>
      <c r="K25" t="s">
        <v>364</v>
      </c>
      <c r="L25" t="s">
        <v>290</v>
      </c>
      <c r="M25" t="s">
        <v>348</v>
      </c>
      <c r="N25"/>
    </row>
    <row r="26">
      <c r="A26" t="s">
        <v>81</v>
      </c>
      <c r="B26" t="s">
        <v>292</v>
      </c>
      <c r="C26" t="n">
        <v>-9.57191819290192</v>
      </c>
      <c r="D26" t="n">
        <v>5.29721783605681</v>
      </c>
      <c r="E26" t="n">
        <v>3.26514363709054</v>
      </c>
      <c r="F26" t="n">
        <v>0.0707668250477396</v>
      </c>
      <c r="G26" t="s">
        <v>288</v>
      </c>
      <c r="H26" t="n">
        <v>-9.57191819290192</v>
      </c>
      <c r="I26" t="n">
        <v>-19.9544651515733</v>
      </c>
      <c r="J26" t="n">
        <v>0.810628765769422</v>
      </c>
      <c r="K26" t="s">
        <v>365</v>
      </c>
      <c r="L26" t="s">
        <v>290</v>
      </c>
      <c r="M26" t="s">
        <v>348</v>
      </c>
      <c r="N26"/>
    </row>
    <row r="27">
      <c r="A27" t="s">
        <v>81</v>
      </c>
      <c r="B27" t="s">
        <v>286</v>
      </c>
      <c r="C27" t="n">
        <v>-0.230473400475137</v>
      </c>
      <c r="D27" t="n">
        <v>0.356318261668003</v>
      </c>
      <c r="E27" t="n">
        <v>0.418374741725055</v>
      </c>
      <c r="F27" t="n">
        <v>0.517749132555546</v>
      </c>
      <c r="G27" t="s">
        <v>288</v>
      </c>
      <c r="H27" t="n">
        <v>-0.230473400475137</v>
      </c>
      <c r="I27" t="n">
        <v>-0.928857193344422</v>
      </c>
      <c r="J27" t="n">
        <v>0.467910392394148</v>
      </c>
      <c r="K27" t="s">
        <v>366</v>
      </c>
      <c r="L27" t="s">
        <v>290</v>
      </c>
      <c r="M27" t="s">
        <v>348</v>
      </c>
      <c r="N27"/>
    </row>
    <row r="28">
      <c r="A28" t="s">
        <v>81</v>
      </c>
      <c r="B28" t="s">
        <v>51</v>
      </c>
      <c r="C28" t="n">
        <v>0.93428380346682</v>
      </c>
      <c r="D28" t="n">
        <v>1.06084407159308</v>
      </c>
      <c r="E28" t="n">
        <v>0.775629882572337</v>
      </c>
      <c r="F28" t="n">
        <v>0.378481018231845</v>
      </c>
      <c r="G28" t="s">
        <v>288</v>
      </c>
      <c r="H28" t="n">
        <v>0.93428380346682</v>
      </c>
      <c r="I28" t="n">
        <v>-1.14497057685562</v>
      </c>
      <c r="J28" t="n">
        <v>3.01353818378926</v>
      </c>
      <c r="K28" t="s">
        <v>367</v>
      </c>
      <c r="L28" t="s">
        <v>290</v>
      </c>
      <c r="M28" t="s">
        <v>348</v>
      </c>
      <c r="N28"/>
    </row>
    <row r="29">
      <c r="A29" t="s">
        <v>87</v>
      </c>
      <c r="B29" t="s">
        <v>287</v>
      </c>
      <c r="C29" t="n">
        <v>42.5609437424795</v>
      </c>
      <c r="D29" t="n">
        <v>0.565526661746291</v>
      </c>
      <c r="E29" t="n">
        <v>5663.90981658633</v>
      </c>
      <c r="F29" t="n">
        <v>0</v>
      </c>
      <c r="G29" t="s">
        <v>288</v>
      </c>
      <c r="H29" t="n">
        <v>42.5609437424795</v>
      </c>
      <c r="I29" t="n">
        <v>41.4525114854568</v>
      </c>
      <c r="J29" t="n">
        <v>43.6693759995022</v>
      </c>
      <c r="K29" t="s">
        <v>368</v>
      </c>
      <c r="L29" t="s">
        <v>290</v>
      </c>
      <c r="M29" t="s">
        <v>348</v>
      </c>
      <c r="N29"/>
    </row>
    <row r="30">
      <c r="A30" t="s">
        <v>87</v>
      </c>
      <c r="B30" t="s">
        <v>292</v>
      </c>
      <c r="C30" t="n">
        <v>-0.211126544238857</v>
      </c>
      <c r="D30" t="n">
        <v>0.291231465344908</v>
      </c>
      <c r="E30" t="n">
        <v>0.525544006386451</v>
      </c>
      <c r="F30" t="n">
        <v>0.468486300128442</v>
      </c>
      <c r="G30" t="s">
        <v>288</v>
      </c>
      <c r="H30" t="n">
        <v>-0.211126544238857</v>
      </c>
      <c r="I30" t="n">
        <v>-0.781940216314877</v>
      </c>
      <c r="J30" t="n">
        <v>0.359687127837164</v>
      </c>
      <c r="K30" t="s">
        <v>369</v>
      </c>
      <c r="L30" t="s">
        <v>290</v>
      </c>
      <c r="M30" t="s">
        <v>348</v>
      </c>
      <c r="N30"/>
    </row>
    <row r="31">
      <c r="A31" t="s">
        <v>87</v>
      </c>
      <c r="B31" t="s">
        <v>286</v>
      </c>
      <c r="C31" t="n">
        <v>0.0325297974524014</v>
      </c>
      <c r="D31" t="n">
        <v>0.0169753293975611</v>
      </c>
      <c r="E31" t="n">
        <v>3.67219975841659</v>
      </c>
      <c r="F31" t="n">
        <v>0.0553271177690516</v>
      </c>
      <c r="G31" t="s">
        <v>288</v>
      </c>
      <c r="H31" t="n">
        <v>0.0325297974524014</v>
      </c>
      <c r="I31" t="n">
        <v>-0.00074184816681843</v>
      </c>
      <c r="J31" t="n">
        <v>0.0658014430716212</v>
      </c>
      <c r="K31" t="s">
        <v>370</v>
      </c>
      <c r="L31" t="s">
        <v>290</v>
      </c>
      <c r="M31" t="s">
        <v>348</v>
      </c>
      <c r="N31"/>
    </row>
    <row r="32">
      <c r="A32" t="s">
        <v>87</v>
      </c>
      <c r="B32" t="s">
        <v>51</v>
      </c>
      <c r="C32" t="n">
        <v>0.0120724597615734</v>
      </c>
      <c r="D32" t="n">
        <v>0.0570035890175495</v>
      </c>
      <c r="E32" t="n">
        <v>0.0448525493340034</v>
      </c>
      <c r="F32" t="n">
        <v>0.832275391886654</v>
      </c>
      <c r="G32" t="s">
        <v>288</v>
      </c>
      <c r="H32" t="n">
        <v>0.0120724597615734</v>
      </c>
      <c r="I32" t="n">
        <v>-0.0996545747128236</v>
      </c>
      <c r="J32" t="n">
        <v>0.12379949423597</v>
      </c>
      <c r="K32" t="s">
        <v>371</v>
      </c>
      <c r="L32" t="s">
        <v>290</v>
      </c>
      <c r="M32" t="s">
        <v>348</v>
      </c>
      <c r="N32"/>
    </row>
    <row r="33">
      <c r="A33" t="s">
        <v>93</v>
      </c>
      <c r="B33"/>
      <c r="C33"/>
      <c r="D33"/>
      <c r="E33"/>
      <c r="F33"/>
      <c r="G33"/>
      <c r="H33"/>
      <c r="I33"/>
      <c r="J33"/>
      <c r="K33"/>
      <c r="L33" t="s">
        <v>308</v>
      </c>
      <c r="M33"/>
      <c r="N33"/>
    </row>
    <row r="34">
      <c r="A34" t="s">
        <v>23</v>
      </c>
      <c r="B34" t="s">
        <v>287</v>
      </c>
      <c r="C34" t="n">
        <v>1.38110797960564</v>
      </c>
      <c r="D34" t="n">
        <v>1.03988361436857</v>
      </c>
      <c r="E34" t="n">
        <v>1.76394808405757</v>
      </c>
      <c r="F34" t="n">
        <v>0.184132828176936</v>
      </c>
      <c r="G34" t="s">
        <v>309</v>
      </c>
      <c r="H34" t="n">
        <v>3.97930817816577</v>
      </c>
      <c r="I34" t="n">
        <v>0.51837108932057</v>
      </c>
      <c r="J34" t="n">
        <v>30.5474088023926</v>
      </c>
      <c r="K34" t="s">
        <v>372</v>
      </c>
      <c r="L34" t="s">
        <v>311</v>
      </c>
      <c r="M34" t="s">
        <v>348</v>
      </c>
      <c r="N34"/>
    </row>
    <row r="35">
      <c r="A35" t="s">
        <v>23</v>
      </c>
      <c r="B35" t="s">
        <v>292</v>
      </c>
      <c r="C35" t="n">
        <v>0.708039793586525</v>
      </c>
      <c r="D35" t="n">
        <v>0.566822859497688</v>
      </c>
      <c r="E35" t="n">
        <v>1.56034495198158</v>
      </c>
      <c r="F35" t="n">
        <v>0.211614719818148</v>
      </c>
      <c r="G35" t="s">
        <v>309</v>
      </c>
      <c r="H35" t="n">
        <v>2.03000812109789</v>
      </c>
      <c r="I35" t="n">
        <v>0.668356870363006</v>
      </c>
      <c r="J35" t="n">
        <v>6.16576735342777</v>
      </c>
      <c r="K35" t="s">
        <v>373</v>
      </c>
      <c r="L35" t="s">
        <v>311</v>
      </c>
      <c r="M35" t="s">
        <v>348</v>
      </c>
      <c r="N35"/>
    </row>
    <row r="36">
      <c r="A36" t="s">
        <v>23</v>
      </c>
      <c r="B36" t="s">
        <v>286</v>
      </c>
      <c r="C36" t="n">
        <v>-0.0292797373602236</v>
      </c>
      <c r="D36" t="n">
        <v>0.0325445933674721</v>
      </c>
      <c r="E36" t="n">
        <v>0.809425075453281</v>
      </c>
      <c r="F36" t="n">
        <v>0.368290281906799</v>
      </c>
      <c r="G36" t="s">
        <v>309</v>
      </c>
      <c r="H36" t="n">
        <v>0.971144760993735</v>
      </c>
      <c r="I36" t="n">
        <v>0.91113232448978</v>
      </c>
      <c r="J36" t="n">
        <v>1.03510996312606</v>
      </c>
      <c r="K36" t="s">
        <v>374</v>
      </c>
      <c r="L36" t="s">
        <v>311</v>
      </c>
      <c r="M36" t="s">
        <v>348</v>
      </c>
      <c r="N36"/>
    </row>
    <row r="37">
      <c r="A37" t="s">
        <v>23</v>
      </c>
      <c r="B37" t="s">
        <v>51</v>
      </c>
      <c r="C37" t="n">
        <v>-0.00000252152146934932</v>
      </c>
      <c r="D37" t="n">
        <v>0.00000558912728954339</v>
      </c>
      <c r="E37" t="n">
        <v>0.203534174191344</v>
      </c>
      <c r="F37" t="n">
        <v>0.651883159157934</v>
      </c>
      <c r="G37" t="s">
        <v>309</v>
      </c>
      <c r="H37" t="n">
        <v>0.99999747848171</v>
      </c>
      <c r="I37" t="n">
        <v>0.999986523879847</v>
      </c>
      <c r="J37" t="n">
        <v>1.00000843320358</v>
      </c>
      <c r="K37" t="s">
        <v>375</v>
      </c>
      <c r="L37" t="s">
        <v>311</v>
      </c>
      <c r="M37" t="s">
        <v>348</v>
      </c>
      <c r="N37"/>
    </row>
    <row r="38">
      <c r="A38" t="s">
        <v>313</v>
      </c>
      <c r="B38" t="s">
        <v>287</v>
      </c>
      <c r="C38" t="n">
        <v>-3.94634794390732</v>
      </c>
      <c r="D38" t="n">
        <v>1.61482963261308</v>
      </c>
      <c r="E38" t="n">
        <v>5.9722410319684</v>
      </c>
      <c r="F38" t="n">
        <v>0.0145328001429927</v>
      </c>
      <c r="G38" t="s">
        <v>309</v>
      </c>
      <c r="H38" t="n">
        <v>0.0193251495876996</v>
      </c>
      <c r="I38" t="n">
        <v>0.000815740699411457</v>
      </c>
      <c r="J38" t="n">
        <v>0.457818773608343</v>
      </c>
      <c r="K38" t="s">
        <v>376</v>
      </c>
      <c r="L38" t="s">
        <v>311</v>
      </c>
      <c r="M38" t="s">
        <v>348</v>
      </c>
      <c r="N38"/>
    </row>
    <row r="39">
      <c r="A39" t="s">
        <v>313</v>
      </c>
      <c r="B39" t="s">
        <v>292</v>
      </c>
      <c r="C39" t="n">
        <v>-1.91964463146949</v>
      </c>
      <c r="D39" t="n">
        <v>0.869110494734686</v>
      </c>
      <c r="E39" t="n">
        <v>4.87856043090011</v>
      </c>
      <c r="F39" t="n">
        <v>0.0271922886950277</v>
      </c>
      <c r="G39" t="s">
        <v>309</v>
      </c>
      <c r="H39" t="n">
        <v>0.146659070889402</v>
      </c>
      <c r="I39" t="n">
        <v>0.026699746682988</v>
      </c>
      <c r="J39" t="n">
        <v>0.805583788098161</v>
      </c>
      <c r="K39" t="s">
        <v>377</v>
      </c>
      <c r="L39" t="s">
        <v>311</v>
      </c>
      <c r="M39" t="s">
        <v>348</v>
      </c>
      <c r="N39"/>
    </row>
    <row r="40">
      <c r="A40" t="s">
        <v>313</v>
      </c>
      <c r="B40" t="s">
        <v>286</v>
      </c>
      <c r="C40" t="n">
        <v>0.0946721326596983</v>
      </c>
      <c r="D40" t="n">
        <v>0.0484646429097374</v>
      </c>
      <c r="E40" t="n">
        <v>3.81587629096198</v>
      </c>
      <c r="F40" t="n">
        <v>0.0507690423233238</v>
      </c>
      <c r="G40" t="s">
        <v>309</v>
      </c>
      <c r="H40" t="n">
        <v>1.09929837200058</v>
      </c>
      <c r="I40" t="n">
        <v>0.999681483293833</v>
      </c>
      <c r="J40" t="n">
        <v>1.20884194703838</v>
      </c>
      <c r="K40" t="s">
        <v>378</v>
      </c>
      <c r="L40" t="s">
        <v>311</v>
      </c>
      <c r="M40" t="s">
        <v>348</v>
      </c>
      <c r="N40"/>
    </row>
    <row r="41">
      <c r="A41" t="s">
        <v>313</v>
      </c>
      <c r="B41" t="s">
        <v>51</v>
      </c>
      <c r="C41" t="n">
        <v>0.0564140137293103</v>
      </c>
      <c r="D41" t="n">
        <v>0.0460523874275205</v>
      </c>
      <c r="E41" t="n">
        <v>1.50061644171462</v>
      </c>
      <c r="F41" t="n">
        <v>0.220576536656681</v>
      </c>
      <c r="G41" t="s">
        <v>309</v>
      </c>
      <c r="H41" t="n">
        <v>1.05803563435029</v>
      </c>
      <c r="I41" t="n">
        <v>0.966717791197358</v>
      </c>
      <c r="J41" t="n">
        <v>1.15797951971951</v>
      </c>
      <c r="K41" t="s">
        <v>379</v>
      </c>
      <c r="L41" t="s">
        <v>311</v>
      </c>
      <c r="M41" t="s">
        <v>348</v>
      </c>
      <c r="N41"/>
    </row>
    <row r="42">
      <c r="A42" t="s">
        <v>316</v>
      </c>
      <c r="B42"/>
      <c r="C42"/>
      <c r="D42"/>
      <c r="E42"/>
      <c r="F42"/>
      <c r="G42"/>
      <c r="H42"/>
      <c r="I42"/>
      <c r="J42"/>
      <c r="K42"/>
      <c r="L42" t="s">
        <v>317</v>
      </c>
      <c r="M42"/>
      <c r="N42"/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123</v>
      </c>
      <c r="B3" t="s">
        <v>287</v>
      </c>
      <c r="C3" t="n">
        <v>6.42252913259036</v>
      </c>
      <c r="D3" t="n">
        <v>0.132584481601531</v>
      </c>
      <c r="E3" t="n">
        <v>2346.53359337485</v>
      </c>
      <c r="F3" t="n">
        <v>0</v>
      </c>
      <c r="G3" t="s">
        <v>288</v>
      </c>
      <c r="H3" t="n">
        <v>6.42252913259036</v>
      </c>
      <c r="I3" t="n">
        <v>6.16266354865136</v>
      </c>
      <c r="J3" t="n">
        <v>6.68239471652936</v>
      </c>
      <c r="K3" t="s">
        <v>380</v>
      </c>
      <c r="L3" t="s">
        <v>290</v>
      </c>
      <c r="M3" t="s">
        <v>348</v>
      </c>
      <c r="N3"/>
    </row>
    <row r="4">
      <c r="A4" t="s">
        <v>123</v>
      </c>
      <c r="B4" t="s">
        <v>292</v>
      </c>
      <c r="C4" t="n">
        <v>0.00210712261384874</v>
      </c>
      <c r="D4" t="n">
        <v>0.0563797438416361</v>
      </c>
      <c r="E4" t="n">
        <v>0.00139679740443306</v>
      </c>
      <c r="F4" t="n">
        <v>0.970187000211711</v>
      </c>
      <c r="G4" t="s">
        <v>288</v>
      </c>
      <c r="H4" t="n">
        <v>0.00210712261384874</v>
      </c>
      <c r="I4" t="n">
        <v>-0.108397175315758</v>
      </c>
      <c r="J4" t="n">
        <v>0.112611420543455</v>
      </c>
      <c r="K4" t="s">
        <v>381</v>
      </c>
      <c r="L4" t="s">
        <v>290</v>
      </c>
      <c r="M4" t="s">
        <v>348</v>
      </c>
      <c r="N4"/>
    </row>
    <row r="5">
      <c r="A5" t="s">
        <v>123</v>
      </c>
      <c r="B5" t="s">
        <v>286</v>
      </c>
      <c r="C5" t="n">
        <v>0.00295426627327091</v>
      </c>
      <c r="D5" t="n">
        <v>0.00358231357573719</v>
      </c>
      <c r="E5" t="n">
        <v>0.680098904305991</v>
      </c>
      <c r="F5" t="n">
        <v>0.409552668864173</v>
      </c>
      <c r="G5" t="s">
        <v>288</v>
      </c>
      <c r="H5" t="n">
        <v>0.00295426627327091</v>
      </c>
      <c r="I5" t="n">
        <v>-0.00406706833517398</v>
      </c>
      <c r="J5" t="n">
        <v>0.0099756008817158</v>
      </c>
      <c r="K5" t="s">
        <v>382</v>
      </c>
      <c r="L5" t="s">
        <v>290</v>
      </c>
      <c r="M5" t="s">
        <v>348</v>
      </c>
      <c r="N5"/>
    </row>
    <row r="6">
      <c r="A6" t="s">
        <v>123</v>
      </c>
      <c r="B6" t="s">
        <v>51</v>
      </c>
      <c r="C6" t="n">
        <v>-0.000318825588933044</v>
      </c>
      <c r="D6" t="n">
        <v>0.0132129271583692</v>
      </c>
      <c r="E6" t="n">
        <v>0.000582248340807167</v>
      </c>
      <c r="F6" t="n">
        <v>0.980749055214403</v>
      </c>
      <c r="G6" t="s">
        <v>288</v>
      </c>
      <c r="H6" t="n">
        <v>-0.000318825588933044</v>
      </c>
      <c r="I6" t="n">
        <v>-0.0262161628193367</v>
      </c>
      <c r="J6" t="n">
        <v>0.0255785116414706</v>
      </c>
      <c r="K6" t="s">
        <v>383</v>
      </c>
      <c r="L6" t="s">
        <v>290</v>
      </c>
      <c r="M6" t="s">
        <v>348</v>
      </c>
      <c r="N6"/>
    </row>
    <row r="7">
      <c r="A7" t="s">
        <v>129</v>
      </c>
      <c r="B7" t="s">
        <v>287</v>
      </c>
      <c r="C7" t="n">
        <v>4.15446632419659</v>
      </c>
      <c r="D7" t="n">
        <v>2.73282123375517</v>
      </c>
      <c r="E7" t="n">
        <v>2.31104306836813</v>
      </c>
      <c r="F7" t="n">
        <v>0.128457822781693</v>
      </c>
      <c r="G7" t="s">
        <v>288</v>
      </c>
      <c r="H7" t="n">
        <v>4.15446632419659</v>
      </c>
      <c r="I7" t="n">
        <v>-1.20186329396355</v>
      </c>
      <c r="J7" t="n">
        <v>9.51079594235674</v>
      </c>
      <c r="K7" t="s">
        <v>384</v>
      </c>
      <c r="L7" t="s">
        <v>290</v>
      </c>
      <c r="M7" t="s">
        <v>348</v>
      </c>
      <c r="N7"/>
    </row>
    <row r="8">
      <c r="A8" t="s">
        <v>129</v>
      </c>
      <c r="B8" t="s">
        <v>292</v>
      </c>
      <c r="C8" t="n">
        <v>-0.49312259670226</v>
      </c>
      <c r="D8" t="n">
        <v>1.43294072885577</v>
      </c>
      <c r="E8" t="n">
        <v>0.118427716149768</v>
      </c>
      <c r="F8" t="n">
        <v>0.730746053947901</v>
      </c>
      <c r="G8" t="s">
        <v>288</v>
      </c>
      <c r="H8" t="n">
        <v>-0.49312259670226</v>
      </c>
      <c r="I8" t="n">
        <v>-3.30168642525958</v>
      </c>
      <c r="J8" t="n">
        <v>2.31544123185506</v>
      </c>
      <c r="K8" t="s">
        <v>385</v>
      </c>
      <c r="L8" t="s">
        <v>290</v>
      </c>
      <c r="M8" t="s">
        <v>348</v>
      </c>
      <c r="N8"/>
    </row>
    <row r="9">
      <c r="A9" t="s">
        <v>129</v>
      </c>
      <c r="B9" t="s">
        <v>286</v>
      </c>
      <c r="C9" t="n">
        <v>0.0970490322662993</v>
      </c>
      <c r="D9" t="n">
        <v>0.0788491915848726</v>
      </c>
      <c r="E9" t="n">
        <v>1.51491382259052</v>
      </c>
      <c r="F9" t="n">
        <v>0.218390809048276</v>
      </c>
      <c r="G9" t="s">
        <v>288</v>
      </c>
      <c r="H9" t="n">
        <v>0.0970490322662993</v>
      </c>
      <c r="I9" t="n">
        <v>-0.0574953832400509</v>
      </c>
      <c r="J9" t="n">
        <v>0.25159344777265</v>
      </c>
      <c r="K9" t="s">
        <v>386</v>
      </c>
      <c r="L9" t="s">
        <v>290</v>
      </c>
      <c r="M9" t="s">
        <v>348</v>
      </c>
      <c r="N9"/>
    </row>
    <row r="10">
      <c r="A10" t="s">
        <v>129</v>
      </c>
      <c r="B10" t="s">
        <v>51</v>
      </c>
      <c r="C10" t="n">
        <v>-13.6148742943185</v>
      </c>
      <c r="D10" t="n">
        <v>0.288183701080922</v>
      </c>
      <c r="E10" t="n">
        <v>2231.97046039976</v>
      </c>
      <c r="F10" t="n">
        <v>0</v>
      </c>
      <c r="G10" t="s">
        <v>288</v>
      </c>
      <c r="H10" t="n">
        <v>-13.6148742943185</v>
      </c>
      <c r="I10" t="n">
        <v>-14.1797143484371</v>
      </c>
      <c r="J10" t="n">
        <v>-13.0500342401999</v>
      </c>
      <c r="K10" t="s">
        <v>387</v>
      </c>
      <c r="L10" t="s">
        <v>290</v>
      </c>
      <c r="M10" t="s">
        <v>348</v>
      </c>
      <c r="N10"/>
    </row>
    <row r="11">
      <c r="A11" t="s">
        <v>322</v>
      </c>
      <c r="B11"/>
      <c r="C11"/>
      <c r="D11"/>
      <c r="E11"/>
      <c r="F11"/>
      <c r="G11"/>
      <c r="H11"/>
      <c r="I11"/>
      <c r="J11"/>
      <c r="K11"/>
      <c r="L11" t="s">
        <v>317</v>
      </c>
      <c r="M11"/>
      <c r="N11"/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272</v>
      </c>
    </row>
    <row r="2">
      <c r="A2" t="s">
        <v>273</v>
      </c>
      <c r="B2" t="s">
        <v>274</v>
      </c>
      <c r="C2" t="s">
        <v>275</v>
      </c>
      <c r="D2" t="s">
        <v>276</v>
      </c>
      <c r="E2" t="s">
        <v>277</v>
      </c>
      <c r="F2" t="s">
        <v>278</v>
      </c>
      <c r="G2" t="s">
        <v>279</v>
      </c>
      <c r="H2" t="s">
        <v>280</v>
      </c>
      <c r="I2" t="s">
        <v>281</v>
      </c>
      <c r="J2" t="s">
        <v>282</v>
      </c>
      <c r="K2" t="s">
        <v>283</v>
      </c>
      <c r="L2" t="s">
        <v>284</v>
      </c>
      <c r="M2" t="s">
        <v>285</v>
      </c>
      <c r="N2" t="s">
        <v>1</v>
      </c>
    </row>
    <row r="3">
      <c r="A3" t="s">
        <v>142</v>
      </c>
      <c r="B3" t="s">
        <v>287</v>
      </c>
      <c r="C3" t="n">
        <v>153.032895257926</v>
      </c>
      <c r="D3" t="n">
        <v>42.459193206286</v>
      </c>
      <c r="E3" t="n">
        <v>12.9905073940584</v>
      </c>
      <c r="F3" t="n">
        <v>0.000313074119710044</v>
      </c>
      <c r="G3" t="s">
        <v>288</v>
      </c>
      <c r="H3" t="n">
        <v>153.032895257926</v>
      </c>
      <c r="I3" t="n">
        <v>69.8128765736056</v>
      </c>
      <c r="J3" t="n">
        <v>236.252913942247</v>
      </c>
      <c r="K3" t="s">
        <v>388</v>
      </c>
      <c r="L3" t="s">
        <v>290</v>
      </c>
      <c r="M3" t="s">
        <v>348</v>
      </c>
      <c r="N3"/>
    </row>
    <row r="4">
      <c r="A4" t="s">
        <v>142</v>
      </c>
      <c r="B4" t="s">
        <v>292</v>
      </c>
      <c r="C4" t="n">
        <v>1.3680231464585</v>
      </c>
      <c r="D4" t="n">
        <v>18.8307805835897</v>
      </c>
      <c r="E4" t="n">
        <v>0.00527776738646357</v>
      </c>
      <c r="F4" t="n">
        <v>0.942086034791568</v>
      </c>
      <c r="G4" t="s">
        <v>288</v>
      </c>
      <c r="H4" t="n">
        <v>1.3680231464585</v>
      </c>
      <c r="I4" t="n">
        <v>-35.5403067973774</v>
      </c>
      <c r="J4" t="n">
        <v>38.2763530902944</v>
      </c>
      <c r="K4" t="s">
        <v>389</v>
      </c>
      <c r="L4" t="s">
        <v>290</v>
      </c>
      <c r="M4" t="s">
        <v>348</v>
      </c>
      <c r="N4"/>
    </row>
    <row r="5">
      <c r="A5" t="s">
        <v>142</v>
      </c>
      <c r="B5" t="s">
        <v>286</v>
      </c>
      <c r="C5" t="n">
        <v>0.588315649926626</v>
      </c>
      <c r="D5" t="n">
        <v>1.23336513912778</v>
      </c>
      <c r="E5" t="n">
        <v>0.227529370165301</v>
      </c>
      <c r="F5" t="n">
        <v>0.633361845338894</v>
      </c>
      <c r="G5" t="s">
        <v>288</v>
      </c>
      <c r="H5" t="n">
        <v>0.588315649926626</v>
      </c>
      <c r="I5" t="n">
        <v>-1.82908002276382</v>
      </c>
      <c r="J5" t="n">
        <v>3.00571132261707</v>
      </c>
      <c r="K5" t="s">
        <v>390</v>
      </c>
      <c r="L5" t="s">
        <v>290</v>
      </c>
      <c r="M5" t="s">
        <v>348</v>
      </c>
      <c r="N5"/>
    </row>
    <row r="6">
      <c r="A6" t="s">
        <v>142</v>
      </c>
      <c r="B6" t="s">
        <v>51</v>
      </c>
      <c r="C6" t="n">
        <v>-3.07789779306262</v>
      </c>
      <c r="D6" t="n">
        <v>4.08380487614448</v>
      </c>
      <c r="E6" t="n">
        <v>0.568039349944368</v>
      </c>
      <c r="F6" t="n">
        <v>0.451039080006748</v>
      </c>
      <c r="G6" t="s">
        <v>288</v>
      </c>
      <c r="H6" t="n">
        <v>-3.07789779306262</v>
      </c>
      <c r="I6" t="n">
        <v>-11.0821553503058</v>
      </c>
      <c r="J6" t="n">
        <v>4.92635976418056</v>
      </c>
      <c r="K6" t="s">
        <v>391</v>
      </c>
      <c r="L6" t="s">
        <v>290</v>
      </c>
      <c r="M6" t="s">
        <v>348</v>
      </c>
      <c r="N6"/>
    </row>
    <row r="7">
      <c r="A7" t="s">
        <v>150</v>
      </c>
      <c r="B7" t="s">
        <v>287</v>
      </c>
      <c r="C7" t="n">
        <v>0.156888391950028</v>
      </c>
      <c r="D7" t="n">
        <v>0.159948597376382</v>
      </c>
      <c r="E7" t="n">
        <v>0.962101188854182</v>
      </c>
      <c r="F7" t="n">
        <v>0.326658051947991</v>
      </c>
      <c r="G7" t="s">
        <v>288</v>
      </c>
      <c r="H7" t="n">
        <v>0.156888391950028</v>
      </c>
      <c r="I7" t="n">
        <v>-0.156610858907681</v>
      </c>
      <c r="J7" t="n">
        <v>0.470387642807738</v>
      </c>
      <c r="K7" t="s">
        <v>392</v>
      </c>
      <c r="L7" t="s">
        <v>290</v>
      </c>
      <c r="M7" t="s">
        <v>348</v>
      </c>
      <c r="N7"/>
    </row>
    <row r="8">
      <c r="A8" t="s">
        <v>150</v>
      </c>
      <c r="B8" t="s">
        <v>292</v>
      </c>
      <c r="C8" t="n">
        <v>-0.248270624942023</v>
      </c>
      <c r="D8" t="n">
        <v>0.0740843797746222</v>
      </c>
      <c r="E8" t="n">
        <v>11.2304556242364</v>
      </c>
      <c r="F8" t="n">
        <v>0.000804658883520881</v>
      </c>
      <c r="G8" t="s">
        <v>288</v>
      </c>
      <c r="H8" t="n">
        <v>-0.248270624942023</v>
      </c>
      <c r="I8" t="n">
        <v>-0.393476009300283</v>
      </c>
      <c r="J8" t="n">
        <v>-0.103065240583764</v>
      </c>
      <c r="K8" t="s">
        <v>393</v>
      </c>
      <c r="L8" t="s">
        <v>290</v>
      </c>
      <c r="M8" t="s">
        <v>348</v>
      </c>
      <c r="N8"/>
    </row>
    <row r="9">
      <c r="A9" t="s">
        <v>150</v>
      </c>
      <c r="B9" t="s">
        <v>286</v>
      </c>
      <c r="C9" t="n">
        <v>-0.000129187247585539</v>
      </c>
      <c r="D9" t="n">
        <v>0.0047050103299546</v>
      </c>
      <c r="E9" t="n">
        <v>0.000753907612027969</v>
      </c>
      <c r="F9" t="n">
        <v>0.978094934369177</v>
      </c>
      <c r="G9" t="s">
        <v>288</v>
      </c>
      <c r="H9" t="n">
        <v>-0.000129187247585539</v>
      </c>
      <c r="I9" t="n">
        <v>-0.00935100749429657</v>
      </c>
      <c r="J9" t="n">
        <v>0.00909263299912549</v>
      </c>
      <c r="K9" t="s">
        <v>394</v>
      </c>
      <c r="L9" t="s">
        <v>290</v>
      </c>
      <c r="M9" t="s">
        <v>348</v>
      </c>
      <c r="N9"/>
    </row>
    <row r="10">
      <c r="A10" t="s">
        <v>150</v>
      </c>
      <c r="B10" t="s">
        <v>51</v>
      </c>
      <c r="C10" t="n">
        <v>0.029192205472813</v>
      </c>
      <c r="D10" t="n">
        <v>0.0161361706955406</v>
      </c>
      <c r="E10" t="n">
        <v>3.27290090074803</v>
      </c>
      <c r="F10" t="n">
        <v>0.070432975318853</v>
      </c>
      <c r="G10" t="s">
        <v>288</v>
      </c>
      <c r="H10" t="n">
        <v>0.029192205472813</v>
      </c>
      <c r="I10" t="n">
        <v>-0.00243468909044653</v>
      </c>
      <c r="J10" t="n">
        <v>0.0608191000360725</v>
      </c>
      <c r="K10" t="s">
        <v>395</v>
      </c>
      <c r="L10" t="s">
        <v>290</v>
      </c>
      <c r="M10" t="s">
        <v>348</v>
      </c>
      <c r="N10"/>
    </row>
    <row r="11">
      <c r="A11" t="s">
        <v>155</v>
      </c>
      <c r="B11" t="s">
        <v>287</v>
      </c>
      <c r="C11" t="n">
        <v>-0.229468953629332</v>
      </c>
      <c r="D11" t="n">
        <v>0.0701530934587447</v>
      </c>
      <c r="E11" t="n">
        <v>10.6992717392018</v>
      </c>
      <c r="F11" t="n">
        <v>0.00107177715531548</v>
      </c>
      <c r="G11" t="s">
        <v>288</v>
      </c>
      <c r="H11" t="n">
        <v>-0.229468953629332</v>
      </c>
      <c r="I11" t="n">
        <v>-0.366969016808472</v>
      </c>
      <c r="J11" t="n">
        <v>-0.0919688904501925</v>
      </c>
      <c r="K11" t="s">
        <v>396</v>
      </c>
      <c r="L11" t="s">
        <v>290</v>
      </c>
      <c r="M11" t="s">
        <v>348</v>
      </c>
      <c r="N11"/>
    </row>
    <row r="12">
      <c r="A12" t="s">
        <v>155</v>
      </c>
      <c r="B12" t="s">
        <v>292</v>
      </c>
      <c r="C12" t="n">
        <v>0.0584741138773573</v>
      </c>
      <c r="D12" t="n">
        <v>0.0325131467876397</v>
      </c>
      <c r="E12" t="n">
        <v>3.23451588886796</v>
      </c>
      <c r="F12" t="n">
        <v>0.0721016100627535</v>
      </c>
      <c r="G12" t="s">
        <v>288</v>
      </c>
      <c r="H12" t="n">
        <v>0.0584741138773573</v>
      </c>
      <c r="I12" t="n">
        <v>-0.00525165382641644</v>
      </c>
      <c r="J12" t="n">
        <v>0.122199881581131</v>
      </c>
      <c r="K12" t="s">
        <v>397</v>
      </c>
      <c r="L12" t="s">
        <v>290</v>
      </c>
      <c r="M12" t="s">
        <v>348</v>
      </c>
      <c r="N12"/>
    </row>
    <row r="13">
      <c r="A13" t="s">
        <v>155</v>
      </c>
      <c r="B13" t="s">
        <v>286</v>
      </c>
      <c r="C13" t="n">
        <v>0.000995384173211677</v>
      </c>
      <c r="D13" t="n">
        <v>0.00213519001978285</v>
      </c>
      <c r="E13" t="n">
        <v>0.217324355604552</v>
      </c>
      <c r="F13" t="n">
        <v>0.641086231528847</v>
      </c>
      <c r="G13" t="s">
        <v>288</v>
      </c>
      <c r="H13" t="n">
        <v>0.000995384173211677</v>
      </c>
      <c r="I13" t="n">
        <v>-0.00318958826556271</v>
      </c>
      <c r="J13" t="n">
        <v>0.00518035661198606</v>
      </c>
      <c r="K13" t="s">
        <v>398</v>
      </c>
      <c r="L13" t="s">
        <v>290</v>
      </c>
      <c r="M13" t="s">
        <v>348</v>
      </c>
      <c r="N13"/>
    </row>
    <row r="14">
      <c r="A14" t="s">
        <v>155</v>
      </c>
      <c r="B14" t="s">
        <v>51</v>
      </c>
      <c r="C14" t="n">
        <v>0.00921767220983609</v>
      </c>
      <c r="D14" t="n">
        <v>0.00677411980758603</v>
      </c>
      <c r="E14" t="n">
        <v>1.85155566641352</v>
      </c>
      <c r="F14" t="n">
        <v>0.173602569503491</v>
      </c>
      <c r="G14" t="s">
        <v>288</v>
      </c>
      <c r="H14" t="n">
        <v>0.00921767220983609</v>
      </c>
      <c r="I14" t="n">
        <v>-0.00405960261303253</v>
      </c>
      <c r="J14" t="n">
        <v>0.0224949470327047</v>
      </c>
      <c r="K14" t="s">
        <v>399</v>
      </c>
      <c r="L14" t="s">
        <v>290</v>
      </c>
      <c r="M14" t="s">
        <v>348</v>
      </c>
      <c r="N14"/>
    </row>
    <row r="15">
      <c r="A15" t="s">
        <v>163</v>
      </c>
      <c r="B15" t="s">
        <v>287</v>
      </c>
      <c r="C15" t="n">
        <v>-0.0439531121135258</v>
      </c>
      <c r="D15" t="n">
        <v>0.0251411941589184</v>
      </c>
      <c r="E15" t="n">
        <v>3.05638076405088</v>
      </c>
      <c r="F15" t="n">
        <v>0.0804206133219693</v>
      </c>
      <c r="G15" t="s">
        <v>288</v>
      </c>
      <c r="H15" t="n">
        <v>-0.0439531121135258</v>
      </c>
      <c r="I15" t="n">
        <v>-0.0932298526650059</v>
      </c>
      <c r="J15" t="n">
        <v>0.00532362843795429</v>
      </c>
      <c r="K15" t="s">
        <v>400</v>
      </c>
      <c r="L15" t="s">
        <v>290</v>
      </c>
      <c r="M15" t="s">
        <v>348</v>
      </c>
      <c r="N15"/>
    </row>
    <row r="16">
      <c r="A16" t="s">
        <v>163</v>
      </c>
      <c r="B16" t="s">
        <v>292</v>
      </c>
      <c r="C16" t="n">
        <v>0.0473319532136141</v>
      </c>
      <c r="D16" t="n">
        <v>0.0111026412214564</v>
      </c>
      <c r="E16" t="n">
        <v>18.1742392630298</v>
      </c>
      <c r="F16" t="n">
        <v>0.0000201587197833364</v>
      </c>
      <c r="G16" t="s">
        <v>288</v>
      </c>
      <c r="H16" t="n">
        <v>0.0473319532136141</v>
      </c>
      <c r="I16" t="n">
        <v>0.0255707764195596</v>
      </c>
      <c r="J16" t="n">
        <v>0.0690931300076687</v>
      </c>
      <c r="K16" t="s">
        <v>401</v>
      </c>
      <c r="L16" t="s">
        <v>290</v>
      </c>
      <c r="M16" t="s">
        <v>348</v>
      </c>
      <c r="N16"/>
    </row>
    <row r="17">
      <c r="A17" t="s">
        <v>163</v>
      </c>
      <c r="B17" t="s">
        <v>286</v>
      </c>
      <c r="C17" t="n">
        <v>0.00120075879352578</v>
      </c>
      <c r="D17" t="n">
        <v>0.000731107884874301</v>
      </c>
      <c r="E17" t="n">
        <v>2.69742026640492</v>
      </c>
      <c r="F17" t="n">
        <v>0.100510759949917</v>
      </c>
      <c r="G17" t="s">
        <v>288</v>
      </c>
      <c r="H17" t="n">
        <v>0.00120075879352578</v>
      </c>
      <c r="I17" t="n">
        <v>-0.000232212660827855</v>
      </c>
      <c r="J17" t="n">
        <v>0.00263373024787941</v>
      </c>
      <c r="K17" t="s">
        <v>402</v>
      </c>
      <c r="L17" t="s">
        <v>290</v>
      </c>
      <c r="M17" t="s">
        <v>348</v>
      </c>
      <c r="N17"/>
    </row>
    <row r="18">
      <c r="A18" t="s">
        <v>163</v>
      </c>
      <c r="B18" t="s">
        <v>51</v>
      </c>
      <c r="C18" t="n">
        <v>-0.00034936209989687</v>
      </c>
      <c r="D18" t="n">
        <v>0.00222166269280508</v>
      </c>
      <c r="E18" t="n">
        <v>0.0247283611142022</v>
      </c>
      <c r="F18" t="n">
        <v>0.875045822958108</v>
      </c>
      <c r="G18" t="s">
        <v>288</v>
      </c>
      <c r="H18" t="n">
        <v>-0.00034936209989687</v>
      </c>
      <c r="I18" t="n">
        <v>-0.00470382097779483</v>
      </c>
      <c r="J18" t="n">
        <v>0.00400509677800109</v>
      </c>
      <c r="K18" t="s">
        <v>403</v>
      </c>
      <c r="L18" t="s">
        <v>290</v>
      </c>
      <c r="M18" t="s">
        <v>348</v>
      </c>
      <c r="N18"/>
    </row>
    <row r="19">
      <c r="A19" t="s">
        <v>168</v>
      </c>
      <c r="B19" t="s">
        <v>287</v>
      </c>
      <c r="C19" t="n">
        <v>-0.0360648236339054</v>
      </c>
      <c r="D19" t="n">
        <v>0.0159675287993482</v>
      </c>
      <c r="E19" t="n">
        <v>5.10143325826311</v>
      </c>
      <c r="F19" t="n">
        <v>0.0239060823225273</v>
      </c>
      <c r="G19" t="s">
        <v>288</v>
      </c>
      <c r="H19" t="n">
        <v>-0.0360648236339054</v>
      </c>
      <c r="I19" t="n">
        <v>-0.0673611800806279</v>
      </c>
      <c r="J19" t="n">
        <v>-0.00476846718718283</v>
      </c>
      <c r="K19" t="s">
        <v>404</v>
      </c>
      <c r="L19" t="s">
        <v>290</v>
      </c>
      <c r="M19" t="s">
        <v>348</v>
      </c>
      <c r="N19"/>
    </row>
    <row r="20">
      <c r="A20" t="s">
        <v>168</v>
      </c>
      <c r="B20" t="s">
        <v>292</v>
      </c>
      <c r="C20" t="n">
        <v>0.00422985385872365</v>
      </c>
      <c r="D20" t="n">
        <v>0.00762018594180981</v>
      </c>
      <c r="E20" t="n">
        <v>0.308119786307645</v>
      </c>
      <c r="F20" t="n">
        <v>0.578836257840721</v>
      </c>
      <c r="G20" t="s">
        <v>288</v>
      </c>
      <c r="H20" t="n">
        <v>0.00422985385872365</v>
      </c>
      <c r="I20" t="n">
        <v>-0.0107057105872236</v>
      </c>
      <c r="J20" t="n">
        <v>0.0191654183046709</v>
      </c>
      <c r="K20" t="s">
        <v>405</v>
      </c>
      <c r="L20" t="s">
        <v>290</v>
      </c>
      <c r="M20" t="s">
        <v>348</v>
      </c>
      <c r="N20"/>
    </row>
    <row r="21">
      <c r="A21" t="s">
        <v>168</v>
      </c>
      <c r="B21" t="s">
        <v>286</v>
      </c>
      <c r="C21" t="n">
        <v>0.000601123049255215</v>
      </c>
      <c r="D21" t="n">
        <v>0.000455395241799836</v>
      </c>
      <c r="E21" t="n">
        <v>1.74240771069449</v>
      </c>
      <c r="F21" t="n">
        <v>0.186834042837987</v>
      </c>
      <c r="G21" t="s">
        <v>288</v>
      </c>
      <c r="H21" t="n">
        <v>0.000601123049255215</v>
      </c>
      <c r="I21" t="n">
        <v>-0.000291451624672464</v>
      </c>
      <c r="J21" t="n">
        <v>0.00149369772318289</v>
      </c>
      <c r="K21" t="s">
        <v>362</v>
      </c>
      <c r="L21" t="s">
        <v>290</v>
      </c>
      <c r="M21" t="s">
        <v>348</v>
      </c>
      <c r="N21"/>
    </row>
    <row r="22">
      <c r="A22" t="s">
        <v>168</v>
      </c>
      <c r="B22" t="s">
        <v>51</v>
      </c>
      <c r="C22" t="n">
        <v>-0.000347905560284237</v>
      </c>
      <c r="D22" t="n">
        <v>0.00158314111038863</v>
      </c>
      <c r="E22" t="n">
        <v>0.0482929223069678</v>
      </c>
      <c r="F22" t="n">
        <v>0.826060794069536</v>
      </c>
      <c r="G22" t="s">
        <v>288</v>
      </c>
      <c r="H22" t="n">
        <v>-0.000347905560284237</v>
      </c>
      <c r="I22" t="n">
        <v>-0.00345086213664595</v>
      </c>
      <c r="J22" t="n">
        <v>0.00275505101607747</v>
      </c>
      <c r="K22" t="s">
        <v>406</v>
      </c>
      <c r="L22" t="s">
        <v>290</v>
      </c>
      <c r="M22" t="s">
        <v>348</v>
      </c>
      <c r="N22"/>
    </row>
    <row r="23">
      <c r="A23" t="s">
        <v>175</v>
      </c>
      <c r="B23"/>
      <c r="C23"/>
      <c r="D23"/>
      <c r="E23"/>
      <c r="F23"/>
      <c r="G23"/>
      <c r="H23"/>
      <c r="I23"/>
      <c r="J23"/>
      <c r="K23"/>
      <c r="L23" t="s">
        <v>308</v>
      </c>
      <c r="M23"/>
      <c r="N23"/>
    </row>
    <row r="24">
      <c r="A24" t="s">
        <v>177</v>
      </c>
      <c r="B24"/>
      <c r="C24"/>
      <c r="D24"/>
      <c r="E24"/>
      <c r="F24"/>
      <c r="G24"/>
      <c r="H24"/>
      <c r="I24"/>
      <c r="J24"/>
      <c r="K24"/>
      <c r="L24" t="s">
        <v>308</v>
      </c>
      <c r="M24"/>
      <c r="N24"/>
    </row>
    <row r="25">
      <c r="A25" t="s">
        <v>333</v>
      </c>
      <c r="B25" t="s">
        <v>287</v>
      </c>
      <c r="C25" t="n">
        <v>-3.02703958074363</v>
      </c>
      <c r="D25" t="n">
        <v>1.05344581910041</v>
      </c>
      <c r="E25" t="n">
        <v>8.25680050702026</v>
      </c>
      <c r="F25" t="n">
        <v>0.00405996194724356</v>
      </c>
      <c r="G25" t="s">
        <v>309</v>
      </c>
      <c r="H25" t="n">
        <v>0.0484588846017539</v>
      </c>
      <c r="I25" t="n">
        <v>0.00614698607630367</v>
      </c>
      <c r="J25" t="n">
        <v>0.382018678372893</v>
      </c>
      <c r="K25" t="s">
        <v>407</v>
      </c>
      <c r="L25" t="s">
        <v>311</v>
      </c>
      <c r="M25" t="s">
        <v>348</v>
      </c>
      <c r="N25"/>
    </row>
    <row r="26">
      <c r="A26" t="s">
        <v>333</v>
      </c>
      <c r="B26" t="s">
        <v>292</v>
      </c>
      <c r="C26" t="n">
        <v>1.20075803457212</v>
      </c>
      <c r="D26" t="n">
        <v>0.44839968712271</v>
      </c>
      <c r="E26" t="n">
        <v>7.17101120015101</v>
      </c>
      <c r="F26" t="n">
        <v>0.00740909999328654</v>
      </c>
      <c r="G26" t="s">
        <v>309</v>
      </c>
      <c r="H26" t="n">
        <v>3.32263464028539</v>
      </c>
      <c r="I26" t="n">
        <v>1.37973940973384</v>
      </c>
      <c r="J26" t="n">
        <v>8.00143916665693</v>
      </c>
      <c r="K26" t="s">
        <v>408</v>
      </c>
      <c r="L26" t="s">
        <v>311</v>
      </c>
      <c r="M26" t="s">
        <v>348</v>
      </c>
      <c r="N26"/>
    </row>
    <row r="27">
      <c r="A27" t="s">
        <v>333</v>
      </c>
      <c r="B27" t="s">
        <v>286</v>
      </c>
      <c r="C27" t="n">
        <v>0.0202820125366656</v>
      </c>
      <c r="D27" t="n">
        <v>0.0313017168129783</v>
      </c>
      <c r="E27" t="n">
        <v>0.419841898809522</v>
      </c>
      <c r="F27" t="n">
        <v>0.517015944220687</v>
      </c>
      <c r="G27" t="s">
        <v>309</v>
      </c>
      <c r="H27" t="n">
        <v>1.02048909016723</v>
      </c>
      <c r="I27" t="n">
        <v>0.959762565786168</v>
      </c>
      <c r="J27" t="n">
        <v>1.08505793023643</v>
      </c>
      <c r="K27" t="s">
        <v>409</v>
      </c>
      <c r="L27" t="s">
        <v>311</v>
      </c>
      <c r="M27" t="s">
        <v>348</v>
      </c>
      <c r="N27"/>
    </row>
    <row r="28">
      <c r="A28" t="s">
        <v>333</v>
      </c>
      <c r="B28" t="s">
        <v>51</v>
      </c>
      <c r="C28" t="n">
        <v>-0.140190381312013</v>
      </c>
      <c r="D28" t="n">
        <v>0.104039569422071</v>
      </c>
      <c r="E28" t="n">
        <v>1.81568013346047</v>
      </c>
      <c r="F28" t="n">
        <v>0.177828343909303</v>
      </c>
      <c r="G28" t="s">
        <v>309</v>
      </c>
      <c r="H28" t="n">
        <v>0.869192741591305</v>
      </c>
      <c r="I28" t="n">
        <v>0.708852412248458</v>
      </c>
      <c r="J28" t="n">
        <v>1.06580158151483</v>
      </c>
      <c r="K28" t="s">
        <v>410</v>
      </c>
      <c r="L28" t="s">
        <v>311</v>
      </c>
      <c r="M28" t="s">
        <v>348</v>
      </c>
      <c r="N28"/>
    </row>
    <row r="29">
      <c r="A29" t="s">
        <v>336</v>
      </c>
      <c r="B29" t="s">
        <v>287</v>
      </c>
      <c r="C29" t="n">
        <v>-12.9373700139905</v>
      </c>
      <c r="D29" t="n">
        <v>2.93311628580515</v>
      </c>
      <c r="E29" t="n">
        <v>19.4550985953176</v>
      </c>
      <c r="F29" t="n">
        <v>0.0000102992540265134</v>
      </c>
      <c r="G29" t="s">
        <v>309</v>
      </c>
      <c r="H29" t="n">
        <v>0.00000240642090978273</v>
      </c>
      <c r="I29" t="n">
        <v>0.00000000766747918868175</v>
      </c>
      <c r="J29" t="n">
        <v>0.000755249731044285</v>
      </c>
      <c r="K29" t="s">
        <v>411</v>
      </c>
      <c r="L29" t="s">
        <v>311</v>
      </c>
      <c r="M29" t="s">
        <v>348</v>
      </c>
      <c r="N29"/>
    </row>
    <row r="30">
      <c r="A30" t="s">
        <v>336</v>
      </c>
      <c r="B30" t="s">
        <v>292</v>
      </c>
      <c r="C30" t="n">
        <v>1.32646087539267</v>
      </c>
      <c r="D30" t="n">
        <v>1.25554108686076</v>
      </c>
      <c r="E30" t="n">
        <v>1.1161614812338</v>
      </c>
      <c r="F30" t="n">
        <v>0.290746490190048</v>
      </c>
      <c r="G30" t="s">
        <v>309</v>
      </c>
      <c r="H30" t="n">
        <v>3.76768545551027</v>
      </c>
      <c r="I30" t="n">
        <v>0.321615143478776</v>
      </c>
      <c r="J30" t="n">
        <v>44.1380139570462</v>
      </c>
      <c r="K30" t="s">
        <v>412</v>
      </c>
      <c r="L30" t="s">
        <v>311</v>
      </c>
      <c r="M30" t="s">
        <v>348</v>
      </c>
      <c r="N30"/>
    </row>
    <row r="31">
      <c r="A31" t="s">
        <v>336</v>
      </c>
      <c r="B31" t="s">
        <v>286</v>
      </c>
      <c r="C31" t="n">
        <v>0.180540494762042</v>
      </c>
      <c r="D31" t="n">
        <v>0.0621053973507099</v>
      </c>
      <c r="E31" t="n">
        <v>8.45065879808451</v>
      </c>
      <c r="F31" t="n">
        <v>0.00364911231796572</v>
      </c>
      <c r="G31" t="s">
        <v>309</v>
      </c>
      <c r="H31" t="n">
        <v>1.19786462774141</v>
      </c>
      <c r="I31" t="n">
        <v>1.06057786575689</v>
      </c>
      <c r="J31" t="n">
        <v>1.35292250830641</v>
      </c>
      <c r="K31" t="s">
        <v>413</v>
      </c>
      <c r="L31" t="s">
        <v>311</v>
      </c>
      <c r="M31" t="s">
        <v>348</v>
      </c>
      <c r="N31"/>
    </row>
    <row r="32">
      <c r="A32" t="s">
        <v>336</v>
      </c>
      <c r="B32" t="s">
        <v>51</v>
      </c>
      <c r="C32" t="n">
        <v>-0.420633274586624</v>
      </c>
      <c r="D32" t="n">
        <v>0.220849294088319</v>
      </c>
      <c r="E32" t="n">
        <v>3.62756513410777</v>
      </c>
      <c r="F32" t="n">
        <v>0.0568299018604729</v>
      </c>
      <c r="G32" t="s">
        <v>309</v>
      </c>
      <c r="H32" t="n">
        <v>0.656630860483984</v>
      </c>
      <c r="I32" t="n">
        <v>0.425922492821504</v>
      </c>
      <c r="J32" t="n">
        <v>1.01230645060257</v>
      </c>
      <c r="K32" t="s">
        <v>414</v>
      </c>
      <c r="L32" t="s">
        <v>311</v>
      </c>
      <c r="M32" t="s">
        <v>348</v>
      </c>
      <c r="N32"/>
    </row>
    <row r="33">
      <c r="A33" t="s">
        <v>339</v>
      </c>
      <c r="B33"/>
      <c r="C33"/>
      <c r="D33"/>
      <c r="E33"/>
      <c r="F33"/>
      <c r="G33"/>
      <c r="H33"/>
      <c r="I33"/>
      <c r="J33"/>
      <c r="K33"/>
      <c r="L33" t="s">
        <v>317</v>
      </c>
      <c r="M33"/>
      <c r="N33"/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415</v>
      </c>
    </row>
    <row r="3">
      <c r="A3" s="1" t="s">
        <v>416</v>
      </c>
    </row>
    <row r="4">
      <c r="A4" t="s">
        <v>273</v>
      </c>
      <c r="B4" t="s">
        <v>417</v>
      </c>
      <c r="C4" t="s">
        <v>140</v>
      </c>
      <c r="D4" t="s">
        <v>418</v>
      </c>
      <c r="E4" t="s">
        <v>419</v>
      </c>
      <c r="F4" t="s">
        <v>1</v>
      </c>
    </row>
    <row r="5">
      <c r="A5" t="s">
        <v>142</v>
      </c>
      <c r="B5" t="s">
        <v>420</v>
      </c>
      <c r="C5" t="s">
        <v>148</v>
      </c>
      <c r="D5" t="s">
        <v>149</v>
      </c>
      <c r="E5" t="s">
        <v>421</v>
      </c>
      <c r="F5" t="s">
        <v>98</v>
      </c>
    </row>
    <row r="6">
      <c r="A6" t="s">
        <v>150</v>
      </c>
      <c r="B6" t="s">
        <v>420</v>
      </c>
      <c r="C6" t="s">
        <v>154</v>
      </c>
      <c r="D6" t="s">
        <v>47</v>
      </c>
      <c r="E6" t="s">
        <v>421</v>
      </c>
      <c r="F6" t="s">
        <v>98</v>
      </c>
    </row>
    <row r="7">
      <c r="A7" t="s">
        <v>155</v>
      </c>
      <c r="B7" t="s">
        <v>420</v>
      </c>
      <c r="C7" t="s">
        <v>161</v>
      </c>
      <c r="D7" t="s">
        <v>162</v>
      </c>
      <c r="E7" t="s">
        <v>421</v>
      </c>
      <c r="F7" t="s">
        <v>98</v>
      </c>
    </row>
    <row r="8">
      <c r="A8" t="s">
        <v>163</v>
      </c>
      <c r="B8" t="s">
        <v>420</v>
      </c>
      <c r="C8" t="s">
        <v>167</v>
      </c>
      <c r="D8" t="s">
        <v>47</v>
      </c>
      <c r="E8" t="s">
        <v>421</v>
      </c>
      <c r="F8" t="s">
        <v>98</v>
      </c>
    </row>
    <row r="9">
      <c r="A9" t="s">
        <v>168</v>
      </c>
      <c r="B9" t="s">
        <v>420</v>
      </c>
      <c r="C9" t="s">
        <v>173</v>
      </c>
      <c r="D9" t="s">
        <v>174</v>
      </c>
      <c r="E9" t="s">
        <v>421</v>
      </c>
      <c r="F9" t="s">
        <v>98</v>
      </c>
    </row>
    <row r="10">
      <c r="A10" t="s">
        <v>175</v>
      </c>
      <c r="B10" t="s">
        <v>98</v>
      </c>
      <c r="C10" t="s">
        <v>98</v>
      </c>
      <c r="D10" t="s">
        <v>98</v>
      </c>
      <c r="E10"/>
      <c r="F10" t="s">
        <v>422</v>
      </c>
    </row>
    <row r="11">
      <c r="A11" t="s">
        <v>177</v>
      </c>
      <c r="B11" t="s">
        <v>98</v>
      </c>
      <c r="C11" t="s">
        <v>98</v>
      </c>
      <c r="D11" t="s">
        <v>98</v>
      </c>
      <c r="E11"/>
      <c r="F11" t="s">
        <v>422</v>
      </c>
    </row>
    <row r="12">
      <c r="A12" t="s">
        <v>333</v>
      </c>
      <c r="B12" t="s">
        <v>420</v>
      </c>
      <c r="C12" t="s">
        <v>185</v>
      </c>
      <c r="D12" t="s">
        <v>186</v>
      </c>
      <c r="E12" t="s">
        <v>423</v>
      </c>
      <c r="F12" t="s">
        <v>424</v>
      </c>
    </row>
    <row r="13">
      <c r="A13" t="s">
        <v>336</v>
      </c>
      <c r="B13" t="s">
        <v>420</v>
      </c>
      <c r="C13" t="s">
        <v>194</v>
      </c>
      <c r="D13" t="s">
        <v>195</v>
      </c>
      <c r="E13" t="s">
        <v>425</v>
      </c>
      <c r="F13" t="s">
        <v>426</v>
      </c>
    </row>
    <row r="14">
      <c r="A14" t="s">
        <v>339</v>
      </c>
      <c r="B14" t="s">
        <v>98</v>
      </c>
      <c r="C14" t="s">
        <v>98</v>
      </c>
      <c r="D14" t="s">
        <v>98</v>
      </c>
      <c r="E14"/>
      <c r="F14" t="s">
        <v>427</v>
      </c>
    </row>
    <row r="16">
      <c r="A16" s="1" t="s">
        <v>428</v>
      </c>
    </row>
    <row r="17">
      <c r="A17" t="s">
        <v>273</v>
      </c>
      <c r="B17" t="s">
        <v>274</v>
      </c>
      <c r="C17" t="s">
        <v>275</v>
      </c>
      <c r="D17" t="s">
        <v>276</v>
      </c>
      <c r="E17" t="s">
        <v>277</v>
      </c>
      <c r="F17" t="s">
        <v>278</v>
      </c>
      <c r="G17" t="s">
        <v>279</v>
      </c>
      <c r="H17" t="s">
        <v>280</v>
      </c>
      <c r="I17" t="s">
        <v>281</v>
      </c>
      <c r="J17" t="s">
        <v>282</v>
      </c>
      <c r="K17" t="s">
        <v>283</v>
      </c>
      <c r="L17" t="s">
        <v>284</v>
      </c>
    </row>
    <row r="18">
      <c r="A18" t="s">
        <v>142</v>
      </c>
      <c r="B18" t="s">
        <v>287</v>
      </c>
      <c r="C18" t="n">
        <v>66.8381455471268</v>
      </c>
      <c r="D18" t="n">
        <v>163.622576456873</v>
      </c>
      <c r="E18" t="n">
        <v>0.166863876833221</v>
      </c>
      <c r="F18" t="n">
        <v>0.682914153322756</v>
      </c>
      <c r="G18" t="s">
        <v>288</v>
      </c>
      <c r="H18" t="n">
        <v>66.8381455471268</v>
      </c>
      <c r="I18" t="n">
        <v>-253.862104308343</v>
      </c>
      <c r="J18" t="n">
        <v>387.538395402597</v>
      </c>
      <c r="K18" t="s">
        <v>429</v>
      </c>
      <c r="L18" t="s">
        <v>430</v>
      </c>
    </row>
    <row r="19">
      <c r="A19" t="s">
        <v>142</v>
      </c>
      <c r="B19" t="s">
        <v>292</v>
      </c>
      <c r="C19" t="n">
        <v>7.86719244253976</v>
      </c>
      <c r="D19" t="n">
        <v>19.1938325818337</v>
      </c>
      <c r="E19" t="n">
        <v>0.168002654118588</v>
      </c>
      <c r="F19" t="n">
        <v>0.681893046871286</v>
      </c>
      <c r="G19" t="s">
        <v>288</v>
      </c>
      <c r="H19" t="n">
        <v>7.86719244253976</v>
      </c>
      <c r="I19" t="n">
        <v>-29.7527194178543</v>
      </c>
      <c r="J19" t="n">
        <v>45.4871043029338</v>
      </c>
      <c r="K19" t="s">
        <v>431</v>
      </c>
      <c r="L19" t="s">
        <v>430</v>
      </c>
    </row>
    <row r="20">
      <c r="A20" t="s">
        <v>142</v>
      </c>
      <c r="B20" t="s">
        <v>286</v>
      </c>
      <c r="C20" t="n">
        <v>0.416880393309258</v>
      </c>
      <c r="D20" t="n">
        <v>1.23026506504373</v>
      </c>
      <c r="E20" t="n">
        <v>0.114822118677219</v>
      </c>
      <c r="F20" t="n">
        <v>0.734719624178996</v>
      </c>
      <c r="G20" t="s">
        <v>288</v>
      </c>
      <c r="H20" t="n">
        <v>0.416880393309258</v>
      </c>
      <c r="I20" t="n">
        <v>-1.99443913417645</v>
      </c>
      <c r="J20" t="n">
        <v>2.82819992079496</v>
      </c>
      <c r="K20" t="s">
        <v>432</v>
      </c>
      <c r="L20" t="s">
        <v>430</v>
      </c>
    </row>
    <row r="21">
      <c r="A21" t="s">
        <v>142</v>
      </c>
      <c r="B21" t="s">
        <v>51</v>
      </c>
      <c r="C21" t="n">
        <v>-0.967625661949222</v>
      </c>
      <c r="D21" t="n">
        <v>3.90953390708162</v>
      </c>
      <c r="E21" t="n">
        <v>0.0612582783592265</v>
      </c>
      <c r="F21" t="n">
        <v>0.804518120658402</v>
      </c>
      <c r="G21" t="s">
        <v>288</v>
      </c>
      <c r="H21" t="n">
        <v>-0.967625661949222</v>
      </c>
      <c r="I21" t="n">
        <v>-8.63031211982921</v>
      </c>
      <c r="J21" t="n">
        <v>6.69506079593076</v>
      </c>
      <c r="K21" t="s">
        <v>433</v>
      </c>
      <c r="L21" t="s">
        <v>430</v>
      </c>
    </row>
    <row r="22">
      <c r="A22" t="s">
        <v>142</v>
      </c>
      <c r="B22" t="s">
        <v>81</v>
      </c>
      <c r="C22" t="n">
        <v>0.1839761624254</v>
      </c>
      <c r="D22" t="n">
        <v>0.286209240464389</v>
      </c>
      <c r="E22" t="n">
        <v>0.413195714898398</v>
      </c>
      <c r="F22" t="n">
        <v>0.520351927137404</v>
      </c>
      <c r="G22" t="s">
        <v>288</v>
      </c>
      <c r="H22" t="n">
        <v>0.1839761624254</v>
      </c>
      <c r="I22" t="n">
        <v>-0.376993948884803</v>
      </c>
      <c r="J22" t="n">
        <v>0.744946273735603</v>
      </c>
      <c r="K22" t="s">
        <v>434</v>
      </c>
      <c r="L22" t="s">
        <v>430</v>
      </c>
    </row>
    <row r="23">
      <c r="A23" t="s">
        <v>150</v>
      </c>
      <c r="B23" t="s">
        <v>287</v>
      </c>
      <c r="C23" t="n">
        <v>0.317029223162718</v>
      </c>
      <c r="D23" t="n">
        <v>0.596892022285432</v>
      </c>
      <c r="E23" t="n">
        <v>0.282102571019238</v>
      </c>
      <c r="F23" t="n">
        <v>0.595326417238954</v>
      </c>
      <c r="G23" t="s">
        <v>288</v>
      </c>
      <c r="H23" t="n">
        <v>0.317029223162718</v>
      </c>
      <c r="I23" t="n">
        <v>-0.852879140516728</v>
      </c>
      <c r="J23" t="n">
        <v>1.48693758684216</v>
      </c>
      <c r="K23" t="s">
        <v>435</v>
      </c>
      <c r="L23" t="s">
        <v>430</v>
      </c>
    </row>
    <row r="24">
      <c r="A24" t="s">
        <v>150</v>
      </c>
      <c r="B24" t="s">
        <v>292</v>
      </c>
      <c r="C24" t="n">
        <v>-0.263848556130668</v>
      </c>
      <c r="D24" t="n">
        <v>0.0769697599901103</v>
      </c>
      <c r="E24" t="n">
        <v>11.7508472035537</v>
      </c>
      <c r="F24" t="n">
        <v>0.000608155496939267</v>
      </c>
      <c r="G24" t="s">
        <v>288</v>
      </c>
      <c r="H24" t="n">
        <v>-0.263848556130668</v>
      </c>
      <c r="I24" t="n">
        <v>-0.414709285711284</v>
      </c>
      <c r="J24" t="n">
        <v>-0.112987826550052</v>
      </c>
      <c r="K24" t="s">
        <v>436</v>
      </c>
      <c r="L24" t="s">
        <v>430</v>
      </c>
    </row>
    <row r="25">
      <c r="A25" t="s">
        <v>150</v>
      </c>
      <c r="B25" t="s">
        <v>286</v>
      </c>
      <c r="C25" t="n">
        <v>-0.000196342497946183</v>
      </c>
      <c r="D25" t="n">
        <v>0.00501158812903359</v>
      </c>
      <c r="E25" t="n">
        <v>0.00153489220392152</v>
      </c>
      <c r="F25" t="n">
        <v>0.968748712535061</v>
      </c>
      <c r="G25" t="s">
        <v>288</v>
      </c>
      <c r="H25" t="n">
        <v>-0.000196342497946183</v>
      </c>
      <c r="I25" t="n">
        <v>-0.010019055230852</v>
      </c>
      <c r="J25" t="n">
        <v>0.00962637023495965</v>
      </c>
      <c r="K25" t="s">
        <v>437</v>
      </c>
      <c r="L25" t="s">
        <v>430</v>
      </c>
    </row>
    <row r="26">
      <c r="A26" t="s">
        <v>150</v>
      </c>
      <c r="B26" t="s">
        <v>51</v>
      </c>
      <c r="C26" t="n">
        <v>0.026669548968738</v>
      </c>
      <c r="D26" t="n">
        <v>0.0167073708323146</v>
      </c>
      <c r="E26" t="n">
        <v>2.54809207814989</v>
      </c>
      <c r="F26" t="n">
        <v>0.110427534798426</v>
      </c>
      <c r="G26" t="s">
        <v>288</v>
      </c>
      <c r="H26" t="n">
        <v>0.026669548968738</v>
      </c>
      <c r="I26" t="n">
        <v>-0.00607689786259855</v>
      </c>
      <c r="J26" t="n">
        <v>0.0594159958000746</v>
      </c>
      <c r="K26" t="s">
        <v>438</v>
      </c>
      <c r="L26" t="s">
        <v>430</v>
      </c>
    </row>
    <row r="27">
      <c r="A27" t="s">
        <v>150</v>
      </c>
      <c r="B27" t="s">
        <v>81</v>
      </c>
      <c r="C27" t="n">
        <v>-0.000297858312261081</v>
      </c>
      <c r="D27" t="n">
        <v>0.00102658958428793</v>
      </c>
      <c r="E27" t="n">
        <v>0.0841832603215881</v>
      </c>
      <c r="F27" t="n">
        <v>0.771706445378824</v>
      </c>
      <c r="G27" t="s">
        <v>288</v>
      </c>
      <c r="H27" t="n">
        <v>-0.000297858312261081</v>
      </c>
      <c r="I27" t="n">
        <v>-0.00230997389746542</v>
      </c>
      <c r="J27" t="n">
        <v>0.00171425727294326</v>
      </c>
      <c r="K27" t="s">
        <v>439</v>
      </c>
      <c r="L27" t="s">
        <v>430</v>
      </c>
    </row>
    <row r="28">
      <c r="A28" t="s">
        <v>155</v>
      </c>
      <c r="B28" t="s">
        <v>287</v>
      </c>
      <c r="C28" t="n">
        <v>0.194198920105887</v>
      </c>
      <c r="D28" t="n">
        <v>0.285389155607224</v>
      </c>
      <c r="E28" t="n">
        <v>0.463040190522725</v>
      </c>
      <c r="F28" t="n">
        <v>0.496206553178745</v>
      </c>
      <c r="G28" t="s">
        <v>288</v>
      </c>
      <c r="H28" t="n">
        <v>0.194198920105887</v>
      </c>
      <c r="I28" t="n">
        <v>-0.365163824884272</v>
      </c>
      <c r="J28" t="n">
        <v>0.753561665096047</v>
      </c>
      <c r="K28" t="s">
        <v>440</v>
      </c>
      <c r="L28" t="s">
        <v>430</v>
      </c>
    </row>
    <row r="29">
      <c r="A29" t="s">
        <v>155</v>
      </c>
      <c r="B29" t="s">
        <v>292</v>
      </c>
      <c r="C29" t="n">
        <v>0.0489597116154612</v>
      </c>
      <c r="D29" t="n">
        <v>0.0323588802746839</v>
      </c>
      <c r="E29" t="n">
        <v>2.28923686902416</v>
      </c>
      <c r="F29" t="n">
        <v>0.130273961866349</v>
      </c>
      <c r="G29" t="s">
        <v>288</v>
      </c>
      <c r="H29" t="n">
        <v>0.0489597116154612</v>
      </c>
      <c r="I29" t="n">
        <v>-0.0144636937229193</v>
      </c>
      <c r="J29" t="n">
        <v>0.112383116953842</v>
      </c>
      <c r="K29" t="s">
        <v>441</v>
      </c>
      <c r="L29" t="s">
        <v>430</v>
      </c>
    </row>
    <row r="30">
      <c r="A30" t="s">
        <v>155</v>
      </c>
      <c r="B30" t="s">
        <v>286</v>
      </c>
      <c r="C30" t="n">
        <v>0.00107069700833365</v>
      </c>
      <c r="D30" t="n">
        <v>0.00223797716679874</v>
      </c>
      <c r="E30" t="n">
        <v>0.228887394701941</v>
      </c>
      <c r="F30" t="n">
        <v>0.63235003845985</v>
      </c>
      <c r="G30" t="s">
        <v>288</v>
      </c>
      <c r="H30" t="n">
        <v>0.00107069700833365</v>
      </c>
      <c r="I30" t="n">
        <v>-0.00331573823859188</v>
      </c>
      <c r="J30" t="n">
        <v>0.00545713225525919</v>
      </c>
      <c r="K30" t="s">
        <v>398</v>
      </c>
      <c r="L30" t="s">
        <v>430</v>
      </c>
    </row>
    <row r="31">
      <c r="A31" t="s">
        <v>155</v>
      </c>
      <c r="B31" t="s">
        <v>51</v>
      </c>
      <c r="C31" t="n">
        <v>0.007154134157598</v>
      </c>
      <c r="D31" t="n">
        <v>0.00733112331456416</v>
      </c>
      <c r="E31" t="n">
        <v>0.952298522577992</v>
      </c>
      <c r="F31" t="n">
        <v>0.329134917482281</v>
      </c>
      <c r="G31" t="s">
        <v>288</v>
      </c>
      <c r="H31" t="n">
        <v>0.007154134157598</v>
      </c>
      <c r="I31" t="n">
        <v>-0.00721486753894774</v>
      </c>
      <c r="J31" t="n">
        <v>0.0215231358541437</v>
      </c>
      <c r="K31" t="s">
        <v>442</v>
      </c>
      <c r="L31" t="s">
        <v>430</v>
      </c>
    </row>
    <row r="32">
      <c r="A32" t="s">
        <v>155</v>
      </c>
      <c r="B32" t="s">
        <v>81</v>
      </c>
      <c r="C32" t="n">
        <v>-0.000791638901551937</v>
      </c>
      <c r="D32" t="n">
        <v>0.000504391030443446</v>
      </c>
      <c r="E32" t="n">
        <v>2.46331269565786</v>
      </c>
      <c r="F32" t="n">
        <v>0.11653278152755</v>
      </c>
      <c r="G32" t="s">
        <v>288</v>
      </c>
      <c r="H32" t="n">
        <v>-0.000791638901551937</v>
      </c>
      <c r="I32" t="n">
        <v>-0.00178024532122109</v>
      </c>
      <c r="J32" t="n">
        <v>0.000196967518117217</v>
      </c>
      <c r="K32" t="s">
        <v>443</v>
      </c>
      <c r="L32" t="s">
        <v>430</v>
      </c>
    </row>
    <row r="33">
      <c r="A33" t="s">
        <v>163</v>
      </c>
      <c r="B33" t="s">
        <v>287</v>
      </c>
      <c r="C33" t="n">
        <v>-0.0694838679633504</v>
      </c>
      <c r="D33" t="n">
        <v>0.107976087178521</v>
      </c>
      <c r="E33" t="n">
        <v>0.414107219161978</v>
      </c>
      <c r="F33" t="n">
        <v>0.519892170191869</v>
      </c>
      <c r="G33" t="s">
        <v>288</v>
      </c>
      <c r="H33" t="n">
        <v>-0.0694838679633504</v>
      </c>
      <c r="I33" t="n">
        <v>-0.281116998833252</v>
      </c>
      <c r="J33" t="n">
        <v>0.142149262906552</v>
      </c>
      <c r="K33" t="s">
        <v>444</v>
      </c>
      <c r="L33" t="s">
        <v>430</v>
      </c>
    </row>
    <row r="34">
      <c r="A34" t="s">
        <v>163</v>
      </c>
      <c r="B34" t="s">
        <v>292</v>
      </c>
      <c r="C34" t="n">
        <v>0.0517294222643732</v>
      </c>
      <c r="D34" t="n">
        <v>0.0111120693520766</v>
      </c>
      <c r="E34" t="n">
        <v>21.6713202316159</v>
      </c>
      <c r="F34" t="n">
        <v>0.00000323593282425261</v>
      </c>
      <c r="G34" t="s">
        <v>288</v>
      </c>
      <c r="H34" t="n">
        <v>0.0517294222643732</v>
      </c>
      <c r="I34" t="n">
        <v>0.029949766334303</v>
      </c>
      <c r="J34" t="n">
        <v>0.0735090781944433</v>
      </c>
      <c r="K34" t="s">
        <v>445</v>
      </c>
      <c r="L34" t="s">
        <v>430</v>
      </c>
    </row>
    <row r="35">
      <c r="A35" t="s">
        <v>163</v>
      </c>
      <c r="B35" t="s">
        <v>286</v>
      </c>
      <c r="C35" t="n">
        <v>0.000943970373287985</v>
      </c>
      <c r="D35" t="n">
        <v>0.000769100046550744</v>
      </c>
      <c r="E35" t="n">
        <v>1.50643727378184</v>
      </c>
      <c r="F35" t="n">
        <v>0.219683532681178</v>
      </c>
      <c r="G35" t="s">
        <v>288</v>
      </c>
      <c r="H35" t="n">
        <v>0.000943970373287985</v>
      </c>
      <c r="I35" t="n">
        <v>-0.000563465717951474</v>
      </c>
      <c r="J35" t="n">
        <v>0.00245140646452744</v>
      </c>
      <c r="K35" t="s">
        <v>446</v>
      </c>
      <c r="L35" t="s">
        <v>430</v>
      </c>
    </row>
    <row r="36">
      <c r="A36" t="s">
        <v>163</v>
      </c>
      <c r="B36" t="s">
        <v>51</v>
      </c>
      <c r="C36" t="n">
        <v>0.000354035513720514</v>
      </c>
      <c r="D36" t="n">
        <v>0.0022146385440989</v>
      </c>
      <c r="E36" t="n">
        <v>0.0255557098803621</v>
      </c>
      <c r="F36" t="n">
        <v>0.872990150603097</v>
      </c>
      <c r="G36" t="s">
        <v>288</v>
      </c>
      <c r="H36" t="n">
        <v>0.000354035513720514</v>
      </c>
      <c r="I36" t="n">
        <v>-0.00398665603271333</v>
      </c>
      <c r="J36" t="n">
        <v>0.00469472706015435</v>
      </c>
      <c r="K36" t="s">
        <v>447</v>
      </c>
      <c r="L36" t="s">
        <v>430</v>
      </c>
    </row>
    <row r="37">
      <c r="A37" t="s">
        <v>163</v>
      </c>
      <c r="B37" t="s">
        <v>81</v>
      </c>
      <c r="C37" t="n">
        <v>0.00006731141256443</v>
      </c>
      <c r="D37" t="n">
        <v>0.000177804802003872</v>
      </c>
      <c r="E37" t="n">
        <v>0.143314600496703</v>
      </c>
      <c r="F37" t="n">
        <v>0.705007835469658</v>
      </c>
      <c r="G37" t="s">
        <v>288</v>
      </c>
      <c r="H37" t="n">
        <v>0.00006731141256443</v>
      </c>
      <c r="I37" t="n">
        <v>-0.00028118599936316</v>
      </c>
      <c r="J37" t="n">
        <v>0.00041580882449202</v>
      </c>
      <c r="K37" t="s">
        <v>448</v>
      </c>
      <c r="L37" t="s">
        <v>430</v>
      </c>
    </row>
    <row r="38">
      <c r="A38" t="s">
        <v>168</v>
      </c>
      <c r="B38" t="s">
        <v>287</v>
      </c>
      <c r="C38" t="n">
        <v>-0.000321637327522436</v>
      </c>
      <c r="D38" t="n">
        <v>0.0649316382180022</v>
      </c>
      <c r="E38" t="n">
        <v>0.0000245369269190296</v>
      </c>
      <c r="F38" t="n">
        <v>0.996047713943898</v>
      </c>
      <c r="G38" t="s">
        <v>288</v>
      </c>
      <c r="H38" t="n">
        <v>-0.000321637327522436</v>
      </c>
      <c r="I38" t="n">
        <v>-0.127587648234807</v>
      </c>
      <c r="J38" t="n">
        <v>0.126944373579762</v>
      </c>
      <c r="K38" t="s">
        <v>449</v>
      </c>
      <c r="L38" t="s">
        <v>430</v>
      </c>
    </row>
    <row r="39">
      <c r="A39" t="s">
        <v>168</v>
      </c>
      <c r="B39" t="s">
        <v>292</v>
      </c>
      <c r="C39" t="n">
        <v>0.0048080032676046</v>
      </c>
      <c r="D39" t="n">
        <v>0.00776964597129696</v>
      </c>
      <c r="E39" t="n">
        <v>0.382936750436732</v>
      </c>
      <c r="F39" t="n">
        <v>0.536035712775291</v>
      </c>
      <c r="G39" t="s">
        <v>288</v>
      </c>
      <c r="H39" t="n">
        <v>0.0048080032676046</v>
      </c>
      <c r="I39" t="n">
        <v>-0.0104205028361374</v>
      </c>
      <c r="J39" t="n">
        <v>0.0200365093713466</v>
      </c>
      <c r="K39" t="s">
        <v>450</v>
      </c>
      <c r="L39" t="s">
        <v>430</v>
      </c>
    </row>
    <row r="40">
      <c r="A40" t="s">
        <v>168</v>
      </c>
      <c r="B40" t="s">
        <v>286</v>
      </c>
      <c r="C40" t="n">
        <v>0.000478762648925608</v>
      </c>
      <c r="D40" t="n">
        <v>0.000468449209457375</v>
      </c>
      <c r="E40" t="n">
        <v>1.0445169733593</v>
      </c>
      <c r="F40" t="n">
        <v>0.306773265418417</v>
      </c>
      <c r="G40" t="s">
        <v>288</v>
      </c>
      <c r="H40" t="n">
        <v>0.000478762648925608</v>
      </c>
      <c r="I40" t="n">
        <v>-0.000439397801610846</v>
      </c>
      <c r="J40" t="n">
        <v>0.00139692309946206</v>
      </c>
      <c r="K40" t="s">
        <v>362</v>
      </c>
      <c r="L40" t="s">
        <v>430</v>
      </c>
    </row>
    <row r="41">
      <c r="A41" t="s">
        <v>168</v>
      </c>
      <c r="B41" t="s">
        <v>51</v>
      </c>
      <c r="C41" t="n">
        <v>0.000167645978868784</v>
      </c>
      <c r="D41" t="n">
        <v>0.00155106585631083</v>
      </c>
      <c r="E41" t="n">
        <v>0.0116822314509536</v>
      </c>
      <c r="F41" t="n">
        <v>0.9139287649341</v>
      </c>
      <c r="G41" t="s">
        <v>288</v>
      </c>
      <c r="H41" t="n">
        <v>0.000167645978868784</v>
      </c>
      <c r="I41" t="n">
        <v>-0.00287244309950044</v>
      </c>
      <c r="J41" t="n">
        <v>0.00320773505723801</v>
      </c>
      <c r="K41" t="s">
        <v>406</v>
      </c>
      <c r="L41" t="s">
        <v>430</v>
      </c>
    </row>
    <row r="42">
      <c r="A42" t="s">
        <v>168</v>
      </c>
      <c r="B42" t="s">
        <v>81</v>
      </c>
      <c r="C42" t="n">
        <v>-0.0000536883868473067</v>
      </c>
      <c r="D42" t="n">
        <v>0.000112152139371585</v>
      </c>
      <c r="E42" t="n">
        <v>0.229163573206713</v>
      </c>
      <c r="F42" t="n">
        <v>0.632144721036113</v>
      </c>
      <c r="G42" t="s">
        <v>288</v>
      </c>
      <c r="H42" t="n">
        <v>-0.0000536883868473067</v>
      </c>
      <c r="I42" t="n">
        <v>-0.000273506580015612</v>
      </c>
      <c r="J42" t="n">
        <v>0.000166129806320999</v>
      </c>
      <c r="K42" t="s">
        <v>448</v>
      </c>
      <c r="L42" t="s">
        <v>430</v>
      </c>
    </row>
    <row r="43">
      <c r="A43" t="s">
        <v>333</v>
      </c>
      <c r="B43" t="s">
        <v>287</v>
      </c>
      <c r="C43" t="n">
        <v>-0.10945430244437</v>
      </c>
      <c r="D43" t="n">
        <v>5.253070237361</v>
      </c>
      <c r="E43" t="n">
        <v>0.00043414945456476</v>
      </c>
      <c r="F43" t="n">
        <v>0.983376278001847</v>
      </c>
      <c r="G43" t="s">
        <v>309</v>
      </c>
      <c r="H43" t="n">
        <v>0.896323123202027</v>
      </c>
      <c r="I43" t="n">
        <v>0.0000302664122265597</v>
      </c>
      <c r="J43" t="n">
        <v>26544.1154760204</v>
      </c>
      <c r="K43" t="s">
        <v>451</v>
      </c>
      <c r="L43" t="s">
        <v>452</v>
      </c>
    </row>
    <row r="44">
      <c r="A44" t="s">
        <v>333</v>
      </c>
      <c r="B44" t="s">
        <v>292</v>
      </c>
      <c r="C44" t="n">
        <v>1.10530724983167</v>
      </c>
      <c r="D44" t="n">
        <v>0.468666186706821</v>
      </c>
      <c r="E44" t="n">
        <v>5.56210002720453</v>
      </c>
      <c r="F44" t="n">
        <v>0.0183533855042604</v>
      </c>
      <c r="G44" t="s">
        <v>309</v>
      </c>
      <c r="H44" t="n">
        <v>3.0201522675421</v>
      </c>
      <c r="I44" t="n">
        <v>1.20529159339224</v>
      </c>
      <c r="J44" t="n">
        <v>7.5677286468647</v>
      </c>
      <c r="K44" t="s">
        <v>453</v>
      </c>
      <c r="L44" t="s">
        <v>452</v>
      </c>
    </row>
    <row r="45">
      <c r="A45" t="s">
        <v>333</v>
      </c>
      <c r="B45" t="s">
        <v>286</v>
      </c>
      <c r="C45" t="n">
        <v>0.0301003229724177</v>
      </c>
      <c r="D45" t="n">
        <v>0.0325488758853804</v>
      </c>
      <c r="E45" t="n">
        <v>0.855205179563042</v>
      </c>
      <c r="F45" t="n">
        <v>0.355083975979668</v>
      </c>
      <c r="G45" t="s">
        <v>309</v>
      </c>
      <c r="H45" t="n">
        <v>1.03055791740109</v>
      </c>
      <c r="I45" t="n">
        <v>0.966865895843323</v>
      </c>
      <c r="J45" t="n">
        <v>1.09844563313687</v>
      </c>
      <c r="K45" t="s">
        <v>454</v>
      </c>
      <c r="L45" t="s">
        <v>452</v>
      </c>
    </row>
    <row r="46">
      <c r="A46" t="s">
        <v>333</v>
      </c>
      <c r="B46" t="s">
        <v>51</v>
      </c>
      <c r="C46" t="n">
        <v>-0.119762584915337</v>
      </c>
      <c r="D46" t="n">
        <v>0.114582996979903</v>
      </c>
      <c r="E46" t="n">
        <v>1.0924510028098</v>
      </c>
      <c r="F46" t="n">
        <v>0.295928783290483</v>
      </c>
      <c r="G46" t="s">
        <v>309</v>
      </c>
      <c r="H46" t="n">
        <v>0.887131030005752</v>
      </c>
      <c r="I46" t="n">
        <v>0.708684206208254</v>
      </c>
      <c r="J46" t="n">
        <v>1.11051079945727</v>
      </c>
      <c r="K46" t="s">
        <v>455</v>
      </c>
      <c r="L46" t="s">
        <v>452</v>
      </c>
    </row>
    <row r="47">
      <c r="A47" t="s">
        <v>333</v>
      </c>
      <c r="B47" t="s">
        <v>81</v>
      </c>
      <c r="C47" t="n">
        <v>-0.0057799933483168</v>
      </c>
      <c r="D47" t="n">
        <v>0.00921798019289411</v>
      </c>
      <c r="E47" t="n">
        <v>0.39317250187014</v>
      </c>
      <c r="F47" t="n">
        <v>0.530636496395017</v>
      </c>
      <c r="G47" t="s">
        <v>309</v>
      </c>
      <c r="H47" t="n">
        <v>0.994236678676373</v>
      </c>
      <c r="I47" t="n">
        <v>0.976434863899251</v>
      </c>
      <c r="J47" t="n">
        <v>1.01236304619232</v>
      </c>
      <c r="K47" t="s">
        <v>456</v>
      </c>
      <c r="L47" t="s">
        <v>452</v>
      </c>
    </row>
    <row r="48">
      <c r="A48" t="s">
        <v>336</v>
      </c>
      <c r="B48" t="s">
        <v>287</v>
      </c>
      <c r="C48" t="n">
        <v>22.6316062845397</v>
      </c>
      <c r="D48" t="n">
        <v>10.8430100248891</v>
      </c>
      <c r="E48" t="n">
        <v>4.35643300676641</v>
      </c>
      <c r="F48" t="n">
        <v>0.0368694281718067</v>
      </c>
      <c r="G48" t="s">
        <v>309</v>
      </c>
      <c r="H48" t="n">
        <v>6741890988.00932</v>
      </c>
      <c r="I48" t="n">
        <v>3.97214652809067</v>
      </c>
      <c r="J48" t="n">
        <v>11442955030173468672</v>
      </c>
      <c r="K48" t="s">
        <v>457</v>
      </c>
      <c r="L48" t="s">
        <v>452</v>
      </c>
    </row>
    <row r="49">
      <c r="A49" t="s">
        <v>336</v>
      </c>
      <c r="B49" t="s">
        <v>292</v>
      </c>
      <c r="C49" t="n">
        <v>1.22399218212987</v>
      </c>
      <c r="D49" t="n">
        <v>1.53236285874052</v>
      </c>
      <c r="E49" t="n">
        <v>0.638019648791947</v>
      </c>
      <c r="F49" t="n">
        <v>0.424428822056841</v>
      </c>
      <c r="G49" t="s">
        <v>309</v>
      </c>
      <c r="H49" t="n">
        <v>3.40073703159945</v>
      </c>
      <c r="I49" t="n">
        <v>0.168732776267507</v>
      </c>
      <c r="J49" t="n">
        <v>68.5404022497488</v>
      </c>
      <c r="K49" t="s">
        <v>458</v>
      </c>
      <c r="L49" t="s">
        <v>452</v>
      </c>
    </row>
    <row r="50">
      <c r="A50" t="s">
        <v>336</v>
      </c>
      <c r="B50" t="s">
        <v>286</v>
      </c>
      <c r="C50" t="n">
        <v>0.253675674302277</v>
      </c>
      <c r="D50" t="n">
        <v>0.0603880800338619</v>
      </c>
      <c r="E50" t="n">
        <v>17.6463627654087</v>
      </c>
      <c r="F50" t="n">
        <v>0.0000266023525011816</v>
      </c>
      <c r="G50" t="s">
        <v>309</v>
      </c>
      <c r="H50" t="n">
        <v>1.28875376051773</v>
      </c>
      <c r="I50" t="n">
        <v>1.14489741308795</v>
      </c>
      <c r="J50" t="n">
        <v>1.45068565642833</v>
      </c>
      <c r="K50" t="s">
        <v>459</v>
      </c>
      <c r="L50" t="s">
        <v>452</v>
      </c>
    </row>
    <row r="51">
      <c r="A51" t="s">
        <v>336</v>
      </c>
      <c r="B51" t="s">
        <v>51</v>
      </c>
      <c r="C51" t="n">
        <v>-0.446301256050676</v>
      </c>
      <c r="D51" t="n">
        <v>0.337407023438416</v>
      </c>
      <c r="E51" t="n">
        <v>1.74963710784952</v>
      </c>
      <c r="F51" t="n">
        <v>0.185922359465435</v>
      </c>
      <c r="G51" t="s">
        <v>309</v>
      </c>
      <c r="H51" t="n">
        <v>0.639990941873858</v>
      </c>
      <c r="I51" t="n">
        <v>0.330344568600501</v>
      </c>
      <c r="J51" t="n">
        <v>1.23988236711686</v>
      </c>
      <c r="K51" t="s">
        <v>460</v>
      </c>
      <c r="L51" t="s">
        <v>452</v>
      </c>
    </row>
    <row r="52">
      <c r="A52" t="s">
        <v>336</v>
      </c>
      <c r="B52" t="s">
        <v>81</v>
      </c>
      <c r="C52" t="n">
        <v>-0.0725634349690395</v>
      </c>
      <c r="D52" t="n">
        <v>0.0199368948181181</v>
      </c>
      <c r="E52" t="n">
        <v>13.247094382741</v>
      </c>
      <c r="F52" t="n">
        <v>0.000273002712489978</v>
      </c>
      <c r="G52" t="s">
        <v>309</v>
      </c>
      <c r="H52" t="n">
        <v>0.930006749839685</v>
      </c>
      <c r="I52" t="n">
        <v>0.894366396027663</v>
      </c>
      <c r="J52" t="n">
        <v>0.967067365890413</v>
      </c>
      <c r="K52" t="s">
        <v>461</v>
      </c>
      <c r="L52" t="s">
        <v>452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462</v>
      </c>
    </row>
    <row r="2">
      <c r="A2" t="s">
        <v>463</v>
      </c>
      <c r="B2" t="s">
        <v>5</v>
      </c>
    </row>
    <row r="3">
      <c r="A3" t="s">
        <v>464</v>
      </c>
      <c r="B3" t="s">
        <v>465</v>
      </c>
    </row>
    <row r="4">
      <c r="A4" t="s">
        <v>466</v>
      </c>
      <c r="B4" t="s">
        <v>467</v>
      </c>
    </row>
    <row r="5">
      <c r="A5" t="s">
        <v>468</v>
      </c>
      <c r="B5" t="s">
        <v>469</v>
      </c>
    </row>
    <row r="6">
      <c r="A6" t="s">
        <v>470</v>
      </c>
      <c r="B6" t="s">
        <v>471</v>
      </c>
    </row>
    <row r="7">
      <c r="A7" t="s">
        <v>472</v>
      </c>
      <c r="B7" t="s">
        <v>473</v>
      </c>
    </row>
    <row r="8">
      <c r="A8" t="s">
        <v>474</v>
      </c>
      <c r="B8" t="s">
        <v>475</v>
      </c>
    </row>
    <row r="9">
      <c r="A9" t="s">
        <v>476</v>
      </c>
      <c r="B9" t="s">
        <v>477</v>
      </c>
    </row>
    <row r="10">
      <c r="A10" t="s">
        <v>478</v>
      </c>
      <c r="B10" t="s">
        <v>479</v>
      </c>
    </row>
    <row r="11">
      <c r="A11" t="s">
        <v>480</v>
      </c>
      <c r="B11" t="s">
        <v>30</v>
      </c>
    </row>
    <row r="12">
      <c r="A12" t="s">
        <v>481</v>
      </c>
      <c r="B12" t="s">
        <v>482</v>
      </c>
    </row>
    <row r="14">
      <c r="A14" s="1" t="s">
        <v>483</v>
      </c>
    </row>
    <row r="15">
      <c r="A15" t="s">
        <v>484</v>
      </c>
    </row>
    <row r="16">
      <c r="A16" t="s">
        <v>286</v>
      </c>
    </row>
    <row r="17">
      <c r="A17" t="s">
        <v>51</v>
      </c>
    </row>
    <row r="18">
      <c r="A18" t="s">
        <v>81</v>
      </c>
    </row>
    <row r="19">
      <c r="A19" t="s">
        <v>70</v>
      </c>
    </row>
    <row r="21">
      <c r="A21" s="1" t="s">
        <v>485</v>
      </c>
    </row>
    <row r="22">
      <c r="A22" t="s">
        <v>486</v>
      </c>
      <c r="B22" t="s">
        <v>487</v>
      </c>
      <c r="C22" t="s">
        <v>488</v>
      </c>
      <c r="D22" t="s">
        <v>489</v>
      </c>
      <c r="E22" t="s">
        <v>490</v>
      </c>
    </row>
    <row r="23">
      <c r="A23" t="s">
        <v>491</v>
      </c>
      <c r="B23" t="s">
        <v>466</v>
      </c>
      <c r="C23" t="n">
        <v>1.17487144438212</v>
      </c>
      <c r="D23" t="n">
        <v>0.0352128304515039</v>
      </c>
      <c r="E23" t="s">
        <v>492</v>
      </c>
    </row>
    <row r="24">
      <c r="A24" t="s">
        <v>286</v>
      </c>
      <c r="B24" t="s">
        <v>493</v>
      </c>
      <c r="C24" t="n">
        <v>1.22607570802161</v>
      </c>
      <c r="D24" t="n">
        <v>0.0224888666021595</v>
      </c>
      <c r="E24" t="s">
        <v>492</v>
      </c>
    </row>
    <row r="25">
      <c r="A25" t="s">
        <v>51</v>
      </c>
      <c r="B25" t="s">
        <v>493</v>
      </c>
      <c r="C25" t="n">
        <v>-0.15116130478084</v>
      </c>
      <c r="D25" t="n">
        <v>-0.132226588077756</v>
      </c>
      <c r="E25" t="s">
        <v>494</v>
      </c>
    </row>
    <row r="26">
      <c r="A26" t="s">
        <v>81</v>
      </c>
      <c r="B26" t="s">
        <v>493</v>
      </c>
      <c r="C26" t="n">
        <v>-0.592741580272775</v>
      </c>
      <c r="D26" t="n">
        <v>0.0634705738091889</v>
      </c>
      <c r="E26" t="s">
        <v>492</v>
      </c>
    </row>
    <row r="27">
      <c r="A27" t="s">
        <v>70</v>
      </c>
      <c r="B27" t="s">
        <v>493</v>
      </c>
      <c r="C27" t="n">
        <v>0.148424417585038</v>
      </c>
      <c r="D27" t="n">
        <v>0.0665050099431825</v>
      </c>
      <c r="E27" t="s">
        <v>492</v>
      </c>
    </row>
    <row r="29">
      <c r="A29" s="1" t="s">
        <v>495</v>
      </c>
    </row>
    <row r="30">
      <c r="A30" t="s">
        <v>482</v>
      </c>
      <c r="B30" t="s">
        <v>29</v>
      </c>
      <c r="C30" t="s">
        <v>496</v>
      </c>
      <c r="D30" t="s">
        <v>497</v>
      </c>
    </row>
    <row r="31">
      <c r="A31" t="s">
        <v>498</v>
      </c>
      <c r="B31" t="s">
        <v>31</v>
      </c>
      <c r="C31" t="n">
        <v>0.205082820323883</v>
      </c>
      <c r="D31" t="n">
        <v>1</v>
      </c>
    </row>
    <row r="32">
      <c r="A32" t="s">
        <v>499</v>
      </c>
      <c r="B32" t="s">
        <v>30</v>
      </c>
      <c r="C32" t="n">
        <v>0.650428140263933</v>
      </c>
      <c r="D32" t="n">
        <v>1.66666666666667</v>
      </c>
    </row>
    <row r="33">
      <c r="A33" t="s">
        <v>500</v>
      </c>
      <c r="B33" t="s">
        <v>30</v>
      </c>
      <c r="C33" t="n">
        <v>0.120048066572995</v>
      </c>
      <c r="D33" t="n">
        <v>0.833333333333333</v>
      </c>
    </row>
    <row r="34">
      <c r="A34" t="s">
        <v>501</v>
      </c>
      <c r="B34" t="s">
        <v>31</v>
      </c>
      <c r="C34" t="n">
        <v>0.678851741802814</v>
      </c>
      <c r="D34" t="n">
        <v>1</v>
      </c>
    </row>
    <row r="35">
      <c r="A35" t="s">
        <v>502</v>
      </c>
      <c r="B35" t="s">
        <v>30</v>
      </c>
      <c r="C35" t="n">
        <v>0.348782694353507</v>
      </c>
      <c r="D35" t="n">
        <v>0.833333333333333</v>
      </c>
    </row>
    <row r="36">
      <c r="A36" t="s">
        <v>502</v>
      </c>
      <c r="B36" t="s">
        <v>30</v>
      </c>
      <c r="C36" t="n">
        <v>0.705078492878182</v>
      </c>
      <c r="D36" t="n">
        <v>0.833333333333333</v>
      </c>
    </row>
    <row r="37">
      <c r="A37" t="s">
        <v>503</v>
      </c>
      <c r="B37" t="s">
        <v>31</v>
      </c>
      <c r="C37" t="n">
        <v>0.322707238313788</v>
      </c>
      <c r="D37" t="n">
        <v>1</v>
      </c>
    </row>
    <row r="38">
      <c r="A38" t="s">
        <v>503</v>
      </c>
      <c r="B38" t="s">
        <v>31</v>
      </c>
      <c r="C38" t="n">
        <v>0.133570876268496</v>
      </c>
      <c r="D38" t="n">
        <v>1</v>
      </c>
    </row>
    <row r="39">
      <c r="A39" t="s">
        <v>504</v>
      </c>
      <c r="B39" t="s">
        <v>31</v>
      </c>
      <c r="C39" t="n">
        <v>0.234514456859668</v>
      </c>
      <c r="D39" t="n">
        <v>1</v>
      </c>
    </row>
    <row r="40">
      <c r="A40" t="s">
        <v>505</v>
      </c>
      <c r="B40" t="s">
        <v>30</v>
      </c>
      <c r="C40" t="n">
        <v>0.381012104840685</v>
      </c>
      <c r="D40" t="n">
        <v>0.833333333333333</v>
      </c>
    </row>
    <row r="41">
      <c r="A41" t="s">
        <v>506</v>
      </c>
      <c r="B41" t="s">
        <v>30</v>
      </c>
      <c r="C41" t="n">
        <v>0.415431978940834</v>
      </c>
      <c r="D41" t="n">
        <v>0.833333333333333</v>
      </c>
    </row>
    <row r="42">
      <c r="A42" t="s">
        <v>507</v>
      </c>
      <c r="B42" t="s">
        <v>30</v>
      </c>
      <c r="C42" t="n">
        <v>0.29671954092439</v>
      </c>
      <c r="D42" t="n">
        <v>0.833333333333333</v>
      </c>
    </row>
    <row r="43">
      <c r="A43" t="s">
        <v>508</v>
      </c>
      <c r="B43" t="s">
        <v>30</v>
      </c>
      <c r="C43" t="n">
        <v>0.20282719201356</v>
      </c>
      <c r="D43" t="n">
        <v>0.833333333333333</v>
      </c>
    </row>
    <row r="44">
      <c r="A44" t="s">
        <v>509</v>
      </c>
      <c r="B44" t="s">
        <v>30</v>
      </c>
      <c r="C44" t="n">
        <v>0.115848756132216</v>
      </c>
      <c r="D44" t="n">
        <v>0.833333333333333</v>
      </c>
    </row>
    <row r="45">
      <c r="A45" t="s">
        <v>510</v>
      </c>
      <c r="B45" t="s">
        <v>30</v>
      </c>
      <c r="C45" t="n">
        <v>0.686552291382437</v>
      </c>
      <c r="D45" t="n">
        <v>1.66666666666667</v>
      </c>
    </row>
    <row r="46">
      <c r="A46" t="s">
        <v>510</v>
      </c>
      <c r="B46" t="s">
        <v>30</v>
      </c>
      <c r="C46" t="n">
        <v>0.7267066943553</v>
      </c>
      <c r="D46" t="n">
        <v>0.833333333333333</v>
      </c>
    </row>
    <row r="47">
      <c r="A47" t="s">
        <v>511</v>
      </c>
      <c r="B47" t="s">
        <v>31</v>
      </c>
      <c r="C47" t="n">
        <v>0.404311481484162</v>
      </c>
      <c r="D47" t="n">
        <v>1</v>
      </c>
    </row>
    <row r="48">
      <c r="A48" t="s">
        <v>511</v>
      </c>
      <c r="B48" t="s">
        <v>31</v>
      </c>
      <c r="C48" t="n">
        <v>0.316522036740165</v>
      </c>
      <c r="D48" t="n">
        <v>1</v>
      </c>
    </row>
    <row r="49">
      <c r="A49" t="s">
        <v>512</v>
      </c>
      <c r="B49" t="s">
        <v>30</v>
      </c>
      <c r="C49" t="n">
        <v>0.277455896126525</v>
      </c>
      <c r="D49" t="n">
        <v>0.833333333333333</v>
      </c>
    </row>
    <row r="50">
      <c r="A50" t="s">
        <v>512</v>
      </c>
      <c r="B50" t="s">
        <v>30</v>
      </c>
      <c r="C50" t="n">
        <v>0.263245133310632</v>
      </c>
      <c r="D50" t="n">
        <v>0.833333333333333</v>
      </c>
    </row>
    <row r="51">
      <c r="A51" t="s">
        <v>513</v>
      </c>
      <c r="B51" t="s">
        <v>30</v>
      </c>
      <c r="C51" t="n">
        <v>0.226838956356111</v>
      </c>
      <c r="D51" t="n">
        <v>0.833333333333333</v>
      </c>
    </row>
    <row r="52">
      <c r="A52" t="s">
        <v>514</v>
      </c>
      <c r="B52" t="s">
        <v>31</v>
      </c>
      <c r="C52" t="n">
        <v>0.289394029409838</v>
      </c>
      <c r="D52" t="n">
        <v>1</v>
      </c>
    </row>
    <row r="53">
      <c r="A53" t="s">
        <v>515</v>
      </c>
      <c r="B53" t="s">
        <v>30</v>
      </c>
      <c r="C53" t="n">
        <v>0.341372063173318</v>
      </c>
      <c r="D53" t="n">
        <v>0.833333333333333</v>
      </c>
    </row>
    <row r="54">
      <c r="A54" t="s">
        <v>516</v>
      </c>
      <c r="B54" t="s">
        <v>31</v>
      </c>
      <c r="C54" t="n">
        <v>0.381223655551824</v>
      </c>
      <c r="D54" t="n">
        <v>1</v>
      </c>
    </row>
    <row r="55">
      <c r="A55" t="s">
        <v>517</v>
      </c>
      <c r="B55" t="s">
        <v>30</v>
      </c>
      <c r="C55" t="n">
        <v>0.240378122727756</v>
      </c>
      <c r="D55" t="n">
        <v>0.833333333333333</v>
      </c>
    </row>
    <row r="56">
      <c r="A56" t="s">
        <v>517</v>
      </c>
      <c r="B56" t="s">
        <v>30</v>
      </c>
      <c r="C56" t="n">
        <v>0.450835780714273</v>
      </c>
      <c r="D56" t="n">
        <v>0.833333333333333</v>
      </c>
    </row>
    <row r="57">
      <c r="A57" t="s">
        <v>518</v>
      </c>
      <c r="B57" t="s">
        <v>31</v>
      </c>
      <c r="C57" t="n">
        <v>0.785700332867971</v>
      </c>
      <c r="D57" t="n">
        <v>1</v>
      </c>
    </row>
    <row r="58">
      <c r="A58" t="s">
        <v>519</v>
      </c>
      <c r="B58" t="s">
        <v>31</v>
      </c>
      <c r="C58" t="n">
        <v>0.575297599095384</v>
      </c>
      <c r="D58" t="n">
        <v>1</v>
      </c>
    </row>
    <row r="59">
      <c r="A59" t="s">
        <v>519</v>
      </c>
      <c r="B59" t="s">
        <v>31</v>
      </c>
      <c r="C59" t="n">
        <v>0.587802318204832</v>
      </c>
      <c r="D59" t="n">
        <v>1</v>
      </c>
    </row>
    <row r="60">
      <c r="A60" t="s">
        <v>520</v>
      </c>
      <c r="B60" t="s">
        <v>30</v>
      </c>
      <c r="C60" t="n">
        <v>0.527875305210155</v>
      </c>
      <c r="D60" t="n">
        <v>1.66666666666667</v>
      </c>
    </row>
    <row r="61">
      <c r="A61" t="s">
        <v>521</v>
      </c>
      <c r="B61" t="s">
        <v>30</v>
      </c>
      <c r="C61" t="n">
        <v>0.567421622357674</v>
      </c>
      <c r="D61" t="n">
        <v>1.66666666666667</v>
      </c>
    </row>
    <row r="62">
      <c r="A62" t="s">
        <v>522</v>
      </c>
      <c r="B62" t="s">
        <v>31</v>
      </c>
      <c r="C62" t="n">
        <v>0.11722819355871</v>
      </c>
      <c r="D62" t="n">
        <v>1</v>
      </c>
    </row>
    <row r="63">
      <c r="A63" t="s">
        <v>523</v>
      </c>
      <c r="B63" t="s">
        <v>30</v>
      </c>
      <c r="C63" t="n">
        <v>0.33615725740646</v>
      </c>
      <c r="D63" t="n">
        <v>1.66666666666667</v>
      </c>
    </row>
    <row r="64">
      <c r="A64" t="s">
        <v>523</v>
      </c>
      <c r="B64" t="s">
        <v>30</v>
      </c>
      <c r="C64" t="n">
        <v>0.255913721759502</v>
      </c>
      <c r="D64" t="n">
        <v>0.833333333333333</v>
      </c>
    </row>
    <row r="65">
      <c r="A65" t="s">
        <v>524</v>
      </c>
      <c r="B65" t="s">
        <v>30</v>
      </c>
      <c r="C65" t="n">
        <v>0.154716059366093</v>
      </c>
      <c r="D65" t="n">
        <v>0.833333333333333</v>
      </c>
    </row>
    <row r="66">
      <c r="A66" t="s">
        <v>524</v>
      </c>
      <c r="B66" t="s">
        <v>30</v>
      </c>
      <c r="C66" t="n">
        <v>0.334853039297172</v>
      </c>
      <c r="D66" t="n">
        <v>0.833333333333333</v>
      </c>
    </row>
    <row r="67">
      <c r="A67" t="s">
        <v>525</v>
      </c>
      <c r="B67" t="s">
        <v>31</v>
      </c>
      <c r="C67" t="n">
        <v>0.163190805953366</v>
      </c>
      <c r="D67" t="n">
        <v>1</v>
      </c>
    </row>
    <row r="68">
      <c r="A68" t="s">
        <v>525</v>
      </c>
      <c r="B68" t="s">
        <v>31</v>
      </c>
      <c r="C68" t="n">
        <v>0.0979789995879234</v>
      </c>
      <c r="D68" t="n">
        <v>1</v>
      </c>
    </row>
    <row r="69">
      <c r="A69" t="s">
        <v>526</v>
      </c>
      <c r="B69" t="s">
        <v>31</v>
      </c>
      <c r="C69" t="n">
        <v>0.129170945621388</v>
      </c>
      <c r="D69" t="n">
        <v>1</v>
      </c>
    </row>
    <row r="70">
      <c r="A70" t="s">
        <v>527</v>
      </c>
      <c r="B70" t="s">
        <v>31</v>
      </c>
      <c r="C70" t="n">
        <v>0.464839687173658</v>
      </c>
      <c r="D70" t="n">
        <v>1</v>
      </c>
    </row>
    <row r="71">
      <c r="A71" t="s">
        <v>528</v>
      </c>
      <c r="B71" t="s">
        <v>31</v>
      </c>
      <c r="C71" t="n">
        <v>0.660497141889582</v>
      </c>
      <c r="D71" t="n">
        <v>1</v>
      </c>
    </row>
    <row r="72">
      <c r="A72" t="s">
        <v>529</v>
      </c>
      <c r="B72" t="s">
        <v>30</v>
      </c>
      <c r="C72" t="n">
        <v>0.226202795561719</v>
      </c>
      <c r="D72" t="n">
        <v>0.833333333333333</v>
      </c>
    </row>
    <row r="73">
      <c r="A73" t="s">
        <v>530</v>
      </c>
      <c r="B73" t="s">
        <v>30</v>
      </c>
      <c r="C73" t="n">
        <v>0.130685444382328</v>
      </c>
      <c r="D73" t="n">
        <v>0.833333333333333</v>
      </c>
    </row>
    <row r="74">
      <c r="A74" t="s">
        <v>531</v>
      </c>
      <c r="B74" t="s">
        <v>30</v>
      </c>
      <c r="C74" t="n">
        <v>0.133125139113848</v>
      </c>
      <c r="D74" t="n">
        <v>0.833333333333333</v>
      </c>
    </row>
    <row r="75">
      <c r="A75" t="s">
        <v>532</v>
      </c>
      <c r="B75" t="s">
        <v>30</v>
      </c>
      <c r="C75" t="n">
        <v>0.289281210547163</v>
      </c>
      <c r="D75" t="n">
        <v>0.833333333333333</v>
      </c>
    </row>
    <row r="76">
      <c r="A76" t="s">
        <v>533</v>
      </c>
      <c r="B76" t="s">
        <v>30</v>
      </c>
      <c r="C76" t="n">
        <v>0.792555801986722</v>
      </c>
      <c r="D76" t="n">
        <v>1.66666666666667</v>
      </c>
    </row>
    <row r="77">
      <c r="A77" t="s">
        <v>534</v>
      </c>
      <c r="B77" t="s">
        <v>30</v>
      </c>
      <c r="C77" t="n">
        <v>0.136277948583707</v>
      </c>
      <c r="D77" t="n">
        <v>0.833333333333333</v>
      </c>
    </row>
    <row r="78">
      <c r="A78" t="s">
        <v>534</v>
      </c>
      <c r="B78" t="s">
        <v>30</v>
      </c>
      <c r="C78" t="n">
        <v>0.232058924749902</v>
      </c>
      <c r="D78" t="n">
        <v>0.833333333333333</v>
      </c>
    </row>
    <row r="79">
      <c r="A79" t="s">
        <v>535</v>
      </c>
      <c r="B79" t="s">
        <v>31</v>
      </c>
      <c r="C79" t="n">
        <v>0.709694912986246</v>
      </c>
      <c r="D79" t="n">
        <v>1</v>
      </c>
    </row>
    <row r="80">
      <c r="A80" t="s">
        <v>535</v>
      </c>
      <c r="B80" t="s">
        <v>31</v>
      </c>
      <c r="C80" t="n">
        <v>0.645419755401768</v>
      </c>
      <c r="D80" t="n">
        <v>1</v>
      </c>
    </row>
    <row r="81">
      <c r="A81" t="s">
        <v>536</v>
      </c>
      <c r="B81" t="s">
        <v>31</v>
      </c>
      <c r="C81" t="n">
        <v>0.333239926628645</v>
      </c>
      <c r="D81" t="n">
        <v>1</v>
      </c>
    </row>
    <row r="82">
      <c r="A82" t="s">
        <v>536</v>
      </c>
      <c r="B82" t="s">
        <v>31</v>
      </c>
      <c r="C82" t="n">
        <v>0.334667609809965</v>
      </c>
      <c r="D82" t="n">
        <v>1</v>
      </c>
    </row>
    <row r="83">
      <c r="A83" t="s">
        <v>537</v>
      </c>
      <c r="B83" t="s">
        <v>30</v>
      </c>
      <c r="C83" t="n">
        <v>0.335552126857083</v>
      </c>
      <c r="D83" t="n">
        <v>1.66666666666667</v>
      </c>
    </row>
    <row r="84">
      <c r="A84" t="s">
        <v>537</v>
      </c>
      <c r="B84" t="s">
        <v>30</v>
      </c>
      <c r="C84" t="n">
        <v>0.274994714697146</v>
      </c>
      <c r="D84" t="n">
        <v>0.833333333333333</v>
      </c>
    </row>
    <row r="85">
      <c r="A85" t="s">
        <v>538</v>
      </c>
      <c r="B85" t="s">
        <v>31</v>
      </c>
      <c r="C85" t="n">
        <v>0.785611692990813</v>
      </c>
      <c r="D85" t="n">
        <v>1</v>
      </c>
    </row>
    <row r="86">
      <c r="A86" t="s">
        <v>539</v>
      </c>
      <c r="B86" t="s">
        <v>30</v>
      </c>
      <c r="C86" t="n">
        <v>0.313802490783357</v>
      </c>
      <c r="D86" t="n">
        <v>0.833333333333333</v>
      </c>
    </row>
    <row r="87">
      <c r="A87" t="s">
        <v>539</v>
      </c>
      <c r="B87" t="s">
        <v>30</v>
      </c>
      <c r="C87" t="n">
        <v>0.416492668924295</v>
      </c>
      <c r="D87" t="n">
        <v>0.833333333333333</v>
      </c>
    </row>
    <row r="88">
      <c r="A88" t="s">
        <v>540</v>
      </c>
      <c r="B88" t="s">
        <v>31</v>
      </c>
      <c r="C88" t="n">
        <v>0.251901376387804</v>
      </c>
      <c r="D88" t="n">
        <v>1</v>
      </c>
    </row>
    <row r="89">
      <c r="A89" t="s">
        <v>541</v>
      </c>
      <c r="B89" t="s">
        <v>30</v>
      </c>
      <c r="C89" t="n">
        <v>0.383495641392506</v>
      </c>
      <c r="D89" t="n">
        <v>0.833333333333333</v>
      </c>
    </row>
    <row r="90">
      <c r="A90" t="s">
        <v>541</v>
      </c>
      <c r="B90" t="s">
        <v>30</v>
      </c>
      <c r="C90" t="n">
        <v>0.359199998114392</v>
      </c>
      <c r="D90" t="n">
        <v>0.833333333333333</v>
      </c>
    </row>
    <row r="91">
      <c r="A91" t="s">
        <v>542</v>
      </c>
      <c r="B91" t="s">
        <v>30</v>
      </c>
      <c r="C91" t="n">
        <v>0.599670297071452</v>
      </c>
      <c r="D91" t="n">
        <v>1.66666666666667</v>
      </c>
    </row>
    <row r="92">
      <c r="A92" t="s">
        <v>543</v>
      </c>
      <c r="B92" t="s">
        <v>31</v>
      </c>
      <c r="C92" t="n">
        <v>0.351506590457721</v>
      </c>
      <c r="D92" t="n">
        <v>1</v>
      </c>
    </row>
    <row r="93">
      <c r="A93" t="s">
        <v>544</v>
      </c>
      <c r="B93" t="s">
        <v>30</v>
      </c>
      <c r="C93" t="n">
        <v>0.208450553639628</v>
      </c>
      <c r="D93" t="n">
        <v>0.833333333333333</v>
      </c>
    </row>
    <row r="94">
      <c r="A94" t="s">
        <v>545</v>
      </c>
      <c r="B94" t="s">
        <v>30</v>
      </c>
      <c r="C94" t="n">
        <v>0.0939298057378681</v>
      </c>
      <c r="D94" t="n">
        <v>0.833333333333333</v>
      </c>
    </row>
    <row r="95">
      <c r="A95" t="s">
        <v>546</v>
      </c>
      <c r="B95" t="s">
        <v>31</v>
      </c>
      <c r="C95" t="n">
        <v>0.330123102122861</v>
      </c>
      <c r="D95" t="n">
        <v>1</v>
      </c>
    </row>
    <row r="96">
      <c r="A96" t="s">
        <v>546</v>
      </c>
      <c r="B96" t="s">
        <v>31</v>
      </c>
      <c r="C96" t="n">
        <v>0.240050784939497</v>
      </c>
      <c r="D96" t="n">
        <v>1</v>
      </c>
    </row>
    <row r="97">
      <c r="A97" t="s">
        <v>547</v>
      </c>
      <c r="B97" t="s">
        <v>30</v>
      </c>
      <c r="C97" t="n">
        <v>0.0962147469748926</v>
      </c>
      <c r="D97" t="n">
        <v>0.833333333333333</v>
      </c>
    </row>
    <row r="98">
      <c r="A98" t="s">
        <v>548</v>
      </c>
      <c r="B98" t="s">
        <v>30</v>
      </c>
      <c r="C98" t="n">
        <v>0.11298682790156</v>
      </c>
      <c r="D98" t="n">
        <v>0.833333333333333</v>
      </c>
    </row>
    <row r="99">
      <c r="A99" t="s">
        <v>548</v>
      </c>
      <c r="B99" t="s">
        <v>30</v>
      </c>
      <c r="C99" t="n">
        <v>0.246134906571397</v>
      </c>
      <c r="D99" t="n">
        <v>0.833333333333333</v>
      </c>
    </row>
    <row r="100">
      <c r="A100" t="s">
        <v>549</v>
      </c>
      <c r="B100" t="s">
        <v>30</v>
      </c>
      <c r="C100" t="n">
        <v>0.293155290980861</v>
      </c>
      <c r="D100" t="n">
        <v>0.833333333333333</v>
      </c>
    </row>
    <row r="101">
      <c r="A101" t="s">
        <v>550</v>
      </c>
      <c r="B101" t="s">
        <v>30</v>
      </c>
      <c r="C101" t="n">
        <v>0.802200307772647</v>
      </c>
      <c r="D101" t="n">
        <v>1.66666666666667</v>
      </c>
    </row>
    <row r="102">
      <c r="A102" t="s">
        <v>551</v>
      </c>
      <c r="B102" t="s">
        <v>30</v>
      </c>
      <c r="C102" t="n">
        <v>0.154471291660218</v>
      </c>
      <c r="D102" t="n">
        <v>0.833333333333333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552</v>
      </c>
    </row>
    <row r="3">
      <c r="A3" s="1" t="s">
        <v>553</v>
      </c>
    </row>
    <row r="4">
      <c r="A4" t="s">
        <v>273</v>
      </c>
      <c r="B4" t="s">
        <v>274</v>
      </c>
      <c r="C4" t="s">
        <v>275</v>
      </c>
      <c r="D4" t="s">
        <v>276</v>
      </c>
      <c r="E4" t="s">
        <v>277</v>
      </c>
      <c r="F4" t="s">
        <v>278</v>
      </c>
      <c r="G4" t="s">
        <v>279</v>
      </c>
      <c r="H4" t="s">
        <v>280</v>
      </c>
      <c r="I4" t="s">
        <v>281</v>
      </c>
      <c r="J4" t="s">
        <v>282</v>
      </c>
      <c r="K4" t="s">
        <v>283</v>
      </c>
      <c r="L4" t="s">
        <v>284</v>
      </c>
      <c r="M4" t="s">
        <v>285</v>
      </c>
      <c r="N4" t="s">
        <v>1</v>
      </c>
    </row>
    <row r="5">
      <c r="A5" t="s">
        <v>286</v>
      </c>
      <c r="B5" t="s">
        <v>287</v>
      </c>
      <c r="C5" t="n">
        <v>36.3333333333333</v>
      </c>
      <c r="D5" t="n">
        <v>0.751262717956612</v>
      </c>
      <c r="E5" t="n">
        <v>2338.98163651094</v>
      </c>
      <c r="F5" t="n">
        <v>0</v>
      </c>
      <c r="G5" t="s">
        <v>288</v>
      </c>
      <c r="H5" t="n">
        <v>36.3333333333333</v>
      </c>
      <c r="I5" t="n">
        <v>34.8608584061384</v>
      </c>
      <c r="J5" t="n">
        <v>37.8058082605283</v>
      </c>
      <c r="K5" t="s">
        <v>554</v>
      </c>
      <c r="L5" t="s">
        <v>555</v>
      </c>
      <c r="M5" t="s">
        <v>291</v>
      </c>
      <c r="N5"/>
    </row>
    <row r="6">
      <c r="A6" t="s">
        <v>286</v>
      </c>
      <c r="B6" t="s">
        <v>292</v>
      </c>
      <c r="C6" t="n">
        <v>0.14814814814815</v>
      </c>
      <c r="D6" t="n">
        <v>1.35113534255335</v>
      </c>
      <c r="E6" t="n">
        <v>0.0120224988945364</v>
      </c>
      <c r="F6" t="n">
        <v>0.912689210739359</v>
      </c>
      <c r="G6" t="s">
        <v>288</v>
      </c>
      <c r="H6" t="n">
        <v>0.14814814814815</v>
      </c>
      <c r="I6" t="n">
        <v>-2.50007712325641</v>
      </c>
      <c r="J6" t="n">
        <v>2.79637341955271</v>
      </c>
      <c r="K6" t="s">
        <v>556</v>
      </c>
      <c r="L6" t="s">
        <v>555</v>
      </c>
      <c r="M6" t="s">
        <v>291</v>
      </c>
      <c r="N6"/>
    </row>
    <row r="7">
      <c r="A7" t="s">
        <v>51</v>
      </c>
      <c r="B7" t="s">
        <v>287</v>
      </c>
      <c r="C7" t="n">
        <v>-4.35176704131007</v>
      </c>
      <c r="D7" t="n">
        <v>0.289787118808009</v>
      </c>
      <c r="E7" t="n">
        <v>225.513800201355</v>
      </c>
      <c r="F7" t="n">
        <v>0</v>
      </c>
      <c r="G7" t="s">
        <v>288</v>
      </c>
      <c r="H7" t="n">
        <v>-4.35176704131007</v>
      </c>
      <c r="I7" t="n">
        <v>-4.91974979417377</v>
      </c>
      <c r="J7" t="n">
        <v>-3.78378428844637</v>
      </c>
      <c r="K7" t="s">
        <v>557</v>
      </c>
      <c r="L7" t="s">
        <v>555</v>
      </c>
      <c r="M7" t="s">
        <v>291</v>
      </c>
      <c r="N7"/>
    </row>
    <row r="8">
      <c r="A8" t="s">
        <v>51</v>
      </c>
      <c r="B8" t="s">
        <v>292</v>
      </c>
      <c r="C8" t="n">
        <v>-0.2681096477572</v>
      </c>
      <c r="D8" t="n">
        <v>0.513067228766225</v>
      </c>
      <c r="E8" t="n">
        <v>0.273071472754652</v>
      </c>
      <c r="F8" t="n">
        <v>0.601278804701029</v>
      </c>
      <c r="G8" t="s">
        <v>288</v>
      </c>
      <c r="H8" t="n">
        <v>-0.2681096477572</v>
      </c>
      <c r="I8" t="n">
        <v>-1.273721416139</v>
      </c>
      <c r="J8" t="n">
        <v>0.737502120624601</v>
      </c>
      <c r="K8" t="s">
        <v>558</v>
      </c>
      <c r="L8" t="s">
        <v>555</v>
      </c>
      <c r="M8" t="s">
        <v>291</v>
      </c>
      <c r="N8"/>
    </row>
    <row r="9">
      <c r="A9" t="s">
        <v>58</v>
      </c>
      <c r="B9" t="s">
        <v>287</v>
      </c>
      <c r="C9" t="n">
        <v>-3.98611111111111</v>
      </c>
      <c r="D9" t="n">
        <v>0.306041427587431</v>
      </c>
      <c r="E9" t="n">
        <v>169.643944637656</v>
      </c>
      <c r="F9" t="n">
        <v>0</v>
      </c>
      <c r="G9" t="s">
        <v>288</v>
      </c>
      <c r="H9" t="n">
        <v>-3.98611111111111</v>
      </c>
      <c r="I9" t="n">
        <v>-4.58595230918248</v>
      </c>
      <c r="J9" t="n">
        <v>-3.38626991303975</v>
      </c>
      <c r="K9" t="s">
        <v>559</v>
      </c>
      <c r="L9" t="s">
        <v>555</v>
      </c>
      <c r="M9" t="s">
        <v>291</v>
      </c>
      <c r="N9"/>
    </row>
    <row r="10">
      <c r="A10" t="s">
        <v>58</v>
      </c>
      <c r="B10" t="s">
        <v>292</v>
      </c>
      <c r="C10" t="n">
        <v>-0.254629629629629</v>
      </c>
      <c r="D10" t="n">
        <v>0.524670484491153</v>
      </c>
      <c r="E10" t="n">
        <v>0.23552912012415</v>
      </c>
      <c r="F10" t="n">
        <v>0.627454034128305</v>
      </c>
      <c r="G10" t="s">
        <v>288</v>
      </c>
      <c r="H10" t="n">
        <v>-0.254629629629629</v>
      </c>
      <c r="I10" t="n">
        <v>-1.28298377923229</v>
      </c>
      <c r="J10" t="n">
        <v>0.773724519973031</v>
      </c>
      <c r="K10" t="s">
        <v>560</v>
      </c>
      <c r="L10" t="s">
        <v>555</v>
      </c>
      <c r="M10" t="s">
        <v>291</v>
      </c>
      <c r="N10"/>
    </row>
    <row r="11">
      <c r="A11" t="s">
        <v>64</v>
      </c>
      <c r="B11" t="s">
        <v>287</v>
      </c>
      <c r="C11" t="n">
        <v>-0.736111111111111</v>
      </c>
      <c r="D11" t="n">
        <v>0.0895298204417258</v>
      </c>
      <c r="E11" t="n">
        <v>67.6007196619569</v>
      </c>
      <c r="F11" t="n">
        <v>0.000000000000000222044604925031</v>
      </c>
      <c r="G11" t="s">
        <v>288</v>
      </c>
      <c r="H11" t="n">
        <v>-0.736111111111111</v>
      </c>
      <c r="I11" t="n">
        <v>-0.911589559176894</v>
      </c>
      <c r="J11" t="n">
        <v>-0.560632663045328</v>
      </c>
      <c r="K11" t="s">
        <v>561</v>
      </c>
      <c r="L11" t="s">
        <v>555</v>
      </c>
      <c r="M11" t="s">
        <v>291</v>
      </c>
      <c r="N11"/>
    </row>
    <row r="12">
      <c r="A12" t="s">
        <v>64</v>
      </c>
      <c r="B12" t="s">
        <v>292</v>
      </c>
      <c r="C12" t="n">
        <v>0.0509259259259258</v>
      </c>
      <c r="D12" t="n">
        <v>0.13417634662228</v>
      </c>
      <c r="E12" t="n">
        <v>0.144054205888308</v>
      </c>
      <c r="F12" t="n">
        <v>0.704283391094366</v>
      </c>
      <c r="G12" t="s">
        <v>288</v>
      </c>
      <c r="H12" t="n">
        <v>0.0509259259259258</v>
      </c>
      <c r="I12" t="n">
        <v>-0.212059713453744</v>
      </c>
      <c r="J12" t="n">
        <v>0.313911565305595</v>
      </c>
      <c r="K12" t="s">
        <v>562</v>
      </c>
      <c r="L12" t="s">
        <v>555</v>
      </c>
      <c r="M12" t="s">
        <v>291</v>
      </c>
      <c r="N12"/>
    </row>
    <row r="13">
      <c r="A13" t="s">
        <v>70</v>
      </c>
      <c r="B13" t="s">
        <v>287</v>
      </c>
      <c r="C13" t="n">
        <v>1.10153685183532</v>
      </c>
      <c r="D13" t="n">
        <v>0.0309000796497329</v>
      </c>
      <c r="E13" t="n">
        <v>1270.80485184749</v>
      </c>
      <c r="F13" t="n">
        <v>0</v>
      </c>
      <c r="G13" t="s">
        <v>288</v>
      </c>
      <c r="H13" t="n">
        <v>1.10153685183532</v>
      </c>
      <c r="I13" t="n">
        <v>1.04097269572184</v>
      </c>
      <c r="J13" t="n">
        <v>1.16210100794879</v>
      </c>
      <c r="K13" t="s">
        <v>563</v>
      </c>
      <c r="L13" t="s">
        <v>555</v>
      </c>
      <c r="M13" t="s">
        <v>291</v>
      </c>
      <c r="N13"/>
    </row>
    <row r="14">
      <c r="A14" t="s">
        <v>70</v>
      </c>
      <c r="B14" t="s">
        <v>292</v>
      </c>
      <c r="C14" t="n">
        <v>0.0162421430806933</v>
      </c>
      <c r="D14" t="n">
        <v>0.0580906445121053</v>
      </c>
      <c r="E14" t="n">
        <v>0.0781761491714196</v>
      </c>
      <c r="F14" t="n">
        <v>0.779784421958433</v>
      </c>
      <c r="G14" t="s">
        <v>288</v>
      </c>
      <c r="H14" t="n">
        <v>0.0162421430806933</v>
      </c>
      <c r="I14" t="n">
        <v>-0.097615520163033</v>
      </c>
      <c r="J14" t="n">
        <v>0.13009980632442</v>
      </c>
      <c r="K14" t="s">
        <v>564</v>
      </c>
      <c r="L14" t="s">
        <v>555</v>
      </c>
      <c r="M14" t="s">
        <v>291</v>
      </c>
      <c r="N14"/>
    </row>
    <row r="15">
      <c r="A15" t="s">
        <v>76</v>
      </c>
      <c r="B15" t="s">
        <v>287</v>
      </c>
      <c r="C15" t="n">
        <v>-0.00804442882910826</v>
      </c>
      <c r="D15" t="n">
        <v>0.00435705451060407</v>
      </c>
      <c r="E15" t="n">
        <v>3.40882291553834</v>
      </c>
      <c r="F15" t="n">
        <v>0.0648486881971007</v>
      </c>
      <c r="G15" t="s">
        <v>288</v>
      </c>
      <c r="H15" t="n">
        <v>-0.00804442882910826</v>
      </c>
      <c r="I15" t="n">
        <v>-0.0165842556698922</v>
      </c>
      <c r="J15" t="n">
        <v>0.000495398011675712</v>
      </c>
      <c r="K15" t="s">
        <v>565</v>
      </c>
      <c r="L15" t="s">
        <v>555</v>
      </c>
      <c r="M15" t="s">
        <v>291</v>
      </c>
      <c r="N15"/>
    </row>
    <row r="16">
      <c r="A16" t="s">
        <v>76</v>
      </c>
      <c r="B16" t="s">
        <v>292</v>
      </c>
      <c r="C16" t="n">
        <v>0.00565400125015702</v>
      </c>
      <c r="D16" t="n">
        <v>0.00683023913309085</v>
      </c>
      <c r="E16" t="n">
        <v>0.685235701922528</v>
      </c>
      <c r="F16" t="n">
        <v>0.40778963811822</v>
      </c>
      <c r="G16" t="s">
        <v>288</v>
      </c>
      <c r="H16" t="n">
        <v>0.00565400125015702</v>
      </c>
      <c r="I16" t="n">
        <v>-0.00773326745070105</v>
      </c>
      <c r="J16" t="n">
        <v>0.0190412699510151</v>
      </c>
      <c r="K16" t="s">
        <v>566</v>
      </c>
      <c r="L16" t="s">
        <v>555</v>
      </c>
      <c r="M16" t="s">
        <v>291</v>
      </c>
      <c r="N16"/>
    </row>
    <row r="17">
      <c r="A17" t="s">
        <v>81</v>
      </c>
      <c r="B17" t="s">
        <v>287</v>
      </c>
      <c r="C17" t="n">
        <v>537.5</v>
      </c>
      <c r="D17" t="n">
        <v>4.01749432246038</v>
      </c>
      <c r="E17" t="n">
        <v>17899.7264421545</v>
      </c>
      <c r="F17" t="n">
        <v>0</v>
      </c>
      <c r="G17" t="s">
        <v>288</v>
      </c>
      <c r="H17" t="n">
        <v>537.5</v>
      </c>
      <c r="I17" t="n">
        <v>529.625711127978</v>
      </c>
      <c r="J17" t="n">
        <v>545.374288872022</v>
      </c>
      <c r="K17" t="s">
        <v>567</v>
      </c>
      <c r="L17" t="s">
        <v>555</v>
      </c>
      <c r="M17" t="s">
        <v>291</v>
      </c>
      <c r="N17"/>
    </row>
    <row r="18">
      <c r="A18" t="s">
        <v>81</v>
      </c>
      <c r="B18" t="s">
        <v>292</v>
      </c>
      <c r="C18" t="n">
        <v>1.31481481481479</v>
      </c>
      <c r="D18" t="n">
        <v>6.1796740475359</v>
      </c>
      <c r="E18" t="n">
        <v>0.0452687018816874</v>
      </c>
      <c r="F18" t="n">
        <v>0.831510710678523</v>
      </c>
      <c r="G18" t="s">
        <v>288</v>
      </c>
      <c r="H18" t="n">
        <v>1.31481481481479</v>
      </c>
      <c r="I18" t="n">
        <v>-10.7973463183556</v>
      </c>
      <c r="J18" t="n">
        <v>13.4269759479851</v>
      </c>
      <c r="K18" t="s">
        <v>568</v>
      </c>
      <c r="L18" t="s">
        <v>555</v>
      </c>
      <c r="M18" t="s">
        <v>291</v>
      </c>
      <c r="N18"/>
    </row>
    <row r="19">
      <c r="A19" t="s">
        <v>87</v>
      </c>
      <c r="B19" t="s">
        <v>287</v>
      </c>
      <c r="C19" t="n">
        <v>43.6446296296296</v>
      </c>
      <c r="D19" t="n">
        <v>0.209169717855825</v>
      </c>
      <c r="E19" t="n">
        <v>43537.5517427428</v>
      </c>
      <c r="F19" t="n">
        <v>0</v>
      </c>
      <c r="G19" t="s">
        <v>288</v>
      </c>
      <c r="H19" t="n">
        <v>43.6446296296296</v>
      </c>
      <c r="I19" t="n">
        <v>43.2346569826322</v>
      </c>
      <c r="J19" t="n">
        <v>44.054602276627</v>
      </c>
      <c r="K19" t="s">
        <v>569</v>
      </c>
      <c r="L19" t="s">
        <v>555</v>
      </c>
      <c r="M19" t="s">
        <v>291</v>
      </c>
      <c r="N19"/>
    </row>
    <row r="20">
      <c r="A20" t="s">
        <v>87</v>
      </c>
      <c r="B20" t="s">
        <v>292</v>
      </c>
      <c r="C20" t="n">
        <v>-0.419074074074073</v>
      </c>
      <c r="D20" t="n">
        <v>0.312735464042553</v>
      </c>
      <c r="E20" t="n">
        <v>1.79567328968221</v>
      </c>
      <c r="F20" t="n">
        <v>0.180236454430029</v>
      </c>
      <c r="G20" t="s">
        <v>288</v>
      </c>
      <c r="H20" t="n">
        <v>-0.419074074074073</v>
      </c>
      <c r="I20" t="n">
        <v>-1.03203558359748</v>
      </c>
      <c r="J20" t="n">
        <v>0.193887435449331</v>
      </c>
      <c r="K20" t="s">
        <v>570</v>
      </c>
      <c r="L20" t="s">
        <v>555</v>
      </c>
      <c r="M20" t="s">
        <v>291</v>
      </c>
      <c r="N20"/>
    </row>
    <row r="21">
      <c r="A21" t="s">
        <v>93</v>
      </c>
      <c r="B21"/>
      <c r="C21"/>
      <c r="D21"/>
      <c r="E21"/>
      <c r="F21"/>
      <c r="G21"/>
      <c r="H21"/>
      <c r="I21"/>
      <c r="J21"/>
      <c r="K21"/>
      <c r="L21" t="s">
        <v>308</v>
      </c>
      <c r="M21"/>
      <c r="N21"/>
    </row>
    <row r="22">
      <c r="A22" t="s">
        <v>23</v>
      </c>
      <c r="B22" t="s">
        <v>287</v>
      </c>
      <c r="C22" t="n">
        <v>0.000000000000000241779232349638</v>
      </c>
      <c r="D22" t="n">
        <v>0.37037037037037</v>
      </c>
      <c r="E22" t="n">
        <v>0.000000000000000000000000000000426152967555781</v>
      </c>
      <c r="F22" t="n">
        <v>0.999999999999999</v>
      </c>
      <c r="G22" t="s">
        <v>309</v>
      </c>
      <c r="H22" t="n">
        <v>1</v>
      </c>
      <c r="I22" t="n">
        <v>0.483876327831467</v>
      </c>
      <c r="J22" t="n">
        <v>2.06664377338231</v>
      </c>
      <c r="K22" t="s">
        <v>571</v>
      </c>
      <c r="L22" t="s">
        <v>572</v>
      </c>
      <c r="M22" t="s">
        <v>291</v>
      </c>
      <c r="N22"/>
    </row>
    <row r="23">
      <c r="A23" t="s">
        <v>23</v>
      </c>
      <c r="B23" t="s">
        <v>292</v>
      </c>
      <c r="C23" t="n">
        <v>1.04982212449868</v>
      </c>
      <c r="D23" t="n">
        <v>0.660805574406461</v>
      </c>
      <c r="E23" t="n">
        <v>2.52396917309077</v>
      </c>
      <c r="F23" t="n">
        <v>0.112128033519893</v>
      </c>
      <c r="G23" t="s">
        <v>309</v>
      </c>
      <c r="H23" t="n">
        <v>2.85714285714286</v>
      </c>
      <c r="I23" t="n">
        <v>0.782425318031411</v>
      </c>
      <c r="J23" t="n">
        <v>10.4332836859897</v>
      </c>
      <c r="K23" t="s">
        <v>573</v>
      </c>
      <c r="L23" t="s">
        <v>572</v>
      </c>
      <c r="M23" t="s">
        <v>291</v>
      </c>
      <c r="N23"/>
    </row>
    <row r="24">
      <c r="A24" t="s">
        <v>313</v>
      </c>
      <c r="B24" t="s">
        <v>287</v>
      </c>
      <c r="C24" t="n">
        <v>-0.298492988555996</v>
      </c>
      <c r="D24" t="n">
        <v>0.38170318087032</v>
      </c>
      <c r="E24" t="n">
        <v>0.611528511745664</v>
      </c>
      <c r="F24" t="n">
        <v>0.434212878254225</v>
      </c>
      <c r="G24" t="s">
        <v>309</v>
      </c>
      <c r="H24" t="n">
        <v>0.741935483870968</v>
      </c>
      <c r="I24" t="n">
        <v>0.351118599223717</v>
      </c>
      <c r="J24" t="n">
        <v>1.56775591906515</v>
      </c>
      <c r="K24" t="s">
        <v>574</v>
      </c>
      <c r="L24" t="s">
        <v>572</v>
      </c>
      <c r="M24" t="s">
        <v>291</v>
      </c>
      <c r="N24"/>
    </row>
    <row r="25">
      <c r="A25" t="s">
        <v>313</v>
      </c>
      <c r="B25" t="s">
        <v>292</v>
      </c>
      <c r="C25" t="n">
        <v>-2.22723565575226</v>
      </c>
      <c r="D25" t="n">
        <v>0.841485186017271</v>
      </c>
      <c r="E25" t="n">
        <v>7.0055040997161</v>
      </c>
      <c r="F25" t="n">
        <v>0.00812594891002827</v>
      </c>
      <c r="G25" t="s">
        <v>309</v>
      </c>
      <c r="H25" t="n">
        <v>0.107826086956522</v>
      </c>
      <c r="I25" t="n">
        <v>0.0207222636022282</v>
      </c>
      <c r="J25" t="n">
        <v>0.561061535145476</v>
      </c>
      <c r="K25" t="s">
        <v>575</v>
      </c>
      <c r="L25" t="s">
        <v>572</v>
      </c>
      <c r="M25" t="s">
        <v>291</v>
      </c>
      <c r="N25"/>
    </row>
    <row r="26">
      <c r="A26" t="s">
        <v>316</v>
      </c>
      <c r="B26"/>
      <c r="C26"/>
      <c r="D26"/>
      <c r="E26"/>
      <c r="F26"/>
      <c r="G26"/>
      <c r="H26"/>
      <c r="I26"/>
      <c r="J26"/>
      <c r="K26"/>
      <c r="L26" t="s">
        <v>317</v>
      </c>
      <c r="M26"/>
      <c r="N26"/>
    </row>
    <row r="28">
      <c r="A28" s="1" t="s">
        <v>576</v>
      </c>
    </row>
    <row r="29">
      <c r="A29" t="s">
        <v>273</v>
      </c>
      <c r="B29" t="s">
        <v>274</v>
      </c>
      <c r="C29" t="s">
        <v>275</v>
      </c>
      <c r="D29" t="s">
        <v>276</v>
      </c>
      <c r="E29" t="s">
        <v>277</v>
      </c>
      <c r="F29" t="s">
        <v>278</v>
      </c>
      <c r="G29" t="s">
        <v>279</v>
      </c>
      <c r="H29" t="s">
        <v>280</v>
      </c>
      <c r="I29" t="s">
        <v>281</v>
      </c>
      <c r="J29" t="s">
        <v>282</v>
      </c>
      <c r="K29" t="s">
        <v>283</v>
      </c>
      <c r="L29" t="s">
        <v>284</v>
      </c>
      <c r="M29" t="s">
        <v>285</v>
      </c>
      <c r="N29" t="s">
        <v>1</v>
      </c>
    </row>
    <row r="30">
      <c r="A30" t="s">
        <v>123</v>
      </c>
      <c r="B30" t="s">
        <v>287</v>
      </c>
      <c r="C30" t="n">
        <v>6.48796296296296</v>
      </c>
      <c r="D30" t="n">
        <v>0.0392351984697389</v>
      </c>
      <c r="E30" t="n">
        <v>27344.18706111</v>
      </c>
      <c r="F30" t="n">
        <v>0</v>
      </c>
      <c r="G30" t="s">
        <v>288</v>
      </c>
      <c r="H30" t="n">
        <v>6.48796296296296</v>
      </c>
      <c r="I30" t="n">
        <v>6.41106197396227</v>
      </c>
      <c r="J30" t="n">
        <v>6.56486395196365</v>
      </c>
      <c r="K30" t="s">
        <v>577</v>
      </c>
      <c r="L30" t="s">
        <v>555</v>
      </c>
      <c r="M30" t="s">
        <v>291</v>
      </c>
      <c r="N30"/>
    </row>
    <row r="31">
      <c r="A31" t="s">
        <v>123</v>
      </c>
      <c r="B31" t="s">
        <v>292</v>
      </c>
      <c r="C31" t="n">
        <v>-0.0301851851851855</v>
      </c>
      <c r="D31" t="n">
        <v>0.0653659470684289</v>
      </c>
      <c r="E31" t="n">
        <v>0.213247806824683</v>
      </c>
      <c r="F31" t="n">
        <v>0.644233629020813</v>
      </c>
      <c r="G31" t="s">
        <v>288</v>
      </c>
      <c r="H31" t="n">
        <v>-0.0301851851851855</v>
      </c>
      <c r="I31" t="n">
        <v>-0.158302441439306</v>
      </c>
      <c r="J31" t="n">
        <v>0.0979320710689351</v>
      </c>
      <c r="K31" t="s">
        <v>578</v>
      </c>
      <c r="L31" t="s">
        <v>555</v>
      </c>
      <c r="M31" t="s">
        <v>291</v>
      </c>
      <c r="N31"/>
    </row>
    <row r="32">
      <c r="A32" t="s">
        <v>129</v>
      </c>
      <c r="B32" t="s">
        <v>287</v>
      </c>
      <c r="C32" t="n">
        <v>66.8703703703704</v>
      </c>
      <c r="D32" t="n">
        <v>3.87190321896632</v>
      </c>
      <c r="E32" t="n">
        <v>298.276110081382</v>
      </c>
      <c r="F32" t="n">
        <v>0</v>
      </c>
      <c r="G32" t="s">
        <v>288</v>
      </c>
      <c r="H32" t="n">
        <v>66.8703703703704</v>
      </c>
      <c r="I32" t="n">
        <v>59.2814400611964</v>
      </c>
      <c r="J32" t="n">
        <v>74.4593006795444</v>
      </c>
      <c r="K32" t="s">
        <v>579</v>
      </c>
      <c r="L32" t="s">
        <v>555</v>
      </c>
      <c r="M32" t="s">
        <v>291</v>
      </c>
      <c r="N32"/>
    </row>
    <row r="33">
      <c r="A33" t="s">
        <v>129</v>
      </c>
      <c r="B33" t="s">
        <v>292</v>
      </c>
      <c r="C33" t="n">
        <v>2.46296296296296</v>
      </c>
      <c r="D33" t="n">
        <v>7.34552457766418</v>
      </c>
      <c r="E33" t="n">
        <v>0.112426872577409</v>
      </c>
      <c r="F33" t="n">
        <v>0.737397913512093</v>
      </c>
      <c r="G33" t="s">
        <v>288</v>
      </c>
      <c r="H33" t="n">
        <v>2.46296296296296</v>
      </c>
      <c r="I33" t="n">
        <v>-11.9342652092588</v>
      </c>
      <c r="J33" t="n">
        <v>16.8601911351848</v>
      </c>
      <c r="K33" t="s">
        <v>580</v>
      </c>
      <c r="L33" t="s">
        <v>555</v>
      </c>
      <c r="M33" t="s">
        <v>291</v>
      </c>
      <c r="N33"/>
    </row>
    <row r="34">
      <c r="A34" t="s">
        <v>322</v>
      </c>
      <c r="B34"/>
      <c r="C34"/>
      <c r="D34"/>
      <c r="E34"/>
      <c r="F34"/>
      <c r="G34"/>
      <c r="H34"/>
      <c r="I34"/>
      <c r="J34"/>
      <c r="K34"/>
      <c r="L34" t="s">
        <v>317</v>
      </c>
      <c r="M34"/>
      <c r="N34"/>
    </row>
    <row r="36">
      <c r="A36" s="1" t="s">
        <v>581</v>
      </c>
    </row>
    <row r="37">
      <c r="A37" t="s">
        <v>273</v>
      </c>
      <c r="B37" t="s">
        <v>274</v>
      </c>
      <c r="C37" t="s">
        <v>275</v>
      </c>
      <c r="D37" t="s">
        <v>276</v>
      </c>
      <c r="E37" t="s">
        <v>277</v>
      </c>
      <c r="F37" t="s">
        <v>278</v>
      </c>
      <c r="G37" t="s">
        <v>279</v>
      </c>
      <c r="H37" t="s">
        <v>280</v>
      </c>
      <c r="I37" t="s">
        <v>281</v>
      </c>
      <c r="J37" t="s">
        <v>282</v>
      </c>
      <c r="K37" t="s">
        <v>283</v>
      </c>
      <c r="L37" t="s">
        <v>284</v>
      </c>
      <c r="M37" t="s">
        <v>285</v>
      </c>
      <c r="N37" t="s">
        <v>1</v>
      </c>
    </row>
    <row r="38">
      <c r="A38" t="s">
        <v>142</v>
      </c>
      <c r="B38" t="s">
        <v>287</v>
      </c>
      <c r="C38" t="n">
        <v>184.555555555556</v>
      </c>
      <c r="D38" t="n">
        <v>13.6998990627964</v>
      </c>
      <c r="E38" t="n">
        <v>181.476130797397</v>
      </c>
      <c r="F38" t="n">
        <v>0</v>
      </c>
      <c r="G38" t="s">
        <v>288</v>
      </c>
      <c r="H38" t="n">
        <v>184.555555555556</v>
      </c>
      <c r="I38" t="n">
        <v>157.703753392475</v>
      </c>
      <c r="J38" t="n">
        <v>211.407357718636</v>
      </c>
      <c r="K38" t="s">
        <v>582</v>
      </c>
      <c r="L38" t="s">
        <v>555</v>
      </c>
      <c r="M38" t="s">
        <v>291</v>
      </c>
      <c r="N38"/>
    </row>
    <row r="39">
      <c r="A39" t="s">
        <v>142</v>
      </c>
      <c r="B39" t="s">
        <v>292</v>
      </c>
      <c r="C39" t="n">
        <v>18.2962962962963</v>
      </c>
      <c r="D39" t="n">
        <v>22.2222566639304</v>
      </c>
      <c r="E39" t="n">
        <v>0.677875676528491</v>
      </c>
      <c r="F39" t="n">
        <v>0.410319188386433</v>
      </c>
      <c r="G39" t="s">
        <v>288</v>
      </c>
      <c r="H39" t="n">
        <v>18.2962962962963</v>
      </c>
      <c r="I39" t="n">
        <v>-25.2593267650072</v>
      </c>
      <c r="J39" t="n">
        <v>61.8519193575998</v>
      </c>
      <c r="K39" t="s">
        <v>583</v>
      </c>
      <c r="L39" t="s">
        <v>555</v>
      </c>
      <c r="M39" t="s">
        <v>291</v>
      </c>
      <c r="N39"/>
    </row>
    <row r="40">
      <c r="A40" t="s">
        <v>150</v>
      </c>
      <c r="B40" t="s">
        <v>287</v>
      </c>
      <c r="C40" t="n">
        <v>0.0694444444444444</v>
      </c>
      <c r="D40" t="n">
        <v>0.0492243904009035</v>
      </c>
      <c r="E40" t="n">
        <v>1.99028065960467</v>
      </c>
      <c r="F40" t="n">
        <v>0.158311537020489</v>
      </c>
      <c r="G40" t="s">
        <v>288</v>
      </c>
      <c r="H40" t="n">
        <v>0.0694444444444444</v>
      </c>
      <c r="I40" t="n">
        <v>-0.0270353607413265</v>
      </c>
      <c r="J40" t="n">
        <v>0.165924249630215</v>
      </c>
      <c r="K40" t="s">
        <v>584</v>
      </c>
      <c r="L40" t="s">
        <v>555</v>
      </c>
      <c r="M40" t="s">
        <v>291</v>
      </c>
      <c r="N40"/>
    </row>
    <row r="41">
      <c r="A41" t="s">
        <v>150</v>
      </c>
      <c r="B41" t="s">
        <v>292</v>
      </c>
      <c r="C41" t="n">
        <v>-0.24537037037037</v>
      </c>
      <c r="D41" t="n">
        <v>0.0928369293069531</v>
      </c>
      <c r="E41" t="n">
        <v>6.98558372933162</v>
      </c>
      <c r="F41" t="n">
        <v>0.00821688496086803</v>
      </c>
      <c r="G41" t="s">
        <v>288</v>
      </c>
      <c r="H41" t="n">
        <v>-0.24537037037037</v>
      </c>
      <c r="I41" t="n">
        <v>-0.427330751811998</v>
      </c>
      <c r="J41" t="n">
        <v>-0.0634099889287423</v>
      </c>
      <c r="K41" t="s">
        <v>585</v>
      </c>
      <c r="L41" t="s">
        <v>555</v>
      </c>
      <c r="M41" t="s">
        <v>291</v>
      </c>
      <c r="N41"/>
    </row>
    <row r="42">
      <c r="A42" t="s">
        <v>155</v>
      </c>
      <c r="B42" t="s">
        <v>287</v>
      </c>
      <c r="C42" t="n">
        <v>-0.180555555555556</v>
      </c>
      <c r="D42" t="n">
        <v>0.0225986446877457</v>
      </c>
      <c r="E42" t="n">
        <v>63.8347150259068</v>
      </c>
      <c r="F42" t="n">
        <v>0.00000000000000133226762955019</v>
      </c>
      <c r="G42" t="s">
        <v>288</v>
      </c>
      <c r="H42" t="n">
        <v>-0.180555555555556</v>
      </c>
      <c r="I42" t="n">
        <v>-0.224848899143537</v>
      </c>
      <c r="J42" t="n">
        <v>-0.136262211967574</v>
      </c>
      <c r="K42" t="s">
        <v>586</v>
      </c>
      <c r="L42" t="s">
        <v>555</v>
      </c>
      <c r="M42" t="s">
        <v>291</v>
      </c>
      <c r="N42"/>
    </row>
    <row r="43">
      <c r="A43" t="s">
        <v>155</v>
      </c>
      <c r="B43" t="s">
        <v>292</v>
      </c>
      <c r="C43" t="n">
        <v>0.0231481481481482</v>
      </c>
      <c r="D43" t="n">
        <v>0.0343081244761955</v>
      </c>
      <c r="E43" t="n">
        <v>0.455238047659491</v>
      </c>
      <c r="F43" t="n">
        <v>0.499857928004074</v>
      </c>
      <c r="G43" t="s">
        <v>288</v>
      </c>
      <c r="H43" t="n">
        <v>0.0231481481481482</v>
      </c>
      <c r="I43" t="n">
        <v>-0.0440957758251951</v>
      </c>
      <c r="J43" t="n">
        <v>0.0903920721214914</v>
      </c>
      <c r="K43" t="s">
        <v>587</v>
      </c>
      <c r="L43" t="s">
        <v>555</v>
      </c>
      <c r="M43" t="s">
        <v>291</v>
      </c>
      <c r="N43"/>
    </row>
    <row r="44">
      <c r="A44" t="s">
        <v>163</v>
      </c>
      <c r="B44" t="s">
        <v>287</v>
      </c>
      <c r="C44" t="n">
        <v>0.00319891411570963</v>
      </c>
      <c r="D44" t="n">
        <v>0.00630675030833208</v>
      </c>
      <c r="E44" t="n">
        <v>0.257272807881381</v>
      </c>
      <c r="F44" t="n">
        <v>0.611999993530115</v>
      </c>
      <c r="G44" t="s">
        <v>288</v>
      </c>
      <c r="H44" t="n">
        <v>0.00319891411570963</v>
      </c>
      <c r="I44" t="n">
        <v>-0.00916231648862124</v>
      </c>
      <c r="J44" t="n">
        <v>0.0155601447200405</v>
      </c>
      <c r="K44" t="s">
        <v>361</v>
      </c>
      <c r="L44" t="s">
        <v>555</v>
      </c>
      <c r="M44" t="s">
        <v>291</v>
      </c>
      <c r="N44"/>
    </row>
    <row r="45">
      <c r="A45" t="s">
        <v>163</v>
      </c>
      <c r="B45" t="s">
        <v>292</v>
      </c>
      <c r="C45" t="n">
        <v>0.053604371709247</v>
      </c>
      <c r="D45" t="n">
        <v>0.0112346121383429</v>
      </c>
      <c r="E45" t="n">
        <v>22.7658700802489</v>
      </c>
      <c r="F45" t="n">
        <v>0.00000182986735708379</v>
      </c>
      <c r="G45" t="s">
        <v>288</v>
      </c>
      <c r="H45" t="n">
        <v>0.053604371709247</v>
      </c>
      <c r="I45" t="n">
        <v>0.0315845319180949</v>
      </c>
      <c r="J45" t="n">
        <v>0.075624211500399</v>
      </c>
      <c r="K45" t="s">
        <v>588</v>
      </c>
      <c r="L45" t="s">
        <v>555</v>
      </c>
      <c r="M45" t="s">
        <v>291</v>
      </c>
      <c r="N45"/>
    </row>
    <row r="46">
      <c r="A46" t="s">
        <v>168</v>
      </c>
      <c r="B46" t="s">
        <v>287</v>
      </c>
      <c r="C46" t="n">
        <v>-0.00945640197200717</v>
      </c>
      <c r="D46" t="n">
        <v>0.00431248434327147</v>
      </c>
      <c r="E46" t="n">
        <v>4.80835791188527</v>
      </c>
      <c r="F46" t="n">
        <v>0.0283220208690356</v>
      </c>
      <c r="G46" t="s">
        <v>288</v>
      </c>
      <c r="H46" t="n">
        <v>-0.00945640197200717</v>
      </c>
      <c r="I46" t="n">
        <v>-0.0179088712848192</v>
      </c>
      <c r="J46" t="n">
        <v>-0.00100393265919509</v>
      </c>
      <c r="K46" t="s">
        <v>589</v>
      </c>
      <c r="L46" t="s">
        <v>555</v>
      </c>
      <c r="M46" t="s">
        <v>291</v>
      </c>
      <c r="N46"/>
    </row>
    <row r="47">
      <c r="A47" t="s">
        <v>168</v>
      </c>
      <c r="B47" t="s">
        <v>292</v>
      </c>
      <c r="C47" t="n">
        <v>0.00632177977468844</v>
      </c>
      <c r="D47" t="n">
        <v>0.00775413564753451</v>
      </c>
      <c r="E47" t="n">
        <v>0.664678968461913</v>
      </c>
      <c r="F47" t="n">
        <v>0.414912935139927</v>
      </c>
      <c r="G47" t="s">
        <v>288</v>
      </c>
      <c r="H47" t="n">
        <v>0.00632177977468844</v>
      </c>
      <c r="I47" t="n">
        <v>-0.00887632609447919</v>
      </c>
      <c r="J47" t="n">
        <v>0.0215198856438561</v>
      </c>
      <c r="K47" t="s">
        <v>590</v>
      </c>
      <c r="L47" t="s">
        <v>555</v>
      </c>
      <c r="M47" t="s">
        <v>291</v>
      </c>
      <c r="N47"/>
    </row>
    <row r="48">
      <c r="A48" t="s">
        <v>175</v>
      </c>
      <c r="B48"/>
      <c r="C48"/>
      <c r="D48"/>
      <c r="E48"/>
      <c r="F48"/>
      <c r="G48"/>
      <c r="H48"/>
      <c r="I48"/>
      <c r="J48"/>
      <c r="K48"/>
      <c r="L48" t="s">
        <v>308</v>
      </c>
      <c r="M48"/>
      <c r="N48"/>
    </row>
    <row r="49">
      <c r="A49" t="s">
        <v>177</v>
      </c>
      <c r="B49"/>
      <c r="C49"/>
      <c r="D49"/>
      <c r="E49"/>
      <c r="F49"/>
      <c r="G49"/>
      <c r="H49"/>
      <c r="I49"/>
      <c r="J49"/>
      <c r="K49"/>
      <c r="L49" t="s">
        <v>308</v>
      </c>
      <c r="M49"/>
      <c r="N49"/>
    </row>
    <row r="50">
      <c r="A50" t="s">
        <v>333</v>
      </c>
      <c r="B50" t="s">
        <v>287</v>
      </c>
      <c r="C50" t="n">
        <v>-1.90423745265475</v>
      </c>
      <c r="D50" t="n">
        <v>0.459238229550298</v>
      </c>
      <c r="E50" t="n">
        <v>17.1935730157958</v>
      </c>
      <c r="F50" t="n">
        <v>0.0000337576496062253</v>
      </c>
      <c r="G50" t="s">
        <v>309</v>
      </c>
      <c r="H50" t="n">
        <v>0.148936170212766</v>
      </c>
      <c r="I50" t="n">
        <v>0.0605464534729752</v>
      </c>
      <c r="J50" t="n">
        <v>0.36636304069481</v>
      </c>
      <c r="K50" t="s">
        <v>591</v>
      </c>
      <c r="L50" t="s">
        <v>572</v>
      </c>
      <c r="M50" t="s">
        <v>291</v>
      </c>
      <c r="N50"/>
    </row>
    <row r="51">
      <c r="A51" t="s">
        <v>333</v>
      </c>
      <c r="B51" t="s">
        <v>292</v>
      </c>
      <c r="C51" t="n">
        <v>1.68109390134054</v>
      </c>
      <c r="D51" t="n">
        <v>0.590018621488097</v>
      </c>
      <c r="E51" t="n">
        <v>8.11806469745493</v>
      </c>
      <c r="F51" t="n">
        <v>0.0043826319601048</v>
      </c>
      <c r="G51" t="s">
        <v>309</v>
      </c>
      <c r="H51" t="n">
        <v>5.37142857142857</v>
      </c>
      <c r="I51" t="n">
        <v>1.68987980182285</v>
      </c>
      <c r="J51" t="n">
        <v>17.0735485842464</v>
      </c>
      <c r="K51" t="s">
        <v>592</v>
      </c>
      <c r="L51" t="s">
        <v>572</v>
      </c>
      <c r="M51" t="s">
        <v>291</v>
      </c>
      <c r="N51"/>
    </row>
    <row r="52">
      <c r="A52" t="s">
        <v>336</v>
      </c>
      <c r="B52" t="s">
        <v>287</v>
      </c>
      <c r="C52" t="n">
        <v>-3.97029191355212</v>
      </c>
      <c r="D52" t="n">
        <v>0.978952586496063</v>
      </c>
      <c r="E52" t="n">
        <v>16.4483205875179</v>
      </c>
      <c r="F52" t="n">
        <v>0.0000499944516303419</v>
      </c>
      <c r="G52" t="s">
        <v>309</v>
      </c>
      <c r="H52" t="n">
        <v>0.0188679245283019</v>
      </c>
      <c r="I52" t="n">
        <v>0.00276963708646057</v>
      </c>
      <c r="J52" t="n">
        <v>0.128536181778473</v>
      </c>
      <c r="K52" t="s">
        <v>593</v>
      </c>
      <c r="L52" t="s">
        <v>572</v>
      </c>
      <c r="M52" t="s">
        <v>291</v>
      </c>
      <c r="N52"/>
    </row>
    <row r="53">
      <c r="A53" t="s">
        <v>336</v>
      </c>
      <c r="B53" t="s">
        <v>292</v>
      </c>
      <c r="C53" t="n">
        <v>1.44456326924387</v>
      </c>
      <c r="D53" t="n">
        <v>1.21554439104762</v>
      </c>
      <c r="E53" t="n">
        <v>1.4123147292315</v>
      </c>
      <c r="F53" t="n">
        <v>0.234672514813265</v>
      </c>
      <c r="G53" t="s">
        <v>309</v>
      </c>
      <c r="H53" t="n">
        <v>4.24</v>
      </c>
      <c r="I53" t="n">
        <v>0.391447552826166</v>
      </c>
      <c r="J53" t="n">
        <v>45.9259481128587</v>
      </c>
      <c r="K53" t="s">
        <v>594</v>
      </c>
      <c r="L53" t="s">
        <v>572</v>
      </c>
      <c r="M53" t="s">
        <v>291</v>
      </c>
      <c r="N53"/>
    </row>
    <row r="54">
      <c r="A54" t="s">
        <v>339</v>
      </c>
      <c r="B54"/>
      <c r="C54"/>
      <c r="D54"/>
      <c r="E54"/>
      <c r="F54"/>
      <c r="G54"/>
      <c r="H54"/>
      <c r="I54"/>
      <c r="J54"/>
      <c r="K54"/>
      <c r="L54" t="s">
        <v>317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552</v>
      </c>
    </row>
    <row r="3">
      <c r="A3" s="1" t="s">
        <v>595</v>
      </c>
    </row>
    <row r="4">
      <c r="A4" t="s">
        <v>273</v>
      </c>
      <c r="B4" t="s">
        <v>274</v>
      </c>
      <c r="C4" t="s">
        <v>275</v>
      </c>
      <c r="D4" t="s">
        <v>276</v>
      </c>
      <c r="E4" t="s">
        <v>277</v>
      </c>
      <c r="F4" t="s">
        <v>278</v>
      </c>
      <c r="G4" t="s">
        <v>279</v>
      </c>
      <c r="H4" t="s">
        <v>280</v>
      </c>
      <c r="I4" t="s">
        <v>281</v>
      </c>
      <c r="J4" t="s">
        <v>282</v>
      </c>
      <c r="K4" t="s">
        <v>283</v>
      </c>
      <c r="L4" t="s">
        <v>284</v>
      </c>
      <c r="M4" t="s">
        <v>285</v>
      </c>
      <c r="N4" t="s">
        <v>1</v>
      </c>
    </row>
    <row r="5">
      <c r="A5" t="s">
        <v>286</v>
      </c>
      <c r="B5" t="s">
        <v>287</v>
      </c>
      <c r="C5" t="n">
        <v>35.9692714845891</v>
      </c>
      <c r="D5" t="n">
        <v>1.42591341290693</v>
      </c>
      <c r="E5" t="n">
        <v>636.322053368202</v>
      </c>
      <c r="F5" t="n">
        <v>0</v>
      </c>
      <c r="G5" t="s">
        <v>288</v>
      </c>
      <c r="H5" t="n">
        <v>35.9692714845891</v>
      </c>
      <c r="I5" t="n">
        <v>33.1744811952916</v>
      </c>
      <c r="J5" t="n">
        <v>38.7640617738867</v>
      </c>
      <c r="K5" t="s">
        <v>596</v>
      </c>
      <c r="L5" t="s">
        <v>597</v>
      </c>
      <c r="M5" t="s">
        <v>51</v>
      </c>
      <c r="N5"/>
    </row>
    <row r="6">
      <c r="A6" t="s">
        <v>286</v>
      </c>
      <c r="B6" t="s">
        <v>292</v>
      </c>
      <c r="C6" t="n">
        <v>0.125718525169238</v>
      </c>
      <c r="D6" t="n">
        <v>1.34455156092292</v>
      </c>
      <c r="E6" t="n">
        <v>0.00874266087764702</v>
      </c>
      <c r="F6" t="n">
        <v>0.925504604245687</v>
      </c>
      <c r="G6" t="s">
        <v>288</v>
      </c>
      <c r="H6" t="n">
        <v>0.125718525169238</v>
      </c>
      <c r="I6" t="n">
        <v>-2.50960253423969</v>
      </c>
      <c r="J6" t="n">
        <v>2.76103958457817</v>
      </c>
      <c r="K6" t="s">
        <v>598</v>
      </c>
      <c r="L6" t="s">
        <v>597</v>
      </c>
      <c r="M6" t="s">
        <v>51</v>
      </c>
      <c r="N6"/>
    </row>
    <row r="7">
      <c r="A7" t="s">
        <v>286</v>
      </c>
      <c r="B7" t="s">
        <v>51</v>
      </c>
      <c r="C7" t="n">
        <v>-0.0836583956099343</v>
      </c>
      <c r="D7" t="n">
        <v>0.276457905972014</v>
      </c>
      <c r="E7" t="n">
        <v>0.0915716489493107</v>
      </c>
      <c r="F7" t="n">
        <v>0.762188557500484</v>
      </c>
      <c r="G7" t="s">
        <v>288</v>
      </c>
      <c r="H7" t="n">
        <v>-0.0836583956099343</v>
      </c>
      <c r="I7" t="n">
        <v>-0.625515891315082</v>
      </c>
      <c r="J7" t="n">
        <v>0.458199100095214</v>
      </c>
      <c r="K7" t="s">
        <v>599</v>
      </c>
      <c r="L7" t="s">
        <v>597</v>
      </c>
      <c r="M7" t="s">
        <v>51</v>
      </c>
      <c r="N7"/>
    </row>
    <row r="8">
      <c r="A8" t="s">
        <v>51</v>
      </c>
      <c r="B8" t="s">
        <v>287</v>
      </c>
      <c r="C8" t="n">
        <v>-3.79431909884867</v>
      </c>
      <c r="D8" t="n">
        <v>1.82312733690416</v>
      </c>
      <c r="E8" t="n">
        <v>4.3314539090235</v>
      </c>
      <c r="F8" t="n">
        <v>0.0374142744212774</v>
      </c>
      <c r="G8" t="s">
        <v>288</v>
      </c>
      <c r="H8" t="n">
        <v>-3.79431909884867</v>
      </c>
      <c r="I8" t="n">
        <v>-7.36764867918082</v>
      </c>
      <c r="J8" t="n">
        <v>-0.220989518516519</v>
      </c>
      <c r="K8" t="s">
        <v>600</v>
      </c>
      <c r="L8" t="s">
        <v>597</v>
      </c>
      <c r="M8" t="s">
        <v>286</v>
      </c>
      <c r="N8"/>
    </row>
    <row r="9">
      <c r="A9" t="s">
        <v>51</v>
      </c>
      <c r="B9" t="s">
        <v>292</v>
      </c>
      <c r="C9" t="n">
        <v>-0.26583666939854</v>
      </c>
      <c r="D9" t="n">
        <v>0.515405389615025</v>
      </c>
      <c r="E9" t="n">
        <v>0.266030764764347</v>
      </c>
      <c r="F9" t="n">
        <v>0.606006883387065</v>
      </c>
      <c r="G9" t="s">
        <v>288</v>
      </c>
      <c r="H9" t="n">
        <v>-0.26583666939854</v>
      </c>
      <c r="I9" t="n">
        <v>-1.27603123304399</v>
      </c>
      <c r="J9" t="n">
        <v>0.744357894246909</v>
      </c>
      <c r="K9" t="s">
        <v>601</v>
      </c>
      <c r="L9" t="s">
        <v>597</v>
      </c>
      <c r="M9" t="s">
        <v>286</v>
      </c>
      <c r="N9"/>
    </row>
    <row r="10">
      <c r="A10" t="s">
        <v>51</v>
      </c>
      <c r="B10" t="s">
        <v>286</v>
      </c>
      <c r="C10" t="n">
        <v>-0.0153426039209559</v>
      </c>
      <c r="D10" t="n">
        <v>0.051018405896923</v>
      </c>
      <c r="E10" t="n">
        <v>0.090436631515213</v>
      </c>
      <c r="F10" t="n">
        <v>0.763622801263155</v>
      </c>
      <c r="G10" t="s">
        <v>288</v>
      </c>
      <c r="H10" t="n">
        <v>-0.0153426039209559</v>
      </c>
      <c r="I10" t="n">
        <v>-0.115338679478925</v>
      </c>
      <c r="J10" t="n">
        <v>0.0846534716370132</v>
      </c>
      <c r="K10" t="s">
        <v>602</v>
      </c>
      <c r="L10" t="s">
        <v>597</v>
      </c>
      <c r="M10" t="s">
        <v>286</v>
      </c>
      <c r="N10"/>
    </row>
    <row r="11">
      <c r="A11" t="s">
        <v>58</v>
      </c>
      <c r="B11" t="s">
        <v>287</v>
      </c>
      <c r="C11" t="n">
        <v>0.258249996598606</v>
      </c>
      <c r="D11" t="n">
        <v>0.314916446884869</v>
      </c>
      <c r="E11" t="n">
        <v>0.672496399344118</v>
      </c>
      <c r="F11" t="n">
        <v>0.412182600255659</v>
      </c>
      <c r="G11" t="s">
        <v>288</v>
      </c>
      <c r="H11" t="n">
        <v>0.258249996598606</v>
      </c>
      <c r="I11" t="n">
        <v>-0.358986239295738</v>
      </c>
      <c r="J11" t="n">
        <v>0.87548623249295</v>
      </c>
      <c r="K11" t="s">
        <v>603</v>
      </c>
      <c r="L11" t="s">
        <v>555</v>
      </c>
      <c r="M11" t="s">
        <v>348</v>
      </c>
      <c r="N11"/>
    </row>
    <row r="12">
      <c r="A12" t="s">
        <v>58</v>
      </c>
      <c r="B12" t="s">
        <v>292</v>
      </c>
      <c r="C12" t="n">
        <v>0.0175436572413697</v>
      </c>
      <c r="D12" t="n">
        <v>0.0688199167655281</v>
      </c>
      <c r="E12" t="n">
        <v>0.0649848291412183</v>
      </c>
      <c r="F12" t="n">
        <v>0.798783945290166</v>
      </c>
      <c r="G12" t="s">
        <v>288</v>
      </c>
      <c r="H12" t="n">
        <v>0.0175436572413697</v>
      </c>
      <c r="I12" t="n">
        <v>-0.117343379619065</v>
      </c>
      <c r="J12" t="n">
        <v>0.152430694101805</v>
      </c>
      <c r="K12" t="s">
        <v>604</v>
      </c>
      <c r="L12" t="s">
        <v>555</v>
      </c>
      <c r="M12" t="s">
        <v>348</v>
      </c>
      <c r="N12"/>
    </row>
    <row r="13">
      <c r="A13" t="s">
        <v>58</v>
      </c>
      <c r="B13" t="s">
        <v>286</v>
      </c>
      <c r="C13" t="n">
        <v>0.00510965874249503</v>
      </c>
      <c r="D13" t="n">
        <v>0.00834192610269808</v>
      </c>
      <c r="E13" t="n">
        <v>0.375189879752769</v>
      </c>
      <c r="F13" t="n">
        <v>0.540188840750555</v>
      </c>
      <c r="G13" t="s">
        <v>288</v>
      </c>
      <c r="H13" t="n">
        <v>0.00510965874249503</v>
      </c>
      <c r="I13" t="n">
        <v>-0.0112405164187932</v>
      </c>
      <c r="J13" t="n">
        <v>0.0214598339037833</v>
      </c>
      <c r="K13" t="s">
        <v>605</v>
      </c>
      <c r="L13" t="s">
        <v>555</v>
      </c>
      <c r="M13" t="s">
        <v>348</v>
      </c>
      <c r="N13"/>
    </row>
    <row r="14">
      <c r="A14" t="s">
        <v>58</v>
      </c>
      <c r="B14" t="s">
        <v>51</v>
      </c>
      <c r="C14" t="n">
        <v>1.01798005269297</v>
      </c>
      <c r="D14" t="n">
        <v>0.013910898422434</v>
      </c>
      <c r="E14" t="n">
        <v>5355.10730223747</v>
      </c>
      <c r="F14" t="n">
        <v>0</v>
      </c>
      <c r="G14" t="s">
        <v>288</v>
      </c>
      <c r="H14" t="n">
        <v>1.01798005269297</v>
      </c>
      <c r="I14" t="n">
        <v>0.990714691785003</v>
      </c>
      <c r="J14" t="n">
        <v>1.04524541360094</v>
      </c>
      <c r="K14" t="s">
        <v>606</v>
      </c>
      <c r="L14" t="s">
        <v>555</v>
      </c>
      <c r="M14" t="s">
        <v>348</v>
      </c>
      <c r="N14"/>
    </row>
    <row r="15">
      <c r="A15" t="s">
        <v>64</v>
      </c>
      <c r="B15" t="s">
        <v>287</v>
      </c>
      <c r="C15" t="n">
        <v>-0.478503881013558</v>
      </c>
      <c r="D15" t="n">
        <v>0.617320456536422</v>
      </c>
      <c r="E15" t="n">
        <v>0.600827208852461</v>
      </c>
      <c r="F15" t="n">
        <v>0.438262582380587</v>
      </c>
      <c r="G15" t="s">
        <v>288</v>
      </c>
      <c r="H15" t="n">
        <v>-0.478503881013558</v>
      </c>
      <c r="I15" t="n">
        <v>-1.68845197582495</v>
      </c>
      <c r="J15" t="n">
        <v>0.731444213797829</v>
      </c>
      <c r="K15" t="s">
        <v>607</v>
      </c>
      <c r="L15" t="s">
        <v>555</v>
      </c>
      <c r="M15" t="s">
        <v>348</v>
      </c>
      <c r="N15"/>
    </row>
    <row r="16">
      <c r="A16" t="s">
        <v>64</v>
      </c>
      <c r="B16" t="s">
        <v>292</v>
      </c>
      <c r="C16" t="n">
        <v>0.0397214780277916</v>
      </c>
      <c r="D16" t="n">
        <v>0.132972471129807</v>
      </c>
      <c r="E16" t="n">
        <v>0.089233375345901</v>
      </c>
      <c r="F16" t="n">
        <v>0.765154031627438</v>
      </c>
      <c r="G16" t="s">
        <v>288</v>
      </c>
      <c r="H16" t="n">
        <v>0.0397214780277916</v>
      </c>
      <c r="I16" t="n">
        <v>-0.220904565386629</v>
      </c>
      <c r="J16" t="n">
        <v>0.300347521442212</v>
      </c>
      <c r="K16" t="s">
        <v>608</v>
      </c>
      <c r="L16" t="s">
        <v>555</v>
      </c>
      <c r="M16" t="s">
        <v>348</v>
      </c>
      <c r="N16"/>
    </row>
    <row r="17">
      <c r="A17" t="s">
        <v>64</v>
      </c>
      <c r="B17" t="s">
        <v>286</v>
      </c>
      <c r="C17" t="n">
        <v>-0.0129527503312555</v>
      </c>
      <c r="D17" t="n">
        <v>0.0163084494020483</v>
      </c>
      <c r="E17" t="n">
        <v>0.63081011382913</v>
      </c>
      <c r="F17" t="n">
        <v>0.427058314489845</v>
      </c>
      <c r="G17" t="s">
        <v>288</v>
      </c>
      <c r="H17" t="n">
        <v>-0.0129527503312555</v>
      </c>
      <c r="I17" t="n">
        <v>-0.0449173111592702</v>
      </c>
      <c r="J17" t="n">
        <v>0.0190118104967592</v>
      </c>
      <c r="K17" t="s">
        <v>609</v>
      </c>
      <c r="L17" t="s">
        <v>555</v>
      </c>
      <c r="M17" t="s">
        <v>348</v>
      </c>
      <c r="N17"/>
    </row>
    <row r="18">
      <c r="A18" t="s">
        <v>64</v>
      </c>
      <c r="B18" t="s">
        <v>51</v>
      </c>
      <c r="C18" t="n">
        <v>-0.0489477867839341</v>
      </c>
      <c r="D18" t="n">
        <v>0.0302586415355065</v>
      </c>
      <c r="E18" t="n">
        <v>2.61678032825868</v>
      </c>
      <c r="F18" t="n">
        <v>0.1057387932119</v>
      </c>
      <c r="G18" t="s">
        <v>288</v>
      </c>
      <c r="H18" t="n">
        <v>-0.0489477867839341</v>
      </c>
      <c r="I18" t="n">
        <v>-0.108254724193527</v>
      </c>
      <c r="J18" t="n">
        <v>0.0103591506256587</v>
      </c>
      <c r="K18" t="s">
        <v>610</v>
      </c>
      <c r="L18" t="s">
        <v>555</v>
      </c>
      <c r="M18" t="s">
        <v>348</v>
      </c>
      <c r="N18"/>
    </row>
    <row r="19">
      <c r="A19" t="s">
        <v>70</v>
      </c>
      <c r="B19" t="s">
        <v>287</v>
      </c>
      <c r="C19" t="n">
        <v>0.593634239605974</v>
      </c>
      <c r="D19" t="n">
        <v>0.090263555034178</v>
      </c>
      <c r="E19" t="n">
        <v>43.2526793822724</v>
      </c>
      <c r="F19" t="n">
        <v>0.0000000000481078510361499</v>
      </c>
      <c r="G19" t="s">
        <v>288</v>
      </c>
      <c r="H19" t="n">
        <v>0.593634239605974</v>
      </c>
      <c r="I19" t="n">
        <v>0.416717671738985</v>
      </c>
      <c r="J19" t="n">
        <v>0.770550807472963</v>
      </c>
      <c r="K19" t="s">
        <v>611</v>
      </c>
      <c r="L19" t="s">
        <v>555</v>
      </c>
      <c r="M19" t="s">
        <v>348</v>
      </c>
      <c r="N19"/>
    </row>
    <row r="20">
      <c r="A20" t="s">
        <v>70</v>
      </c>
      <c r="B20" t="s">
        <v>292</v>
      </c>
      <c r="C20" t="n">
        <v>-0.0130030493304033</v>
      </c>
      <c r="D20" t="n">
        <v>0.0198495409016917</v>
      </c>
      <c r="E20" t="n">
        <v>0.429130603505836</v>
      </c>
      <c r="F20" t="n">
        <v>0.512415856453916</v>
      </c>
      <c r="G20" t="s">
        <v>288</v>
      </c>
      <c r="H20" t="n">
        <v>-0.0130030493304033</v>
      </c>
      <c r="I20" t="n">
        <v>-0.051908149497719</v>
      </c>
      <c r="J20" t="n">
        <v>0.0259020508369124</v>
      </c>
      <c r="K20" t="s">
        <v>612</v>
      </c>
      <c r="L20" t="s">
        <v>555</v>
      </c>
      <c r="M20" t="s">
        <v>348</v>
      </c>
      <c r="N20"/>
    </row>
    <row r="21">
      <c r="A21" t="s">
        <v>70</v>
      </c>
      <c r="B21" t="s">
        <v>286</v>
      </c>
      <c r="C21" t="n">
        <v>0.000978971842846698</v>
      </c>
      <c r="D21" t="n">
        <v>0.0023041382473642</v>
      </c>
      <c r="E21" t="n">
        <v>0.180519173140669</v>
      </c>
      <c r="F21" t="n">
        <v>0.670927450510037</v>
      </c>
      <c r="G21" t="s">
        <v>288</v>
      </c>
      <c r="H21" t="n">
        <v>0.000978971842846698</v>
      </c>
      <c r="I21" t="n">
        <v>-0.00353713912198714</v>
      </c>
      <c r="J21" t="n">
        <v>0.00549508280768053</v>
      </c>
      <c r="K21" t="s">
        <v>447</v>
      </c>
      <c r="L21" t="s">
        <v>555</v>
      </c>
      <c r="M21" t="s">
        <v>348</v>
      </c>
      <c r="N21"/>
    </row>
    <row r="22">
      <c r="A22" t="s">
        <v>70</v>
      </c>
      <c r="B22" t="s">
        <v>51</v>
      </c>
      <c r="C22" t="n">
        <v>-0.108538278233996</v>
      </c>
      <c r="D22" t="n">
        <v>0.00500093644798885</v>
      </c>
      <c r="E22" t="n">
        <v>471.045853180204</v>
      </c>
      <c r="F22" t="n">
        <v>0</v>
      </c>
      <c r="G22" t="s">
        <v>288</v>
      </c>
      <c r="H22" t="n">
        <v>-0.108538278233996</v>
      </c>
      <c r="I22" t="n">
        <v>-0.118340113672054</v>
      </c>
      <c r="J22" t="n">
        <v>-0.0987364427959376</v>
      </c>
      <c r="K22" t="s">
        <v>613</v>
      </c>
      <c r="L22" t="s">
        <v>555</v>
      </c>
      <c r="M22" t="s">
        <v>348</v>
      </c>
      <c r="N22"/>
    </row>
    <row r="23">
      <c r="A23" t="s">
        <v>76</v>
      </c>
      <c r="B23" t="s">
        <v>287</v>
      </c>
      <c r="C23" t="n">
        <v>0.00378977378895195</v>
      </c>
      <c r="D23" t="n">
        <v>0.0266337091622352</v>
      </c>
      <c r="E23" t="n">
        <v>0.0202471205943116</v>
      </c>
      <c r="F23" t="n">
        <v>0.886849067416604</v>
      </c>
      <c r="G23" t="s">
        <v>288</v>
      </c>
      <c r="H23" t="n">
        <v>0.00378977378895195</v>
      </c>
      <c r="I23" t="n">
        <v>-0.048412296169029</v>
      </c>
      <c r="J23" t="n">
        <v>0.0559918437469329</v>
      </c>
      <c r="K23" t="s">
        <v>614</v>
      </c>
      <c r="L23" t="s">
        <v>555</v>
      </c>
      <c r="M23" t="s">
        <v>348</v>
      </c>
      <c r="N23"/>
    </row>
    <row r="24">
      <c r="A24" t="s">
        <v>76</v>
      </c>
      <c r="B24" t="s">
        <v>292</v>
      </c>
      <c r="C24" t="n">
        <v>0.00512925416218135</v>
      </c>
      <c r="D24" t="n">
        <v>0.0069033288845112</v>
      </c>
      <c r="E24" t="n">
        <v>0.55206639323422</v>
      </c>
      <c r="F24" t="n">
        <v>0.457474594117586</v>
      </c>
      <c r="G24" t="s">
        <v>288</v>
      </c>
      <c r="H24" t="n">
        <v>0.00512925416218135</v>
      </c>
      <c r="I24" t="n">
        <v>-0.0084012704514606</v>
      </c>
      <c r="J24" t="n">
        <v>0.0186597787758233</v>
      </c>
      <c r="K24" t="s">
        <v>566</v>
      </c>
      <c r="L24" t="s">
        <v>555</v>
      </c>
      <c r="M24" t="s">
        <v>348</v>
      </c>
      <c r="N24"/>
    </row>
    <row r="25">
      <c r="A25" t="s">
        <v>76</v>
      </c>
      <c r="B25" t="s">
        <v>286</v>
      </c>
      <c r="C25" t="n">
        <v>-0.000599832288506718</v>
      </c>
      <c r="D25" t="n">
        <v>0.00074008761738734</v>
      </c>
      <c r="E25" t="n">
        <v>0.656891139090626</v>
      </c>
      <c r="F25" t="n">
        <v>0.417659638296881</v>
      </c>
      <c r="G25" t="s">
        <v>288</v>
      </c>
      <c r="H25" t="n">
        <v>-0.000599832288506718</v>
      </c>
      <c r="I25" t="n">
        <v>-0.0020504040185859</v>
      </c>
      <c r="J25" t="n">
        <v>0.000850739441572468</v>
      </c>
      <c r="K25" t="s">
        <v>615</v>
      </c>
      <c r="L25" t="s">
        <v>555</v>
      </c>
      <c r="M25" t="s">
        <v>348</v>
      </c>
      <c r="N25"/>
    </row>
    <row r="26">
      <c r="A26" t="s">
        <v>76</v>
      </c>
      <c r="B26" t="s">
        <v>51</v>
      </c>
      <c r="C26" t="n">
        <v>-0.00228865740509682</v>
      </c>
      <c r="D26" t="n">
        <v>0.00181438643907381</v>
      </c>
      <c r="E26" t="n">
        <v>1.59111654343889</v>
      </c>
      <c r="F26" t="n">
        <v>0.207166683432649</v>
      </c>
      <c r="G26" t="s">
        <v>288</v>
      </c>
      <c r="H26" t="n">
        <v>-0.00228865740509682</v>
      </c>
      <c r="I26" t="n">
        <v>-0.00584485482568148</v>
      </c>
      <c r="J26" t="n">
        <v>0.00126754001548785</v>
      </c>
      <c r="K26" t="s">
        <v>616</v>
      </c>
      <c r="L26" t="s">
        <v>555</v>
      </c>
      <c r="M26" t="s">
        <v>348</v>
      </c>
      <c r="N26"/>
    </row>
    <row r="27">
      <c r="A27" t="s">
        <v>81</v>
      </c>
      <c r="B27" t="s">
        <v>287</v>
      </c>
      <c r="C27" t="n">
        <v>482.940241228177</v>
      </c>
      <c r="D27" t="n">
        <v>21.39459986929</v>
      </c>
      <c r="E27" t="n">
        <v>509.540198969278</v>
      </c>
      <c r="F27" t="n">
        <v>0</v>
      </c>
      <c r="G27" t="s">
        <v>288</v>
      </c>
      <c r="H27" t="n">
        <v>482.940241228177</v>
      </c>
      <c r="I27" t="n">
        <v>441.006825484369</v>
      </c>
      <c r="J27" t="n">
        <v>524.873656971986</v>
      </c>
      <c r="K27" t="s">
        <v>617</v>
      </c>
      <c r="L27" t="s">
        <v>555</v>
      </c>
      <c r="M27" t="s">
        <v>348</v>
      </c>
      <c r="N27"/>
    </row>
    <row r="28">
      <c r="A28" t="s">
        <v>81</v>
      </c>
      <c r="B28" t="s">
        <v>292</v>
      </c>
      <c r="C28" t="n">
        <v>1.44909933704656</v>
      </c>
      <c r="D28" t="n">
        <v>5.54439254611413</v>
      </c>
      <c r="E28" t="n">
        <v>0.0683106430376336</v>
      </c>
      <c r="F28" t="n">
        <v>0.793812550053559</v>
      </c>
      <c r="G28" t="s">
        <v>288</v>
      </c>
      <c r="H28" t="n">
        <v>1.44909933704656</v>
      </c>
      <c r="I28" t="n">
        <v>-9.41791005333713</v>
      </c>
      <c r="J28" t="n">
        <v>12.3161087274302</v>
      </c>
      <c r="K28" t="s">
        <v>618</v>
      </c>
      <c r="L28" t="s">
        <v>555</v>
      </c>
      <c r="M28" t="s">
        <v>348</v>
      </c>
      <c r="N28"/>
    </row>
    <row r="29">
      <c r="A29" t="s">
        <v>81</v>
      </c>
      <c r="B29" t="s">
        <v>286</v>
      </c>
      <c r="C29" t="n">
        <v>1.67231210704176</v>
      </c>
      <c r="D29" t="n">
        <v>0.597745203352256</v>
      </c>
      <c r="E29" t="n">
        <v>7.82712858149007</v>
      </c>
      <c r="F29" t="n">
        <v>0.00514677982898715</v>
      </c>
      <c r="G29" t="s">
        <v>288</v>
      </c>
      <c r="H29" t="n">
        <v>1.67231210704176</v>
      </c>
      <c r="I29" t="n">
        <v>0.500731508471338</v>
      </c>
      <c r="J29" t="n">
        <v>2.84389270561218</v>
      </c>
      <c r="K29" t="s">
        <v>619</v>
      </c>
      <c r="L29" t="s">
        <v>555</v>
      </c>
      <c r="M29" t="s">
        <v>348</v>
      </c>
      <c r="N29"/>
    </row>
    <row r="30">
      <c r="A30" t="s">
        <v>81</v>
      </c>
      <c r="B30" t="s">
        <v>51</v>
      </c>
      <c r="C30" t="n">
        <v>1.42491874951745</v>
      </c>
      <c r="D30" t="n">
        <v>1.23174173353994</v>
      </c>
      <c r="E30" t="n">
        <v>1.33826120868909</v>
      </c>
      <c r="F30" t="n">
        <v>0.247340840451332</v>
      </c>
      <c r="G30" t="s">
        <v>288</v>
      </c>
      <c r="H30" t="n">
        <v>1.42491874951745</v>
      </c>
      <c r="I30" t="n">
        <v>-0.989295048220826</v>
      </c>
      <c r="J30" t="n">
        <v>3.83913254725572</v>
      </c>
      <c r="K30" t="s">
        <v>620</v>
      </c>
      <c r="L30" t="s">
        <v>555</v>
      </c>
      <c r="M30" t="s">
        <v>348</v>
      </c>
      <c r="N30"/>
    </row>
    <row r="31">
      <c r="A31" t="s">
        <v>87</v>
      </c>
      <c r="B31" t="s">
        <v>287</v>
      </c>
      <c r="C31" t="n">
        <v>40.3394514471243</v>
      </c>
      <c r="D31" t="n">
        <v>1.30842367765866</v>
      </c>
      <c r="E31" t="n">
        <v>950.524219167861</v>
      </c>
      <c r="F31" t="n">
        <v>0</v>
      </c>
      <c r="G31" t="s">
        <v>288</v>
      </c>
      <c r="H31" t="n">
        <v>40.3394514471243</v>
      </c>
      <c r="I31" t="n">
        <v>37.7749410389133</v>
      </c>
      <c r="J31" t="n">
        <v>42.9039618553353</v>
      </c>
      <c r="K31" t="s">
        <v>621</v>
      </c>
      <c r="L31" t="s">
        <v>555</v>
      </c>
      <c r="M31" t="s">
        <v>348</v>
      </c>
      <c r="N31"/>
    </row>
    <row r="32">
      <c r="A32" t="s">
        <v>87</v>
      </c>
      <c r="B32" t="s">
        <v>292</v>
      </c>
      <c r="C32" t="n">
        <v>-0.432014884112276</v>
      </c>
      <c r="D32" t="n">
        <v>0.309800407220163</v>
      </c>
      <c r="E32" t="n">
        <v>1.94461419164187</v>
      </c>
      <c r="F32" t="n">
        <v>0.163168407000188</v>
      </c>
      <c r="G32" t="s">
        <v>288</v>
      </c>
      <c r="H32" t="n">
        <v>-0.432014884112276</v>
      </c>
      <c r="I32" t="n">
        <v>-1.0392236822638</v>
      </c>
      <c r="J32" t="n">
        <v>0.175193914039244</v>
      </c>
      <c r="K32" t="s">
        <v>622</v>
      </c>
      <c r="L32" t="s">
        <v>555</v>
      </c>
      <c r="M32" t="s">
        <v>348</v>
      </c>
      <c r="N32"/>
    </row>
    <row r="33">
      <c r="A33" t="s">
        <v>87</v>
      </c>
      <c r="B33" t="s">
        <v>286</v>
      </c>
      <c r="C33" t="n">
        <v>0.091224607723843</v>
      </c>
      <c r="D33" t="n">
        <v>0.0343465505296209</v>
      </c>
      <c r="E33" t="n">
        <v>7.05436221736473</v>
      </c>
      <c r="F33" t="n">
        <v>0.00790724571064738</v>
      </c>
      <c r="G33" t="s">
        <v>288</v>
      </c>
      <c r="H33" t="n">
        <v>0.091224607723843</v>
      </c>
      <c r="I33" t="n">
        <v>0.0239053686857859</v>
      </c>
      <c r="J33" t="n">
        <v>0.1585438467619</v>
      </c>
      <c r="K33" t="s">
        <v>623</v>
      </c>
      <c r="L33" t="s">
        <v>555</v>
      </c>
      <c r="M33" t="s">
        <v>348</v>
      </c>
      <c r="N33"/>
    </row>
    <row r="34">
      <c r="A34" t="s">
        <v>87</v>
      </c>
      <c r="B34" t="s">
        <v>51</v>
      </c>
      <c r="C34" t="n">
        <v>0.0021407161824615</v>
      </c>
      <c r="D34" t="n">
        <v>0.0754813951377363</v>
      </c>
      <c r="E34" t="n">
        <v>0.000804337555097012</v>
      </c>
      <c r="F34" t="n">
        <v>0.97737435242801</v>
      </c>
      <c r="G34" t="s">
        <v>288</v>
      </c>
      <c r="H34" t="n">
        <v>0.0021407161824615</v>
      </c>
      <c r="I34" t="n">
        <v>-0.145802818287502</v>
      </c>
      <c r="J34" t="n">
        <v>0.150084250652425</v>
      </c>
      <c r="K34" t="s">
        <v>624</v>
      </c>
      <c r="L34" t="s">
        <v>555</v>
      </c>
      <c r="M34" t="s">
        <v>348</v>
      </c>
      <c r="N34"/>
    </row>
    <row r="35">
      <c r="A35" t="s">
        <v>93</v>
      </c>
      <c r="B35"/>
      <c r="C35"/>
      <c r="D35"/>
      <c r="E35"/>
      <c r="F35"/>
      <c r="G35"/>
      <c r="H35"/>
      <c r="I35"/>
      <c r="J35"/>
      <c r="K35"/>
      <c r="L35" t="s">
        <v>308</v>
      </c>
      <c r="M35"/>
      <c r="N35"/>
    </row>
    <row r="36">
      <c r="A36" t="s">
        <v>23</v>
      </c>
      <c r="B36" t="s">
        <v>287</v>
      </c>
      <c r="C36" t="n">
        <v>1.31023834259108</v>
      </c>
      <c r="D36" t="n">
        <v>2.34066377538886</v>
      </c>
      <c r="E36" t="n">
        <v>0.313344835337853</v>
      </c>
      <c r="F36" t="n">
        <v>0.575634877154267</v>
      </c>
      <c r="G36" t="s">
        <v>309</v>
      </c>
      <c r="H36" t="n">
        <v>3.7070571565328</v>
      </c>
      <c r="I36" t="n">
        <v>0.0377238538246651</v>
      </c>
      <c r="J36" t="n">
        <v>364.286025114854</v>
      </c>
      <c r="K36" t="s">
        <v>625</v>
      </c>
      <c r="L36" t="s">
        <v>572</v>
      </c>
      <c r="M36" t="s">
        <v>348</v>
      </c>
      <c r="N36"/>
    </row>
    <row r="37">
      <c r="A37" t="s">
        <v>23</v>
      </c>
      <c r="B37" t="s">
        <v>292</v>
      </c>
      <c r="C37" t="n">
        <v>1.13046546578546</v>
      </c>
      <c r="D37" t="n">
        <v>0.676345197410307</v>
      </c>
      <c r="E37" t="n">
        <v>2.7936872031434</v>
      </c>
      <c r="F37" t="n">
        <v>0.0946362454789544</v>
      </c>
      <c r="G37" t="s">
        <v>309</v>
      </c>
      <c r="H37" t="n">
        <v>3.09709775771108</v>
      </c>
      <c r="I37" t="n">
        <v>0.822693865698953</v>
      </c>
      <c r="J37" t="n">
        <v>11.6592756075429</v>
      </c>
      <c r="K37" t="s">
        <v>626</v>
      </c>
      <c r="L37" t="s">
        <v>572</v>
      </c>
      <c r="M37" t="s">
        <v>348</v>
      </c>
      <c r="N37"/>
    </row>
    <row r="38">
      <c r="A38" t="s">
        <v>23</v>
      </c>
      <c r="B38" t="s">
        <v>286</v>
      </c>
      <c r="C38" t="n">
        <v>-0.0154328269790877</v>
      </c>
      <c r="D38" t="n">
        <v>0.062677583113246</v>
      </c>
      <c r="E38" t="n">
        <v>0.060627057648759</v>
      </c>
      <c r="F38" t="n">
        <v>0.805507581379671</v>
      </c>
      <c r="G38" t="s">
        <v>309</v>
      </c>
      <c r="H38" t="n">
        <v>0.984685648839908</v>
      </c>
      <c r="I38" t="n">
        <v>0.870854043299136</v>
      </c>
      <c r="J38" t="n">
        <v>1.11339648072141</v>
      </c>
      <c r="K38" t="s">
        <v>627</v>
      </c>
      <c r="L38" t="s">
        <v>572</v>
      </c>
      <c r="M38" t="s">
        <v>348</v>
      </c>
      <c r="N38"/>
    </row>
    <row r="39">
      <c r="A39" t="s">
        <v>23</v>
      </c>
      <c r="B39" t="s">
        <v>51</v>
      </c>
      <c r="C39" t="n">
        <v>0.172104969433757</v>
      </c>
      <c r="D39" t="n">
        <v>0.145161122320062</v>
      </c>
      <c r="E39" t="n">
        <v>1.40567909590551</v>
      </c>
      <c r="F39" t="n">
        <v>0.235775014349844</v>
      </c>
      <c r="G39" t="s">
        <v>309</v>
      </c>
      <c r="H39" t="n">
        <v>1.18780250962704</v>
      </c>
      <c r="I39" t="n">
        <v>0.893677032456462</v>
      </c>
      <c r="J39" t="n">
        <v>1.57873006761536</v>
      </c>
      <c r="K39" t="s">
        <v>628</v>
      </c>
      <c r="L39" t="s">
        <v>572</v>
      </c>
      <c r="M39" t="s">
        <v>348</v>
      </c>
      <c r="N39"/>
    </row>
    <row r="40">
      <c r="A40" t="s">
        <v>313</v>
      </c>
      <c r="B40" t="s">
        <v>287</v>
      </c>
      <c r="C40" t="n">
        <v>-3.29690621935962</v>
      </c>
      <c r="D40" t="n">
        <v>2.62779973850952</v>
      </c>
      <c r="E40" t="n">
        <v>1.57408672896102</v>
      </c>
      <c r="F40" t="n">
        <v>0.209614512796018</v>
      </c>
      <c r="G40" t="s">
        <v>309</v>
      </c>
      <c r="H40" t="n">
        <v>0.0369974525258984</v>
      </c>
      <c r="I40" t="n">
        <v>0.000214458629676608</v>
      </c>
      <c r="J40" t="n">
        <v>6.38263657410385</v>
      </c>
      <c r="K40" t="s">
        <v>629</v>
      </c>
      <c r="L40" t="s">
        <v>572</v>
      </c>
      <c r="M40" t="s">
        <v>348</v>
      </c>
      <c r="N40"/>
    </row>
    <row r="41">
      <c r="A41" t="s">
        <v>313</v>
      </c>
      <c r="B41" t="s">
        <v>292</v>
      </c>
      <c r="C41" t="n">
        <v>-2.29236681127321</v>
      </c>
      <c r="D41" t="n">
        <v>0.877412700994778</v>
      </c>
      <c r="E41" t="n">
        <v>6.82590737542298</v>
      </c>
      <c r="F41" t="n">
        <v>0.00898448995293122</v>
      </c>
      <c r="G41" t="s">
        <v>309</v>
      </c>
      <c r="H41" t="n">
        <v>0.101027066663741</v>
      </c>
      <c r="I41" t="n">
        <v>0.0180954327786482</v>
      </c>
      <c r="J41" t="n">
        <v>0.564035595253799</v>
      </c>
      <c r="K41" t="s">
        <v>630</v>
      </c>
      <c r="L41" t="s">
        <v>572</v>
      </c>
      <c r="M41" t="s">
        <v>348</v>
      </c>
      <c r="N41"/>
    </row>
    <row r="42">
      <c r="A42" t="s">
        <v>313</v>
      </c>
      <c r="B42" t="s">
        <v>286</v>
      </c>
      <c r="C42" t="n">
        <v>0.0821992345526121</v>
      </c>
      <c r="D42" t="n">
        <v>0.0733433476308362</v>
      </c>
      <c r="E42" t="n">
        <v>1.25607071232988</v>
      </c>
      <c r="F42" t="n">
        <v>0.262396163672025</v>
      </c>
      <c r="G42" t="s">
        <v>309</v>
      </c>
      <c r="H42" t="n">
        <v>1.08567209167689</v>
      </c>
      <c r="I42" t="n">
        <v>0.940302424938358</v>
      </c>
      <c r="J42" t="n">
        <v>1.2535157406654</v>
      </c>
      <c r="K42" t="s">
        <v>631</v>
      </c>
      <c r="L42" t="s">
        <v>572</v>
      </c>
      <c r="M42" t="s">
        <v>348</v>
      </c>
      <c r="N42"/>
    </row>
    <row r="43">
      <c r="A43" t="s">
        <v>313</v>
      </c>
      <c r="B43" t="s">
        <v>51</v>
      </c>
      <c r="C43" t="n">
        <v>-0.000468859764133302</v>
      </c>
      <c r="D43" t="n">
        <v>0.181218403867922</v>
      </c>
      <c r="E43" t="n">
        <v>0.00000669393248346611</v>
      </c>
      <c r="F43" t="n">
        <v>0.99793566469168</v>
      </c>
      <c r="G43" t="s">
        <v>309</v>
      </c>
      <c r="H43" t="n">
        <v>0.99953125013343</v>
      </c>
      <c r="I43" t="n">
        <v>0.700712971660921</v>
      </c>
      <c r="J43" t="n">
        <v>1.42578025582314</v>
      </c>
      <c r="K43" t="s">
        <v>632</v>
      </c>
      <c r="L43" t="s">
        <v>572</v>
      </c>
      <c r="M43" t="s">
        <v>348</v>
      </c>
      <c r="N43"/>
    </row>
    <row r="44">
      <c r="A44" t="s">
        <v>316</v>
      </c>
      <c r="B44"/>
      <c r="C44"/>
      <c r="D44"/>
      <c r="E44"/>
      <c r="F44"/>
      <c r="G44"/>
      <c r="H44"/>
      <c r="I44"/>
      <c r="J44"/>
      <c r="K44"/>
      <c r="L44" t="s">
        <v>317</v>
      </c>
      <c r="M44"/>
      <c r="N44"/>
    </row>
    <row r="46">
      <c r="A46" s="1" t="s">
        <v>633</v>
      </c>
    </row>
    <row r="47">
      <c r="A47" t="s">
        <v>273</v>
      </c>
      <c r="B47" t="s">
        <v>274</v>
      </c>
      <c r="C47" t="s">
        <v>275</v>
      </c>
      <c r="D47" t="s">
        <v>276</v>
      </c>
      <c r="E47" t="s">
        <v>277</v>
      </c>
      <c r="F47" t="s">
        <v>278</v>
      </c>
      <c r="G47" t="s">
        <v>279</v>
      </c>
      <c r="H47" t="s">
        <v>280</v>
      </c>
      <c r="I47" t="s">
        <v>281</v>
      </c>
      <c r="J47" t="s">
        <v>282</v>
      </c>
      <c r="K47" t="s">
        <v>283</v>
      </c>
      <c r="L47" t="s">
        <v>284</v>
      </c>
      <c r="M47" t="s">
        <v>285</v>
      </c>
      <c r="N47" t="s">
        <v>1</v>
      </c>
    </row>
    <row r="48">
      <c r="A48" t="s">
        <v>123</v>
      </c>
      <c r="B48" t="s">
        <v>287</v>
      </c>
      <c r="C48" t="n">
        <v>6.62203200505379</v>
      </c>
      <c r="D48" t="n">
        <v>0.311005999984145</v>
      </c>
      <c r="E48" t="n">
        <v>453.361895736312</v>
      </c>
      <c r="F48" t="n">
        <v>0</v>
      </c>
      <c r="G48" t="s">
        <v>288</v>
      </c>
      <c r="H48" t="n">
        <v>6.62203200505379</v>
      </c>
      <c r="I48" t="n">
        <v>6.01246024508487</v>
      </c>
      <c r="J48" t="n">
        <v>7.23160376502272</v>
      </c>
      <c r="K48" t="s">
        <v>634</v>
      </c>
      <c r="L48" t="s">
        <v>555</v>
      </c>
      <c r="M48" t="s">
        <v>348</v>
      </c>
      <c r="N48"/>
    </row>
    <row r="49">
      <c r="A49" t="s">
        <v>123</v>
      </c>
      <c r="B49" t="s">
        <v>292</v>
      </c>
      <c r="C49" t="n">
        <v>-0.0312674133884215</v>
      </c>
      <c r="D49" t="n">
        <v>0.063244798410434</v>
      </c>
      <c r="E49" t="n">
        <v>0.244418618907855</v>
      </c>
      <c r="F49" t="n">
        <v>0.62103281245554</v>
      </c>
      <c r="G49" t="s">
        <v>288</v>
      </c>
      <c r="H49" t="n">
        <v>-0.0312674133884215</v>
      </c>
      <c r="I49" t="n">
        <v>-0.155227218272872</v>
      </c>
      <c r="J49" t="n">
        <v>0.0926923914960292</v>
      </c>
      <c r="K49" t="s">
        <v>635</v>
      </c>
      <c r="L49" t="s">
        <v>555</v>
      </c>
      <c r="M49" t="s">
        <v>348</v>
      </c>
      <c r="N49"/>
    </row>
    <row r="50">
      <c r="A50" t="s">
        <v>123</v>
      </c>
      <c r="B50" t="s">
        <v>286</v>
      </c>
      <c r="C50" t="n">
        <v>-0.00446922582427238</v>
      </c>
      <c r="D50" t="n">
        <v>0.00816164134569231</v>
      </c>
      <c r="E50" t="n">
        <v>0.299853820461168</v>
      </c>
      <c r="F50" t="n">
        <v>0.58397407671535</v>
      </c>
      <c r="G50" t="s">
        <v>288</v>
      </c>
      <c r="H50" t="n">
        <v>-0.00446922582427238</v>
      </c>
      <c r="I50" t="n">
        <v>-0.0204660428618293</v>
      </c>
      <c r="J50" t="n">
        <v>0.0115275912132845</v>
      </c>
      <c r="K50" t="s">
        <v>636</v>
      </c>
      <c r="L50" t="s">
        <v>555</v>
      </c>
      <c r="M50" t="s">
        <v>348</v>
      </c>
      <c r="N50"/>
    </row>
    <row r="51">
      <c r="A51" t="s">
        <v>123</v>
      </c>
      <c r="B51" t="s">
        <v>51</v>
      </c>
      <c r="C51" t="n">
        <v>-0.00650605357677354</v>
      </c>
      <c r="D51" t="n">
        <v>0.0176380031529318</v>
      </c>
      <c r="E51" t="n">
        <v>0.136061871056926</v>
      </c>
      <c r="F51" t="n">
        <v>0.712227864642404</v>
      </c>
      <c r="G51" t="s">
        <v>288</v>
      </c>
      <c r="H51" t="n">
        <v>-0.00650605357677354</v>
      </c>
      <c r="I51" t="n">
        <v>-0.0410765397565199</v>
      </c>
      <c r="J51" t="n">
        <v>0.0280644326029728</v>
      </c>
      <c r="K51" t="s">
        <v>637</v>
      </c>
      <c r="L51" t="s">
        <v>555</v>
      </c>
      <c r="M51" t="s">
        <v>348</v>
      </c>
      <c r="N51"/>
    </row>
    <row r="52">
      <c r="A52" t="s">
        <v>129</v>
      </c>
      <c r="B52" t="s">
        <v>287</v>
      </c>
      <c r="C52" t="n">
        <v>1.81324718342835</v>
      </c>
      <c r="D52" t="n">
        <v>7.05705500572186</v>
      </c>
      <c r="E52" t="n">
        <v>0.0660187075697119</v>
      </c>
      <c r="F52" t="n">
        <v>0.797224274161644</v>
      </c>
      <c r="G52" t="s">
        <v>288</v>
      </c>
      <c r="H52" t="n">
        <v>1.81324718342835</v>
      </c>
      <c r="I52" t="n">
        <v>-12.0185806277865</v>
      </c>
      <c r="J52" t="n">
        <v>15.6450749946432</v>
      </c>
      <c r="K52" t="s">
        <v>638</v>
      </c>
      <c r="L52" t="s">
        <v>555</v>
      </c>
      <c r="M52" t="s">
        <v>348</v>
      </c>
      <c r="N52"/>
    </row>
    <row r="53">
      <c r="A53" t="s">
        <v>129</v>
      </c>
      <c r="B53" t="s">
        <v>292</v>
      </c>
      <c r="C53" t="n">
        <v>-1.23120126757067</v>
      </c>
      <c r="D53" t="n">
        <v>1.75086716860337</v>
      </c>
      <c r="E53" t="n">
        <v>0.494483391925561</v>
      </c>
      <c r="F53" t="n">
        <v>0.481934153307391</v>
      </c>
      <c r="G53" t="s">
        <v>288</v>
      </c>
      <c r="H53" t="n">
        <v>-1.23120126757067</v>
      </c>
      <c r="I53" t="n">
        <v>-4.66290091803327</v>
      </c>
      <c r="J53" t="n">
        <v>2.20049838289194</v>
      </c>
      <c r="K53" t="s">
        <v>639</v>
      </c>
      <c r="L53" t="s">
        <v>555</v>
      </c>
      <c r="M53" t="s">
        <v>348</v>
      </c>
      <c r="N53"/>
    </row>
    <row r="54">
      <c r="A54" t="s">
        <v>129</v>
      </c>
      <c r="B54" t="s">
        <v>286</v>
      </c>
      <c r="C54" t="n">
        <v>0.150198820429369</v>
      </c>
      <c r="D54" t="n">
        <v>0.178982172996354</v>
      </c>
      <c r="E54" t="n">
        <v>0.704228328303053</v>
      </c>
      <c r="F54" t="n">
        <v>0.401366551661555</v>
      </c>
      <c r="G54" t="s">
        <v>288</v>
      </c>
      <c r="H54" t="n">
        <v>0.150198820429369</v>
      </c>
      <c r="I54" t="n">
        <v>-0.200606238643485</v>
      </c>
      <c r="J54" t="n">
        <v>0.501003879502224</v>
      </c>
      <c r="K54" t="s">
        <v>640</v>
      </c>
      <c r="L54" t="s">
        <v>555</v>
      </c>
      <c r="M54" t="s">
        <v>348</v>
      </c>
      <c r="N54"/>
    </row>
    <row r="55">
      <c r="A55" t="s">
        <v>129</v>
      </c>
      <c r="B55" t="s">
        <v>51</v>
      </c>
      <c r="C55" t="n">
        <v>-13.6955629316192</v>
      </c>
      <c r="D55" t="n">
        <v>0.455219169479948</v>
      </c>
      <c r="E55" t="n">
        <v>905.146114566325</v>
      </c>
      <c r="F55" t="n">
        <v>0</v>
      </c>
      <c r="G55" t="s">
        <v>288</v>
      </c>
      <c r="H55" t="n">
        <v>-13.6955629316192</v>
      </c>
      <c r="I55" t="n">
        <v>-14.5877925037999</v>
      </c>
      <c r="J55" t="n">
        <v>-12.8033333594385</v>
      </c>
      <c r="K55" t="s">
        <v>641</v>
      </c>
      <c r="L55" t="s">
        <v>555</v>
      </c>
      <c r="M55" t="s">
        <v>348</v>
      </c>
      <c r="N55"/>
    </row>
    <row r="56">
      <c r="A56" t="s">
        <v>322</v>
      </c>
      <c r="B56"/>
      <c r="C56"/>
      <c r="D56"/>
      <c r="E56"/>
      <c r="F56"/>
      <c r="G56"/>
      <c r="H56"/>
      <c r="I56"/>
      <c r="J56"/>
      <c r="K56"/>
      <c r="L56" t="s">
        <v>317</v>
      </c>
      <c r="M56"/>
      <c r="N56"/>
    </row>
    <row r="58">
      <c r="A58" s="1" t="s">
        <v>642</v>
      </c>
    </row>
    <row r="59">
      <c r="A59" t="s">
        <v>273</v>
      </c>
      <c r="B59" t="s">
        <v>274</v>
      </c>
      <c r="C59" t="s">
        <v>275</v>
      </c>
      <c r="D59" t="s">
        <v>276</v>
      </c>
      <c r="E59" t="s">
        <v>277</v>
      </c>
      <c r="F59" t="s">
        <v>278</v>
      </c>
      <c r="G59" t="s">
        <v>279</v>
      </c>
      <c r="H59" t="s">
        <v>280</v>
      </c>
      <c r="I59" t="s">
        <v>281</v>
      </c>
      <c r="J59" t="s">
        <v>282</v>
      </c>
      <c r="K59" t="s">
        <v>283</v>
      </c>
      <c r="L59" t="s">
        <v>284</v>
      </c>
      <c r="M59" t="s">
        <v>285</v>
      </c>
      <c r="N59" t="s">
        <v>1</v>
      </c>
    </row>
    <row r="60">
      <c r="A60" t="s">
        <v>142</v>
      </c>
      <c r="B60" t="s">
        <v>287</v>
      </c>
      <c r="C60" t="n">
        <v>98.4430181781232</v>
      </c>
      <c r="D60" t="n">
        <v>86.4978723937302</v>
      </c>
      <c r="E60" t="n">
        <v>1.29526607348871</v>
      </c>
      <c r="F60" t="n">
        <v>0.255079743692081</v>
      </c>
      <c r="G60" t="s">
        <v>288</v>
      </c>
      <c r="H60" t="n">
        <v>98.4430181781232</v>
      </c>
      <c r="I60" t="n">
        <v>-71.0928117135881</v>
      </c>
      <c r="J60" t="n">
        <v>267.978848069834</v>
      </c>
      <c r="K60" t="s">
        <v>643</v>
      </c>
      <c r="L60" t="s">
        <v>555</v>
      </c>
      <c r="M60" t="s">
        <v>348</v>
      </c>
      <c r="N60"/>
    </row>
    <row r="61">
      <c r="A61" t="s">
        <v>142</v>
      </c>
      <c r="B61" t="s">
        <v>292</v>
      </c>
      <c r="C61" t="n">
        <v>16.9511097931524</v>
      </c>
      <c r="D61" t="n">
        <v>22.9299929805452</v>
      </c>
      <c r="E61" t="n">
        <v>0.546497815254473</v>
      </c>
      <c r="F61" t="n">
        <v>0.459752226344301</v>
      </c>
      <c r="G61" t="s">
        <v>288</v>
      </c>
      <c r="H61" t="n">
        <v>16.9511097931524</v>
      </c>
      <c r="I61" t="n">
        <v>-27.9916764487162</v>
      </c>
      <c r="J61" t="n">
        <v>61.893896035021</v>
      </c>
      <c r="K61" t="s">
        <v>644</v>
      </c>
      <c r="L61" t="s">
        <v>555</v>
      </c>
      <c r="M61" t="s">
        <v>348</v>
      </c>
      <c r="N61"/>
    </row>
    <row r="62">
      <c r="A62" t="s">
        <v>142</v>
      </c>
      <c r="B62" t="s">
        <v>286</v>
      </c>
      <c r="C62" t="n">
        <v>1.89451476216195</v>
      </c>
      <c r="D62" t="n">
        <v>2.42148996244898</v>
      </c>
      <c r="E62" t="n">
        <v>0.612111644028124</v>
      </c>
      <c r="F62" t="n">
        <v>0.433993844894309</v>
      </c>
      <c r="G62" t="s">
        <v>288</v>
      </c>
      <c r="H62" t="n">
        <v>1.89451476216195</v>
      </c>
      <c r="I62" t="n">
        <v>-2.85160556423806</v>
      </c>
      <c r="J62" t="n">
        <v>6.64063508856195</v>
      </c>
      <c r="K62" t="s">
        <v>645</v>
      </c>
      <c r="L62" t="s">
        <v>555</v>
      </c>
      <c r="M62" t="s">
        <v>348</v>
      </c>
      <c r="N62"/>
    </row>
    <row r="63">
      <c r="A63" t="s">
        <v>142</v>
      </c>
      <c r="B63" t="s">
        <v>51</v>
      </c>
      <c r="C63" t="n">
        <v>-3.97045633529135</v>
      </c>
      <c r="D63" t="n">
        <v>6.1517322372811</v>
      </c>
      <c r="E63" t="n">
        <v>0.416568091604404</v>
      </c>
      <c r="F63" t="n">
        <v>0.518654486338835</v>
      </c>
      <c r="G63" t="s">
        <v>288</v>
      </c>
      <c r="H63" t="n">
        <v>-3.97045633529135</v>
      </c>
      <c r="I63" t="n">
        <v>-16.0278515203623</v>
      </c>
      <c r="J63" t="n">
        <v>8.0869388497796</v>
      </c>
      <c r="K63" t="s">
        <v>646</v>
      </c>
      <c r="L63" t="s">
        <v>555</v>
      </c>
      <c r="M63" t="s">
        <v>348</v>
      </c>
      <c r="N63"/>
    </row>
    <row r="64">
      <c r="A64" t="s">
        <v>150</v>
      </c>
      <c r="B64" t="s">
        <v>287</v>
      </c>
      <c r="C64" t="n">
        <v>-0.509450879493062</v>
      </c>
      <c r="D64" t="n">
        <v>0.341155816648747</v>
      </c>
      <c r="E64" t="n">
        <v>2.22997026450303</v>
      </c>
      <c r="F64" t="n">
        <v>0.135356452640731</v>
      </c>
      <c r="G64" t="s">
        <v>288</v>
      </c>
      <c r="H64" t="n">
        <v>-0.509450879493062</v>
      </c>
      <c r="I64" t="n">
        <v>-1.17811628012461</v>
      </c>
      <c r="J64" t="n">
        <v>0.159214521138482</v>
      </c>
      <c r="K64" t="s">
        <v>647</v>
      </c>
      <c r="L64" t="s">
        <v>555</v>
      </c>
      <c r="M64" t="s">
        <v>348</v>
      </c>
      <c r="N64"/>
    </row>
    <row r="65">
      <c r="A65" t="s">
        <v>150</v>
      </c>
      <c r="B65" t="s">
        <v>292</v>
      </c>
      <c r="C65" t="n">
        <v>-0.242753487619524</v>
      </c>
      <c r="D65" t="n">
        <v>0.0926049880352653</v>
      </c>
      <c r="E65" t="n">
        <v>6.87166843645957</v>
      </c>
      <c r="F65" t="n">
        <v>0.0087572855511806</v>
      </c>
      <c r="G65" t="s">
        <v>288</v>
      </c>
      <c r="H65" t="n">
        <v>-0.242753487619524</v>
      </c>
      <c r="I65" t="n">
        <v>-0.424259264168644</v>
      </c>
      <c r="J65" t="n">
        <v>-0.0612477110704044</v>
      </c>
      <c r="K65" t="s">
        <v>648</v>
      </c>
      <c r="L65" t="s">
        <v>555</v>
      </c>
      <c r="M65" t="s">
        <v>348</v>
      </c>
      <c r="N65"/>
    </row>
    <row r="66">
      <c r="A66" t="s">
        <v>150</v>
      </c>
      <c r="B66" t="s">
        <v>286</v>
      </c>
      <c r="C66" t="n">
        <v>0.0183140167234316</v>
      </c>
      <c r="D66" t="n">
        <v>0.00971588502340385</v>
      </c>
      <c r="E66" t="n">
        <v>3.55305949181405</v>
      </c>
      <c r="F66" t="n">
        <v>0.0594357652708912</v>
      </c>
      <c r="G66" t="s">
        <v>288</v>
      </c>
      <c r="H66" t="n">
        <v>0.0183140167234316</v>
      </c>
      <c r="I66" t="n">
        <v>-0.00072911792243997</v>
      </c>
      <c r="J66" t="n">
        <v>0.0373571513693031</v>
      </c>
      <c r="K66" t="s">
        <v>649</v>
      </c>
      <c r="L66" t="s">
        <v>555</v>
      </c>
      <c r="M66" t="s">
        <v>348</v>
      </c>
      <c r="N66"/>
    </row>
    <row r="67">
      <c r="A67" t="s">
        <v>150</v>
      </c>
      <c r="B67" t="s">
        <v>51</v>
      </c>
      <c r="C67" t="n">
        <v>0.0198801887890417</v>
      </c>
      <c r="D67" t="n">
        <v>0.0227726619628509</v>
      </c>
      <c r="E67" t="n">
        <v>0.762102540762364</v>
      </c>
      <c r="F67" t="n">
        <v>0.382671337825544</v>
      </c>
      <c r="G67" t="s">
        <v>288</v>
      </c>
      <c r="H67" t="n">
        <v>0.0198801887890417</v>
      </c>
      <c r="I67" t="n">
        <v>-0.024754228658146</v>
      </c>
      <c r="J67" t="n">
        <v>0.0645146062362294</v>
      </c>
      <c r="K67" t="s">
        <v>650</v>
      </c>
      <c r="L67" t="s">
        <v>555</v>
      </c>
      <c r="M67" t="s">
        <v>348</v>
      </c>
      <c r="N67"/>
    </row>
    <row r="68">
      <c r="A68" t="s">
        <v>155</v>
      </c>
      <c r="B68" t="s">
        <v>287</v>
      </c>
      <c r="C68" t="n">
        <v>-0.356497044945506</v>
      </c>
      <c r="D68" t="n">
        <v>0.135054232880568</v>
      </c>
      <c r="E68" t="n">
        <v>6.9677966511158</v>
      </c>
      <c r="F68" t="n">
        <v>0.00829896222385107</v>
      </c>
      <c r="G68" t="s">
        <v>288</v>
      </c>
      <c r="H68" t="n">
        <v>-0.356497044945506</v>
      </c>
      <c r="I68" t="n">
        <v>-0.621203341391419</v>
      </c>
      <c r="J68" t="n">
        <v>-0.0917907484995935</v>
      </c>
      <c r="K68" t="s">
        <v>651</v>
      </c>
      <c r="L68" t="s">
        <v>555</v>
      </c>
      <c r="M68" t="s">
        <v>348</v>
      </c>
      <c r="N68"/>
    </row>
    <row r="69">
      <c r="A69" t="s">
        <v>155</v>
      </c>
      <c r="B69" t="s">
        <v>292</v>
      </c>
      <c r="C69" t="n">
        <v>0.0249168690636263</v>
      </c>
      <c r="D69" t="n">
        <v>0.0333889787012486</v>
      </c>
      <c r="E69" t="n">
        <v>0.556904426475741</v>
      </c>
      <c r="F69" t="n">
        <v>0.455510191987157</v>
      </c>
      <c r="G69" t="s">
        <v>288</v>
      </c>
      <c r="H69" t="n">
        <v>0.0249168690636263</v>
      </c>
      <c r="I69" t="n">
        <v>-0.040525529190821</v>
      </c>
      <c r="J69" t="n">
        <v>0.0903592673180735</v>
      </c>
      <c r="K69" t="s">
        <v>652</v>
      </c>
      <c r="L69" t="s">
        <v>555</v>
      </c>
      <c r="M69" t="s">
        <v>348</v>
      </c>
      <c r="N69"/>
    </row>
    <row r="70">
      <c r="A70" t="s">
        <v>155</v>
      </c>
      <c r="B70" t="s">
        <v>286</v>
      </c>
      <c r="C70" t="n">
        <v>0.00603177076510099</v>
      </c>
      <c r="D70" t="n">
        <v>0.00381357361741905</v>
      </c>
      <c r="E70" t="n">
        <v>2.50164331012697</v>
      </c>
      <c r="F70" t="n">
        <v>0.113727573125888</v>
      </c>
      <c r="G70" t="s">
        <v>288</v>
      </c>
      <c r="H70" t="n">
        <v>0.00603177076510099</v>
      </c>
      <c r="I70" t="n">
        <v>-0.00144283352504034</v>
      </c>
      <c r="J70" t="n">
        <v>0.0135063750552423</v>
      </c>
      <c r="K70" t="s">
        <v>653</v>
      </c>
      <c r="L70" t="s">
        <v>555</v>
      </c>
      <c r="M70" t="s">
        <v>348</v>
      </c>
      <c r="N70"/>
    </row>
    <row r="71">
      <c r="A71" t="s">
        <v>155</v>
      </c>
      <c r="B71" t="s">
        <v>51</v>
      </c>
      <c r="C71" t="n">
        <v>0.00992995442966306</v>
      </c>
      <c r="D71" t="n">
        <v>0.00884277372198979</v>
      </c>
      <c r="E71" t="n">
        <v>1.26100696958465</v>
      </c>
      <c r="F71" t="n">
        <v>0.261460571032539</v>
      </c>
      <c r="G71" t="s">
        <v>288</v>
      </c>
      <c r="H71" t="n">
        <v>0.00992995442966306</v>
      </c>
      <c r="I71" t="n">
        <v>-0.00740188206543693</v>
      </c>
      <c r="J71" t="n">
        <v>0.0272617909247631</v>
      </c>
      <c r="K71" t="s">
        <v>654</v>
      </c>
      <c r="L71" t="s">
        <v>555</v>
      </c>
      <c r="M71" t="s">
        <v>348</v>
      </c>
      <c r="N71"/>
    </row>
    <row r="72">
      <c r="A72" t="s">
        <v>163</v>
      </c>
      <c r="B72" t="s">
        <v>287</v>
      </c>
      <c r="C72" t="n">
        <v>0.0053495636996071</v>
      </c>
      <c r="D72" t="n">
        <v>0.0425034068148451</v>
      </c>
      <c r="E72" t="n">
        <v>0.015841242517359</v>
      </c>
      <c r="F72" t="n">
        <v>0.899841164672382</v>
      </c>
      <c r="G72" t="s">
        <v>288</v>
      </c>
      <c r="H72" t="n">
        <v>0.0053495636996071</v>
      </c>
      <c r="I72" t="n">
        <v>-0.0779571136574894</v>
      </c>
      <c r="J72" t="n">
        <v>0.0886562410567036</v>
      </c>
      <c r="K72" t="s">
        <v>655</v>
      </c>
      <c r="L72" t="s">
        <v>555</v>
      </c>
      <c r="M72" t="s">
        <v>348</v>
      </c>
      <c r="N72"/>
    </row>
    <row r="73">
      <c r="A73" t="s">
        <v>163</v>
      </c>
      <c r="B73" t="s">
        <v>292</v>
      </c>
      <c r="C73" t="n">
        <v>0.0529216907042965</v>
      </c>
      <c r="D73" t="n">
        <v>0.011370390098472</v>
      </c>
      <c r="E73" t="n">
        <v>21.6629047846794</v>
      </c>
      <c r="F73" t="n">
        <v>0.00000325016048119409</v>
      </c>
      <c r="G73" t="s">
        <v>288</v>
      </c>
      <c r="H73" t="n">
        <v>0.0529216907042965</v>
      </c>
      <c r="I73" t="n">
        <v>0.0306357261112913</v>
      </c>
      <c r="J73" t="n">
        <v>0.0752076552973017</v>
      </c>
      <c r="K73" t="s">
        <v>656</v>
      </c>
      <c r="L73" t="s">
        <v>555</v>
      </c>
      <c r="M73" t="s">
        <v>348</v>
      </c>
      <c r="N73"/>
    </row>
    <row r="74">
      <c r="A74" t="s">
        <v>163</v>
      </c>
      <c r="B74" t="s">
        <v>286</v>
      </c>
      <c r="C74" t="n">
        <v>-0.000389978048945174</v>
      </c>
      <c r="D74" t="n">
        <v>0.00117100491818564</v>
      </c>
      <c r="E74" t="n">
        <v>0.11090800316989</v>
      </c>
      <c r="F74" t="n">
        <v>0.739112745819448</v>
      </c>
      <c r="G74" t="s">
        <v>288</v>
      </c>
      <c r="H74" t="n">
        <v>-0.000389978048945174</v>
      </c>
      <c r="I74" t="n">
        <v>-0.00268514768858903</v>
      </c>
      <c r="J74" t="n">
        <v>0.00190519159069868</v>
      </c>
      <c r="K74" t="s">
        <v>363</v>
      </c>
      <c r="L74" t="s">
        <v>555</v>
      </c>
      <c r="M74" t="s">
        <v>348</v>
      </c>
      <c r="N74"/>
    </row>
    <row r="75">
      <c r="A75" t="s">
        <v>163</v>
      </c>
      <c r="B75" t="s">
        <v>51</v>
      </c>
      <c r="C75" t="n">
        <v>-0.0027617638414515</v>
      </c>
      <c r="D75" t="n">
        <v>0.00329027727549949</v>
      </c>
      <c r="E75" t="n">
        <v>0.704543938114054</v>
      </c>
      <c r="F75" t="n">
        <v>0.401261064486716</v>
      </c>
      <c r="G75" t="s">
        <v>288</v>
      </c>
      <c r="H75" t="n">
        <v>-0.0027617638414515</v>
      </c>
      <c r="I75" t="n">
        <v>-0.0092107073014305</v>
      </c>
      <c r="J75" t="n">
        <v>0.0036871796185275</v>
      </c>
      <c r="K75" t="s">
        <v>657</v>
      </c>
      <c r="L75" t="s">
        <v>555</v>
      </c>
      <c r="M75" t="s">
        <v>348</v>
      </c>
      <c r="N75"/>
    </row>
    <row r="76">
      <c r="A76" t="s">
        <v>168</v>
      </c>
      <c r="B76" t="s">
        <v>287</v>
      </c>
      <c r="C76" t="n">
        <v>-0.0161080786307902</v>
      </c>
      <c r="D76" t="n">
        <v>0.0295153228129748</v>
      </c>
      <c r="E76" t="n">
        <v>0.29784643536517</v>
      </c>
      <c r="F76" t="n">
        <v>0.585235672734633</v>
      </c>
      <c r="G76" t="s">
        <v>288</v>
      </c>
      <c r="H76" t="n">
        <v>-0.0161080786307902</v>
      </c>
      <c r="I76" t="n">
        <v>-0.0739581113442208</v>
      </c>
      <c r="J76" t="n">
        <v>0.0417419540826404</v>
      </c>
      <c r="K76" t="s">
        <v>658</v>
      </c>
      <c r="L76" t="s">
        <v>555</v>
      </c>
      <c r="M76" t="s">
        <v>348</v>
      </c>
      <c r="N76"/>
    </row>
    <row r="77">
      <c r="A77" t="s">
        <v>168</v>
      </c>
      <c r="B77" t="s">
        <v>292</v>
      </c>
      <c r="C77" t="n">
        <v>0.00579512771025195</v>
      </c>
      <c r="D77" t="n">
        <v>0.00789855202333973</v>
      </c>
      <c r="E77" t="n">
        <v>0.538308275645507</v>
      </c>
      <c r="F77" t="n">
        <v>0.463134678679071</v>
      </c>
      <c r="G77" t="s">
        <v>288</v>
      </c>
      <c r="H77" t="n">
        <v>0.00579512771025195</v>
      </c>
      <c r="I77" t="n">
        <v>-0.00968603425549393</v>
      </c>
      <c r="J77" t="n">
        <v>0.0212762896759978</v>
      </c>
      <c r="K77" t="s">
        <v>659</v>
      </c>
      <c r="L77" t="s">
        <v>555</v>
      </c>
      <c r="M77" t="s">
        <v>348</v>
      </c>
      <c r="N77"/>
    </row>
    <row r="78">
      <c r="A78" t="s">
        <v>168</v>
      </c>
      <c r="B78" t="s">
        <v>286</v>
      </c>
      <c r="C78" t="n">
        <v>-0.0000558986650910643</v>
      </c>
      <c r="D78" t="n">
        <v>0.000821424402904717</v>
      </c>
      <c r="E78" t="n">
        <v>0.00463092419407907</v>
      </c>
      <c r="F78" t="n">
        <v>0.945745120479143</v>
      </c>
      <c r="G78" t="s">
        <v>288</v>
      </c>
      <c r="H78" t="n">
        <v>-0.0000558986650910643</v>
      </c>
      <c r="I78" t="n">
        <v>-0.00166589049478431</v>
      </c>
      <c r="J78" t="n">
        <v>0.00155409316460218</v>
      </c>
      <c r="K78" t="s">
        <v>439</v>
      </c>
      <c r="L78" t="s">
        <v>555</v>
      </c>
      <c r="M78" t="s">
        <v>348</v>
      </c>
      <c r="N78"/>
    </row>
    <row r="79">
      <c r="A79" t="s">
        <v>168</v>
      </c>
      <c r="B79" t="s">
        <v>51</v>
      </c>
      <c r="C79" t="n">
        <v>-0.00199520365129913</v>
      </c>
      <c r="D79" t="n">
        <v>0.00205481558441821</v>
      </c>
      <c r="E79" t="n">
        <v>0.942819942250239</v>
      </c>
      <c r="F79" t="n">
        <v>0.331553678309541</v>
      </c>
      <c r="G79" t="s">
        <v>288</v>
      </c>
      <c r="H79" t="n">
        <v>-0.00199520365129913</v>
      </c>
      <c r="I79" t="n">
        <v>-0.00602264219675881</v>
      </c>
      <c r="J79" t="n">
        <v>0.00203223489416056</v>
      </c>
      <c r="K79" t="s">
        <v>660</v>
      </c>
      <c r="L79" t="s">
        <v>555</v>
      </c>
      <c r="M79" t="s">
        <v>348</v>
      </c>
      <c r="N79"/>
    </row>
    <row r="80">
      <c r="A80" t="s">
        <v>175</v>
      </c>
      <c r="B80"/>
      <c r="C80"/>
      <c r="D80"/>
      <c r="E80"/>
      <c r="F80"/>
      <c r="G80"/>
      <c r="H80"/>
      <c r="I80"/>
      <c r="J80"/>
      <c r="K80"/>
      <c r="L80" t="s">
        <v>308</v>
      </c>
      <c r="M80"/>
      <c r="N80"/>
    </row>
    <row r="81">
      <c r="A81" t="s">
        <v>177</v>
      </c>
      <c r="B81"/>
      <c r="C81"/>
      <c r="D81"/>
      <c r="E81"/>
      <c r="F81"/>
      <c r="G81"/>
      <c r="H81"/>
      <c r="I81"/>
      <c r="J81"/>
      <c r="K81"/>
      <c r="L81" t="s">
        <v>308</v>
      </c>
      <c r="M81"/>
      <c r="N81"/>
    </row>
    <row r="82">
      <c r="A82" t="s">
        <v>333</v>
      </c>
      <c r="B82" t="s">
        <v>287</v>
      </c>
      <c r="C82" t="n">
        <v>-4.33884414128769</v>
      </c>
      <c r="D82" t="n">
        <v>2.45407273292193</v>
      </c>
      <c r="E82" t="n">
        <v>3.12588674946057</v>
      </c>
      <c r="F82" t="n">
        <v>0.0770579370201545</v>
      </c>
      <c r="G82" t="s">
        <v>309</v>
      </c>
      <c r="H82" t="n">
        <v>0.013051605299958</v>
      </c>
      <c r="I82" t="n">
        <v>0.000106344503814859</v>
      </c>
      <c r="J82" t="n">
        <v>1.60181668817087</v>
      </c>
      <c r="K82" t="s">
        <v>661</v>
      </c>
      <c r="L82" t="s">
        <v>572</v>
      </c>
      <c r="M82" t="s">
        <v>348</v>
      </c>
      <c r="N82"/>
    </row>
    <row r="83">
      <c r="A83" t="s">
        <v>333</v>
      </c>
      <c r="B83" t="s">
        <v>292</v>
      </c>
      <c r="C83" t="n">
        <v>1.71024753675016</v>
      </c>
      <c r="D83" t="n">
        <v>0.588176688915236</v>
      </c>
      <c r="E83" t="n">
        <v>8.45478037688513</v>
      </c>
      <c r="F83" t="n">
        <v>0.00364085211338272</v>
      </c>
      <c r="G83" t="s">
        <v>309</v>
      </c>
      <c r="H83" t="n">
        <v>5.53033026818593</v>
      </c>
      <c r="I83" t="n">
        <v>1.74616372845303</v>
      </c>
      <c r="J83" t="n">
        <v>17.5152835767062</v>
      </c>
      <c r="K83" t="s">
        <v>662</v>
      </c>
      <c r="L83" t="s">
        <v>572</v>
      </c>
      <c r="M83" t="s">
        <v>348</v>
      </c>
      <c r="N83"/>
    </row>
    <row r="84">
      <c r="A84" t="s">
        <v>333</v>
      </c>
      <c r="B84" t="s">
        <v>286</v>
      </c>
      <c r="C84" t="n">
        <v>0.0725037471664637</v>
      </c>
      <c r="D84" t="n">
        <v>0.0632122704292594</v>
      </c>
      <c r="E84" t="n">
        <v>1.31558261641823</v>
      </c>
      <c r="F84" t="n">
        <v>0.251386374324428</v>
      </c>
      <c r="G84" t="s">
        <v>309</v>
      </c>
      <c r="H84" t="n">
        <v>1.07519683502413</v>
      </c>
      <c r="I84" t="n">
        <v>0.949905946593152</v>
      </c>
      <c r="J84" t="n">
        <v>1.21701336663075</v>
      </c>
      <c r="K84" t="s">
        <v>663</v>
      </c>
      <c r="L84" t="s">
        <v>572</v>
      </c>
      <c r="M84" t="s">
        <v>348</v>
      </c>
      <c r="N84"/>
    </row>
    <row r="85">
      <c r="A85" t="s">
        <v>333</v>
      </c>
      <c r="B85" t="s">
        <v>51</v>
      </c>
      <c r="C85" t="n">
        <v>0.0536231858415336</v>
      </c>
      <c r="D85" t="n">
        <v>0.135320295121476</v>
      </c>
      <c r="E85" t="n">
        <v>0.157028814720705</v>
      </c>
      <c r="F85" t="n">
        <v>0.691906878252685</v>
      </c>
      <c r="G85" t="s">
        <v>309</v>
      </c>
      <c r="H85" t="n">
        <v>1.05508695553709</v>
      </c>
      <c r="I85" t="n">
        <v>0.809284631444984</v>
      </c>
      <c r="J85" t="n">
        <v>1.37554630409437</v>
      </c>
      <c r="K85" t="s">
        <v>664</v>
      </c>
      <c r="L85" t="s">
        <v>572</v>
      </c>
      <c r="M85" t="s">
        <v>348</v>
      </c>
      <c r="N85"/>
    </row>
    <row r="86">
      <c r="A86" t="s">
        <v>336</v>
      </c>
      <c r="B86" t="s">
        <v>287</v>
      </c>
      <c r="C86" t="n">
        <v>-15.3288890844606</v>
      </c>
      <c r="D86" t="n">
        <v>4.28626953750319</v>
      </c>
      <c r="E86" t="n">
        <v>12.789760387474</v>
      </c>
      <c r="F86" t="n">
        <v>0.000348521756673548</v>
      </c>
      <c r="G86" t="s">
        <v>309</v>
      </c>
      <c r="H86" t="n">
        <v>0.000000220164887108854</v>
      </c>
      <c r="I86" t="n">
        <v>0.0000000000494540392356653</v>
      </c>
      <c r="J86" t="n">
        <v>0.000980154063547086</v>
      </c>
      <c r="K86" t="s">
        <v>411</v>
      </c>
      <c r="L86" t="s">
        <v>572</v>
      </c>
      <c r="M86" t="s">
        <v>348</v>
      </c>
      <c r="N86"/>
    </row>
    <row r="87">
      <c r="A87" t="s">
        <v>336</v>
      </c>
      <c r="B87" t="s">
        <v>292</v>
      </c>
      <c r="C87" t="n">
        <v>1.35260630754213</v>
      </c>
      <c r="D87" t="n">
        <v>1.21659008050267</v>
      </c>
      <c r="E87" t="n">
        <v>1.23610190125025</v>
      </c>
      <c r="F87" t="n">
        <v>0.266223637180596</v>
      </c>
      <c r="G87" t="s">
        <v>309</v>
      </c>
      <c r="H87" t="n">
        <v>3.86749228077569</v>
      </c>
      <c r="I87" t="n">
        <v>0.356325638890566</v>
      </c>
      <c r="J87" t="n">
        <v>41.9770426524184</v>
      </c>
      <c r="K87" t="s">
        <v>665</v>
      </c>
      <c r="L87" t="s">
        <v>572</v>
      </c>
      <c r="M87" t="s">
        <v>348</v>
      </c>
      <c r="N87"/>
    </row>
    <row r="88">
      <c r="A88" t="s">
        <v>336</v>
      </c>
      <c r="B88" t="s">
        <v>286</v>
      </c>
      <c r="C88" t="n">
        <v>0.27683499097767</v>
      </c>
      <c r="D88" t="n">
        <v>0.0943817489603492</v>
      </c>
      <c r="E88" t="n">
        <v>8.60331696188606</v>
      </c>
      <c r="F88" t="n">
        <v>0.00335551310711146</v>
      </c>
      <c r="G88" t="s">
        <v>309</v>
      </c>
      <c r="H88" t="n">
        <v>1.31894871463991</v>
      </c>
      <c r="I88" t="n">
        <v>1.09619683131297</v>
      </c>
      <c r="J88" t="n">
        <v>1.58696473311881</v>
      </c>
      <c r="K88" t="s">
        <v>666</v>
      </c>
      <c r="L88" t="s">
        <v>572</v>
      </c>
      <c r="M88" t="s">
        <v>348</v>
      </c>
      <c r="N88"/>
    </row>
    <row r="89">
      <c r="A89" t="s">
        <v>336</v>
      </c>
      <c r="B89" t="s">
        <v>51</v>
      </c>
      <c r="C89" t="n">
        <v>-0.150780716421449</v>
      </c>
      <c r="D89" t="n">
        <v>0.281954906430412</v>
      </c>
      <c r="E89" t="n">
        <v>0.285977781186968</v>
      </c>
      <c r="F89" t="n">
        <v>0.592809667848295</v>
      </c>
      <c r="G89" t="s">
        <v>309</v>
      </c>
      <c r="H89" t="n">
        <v>0.860036269814099</v>
      </c>
      <c r="I89" t="n">
        <v>0.494893677197614</v>
      </c>
      <c r="J89" t="n">
        <v>1.4945884731932</v>
      </c>
      <c r="K89" t="s">
        <v>667</v>
      </c>
      <c r="L89" t="s">
        <v>572</v>
      </c>
      <c r="M89" t="s">
        <v>348</v>
      </c>
      <c r="N89"/>
    </row>
    <row r="90">
      <c r="A90" t="s">
        <v>339</v>
      </c>
      <c r="B90"/>
      <c r="C90"/>
      <c r="D90"/>
      <c r="E90"/>
      <c r="F90"/>
      <c r="G90"/>
      <c r="H90"/>
      <c r="I90"/>
      <c r="J90"/>
      <c r="K90"/>
      <c r="L90" t="s">
        <v>317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415</v>
      </c>
    </row>
    <row r="3">
      <c r="A3" s="1" t="s">
        <v>668</v>
      </c>
    </row>
    <row r="4">
      <c r="A4" t="s">
        <v>273</v>
      </c>
      <c r="B4" t="s">
        <v>417</v>
      </c>
      <c r="C4" t="s">
        <v>140</v>
      </c>
      <c r="D4" t="s">
        <v>418</v>
      </c>
      <c r="E4" t="s">
        <v>419</v>
      </c>
      <c r="F4" t="s">
        <v>1</v>
      </c>
    </row>
    <row r="5">
      <c r="A5" t="s">
        <v>142</v>
      </c>
      <c r="B5" t="s">
        <v>420</v>
      </c>
      <c r="C5" t="s">
        <v>669</v>
      </c>
      <c r="D5" t="s">
        <v>670</v>
      </c>
      <c r="E5" t="s">
        <v>671</v>
      </c>
      <c r="F5" t="s">
        <v>98</v>
      </c>
    </row>
    <row r="6">
      <c r="A6" t="s">
        <v>150</v>
      </c>
      <c r="B6" t="s">
        <v>420</v>
      </c>
      <c r="C6" t="s">
        <v>672</v>
      </c>
      <c r="D6" t="s">
        <v>673</v>
      </c>
      <c r="E6" t="s">
        <v>671</v>
      </c>
      <c r="F6" t="s">
        <v>98</v>
      </c>
    </row>
    <row r="7">
      <c r="A7" t="s">
        <v>155</v>
      </c>
      <c r="B7" t="s">
        <v>420</v>
      </c>
      <c r="C7" t="s">
        <v>674</v>
      </c>
      <c r="D7" t="s">
        <v>675</v>
      </c>
      <c r="E7" t="s">
        <v>671</v>
      </c>
      <c r="F7" t="s">
        <v>98</v>
      </c>
    </row>
    <row r="8">
      <c r="A8" t="s">
        <v>163</v>
      </c>
      <c r="B8" t="s">
        <v>420</v>
      </c>
      <c r="C8" t="s">
        <v>167</v>
      </c>
      <c r="D8" t="s">
        <v>47</v>
      </c>
      <c r="E8" t="s">
        <v>671</v>
      </c>
      <c r="F8" t="s">
        <v>98</v>
      </c>
    </row>
    <row r="9">
      <c r="A9" t="s">
        <v>168</v>
      </c>
      <c r="B9" t="s">
        <v>420</v>
      </c>
      <c r="C9" t="s">
        <v>676</v>
      </c>
      <c r="D9" t="s">
        <v>677</v>
      </c>
      <c r="E9" t="s">
        <v>671</v>
      </c>
      <c r="F9" t="s">
        <v>98</v>
      </c>
    </row>
    <row r="10">
      <c r="A10" t="s">
        <v>175</v>
      </c>
      <c r="B10" t="s">
        <v>98</v>
      </c>
      <c r="C10" t="s">
        <v>98</v>
      </c>
      <c r="D10" t="s">
        <v>98</v>
      </c>
      <c r="E10"/>
      <c r="F10" t="s">
        <v>422</v>
      </c>
    </row>
    <row r="11">
      <c r="A11" t="s">
        <v>177</v>
      </c>
      <c r="B11" t="s">
        <v>98</v>
      </c>
      <c r="C11" t="s">
        <v>98</v>
      </c>
      <c r="D11" t="s">
        <v>98</v>
      </c>
      <c r="E11"/>
      <c r="F11" t="s">
        <v>422</v>
      </c>
    </row>
    <row r="12">
      <c r="A12" t="s">
        <v>333</v>
      </c>
      <c r="B12" t="s">
        <v>420</v>
      </c>
      <c r="C12" t="s">
        <v>678</v>
      </c>
      <c r="D12" t="s">
        <v>679</v>
      </c>
      <c r="E12" t="s">
        <v>680</v>
      </c>
      <c r="F12" t="s">
        <v>681</v>
      </c>
    </row>
    <row r="13">
      <c r="A13" t="s">
        <v>336</v>
      </c>
      <c r="B13" t="s">
        <v>420</v>
      </c>
      <c r="C13" t="s">
        <v>682</v>
      </c>
      <c r="D13" t="s">
        <v>683</v>
      </c>
      <c r="E13" t="s">
        <v>684</v>
      </c>
      <c r="F13" t="s">
        <v>685</v>
      </c>
    </row>
    <row r="14">
      <c r="A14" t="s">
        <v>339</v>
      </c>
      <c r="B14" t="s">
        <v>98</v>
      </c>
      <c r="C14" t="s">
        <v>98</v>
      </c>
      <c r="D14" t="s">
        <v>98</v>
      </c>
      <c r="E14"/>
      <c r="F14" t="s">
        <v>427</v>
      </c>
    </row>
    <row r="16">
      <c r="A16" s="1" t="s">
        <v>428</v>
      </c>
    </row>
    <row r="17">
      <c r="A17" t="s">
        <v>273</v>
      </c>
      <c r="B17" t="s">
        <v>274</v>
      </c>
      <c r="C17" t="s">
        <v>275</v>
      </c>
      <c r="D17" t="s">
        <v>276</v>
      </c>
      <c r="E17" t="s">
        <v>277</v>
      </c>
      <c r="F17" t="s">
        <v>278</v>
      </c>
      <c r="G17" t="s">
        <v>279</v>
      </c>
      <c r="H17" t="s">
        <v>280</v>
      </c>
      <c r="I17" t="s">
        <v>281</v>
      </c>
      <c r="J17" t="s">
        <v>282</v>
      </c>
      <c r="K17" t="s">
        <v>283</v>
      </c>
      <c r="L17" t="s">
        <v>284</v>
      </c>
    </row>
    <row r="18">
      <c r="A18" t="s">
        <v>142</v>
      </c>
      <c r="B18" t="s">
        <v>287</v>
      </c>
      <c r="C18" t="n">
        <v>-60.38980022566</v>
      </c>
      <c r="D18" t="n">
        <v>201.582694522784</v>
      </c>
      <c r="E18" t="n">
        <v>0.089747155723868</v>
      </c>
      <c r="F18" t="n">
        <v>0.764498841126489</v>
      </c>
      <c r="G18" t="s">
        <v>288</v>
      </c>
      <c r="H18" t="n">
        <v>-60.38980022566</v>
      </c>
      <c r="I18" t="n">
        <v>-455.491881490318</v>
      </c>
      <c r="J18" t="n">
        <v>334.712281038998</v>
      </c>
      <c r="K18" t="s">
        <v>686</v>
      </c>
      <c r="L18" t="s">
        <v>687</v>
      </c>
    </row>
    <row r="19">
      <c r="A19" t="s">
        <v>142</v>
      </c>
      <c r="B19" t="s">
        <v>292</v>
      </c>
      <c r="C19" t="n">
        <v>16.4745197055986</v>
      </c>
      <c r="D19" t="n">
        <v>22.8807969806675</v>
      </c>
      <c r="E19" t="n">
        <v>0.518421768111265</v>
      </c>
      <c r="F19" t="n">
        <v>0.471515688289509</v>
      </c>
      <c r="G19" t="s">
        <v>288</v>
      </c>
      <c r="H19" t="n">
        <v>16.4745197055986</v>
      </c>
      <c r="I19" t="n">
        <v>-28.3718423765096</v>
      </c>
      <c r="J19" t="n">
        <v>61.3208817877069</v>
      </c>
      <c r="K19" t="s">
        <v>688</v>
      </c>
      <c r="L19" t="s">
        <v>687</v>
      </c>
    </row>
    <row r="20">
      <c r="A20" t="s">
        <v>142</v>
      </c>
      <c r="B20" t="s">
        <v>286</v>
      </c>
      <c r="C20" t="n">
        <v>1.34451287261819</v>
      </c>
      <c r="D20" t="n">
        <v>2.54649332393028</v>
      </c>
      <c r="E20" t="n">
        <v>0.27876923630349</v>
      </c>
      <c r="F20" t="n">
        <v>0.597509039736109</v>
      </c>
      <c r="G20" t="s">
        <v>288</v>
      </c>
      <c r="H20" t="n">
        <v>1.34451287261819</v>
      </c>
      <c r="I20" t="n">
        <v>-3.64661404228517</v>
      </c>
      <c r="J20" t="n">
        <v>6.33563978752154</v>
      </c>
      <c r="K20" t="s">
        <v>689</v>
      </c>
      <c r="L20" t="s">
        <v>687</v>
      </c>
    </row>
    <row r="21">
      <c r="A21" t="s">
        <v>142</v>
      </c>
      <c r="B21" t="s">
        <v>51</v>
      </c>
      <c r="C21" t="n">
        <v>-4.43909373938648</v>
      </c>
      <c r="D21" t="n">
        <v>6.08179394133361</v>
      </c>
      <c r="E21" t="n">
        <v>0.532752171773902</v>
      </c>
      <c r="F21" t="n">
        <v>0.465452082083343</v>
      </c>
      <c r="G21" t="s">
        <v>288</v>
      </c>
      <c r="H21" t="n">
        <v>-4.43909373938648</v>
      </c>
      <c r="I21" t="n">
        <v>-16.3594098644004</v>
      </c>
      <c r="J21" t="n">
        <v>7.4812223856274</v>
      </c>
      <c r="K21" t="s">
        <v>690</v>
      </c>
      <c r="L21" t="s">
        <v>687</v>
      </c>
    </row>
    <row r="22">
      <c r="A22" t="s">
        <v>142</v>
      </c>
      <c r="B22" t="s">
        <v>81</v>
      </c>
      <c r="C22" t="n">
        <v>0.328887106197346</v>
      </c>
      <c r="D22" t="n">
        <v>0.404187923738512</v>
      </c>
      <c r="E22" t="n">
        <v>0.662105244606972</v>
      </c>
      <c r="F22" t="n">
        <v>0.415817695204359</v>
      </c>
      <c r="G22" t="s">
        <v>288</v>
      </c>
      <c r="H22" t="n">
        <v>0.328887106197346</v>
      </c>
      <c r="I22" t="n">
        <v>-0.463321224330137</v>
      </c>
      <c r="J22" t="n">
        <v>1.12109543672483</v>
      </c>
      <c r="K22" t="s">
        <v>691</v>
      </c>
      <c r="L22" t="s">
        <v>687</v>
      </c>
    </row>
    <row r="23">
      <c r="A23" t="s">
        <v>150</v>
      </c>
      <c r="B23" t="s">
        <v>287</v>
      </c>
      <c r="C23" t="n">
        <v>-0.849799927158414</v>
      </c>
      <c r="D23" t="n">
        <v>0.819840976153106</v>
      </c>
      <c r="E23" t="n">
        <v>1.07442013212512</v>
      </c>
      <c r="F23" t="n">
        <v>0.299949172704454</v>
      </c>
      <c r="G23" t="s">
        <v>288</v>
      </c>
      <c r="H23" t="n">
        <v>-0.849799927158414</v>
      </c>
      <c r="I23" t="n">
        <v>-2.4566882404185</v>
      </c>
      <c r="J23" t="n">
        <v>0.757088386101673</v>
      </c>
      <c r="K23" t="s">
        <v>692</v>
      </c>
      <c r="L23" t="s">
        <v>687</v>
      </c>
    </row>
    <row r="24">
      <c r="A24" t="s">
        <v>150</v>
      </c>
      <c r="B24" t="s">
        <v>292</v>
      </c>
      <c r="C24" t="n">
        <v>-0.243774731113506</v>
      </c>
      <c r="D24" t="n">
        <v>0.0935672374898648</v>
      </c>
      <c r="E24" t="n">
        <v>6.78781125049296</v>
      </c>
      <c r="F24" t="n">
        <v>0.00917823726285305</v>
      </c>
      <c r="G24" t="s">
        <v>288</v>
      </c>
      <c r="H24" t="n">
        <v>-0.243774731113506</v>
      </c>
      <c r="I24" t="n">
        <v>-0.427166516593641</v>
      </c>
      <c r="J24" t="n">
        <v>-0.0603829456333712</v>
      </c>
      <c r="K24" t="s">
        <v>693</v>
      </c>
      <c r="L24" t="s">
        <v>687</v>
      </c>
    </row>
    <row r="25">
      <c r="A25" t="s">
        <v>150</v>
      </c>
      <c r="B25" t="s">
        <v>286</v>
      </c>
      <c r="C25" t="n">
        <v>0.0171354654567501</v>
      </c>
      <c r="D25" t="n">
        <v>0.0102040167160984</v>
      </c>
      <c r="E25" t="n">
        <v>2.82000247092806</v>
      </c>
      <c r="F25" t="n">
        <v>0.0930962600817735</v>
      </c>
      <c r="G25" t="s">
        <v>288</v>
      </c>
      <c r="H25" t="n">
        <v>0.0171354654567501</v>
      </c>
      <c r="I25" t="n">
        <v>-0.00286440730680271</v>
      </c>
      <c r="J25" t="n">
        <v>0.037135338220303</v>
      </c>
      <c r="K25" t="s">
        <v>694</v>
      </c>
      <c r="L25" t="s">
        <v>687</v>
      </c>
    </row>
    <row r="26">
      <c r="A26" t="s">
        <v>150</v>
      </c>
      <c r="B26" t="s">
        <v>51</v>
      </c>
      <c r="C26" t="n">
        <v>0.0188759864095394</v>
      </c>
      <c r="D26" t="n">
        <v>0.0227649698835223</v>
      </c>
      <c r="E26" t="n">
        <v>0.68751970780191</v>
      </c>
      <c r="F26" t="n">
        <v>0.407009303422824</v>
      </c>
      <c r="G26" t="s">
        <v>288</v>
      </c>
      <c r="H26" t="n">
        <v>0.0188759864095394</v>
      </c>
      <c r="I26" t="n">
        <v>-0.0257433545621643</v>
      </c>
      <c r="J26" t="n">
        <v>0.0634953273812431</v>
      </c>
      <c r="K26" t="s">
        <v>695</v>
      </c>
      <c r="L26" t="s">
        <v>687</v>
      </c>
    </row>
    <row r="27">
      <c r="A27" t="s">
        <v>150</v>
      </c>
      <c r="B27" t="s">
        <v>81</v>
      </c>
      <c r="C27" t="n">
        <v>0.000704743607200348</v>
      </c>
      <c r="D27" t="n">
        <v>0.00160282063274492</v>
      </c>
      <c r="E27" t="n">
        <v>0.193326968662445</v>
      </c>
      <c r="F27" t="n">
        <v>0.660161915976992</v>
      </c>
      <c r="G27" t="s">
        <v>288</v>
      </c>
      <c r="H27" t="n">
        <v>0.000704743607200348</v>
      </c>
      <c r="I27" t="n">
        <v>-0.0024367848329797</v>
      </c>
      <c r="J27" t="n">
        <v>0.00384627204738039</v>
      </c>
      <c r="K27" t="s">
        <v>696</v>
      </c>
      <c r="L27" t="s">
        <v>687</v>
      </c>
    </row>
    <row r="28">
      <c r="A28" t="s">
        <v>155</v>
      </c>
      <c r="B28" t="s">
        <v>287</v>
      </c>
      <c r="C28" t="n">
        <v>-0.27384037519126</v>
      </c>
      <c r="D28" t="n">
        <v>0.365246135472654</v>
      </c>
      <c r="E28" t="n">
        <v>0.562113095670194</v>
      </c>
      <c r="F28" t="n">
        <v>0.453410095008755</v>
      </c>
      <c r="G28" t="s">
        <v>288</v>
      </c>
      <c r="H28" t="n">
        <v>-0.27384037519126</v>
      </c>
      <c r="I28" t="n">
        <v>-0.989722800717662</v>
      </c>
      <c r="J28" t="n">
        <v>0.442042050335141</v>
      </c>
      <c r="K28" t="s">
        <v>697</v>
      </c>
      <c r="L28" t="s">
        <v>687</v>
      </c>
    </row>
    <row r="29">
      <c r="A29" t="s">
        <v>155</v>
      </c>
      <c r="B29" t="s">
        <v>292</v>
      </c>
      <c r="C29" t="n">
        <v>0.025164886758401</v>
      </c>
      <c r="D29" t="n">
        <v>0.0337221859624133</v>
      </c>
      <c r="E29" t="n">
        <v>0.556876027679754</v>
      </c>
      <c r="F29" t="n">
        <v>0.455521684050712</v>
      </c>
      <c r="G29" t="s">
        <v>288</v>
      </c>
      <c r="H29" t="n">
        <v>0.025164886758401</v>
      </c>
      <c r="I29" t="n">
        <v>-0.0409305977279291</v>
      </c>
      <c r="J29" t="n">
        <v>0.0912603712447311</v>
      </c>
      <c r="K29" t="s">
        <v>698</v>
      </c>
      <c r="L29" t="s">
        <v>687</v>
      </c>
    </row>
    <row r="30">
      <c r="A30" t="s">
        <v>155</v>
      </c>
      <c r="B30" t="s">
        <v>286</v>
      </c>
      <c r="C30" t="n">
        <v>0.00631799199447347</v>
      </c>
      <c r="D30" t="n">
        <v>0.00397992741931562</v>
      </c>
      <c r="E30" t="n">
        <v>2.52004234513548</v>
      </c>
      <c r="F30" t="n">
        <v>0.112407566122886</v>
      </c>
      <c r="G30" t="s">
        <v>288</v>
      </c>
      <c r="H30" t="n">
        <v>0.00631799199447347</v>
      </c>
      <c r="I30" t="n">
        <v>-0.00148266574738515</v>
      </c>
      <c r="J30" t="n">
        <v>0.0141186497363321</v>
      </c>
      <c r="K30" t="s">
        <v>653</v>
      </c>
      <c r="L30" t="s">
        <v>687</v>
      </c>
    </row>
    <row r="31">
      <c r="A31" t="s">
        <v>155</v>
      </c>
      <c r="B31" t="s">
        <v>51</v>
      </c>
      <c r="C31" t="n">
        <v>0.0101738335444081</v>
      </c>
      <c r="D31" t="n">
        <v>0.00916452660986303</v>
      </c>
      <c r="E31" t="n">
        <v>1.23239288540163</v>
      </c>
      <c r="F31" t="n">
        <v>0.26694218307964</v>
      </c>
      <c r="G31" t="s">
        <v>288</v>
      </c>
      <c r="H31" t="n">
        <v>0.0101738335444081</v>
      </c>
      <c r="I31" t="n">
        <v>-0.00778863861092341</v>
      </c>
      <c r="J31" t="n">
        <v>0.0281363056997397</v>
      </c>
      <c r="K31" t="s">
        <v>699</v>
      </c>
      <c r="L31" t="s">
        <v>687</v>
      </c>
    </row>
    <row r="32">
      <c r="A32" t="s">
        <v>155</v>
      </c>
      <c r="B32" t="s">
        <v>81</v>
      </c>
      <c r="C32" t="n">
        <v>-0.000171152997199072</v>
      </c>
      <c r="D32" t="n">
        <v>0.000705026824917282</v>
      </c>
      <c r="E32" t="n">
        <v>0.0589328894548184</v>
      </c>
      <c r="F32" t="n">
        <v>0.808190571187034</v>
      </c>
      <c r="G32" t="s">
        <v>288</v>
      </c>
      <c r="H32" t="n">
        <v>-0.000171152997199072</v>
      </c>
      <c r="I32" t="n">
        <v>-0.00155300557403695</v>
      </c>
      <c r="J32" t="n">
        <v>0.0012106995796388</v>
      </c>
      <c r="K32" t="s">
        <v>615</v>
      </c>
      <c r="L32" t="s">
        <v>687</v>
      </c>
    </row>
    <row r="33">
      <c r="A33" t="s">
        <v>163</v>
      </c>
      <c r="B33" t="s">
        <v>287</v>
      </c>
      <c r="C33" t="n">
        <v>-0.246574817193685</v>
      </c>
      <c r="D33" t="n">
        <v>0.114343747792012</v>
      </c>
      <c r="E33" t="n">
        <v>4.65021030331718</v>
      </c>
      <c r="F33" t="n">
        <v>0.0310497432224881</v>
      </c>
      <c r="G33" t="s">
        <v>288</v>
      </c>
      <c r="H33" t="n">
        <v>-0.246574817193685</v>
      </c>
      <c r="I33" t="n">
        <v>-0.470688562866028</v>
      </c>
      <c r="J33" t="n">
        <v>-0.0224610715213426</v>
      </c>
      <c r="K33" t="s">
        <v>700</v>
      </c>
      <c r="L33" t="s">
        <v>687</v>
      </c>
    </row>
    <row r="34">
      <c r="A34" t="s">
        <v>163</v>
      </c>
      <c r="B34" t="s">
        <v>292</v>
      </c>
      <c r="C34" t="n">
        <v>0.0521657722237616</v>
      </c>
      <c r="D34" t="n">
        <v>0.0109325133321209</v>
      </c>
      <c r="E34" t="n">
        <v>22.7683338187817</v>
      </c>
      <c r="F34" t="n">
        <v>0.00000182752292599009</v>
      </c>
      <c r="G34" t="s">
        <v>288</v>
      </c>
      <c r="H34" t="n">
        <v>0.0521657722237616</v>
      </c>
      <c r="I34" t="n">
        <v>0.0307380460928046</v>
      </c>
      <c r="J34" t="n">
        <v>0.0735934983547186</v>
      </c>
      <c r="K34" t="s">
        <v>701</v>
      </c>
      <c r="L34" t="s">
        <v>687</v>
      </c>
    </row>
    <row r="35">
      <c r="A35" t="s">
        <v>163</v>
      </c>
      <c r="B35" t="s">
        <v>286</v>
      </c>
      <c r="C35" t="n">
        <v>-0.00126233482574937</v>
      </c>
      <c r="D35" t="n">
        <v>0.00115875855408303</v>
      </c>
      <c r="E35" t="n">
        <v>1.18676087841482</v>
      </c>
      <c r="F35" t="n">
        <v>0.275983900496324</v>
      </c>
      <c r="G35" t="s">
        <v>288</v>
      </c>
      <c r="H35" t="n">
        <v>-0.00126233482574937</v>
      </c>
      <c r="I35" t="n">
        <v>-0.00353350159175212</v>
      </c>
      <c r="J35" t="n">
        <v>0.00100883194025337</v>
      </c>
      <c r="K35" t="s">
        <v>702</v>
      </c>
      <c r="L35" t="s">
        <v>687</v>
      </c>
    </row>
    <row r="36">
      <c r="A36" t="s">
        <v>163</v>
      </c>
      <c r="B36" t="s">
        <v>51</v>
      </c>
      <c r="C36" t="n">
        <v>-0.00350506858839601</v>
      </c>
      <c r="D36" t="n">
        <v>0.00336234539985552</v>
      </c>
      <c r="E36" t="n">
        <v>1.08669681021023</v>
      </c>
      <c r="F36" t="n">
        <v>0.297204249473862</v>
      </c>
      <c r="G36" t="s">
        <v>288</v>
      </c>
      <c r="H36" t="n">
        <v>-0.00350506858839601</v>
      </c>
      <c r="I36" t="n">
        <v>-0.0100952655721128</v>
      </c>
      <c r="J36" t="n">
        <v>0.00308512839532082</v>
      </c>
      <c r="K36" t="s">
        <v>703</v>
      </c>
      <c r="L36" t="s">
        <v>687</v>
      </c>
    </row>
    <row r="37">
      <c r="A37" t="s">
        <v>163</v>
      </c>
      <c r="B37" t="s">
        <v>81</v>
      </c>
      <c r="C37" t="n">
        <v>0.000521647109490436</v>
      </c>
      <c r="D37" t="n">
        <v>0.000205118936701568</v>
      </c>
      <c r="E37" t="n">
        <v>6.46758428938135</v>
      </c>
      <c r="F37" t="n">
        <v>0.0109859764716462</v>
      </c>
      <c r="G37" t="s">
        <v>288</v>
      </c>
      <c r="H37" t="n">
        <v>0.000521647109490436</v>
      </c>
      <c r="I37" t="n">
        <v>0.000119613993555362</v>
      </c>
      <c r="J37" t="n">
        <v>0.00092368022542551</v>
      </c>
      <c r="K37" t="s">
        <v>411</v>
      </c>
      <c r="L37" t="s">
        <v>687</v>
      </c>
    </row>
    <row r="38">
      <c r="A38" t="s">
        <v>168</v>
      </c>
      <c r="B38" t="s">
        <v>287</v>
      </c>
      <c r="C38" t="n">
        <v>-0.0336318130605865</v>
      </c>
      <c r="D38" t="n">
        <v>0.0816692974295404</v>
      </c>
      <c r="E38" t="n">
        <v>0.169583237337583</v>
      </c>
      <c r="F38" t="n">
        <v>0.680482463697143</v>
      </c>
      <c r="G38" t="s">
        <v>288</v>
      </c>
      <c r="H38" t="n">
        <v>-0.0336318130605865</v>
      </c>
      <c r="I38" t="n">
        <v>-0.193703636022486</v>
      </c>
      <c r="J38" t="n">
        <v>0.126440009901313</v>
      </c>
      <c r="K38" t="s">
        <v>704</v>
      </c>
      <c r="L38" t="s">
        <v>687</v>
      </c>
    </row>
    <row r="39">
      <c r="A39" t="s">
        <v>168</v>
      </c>
      <c r="B39" t="s">
        <v>292</v>
      </c>
      <c r="C39" t="n">
        <v>0.00574254639733377</v>
      </c>
      <c r="D39" t="n">
        <v>0.00788058998552603</v>
      </c>
      <c r="E39" t="n">
        <v>0.530996380431762</v>
      </c>
      <c r="F39" t="n">
        <v>0.466188261479623</v>
      </c>
      <c r="G39" t="s">
        <v>288</v>
      </c>
      <c r="H39" t="n">
        <v>0.00574254639733377</v>
      </c>
      <c r="I39" t="n">
        <v>-0.00970340997429724</v>
      </c>
      <c r="J39" t="n">
        <v>0.0211885027689648</v>
      </c>
      <c r="K39" t="s">
        <v>659</v>
      </c>
      <c r="L39" t="s">
        <v>687</v>
      </c>
    </row>
    <row r="40">
      <c r="A40" t="s">
        <v>168</v>
      </c>
      <c r="B40" t="s">
        <v>286</v>
      </c>
      <c r="C40" t="n">
        <v>-0.000116579367889831</v>
      </c>
      <c r="D40" t="n">
        <v>0.000835165630632507</v>
      </c>
      <c r="E40" t="n">
        <v>0.0194848992770104</v>
      </c>
      <c r="F40" t="n">
        <v>0.888985268997608</v>
      </c>
      <c r="G40" t="s">
        <v>288</v>
      </c>
      <c r="H40" t="n">
        <v>-0.000116579367889831</v>
      </c>
      <c r="I40" t="n">
        <v>-0.00175350400392954</v>
      </c>
      <c r="J40" t="n">
        <v>0.00152034526814988</v>
      </c>
      <c r="K40" t="s">
        <v>439</v>
      </c>
      <c r="L40" t="s">
        <v>687</v>
      </c>
    </row>
    <row r="41">
      <c r="A41" t="s">
        <v>168</v>
      </c>
      <c r="B41" t="s">
        <v>51</v>
      </c>
      <c r="C41" t="n">
        <v>-0.00204690755919274</v>
      </c>
      <c r="D41" t="n">
        <v>0.00200245957886007</v>
      </c>
      <c r="E41" t="n">
        <v>1.04488607899209</v>
      </c>
      <c r="F41" t="n">
        <v>0.30668781571227</v>
      </c>
      <c r="G41" t="s">
        <v>288</v>
      </c>
      <c r="H41" t="n">
        <v>-0.00204690755919274</v>
      </c>
      <c r="I41" t="n">
        <v>-0.00597172833375848</v>
      </c>
      <c r="J41" t="n">
        <v>0.00187791321537299</v>
      </c>
      <c r="K41" t="s">
        <v>660</v>
      </c>
      <c r="L41" t="s">
        <v>687</v>
      </c>
    </row>
    <row r="42">
      <c r="A42" t="s">
        <v>168</v>
      </c>
      <c r="B42" t="s">
        <v>81</v>
      </c>
      <c r="C42" t="n">
        <v>0.0000362855130589887</v>
      </c>
      <c r="D42" t="n">
        <v>0.000154417987998528</v>
      </c>
      <c r="E42" t="n">
        <v>0.0552167393755441</v>
      </c>
      <c r="F42" t="n">
        <v>0.81422237529044</v>
      </c>
      <c r="G42" t="s">
        <v>288</v>
      </c>
      <c r="H42" t="n">
        <v>0.0000362855130589887</v>
      </c>
      <c r="I42" t="n">
        <v>-0.000266373743418126</v>
      </c>
      <c r="J42" t="n">
        <v>0.000338944769536104</v>
      </c>
      <c r="K42" t="s">
        <v>448</v>
      </c>
      <c r="L42" t="s">
        <v>687</v>
      </c>
    </row>
    <row r="43">
      <c r="A43" t="s">
        <v>333</v>
      </c>
      <c r="B43" t="s">
        <v>287</v>
      </c>
      <c r="C43" t="n">
        <v>2.65408844995463</v>
      </c>
      <c r="D43" t="n">
        <v>8.66928617240254</v>
      </c>
      <c r="E43" t="n">
        <v>0.0937268681874005</v>
      </c>
      <c r="F43" t="n">
        <v>0.759491626503135</v>
      </c>
      <c r="G43" t="s">
        <v>309</v>
      </c>
      <c r="H43" t="n">
        <v>14.2120251807849</v>
      </c>
      <c r="I43" t="n">
        <v>0.000000593212919282303</v>
      </c>
      <c r="J43" t="n">
        <v>340487627.922246</v>
      </c>
      <c r="K43" t="s">
        <v>705</v>
      </c>
      <c r="L43" t="s">
        <v>706</v>
      </c>
    </row>
    <row r="44">
      <c r="A44" t="s">
        <v>333</v>
      </c>
      <c r="B44" t="s">
        <v>292</v>
      </c>
      <c r="C44" t="n">
        <v>1.78171449103108</v>
      </c>
      <c r="D44" t="n">
        <v>0.598427109388533</v>
      </c>
      <c r="E44" t="n">
        <v>8.86448900772565</v>
      </c>
      <c r="F44" t="n">
        <v>0.00290771633500231</v>
      </c>
      <c r="G44" t="s">
        <v>309</v>
      </c>
      <c r="H44" t="n">
        <v>5.94003182456499</v>
      </c>
      <c r="I44" t="n">
        <v>1.8382193465827</v>
      </c>
      <c r="J44" t="n">
        <v>19.1946505962081</v>
      </c>
      <c r="K44" t="s">
        <v>707</v>
      </c>
      <c r="L44" t="s">
        <v>706</v>
      </c>
    </row>
    <row r="45">
      <c r="A45" t="s">
        <v>333</v>
      </c>
      <c r="B45" t="s">
        <v>286</v>
      </c>
      <c r="C45" t="n">
        <v>0.0948254513885515</v>
      </c>
      <c r="D45" t="n">
        <v>0.0715395243494622</v>
      </c>
      <c r="E45" t="n">
        <v>1.75694327833228</v>
      </c>
      <c r="F45" t="n">
        <v>0.185006241098015</v>
      </c>
      <c r="G45" t="s">
        <v>309</v>
      </c>
      <c r="H45" t="n">
        <v>1.09946692795067</v>
      </c>
      <c r="I45" t="n">
        <v>0.955622788650392</v>
      </c>
      <c r="J45" t="n">
        <v>1.26496305866093</v>
      </c>
      <c r="K45" t="s">
        <v>708</v>
      </c>
      <c r="L45" t="s">
        <v>706</v>
      </c>
    </row>
    <row r="46">
      <c r="A46" t="s">
        <v>333</v>
      </c>
      <c r="B46" t="s">
        <v>51</v>
      </c>
      <c r="C46" t="n">
        <v>0.0867467479245756</v>
      </c>
      <c r="D46" t="n">
        <v>0.142326906036239</v>
      </c>
      <c r="E46" t="n">
        <v>0.371477391754043</v>
      </c>
      <c r="F46" t="n">
        <v>0.542200062393373</v>
      </c>
      <c r="G46" t="s">
        <v>309</v>
      </c>
      <c r="H46" t="n">
        <v>1.09062044285032</v>
      </c>
      <c r="I46" t="n">
        <v>0.825130281697106</v>
      </c>
      <c r="J46" t="n">
        <v>1.44153350900733</v>
      </c>
      <c r="K46" t="s">
        <v>709</v>
      </c>
      <c r="L46" t="s">
        <v>706</v>
      </c>
    </row>
    <row r="47">
      <c r="A47" t="s">
        <v>333</v>
      </c>
      <c r="B47" t="s">
        <v>81</v>
      </c>
      <c r="C47" t="n">
        <v>-0.014343269548175</v>
      </c>
      <c r="D47" t="n">
        <v>0.0181473835434381</v>
      </c>
      <c r="E47" t="n">
        <v>0.624695365313183</v>
      </c>
      <c r="F47" t="n">
        <v>0.429307791599237</v>
      </c>
      <c r="G47" t="s">
        <v>309</v>
      </c>
      <c r="H47" t="n">
        <v>0.98575910509564</v>
      </c>
      <c r="I47" t="n">
        <v>0.951313001959163</v>
      </c>
      <c r="J47" t="n">
        <v>1.02145246756616</v>
      </c>
      <c r="K47" t="s">
        <v>710</v>
      </c>
      <c r="L47" t="s">
        <v>706</v>
      </c>
    </row>
    <row r="48">
      <c r="A48" t="s">
        <v>336</v>
      </c>
      <c r="B48" t="s">
        <v>287</v>
      </c>
      <c r="C48" t="n">
        <v>18.7882080785245</v>
      </c>
      <c r="D48" t="n">
        <v>19.24811063692</v>
      </c>
      <c r="E48" t="n">
        <v>0.952784119746711</v>
      </c>
      <c r="F48" t="n">
        <v>0.329011634654729</v>
      </c>
      <c r="G48" t="s">
        <v>309</v>
      </c>
      <c r="H48" t="n">
        <v>144415927.346589</v>
      </c>
      <c r="I48" t="n">
        <v>0.00000000596063528659717</v>
      </c>
      <c r="J48" t="n">
        <v>3498949200644936734620242</v>
      </c>
      <c r="K48" t="s">
        <v>711</v>
      </c>
      <c r="L48" t="s">
        <v>706</v>
      </c>
    </row>
    <row r="49">
      <c r="A49" t="s">
        <v>336</v>
      </c>
      <c r="B49" t="s">
        <v>292</v>
      </c>
      <c r="C49" t="n">
        <v>2.45762737319323</v>
      </c>
      <c r="D49" t="n">
        <v>2.50532268833225</v>
      </c>
      <c r="E49" t="n">
        <v>0.962287242800084</v>
      </c>
      <c r="F49" t="n">
        <v>0.326611280613465</v>
      </c>
      <c r="G49" t="s">
        <v>309</v>
      </c>
      <c r="H49" t="n">
        <v>11.6770733095998</v>
      </c>
      <c r="I49" t="n">
        <v>0.0860518638964551</v>
      </c>
      <c r="J49" t="n">
        <v>1584.55650933768</v>
      </c>
      <c r="K49" t="s">
        <v>712</v>
      </c>
      <c r="L49" t="s">
        <v>706</v>
      </c>
    </row>
    <row r="50">
      <c r="A50" t="s">
        <v>336</v>
      </c>
      <c r="B50" t="s">
        <v>286</v>
      </c>
      <c r="C50" t="n">
        <v>0.494389440019909</v>
      </c>
      <c r="D50" t="n">
        <v>0.146821594390374</v>
      </c>
      <c r="E50" t="n">
        <v>11.3385755919725</v>
      </c>
      <c r="F50" t="n">
        <v>0.000759135285076429</v>
      </c>
      <c r="G50" t="s">
        <v>309</v>
      </c>
      <c r="H50" t="n">
        <v>1.63949692219797</v>
      </c>
      <c r="I50" t="n">
        <v>1.22951417909461</v>
      </c>
      <c r="J50" t="n">
        <v>2.18618882449651</v>
      </c>
      <c r="K50" t="s">
        <v>713</v>
      </c>
      <c r="L50" t="s">
        <v>706</v>
      </c>
    </row>
    <row r="51">
      <c r="A51" t="s">
        <v>336</v>
      </c>
      <c r="B51" t="s">
        <v>51</v>
      </c>
      <c r="C51" t="n">
        <v>-0.239178537449526</v>
      </c>
      <c r="D51" t="n">
        <v>0.465916192008888</v>
      </c>
      <c r="E51" t="n">
        <v>0.263529236784863</v>
      </c>
      <c r="F51" t="n">
        <v>0.607705823412232</v>
      </c>
      <c r="G51" t="s">
        <v>309</v>
      </c>
      <c r="H51" t="n">
        <v>0.787274311876793</v>
      </c>
      <c r="I51" t="n">
        <v>0.315885878760232</v>
      </c>
      <c r="J51" t="n">
        <v>1.96210367039398</v>
      </c>
      <c r="K51" t="s">
        <v>714</v>
      </c>
      <c r="L51" t="s">
        <v>706</v>
      </c>
    </row>
    <row r="52">
      <c r="A52" t="s">
        <v>336</v>
      </c>
      <c r="B52" t="s">
        <v>81</v>
      </c>
      <c r="C52" t="n">
        <v>-0.0827886751688872</v>
      </c>
      <c r="D52" t="n">
        <v>0.0432220157291546</v>
      </c>
      <c r="E52" t="n">
        <v>3.66886584349719</v>
      </c>
      <c r="F52" t="n">
        <v>0.0554378959021825</v>
      </c>
      <c r="G52" t="s">
        <v>309</v>
      </c>
      <c r="H52" t="n">
        <v>0.920545660822929</v>
      </c>
      <c r="I52" t="n">
        <v>0.845773381355363</v>
      </c>
      <c r="J52" t="n">
        <v>1.00192833250669</v>
      </c>
      <c r="K52" t="s">
        <v>715</v>
      </c>
      <c r="L52" t="s">
        <v>706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716</v>
      </c>
    </row>
    <row r="3">
      <c r="A3" s="1" t="s">
        <v>717</v>
      </c>
    </row>
    <row r="4">
      <c r="A4" t="s">
        <v>36</v>
      </c>
      <c r="B4" t="s">
        <v>718</v>
      </c>
      <c r="C4" t="s">
        <v>719</v>
      </c>
      <c r="D4" t="s">
        <v>39</v>
      </c>
      <c r="E4" t="s">
        <v>40</v>
      </c>
      <c r="F4" t="s">
        <v>41</v>
      </c>
      <c r="G4" t="s">
        <v>42</v>
      </c>
      <c r="H4" t="s">
        <v>43</v>
      </c>
    </row>
    <row r="5">
      <c r="A5" t="s">
        <v>44</v>
      </c>
      <c r="B5" t="s">
        <v>720</v>
      </c>
      <c r="C5" t="s">
        <v>721</v>
      </c>
      <c r="D5" t="s">
        <v>722</v>
      </c>
      <c r="E5" t="s">
        <v>723</v>
      </c>
      <c r="F5" t="s">
        <v>55</v>
      </c>
      <c r="G5" t="s">
        <v>724</v>
      </c>
      <c r="H5" t="s">
        <v>725</v>
      </c>
    </row>
    <row r="6">
      <c r="A6" t="s">
        <v>51</v>
      </c>
      <c r="B6" t="s">
        <v>726</v>
      </c>
      <c r="C6" t="s">
        <v>727</v>
      </c>
      <c r="D6" t="s">
        <v>728</v>
      </c>
      <c r="E6" t="s">
        <v>723</v>
      </c>
      <c r="F6" t="s">
        <v>55</v>
      </c>
      <c r="G6" t="s">
        <v>729</v>
      </c>
      <c r="H6" t="s">
        <v>728</v>
      </c>
    </row>
    <row r="7">
      <c r="A7" t="s">
        <v>58</v>
      </c>
      <c r="B7" t="s">
        <v>730</v>
      </c>
      <c r="C7" t="s">
        <v>731</v>
      </c>
      <c r="D7" t="s">
        <v>732</v>
      </c>
      <c r="E7" t="s">
        <v>723</v>
      </c>
      <c r="F7" t="s">
        <v>55</v>
      </c>
      <c r="G7" t="s">
        <v>733</v>
      </c>
      <c r="H7" t="s">
        <v>732</v>
      </c>
    </row>
    <row r="8">
      <c r="A8" t="s">
        <v>64</v>
      </c>
      <c r="B8" t="s">
        <v>734</v>
      </c>
      <c r="C8" t="s">
        <v>735</v>
      </c>
      <c r="D8" t="s">
        <v>736</v>
      </c>
      <c r="E8" t="s">
        <v>723</v>
      </c>
      <c r="F8" t="s">
        <v>55</v>
      </c>
      <c r="G8" t="s">
        <v>737</v>
      </c>
      <c r="H8" t="s">
        <v>736</v>
      </c>
    </row>
    <row r="9">
      <c r="A9" t="s">
        <v>70</v>
      </c>
      <c r="B9" t="s">
        <v>738</v>
      </c>
      <c r="C9" t="s">
        <v>739</v>
      </c>
      <c r="D9" t="s">
        <v>740</v>
      </c>
      <c r="E9" t="s">
        <v>723</v>
      </c>
      <c r="F9" t="s">
        <v>55</v>
      </c>
      <c r="G9" t="s">
        <v>741</v>
      </c>
      <c r="H9" t="s">
        <v>740</v>
      </c>
    </row>
    <row r="10">
      <c r="A10" t="s">
        <v>76</v>
      </c>
      <c r="B10" t="s">
        <v>77</v>
      </c>
      <c r="C10" t="s">
        <v>742</v>
      </c>
      <c r="D10" t="s">
        <v>743</v>
      </c>
      <c r="E10" t="s">
        <v>723</v>
      </c>
      <c r="F10" t="s">
        <v>55</v>
      </c>
      <c r="G10" t="s">
        <v>744</v>
      </c>
      <c r="H10" t="s">
        <v>743</v>
      </c>
    </row>
    <row r="11">
      <c r="A11" t="s">
        <v>81</v>
      </c>
      <c r="B11" t="s">
        <v>745</v>
      </c>
      <c r="C11" t="s">
        <v>746</v>
      </c>
      <c r="D11" t="s">
        <v>747</v>
      </c>
      <c r="E11" t="s">
        <v>723</v>
      </c>
      <c r="F11" t="s">
        <v>55</v>
      </c>
      <c r="G11" t="s">
        <v>748</v>
      </c>
      <c r="H11" t="s">
        <v>747</v>
      </c>
    </row>
    <row r="12">
      <c r="A12" t="s">
        <v>87</v>
      </c>
      <c r="B12" t="s">
        <v>749</v>
      </c>
      <c r="C12" t="s">
        <v>750</v>
      </c>
      <c r="D12" t="s">
        <v>751</v>
      </c>
      <c r="E12" t="s">
        <v>723</v>
      </c>
      <c r="F12" t="s">
        <v>55</v>
      </c>
      <c r="G12" t="s">
        <v>752</v>
      </c>
      <c r="H12" t="s">
        <v>751</v>
      </c>
    </row>
    <row r="13">
      <c r="A13" t="s">
        <v>93</v>
      </c>
      <c r="B13" t="s">
        <v>753</v>
      </c>
      <c r="C13" t="s">
        <v>95</v>
      </c>
      <c r="D13" t="s">
        <v>754</v>
      </c>
      <c r="E13" t="s">
        <v>755</v>
      </c>
      <c r="F13" t="s">
        <v>55</v>
      </c>
      <c r="G13" t="s">
        <v>98</v>
      </c>
      <c r="H13" t="s">
        <v>98</v>
      </c>
    </row>
    <row r="14">
      <c r="A14" t="s">
        <v>99</v>
      </c>
      <c r="B14" t="s">
        <v>756</v>
      </c>
      <c r="C14" t="s">
        <v>757</v>
      </c>
      <c r="D14" t="s">
        <v>758</v>
      </c>
      <c r="E14" t="s">
        <v>723</v>
      </c>
      <c r="F14" t="s">
        <v>55</v>
      </c>
      <c r="G14" t="s">
        <v>759</v>
      </c>
      <c r="H14" t="s">
        <v>760</v>
      </c>
    </row>
    <row r="15">
      <c r="A15" t="s">
        <v>106</v>
      </c>
      <c r="B15" t="s">
        <v>761</v>
      </c>
      <c r="C15" t="s">
        <v>762</v>
      </c>
      <c r="D15" t="s">
        <v>763</v>
      </c>
      <c r="E15" t="s">
        <v>723</v>
      </c>
      <c r="F15" t="s">
        <v>49</v>
      </c>
      <c r="G15" t="s">
        <v>764</v>
      </c>
      <c r="H15" t="s">
        <v>765</v>
      </c>
    </row>
    <row r="16">
      <c r="A16" t="s">
        <v>112</v>
      </c>
      <c r="B16" t="s">
        <v>766</v>
      </c>
      <c r="C16" t="s">
        <v>767</v>
      </c>
      <c r="D16"/>
      <c r="E16" t="s">
        <v>768</v>
      </c>
      <c r="F16" t="s">
        <v>769</v>
      </c>
      <c r="G16" t="s">
        <v>98</v>
      </c>
      <c r="H16" t="s">
        <v>98</v>
      </c>
    </row>
    <row r="17">
      <c r="A17" t="s">
        <v>116</v>
      </c>
      <c r="B17" t="s">
        <v>770</v>
      </c>
      <c r="C17" t="s">
        <v>771</v>
      </c>
      <c r="D17" t="s">
        <v>98</v>
      </c>
      <c r="E17" t="s">
        <v>98</v>
      </c>
      <c r="F17" t="s">
        <v>98</v>
      </c>
      <c r="G17" t="s">
        <v>98</v>
      </c>
      <c r="H17" t="s">
        <v>98</v>
      </c>
    </row>
    <row r="18">
      <c r="A18" t="s">
        <v>119</v>
      </c>
      <c r="B18" t="s">
        <v>772</v>
      </c>
      <c r="C18" t="s">
        <v>773</v>
      </c>
      <c r="D18" t="s">
        <v>98</v>
      </c>
      <c r="E18" t="s">
        <v>98</v>
      </c>
      <c r="F18" t="s">
        <v>98</v>
      </c>
      <c r="G18" t="s">
        <v>98</v>
      </c>
      <c r="H18" t="s">
        <v>98</v>
      </c>
    </row>
    <row r="20">
      <c r="A20" s="1" t="s">
        <v>774</v>
      </c>
    </row>
    <row r="21">
      <c r="A21" t="s">
        <v>36</v>
      </c>
      <c r="B21" t="s">
        <v>718</v>
      </c>
      <c r="C21" t="s">
        <v>719</v>
      </c>
      <c r="D21" t="s">
        <v>39</v>
      </c>
      <c r="E21" t="s">
        <v>40</v>
      </c>
      <c r="F21" t="s">
        <v>41</v>
      </c>
      <c r="G21" t="s">
        <v>42</v>
      </c>
      <c r="H21" t="s">
        <v>43</v>
      </c>
    </row>
    <row r="22">
      <c r="A22" t="s">
        <v>123</v>
      </c>
      <c r="B22" t="s">
        <v>775</v>
      </c>
      <c r="C22" t="s">
        <v>776</v>
      </c>
      <c r="D22" t="s">
        <v>777</v>
      </c>
      <c r="E22" t="s">
        <v>723</v>
      </c>
      <c r="F22" t="s">
        <v>55</v>
      </c>
      <c r="G22" t="s">
        <v>778</v>
      </c>
      <c r="H22" t="s">
        <v>777</v>
      </c>
    </row>
    <row r="23">
      <c r="A23" t="s">
        <v>129</v>
      </c>
      <c r="B23" t="s">
        <v>779</v>
      </c>
      <c r="C23" t="s">
        <v>780</v>
      </c>
      <c r="D23" t="s">
        <v>781</v>
      </c>
      <c r="E23" t="s">
        <v>723</v>
      </c>
      <c r="F23" t="s">
        <v>55</v>
      </c>
      <c r="G23" t="s">
        <v>782</v>
      </c>
      <c r="H23" t="s">
        <v>781</v>
      </c>
    </row>
    <row r="24">
      <c r="A24" t="s">
        <v>135</v>
      </c>
      <c r="B24" t="s">
        <v>783</v>
      </c>
      <c r="C24" t="s">
        <v>784</v>
      </c>
      <c r="D24"/>
      <c r="E24" t="s">
        <v>138</v>
      </c>
      <c r="F24" t="s">
        <v>139</v>
      </c>
      <c r="G24" t="s">
        <v>98</v>
      </c>
      <c r="H24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716</v>
      </c>
    </row>
    <row r="3">
      <c r="A3" t="s">
        <v>36</v>
      </c>
      <c r="B3" t="s">
        <v>718</v>
      </c>
      <c r="C3" t="s">
        <v>719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140</v>
      </c>
      <c r="J3" t="s">
        <v>141</v>
      </c>
    </row>
    <row r="4">
      <c r="A4" t="s">
        <v>142</v>
      </c>
      <c r="B4" t="s">
        <v>785</v>
      </c>
      <c r="C4" t="s">
        <v>786</v>
      </c>
      <c r="D4" t="s">
        <v>787</v>
      </c>
      <c r="E4" t="s">
        <v>723</v>
      </c>
      <c r="F4" t="s">
        <v>55</v>
      </c>
      <c r="G4" t="s">
        <v>788</v>
      </c>
      <c r="H4" t="s">
        <v>787</v>
      </c>
      <c r="I4" t="s">
        <v>669</v>
      </c>
      <c r="J4" t="s">
        <v>670</v>
      </c>
    </row>
    <row r="5">
      <c r="A5" t="s">
        <v>150</v>
      </c>
      <c r="B5" t="s">
        <v>789</v>
      </c>
      <c r="C5" t="s">
        <v>790</v>
      </c>
      <c r="D5" t="s">
        <v>765</v>
      </c>
      <c r="E5" t="s">
        <v>723</v>
      </c>
      <c r="F5" t="s">
        <v>49</v>
      </c>
      <c r="G5" t="s">
        <v>791</v>
      </c>
      <c r="H5" t="s">
        <v>765</v>
      </c>
      <c r="I5" t="s">
        <v>672</v>
      </c>
      <c r="J5" t="s">
        <v>673</v>
      </c>
    </row>
    <row r="6">
      <c r="A6" t="s">
        <v>155</v>
      </c>
      <c r="B6" t="s">
        <v>792</v>
      </c>
      <c r="C6" t="s">
        <v>793</v>
      </c>
      <c r="D6" t="s">
        <v>794</v>
      </c>
      <c r="E6" t="s">
        <v>723</v>
      </c>
      <c r="F6" t="s">
        <v>55</v>
      </c>
      <c r="G6" t="s">
        <v>795</v>
      </c>
      <c r="H6" t="s">
        <v>794</v>
      </c>
      <c r="I6" t="s">
        <v>674</v>
      </c>
      <c r="J6" t="s">
        <v>675</v>
      </c>
    </row>
    <row r="7">
      <c r="A7" t="s">
        <v>163</v>
      </c>
      <c r="B7" t="s">
        <v>796</v>
      </c>
      <c r="C7" t="s">
        <v>797</v>
      </c>
      <c r="D7" t="s">
        <v>47</v>
      </c>
      <c r="E7" t="s">
        <v>723</v>
      </c>
      <c r="F7" t="s">
        <v>49</v>
      </c>
      <c r="G7" t="s">
        <v>798</v>
      </c>
      <c r="H7" t="s">
        <v>47</v>
      </c>
      <c r="I7" t="s">
        <v>167</v>
      </c>
      <c r="J7" t="s">
        <v>47</v>
      </c>
    </row>
    <row r="8">
      <c r="A8" t="s">
        <v>168</v>
      </c>
      <c r="B8" t="s">
        <v>77</v>
      </c>
      <c r="C8" t="s">
        <v>742</v>
      </c>
      <c r="D8" t="s">
        <v>799</v>
      </c>
      <c r="E8" t="s">
        <v>723</v>
      </c>
      <c r="F8" t="s">
        <v>55</v>
      </c>
      <c r="G8" t="s">
        <v>800</v>
      </c>
      <c r="H8" t="s">
        <v>799</v>
      </c>
      <c r="I8" t="s">
        <v>676</v>
      </c>
      <c r="J8" t="s">
        <v>677</v>
      </c>
    </row>
    <row r="9">
      <c r="A9" t="s">
        <v>175</v>
      </c>
      <c r="B9" t="s">
        <v>176</v>
      </c>
      <c r="C9" t="s">
        <v>801</v>
      </c>
      <c r="D9" t="s">
        <v>802</v>
      </c>
      <c r="E9" t="s">
        <v>755</v>
      </c>
      <c r="F9" t="s">
        <v>49</v>
      </c>
      <c r="G9" t="s">
        <v>98</v>
      </c>
      <c r="H9" t="s">
        <v>98</v>
      </c>
      <c r="I9" t="s">
        <v>98</v>
      </c>
      <c r="J9" t="s">
        <v>98</v>
      </c>
    </row>
    <row r="10">
      <c r="A10" t="s">
        <v>177</v>
      </c>
      <c r="B10" t="s">
        <v>803</v>
      </c>
      <c r="C10" t="s">
        <v>804</v>
      </c>
      <c r="D10" t="s">
        <v>805</v>
      </c>
      <c r="E10" t="s">
        <v>755</v>
      </c>
      <c r="F10" t="s">
        <v>55</v>
      </c>
      <c r="G10" t="s">
        <v>98</v>
      </c>
      <c r="H10" t="s">
        <v>98</v>
      </c>
      <c r="I10" t="s">
        <v>98</v>
      </c>
      <c r="J10" t="s">
        <v>98</v>
      </c>
    </row>
    <row r="11">
      <c r="A11" t="s">
        <v>181</v>
      </c>
      <c r="B11" t="s">
        <v>806</v>
      </c>
      <c r="C11" t="s">
        <v>807</v>
      </c>
      <c r="D11" t="s">
        <v>84</v>
      </c>
      <c r="E11" t="s">
        <v>723</v>
      </c>
      <c r="F11" t="s">
        <v>49</v>
      </c>
      <c r="G11" t="s">
        <v>808</v>
      </c>
      <c r="H11" t="s">
        <v>84</v>
      </c>
      <c r="I11" t="s">
        <v>678</v>
      </c>
      <c r="J11" t="s">
        <v>679</v>
      </c>
    </row>
    <row r="12">
      <c r="A12" t="s">
        <v>187</v>
      </c>
      <c r="B12" t="s">
        <v>809</v>
      </c>
      <c r="C12" t="s">
        <v>810</v>
      </c>
      <c r="D12" t="s">
        <v>811</v>
      </c>
      <c r="E12" t="s">
        <v>723</v>
      </c>
      <c r="F12" t="s">
        <v>55</v>
      </c>
      <c r="G12" t="s">
        <v>812</v>
      </c>
      <c r="H12" t="s">
        <v>811</v>
      </c>
      <c r="I12" t="s">
        <v>682</v>
      </c>
      <c r="J12" t="s">
        <v>683</v>
      </c>
    </row>
    <row r="13">
      <c r="A13" t="s">
        <v>196</v>
      </c>
      <c r="B13" t="s">
        <v>813</v>
      </c>
      <c r="C13" t="s">
        <v>814</v>
      </c>
      <c r="D13"/>
      <c r="E13" t="s">
        <v>768</v>
      </c>
      <c r="F13" t="s">
        <v>769</v>
      </c>
      <c r="G13" t="s">
        <v>98</v>
      </c>
      <c r="H13" t="s">
        <v>98</v>
      </c>
      <c r="I13" t="s">
        <v>98</v>
      </c>
      <c r="J13" t="s">
        <v>98</v>
      </c>
    </row>
    <row r="14">
      <c r="A14" t="s">
        <v>200</v>
      </c>
      <c r="B14" t="s">
        <v>815</v>
      </c>
      <c r="C14" t="s">
        <v>810</v>
      </c>
      <c r="D14" t="s">
        <v>98</v>
      </c>
      <c r="E14" t="s">
        <v>98</v>
      </c>
      <c r="F14" t="s">
        <v>98</v>
      </c>
      <c r="G14" t="s">
        <v>98</v>
      </c>
      <c r="H14" t="s">
        <v>98</v>
      </c>
      <c r="I14" t="s">
        <v>98</v>
      </c>
      <c r="J14" t="s">
        <v>98</v>
      </c>
    </row>
    <row r="15">
      <c r="A15" t="s">
        <v>202</v>
      </c>
      <c r="B15" t="s">
        <v>816</v>
      </c>
      <c r="C15" t="s">
        <v>817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  <c r="I15" t="s">
        <v>98</v>
      </c>
      <c r="J15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9" t="s">
        <v>716</v>
      </c>
    </row>
    <row r="3">
      <c r="A3" s="2" t="s">
        <v>36</v>
      </c>
      <c r="B3" s="2" t="s">
        <v>718</v>
      </c>
      <c r="C3" s="2" t="s">
        <v>719</v>
      </c>
      <c r="D3" s="2" t="s">
        <v>205</v>
      </c>
      <c r="E3" s="2" t="s">
        <v>42</v>
      </c>
      <c r="F3" s="2" t="s">
        <v>43</v>
      </c>
      <c r="G3" s="2" t="s">
        <v>140</v>
      </c>
      <c r="H3" s="2" t="s">
        <v>141</v>
      </c>
    </row>
    <row r="4">
      <c r="A4" s="3" t="s">
        <v>206</v>
      </c>
      <c r="B4" s="3" t="s">
        <v>98</v>
      </c>
      <c r="C4" s="3" t="s">
        <v>98</v>
      </c>
      <c r="D4" s="3" t="s">
        <v>98</v>
      </c>
      <c r="E4" s="3" t="s">
        <v>98</v>
      </c>
      <c r="F4" s="3" t="s">
        <v>98</v>
      </c>
      <c r="G4" s="3" t="s">
        <v>98</v>
      </c>
      <c r="H4" s="3" t="s">
        <v>98</v>
      </c>
    </row>
    <row r="5">
      <c r="A5" t="s">
        <v>207</v>
      </c>
      <c r="B5" t="s">
        <v>720</v>
      </c>
      <c r="C5" t="s">
        <v>721</v>
      </c>
      <c r="D5" t="s">
        <v>722</v>
      </c>
      <c r="E5" t="s">
        <v>724</v>
      </c>
      <c r="F5" t="s">
        <v>725</v>
      </c>
      <c r="G5" t="s">
        <v>98</v>
      </c>
      <c r="H5" t="s">
        <v>98</v>
      </c>
    </row>
    <row r="6">
      <c r="A6" t="s">
        <v>208</v>
      </c>
      <c r="B6" t="s">
        <v>726</v>
      </c>
      <c r="C6" t="s">
        <v>727</v>
      </c>
      <c r="D6" t="s">
        <v>728</v>
      </c>
      <c r="E6" t="s">
        <v>729</v>
      </c>
      <c r="F6" t="s">
        <v>728</v>
      </c>
      <c r="G6" t="s">
        <v>98</v>
      </c>
      <c r="H6" t="s">
        <v>98</v>
      </c>
    </row>
    <row r="7">
      <c r="A7" t="s">
        <v>209</v>
      </c>
      <c r="B7" t="s">
        <v>730</v>
      </c>
      <c r="C7" t="s">
        <v>731</v>
      </c>
      <c r="D7" t="s">
        <v>732</v>
      </c>
      <c r="E7" t="s">
        <v>733</v>
      </c>
      <c r="F7" t="s">
        <v>732</v>
      </c>
      <c r="G7" t="s">
        <v>98</v>
      </c>
      <c r="H7" t="s">
        <v>98</v>
      </c>
    </row>
    <row r="8">
      <c r="A8" t="s">
        <v>210</v>
      </c>
      <c r="B8" t="s">
        <v>734</v>
      </c>
      <c r="C8" t="s">
        <v>735</v>
      </c>
      <c r="D8" t="s">
        <v>736</v>
      </c>
      <c r="E8" t="s">
        <v>737</v>
      </c>
      <c r="F8" t="s">
        <v>736</v>
      </c>
      <c r="G8" t="s">
        <v>98</v>
      </c>
      <c r="H8" t="s">
        <v>98</v>
      </c>
    </row>
    <row r="9">
      <c r="A9" t="s">
        <v>211</v>
      </c>
      <c r="B9" t="s">
        <v>738</v>
      </c>
      <c r="C9" t="s">
        <v>739</v>
      </c>
      <c r="D9" t="s">
        <v>740</v>
      </c>
      <c r="E9" t="s">
        <v>741</v>
      </c>
      <c r="F9" t="s">
        <v>740</v>
      </c>
      <c r="G9" t="s">
        <v>98</v>
      </c>
      <c r="H9" t="s">
        <v>98</v>
      </c>
    </row>
    <row r="10">
      <c r="A10" t="s">
        <v>212</v>
      </c>
      <c r="B10" t="s">
        <v>77</v>
      </c>
      <c r="C10" t="s">
        <v>742</v>
      </c>
      <c r="D10" t="s">
        <v>743</v>
      </c>
      <c r="E10" t="s">
        <v>744</v>
      </c>
      <c r="F10" t="s">
        <v>743</v>
      </c>
      <c r="G10" t="s">
        <v>98</v>
      </c>
      <c r="H10" t="s">
        <v>98</v>
      </c>
    </row>
    <row r="11">
      <c r="A11" t="s">
        <v>213</v>
      </c>
      <c r="B11" t="s">
        <v>745</v>
      </c>
      <c r="C11" t="s">
        <v>746</v>
      </c>
      <c r="D11" t="s">
        <v>747</v>
      </c>
      <c r="E11" t="s">
        <v>748</v>
      </c>
      <c r="F11" t="s">
        <v>747</v>
      </c>
      <c r="G11" t="s">
        <v>98</v>
      </c>
      <c r="H11" t="s">
        <v>98</v>
      </c>
    </row>
    <row r="12">
      <c r="A12" t="s">
        <v>214</v>
      </c>
      <c r="B12" t="s">
        <v>749</v>
      </c>
      <c r="C12" t="s">
        <v>750</v>
      </c>
      <c r="D12" t="s">
        <v>751</v>
      </c>
      <c r="E12" t="s">
        <v>752</v>
      </c>
      <c r="F12" t="s">
        <v>751</v>
      </c>
      <c r="G12" t="s">
        <v>98</v>
      </c>
      <c r="H12" t="s">
        <v>98</v>
      </c>
    </row>
    <row r="13">
      <c r="A13" t="s">
        <v>215</v>
      </c>
      <c r="B13" t="s">
        <v>753</v>
      </c>
      <c r="C13" t="s">
        <v>95</v>
      </c>
      <c r="D13" t="s">
        <v>754</v>
      </c>
      <c r="E13" t="s">
        <v>98</v>
      </c>
      <c r="F13" t="s">
        <v>98</v>
      </c>
      <c r="G13" t="s">
        <v>98</v>
      </c>
      <c r="H13" t="s">
        <v>98</v>
      </c>
    </row>
    <row r="14">
      <c r="A14" t="s">
        <v>99</v>
      </c>
      <c r="B14" t="s">
        <v>756</v>
      </c>
      <c r="C14" t="s">
        <v>757</v>
      </c>
      <c r="D14" t="s">
        <v>758</v>
      </c>
      <c r="E14" t="s">
        <v>759</v>
      </c>
      <c r="F14" t="s">
        <v>760</v>
      </c>
      <c r="G14" t="s">
        <v>98</v>
      </c>
      <c r="H14" t="s">
        <v>98</v>
      </c>
    </row>
    <row r="15">
      <c r="A15" t="s">
        <v>106</v>
      </c>
      <c r="B15" t="s">
        <v>761</v>
      </c>
      <c r="C15" t="s">
        <v>762</v>
      </c>
      <c r="D15" t="s">
        <v>763</v>
      </c>
      <c r="E15" t="s">
        <v>764</v>
      </c>
      <c r="F15" t="s">
        <v>765</v>
      </c>
      <c r="G15" t="s">
        <v>98</v>
      </c>
      <c r="H15" t="s">
        <v>98</v>
      </c>
    </row>
    <row r="16">
      <c r="A16" t="s">
        <v>112</v>
      </c>
      <c r="B16" t="s">
        <v>766</v>
      </c>
      <c r="C16" t="s">
        <v>767</v>
      </c>
      <c r="D16" t="s">
        <v>218</v>
      </c>
      <c r="E16" t="s">
        <v>98</v>
      </c>
      <c r="F16" t="s">
        <v>98</v>
      </c>
      <c r="G16" t="s">
        <v>98</v>
      </c>
      <c r="H16" t="s">
        <v>98</v>
      </c>
    </row>
    <row r="17">
      <c r="A17" t="s">
        <v>116</v>
      </c>
      <c r="B17" t="s">
        <v>770</v>
      </c>
      <c r="C17" t="s">
        <v>771</v>
      </c>
      <c r="D17" t="s">
        <v>98</v>
      </c>
      <c r="E17" t="s">
        <v>98</v>
      </c>
      <c r="F17" t="s">
        <v>98</v>
      </c>
      <c r="G17" t="s">
        <v>98</v>
      </c>
      <c r="H17" t="s">
        <v>98</v>
      </c>
    </row>
    <row r="18">
      <c r="A18" t="s">
        <v>119</v>
      </c>
      <c r="B18" t="s">
        <v>772</v>
      </c>
      <c r="C18" t="s">
        <v>773</v>
      </c>
      <c r="D18" t="s">
        <v>98</v>
      </c>
      <c r="E18" t="s">
        <v>98</v>
      </c>
      <c r="F18" t="s">
        <v>98</v>
      </c>
      <c r="G18" t="s">
        <v>98</v>
      </c>
      <c r="H18" t="s">
        <v>98</v>
      </c>
    </row>
    <row r="19">
      <c r="A19" s="3" t="s">
        <v>122</v>
      </c>
      <c r="B19" s="3" t="s">
        <v>98</v>
      </c>
      <c r="C19" s="3" t="s">
        <v>98</v>
      </c>
      <c r="D19" s="3" t="s">
        <v>98</v>
      </c>
      <c r="E19" s="3" t="s">
        <v>98</v>
      </c>
      <c r="F19" s="3" t="s">
        <v>98</v>
      </c>
      <c r="G19" s="3" t="s">
        <v>98</v>
      </c>
      <c r="H19" s="3" t="s">
        <v>98</v>
      </c>
    </row>
    <row r="20">
      <c r="A20" t="s">
        <v>216</v>
      </c>
      <c r="B20" t="s">
        <v>775</v>
      </c>
      <c r="C20" t="s">
        <v>776</v>
      </c>
      <c r="D20" t="s">
        <v>777</v>
      </c>
      <c r="E20" t="s">
        <v>778</v>
      </c>
      <c r="F20" t="s">
        <v>777</v>
      </c>
      <c r="G20" t="s">
        <v>98</v>
      </c>
      <c r="H20" t="s">
        <v>98</v>
      </c>
    </row>
    <row r="21">
      <c r="A21" t="s">
        <v>217</v>
      </c>
      <c r="B21" t="s">
        <v>779</v>
      </c>
      <c r="C21" t="s">
        <v>780</v>
      </c>
      <c r="D21" t="s">
        <v>781</v>
      </c>
      <c r="E21" t="s">
        <v>782</v>
      </c>
      <c r="F21" t="s">
        <v>781</v>
      </c>
      <c r="G21" t="s">
        <v>98</v>
      </c>
      <c r="H21" t="s">
        <v>98</v>
      </c>
    </row>
    <row r="22">
      <c r="A22" t="s">
        <v>135</v>
      </c>
      <c r="B22" t="s">
        <v>783</v>
      </c>
      <c r="C22" t="s">
        <v>784</v>
      </c>
      <c r="D22" t="s">
        <v>218</v>
      </c>
      <c r="E22" t="s">
        <v>98</v>
      </c>
      <c r="F22" t="s">
        <v>98</v>
      </c>
      <c r="G22" t="s">
        <v>98</v>
      </c>
      <c r="H22" t="s">
        <v>98</v>
      </c>
    </row>
    <row r="23">
      <c r="A23" s="3" t="s">
        <v>219</v>
      </c>
      <c r="B23" s="3" t="s">
        <v>98</v>
      </c>
      <c r="C23" s="3" t="s">
        <v>98</v>
      </c>
      <c r="D23" s="3" t="s">
        <v>98</v>
      </c>
      <c r="E23" s="3" t="s">
        <v>98</v>
      </c>
      <c r="F23" s="3" t="s">
        <v>98</v>
      </c>
      <c r="G23" s="3" t="s">
        <v>98</v>
      </c>
      <c r="H23" s="3" t="s">
        <v>98</v>
      </c>
    </row>
    <row r="24">
      <c r="A24" t="s">
        <v>220</v>
      </c>
      <c r="B24" t="s">
        <v>785</v>
      </c>
      <c r="C24" t="s">
        <v>786</v>
      </c>
      <c r="D24" t="s">
        <v>787</v>
      </c>
      <c r="E24" t="s">
        <v>788</v>
      </c>
      <c r="F24" t="s">
        <v>787</v>
      </c>
      <c r="G24" t="s">
        <v>669</v>
      </c>
      <c r="H24" t="s">
        <v>670</v>
      </c>
    </row>
    <row r="25">
      <c r="A25" t="s">
        <v>221</v>
      </c>
      <c r="B25" t="s">
        <v>789</v>
      </c>
      <c r="C25" t="s">
        <v>790</v>
      </c>
      <c r="D25" t="s">
        <v>765</v>
      </c>
      <c r="E25" t="s">
        <v>791</v>
      </c>
      <c r="F25" t="s">
        <v>765</v>
      </c>
      <c r="G25" t="s">
        <v>672</v>
      </c>
      <c r="H25" t="s">
        <v>673</v>
      </c>
    </row>
    <row r="26">
      <c r="A26" t="s">
        <v>222</v>
      </c>
      <c r="B26" t="s">
        <v>792</v>
      </c>
      <c r="C26" t="s">
        <v>793</v>
      </c>
      <c r="D26" t="s">
        <v>794</v>
      </c>
      <c r="E26" t="s">
        <v>795</v>
      </c>
      <c r="F26" t="s">
        <v>794</v>
      </c>
      <c r="G26" t="s">
        <v>674</v>
      </c>
      <c r="H26" t="s">
        <v>675</v>
      </c>
    </row>
    <row r="27">
      <c r="A27" t="s">
        <v>223</v>
      </c>
      <c r="B27" t="s">
        <v>796</v>
      </c>
      <c r="C27" t="s">
        <v>797</v>
      </c>
      <c r="D27" t="s">
        <v>47</v>
      </c>
      <c r="E27" t="s">
        <v>798</v>
      </c>
      <c r="F27" t="s">
        <v>47</v>
      </c>
      <c r="G27" t="s">
        <v>167</v>
      </c>
      <c r="H27" t="s">
        <v>47</v>
      </c>
    </row>
    <row r="28">
      <c r="A28" t="s">
        <v>224</v>
      </c>
      <c r="B28" t="s">
        <v>77</v>
      </c>
      <c r="C28" t="s">
        <v>742</v>
      </c>
      <c r="D28" t="s">
        <v>799</v>
      </c>
      <c r="E28" t="s">
        <v>800</v>
      </c>
      <c r="F28" t="s">
        <v>799</v>
      </c>
      <c r="G28" t="s">
        <v>676</v>
      </c>
      <c r="H28" t="s">
        <v>677</v>
      </c>
    </row>
    <row r="29">
      <c r="A29" t="s">
        <v>225</v>
      </c>
      <c r="B29" t="s">
        <v>176</v>
      </c>
      <c r="C29" t="s">
        <v>801</v>
      </c>
      <c r="D29" t="s">
        <v>802</v>
      </c>
      <c r="E29" t="s">
        <v>98</v>
      </c>
      <c r="F29" t="s">
        <v>98</v>
      </c>
      <c r="G29" t="s">
        <v>98</v>
      </c>
      <c r="H29" t="s">
        <v>98</v>
      </c>
    </row>
    <row r="30">
      <c r="A30" t="s">
        <v>226</v>
      </c>
      <c r="B30" t="s">
        <v>803</v>
      </c>
      <c r="C30" t="s">
        <v>804</v>
      </c>
      <c r="D30" t="s">
        <v>805</v>
      </c>
      <c r="E30" t="s">
        <v>98</v>
      </c>
      <c r="F30" t="s">
        <v>98</v>
      </c>
      <c r="G30" t="s">
        <v>98</v>
      </c>
      <c r="H30" t="s">
        <v>98</v>
      </c>
    </row>
    <row r="31">
      <c r="A31" t="s">
        <v>227</v>
      </c>
      <c r="B31" t="s">
        <v>806</v>
      </c>
      <c r="C31" t="s">
        <v>807</v>
      </c>
      <c r="D31" t="s">
        <v>84</v>
      </c>
      <c r="E31" t="s">
        <v>808</v>
      </c>
      <c r="F31" t="s">
        <v>84</v>
      </c>
      <c r="G31" t="s">
        <v>678</v>
      </c>
      <c r="H31" t="s">
        <v>679</v>
      </c>
    </row>
    <row r="32">
      <c r="A32" t="s">
        <v>228</v>
      </c>
      <c r="B32" t="s">
        <v>809</v>
      </c>
      <c r="C32" t="s">
        <v>810</v>
      </c>
      <c r="D32" t="s">
        <v>811</v>
      </c>
      <c r="E32" t="s">
        <v>812</v>
      </c>
      <c r="F32" t="s">
        <v>811</v>
      </c>
      <c r="G32" t="s">
        <v>682</v>
      </c>
      <c r="H32" t="s">
        <v>683</v>
      </c>
    </row>
    <row r="33">
      <c r="A33" t="s">
        <v>229</v>
      </c>
      <c r="B33" t="s">
        <v>813</v>
      </c>
      <c r="C33" t="s">
        <v>814</v>
      </c>
      <c r="D33" t="s">
        <v>218</v>
      </c>
      <c r="E33" t="s">
        <v>98</v>
      </c>
      <c r="F33" t="s">
        <v>98</v>
      </c>
      <c r="G33" t="s">
        <v>98</v>
      </c>
      <c r="H33" t="s">
        <v>98</v>
      </c>
    </row>
    <row r="34">
      <c r="A34" t="s">
        <v>230</v>
      </c>
      <c r="B34" t="s">
        <v>815</v>
      </c>
      <c r="C34" t="s">
        <v>810</v>
      </c>
      <c r="D34" t="s">
        <v>98</v>
      </c>
      <c r="E34" t="s">
        <v>98</v>
      </c>
      <c r="F34" t="s">
        <v>98</v>
      </c>
      <c r="G34" t="s">
        <v>98</v>
      </c>
      <c r="H34" t="s">
        <v>98</v>
      </c>
    </row>
    <row r="35">
      <c r="A35" t="s">
        <v>231</v>
      </c>
      <c r="B35" t="s">
        <v>816</v>
      </c>
      <c r="C35" t="s">
        <v>817</v>
      </c>
      <c r="D35" t="s">
        <v>98</v>
      </c>
      <c r="E35" t="s">
        <v>98</v>
      </c>
      <c r="F35" t="s">
        <v>98</v>
      </c>
      <c r="G35" t="s">
        <v>98</v>
      </c>
      <c r="H35" t="s">
        <v>98</v>
      </c>
    </row>
    <row r="37">
      <c r="A37" t="s">
        <v>232</v>
      </c>
    </row>
    <row r="38">
      <c r="A38" t="s">
        <v>818</v>
      </c>
    </row>
    <row r="39">
      <c r="A39" t="s">
        <v>233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234</v>
      </c>
      <c r="C1" s="4" t="s">
        <v>235</v>
      </c>
      <c r="D1" s="4" t="s">
        <v>236</v>
      </c>
      <c r="E1" s="5" t="s">
        <v>237</v>
      </c>
      <c r="F1" s="5" t="s">
        <v>238</v>
      </c>
      <c r="G1" s="5" t="s">
        <v>239</v>
      </c>
      <c r="H1" s="5" t="s">
        <v>240</v>
      </c>
      <c r="I1" s="5" t="s">
        <v>76</v>
      </c>
      <c r="J1" s="6" t="s">
        <v>241</v>
      </c>
      <c r="K1" s="6" t="s">
        <v>242</v>
      </c>
      <c r="L1" s="6" t="s">
        <v>243</v>
      </c>
      <c r="M1" s="6" t="s">
        <v>244</v>
      </c>
      <c r="N1" s="7" t="s">
        <v>245</v>
      </c>
      <c r="O1" s="7" t="s">
        <v>246</v>
      </c>
      <c r="P1" s="7" t="s">
        <v>247</v>
      </c>
      <c r="Q1" s="7" t="s">
        <v>248</v>
      </c>
      <c r="R1" s="7" t="s">
        <v>168</v>
      </c>
      <c r="S1" s="7" t="s">
        <v>163</v>
      </c>
      <c r="T1" s="8" t="s">
        <v>249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250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251</v>
      </c>
      <c r="S2" t="s">
        <v>250</v>
      </c>
      <c r="T2" t="n">
        <v>0</v>
      </c>
    </row>
    <row r="3">
      <c r="A3" t="s">
        <v>30</v>
      </c>
      <c r="B3" t="n">
        <v>0.95</v>
      </c>
      <c r="C3" t="n">
        <v>0.9</v>
      </c>
      <c r="D3" t="n">
        <v>1.01</v>
      </c>
      <c r="E3" t="n">
        <v>-5.25</v>
      </c>
      <c r="F3" t="n">
        <v>-1.25</v>
      </c>
      <c r="G3" t="n">
        <v>79</v>
      </c>
      <c r="H3" t="n">
        <v>12</v>
      </c>
      <c r="I3" t="s">
        <v>254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-0.75</v>
      </c>
      <c r="P3" t="n">
        <v>64</v>
      </c>
      <c r="Q3" t="n">
        <v>12</v>
      </c>
      <c r="R3" t="s">
        <v>251</v>
      </c>
      <c r="S3" t="s">
        <v>253</v>
      </c>
      <c r="T3" t="n">
        <v>-0.25</v>
      </c>
    </row>
    <row r="4">
      <c r="A4" t="s">
        <v>30</v>
      </c>
      <c r="B4" t="n">
        <v>1.04</v>
      </c>
      <c r="C4" t="n">
        <v>0.91</v>
      </c>
      <c r="D4" t="n">
        <v>1.04</v>
      </c>
      <c r="E4" t="n">
        <v>-5.25</v>
      </c>
      <c r="F4" t="n">
        <v>0</v>
      </c>
      <c r="G4" t="n">
        <v>3</v>
      </c>
      <c r="H4" t="n">
        <v>12</v>
      </c>
      <c r="I4" t="s">
        <v>250</v>
      </c>
      <c r="J4" t="n">
        <v>0</v>
      </c>
      <c r="K4" t="n">
        <v>0</v>
      </c>
      <c r="L4" t="n">
        <v>0</v>
      </c>
      <c r="M4" t="n">
        <v>12</v>
      </c>
      <c r="N4" t="n">
        <v>0.25</v>
      </c>
      <c r="O4" t="n">
        <v>-0.5</v>
      </c>
      <c r="P4" t="n">
        <v>91</v>
      </c>
      <c r="Q4" t="n">
        <v>12</v>
      </c>
      <c r="R4" t="s">
        <v>250</v>
      </c>
      <c r="S4" t="s">
        <v>253</v>
      </c>
      <c r="T4" t="n">
        <v>0</v>
      </c>
    </row>
    <row r="5">
      <c r="A5" t="s">
        <v>30</v>
      </c>
      <c r="B5" t="n">
        <v>1.13</v>
      </c>
      <c r="C5" t="n">
        <v>1.18</v>
      </c>
      <c r="D5" t="n">
        <v>1.16</v>
      </c>
      <c r="E5" t="n">
        <v>-5.75</v>
      </c>
      <c r="F5" t="n">
        <v>-1.25</v>
      </c>
      <c r="G5" t="n">
        <v>100</v>
      </c>
      <c r="H5" t="n">
        <v>12</v>
      </c>
      <c r="I5" t="s">
        <v>255</v>
      </c>
      <c r="J5" t="n">
        <v>0</v>
      </c>
      <c r="K5" t="n">
        <v>0</v>
      </c>
      <c r="L5" t="n">
        <v>0</v>
      </c>
      <c r="M5" t="n">
        <v>12</v>
      </c>
      <c r="N5" t="n">
        <v>0</v>
      </c>
      <c r="O5" t="n">
        <v>-0.25</v>
      </c>
      <c r="P5" t="n">
        <v>103</v>
      </c>
      <c r="Q5" t="n">
        <v>12</v>
      </c>
      <c r="R5" t="s">
        <v>255</v>
      </c>
      <c r="S5" t="s">
        <v>256</v>
      </c>
      <c r="T5" t="n">
        <v>0</v>
      </c>
    </row>
    <row r="6">
      <c r="A6" t="s">
        <v>30</v>
      </c>
      <c r="B6" t="n">
        <v>1.08</v>
      </c>
      <c r="C6" t="n">
        <v>1.15</v>
      </c>
      <c r="D6" t="n">
        <v>1.04</v>
      </c>
      <c r="E6" t="n">
        <v>-4.75</v>
      </c>
      <c r="F6" t="n">
        <v>-0.25</v>
      </c>
      <c r="G6" t="n">
        <v>172</v>
      </c>
      <c r="H6" t="n">
        <v>12</v>
      </c>
      <c r="I6" t="s">
        <v>252</v>
      </c>
      <c r="J6" t="n">
        <v>0</v>
      </c>
      <c r="K6" t="n">
        <v>0</v>
      </c>
      <c r="L6" t="n">
        <v>0</v>
      </c>
      <c r="M6" t="n">
        <v>12</v>
      </c>
      <c r="N6" t="n">
        <v>0.5</v>
      </c>
      <c r="O6" t="n">
        <v>-0.25</v>
      </c>
      <c r="P6" t="n">
        <v>15</v>
      </c>
      <c r="Q6" t="n">
        <v>12</v>
      </c>
      <c r="R6" t="s">
        <v>250</v>
      </c>
      <c r="S6" t="s">
        <v>255</v>
      </c>
      <c r="T6" t="n">
        <v>0.25</v>
      </c>
    </row>
    <row r="7">
      <c r="A7" t="s">
        <v>30</v>
      </c>
      <c r="B7" t="n">
        <v>1.06</v>
      </c>
      <c r="C7" t="n">
        <v>0.95</v>
      </c>
      <c r="D7" t="n">
        <v>1.06</v>
      </c>
      <c r="E7" t="n">
        <v>-3.25</v>
      </c>
      <c r="F7" t="n">
        <v>-1.25</v>
      </c>
      <c r="G7" t="n">
        <v>84</v>
      </c>
      <c r="H7" t="n">
        <v>12</v>
      </c>
      <c r="I7" t="s">
        <v>250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62</v>
      </c>
      <c r="Q7" t="n">
        <v>12</v>
      </c>
      <c r="R7" t="s">
        <v>250</v>
      </c>
      <c r="S7" t="s">
        <v>254</v>
      </c>
      <c r="T7" t="n">
        <v>0.5</v>
      </c>
    </row>
    <row r="8">
      <c r="A8" t="s">
        <v>30</v>
      </c>
      <c r="B8" t="n">
        <v>1.03</v>
      </c>
      <c r="C8" t="n">
        <v>1.08</v>
      </c>
      <c r="D8" t="n">
        <v>1.06</v>
      </c>
      <c r="E8" t="n">
        <v>-1</v>
      </c>
      <c r="F8" t="n">
        <v>-0.5</v>
      </c>
      <c r="G8" t="n">
        <v>80</v>
      </c>
      <c r="H8" t="n">
        <v>12</v>
      </c>
      <c r="I8" t="s">
        <v>250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0</v>
      </c>
      <c r="P8" t="n">
        <v>11</v>
      </c>
      <c r="Q8" t="n">
        <v>12</v>
      </c>
      <c r="R8" t="s">
        <v>250</v>
      </c>
      <c r="S8" t="s">
        <v>252</v>
      </c>
      <c r="T8" t="n">
        <v>0</v>
      </c>
    </row>
    <row r="9">
      <c r="A9" t="s">
        <v>30</v>
      </c>
      <c r="B9" t="n">
        <v>0.98</v>
      </c>
      <c r="C9" t="n">
        <v>1.08</v>
      </c>
      <c r="D9" t="n">
        <v>1.02</v>
      </c>
      <c r="E9" t="n">
        <v>-0.5</v>
      </c>
      <c r="F9" t="n">
        <v>-0.75</v>
      </c>
      <c r="G9" t="n">
        <v>7</v>
      </c>
      <c r="H9" t="n">
        <v>12</v>
      </c>
      <c r="I9" t="s">
        <v>251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24</v>
      </c>
      <c r="Q9" t="n">
        <v>12</v>
      </c>
      <c r="R9" t="s">
        <v>251</v>
      </c>
      <c r="S9" t="s">
        <v>252</v>
      </c>
      <c r="T9" t="n">
        <v>0</v>
      </c>
    </row>
    <row r="10">
      <c r="A10" t="s">
        <v>30</v>
      </c>
      <c r="B10" t="n">
        <v>1.06</v>
      </c>
      <c r="C10" t="n">
        <v>1.13</v>
      </c>
      <c r="D10" t="n">
        <v>1.05</v>
      </c>
      <c r="E10" t="n">
        <v>-1.25</v>
      </c>
      <c r="F10" t="n">
        <v>-0.75</v>
      </c>
      <c r="G10" t="n">
        <v>99</v>
      </c>
      <c r="H10" t="n">
        <v>12</v>
      </c>
      <c r="I10" t="s">
        <v>250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75</v>
      </c>
      <c r="Q10" t="n">
        <v>12</v>
      </c>
      <c r="R10" t="s">
        <v>250</v>
      </c>
      <c r="S10" t="s">
        <v>255</v>
      </c>
      <c r="T10" t="n">
        <v>-0.5</v>
      </c>
    </row>
    <row r="11">
      <c r="A11" t="s">
        <v>30</v>
      </c>
      <c r="B11" t="n">
        <v>0.96</v>
      </c>
      <c r="C11" t="n">
        <v>0.94</v>
      </c>
      <c r="D11" t="n">
        <v>1.01</v>
      </c>
      <c r="E11" t="n">
        <v>-6.5</v>
      </c>
      <c r="F11" t="n">
        <v>-0.25</v>
      </c>
      <c r="G11" t="n">
        <v>138</v>
      </c>
      <c r="H11" t="n">
        <v>12</v>
      </c>
      <c r="I11" t="s">
        <v>254</v>
      </c>
      <c r="J11" t="n">
        <v>0</v>
      </c>
      <c r="K11" t="n">
        <v>0</v>
      </c>
      <c r="L11" t="n">
        <v>0</v>
      </c>
      <c r="M11" t="n">
        <v>12</v>
      </c>
      <c r="N11" t="n">
        <v>0.25</v>
      </c>
      <c r="O11" t="n">
        <v>0</v>
      </c>
      <c r="P11" t="n">
        <v>131</v>
      </c>
      <c r="Q11" t="n">
        <v>12</v>
      </c>
      <c r="R11" t="s">
        <v>251</v>
      </c>
      <c r="S11" t="s">
        <v>254</v>
      </c>
      <c r="T11" t="n">
        <v>0.25</v>
      </c>
    </row>
    <row r="12">
      <c r="A12" t="s">
        <v>30</v>
      </c>
      <c r="B12" t="n">
        <v>0.92</v>
      </c>
      <c r="C12" t="n">
        <v>0.89</v>
      </c>
      <c r="D12" t="n">
        <v>0.9</v>
      </c>
      <c r="E12" t="n">
        <v>-7</v>
      </c>
      <c r="F12" t="n">
        <v>-0.25</v>
      </c>
      <c r="G12" t="n">
        <v>80</v>
      </c>
      <c r="H12" t="n">
        <v>12</v>
      </c>
      <c r="I12" t="s">
        <v>253</v>
      </c>
      <c r="J12" t="n">
        <v>0</v>
      </c>
      <c r="K12" t="n">
        <v>0</v>
      </c>
      <c r="L12" t="n">
        <v>0</v>
      </c>
      <c r="M12" t="n">
        <v>12</v>
      </c>
      <c r="N12" t="n">
        <v>0.5</v>
      </c>
      <c r="O12" t="n">
        <v>-0.25</v>
      </c>
      <c r="P12" t="n">
        <v>56</v>
      </c>
      <c r="Q12" t="n">
        <v>12</v>
      </c>
      <c r="R12" t="s">
        <v>253</v>
      </c>
      <c r="S12" t="s">
        <v>257</v>
      </c>
      <c r="T12" t="n">
        <v>0.5</v>
      </c>
    </row>
    <row r="13">
      <c r="A13" t="s">
        <v>30</v>
      </c>
      <c r="B13" t="n">
        <v>1</v>
      </c>
      <c r="C13" t="n">
        <v>0.89</v>
      </c>
      <c r="D13" t="n">
        <v>0.98</v>
      </c>
      <c r="E13" t="n">
        <v>-5.75</v>
      </c>
      <c r="F13" t="n">
        <v>-0.25</v>
      </c>
      <c r="G13" t="n">
        <v>20</v>
      </c>
      <c r="H13" t="n">
        <v>12</v>
      </c>
      <c r="I13" t="s">
        <v>251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-0.25</v>
      </c>
      <c r="P13" t="n">
        <v>25</v>
      </c>
      <c r="Q13" t="n">
        <v>12</v>
      </c>
      <c r="R13" t="s">
        <v>251</v>
      </c>
      <c r="S13" t="s">
        <v>257</v>
      </c>
      <c r="T13" t="n">
        <v>0.25</v>
      </c>
    </row>
    <row r="14">
      <c r="A14" t="s">
        <v>30</v>
      </c>
      <c r="B14" t="n">
        <v>0.97</v>
      </c>
      <c r="C14" t="n">
        <v>0.96</v>
      </c>
      <c r="D14" t="n">
        <v>1.02</v>
      </c>
      <c r="E14" t="n">
        <v>-3.75</v>
      </c>
      <c r="F14" t="n">
        <v>-0.5</v>
      </c>
      <c r="G14" t="n">
        <v>85</v>
      </c>
      <c r="H14" t="n">
        <v>12</v>
      </c>
      <c r="I14" t="s">
        <v>254</v>
      </c>
      <c r="J14" t="n">
        <v>0</v>
      </c>
      <c r="K14" t="n">
        <v>0</v>
      </c>
      <c r="L14" t="n">
        <v>0</v>
      </c>
      <c r="M14" t="n">
        <v>12</v>
      </c>
      <c r="N14" t="n">
        <v>0.5</v>
      </c>
      <c r="O14" t="n">
        <v>-0.25</v>
      </c>
      <c r="P14" t="n">
        <v>78</v>
      </c>
      <c r="Q14" t="n">
        <v>12</v>
      </c>
      <c r="R14" t="s">
        <v>251</v>
      </c>
      <c r="S14" t="s">
        <v>254</v>
      </c>
      <c r="T14" t="n">
        <v>0.25</v>
      </c>
    </row>
    <row r="15">
      <c r="A15" t="s">
        <v>30</v>
      </c>
      <c r="B15" t="n">
        <v>0.97</v>
      </c>
      <c r="C15" t="n">
        <v>1.02</v>
      </c>
      <c r="D15" t="n">
        <v>0.99</v>
      </c>
      <c r="E15" t="n">
        <v>-5.75</v>
      </c>
      <c r="F15" t="n">
        <v>-0.5</v>
      </c>
      <c r="G15" t="n">
        <v>95</v>
      </c>
      <c r="H15" t="n">
        <v>12</v>
      </c>
      <c r="I15" t="s">
        <v>254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89</v>
      </c>
      <c r="Q15" t="n">
        <v>12</v>
      </c>
      <c r="R15" t="s">
        <v>251</v>
      </c>
      <c r="S15" t="s">
        <v>251</v>
      </c>
      <c r="T15" t="n">
        <v>-0.25</v>
      </c>
    </row>
    <row r="16">
      <c r="A16" t="s">
        <v>30</v>
      </c>
      <c r="B16" t="n">
        <v>1.07</v>
      </c>
      <c r="C16" t="n">
        <v>1.25</v>
      </c>
      <c r="D16" t="n">
        <v>1.12</v>
      </c>
      <c r="E16" t="n">
        <v>-4.25</v>
      </c>
      <c r="F16" t="n">
        <v>-0.75</v>
      </c>
      <c r="G16" t="n">
        <v>174</v>
      </c>
      <c r="H16" t="n">
        <v>12</v>
      </c>
      <c r="I16" t="s">
        <v>250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32</v>
      </c>
      <c r="Q16" t="n">
        <v>12</v>
      </c>
      <c r="R16" t="s">
        <v>252</v>
      </c>
      <c r="S16" t="s">
        <v>259</v>
      </c>
      <c r="T16" t="n">
        <v>0</v>
      </c>
    </row>
    <row r="17">
      <c r="A17" t="s">
        <v>30</v>
      </c>
      <c r="B17" t="n">
        <v>1.01</v>
      </c>
      <c r="C17" t="n">
        <v>0.86</v>
      </c>
      <c r="D17" t="n">
        <v>1.03</v>
      </c>
      <c r="E17" t="n">
        <v>-5</v>
      </c>
      <c r="F17" t="n">
        <v>-0.5</v>
      </c>
      <c r="G17" t="n">
        <v>86</v>
      </c>
      <c r="H17" t="n">
        <v>12</v>
      </c>
      <c r="I17" t="s">
        <v>251</v>
      </c>
      <c r="J17" t="n">
        <v>0</v>
      </c>
      <c r="K17" t="n">
        <v>0</v>
      </c>
      <c r="L17" t="n">
        <v>0</v>
      </c>
      <c r="M17" t="n">
        <v>12</v>
      </c>
      <c r="N17" t="n">
        <v>-0.5</v>
      </c>
      <c r="O17" t="n">
        <v>0</v>
      </c>
      <c r="P17" t="n">
        <v>85</v>
      </c>
      <c r="Q17" t="n">
        <v>12</v>
      </c>
      <c r="R17" t="s">
        <v>250</v>
      </c>
      <c r="S17" t="s">
        <v>257</v>
      </c>
      <c r="T17" t="n">
        <v>-0.5</v>
      </c>
    </row>
    <row r="18">
      <c r="A18" t="s">
        <v>30</v>
      </c>
      <c r="B18" t="n">
        <v>1.1</v>
      </c>
      <c r="C18" t="n">
        <v>1.19</v>
      </c>
      <c r="D18" t="n">
        <v>1.16</v>
      </c>
      <c r="E18" t="n">
        <v>-4</v>
      </c>
      <c r="F18" t="n">
        <v>0</v>
      </c>
      <c r="G18" t="n">
        <v>99</v>
      </c>
      <c r="H18" t="n">
        <v>12</v>
      </c>
      <c r="I18" t="s">
        <v>252</v>
      </c>
      <c r="J18" t="n">
        <v>0</v>
      </c>
      <c r="K18" t="n">
        <v>0</v>
      </c>
      <c r="L18" t="n">
        <v>0</v>
      </c>
      <c r="M18" t="n">
        <v>12</v>
      </c>
      <c r="N18" t="n">
        <v>0</v>
      </c>
      <c r="O18" t="n">
        <v>-0.25</v>
      </c>
      <c r="P18" t="n">
        <v>111</v>
      </c>
      <c r="Q18" t="n">
        <v>12</v>
      </c>
      <c r="R18" t="s">
        <v>255</v>
      </c>
      <c r="S18" t="s">
        <v>256</v>
      </c>
      <c r="T18" t="n">
        <v>0</v>
      </c>
    </row>
    <row r="19">
      <c r="A19" t="s">
        <v>30</v>
      </c>
      <c r="B19" t="n">
        <v>1.04</v>
      </c>
      <c r="C19" t="n">
        <v>1.01</v>
      </c>
      <c r="D19" t="n">
        <v>1.01</v>
      </c>
      <c r="E19" t="n">
        <v>-4.25</v>
      </c>
      <c r="F19" t="n">
        <v>-1.5</v>
      </c>
      <c r="G19" t="n">
        <v>175</v>
      </c>
      <c r="H19" t="n">
        <v>12</v>
      </c>
      <c r="I19" t="s">
        <v>250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0</v>
      </c>
      <c r="P19" t="n">
        <v>99</v>
      </c>
      <c r="Q19" t="n">
        <v>12</v>
      </c>
      <c r="R19" t="s">
        <v>251</v>
      </c>
      <c r="S19" t="s">
        <v>251</v>
      </c>
      <c r="T19" t="n">
        <v>0</v>
      </c>
    </row>
    <row r="20">
      <c r="A20" t="s">
        <v>30</v>
      </c>
      <c r="B20" t="n">
        <v>1.12</v>
      </c>
      <c r="C20" t="n">
        <v>1.04</v>
      </c>
      <c r="D20" t="n">
        <v>1.09</v>
      </c>
      <c r="E20" t="n">
        <v>-5.25</v>
      </c>
      <c r="F20" t="n">
        <v>-0.75</v>
      </c>
      <c r="G20" t="n">
        <v>173</v>
      </c>
      <c r="H20" t="n">
        <v>12</v>
      </c>
      <c r="I20" t="s">
        <v>252</v>
      </c>
      <c r="J20" t="n">
        <v>0</v>
      </c>
      <c r="K20" t="n">
        <v>0</v>
      </c>
      <c r="L20" t="n">
        <v>0</v>
      </c>
      <c r="M20" t="n">
        <v>12</v>
      </c>
      <c r="N20" t="n">
        <v>1</v>
      </c>
      <c r="O20" t="n">
        <v>-0.25</v>
      </c>
      <c r="P20" t="n">
        <v>162</v>
      </c>
      <c r="Q20" t="n">
        <v>12</v>
      </c>
      <c r="R20" t="s">
        <v>252</v>
      </c>
      <c r="S20" t="s">
        <v>250</v>
      </c>
      <c r="T20" t="n">
        <v>0.75</v>
      </c>
    </row>
    <row r="21">
      <c r="A21" t="s">
        <v>30</v>
      </c>
      <c r="B21" t="n">
        <v>1.1</v>
      </c>
      <c r="C21" t="n">
        <v>1.01</v>
      </c>
      <c r="D21" t="n">
        <v>1.05</v>
      </c>
      <c r="E21" t="n">
        <v>-3.75</v>
      </c>
      <c r="F21" t="n">
        <v>-1</v>
      </c>
      <c r="G21" t="n">
        <v>13</v>
      </c>
      <c r="H21" t="n">
        <v>12</v>
      </c>
      <c r="I21" t="s">
        <v>252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16</v>
      </c>
      <c r="Q21" t="n">
        <v>12</v>
      </c>
      <c r="R21" t="s">
        <v>250</v>
      </c>
      <c r="S21" t="s">
        <v>251</v>
      </c>
      <c r="T21" t="n">
        <v>0</v>
      </c>
    </row>
    <row r="22">
      <c r="A22" t="s">
        <v>30</v>
      </c>
      <c r="B22" t="n">
        <v>1</v>
      </c>
      <c r="C22" t="n">
        <v>0.99</v>
      </c>
      <c r="D22" t="n">
        <v>0.99</v>
      </c>
      <c r="E22" t="n">
        <v>-4.25</v>
      </c>
      <c r="F22" t="n">
        <v>0</v>
      </c>
      <c r="G22" t="n">
        <v>95</v>
      </c>
      <c r="H22" t="n">
        <v>12</v>
      </c>
      <c r="I22" t="s">
        <v>251</v>
      </c>
      <c r="J22" t="n">
        <v>0</v>
      </c>
      <c r="K22" t="n">
        <v>0</v>
      </c>
      <c r="L22" t="n">
        <v>0</v>
      </c>
      <c r="M22" t="n">
        <v>12</v>
      </c>
      <c r="N22" t="n">
        <v>0.25</v>
      </c>
      <c r="O22" t="n">
        <v>0</v>
      </c>
      <c r="P22" t="n">
        <v>114</v>
      </c>
      <c r="Q22" t="n">
        <v>12</v>
      </c>
      <c r="R22" t="s">
        <v>251</v>
      </c>
      <c r="S22" t="s">
        <v>251</v>
      </c>
      <c r="T22" t="n">
        <v>0.25</v>
      </c>
    </row>
    <row r="23">
      <c r="A23" t="s">
        <v>30</v>
      </c>
      <c r="B23" t="n">
        <v>1.02</v>
      </c>
      <c r="C23" t="n">
        <v>1.04</v>
      </c>
      <c r="D23" t="n">
        <v>1.03</v>
      </c>
      <c r="E23" t="n">
        <v>-2.25</v>
      </c>
      <c r="F23" t="n">
        <v>-0.5</v>
      </c>
      <c r="G23" t="n">
        <v>86</v>
      </c>
      <c r="H23" t="n">
        <v>12</v>
      </c>
      <c r="I23" t="s">
        <v>251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118</v>
      </c>
      <c r="Q23" t="n">
        <v>12</v>
      </c>
      <c r="R23" t="s">
        <v>250</v>
      </c>
      <c r="S23" t="s">
        <v>250</v>
      </c>
      <c r="T23" t="n">
        <v>0</v>
      </c>
    </row>
    <row r="24">
      <c r="A24" t="s">
        <v>30</v>
      </c>
      <c r="B24" t="n">
        <v>0.98</v>
      </c>
      <c r="C24" t="n">
        <v>0.9</v>
      </c>
      <c r="D24" t="n">
        <v>0.95</v>
      </c>
      <c r="E24" t="n">
        <v>-5.5</v>
      </c>
      <c r="F24" t="n">
        <v>-0.25</v>
      </c>
      <c r="G24" t="n">
        <v>157</v>
      </c>
      <c r="H24" t="n">
        <v>12</v>
      </c>
      <c r="I24" t="s">
        <v>251</v>
      </c>
      <c r="J24" t="n">
        <v>0</v>
      </c>
      <c r="K24" t="n">
        <v>0</v>
      </c>
      <c r="L24" t="n">
        <v>0</v>
      </c>
      <c r="M24" t="n">
        <v>12</v>
      </c>
      <c r="N24" t="n">
        <v>0.25</v>
      </c>
      <c r="O24" t="n">
        <v>0</v>
      </c>
      <c r="P24" t="n">
        <v>156</v>
      </c>
      <c r="Q24" t="n">
        <v>12</v>
      </c>
      <c r="R24" t="s">
        <v>254</v>
      </c>
      <c r="S24" t="s">
        <v>253</v>
      </c>
      <c r="T24" t="n">
        <v>0.25</v>
      </c>
    </row>
    <row r="25">
      <c r="A25" t="s">
        <v>30</v>
      </c>
      <c r="B25" t="n">
        <v>1.02</v>
      </c>
      <c r="C25" t="n">
        <v>1.07</v>
      </c>
      <c r="D25" t="n">
        <v>1.08</v>
      </c>
      <c r="E25" t="n">
        <v>-3.25</v>
      </c>
      <c r="F25" t="n">
        <v>-1.25</v>
      </c>
      <c r="G25" t="n">
        <v>162</v>
      </c>
      <c r="H25" t="n">
        <v>12</v>
      </c>
      <c r="I25" t="s">
        <v>251</v>
      </c>
      <c r="J25" t="n">
        <v>0</v>
      </c>
      <c r="K25" t="n">
        <v>0</v>
      </c>
      <c r="L25" t="n">
        <v>0</v>
      </c>
      <c r="M25" t="n">
        <v>12</v>
      </c>
      <c r="N25" t="n">
        <v>0.5</v>
      </c>
      <c r="O25" t="n">
        <v>-0.25</v>
      </c>
      <c r="P25" t="n">
        <v>148</v>
      </c>
      <c r="Q25" t="n">
        <v>12</v>
      </c>
      <c r="R25" t="s">
        <v>252</v>
      </c>
      <c r="S25" t="s">
        <v>250</v>
      </c>
      <c r="T25" t="n">
        <v>0.25</v>
      </c>
    </row>
    <row r="26">
      <c r="A26" t="s">
        <v>30</v>
      </c>
      <c r="B26" t="n">
        <v>0.97</v>
      </c>
      <c r="C26" t="n">
        <v>0.93</v>
      </c>
      <c r="D26" t="n">
        <v>0.98</v>
      </c>
      <c r="E26" t="n">
        <v>-2</v>
      </c>
      <c r="F26" t="n">
        <v>-0.25</v>
      </c>
      <c r="G26" t="n">
        <v>27</v>
      </c>
      <c r="H26" t="n">
        <v>12</v>
      </c>
      <c r="I26" t="s">
        <v>254</v>
      </c>
      <c r="J26" t="n">
        <v>0</v>
      </c>
      <c r="K26" t="n">
        <v>0</v>
      </c>
      <c r="L26" t="n">
        <v>0</v>
      </c>
      <c r="M26" t="n">
        <v>12</v>
      </c>
      <c r="N26" t="n">
        <v>0.5</v>
      </c>
      <c r="O26" t="n">
        <v>-0.25</v>
      </c>
      <c r="P26" t="n">
        <v>38</v>
      </c>
      <c r="Q26" t="n">
        <v>12</v>
      </c>
      <c r="R26" t="s">
        <v>251</v>
      </c>
      <c r="S26" t="s">
        <v>253</v>
      </c>
      <c r="T26" t="n">
        <v>0.25</v>
      </c>
    </row>
    <row r="27">
      <c r="A27" t="s">
        <v>30</v>
      </c>
      <c r="B27" t="n">
        <v>1.11</v>
      </c>
      <c r="C27" t="n">
        <v>1.17</v>
      </c>
      <c r="D27" t="n">
        <v>1.14</v>
      </c>
      <c r="E27" t="n">
        <v>-4</v>
      </c>
      <c r="F27" t="n">
        <v>0</v>
      </c>
      <c r="G27" t="n">
        <v>80</v>
      </c>
      <c r="H27" t="n">
        <v>12</v>
      </c>
      <c r="I27" t="s">
        <v>252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130</v>
      </c>
      <c r="Q27" t="n">
        <v>12</v>
      </c>
      <c r="R27" t="s">
        <v>255</v>
      </c>
      <c r="S27" t="s">
        <v>255</v>
      </c>
      <c r="T27" t="n">
        <v>-0.25</v>
      </c>
    </row>
    <row r="28">
      <c r="A28" t="s">
        <v>30</v>
      </c>
      <c r="B28" t="n">
        <v>0.99</v>
      </c>
      <c r="C28" t="n">
        <v>1.03</v>
      </c>
      <c r="D28" t="n">
        <v>1.03</v>
      </c>
      <c r="E28" t="n">
        <v>-6</v>
      </c>
      <c r="F28" t="n">
        <v>-1.25</v>
      </c>
      <c r="G28" t="n">
        <v>165</v>
      </c>
      <c r="H28" t="n">
        <v>12</v>
      </c>
      <c r="I28" t="s">
        <v>251</v>
      </c>
      <c r="J28" t="n">
        <v>0</v>
      </c>
      <c r="K28" t="n">
        <v>0</v>
      </c>
      <c r="L28" t="n">
        <v>0</v>
      </c>
      <c r="M28" t="n">
        <v>12</v>
      </c>
      <c r="N28" t="n">
        <v>-0.75</v>
      </c>
      <c r="O28" t="n">
        <v>0</v>
      </c>
      <c r="P28" t="n">
        <v>14</v>
      </c>
      <c r="Q28" t="n">
        <v>12</v>
      </c>
      <c r="R28" t="s">
        <v>250</v>
      </c>
      <c r="S28" t="s">
        <v>250</v>
      </c>
      <c r="T28" t="n">
        <v>-0.75</v>
      </c>
    </row>
    <row r="29">
      <c r="A29" t="s">
        <v>30</v>
      </c>
      <c r="B29" t="n">
        <v>0.96</v>
      </c>
      <c r="C29" t="n">
        <v>1.08</v>
      </c>
      <c r="D29" t="n">
        <v>0.97</v>
      </c>
      <c r="E29" t="n">
        <v>-3.5</v>
      </c>
      <c r="F29" t="n">
        <v>-0.5</v>
      </c>
      <c r="G29" t="n">
        <v>2</v>
      </c>
      <c r="H29" t="n">
        <v>12</v>
      </c>
      <c r="I29" t="s">
        <v>254</v>
      </c>
      <c r="J29" t="n">
        <v>0</v>
      </c>
      <c r="K29" t="n">
        <v>0</v>
      </c>
      <c r="L29" t="n">
        <v>0</v>
      </c>
      <c r="M29" t="n">
        <v>12</v>
      </c>
      <c r="N29" t="n">
        <v>0.5</v>
      </c>
      <c r="O29" t="n">
        <v>-0.25</v>
      </c>
      <c r="P29" t="n">
        <v>175</v>
      </c>
      <c r="Q29" t="n">
        <v>12</v>
      </c>
      <c r="R29" t="s">
        <v>254</v>
      </c>
      <c r="S29" t="s">
        <v>252</v>
      </c>
      <c r="T29" t="n">
        <v>0.25</v>
      </c>
    </row>
    <row r="30">
      <c r="A30" t="s">
        <v>30</v>
      </c>
      <c r="B30" t="n">
        <v>1.11</v>
      </c>
      <c r="C30" t="n">
        <v>0.99</v>
      </c>
      <c r="D30" t="n">
        <v>1.08</v>
      </c>
      <c r="E30" t="n">
        <v>-4</v>
      </c>
      <c r="F30" t="n">
        <v>-0.75</v>
      </c>
      <c r="G30" t="n">
        <v>88</v>
      </c>
      <c r="H30" t="n">
        <v>12</v>
      </c>
      <c r="I30" t="s">
        <v>252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81</v>
      </c>
      <c r="Q30" t="n">
        <v>12</v>
      </c>
      <c r="R30" t="s">
        <v>252</v>
      </c>
      <c r="S30" t="s">
        <v>251</v>
      </c>
      <c r="T30" t="n">
        <v>0.25</v>
      </c>
    </row>
    <row r="31">
      <c r="A31" t="s">
        <v>30</v>
      </c>
      <c r="B31" t="n">
        <v>1.03</v>
      </c>
      <c r="C31" t="n">
        <v>0.9</v>
      </c>
      <c r="D31" t="n">
        <v>1.09</v>
      </c>
      <c r="E31" t="n">
        <v>-3.25</v>
      </c>
      <c r="F31" t="n">
        <v>-0.5</v>
      </c>
      <c r="G31" t="n">
        <v>180</v>
      </c>
      <c r="H31" t="n">
        <v>12</v>
      </c>
      <c r="I31" t="s">
        <v>250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152</v>
      </c>
      <c r="Q31" t="n">
        <v>12</v>
      </c>
      <c r="R31" t="s">
        <v>252</v>
      </c>
      <c r="S31" t="s">
        <v>253</v>
      </c>
      <c r="T31" t="n">
        <v>-0.25</v>
      </c>
    </row>
    <row r="32">
      <c r="A32" t="s">
        <v>30</v>
      </c>
      <c r="B32" t="n">
        <v>0.94</v>
      </c>
      <c r="C32" t="n">
        <v>0.92</v>
      </c>
      <c r="D32" t="n">
        <v>0.95</v>
      </c>
      <c r="E32" t="n">
        <v>-3</v>
      </c>
      <c r="F32" t="n">
        <v>-1.25</v>
      </c>
      <c r="G32" t="n">
        <v>163</v>
      </c>
      <c r="H32" t="n">
        <v>12</v>
      </c>
      <c r="I32" t="s">
        <v>254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0</v>
      </c>
      <c r="P32" t="n">
        <v>5</v>
      </c>
      <c r="Q32" t="n">
        <v>12</v>
      </c>
      <c r="R32" t="s">
        <v>254</v>
      </c>
      <c r="S32" t="s">
        <v>253</v>
      </c>
      <c r="T32" t="n">
        <v>0</v>
      </c>
    </row>
    <row r="33">
      <c r="A33" t="s">
        <v>30</v>
      </c>
      <c r="B33" t="n">
        <v>1.03</v>
      </c>
      <c r="C33" t="n">
        <v>0.87</v>
      </c>
      <c r="D33" t="n">
        <v>1</v>
      </c>
      <c r="E33" t="n">
        <v>-2</v>
      </c>
      <c r="F33" t="n">
        <v>-1</v>
      </c>
      <c r="G33" t="n">
        <v>94</v>
      </c>
      <c r="H33" t="n">
        <v>12</v>
      </c>
      <c r="I33" t="s">
        <v>250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0</v>
      </c>
      <c r="P33" t="n">
        <v>104</v>
      </c>
      <c r="Q33" t="n">
        <v>12</v>
      </c>
      <c r="R33" t="s">
        <v>251</v>
      </c>
      <c r="S33" t="s">
        <v>257</v>
      </c>
      <c r="T33" t="n">
        <v>0.5</v>
      </c>
    </row>
    <row r="34">
      <c r="A34" t="s">
        <v>30</v>
      </c>
      <c r="B34" t="n">
        <v>0.99</v>
      </c>
      <c r="C34" t="n">
        <v>0.89</v>
      </c>
      <c r="D34" t="n">
        <v>0.99</v>
      </c>
      <c r="E34" t="n">
        <v>-0.5</v>
      </c>
      <c r="F34" t="n">
        <v>-0.75</v>
      </c>
      <c r="G34" t="n">
        <v>89</v>
      </c>
      <c r="H34" t="n">
        <v>12</v>
      </c>
      <c r="I34" t="s">
        <v>251</v>
      </c>
      <c r="J34" t="n">
        <v>0</v>
      </c>
      <c r="K34" t="n">
        <v>0</v>
      </c>
      <c r="L34" t="n">
        <v>0</v>
      </c>
      <c r="M34" t="n">
        <v>12</v>
      </c>
      <c r="N34" t="n">
        <v>0.5</v>
      </c>
      <c r="O34" t="n">
        <v>-0.25</v>
      </c>
      <c r="P34" t="n">
        <v>74</v>
      </c>
      <c r="Q34" t="n">
        <v>12</v>
      </c>
      <c r="R34" t="s">
        <v>251</v>
      </c>
      <c r="S34" t="s">
        <v>257</v>
      </c>
      <c r="T34" t="n">
        <v>0.5</v>
      </c>
    </row>
    <row r="35">
      <c r="A35" t="s">
        <v>30</v>
      </c>
      <c r="B35" t="n">
        <v>1.06</v>
      </c>
      <c r="C35" t="n">
        <v>1.02</v>
      </c>
      <c r="D35" t="n">
        <v>1.07</v>
      </c>
      <c r="E35" t="n">
        <v>-1.75</v>
      </c>
      <c r="F35" t="n">
        <v>-2.5</v>
      </c>
      <c r="G35" t="n">
        <v>20</v>
      </c>
      <c r="H35" t="n">
        <v>12</v>
      </c>
      <c r="I35" t="s">
        <v>250</v>
      </c>
      <c r="J35" t="n">
        <v>0</v>
      </c>
      <c r="K35" t="n">
        <v>0</v>
      </c>
      <c r="L35" t="n">
        <v>0</v>
      </c>
      <c r="M35" t="n">
        <v>12</v>
      </c>
      <c r="N35" t="n">
        <v>0.25</v>
      </c>
      <c r="O35" t="n">
        <v>0</v>
      </c>
      <c r="P35" t="n">
        <v>33</v>
      </c>
      <c r="Q35" t="n">
        <v>12</v>
      </c>
      <c r="R35" t="s">
        <v>250</v>
      </c>
      <c r="S35" t="s">
        <v>251</v>
      </c>
      <c r="T35" t="n">
        <v>0.25</v>
      </c>
    </row>
    <row r="36">
      <c r="A36" t="s">
        <v>30</v>
      </c>
      <c r="B36" t="n">
        <v>1.06</v>
      </c>
      <c r="C36" t="n">
        <v>1.08</v>
      </c>
      <c r="D36" t="n">
        <v>1.07</v>
      </c>
      <c r="E36" t="n">
        <v>-4</v>
      </c>
      <c r="F36" t="n">
        <v>-1</v>
      </c>
      <c r="G36" t="n">
        <v>60</v>
      </c>
      <c r="H36" t="n">
        <v>12</v>
      </c>
      <c r="I36" t="s">
        <v>250</v>
      </c>
      <c r="J36" t="n">
        <v>0</v>
      </c>
      <c r="K36" t="n">
        <v>0</v>
      </c>
      <c r="L36" t="n">
        <v>0</v>
      </c>
      <c r="M36" t="n">
        <v>12</v>
      </c>
      <c r="N36" t="n">
        <v>-0.25</v>
      </c>
      <c r="O36" t="n">
        <v>0</v>
      </c>
      <c r="P36" t="n">
        <v>130</v>
      </c>
      <c r="Q36" t="n">
        <v>12</v>
      </c>
      <c r="R36" t="s">
        <v>250</v>
      </c>
      <c r="S36" t="s">
        <v>252</v>
      </c>
      <c r="T36" t="n">
        <v>-0.25</v>
      </c>
    </row>
    <row r="37">
      <c r="A37" t="s">
        <v>30</v>
      </c>
      <c r="B37" t="n">
        <v>1</v>
      </c>
      <c r="C37" t="n">
        <v>0.81</v>
      </c>
      <c r="D37" t="n">
        <v>0.85</v>
      </c>
      <c r="E37" t="n">
        <v>-5.5</v>
      </c>
      <c r="F37" t="n">
        <v>-0.25</v>
      </c>
      <c r="G37" t="n">
        <v>99</v>
      </c>
      <c r="H37" t="n">
        <v>12</v>
      </c>
      <c r="I37" t="s">
        <v>251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-0.25</v>
      </c>
      <c r="P37" t="n">
        <v>110</v>
      </c>
      <c r="Q37" t="n">
        <v>12</v>
      </c>
      <c r="R37" t="s">
        <v>258</v>
      </c>
      <c r="S37" t="s">
        <v>260</v>
      </c>
      <c r="T37" t="n">
        <v>0</v>
      </c>
    </row>
    <row r="38">
      <c r="A38" t="s">
        <v>30</v>
      </c>
      <c r="B38" t="n">
        <v>0.91</v>
      </c>
      <c r="C38" t="n">
        <v>0.81</v>
      </c>
      <c r="D38" t="n">
        <v>0.9</v>
      </c>
      <c r="E38" t="n">
        <v>-7.25</v>
      </c>
      <c r="F38" t="n">
        <v>-0.25</v>
      </c>
      <c r="G38" t="n">
        <v>12</v>
      </c>
      <c r="H38" t="n">
        <v>12</v>
      </c>
      <c r="I38" t="s">
        <v>253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-0.25</v>
      </c>
      <c r="P38" t="n">
        <v>34</v>
      </c>
      <c r="Q38" t="n">
        <v>12</v>
      </c>
      <c r="R38" t="s">
        <v>253</v>
      </c>
      <c r="S38" t="s">
        <v>260</v>
      </c>
      <c r="T38" t="n">
        <v>-0.25</v>
      </c>
    </row>
    <row r="39">
      <c r="A39" t="s">
        <v>30</v>
      </c>
      <c r="B39" t="n">
        <v>0.94</v>
      </c>
      <c r="C39" t="n">
        <v>0.99</v>
      </c>
      <c r="D39" t="n">
        <v>0.98</v>
      </c>
      <c r="E39" t="n">
        <v>-6</v>
      </c>
      <c r="F39" t="n">
        <v>0</v>
      </c>
      <c r="G39" t="n">
        <v>166</v>
      </c>
      <c r="H39" t="n">
        <v>12</v>
      </c>
      <c r="I39" t="s">
        <v>254</v>
      </c>
      <c r="J39" t="n">
        <v>0</v>
      </c>
      <c r="K39" t="n">
        <v>0</v>
      </c>
      <c r="L39" t="n">
        <v>0</v>
      </c>
      <c r="M39" t="n">
        <v>12</v>
      </c>
      <c r="N39" t="n">
        <v>0.25</v>
      </c>
      <c r="O39" t="n">
        <v>0</v>
      </c>
      <c r="P39" t="n">
        <v>5</v>
      </c>
      <c r="Q39" t="n">
        <v>12</v>
      </c>
      <c r="R39" t="s">
        <v>251</v>
      </c>
      <c r="S39" t="s">
        <v>251</v>
      </c>
      <c r="T39" t="n">
        <v>0.25</v>
      </c>
    </row>
    <row r="40">
      <c r="A40" t="s">
        <v>30</v>
      </c>
      <c r="B40" t="n">
        <v>0.98</v>
      </c>
      <c r="C40" t="n">
        <v>0.96</v>
      </c>
      <c r="D40" t="n">
        <v>0.97</v>
      </c>
      <c r="E40" t="n">
        <v>-6.75</v>
      </c>
      <c r="F40" t="n">
        <v>0</v>
      </c>
      <c r="G40" t="n">
        <v>146</v>
      </c>
      <c r="H40" t="n">
        <v>12</v>
      </c>
      <c r="I40" t="s">
        <v>251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-0.25</v>
      </c>
      <c r="P40" t="n">
        <v>116</v>
      </c>
      <c r="Q40" t="n">
        <v>12</v>
      </c>
      <c r="R40" t="s">
        <v>254</v>
      </c>
      <c r="S40" t="s">
        <v>254</v>
      </c>
      <c r="T40" t="n">
        <v>-0.25</v>
      </c>
    </row>
    <row r="41">
      <c r="A41" t="s">
        <v>30</v>
      </c>
      <c r="B41" t="n">
        <v>1</v>
      </c>
      <c r="C41" t="n">
        <v>0.99</v>
      </c>
      <c r="D41" t="n">
        <v>1.06</v>
      </c>
      <c r="E41" t="n">
        <v>-4.25</v>
      </c>
      <c r="F41" t="n">
        <v>-1.25</v>
      </c>
      <c r="G41" t="n">
        <v>75</v>
      </c>
      <c r="H41" t="n">
        <v>12</v>
      </c>
      <c r="I41" t="s">
        <v>251</v>
      </c>
      <c r="J41" t="n">
        <v>0</v>
      </c>
      <c r="K41" t="n">
        <v>0</v>
      </c>
      <c r="L41" t="n">
        <v>0</v>
      </c>
      <c r="M41" t="n">
        <v>12</v>
      </c>
      <c r="N41" t="n">
        <v>1</v>
      </c>
      <c r="O41" t="n">
        <v>-0.25</v>
      </c>
      <c r="P41" t="n">
        <v>50</v>
      </c>
      <c r="Q41" t="n">
        <v>12</v>
      </c>
      <c r="R41" t="s">
        <v>250</v>
      </c>
      <c r="S41" t="s">
        <v>251</v>
      </c>
      <c r="T41" t="n">
        <v>0.75</v>
      </c>
    </row>
    <row r="42">
      <c r="A42" t="s">
        <v>30</v>
      </c>
      <c r="B42" t="n">
        <v>0.98</v>
      </c>
      <c r="C42" t="n">
        <v>1.05</v>
      </c>
      <c r="D42" t="n">
        <v>0.99</v>
      </c>
      <c r="E42" t="n">
        <v>-1</v>
      </c>
      <c r="F42" t="n">
        <v>-0.5</v>
      </c>
      <c r="G42" t="n">
        <v>78</v>
      </c>
      <c r="H42" t="n">
        <v>12</v>
      </c>
      <c r="I42" t="s">
        <v>251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65</v>
      </c>
      <c r="Q42" t="n">
        <v>12</v>
      </c>
      <c r="R42" t="s">
        <v>251</v>
      </c>
      <c r="S42" t="s">
        <v>250</v>
      </c>
      <c r="T42" t="n">
        <v>0</v>
      </c>
    </row>
    <row r="43">
      <c r="A43" t="s">
        <v>30</v>
      </c>
      <c r="B43" t="n">
        <v>1.18</v>
      </c>
      <c r="C43" t="n">
        <v>1.13</v>
      </c>
      <c r="D43" t="n">
        <v>1.23</v>
      </c>
      <c r="E43" t="n">
        <v>-2.75</v>
      </c>
      <c r="F43" t="n">
        <v>-0.25</v>
      </c>
      <c r="G43" t="n">
        <v>179</v>
      </c>
      <c r="H43" t="n">
        <v>12</v>
      </c>
      <c r="I43" t="s">
        <v>256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-0.25</v>
      </c>
      <c r="P43" t="n">
        <v>24</v>
      </c>
      <c r="Q43" t="n">
        <v>12</v>
      </c>
      <c r="R43" t="s">
        <v>256</v>
      </c>
      <c r="S43" t="s">
        <v>255</v>
      </c>
      <c r="T43" t="n">
        <v>-0.25</v>
      </c>
    </row>
    <row r="44">
      <c r="A44" t="s">
        <v>30</v>
      </c>
      <c r="B44" t="n">
        <v>0.98</v>
      </c>
      <c r="C44" t="n">
        <v>1.03</v>
      </c>
      <c r="D44" t="n">
        <v>1.03</v>
      </c>
      <c r="E44" t="n">
        <v>-1.5</v>
      </c>
      <c r="F44" t="n">
        <v>-2.75</v>
      </c>
      <c r="G44" t="n">
        <v>43</v>
      </c>
      <c r="H44" t="n">
        <v>12</v>
      </c>
      <c r="I44" t="s">
        <v>251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47</v>
      </c>
      <c r="Q44" t="n">
        <v>12</v>
      </c>
      <c r="R44" t="s">
        <v>250</v>
      </c>
      <c r="S44" t="s">
        <v>250</v>
      </c>
      <c r="T44" t="n">
        <v>0</v>
      </c>
    </row>
    <row r="45">
      <c r="A45" t="s">
        <v>30</v>
      </c>
      <c r="B45" t="n">
        <v>1.08</v>
      </c>
      <c r="C45" t="n">
        <v>1.02</v>
      </c>
      <c r="D45" t="n">
        <v>1.05</v>
      </c>
      <c r="E45" t="n">
        <v>-2.5</v>
      </c>
      <c r="F45" t="n">
        <v>-0.5</v>
      </c>
      <c r="G45" t="n">
        <v>40</v>
      </c>
      <c r="H45" t="n">
        <v>12</v>
      </c>
      <c r="I45" t="s">
        <v>252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109</v>
      </c>
      <c r="Q45" t="n">
        <v>12</v>
      </c>
      <c r="R45" t="s">
        <v>250</v>
      </c>
      <c r="S45" t="s">
        <v>251</v>
      </c>
      <c r="T45" t="n">
        <v>0.25</v>
      </c>
    </row>
    <row r="46">
      <c r="A46" t="s">
        <v>30</v>
      </c>
      <c r="B46" t="n">
        <v>1.01</v>
      </c>
      <c r="C46" t="n">
        <v>0.87</v>
      </c>
      <c r="D46" t="n">
        <v>0.98</v>
      </c>
      <c r="E46" t="n">
        <v>-4.75</v>
      </c>
      <c r="F46" t="n">
        <v>-1</v>
      </c>
      <c r="G46" t="n">
        <v>11</v>
      </c>
      <c r="H46" t="n">
        <v>12</v>
      </c>
      <c r="I46" t="s">
        <v>251</v>
      </c>
      <c r="J46" t="n">
        <v>0</v>
      </c>
      <c r="K46" t="n">
        <v>0</v>
      </c>
      <c r="L46" t="n">
        <v>0</v>
      </c>
      <c r="M46" t="n">
        <v>12</v>
      </c>
      <c r="N46" t="n">
        <v>-0.5</v>
      </c>
      <c r="O46" t="n">
        <v>0</v>
      </c>
      <c r="P46" t="n">
        <v>167</v>
      </c>
      <c r="Q46" t="n">
        <v>12</v>
      </c>
      <c r="R46" t="s">
        <v>251</v>
      </c>
      <c r="S46" t="s">
        <v>257</v>
      </c>
      <c r="T46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234</v>
      </c>
      <c r="C1" s="4" t="s">
        <v>235</v>
      </c>
      <c r="D1" s="4" t="s">
        <v>236</v>
      </c>
      <c r="E1" s="5" t="s">
        <v>237</v>
      </c>
      <c r="F1" s="5" t="s">
        <v>238</v>
      </c>
      <c r="G1" s="5" t="s">
        <v>239</v>
      </c>
      <c r="H1" s="5" t="s">
        <v>240</v>
      </c>
      <c r="I1" s="5" t="s">
        <v>76</v>
      </c>
      <c r="J1" s="6" t="s">
        <v>241</v>
      </c>
      <c r="K1" s="6" t="s">
        <v>242</v>
      </c>
      <c r="L1" s="6" t="s">
        <v>243</v>
      </c>
      <c r="M1" s="6" t="s">
        <v>244</v>
      </c>
      <c r="N1" s="7" t="s">
        <v>245</v>
      </c>
      <c r="O1" s="7" t="s">
        <v>246</v>
      </c>
      <c r="P1" s="7" t="s">
        <v>247</v>
      </c>
      <c r="Q1" s="7" t="s">
        <v>248</v>
      </c>
      <c r="R1" s="7" t="s">
        <v>168</v>
      </c>
      <c r="S1" s="7" t="s">
        <v>163</v>
      </c>
      <c r="T1" s="8" t="s">
        <v>249</v>
      </c>
    </row>
    <row r="2">
      <c r="A2" t="s">
        <v>31</v>
      </c>
      <c r="B2" t="n">
        <v>1.13</v>
      </c>
      <c r="C2" t="n">
        <v>0.89</v>
      </c>
      <c r="D2" t="n">
        <v>1.18</v>
      </c>
      <c r="E2" t="n">
        <v>-1.25</v>
      </c>
      <c r="F2" t="n">
        <v>-1.25</v>
      </c>
      <c r="G2" t="n">
        <v>174</v>
      </c>
      <c r="H2" t="n">
        <v>12</v>
      </c>
      <c r="I2" t="s">
        <v>255</v>
      </c>
      <c r="J2" t="n">
        <v>0</v>
      </c>
      <c r="K2" t="n">
        <v>0</v>
      </c>
      <c r="L2" t="n">
        <v>0</v>
      </c>
      <c r="M2" t="n">
        <v>12</v>
      </c>
      <c r="N2" t="n">
        <v>-0.5</v>
      </c>
      <c r="O2" t="n">
        <v>-0.25</v>
      </c>
      <c r="P2" t="n">
        <v>162</v>
      </c>
      <c r="Q2" t="n">
        <v>12</v>
      </c>
      <c r="R2" t="s">
        <v>256</v>
      </c>
      <c r="S2" t="s">
        <v>257</v>
      </c>
      <c r="T2" t="n">
        <v>-0.5</v>
      </c>
    </row>
    <row r="3">
      <c r="A3" t="s">
        <v>31</v>
      </c>
      <c r="B3" t="n">
        <v>1.02</v>
      </c>
      <c r="C3" t="n">
        <v>1.04</v>
      </c>
      <c r="D3" t="n">
        <v>1.03</v>
      </c>
      <c r="E3" t="n">
        <v>-3</v>
      </c>
      <c r="F3" t="n">
        <v>-0.25</v>
      </c>
      <c r="G3" t="n">
        <v>99</v>
      </c>
      <c r="H3" t="n">
        <v>12</v>
      </c>
      <c r="I3" t="s">
        <v>251</v>
      </c>
      <c r="J3" t="n">
        <v>0</v>
      </c>
      <c r="K3" t="n">
        <v>0</v>
      </c>
      <c r="L3" t="n">
        <v>0</v>
      </c>
      <c r="M3" t="n">
        <v>12</v>
      </c>
      <c r="N3" t="n">
        <v>0.5</v>
      </c>
      <c r="O3" t="n">
        <v>-0.25</v>
      </c>
      <c r="P3" t="n">
        <v>87</v>
      </c>
      <c r="Q3" t="n">
        <v>12</v>
      </c>
      <c r="R3" t="s">
        <v>250</v>
      </c>
      <c r="S3" t="s">
        <v>250</v>
      </c>
      <c r="T3" t="n">
        <v>0.25</v>
      </c>
    </row>
    <row r="4">
      <c r="A4" t="s">
        <v>31</v>
      </c>
      <c r="B4" t="n">
        <v>0.9</v>
      </c>
      <c r="C4" t="n">
        <v>0.69</v>
      </c>
      <c r="D4" t="n">
        <v>0.93</v>
      </c>
      <c r="E4" t="n">
        <v>-5</v>
      </c>
      <c r="F4" t="n">
        <v>-0.25</v>
      </c>
      <c r="G4" t="n">
        <v>94</v>
      </c>
      <c r="H4" t="n">
        <v>12</v>
      </c>
      <c r="I4" t="s">
        <v>253</v>
      </c>
      <c r="J4" t="n">
        <v>0</v>
      </c>
      <c r="K4" t="n">
        <v>0</v>
      </c>
      <c r="L4" t="n">
        <v>0</v>
      </c>
      <c r="M4" t="n">
        <v>12</v>
      </c>
      <c r="N4" t="n">
        <v>-1</v>
      </c>
      <c r="O4" t="n">
        <v>0</v>
      </c>
      <c r="P4" t="n">
        <v>70</v>
      </c>
      <c r="Q4" t="n">
        <v>12</v>
      </c>
      <c r="R4" t="s">
        <v>253</v>
      </c>
      <c r="S4" t="s">
        <v>261</v>
      </c>
      <c r="T4" t="n">
        <v>-1</v>
      </c>
    </row>
    <row r="5">
      <c r="A5" t="s">
        <v>31</v>
      </c>
      <c r="B5" t="n">
        <v>1.06</v>
      </c>
      <c r="C5" t="n">
        <v>0.92</v>
      </c>
      <c r="D5" t="n">
        <v>1.07</v>
      </c>
      <c r="E5" t="n">
        <v>-2</v>
      </c>
      <c r="F5" t="n">
        <v>-1.25</v>
      </c>
      <c r="G5" t="n">
        <v>96</v>
      </c>
      <c r="H5" t="n">
        <v>12</v>
      </c>
      <c r="I5" t="s">
        <v>250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0</v>
      </c>
      <c r="P5" t="n">
        <v>99</v>
      </c>
      <c r="Q5" t="n">
        <v>12</v>
      </c>
      <c r="R5" t="s">
        <v>250</v>
      </c>
      <c r="S5" t="s">
        <v>253</v>
      </c>
      <c r="T5" t="n">
        <v>0.25</v>
      </c>
    </row>
    <row r="6">
      <c r="A6" t="s">
        <v>31</v>
      </c>
      <c r="B6" t="n">
        <v>0.97</v>
      </c>
      <c r="C6" t="n">
        <v>0.78</v>
      </c>
      <c r="D6" t="n">
        <v>0.92</v>
      </c>
      <c r="E6" t="n">
        <v>-0.5</v>
      </c>
      <c r="F6" t="n">
        <v>-0.5</v>
      </c>
      <c r="G6" t="n">
        <v>24</v>
      </c>
      <c r="H6" t="n">
        <v>12</v>
      </c>
      <c r="I6" t="s">
        <v>254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0</v>
      </c>
      <c r="P6" t="n">
        <v>17</v>
      </c>
      <c r="Q6" t="n">
        <v>12</v>
      </c>
      <c r="R6" t="s">
        <v>253</v>
      </c>
      <c r="S6" t="s">
        <v>260</v>
      </c>
      <c r="T6" t="n">
        <v>0</v>
      </c>
    </row>
    <row r="7">
      <c r="A7" t="s">
        <v>31</v>
      </c>
      <c r="B7" t="n">
        <v>1</v>
      </c>
      <c r="C7" t="n">
        <v>0.94</v>
      </c>
      <c r="D7" t="n">
        <v>1.04</v>
      </c>
      <c r="E7" t="n">
        <v>-1.75</v>
      </c>
      <c r="F7" t="n">
        <v>-1.25</v>
      </c>
      <c r="G7" t="n">
        <v>179</v>
      </c>
      <c r="H7" t="n">
        <v>12</v>
      </c>
      <c r="I7" t="s">
        <v>251</v>
      </c>
      <c r="J7" t="n">
        <v>0</v>
      </c>
      <c r="K7" t="n">
        <v>0</v>
      </c>
      <c r="L7" t="n">
        <v>0</v>
      </c>
      <c r="M7" t="n">
        <v>12</v>
      </c>
      <c r="N7" t="n">
        <v>0.25</v>
      </c>
      <c r="O7" t="n">
        <v>0</v>
      </c>
      <c r="P7" t="n">
        <v>155</v>
      </c>
      <c r="Q7" t="n">
        <v>12</v>
      </c>
      <c r="R7" t="s">
        <v>250</v>
      </c>
      <c r="S7" t="s">
        <v>254</v>
      </c>
      <c r="T7" t="n">
        <v>0.25</v>
      </c>
    </row>
    <row r="8">
      <c r="A8" t="s">
        <v>31</v>
      </c>
      <c r="B8" t="n">
        <v>0.93</v>
      </c>
      <c r="C8" t="n">
        <v>0.91</v>
      </c>
      <c r="D8" t="n">
        <v>0.92</v>
      </c>
      <c r="E8" t="n">
        <v>-3.25</v>
      </c>
      <c r="F8" t="n">
        <v>-0.25</v>
      </c>
      <c r="G8" t="n">
        <v>11</v>
      </c>
      <c r="H8" t="n">
        <v>12</v>
      </c>
      <c r="I8" t="s">
        <v>253</v>
      </c>
      <c r="J8" t="n">
        <v>0</v>
      </c>
      <c r="K8" t="n">
        <v>0</v>
      </c>
      <c r="L8" t="n">
        <v>0</v>
      </c>
      <c r="M8" t="n">
        <v>12</v>
      </c>
      <c r="N8" t="n">
        <v>0.5</v>
      </c>
      <c r="O8" t="n">
        <v>-0.25</v>
      </c>
      <c r="P8" t="n">
        <v>169</v>
      </c>
      <c r="Q8" t="n">
        <v>12</v>
      </c>
      <c r="R8" t="s">
        <v>253</v>
      </c>
      <c r="S8" t="s">
        <v>253</v>
      </c>
      <c r="T8" t="n">
        <v>0.25</v>
      </c>
    </row>
    <row r="9">
      <c r="A9" t="s">
        <v>31</v>
      </c>
      <c r="B9" t="n">
        <v>1.07</v>
      </c>
      <c r="C9" t="n">
        <v>1.09</v>
      </c>
      <c r="D9" t="n">
        <v>1.14</v>
      </c>
      <c r="E9" t="n">
        <v>-8</v>
      </c>
      <c r="F9" t="n">
        <v>-0.5</v>
      </c>
      <c r="G9" t="n">
        <v>89</v>
      </c>
      <c r="H9" t="n">
        <v>12</v>
      </c>
      <c r="I9" t="s">
        <v>250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-0.5</v>
      </c>
      <c r="P9" t="n">
        <v>109</v>
      </c>
      <c r="Q9" t="n">
        <v>12</v>
      </c>
      <c r="R9" t="s">
        <v>255</v>
      </c>
      <c r="S9" t="s">
        <v>252</v>
      </c>
      <c r="T9" t="n">
        <v>-0.25</v>
      </c>
    </row>
    <row r="10">
      <c r="A10" t="s">
        <v>31</v>
      </c>
      <c r="B10" t="n">
        <v>0.94</v>
      </c>
      <c r="C10" t="n">
        <v>0.87</v>
      </c>
      <c r="D10" t="n">
        <v>0.93</v>
      </c>
      <c r="E10" t="n">
        <v>-4.75</v>
      </c>
      <c r="F10" t="n">
        <v>-1</v>
      </c>
      <c r="G10" t="n">
        <v>180</v>
      </c>
      <c r="H10" t="n">
        <v>12</v>
      </c>
      <c r="I10" t="s">
        <v>254</v>
      </c>
      <c r="J10" t="n">
        <v>0</v>
      </c>
      <c r="K10" t="n">
        <v>0</v>
      </c>
      <c r="L10" t="n">
        <v>0</v>
      </c>
      <c r="M10" t="n">
        <v>12</v>
      </c>
      <c r="N10" t="n">
        <v>0</v>
      </c>
      <c r="O10" t="n">
        <v>-0.25</v>
      </c>
      <c r="P10" t="n">
        <v>13</v>
      </c>
      <c r="Q10" t="n">
        <v>12</v>
      </c>
      <c r="R10" t="s">
        <v>253</v>
      </c>
      <c r="S10" t="s">
        <v>257</v>
      </c>
      <c r="T10" t="n">
        <v>0</v>
      </c>
    </row>
    <row r="11">
      <c r="A11" t="s">
        <v>31</v>
      </c>
      <c r="B11" t="n">
        <v>0.94</v>
      </c>
      <c r="C11" t="n">
        <v>0.8</v>
      </c>
      <c r="D11" t="n">
        <v>0.97</v>
      </c>
      <c r="E11" t="n">
        <v>-6</v>
      </c>
      <c r="F11" t="n">
        <v>-1.25</v>
      </c>
      <c r="G11" t="n">
        <v>179</v>
      </c>
      <c r="H11" t="n">
        <v>12</v>
      </c>
      <c r="I11" t="s">
        <v>254</v>
      </c>
      <c r="J11" t="n">
        <v>0</v>
      </c>
      <c r="K11" t="n">
        <v>0</v>
      </c>
      <c r="L11" t="n">
        <v>0</v>
      </c>
      <c r="M11" t="n">
        <v>12</v>
      </c>
      <c r="N11" t="n">
        <v>-0.5</v>
      </c>
      <c r="O11" t="n">
        <v>0</v>
      </c>
      <c r="P11" t="n">
        <v>12</v>
      </c>
      <c r="Q11" t="n">
        <v>12</v>
      </c>
      <c r="R11" t="s">
        <v>254</v>
      </c>
      <c r="S11" t="s">
        <v>260</v>
      </c>
      <c r="T11" t="n">
        <v>-0.5</v>
      </c>
    </row>
    <row r="12">
      <c r="A12" t="s">
        <v>31</v>
      </c>
      <c r="B12" t="n">
        <v>0.94</v>
      </c>
      <c r="C12" t="n">
        <v>0.91</v>
      </c>
      <c r="D12" t="n">
        <v>0.94</v>
      </c>
      <c r="E12" t="n">
        <v>-6.25</v>
      </c>
      <c r="F12" t="n">
        <v>-0.75</v>
      </c>
      <c r="G12" t="n">
        <v>13</v>
      </c>
      <c r="H12" t="n">
        <v>12</v>
      </c>
      <c r="I12" t="s">
        <v>254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0</v>
      </c>
      <c r="P12" t="n">
        <v>9</v>
      </c>
      <c r="Q12" t="n">
        <v>12</v>
      </c>
      <c r="R12" t="s">
        <v>254</v>
      </c>
      <c r="S12" t="s">
        <v>253</v>
      </c>
      <c r="T12" t="n">
        <v>0</v>
      </c>
    </row>
    <row r="13">
      <c r="A13" t="s">
        <v>31</v>
      </c>
      <c r="B13" t="n">
        <v>1.01</v>
      </c>
      <c r="C13" t="n">
        <v>0.99</v>
      </c>
      <c r="D13" t="n">
        <v>1.05</v>
      </c>
      <c r="E13" t="n">
        <v>-4.75</v>
      </c>
      <c r="F13" t="n">
        <v>0</v>
      </c>
      <c r="G13" t="n">
        <v>158</v>
      </c>
      <c r="H13" t="n">
        <v>12</v>
      </c>
      <c r="I13" t="s">
        <v>251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-0.25</v>
      </c>
      <c r="P13" t="n">
        <v>5</v>
      </c>
      <c r="Q13" t="n">
        <v>12</v>
      </c>
      <c r="R13" t="s">
        <v>250</v>
      </c>
      <c r="S13" t="s">
        <v>251</v>
      </c>
      <c r="T13" t="n">
        <v>-0.25</v>
      </c>
    </row>
    <row r="14">
      <c r="A14" t="s">
        <v>31</v>
      </c>
      <c r="B14" t="n">
        <v>0.94</v>
      </c>
      <c r="C14" t="n">
        <v>0.77</v>
      </c>
      <c r="D14" t="n">
        <v>0.94</v>
      </c>
      <c r="E14" t="n">
        <v>-4.25</v>
      </c>
      <c r="F14" t="n">
        <v>-0.25</v>
      </c>
      <c r="G14" t="n">
        <v>10</v>
      </c>
      <c r="H14" t="n">
        <v>12</v>
      </c>
      <c r="I14" t="s">
        <v>254</v>
      </c>
      <c r="J14" t="n">
        <v>0</v>
      </c>
      <c r="K14" t="n">
        <v>0</v>
      </c>
      <c r="L14" t="n">
        <v>0</v>
      </c>
      <c r="M14" t="n">
        <v>12</v>
      </c>
      <c r="N14" t="n">
        <v>-0.5</v>
      </c>
      <c r="O14" t="n">
        <v>-0.25</v>
      </c>
      <c r="P14" t="n">
        <v>172</v>
      </c>
      <c r="Q14" t="n">
        <v>12</v>
      </c>
      <c r="R14" t="s">
        <v>254</v>
      </c>
      <c r="S14" t="s">
        <v>262</v>
      </c>
      <c r="T14" t="n">
        <v>-0.5</v>
      </c>
    </row>
    <row r="15">
      <c r="A15" t="s">
        <v>31</v>
      </c>
      <c r="B15" t="n">
        <v>0.91</v>
      </c>
      <c r="C15" t="n">
        <v>0.79</v>
      </c>
      <c r="D15" t="n">
        <v>0.88</v>
      </c>
      <c r="E15" t="n">
        <v>-6.75</v>
      </c>
      <c r="F15" t="n">
        <v>0</v>
      </c>
      <c r="G15" t="n">
        <v>84</v>
      </c>
      <c r="H15" t="n">
        <v>12</v>
      </c>
      <c r="I15" t="s">
        <v>253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161</v>
      </c>
      <c r="Q15" t="n">
        <v>12</v>
      </c>
      <c r="R15" t="s">
        <v>257</v>
      </c>
      <c r="S15" t="s">
        <v>260</v>
      </c>
      <c r="T15" t="n">
        <v>0</v>
      </c>
    </row>
    <row r="16">
      <c r="A16" t="s">
        <v>31</v>
      </c>
      <c r="B16" t="n">
        <v>0.98</v>
      </c>
      <c r="C16" t="n">
        <v>0.8</v>
      </c>
      <c r="D16" t="n">
        <v>0.95</v>
      </c>
      <c r="E16" t="n">
        <v>-3.25</v>
      </c>
      <c r="F16" t="n">
        <v>-1</v>
      </c>
      <c r="G16" t="n">
        <v>176</v>
      </c>
      <c r="H16" t="n">
        <v>12</v>
      </c>
      <c r="I16" t="s">
        <v>251</v>
      </c>
      <c r="J16" t="n">
        <v>0</v>
      </c>
      <c r="K16" t="n">
        <v>0</v>
      </c>
      <c r="L16" t="n">
        <v>0</v>
      </c>
      <c r="M16" t="n">
        <v>12</v>
      </c>
      <c r="N16" t="n">
        <v>-0.5</v>
      </c>
      <c r="O16" t="n">
        <v>-0.25</v>
      </c>
      <c r="P16" t="n">
        <v>31</v>
      </c>
      <c r="Q16" t="n">
        <v>12</v>
      </c>
      <c r="R16" t="s">
        <v>254</v>
      </c>
      <c r="S16" t="s">
        <v>260</v>
      </c>
      <c r="T16" t="n">
        <v>-0.5</v>
      </c>
    </row>
    <row r="17">
      <c r="A17" t="s">
        <v>31</v>
      </c>
      <c r="B17" t="n">
        <v>1.04</v>
      </c>
      <c r="C17" t="n">
        <v>0.87</v>
      </c>
      <c r="D17" t="n">
        <v>1</v>
      </c>
      <c r="E17" t="n">
        <v>-0.75</v>
      </c>
      <c r="F17" t="n">
        <v>-0.75</v>
      </c>
      <c r="G17" t="n">
        <v>103</v>
      </c>
      <c r="H17" t="n">
        <v>12</v>
      </c>
      <c r="I17" t="s">
        <v>250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0</v>
      </c>
      <c r="P17" t="n">
        <v>88</v>
      </c>
      <c r="Q17" t="n">
        <v>12</v>
      </c>
      <c r="R17" t="s">
        <v>251</v>
      </c>
      <c r="S17" t="s">
        <v>257</v>
      </c>
      <c r="T17" t="n">
        <v>0</v>
      </c>
    </row>
    <row r="18">
      <c r="A18" t="s">
        <v>31</v>
      </c>
      <c r="B18" t="n">
        <v>1.01</v>
      </c>
      <c r="C18" t="n">
        <v>0.96</v>
      </c>
      <c r="D18" t="n">
        <v>1</v>
      </c>
      <c r="E18" t="n">
        <v>-3.75</v>
      </c>
      <c r="F18" t="n">
        <v>-0.5</v>
      </c>
      <c r="G18" t="n">
        <v>167</v>
      </c>
      <c r="H18" t="n">
        <v>12</v>
      </c>
      <c r="I18" t="s">
        <v>251</v>
      </c>
      <c r="J18" t="n">
        <v>0</v>
      </c>
      <c r="K18" t="n">
        <v>0</v>
      </c>
      <c r="L18" t="n">
        <v>0</v>
      </c>
      <c r="M18" t="n">
        <v>12</v>
      </c>
      <c r="N18" t="n">
        <v>-0.25</v>
      </c>
      <c r="O18" t="n">
        <v>0</v>
      </c>
      <c r="P18" t="n">
        <v>64</v>
      </c>
      <c r="Q18" t="n">
        <v>12</v>
      </c>
      <c r="R18" t="s">
        <v>251</v>
      </c>
      <c r="S18" t="s">
        <v>254</v>
      </c>
      <c r="T18" t="n">
        <v>-0.25</v>
      </c>
    </row>
    <row r="19">
      <c r="A19" t="s">
        <v>31</v>
      </c>
      <c r="B19" t="n">
        <v>1.01</v>
      </c>
      <c r="C19" t="n">
        <v>0.73</v>
      </c>
      <c r="D19" t="n">
        <v>0.96</v>
      </c>
      <c r="E19" t="n">
        <v>-1.25</v>
      </c>
      <c r="F19" t="n">
        <v>0</v>
      </c>
      <c r="G19" t="n">
        <v>178</v>
      </c>
      <c r="H19" t="n">
        <v>12</v>
      </c>
      <c r="I19" t="s">
        <v>251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41</v>
      </c>
      <c r="Q19" t="n">
        <v>12</v>
      </c>
      <c r="R19" t="s">
        <v>254</v>
      </c>
      <c r="S19" t="s">
        <v>263</v>
      </c>
      <c r="T19" t="n">
        <v>0.5</v>
      </c>
    </row>
    <row r="20">
      <c r="A20" t="s">
        <v>31</v>
      </c>
      <c r="B20" t="n">
        <v>1.08</v>
      </c>
      <c r="C20" t="n">
        <v>1.06</v>
      </c>
      <c r="D20" t="n">
        <v>1.17</v>
      </c>
      <c r="E20" t="n">
        <v>-4.5</v>
      </c>
      <c r="F20" t="n">
        <v>-0.75</v>
      </c>
      <c r="G20" t="n">
        <v>77</v>
      </c>
      <c r="H20" t="n">
        <v>12</v>
      </c>
      <c r="I20" t="s">
        <v>252</v>
      </c>
      <c r="J20" t="n">
        <v>0</v>
      </c>
      <c r="K20" t="n">
        <v>0</v>
      </c>
      <c r="L20" t="n">
        <v>0</v>
      </c>
      <c r="M20" t="n">
        <v>12</v>
      </c>
      <c r="N20" t="n">
        <v>-1</v>
      </c>
      <c r="O20" t="n">
        <v>-0.25</v>
      </c>
      <c r="P20" t="n">
        <v>117</v>
      </c>
      <c r="Q20" t="n">
        <v>12</v>
      </c>
      <c r="R20" t="s">
        <v>255</v>
      </c>
      <c r="S20" t="s">
        <v>250</v>
      </c>
      <c r="T20" t="n">
        <v>-1</v>
      </c>
    </row>
    <row r="21">
      <c r="A21" t="s">
        <v>31</v>
      </c>
      <c r="B21" t="n">
        <v>1.05</v>
      </c>
      <c r="C21" t="n">
        <v>0.85</v>
      </c>
      <c r="D21" t="n">
        <v>1.06</v>
      </c>
      <c r="E21" t="n">
        <v>-3</v>
      </c>
      <c r="F21" t="n">
        <v>-0.75</v>
      </c>
      <c r="G21" t="n">
        <v>7</v>
      </c>
      <c r="H21" t="n">
        <v>12</v>
      </c>
      <c r="I21" t="s">
        <v>250</v>
      </c>
      <c r="J21" t="n">
        <v>0</v>
      </c>
      <c r="K21" t="n">
        <v>0</v>
      </c>
      <c r="L21" t="n">
        <v>0</v>
      </c>
      <c r="M21" t="n">
        <v>12</v>
      </c>
      <c r="N21" t="n">
        <v>-0.75</v>
      </c>
      <c r="O21" t="n">
        <v>0</v>
      </c>
      <c r="P21" t="n">
        <v>13</v>
      </c>
      <c r="Q21" t="n">
        <v>12</v>
      </c>
      <c r="R21" t="s">
        <v>250</v>
      </c>
      <c r="S21" t="s">
        <v>258</v>
      </c>
      <c r="T21" t="n">
        <v>-0.75</v>
      </c>
    </row>
    <row r="22">
      <c r="A22" t="s">
        <v>31</v>
      </c>
      <c r="B22" t="n">
        <v>1.12</v>
      </c>
      <c r="C22" t="n">
        <v>0.78</v>
      </c>
      <c r="D22" t="n">
        <v>1.06</v>
      </c>
      <c r="E22" t="n">
        <v>-6.75</v>
      </c>
      <c r="F22" t="n">
        <v>0</v>
      </c>
      <c r="G22" t="n">
        <v>22</v>
      </c>
      <c r="H22" t="n">
        <v>12</v>
      </c>
      <c r="I22" t="s">
        <v>252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-0.25</v>
      </c>
      <c r="P22" t="n">
        <v>97</v>
      </c>
      <c r="Q22" t="n">
        <v>12</v>
      </c>
      <c r="R22" t="s">
        <v>250</v>
      </c>
      <c r="S22" t="s">
        <v>260</v>
      </c>
      <c r="T22" t="n">
        <v>-0.25</v>
      </c>
    </row>
    <row r="23">
      <c r="A23" t="s">
        <v>31</v>
      </c>
      <c r="B23" t="n">
        <v>1.01</v>
      </c>
      <c r="C23" t="n">
        <v>0.89</v>
      </c>
      <c r="D23" t="n">
        <v>0.99</v>
      </c>
      <c r="E23" t="n">
        <v>-6</v>
      </c>
      <c r="F23" t="n">
        <v>0</v>
      </c>
      <c r="G23" t="n">
        <v>87</v>
      </c>
      <c r="H23" t="n">
        <v>12</v>
      </c>
      <c r="I23" t="s">
        <v>251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-0.25</v>
      </c>
      <c r="P23" t="n">
        <v>160</v>
      </c>
      <c r="Q23" t="n">
        <v>12</v>
      </c>
      <c r="R23" t="s">
        <v>251</v>
      </c>
      <c r="S23" t="s">
        <v>257</v>
      </c>
      <c r="T23" t="n">
        <v>-0.5</v>
      </c>
    </row>
    <row r="24">
      <c r="A24" t="s">
        <v>31</v>
      </c>
      <c r="B24" t="n">
        <v>1.07</v>
      </c>
      <c r="C24" t="n">
        <v>0.83</v>
      </c>
      <c r="D24" t="n">
        <v>0.99</v>
      </c>
      <c r="E24" t="n">
        <v>-4.25</v>
      </c>
      <c r="F24" t="n">
        <v>-2</v>
      </c>
      <c r="G24" t="n">
        <v>39</v>
      </c>
      <c r="H24" t="n">
        <v>12</v>
      </c>
      <c r="I24" t="s">
        <v>250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32</v>
      </c>
      <c r="Q24" t="n">
        <v>12</v>
      </c>
      <c r="R24" t="s">
        <v>251</v>
      </c>
      <c r="S24" t="s">
        <v>258</v>
      </c>
      <c r="T24" t="n">
        <v>0</v>
      </c>
    </row>
    <row r="25">
      <c r="A25" t="s">
        <v>31</v>
      </c>
      <c r="B25" t="n">
        <v>0.96</v>
      </c>
      <c r="C25" t="n">
        <v>0.85</v>
      </c>
      <c r="D25" t="n">
        <v>1</v>
      </c>
      <c r="E25" t="n">
        <v>-3.75</v>
      </c>
      <c r="F25" t="n">
        <v>-0.5</v>
      </c>
      <c r="G25" t="n">
        <v>170</v>
      </c>
      <c r="H25" t="n">
        <v>12</v>
      </c>
      <c r="I25" t="s">
        <v>254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-0.25</v>
      </c>
      <c r="P25" t="n">
        <v>172</v>
      </c>
      <c r="Q25" t="n">
        <v>12</v>
      </c>
      <c r="R25" t="s">
        <v>251</v>
      </c>
      <c r="S25" t="s">
        <v>258</v>
      </c>
      <c r="T25" t="n">
        <v>-0.25</v>
      </c>
    </row>
    <row r="26">
      <c r="A26" t="s">
        <v>31</v>
      </c>
      <c r="B26" t="n">
        <v>0.99</v>
      </c>
      <c r="C26" t="n">
        <v>0.94</v>
      </c>
      <c r="D26" t="n">
        <v>1.02</v>
      </c>
      <c r="E26" t="n">
        <v>-8.75</v>
      </c>
      <c r="F26" t="n">
        <v>-1</v>
      </c>
      <c r="G26" t="n">
        <v>101</v>
      </c>
      <c r="H26" t="n">
        <v>12</v>
      </c>
      <c r="I26" t="s">
        <v>251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0</v>
      </c>
      <c r="P26" t="n">
        <v>32</v>
      </c>
      <c r="Q26" t="n">
        <v>12</v>
      </c>
      <c r="R26" t="s">
        <v>251</v>
      </c>
      <c r="S26" t="s">
        <v>254</v>
      </c>
      <c r="T26" t="n">
        <v>0</v>
      </c>
    </row>
    <row r="27">
      <c r="A27" t="s">
        <v>31</v>
      </c>
      <c r="B27" t="n">
        <v>1.04</v>
      </c>
      <c r="C27" t="n">
        <v>1.02</v>
      </c>
      <c r="D27" t="n">
        <v>1.06</v>
      </c>
      <c r="E27" t="n">
        <v>-3</v>
      </c>
      <c r="F27" t="n">
        <v>-2</v>
      </c>
      <c r="G27" t="n">
        <v>170</v>
      </c>
      <c r="H27" t="n">
        <v>12</v>
      </c>
      <c r="I27" t="s">
        <v>250</v>
      </c>
      <c r="J27" t="n">
        <v>0</v>
      </c>
      <c r="K27" t="n">
        <v>0</v>
      </c>
      <c r="L27" t="n">
        <v>0</v>
      </c>
      <c r="M27" t="n">
        <v>12</v>
      </c>
      <c r="N27" t="n">
        <v>-0.25</v>
      </c>
      <c r="O27" t="n">
        <v>0</v>
      </c>
      <c r="P27" t="n">
        <v>164</v>
      </c>
      <c r="Q27" t="n">
        <v>12</v>
      </c>
      <c r="R27" t="s">
        <v>250</v>
      </c>
      <c r="S27" t="s">
        <v>251</v>
      </c>
      <c r="T27" t="n">
        <v>-0.25</v>
      </c>
    </row>
    <row r="28">
      <c r="A28" t="s">
        <v>31</v>
      </c>
      <c r="B28" t="n">
        <v>1.08</v>
      </c>
      <c r="C28" t="n">
        <v>0.87</v>
      </c>
      <c r="D28" t="n">
        <v>1.07</v>
      </c>
      <c r="E28" t="n">
        <v>-8</v>
      </c>
      <c r="F28" t="n">
        <v>-0.5</v>
      </c>
      <c r="G28" t="n">
        <v>103</v>
      </c>
      <c r="H28" t="n">
        <v>12</v>
      </c>
      <c r="I28" t="s">
        <v>252</v>
      </c>
      <c r="J28" t="n">
        <v>0</v>
      </c>
      <c r="K28" t="n">
        <v>0</v>
      </c>
      <c r="L28" t="n">
        <v>0</v>
      </c>
      <c r="M28" t="n">
        <v>12</v>
      </c>
      <c r="N28" t="n">
        <v>0.5</v>
      </c>
      <c r="O28" t="n">
        <v>-0.25</v>
      </c>
      <c r="P28" t="n">
        <v>103</v>
      </c>
      <c r="Q28" t="n">
        <v>12</v>
      </c>
      <c r="R28" t="s">
        <v>250</v>
      </c>
      <c r="S28" t="s">
        <v>257</v>
      </c>
      <c r="T28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265</v>
      </c>
      <c r="B1" t="s">
        <v>266</v>
      </c>
      <c r="C1" t="s">
        <v>267</v>
      </c>
      <c r="D1" t="s">
        <v>268</v>
      </c>
      <c r="E1" t="s">
        <v>269</v>
      </c>
    </row>
    <row r="2">
      <c r="A2" t="s">
        <v>270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270</v>
      </c>
      <c r="B3" t="n">
        <v>-1.25</v>
      </c>
      <c r="C3" t="n">
        <v>79</v>
      </c>
      <c r="D3" t="n">
        <v>-0.75</v>
      </c>
      <c r="E3" t="n">
        <v>64</v>
      </c>
    </row>
    <row r="4">
      <c r="A4" t="s">
        <v>271</v>
      </c>
      <c r="B4" t="n">
        <v>0</v>
      </c>
      <c r="C4" t="n">
        <v>3</v>
      </c>
      <c r="D4" t="n">
        <v>-0.5</v>
      </c>
      <c r="E4" t="n">
        <v>91</v>
      </c>
    </row>
    <row r="5">
      <c r="A5" t="s">
        <v>270</v>
      </c>
      <c r="B5" t="n">
        <v>-1.25</v>
      </c>
      <c r="C5" t="n">
        <v>100</v>
      </c>
      <c r="D5" t="n">
        <v>-0.25</v>
      </c>
      <c r="E5" t="n">
        <v>103</v>
      </c>
    </row>
    <row r="6">
      <c r="A6" t="s">
        <v>271</v>
      </c>
      <c r="B6" t="n">
        <v>-0.25</v>
      </c>
      <c r="C6" t="n">
        <v>172</v>
      </c>
      <c r="D6" t="n">
        <v>-0.25</v>
      </c>
      <c r="E6" t="n">
        <v>15</v>
      </c>
    </row>
    <row r="7">
      <c r="A7" t="s">
        <v>271</v>
      </c>
      <c r="B7" t="n">
        <v>-1.25</v>
      </c>
      <c r="C7" t="n">
        <v>84</v>
      </c>
      <c r="D7" t="n">
        <v>-0.25</v>
      </c>
      <c r="E7" t="n">
        <v>62</v>
      </c>
    </row>
    <row r="8">
      <c r="A8" t="s">
        <v>271</v>
      </c>
      <c r="B8" t="n">
        <v>-0.5</v>
      </c>
      <c r="C8" t="n">
        <v>80</v>
      </c>
      <c r="D8" t="n">
        <v>0</v>
      </c>
      <c r="E8" t="n">
        <v>11</v>
      </c>
    </row>
    <row r="9">
      <c r="A9" t="s">
        <v>271</v>
      </c>
      <c r="B9" t="n">
        <v>-0.75</v>
      </c>
      <c r="C9" t="n">
        <v>7</v>
      </c>
      <c r="D9" t="n">
        <v>-0.25</v>
      </c>
      <c r="E9" t="n">
        <v>24</v>
      </c>
    </row>
    <row r="10">
      <c r="A10" t="s">
        <v>270</v>
      </c>
      <c r="B10" t="n">
        <v>-0.75</v>
      </c>
      <c r="C10" t="n">
        <v>99</v>
      </c>
      <c r="D10" t="n">
        <v>-0.25</v>
      </c>
      <c r="E10" t="n">
        <v>75</v>
      </c>
    </row>
    <row r="11">
      <c r="A11" t="s">
        <v>271</v>
      </c>
      <c r="B11" t="n">
        <v>-0.25</v>
      </c>
      <c r="C11" t="n">
        <v>138</v>
      </c>
      <c r="D11" t="n">
        <v>0</v>
      </c>
      <c r="E11" t="n">
        <v>131</v>
      </c>
    </row>
    <row r="12">
      <c r="A12" t="s">
        <v>270</v>
      </c>
      <c r="B12" t="n">
        <v>-0.25</v>
      </c>
      <c r="C12" t="n">
        <v>80</v>
      </c>
      <c r="D12" t="n">
        <v>-0.25</v>
      </c>
      <c r="E12" t="n">
        <v>56</v>
      </c>
    </row>
    <row r="13">
      <c r="A13" t="s">
        <v>271</v>
      </c>
      <c r="B13" t="n">
        <v>-0.25</v>
      </c>
      <c r="C13" t="n">
        <v>20</v>
      </c>
      <c r="D13" t="n">
        <v>-0.25</v>
      </c>
      <c r="E13" t="n">
        <v>25</v>
      </c>
    </row>
    <row r="14">
      <c r="A14" t="s">
        <v>270</v>
      </c>
      <c r="B14" t="n">
        <v>-0.5</v>
      </c>
      <c r="C14" t="n">
        <v>85</v>
      </c>
      <c r="D14" t="n">
        <v>-0.25</v>
      </c>
      <c r="E14" t="n">
        <v>78</v>
      </c>
    </row>
    <row r="15">
      <c r="A15" t="s">
        <v>271</v>
      </c>
      <c r="B15" t="n">
        <v>-0.5</v>
      </c>
      <c r="C15" t="n">
        <v>95</v>
      </c>
      <c r="D15" t="n">
        <v>-0.25</v>
      </c>
      <c r="E15" t="n">
        <v>89</v>
      </c>
    </row>
    <row r="16">
      <c r="A16" t="s">
        <v>270</v>
      </c>
      <c r="B16" t="n">
        <v>-0.75</v>
      </c>
      <c r="C16" t="n">
        <v>174</v>
      </c>
      <c r="D16" t="n">
        <v>-0.25</v>
      </c>
      <c r="E16" t="n">
        <v>32</v>
      </c>
    </row>
    <row r="17">
      <c r="A17" t="s">
        <v>271</v>
      </c>
      <c r="B17" t="n">
        <v>-0.5</v>
      </c>
      <c r="C17" t="n">
        <v>86</v>
      </c>
      <c r="D17" t="n">
        <v>0</v>
      </c>
      <c r="E17" t="n">
        <v>85</v>
      </c>
    </row>
    <row r="18">
      <c r="A18" t="s">
        <v>270</v>
      </c>
      <c r="B18" t="n">
        <v>0</v>
      </c>
      <c r="C18" t="n">
        <v>99</v>
      </c>
      <c r="D18" t="n">
        <v>-0.25</v>
      </c>
      <c r="E18" t="n">
        <v>111</v>
      </c>
    </row>
    <row r="19">
      <c r="A19" t="s">
        <v>270</v>
      </c>
      <c r="B19" t="n">
        <v>-1.5</v>
      </c>
      <c r="C19" t="n">
        <v>175</v>
      </c>
      <c r="D19" t="n">
        <v>0</v>
      </c>
      <c r="E19" t="n">
        <v>99</v>
      </c>
    </row>
    <row r="20">
      <c r="A20" t="s">
        <v>271</v>
      </c>
      <c r="B20" t="n">
        <v>-0.75</v>
      </c>
      <c r="C20" t="n">
        <v>173</v>
      </c>
      <c r="D20" t="n">
        <v>-0.25</v>
      </c>
      <c r="E20" t="n">
        <v>162</v>
      </c>
    </row>
    <row r="21">
      <c r="A21" t="s">
        <v>271</v>
      </c>
      <c r="B21" t="n">
        <v>-1</v>
      </c>
      <c r="C21" t="n">
        <v>13</v>
      </c>
      <c r="D21" t="n">
        <v>-0.25</v>
      </c>
      <c r="E21" t="n">
        <v>16</v>
      </c>
    </row>
    <row r="22">
      <c r="A22" t="s">
        <v>270</v>
      </c>
      <c r="B22" t="n">
        <v>0</v>
      </c>
      <c r="C22" t="n">
        <v>95</v>
      </c>
      <c r="D22" t="n">
        <v>0</v>
      </c>
      <c r="E22" t="n">
        <v>114</v>
      </c>
    </row>
    <row r="23">
      <c r="A23" t="s">
        <v>271</v>
      </c>
      <c r="B23" t="n">
        <v>-0.5</v>
      </c>
      <c r="C23" t="n">
        <v>86</v>
      </c>
      <c r="D23" t="n">
        <v>-0.25</v>
      </c>
      <c r="E23" t="n">
        <v>118</v>
      </c>
    </row>
    <row r="24">
      <c r="A24" t="s">
        <v>270</v>
      </c>
      <c r="B24" t="n">
        <v>-0.25</v>
      </c>
      <c r="C24" t="n">
        <v>157</v>
      </c>
      <c r="D24" t="n">
        <v>0</v>
      </c>
      <c r="E24" t="n">
        <v>156</v>
      </c>
    </row>
    <row r="25">
      <c r="A25" t="s">
        <v>271</v>
      </c>
      <c r="B25" t="n">
        <v>-1.25</v>
      </c>
      <c r="C25" t="n">
        <v>162</v>
      </c>
      <c r="D25" t="n">
        <v>-0.25</v>
      </c>
      <c r="E25" t="n">
        <v>148</v>
      </c>
    </row>
    <row r="26">
      <c r="A26" t="s">
        <v>270</v>
      </c>
      <c r="B26" t="n">
        <v>-0.25</v>
      </c>
      <c r="C26" t="n">
        <v>27</v>
      </c>
      <c r="D26" t="n">
        <v>-0.25</v>
      </c>
      <c r="E26" t="n">
        <v>38</v>
      </c>
    </row>
    <row r="27">
      <c r="A27" t="s">
        <v>270</v>
      </c>
      <c r="B27" t="n">
        <v>0</v>
      </c>
      <c r="C27" t="n">
        <v>80</v>
      </c>
      <c r="D27" t="n">
        <v>-0.25</v>
      </c>
      <c r="E27" t="n">
        <v>130</v>
      </c>
    </row>
    <row r="28">
      <c r="A28" t="s">
        <v>271</v>
      </c>
      <c r="B28" t="n">
        <v>-1.25</v>
      </c>
      <c r="C28" t="n">
        <v>165</v>
      </c>
      <c r="D28" t="n">
        <v>0</v>
      </c>
      <c r="E28" t="n">
        <v>14</v>
      </c>
    </row>
    <row r="29">
      <c r="A29" t="s">
        <v>271</v>
      </c>
      <c r="B29" t="n">
        <v>-0.5</v>
      </c>
      <c r="C29" t="n">
        <v>2</v>
      </c>
      <c r="D29" t="n">
        <v>-0.25</v>
      </c>
      <c r="E29" t="n">
        <v>175</v>
      </c>
    </row>
    <row r="30">
      <c r="A30" t="s">
        <v>271</v>
      </c>
      <c r="B30" t="n">
        <v>-0.75</v>
      </c>
      <c r="C30" t="n">
        <v>88</v>
      </c>
      <c r="D30" t="n">
        <v>-0.25</v>
      </c>
      <c r="E30" t="n">
        <v>81</v>
      </c>
    </row>
    <row r="31">
      <c r="A31" t="s">
        <v>270</v>
      </c>
      <c r="B31" t="n">
        <v>-0.5</v>
      </c>
      <c r="C31" t="n">
        <v>180</v>
      </c>
      <c r="D31" t="n">
        <v>-0.25</v>
      </c>
      <c r="E31" t="n">
        <v>152</v>
      </c>
    </row>
    <row r="32">
      <c r="A32" t="s">
        <v>271</v>
      </c>
      <c r="B32" t="n">
        <v>-1.25</v>
      </c>
      <c r="C32" t="n">
        <v>163</v>
      </c>
      <c r="D32" t="n">
        <v>0</v>
      </c>
      <c r="E32" t="n">
        <v>5</v>
      </c>
    </row>
    <row r="33">
      <c r="A33" t="s">
        <v>270</v>
      </c>
      <c r="B33" t="n">
        <v>-1</v>
      </c>
      <c r="C33" t="n">
        <v>94</v>
      </c>
      <c r="D33" t="n">
        <v>0</v>
      </c>
      <c r="E33" t="n">
        <v>104</v>
      </c>
    </row>
    <row r="34">
      <c r="A34" t="s">
        <v>271</v>
      </c>
      <c r="B34" t="n">
        <v>-0.75</v>
      </c>
      <c r="C34" t="n">
        <v>89</v>
      </c>
      <c r="D34" t="n">
        <v>-0.25</v>
      </c>
      <c r="E34" t="n">
        <v>74</v>
      </c>
    </row>
    <row r="35">
      <c r="A35" t="s">
        <v>270</v>
      </c>
      <c r="B35" t="n">
        <v>-2.5</v>
      </c>
      <c r="C35" t="n">
        <v>20</v>
      </c>
      <c r="D35" t="n">
        <v>0</v>
      </c>
      <c r="E35" t="n">
        <v>33</v>
      </c>
    </row>
    <row r="36">
      <c r="A36" t="s">
        <v>271</v>
      </c>
      <c r="B36" t="n">
        <v>-1</v>
      </c>
      <c r="C36" t="n">
        <v>60</v>
      </c>
      <c r="D36" t="n">
        <v>0</v>
      </c>
      <c r="E36" t="n">
        <v>130</v>
      </c>
    </row>
    <row r="37">
      <c r="A37" t="s">
        <v>270</v>
      </c>
      <c r="B37" t="n">
        <v>-0.25</v>
      </c>
      <c r="C37" t="n">
        <v>99</v>
      </c>
      <c r="D37" t="n">
        <v>-0.25</v>
      </c>
      <c r="E37" t="n">
        <v>110</v>
      </c>
    </row>
    <row r="38">
      <c r="A38" t="s">
        <v>270</v>
      </c>
      <c r="B38" t="n">
        <v>-0.25</v>
      </c>
      <c r="C38" t="n">
        <v>12</v>
      </c>
      <c r="D38" t="n">
        <v>-0.25</v>
      </c>
      <c r="E38" t="n">
        <v>34</v>
      </c>
    </row>
    <row r="39">
      <c r="A39" t="s">
        <v>270</v>
      </c>
      <c r="B39" t="n">
        <v>0</v>
      </c>
      <c r="C39" t="n">
        <v>166</v>
      </c>
      <c r="D39" t="n">
        <v>0</v>
      </c>
      <c r="E39" t="n">
        <v>5</v>
      </c>
    </row>
    <row r="40">
      <c r="A40" t="s">
        <v>271</v>
      </c>
      <c r="B40" t="n">
        <v>0</v>
      </c>
      <c r="C40" t="n">
        <v>146</v>
      </c>
      <c r="D40" t="n">
        <v>-0.25</v>
      </c>
      <c r="E40" t="n">
        <v>116</v>
      </c>
    </row>
    <row r="41">
      <c r="A41" t="s">
        <v>270</v>
      </c>
      <c r="B41" t="n">
        <v>-1.25</v>
      </c>
      <c r="C41" t="n">
        <v>75</v>
      </c>
      <c r="D41" t="n">
        <v>-0.25</v>
      </c>
      <c r="E41" t="n">
        <v>50</v>
      </c>
    </row>
    <row r="42">
      <c r="A42" t="s">
        <v>271</v>
      </c>
      <c r="B42" t="n">
        <v>-0.5</v>
      </c>
      <c r="C42" t="n">
        <v>78</v>
      </c>
      <c r="D42" t="n">
        <v>-0.25</v>
      </c>
      <c r="E42" t="n">
        <v>65</v>
      </c>
    </row>
    <row r="43">
      <c r="A43" t="s">
        <v>270</v>
      </c>
      <c r="B43" t="n">
        <v>-0.25</v>
      </c>
      <c r="C43" t="n">
        <v>179</v>
      </c>
      <c r="D43" t="n">
        <v>-0.25</v>
      </c>
      <c r="E43" t="n">
        <v>24</v>
      </c>
    </row>
    <row r="44">
      <c r="A44" t="s">
        <v>270</v>
      </c>
      <c r="B44" t="n">
        <v>-2.75</v>
      </c>
      <c r="C44" t="n">
        <v>43</v>
      </c>
      <c r="D44" t="n">
        <v>-0.25</v>
      </c>
      <c r="E44" t="n">
        <v>47</v>
      </c>
    </row>
    <row r="45">
      <c r="A45" t="s">
        <v>271</v>
      </c>
      <c r="B45" t="n">
        <v>-0.5</v>
      </c>
      <c r="C45" t="n">
        <v>40</v>
      </c>
      <c r="D45" t="n">
        <v>0</v>
      </c>
      <c r="E45" t="n">
        <v>109</v>
      </c>
    </row>
    <row r="46">
      <c r="A46" t="s">
        <v>271</v>
      </c>
      <c r="B46" t="n">
        <v>-1</v>
      </c>
      <c r="C46" t="n">
        <v>11</v>
      </c>
      <c r="D46" t="n">
        <v>0</v>
      </c>
      <c r="E46" t="n">
        <v>167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265</v>
      </c>
      <c r="B1" t="s">
        <v>266</v>
      </c>
      <c r="C1" t="s">
        <v>267</v>
      </c>
      <c r="D1" t="s">
        <v>268</v>
      </c>
      <c r="E1" t="s">
        <v>269</v>
      </c>
    </row>
    <row r="2">
      <c r="A2" t="s">
        <v>271</v>
      </c>
      <c r="B2" t="n">
        <v>-1.25</v>
      </c>
      <c r="C2" t="n">
        <v>174</v>
      </c>
      <c r="D2" t="n">
        <v>-0.25</v>
      </c>
      <c r="E2" t="n">
        <v>162</v>
      </c>
    </row>
    <row r="3">
      <c r="A3" t="s">
        <v>270</v>
      </c>
      <c r="B3" t="n">
        <v>-0.25</v>
      </c>
      <c r="C3" t="n">
        <v>99</v>
      </c>
      <c r="D3" t="n">
        <v>-0.25</v>
      </c>
      <c r="E3" t="n">
        <v>87</v>
      </c>
    </row>
    <row r="4">
      <c r="A4" t="s">
        <v>271</v>
      </c>
      <c r="B4" t="n">
        <v>-0.25</v>
      </c>
      <c r="C4" t="n">
        <v>94</v>
      </c>
      <c r="D4" t="n">
        <v>0</v>
      </c>
      <c r="E4" t="n">
        <v>70</v>
      </c>
    </row>
    <row r="5">
      <c r="A5" t="s">
        <v>270</v>
      </c>
      <c r="B5" t="n">
        <v>-1.25</v>
      </c>
      <c r="C5" t="n">
        <v>96</v>
      </c>
      <c r="D5" t="n">
        <v>0</v>
      </c>
      <c r="E5" t="n">
        <v>99</v>
      </c>
    </row>
    <row r="6">
      <c r="A6" t="s">
        <v>270</v>
      </c>
      <c r="B6" t="n">
        <v>-0.5</v>
      </c>
      <c r="C6" t="n">
        <v>24</v>
      </c>
      <c r="D6" t="n">
        <v>0</v>
      </c>
      <c r="E6" t="n">
        <v>17</v>
      </c>
    </row>
    <row r="7">
      <c r="A7" t="s">
        <v>271</v>
      </c>
      <c r="B7" t="n">
        <v>-1.25</v>
      </c>
      <c r="C7" t="n">
        <v>179</v>
      </c>
      <c r="D7" t="n">
        <v>0</v>
      </c>
      <c r="E7" t="n">
        <v>155</v>
      </c>
    </row>
    <row r="8">
      <c r="A8" t="s">
        <v>270</v>
      </c>
      <c r="B8" t="n">
        <v>-0.25</v>
      </c>
      <c r="C8" t="n">
        <v>11</v>
      </c>
      <c r="D8" t="n">
        <v>-0.25</v>
      </c>
      <c r="E8" t="n">
        <v>169</v>
      </c>
    </row>
    <row r="9">
      <c r="A9" t="s">
        <v>270</v>
      </c>
      <c r="B9" t="n">
        <v>-0.5</v>
      </c>
      <c r="C9" t="n">
        <v>89</v>
      </c>
      <c r="D9" t="n">
        <v>-0.5</v>
      </c>
      <c r="E9" t="n">
        <v>109</v>
      </c>
    </row>
    <row r="10">
      <c r="A10" t="s">
        <v>271</v>
      </c>
      <c r="B10" t="n">
        <v>-1</v>
      </c>
      <c r="C10" t="n">
        <v>180</v>
      </c>
      <c r="D10" t="n">
        <v>-0.25</v>
      </c>
      <c r="E10" t="n">
        <v>13</v>
      </c>
    </row>
    <row r="11">
      <c r="A11" t="s">
        <v>270</v>
      </c>
      <c r="B11" t="n">
        <v>-1.25</v>
      </c>
      <c r="C11" t="n">
        <v>179</v>
      </c>
      <c r="D11" t="n">
        <v>0</v>
      </c>
      <c r="E11" t="n">
        <v>12</v>
      </c>
    </row>
    <row r="12">
      <c r="A12" t="s">
        <v>271</v>
      </c>
      <c r="B12" t="n">
        <v>-0.75</v>
      </c>
      <c r="C12" t="n">
        <v>13</v>
      </c>
      <c r="D12" t="n">
        <v>0</v>
      </c>
      <c r="E12" t="n">
        <v>9</v>
      </c>
    </row>
    <row r="13">
      <c r="A13" t="s">
        <v>270</v>
      </c>
      <c r="B13" t="n">
        <v>0</v>
      </c>
      <c r="C13" t="n">
        <v>158</v>
      </c>
      <c r="D13" t="n">
        <v>-0.25</v>
      </c>
      <c r="E13" t="n">
        <v>5</v>
      </c>
    </row>
    <row r="14">
      <c r="A14" t="s">
        <v>271</v>
      </c>
      <c r="B14" t="n">
        <v>-0.25</v>
      </c>
      <c r="C14" t="n">
        <v>10</v>
      </c>
      <c r="D14" t="n">
        <v>-0.25</v>
      </c>
      <c r="E14" t="n">
        <v>172</v>
      </c>
    </row>
    <row r="15">
      <c r="A15" t="s">
        <v>271</v>
      </c>
      <c r="B15" t="n">
        <v>0</v>
      </c>
      <c r="C15" t="n">
        <v>84</v>
      </c>
      <c r="D15" t="n">
        <v>-0.25</v>
      </c>
      <c r="E15" t="n">
        <v>161</v>
      </c>
    </row>
    <row r="16">
      <c r="A16" t="s">
        <v>270</v>
      </c>
      <c r="B16" t="n">
        <v>-1</v>
      </c>
      <c r="C16" t="n">
        <v>176</v>
      </c>
      <c r="D16" t="n">
        <v>-0.25</v>
      </c>
      <c r="E16" t="n">
        <v>31</v>
      </c>
    </row>
    <row r="17">
      <c r="A17" t="s">
        <v>270</v>
      </c>
      <c r="B17" t="n">
        <v>-0.75</v>
      </c>
      <c r="C17" t="n">
        <v>103</v>
      </c>
      <c r="D17" t="n">
        <v>0</v>
      </c>
      <c r="E17" t="n">
        <v>88</v>
      </c>
    </row>
    <row r="18">
      <c r="A18" t="s">
        <v>270</v>
      </c>
      <c r="B18" t="n">
        <v>-0.5</v>
      </c>
      <c r="C18" t="n">
        <v>167</v>
      </c>
      <c r="D18" t="n">
        <v>0</v>
      </c>
      <c r="E18" t="n">
        <v>64</v>
      </c>
    </row>
    <row r="19">
      <c r="A19" t="s">
        <v>270</v>
      </c>
      <c r="B19" t="n">
        <v>0</v>
      </c>
      <c r="C19" t="n">
        <v>178</v>
      </c>
      <c r="D19" t="n">
        <v>-0.25</v>
      </c>
      <c r="E19" t="n">
        <v>41</v>
      </c>
    </row>
    <row r="20">
      <c r="A20" t="s">
        <v>271</v>
      </c>
      <c r="B20" t="n">
        <v>-0.75</v>
      </c>
      <c r="C20" t="n">
        <v>77</v>
      </c>
      <c r="D20" t="n">
        <v>-0.25</v>
      </c>
      <c r="E20" t="n">
        <v>117</v>
      </c>
    </row>
    <row r="21">
      <c r="A21" t="s">
        <v>270</v>
      </c>
      <c r="B21" t="n">
        <v>-0.75</v>
      </c>
      <c r="C21" t="n">
        <v>7</v>
      </c>
      <c r="D21" t="n">
        <v>0</v>
      </c>
      <c r="E21" t="n">
        <v>13</v>
      </c>
    </row>
    <row r="22">
      <c r="A22" t="s">
        <v>271</v>
      </c>
      <c r="B22" t="n">
        <v>0</v>
      </c>
      <c r="C22" t="n">
        <v>22</v>
      </c>
      <c r="D22" t="n">
        <v>-0.25</v>
      </c>
      <c r="E22" t="n">
        <v>97</v>
      </c>
    </row>
    <row r="23">
      <c r="A23" t="s">
        <v>270</v>
      </c>
      <c r="B23" t="n">
        <v>0</v>
      </c>
      <c r="C23" t="n">
        <v>87</v>
      </c>
      <c r="D23" t="n">
        <v>-0.25</v>
      </c>
      <c r="E23" t="n">
        <v>160</v>
      </c>
    </row>
    <row r="24">
      <c r="A24" t="s">
        <v>270</v>
      </c>
      <c r="B24" t="n">
        <v>-2</v>
      </c>
      <c r="C24" t="n">
        <v>39</v>
      </c>
      <c r="D24" t="n">
        <v>-0.25</v>
      </c>
      <c r="E24" t="n">
        <v>32</v>
      </c>
    </row>
    <row r="25">
      <c r="A25" t="s">
        <v>270</v>
      </c>
      <c r="B25" t="n">
        <v>-0.5</v>
      </c>
      <c r="C25" t="n">
        <v>170</v>
      </c>
      <c r="D25" t="n">
        <v>-0.25</v>
      </c>
      <c r="E25" t="n">
        <v>172</v>
      </c>
    </row>
    <row r="26">
      <c r="A26" t="s">
        <v>271</v>
      </c>
      <c r="B26" t="n">
        <v>-1</v>
      </c>
      <c r="C26" t="n">
        <v>101</v>
      </c>
      <c r="D26" t="n">
        <v>0</v>
      </c>
      <c r="E26" t="n">
        <v>32</v>
      </c>
    </row>
    <row r="27">
      <c r="A27" t="s">
        <v>271</v>
      </c>
      <c r="B27" t="n">
        <v>-2</v>
      </c>
      <c r="C27" t="n">
        <v>170</v>
      </c>
      <c r="D27" t="n">
        <v>0</v>
      </c>
      <c r="E27" t="n">
        <v>164</v>
      </c>
    </row>
    <row r="28">
      <c r="A28" t="s">
        <v>270</v>
      </c>
      <c r="B28" t="n">
        <v>-0.5</v>
      </c>
      <c r="C28" t="n">
        <v>103</v>
      </c>
      <c r="D28" t="n">
        <v>-0.25</v>
      </c>
      <c r="E28" t="n">
        <v>103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463</v>
      </c>
      <c r="B1" t="s">
        <v>5</v>
      </c>
    </row>
    <row r="2">
      <c r="A2" t="s">
        <v>819</v>
      </c>
      <c r="B2" t="s">
        <v>820</v>
      </c>
    </row>
    <row r="3">
      <c r="A3" t="s">
        <v>821</v>
      </c>
      <c r="B3" t="s">
        <v>820</v>
      </c>
    </row>
    <row r="4">
      <c r="A4" t="s">
        <v>822</v>
      </c>
      <c r="B4" t="s">
        <v>823</v>
      </c>
    </row>
    <row r="5">
      <c r="A5" t="s">
        <v>824</v>
      </c>
      <c r="B5" t="s">
        <v>825</v>
      </c>
    </row>
    <row r="6">
      <c r="A6" t="s">
        <v>826</v>
      </c>
      <c r="B6" t="s">
        <v>827</v>
      </c>
    </row>
    <row r="7">
      <c r="A7" t="s">
        <v>828</v>
      </c>
      <c r="B7" t="s">
        <v>829</v>
      </c>
    </row>
    <row r="8">
      <c r="A8" t="s">
        <v>830</v>
      </c>
      <c r="B8" t="s">
        <v>831</v>
      </c>
    </row>
    <row r="9">
      <c r="A9" t="s">
        <v>832</v>
      </c>
      <c r="B9" t="s">
        <v>833</v>
      </c>
    </row>
    <row r="10">
      <c r="A10" t="s">
        <v>834</v>
      </c>
      <c r="B10" t="s">
        <v>835</v>
      </c>
    </row>
    <row r="11">
      <c r="A11" t="s">
        <v>836</v>
      </c>
      <c r="B11" t="s">
        <v>837</v>
      </c>
    </row>
    <row r="12">
      <c r="A12" t="s">
        <v>838</v>
      </c>
      <c r="B12" t="s">
        <v>839</v>
      </c>
    </row>
    <row r="13">
      <c r="A13" t="s">
        <v>840</v>
      </c>
      <c r="B13" t="s">
        <v>841</v>
      </c>
    </row>
    <row r="14">
      <c r="A14" t="s">
        <v>842</v>
      </c>
      <c r="B14" t="s">
        <v>843</v>
      </c>
    </row>
    <row r="15">
      <c r="A15" t="s">
        <v>844</v>
      </c>
      <c r="B15" t="s">
        <v>9</v>
      </c>
    </row>
    <row r="16">
      <c r="A16" t="s">
        <v>845</v>
      </c>
      <c r="B16" t="s">
        <v>846</v>
      </c>
    </row>
    <row r="17">
      <c r="A17" t="s">
        <v>28</v>
      </c>
      <c r="B17" t="s">
        <v>847</v>
      </c>
    </row>
    <row r="18">
      <c r="A18" t="s">
        <v>480</v>
      </c>
      <c r="B18" t="s">
        <v>30</v>
      </c>
    </row>
    <row r="19">
      <c r="A19" t="s">
        <v>848</v>
      </c>
      <c r="B19" t="s">
        <v>849</v>
      </c>
    </row>
    <row r="20">
      <c r="A20" t="s">
        <v>850</v>
      </c>
      <c r="B20" t="s">
        <v>851</v>
      </c>
    </row>
    <row r="21">
      <c r="A21" t="s">
        <v>852</v>
      </c>
      <c r="B21" t="s">
        <v>853</v>
      </c>
    </row>
    <row r="22">
      <c r="A22" t="s">
        <v>854</v>
      </c>
      <c r="B22" t="s">
        <v>855</v>
      </c>
    </row>
    <row r="23">
      <c r="A23" t="s">
        <v>856</v>
      </c>
      <c r="B23" t="s">
        <v>857</v>
      </c>
    </row>
    <row r="24">
      <c r="A24" t="s">
        <v>858</v>
      </c>
      <c r="B24" t="s">
        <v>859</v>
      </c>
    </row>
    <row r="25">
      <c r="A25" t="s">
        <v>860</v>
      </c>
      <c r="B25" t="s">
        <v>861</v>
      </c>
    </row>
    <row r="26">
      <c r="A26" t="s">
        <v>862</v>
      </c>
      <c r="B26" t="s">
        <v>348</v>
      </c>
    </row>
    <row r="27">
      <c r="A27" t="s">
        <v>863</v>
      </c>
      <c r="B27" t="s">
        <v>864</v>
      </c>
    </row>
    <row r="28">
      <c r="A28" t="s">
        <v>865</v>
      </c>
      <c r="B28" t="s">
        <v>866</v>
      </c>
    </row>
    <row r="29">
      <c r="A29" t="s">
        <v>867</v>
      </c>
      <c r="B29" t="s">
        <v>866</v>
      </c>
    </row>
    <row r="30">
      <c r="A30" t="s">
        <v>868</v>
      </c>
      <c r="B30" t="s">
        <v>869</v>
      </c>
    </row>
    <row r="31">
      <c r="A31" t="s">
        <v>870</v>
      </c>
      <c r="B31" t="s">
        <v>871</v>
      </c>
    </row>
    <row r="32">
      <c r="A32" t="s">
        <v>872</v>
      </c>
      <c r="B32" t="s">
        <v>873</v>
      </c>
    </row>
    <row r="33">
      <c r="A33" t="s">
        <v>874</v>
      </c>
      <c r="B33" t="s">
        <v>875</v>
      </c>
    </row>
    <row r="34">
      <c r="A34" t="s">
        <v>876</v>
      </c>
      <c r="B34" t="s">
        <v>877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838</v>
      </c>
      <c r="B1" t="s">
        <v>878</v>
      </c>
      <c r="C1" t="s">
        <v>4</v>
      </c>
    </row>
    <row r="2">
      <c r="A2" s="10" t="str">
        <f>HYPERLINK("#'Manifest'!A1", "Manifest")</f>
      </c>
      <c r="B2" t="s">
        <v>879</v>
      </c>
      <c r="C2" t="s">
        <v>880</v>
      </c>
    </row>
    <row r="3">
      <c r="A3" s="10" t="str">
        <f>HYPERLINK("#'Overview'!A1", "Overview")</f>
      </c>
      <c r="B3" t="s">
        <v>881</v>
      </c>
      <c r="C3" t="s">
        <v>882</v>
      </c>
    </row>
    <row r="4">
      <c r="A4" s="10" t="str">
        <f>HYPERLINK("#'Baseline &amp; Preop Summary'!A1", "Baseline &amp; Preop Summary")</f>
      </c>
      <c r="B4" t="s">
        <v>883</v>
      </c>
      <c r="C4" t="s">
        <v>884</v>
      </c>
    </row>
    <row r="5">
      <c r="A5" s="10" t="str">
        <f>HYPERLINK("#'Outcome Summary'!A1", "Outcome Summary")</f>
      </c>
      <c r="B5" t="s">
        <v>885</v>
      </c>
      <c r="C5" t="s">
        <v>886</v>
      </c>
    </row>
    <row r="6">
      <c r="A6" s="10" t="str">
        <f>HYPERLINK("#'Publication Table'!A1", "Publication Table")</f>
      </c>
      <c r="B6" t="s">
        <v>887</v>
      </c>
      <c r="C6" t="s">
        <v>888</v>
      </c>
    </row>
    <row r="7">
      <c r="A7" s="10" t="str">
        <f>HYPERLINK("#'mEYEstro_Control'!A1", "mEYEstro_Control")</f>
      </c>
      <c r="B7" t="s">
        <v>889</v>
      </c>
      <c r="C7" t="s">
        <v>890</v>
      </c>
    </row>
    <row r="8">
      <c r="A8" s="10" t="str">
        <f>HYPERLINK("#'mEYEstro_Diabetes'!A1", "mEYEstro_Diabetes")</f>
      </c>
      <c r="B8" t="s">
        <v>891</v>
      </c>
      <c r="C8" t="s">
        <v>890</v>
      </c>
    </row>
    <row r="9">
      <c r="A9" s="10" t="str">
        <f>HYPERLINK("#'AstigMATIC_Control'!A1", "AstigMATIC_Control")</f>
      </c>
      <c r="B9" t="s">
        <v>892</v>
      </c>
      <c r="C9" t="s">
        <v>893</v>
      </c>
    </row>
    <row r="10">
      <c r="A10" s="10" t="str">
        <f>HYPERLINK("#'AstigMATIC_Diabetes'!A1", "AstigMATIC_Diabetes")</f>
      </c>
      <c r="B10" t="s">
        <v>894</v>
      </c>
      <c r="C10" t="s">
        <v>893</v>
      </c>
    </row>
    <row r="11">
      <c r="A11" s="10" t="str">
        <f>HYPERLINK("#'GEE_Main_Unmatched_Base'!A1", "GEE_Main_Unmatched_Base")</f>
      </c>
      <c r="B11" t="s">
        <v>895</v>
      </c>
      <c r="C11" t="s">
        <v>896</v>
      </c>
    </row>
    <row r="12">
      <c r="A12" s="10" t="str">
        <f>HYPERLINK("#'GEE_Main_Unmatched_Preop'!A1", "GEE_Main_Unmatched_Preop")</f>
      </c>
      <c r="B12" t="s">
        <v>897</v>
      </c>
      <c r="C12" t="s">
        <v>896</v>
      </c>
    </row>
    <row r="13">
      <c r="A13" s="10" t="str">
        <f>HYPERLINK("#'GEE_Main_Unmatched_Out'!A1", "GEE_Main_Unmatched_Out")</f>
      </c>
      <c r="B13" t="s">
        <v>898</v>
      </c>
      <c r="C13" t="s">
        <v>896</v>
      </c>
    </row>
    <row r="14">
      <c r="A14" s="10" t="str">
        <f>HYPERLINK("#'GEE_Adj_Unmatched_Base'!A1", "GEE_Adj_Unmatched_Base")</f>
      </c>
      <c r="B14" t="s">
        <v>899</v>
      </c>
      <c r="C14" t="s">
        <v>900</v>
      </c>
    </row>
    <row r="15">
      <c r="A15" s="10" t="str">
        <f>HYPERLINK("#'GEE_Adj_Unmatched_Preop'!A1", "GEE_Adj_Unmatched_Preop")</f>
      </c>
      <c r="B15" t="s">
        <v>901</v>
      </c>
      <c r="C15" t="s">
        <v>900</v>
      </c>
    </row>
    <row r="16">
      <c r="A16" s="10" t="str">
        <f>HYPERLINK("#'GEE_Adj_Unmatched_Out'!A1", "GEE_Adj_Unmatched_Out")</f>
      </c>
      <c r="B16" t="s">
        <v>902</v>
      </c>
      <c r="C16" t="s">
        <v>900</v>
      </c>
    </row>
    <row r="17">
      <c r="A17" s="10" t="str">
        <f>HYPERLINK("#'Regression (adjusted)'!A1", "Regression (adjusted)")</f>
      </c>
      <c r="B17" t="s">
        <v>903</v>
      </c>
      <c r="C17" t="s">
        <v>904</v>
      </c>
    </row>
    <row r="18">
      <c r="A18" s="10" t="str">
        <f>HYPERLINK("#'PSM_Diabetes_vs_Control'!A1", "PSM_Diabetes_vs_Control")</f>
      </c>
      <c r="B18" t="s">
        <v>905</v>
      </c>
      <c r="C18" t="s">
        <v>906</v>
      </c>
    </row>
    <row r="19">
      <c r="A19" s="10" t="str">
        <f>HYPERLINK("#'GEE_M_Diabetes_vs_Control'!A1", "GEE_M_Diabetes_vs_Control")</f>
      </c>
      <c r="B19" t="s">
        <v>907</v>
      </c>
      <c r="C19" t="s">
        <v>908</v>
      </c>
    </row>
    <row r="20">
      <c r="A20" s="10" t="str">
        <f>HYPERLINK("#'GEE_Adj_M_Diabetes_vs_Control'!A1", "GEE_Adj_M_Diabetes_vs_Control")</f>
      </c>
      <c r="B20" t="s">
        <v>909</v>
      </c>
      <c r="C20" t="s">
        <v>910</v>
      </c>
    </row>
    <row r="21">
      <c r="A21" s="10" t="str">
        <f>HYPERLINK("#'Reg_M_Diabetes_vs_Control'!A1", "Reg_M_Diabetes_vs_Control")</f>
      </c>
      <c r="B21" t="s">
        <v>911</v>
      </c>
      <c r="C21" t="s">
        <v>912</v>
      </c>
    </row>
    <row r="22">
      <c r="A22" s="10" t="str">
        <f>HYPERLINK("#'BasePreop_M_Diabetes_vs_Control'!A1", "BasePreop_M_Diabetes_vs_Control")</f>
      </c>
      <c r="B22" t="s">
        <v>913</v>
      </c>
      <c r="C22" t="s">
        <v>914</v>
      </c>
    </row>
    <row r="23">
      <c r="A23" s="10" t="str">
        <f>HYPERLINK("#'Out_M_Diabetes_vs_Control'!A1", "Out_M_Diabetes_vs_Control")</f>
      </c>
      <c r="B23" t="s">
        <v>915</v>
      </c>
      <c r="C23" t="s">
        <v>916</v>
      </c>
    </row>
    <row r="24">
      <c r="A24" s="10" t="str">
        <f>HYPERLINK("#'Pub_M_Diabetes_vs_Control'!A1", "Pub_M_Diabetes_vs_Control")</f>
      </c>
      <c r="B24" t="s">
        <v>917</v>
      </c>
      <c r="C24" t="s">
        <v>918</v>
      </c>
    </row>
    <row r="25">
      <c r="A25" s="10" t="str">
        <f>HYPERLINK("#'mEYEstro_M_Control_Diabetes_vs_'!A1", "mEYEstro_M_Control_Diabetes_vs_")</f>
      </c>
      <c r="B25" t="s">
        <v>920</v>
      </c>
      <c r="C25" t="s">
        <v>921</v>
      </c>
    </row>
    <row r="26">
      <c r="A26" s="10" t="str">
        <f>HYPERLINK("#'mEYEstro_M_Diabetes_Diabetes_vs'!A1", "mEYEstro_M_Diabetes_Diabetes_vs")</f>
      </c>
      <c r="B26" t="s">
        <v>923</v>
      </c>
      <c r="C26" t="s">
        <v>921</v>
      </c>
    </row>
    <row r="27">
      <c r="A27" s="10" t="str">
        <f>HYPERLINK("#'AstigMATIC_M_Control_Diabetes_v'!A1", "AstigMATIC_M_Control_Diabetes_v")</f>
      </c>
      <c r="B27" t="s">
        <v>925</v>
      </c>
      <c r="C27" t="s">
        <v>926</v>
      </c>
    </row>
    <row r="28">
      <c r="A28" s="10" t="str">
        <f>HYPERLINK("#'AstigMATIC_M_Diabetes_Diabetes_'!A1", "AstigMATIC_M_Diabetes_Diabetes_")</f>
      </c>
      <c r="B28" t="s">
        <v>928</v>
      </c>
      <c r="C28" t="s">
        <v>926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2026-10-02T19:38:09Z</dcterms:created>
</coreProperties>
</file>