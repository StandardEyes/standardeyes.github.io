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2"/>
  </bookViews>
  <sheets>
    <sheet name="Contents" sheetId="12" state="visible" r:id="rId12"/>
    <sheet name="Manifest" sheetId="11" state="visible" r:id="rId11"/>
    <sheet name="Overview" sheetId="1" state="visible" r:id="rId1"/>
    <sheet name="Baseline &amp; Preop Summary" sheetId="2" state="visible" r:id="rId2"/>
    <sheet name="Outcome Summary" sheetId="3" state="visible" r:id="rId3"/>
    <sheet name="Publication Table" sheetId="4" state="visible" r:id="rId4"/>
    <sheet name="mEYEstro_Reference" sheetId="5" state="visible" r:id="rId5"/>
    <sheet name="mEYEstro_Cohort A" sheetId="6" state="visible" r:id="rId6"/>
    <sheet name="AstigMATIC_Reference" sheetId="7" state="visible" r:id="rId7"/>
    <sheet name="AstigMATIC_Cohort A" sheetId="8" state="visible" r:id="rId8"/>
    <sheet name="Astigmatism (JCRS 2025)" sheetId="9" state="visible" r:id="rId9"/>
    <sheet name="Astigmatism vectors" sheetId="10" state="visible" r:id="rId10"/>
  </sheets>
</workbook>
</file>

<file path=xl/sharedStrings.xml><?xml version="1.0" encoding="utf-8"?>
<sst xmlns="http://schemas.openxmlformats.org/spreadsheetml/2006/main" count="1120" uniqueCount="1120">
  <si>
    <t xml:space="preserve">Notes</t>
  </si>
  <si>
    <t xml:space="preserve">Note</t>
  </si>
  <si>
    <t xml:space="preserve">Visual acuity analyzed in logMAR (lower = better): Preop_UDVA, Preop_CDVA, Postop_UDVA, Postop_CDVA - converted from the recorded notation.</t>
  </si>
  <si>
    <t xml:space="preserve">Initial Summary</t>
  </si>
  <si>
    <t xml:space="preserve">Description</t>
  </si>
  <si>
    <t xml:space="preserve">Value</t>
  </si>
  <si>
    <t xml:space="preserve">Number of Patients</t>
  </si>
  <si>
    <t xml:space="preserve">233</t>
  </si>
  <si>
    <t xml:space="preserve">Number of Eyes</t>
  </si>
  <si>
    <t xml:space="preserve">389</t>
  </si>
  <si>
    <t xml:space="preserve">Mean Age (per patient)</t>
  </si>
  <si>
    <t xml:space="preserve">35.92</t>
  </si>
  <si>
    <t xml:space="preserve">SD Age (per patient)</t>
  </si>
  <si>
    <t xml:space="preserve">8.23</t>
  </si>
  <si>
    <t xml:space="preserve">Age Range (per patient)</t>
  </si>
  <si>
    <t xml:space="preserve">19–56</t>
  </si>
  <si>
    <t xml:space="preserve">Mean Follow-up Time (per eye)</t>
  </si>
  <si>
    <t xml:space="preserve">180.52</t>
  </si>
  <si>
    <t xml:space="preserve">SD Follow-up Time (per eye)</t>
  </si>
  <si>
    <t xml:space="preserve">14.70</t>
  </si>
  <si>
    <t xml:space="preserve">Median Follow-up Time [IQR] (per eye)</t>
  </si>
  <si>
    <t xml:space="preserve">181.00 [169.00–193.00]</t>
  </si>
  <si>
    <t xml:space="preserve">Sex (per patient)</t>
  </si>
  <si>
    <t xml:space="preserve">Sex</t>
  </si>
  <si>
    <t xml:space="preserve">Count</t>
  </si>
  <si>
    <t xml:space="preserve">Percentage</t>
  </si>
  <si>
    <t xml:space="preserve">F</t>
  </si>
  <si>
    <t xml:space="preserve">M</t>
  </si>
  <si>
    <t xml:space="preserve">Groups</t>
  </si>
  <si>
    <t xml:space="preserve">Group</t>
  </si>
  <si>
    <t xml:space="preserve">Reference</t>
  </si>
  <si>
    <t xml:space="preserve">Cohort A</t>
  </si>
  <si>
    <t xml:space="preserve">QC - group assignment by source value</t>
  </si>
  <si>
    <t xml:space="preserve">Value in Cohort</t>
  </si>
  <si>
    <t xml:space="preserve">N</t>
  </si>
  <si>
    <t xml:space="preserve">Baseline</t>
  </si>
  <si>
    <t xml:space="preserve">Parameter</t>
  </si>
  <si>
    <t xml:space="preserve">Reference (n = 226 eyes; 136 patients)</t>
  </si>
  <si>
    <t xml:space="preserve">Cohort A (n = 163 eyes; 97 patients)</t>
  </si>
  <si>
    <t xml:space="preserve">P</t>
  </si>
  <si>
    <t xml:space="preserve">Test</t>
  </si>
  <si>
    <t xml:space="preserve">Practical Interpretation</t>
  </si>
  <si>
    <t xml:space="preserve">Age_Years [per patient]</t>
  </si>
  <si>
    <t xml:space="preserve">34.28 ± 7.73</t>
  </si>
  <si>
    <t xml:space="preserve">38.23 ± 8.38</t>
  </si>
  <si>
    <t xml:space="preserve">&lt;.001</t>
  </si>
  <si>
    <t xml:space="preserve">Welch t-test</t>
  </si>
  <si>
    <t xml:space="preserve">Statistically significant (between groups).</t>
  </si>
  <si>
    <t xml:space="preserve">Preop_SEQ_D</t>
  </si>
  <si>
    <t xml:space="preserve">-3.64 ± 1.75</t>
  </si>
  <si>
    <t xml:space="preserve">-5.01 ± 1.82</t>
  </si>
  <si>
    <t xml:space="preserve">GEE, exchangeable working correlation, clustered by patient (robust SE (Mancl-DeRouen), t reference)</t>
  </si>
  <si>
    <t xml:space="preserve">Preop_Sphere_D</t>
  </si>
  <si>
    <t xml:space="preserve">-3.18 ± 1.79</t>
  </si>
  <si>
    <t xml:space="preserve">-4.62 ± 1.85</t>
  </si>
  <si>
    <t xml:space="preserve">Preop_Cylinder_D</t>
  </si>
  <si>
    <t xml:space="preserve">-0.92 ± 0.59</t>
  </si>
  <si>
    <t xml:space="preserve">-0.77 ± 0.45</t>
  </si>
  <si>
    <t xml:space="preserve">.03</t>
  </si>
  <si>
    <t xml:space="preserve">Preop_UDVA</t>
  </si>
  <si>
    <t xml:space="preserve">20/198 (0.99 ± 0.46 logMAR); range 20/16 to 20/1000</t>
  </si>
  <si>
    <t xml:space="preserve">20/389 (1.29 ± 0.43 logMAR); range 20/20 to 20/1000</t>
  </si>
  <si>
    <t xml:space="preserve">Preop_CDVA</t>
  </si>
  <si>
    <t xml:space="preserve">20/19 (-0.03 ± 0.07 logMAR); range 20/12.5 to 20/25</t>
  </si>
  <si>
    <t xml:space="preserve">20/19 (-0.03 ± 0.06 logMAR); range 20/12.5 to 20/25</t>
  </si>
  <si>
    <t xml:space="preserve">.91</t>
  </si>
  <si>
    <t xml:space="preserve">Not statistically significant (between groups).</t>
  </si>
  <si>
    <t xml:space="preserve">Preop_Pachymetry_um</t>
  </si>
  <si>
    <t xml:space="preserve">547.23 ± 26.35</t>
  </si>
  <si>
    <t xml:space="preserve">532.69 ± 23.51 (n = 159)</t>
  </si>
  <si>
    <t xml:space="preserve">Preop_Mean_K_D</t>
  </si>
  <si>
    <t xml:space="preserve">43.44 ± 1.48 (n = 221)</t>
  </si>
  <si>
    <t xml:space="preserve">43.37 ± 1.57 (n = 161)</t>
  </si>
  <si>
    <t xml:space="preserve">.75</t>
  </si>
  <si>
    <t xml:space="preserve">GEE, independence working correlation (the outcome is almost constant within patients), clustered by patient (robust SE (Mancl-DeRouen), t reference)</t>
  </si>
  <si>
    <t xml:space="preserve">Preop_DryEye_Grade</t>
  </si>
  <si>
    <t xml:space="preserve">0 [0–1] (n = 225)</t>
  </si>
  <si>
    <t xml:space="preserve">0 [0–1]</t>
  </si>
  <si>
    <t xml:space="preserve">.06</t>
  </si>
  <si>
    <t xml:space="preserve">GEE on ranks, exchangeable working correlation, clustered by patient (robust SE (Mancl-DeRouen), t reference)</t>
  </si>
  <si>
    <t xml:space="preserve">Sex (F) [per patient]</t>
  </si>
  <si>
    <t xml:space="preserve">73/136 (53.7%)</t>
  </si>
  <si>
    <t xml:space="preserve">62/97 (63.9%)</t>
  </si>
  <si>
    <t xml:space="preserve">.12</t>
  </si>
  <si>
    <t xml:space="preserve">Chi-squared test</t>
  </si>
  <si>
    <t xml:space="preserve">Smoker (Yes) [per patient]</t>
  </si>
  <si>
    <t xml:space="preserve">19/130 (14.6%)</t>
  </si>
  <si>
    <t xml:space="preserve">6/92 (6.5%)</t>
  </si>
  <si>
    <t xml:space="preserve">Surgeon: Surgeon A [per patient]</t>
  </si>
  <si>
    <t xml:space="preserve">50/136 (36.8%)</t>
  </si>
  <si>
    <t xml:space="preserve">44/97 (45.4%)</t>
  </si>
  <si>
    <t xml:space="preserve">.24</t>
  </si>
  <si>
    <t xml:space="preserve">Surgeon: Surgeon B [per patient]</t>
  </si>
  <si>
    <t xml:space="preserve">44/136 (32.4%)</t>
  </si>
  <si>
    <t xml:space="preserve">32/97 (33.0%)</t>
  </si>
  <si>
    <t xml:space="preserve"/>
  </si>
  <si>
    <t xml:space="preserve">Surgeon: Surgeon C [per patient]</t>
  </si>
  <si>
    <t xml:space="preserve">42/136 (30.9%)</t>
  </si>
  <si>
    <t xml:space="preserve">21/97 (21.6%)</t>
  </si>
  <si>
    <t xml:space="preserve">Preoperative / intraoperative</t>
  </si>
  <si>
    <t xml:space="preserve">Optical_Zone_mm [per patient]</t>
  </si>
  <si>
    <t xml:space="preserve">6.53 ± 0.16</t>
  </si>
  <si>
    <t xml:space="preserve">6.43 ± 0.15</t>
  </si>
  <si>
    <t xml:space="preserve">Ablation_or_Lenticule_Depth_um</t>
  </si>
  <si>
    <t xml:space="preserve">60.03 ± 24.43</t>
  </si>
  <si>
    <t xml:space="preserve">75.35 ± 24.26</t>
  </si>
  <si>
    <t xml:space="preserve">Procedure: KLEx</t>
  </si>
  <si>
    <t xml:space="preserve">32/226 (14.2%)</t>
  </si>
  <si>
    <t xml:space="preserve">16/163 (9.8%)</t>
  </si>
  <si>
    <t xml:space="preserve">.010</t>
  </si>
  <si>
    <t xml:space="preserve">GEE on level indicators, independence working correlation, clustered by patient (robust SE (Mancl-DeRouen), F reference)</t>
  </si>
  <si>
    <t xml:space="preserve">Procedure: LASIK</t>
  </si>
  <si>
    <t xml:space="preserve">104/226 (46.0%)</t>
  </si>
  <si>
    <t xml:space="preserve">48/163 (29.4%)</t>
  </si>
  <si>
    <t xml:space="preserve">Procedure: PRK</t>
  </si>
  <si>
    <t xml:space="preserve">90/226 (39.8%)</t>
  </si>
  <si>
    <t xml:space="preserve">99/163 (60.7%)</t>
  </si>
  <si>
    <t xml:space="preserve">FollowUp_Days</t>
  </si>
  <si>
    <t xml:space="preserve">181.56 ± 14.32 (n = 204)</t>
  </si>
  <si>
    <t xml:space="preserve">179.09 ± 15.14 (n = 149)</t>
  </si>
  <si>
    <t xml:space="preserve">.10</t>
  </si>
  <si>
    <t xml:space="preserve">Postop_SEQ_D</t>
  </si>
  <si>
    <t xml:space="preserve">0.06 ± 0.36 (n = 204)</t>
  </si>
  <si>
    <t xml:space="preserve">-0.29 ± 0.37 (n = 149)</t>
  </si>
  <si>
    <t xml:space="preserve">Postop_Cylinder_D</t>
  </si>
  <si>
    <t xml:space="preserve">-0.27 ± 0.22 (n = 204)</t>
  </si>
  <si>
    <t xml:space="preserve">-0.24 ± 0.14 (n = 149)</t>
  </si>
  <si>
    <t xml:space="preserve">Postop_UDVA</t>
  </si>
  <si>
    <t xml:space="preserve">20/18 (-0.04 ± 0.11 logMAR); range 20/12.5 to 20/40 (n = 200)</t>
  </si>
  <si>
    <t xml:space="preserve">20/20 (-0.01 ± 0.11 logMAR); range 20/12.5 to 20/40 (n = 146)</t>
  </si>
  <si>
    <t xml:space="preserve">Postop_CDVA</t>
  </si>
  <si>
    <t xml:space="preserve">20/17 (-0.06 ± 0.10 logMAR); range 20/12.5 to 20/40 (n = 204)</t>
  </si>
  <si>
    <t xml:space="preserve">20/18 (-0.05 ± 0.08 logMAR); range 20/12.5 to 20/32 (n = 149)</t>
  </si>
  <si>
    <t xml:space="preserve">.37</t>
  </si>
  <si>
    <t xml:space="preserve">Postop_Haze_Grade</t>
  </si>
  <si>
    <t xml:space="preserve">0 [0–0] (n = 204)</t>
  </si>
  <si>
    <t xml:space="preserve">0 [0–0] (n = 149)</t>
  </si>
  <si>
    <t xml:space="preserve">.05</t>
  </si>
  <si>
    <t xml:space="preserve">Patient_Satisfaction_1to5</t>
  </si>
  <si>
    <t xml:space="preserve">5 [4–5] (n = 191)</t>
  </si>
  <si>
    <t xml:space="preserve">4 [3–5] (n = 140)</t>
  </si>
  <si>
    <t xml:space="preserve">.008</t>
  </si>
  <si>
    <t xml:space="preserve">DryEye_Symptoms (Yes)</t>
  </si>
  <si>
    <t xml:space="preserve">25/204 (12.3%)</t>
  </si>
  <si>
    <t xml:space="preserve">61/149 (40.9%)</t>
  </si>
  <si>
    <t xml:space="preserve">Binomial GEE, exchangeable working correlation, clustered by patient (robust SE (Mancl-DeRouen), t reference)</t>
  </si>
  <si>
    <t xml:space="preserve">Retreatment_Required (Yes)</t>
  </si>
  <si>
    <t xml:space="preserve">15/204 (7.4%)</t>
  </si>
  <si>
    <t xml:space="preserve">13/149 (8.7%)</t>
  </si>
  <si>
    <t xml:space="preserve">.56</t>
  </si>
  <si>
    <t xml:space="preserve">Complication_Type: Corneal haze</t>
  </si>
  <si>
    <t xml:space="preserve">8/226 (3.5%)</t>
  </si>
  <si>
    <t xml:space="preserve">9/163 (5.5%)</t>
  </si>
  <si>
    <t xml:space="preserve">.38</t>
  </si>
  <si>
    <t xml:space="preserve">Complication_Type: Diffuse lamellar keratitis</t>
  </si>
  <si>
    <t xml:space="preserve">2/226 (0.9%)</t>
  </si>
  <si>
    <t xml:space="preserve">3/163 (1.8%)</t>
  </si>
  <si>
    <t xml:space="preserve">Complication_Type: Epithelial defect</t>
  </si>
  <si>
    <t xml:space="preserve">4/226 (1.8%)</t>
  </si>
  <si>
    <t xml:space="preserve">5/163 (3.1%)</t>
  </si>
  <si>
    <t xml:space="preserve">Complication_Type: Flap or cap complication</t>
  </si>
  <si>
    <t xml:space="preserve">0/163 (0.0%)</t>
  </si>
  <si>
    <t xml:space="preserve">Complication_Type: No complication</t>
  </si>
  <si>
    <t xml:space="preserve">210/226 (92.9%)</t>
  </si>
  <si>
    <t xml:space="preserve">146/163 (89.6%)</t>
  </si>
  <si>
    <t xml:space="preserve">Baseline characteristics</t>
  </si>
  <si>
    <t xml:space="preserve">Outcomes</t>
  </si>
  <si>
    <t xml:space="preserve">Values:</t>
  </si>
  <si>
    <t xml:space="preserve">- Values are mean ± SD, median [interquartile range], n/N (%) - eyes (or patients) with the level among those with data.</t>
  </si>
  <si>
    <t xml:space="preserve">- Visual acuity: the Snellen geometric mean (logMAR mean ± SD), then the range of the eyes in Snellen.</t>
  </si>
  <si>
    <t xml:space="preserve">- (n = ...) in a cell: the eyes (patients, for a row marked [per patient]) with data, where fewer than the column's n.</t>
  </si>
  <si>
    <t xml:space="preserve">Tests behind the P values:</t>
  </si>
  <si>
    <t xml:space="preserve">- Welch t-test: Age_Years; Optical_Zone_mm.</t>
  </si>
  <si>
    <t xml:space="preserve">- GEE, exchangeable working correlation, clustered by patient (robust SE (Mancl-DeRouen), t reference): Preop_SEQ_D; Preop_Sphere_D; Preop_Cylinder_D; Preop_UDVA; Preop_CDVA; Preop_Pachymetry_um; Ablation_or_Lenticule_Depth_um; FollowUp_Days; Postop_SEQ_D; Postop_Cylinder_D; Postop_UDVA; Postop_CDVA.</t>
  </si>
  <si>
    <t xml:space="preserve">- GEE, independence working correlation (the outcome is almost constant within patients), clustered by patient (robust SE (Mancl-DeRouen), t reference): Preop_Mean_K_D.</t>
  </si>
  <si>
    <t xml:space="preserve">- GEE on ranks, exchangeable working correlation, clustered by patient (robust SE (Mancl-DeRouen), t reference): Preop_DryEye_Grade; Postop_Haze_Grade; Patient_Satisfaction_1to5.</t>
  </si>
  <si>
    <t xml:space="preserve">- Chi-squared test: Sex; Smoker; Surgeon.</t>
  </si>
  <si>
    <t xml:space="preserve">- GEE on level indicators, independence working correlation, clustered by patient (robust SE (Mancl-DeRouen), F reference): Procedure; Complication_Type.</t>
  </si>
  <si>
    <t xml:space="preserve">- Binomial GEE, exchangeable working correlation, clustered by patient (robust SE (Mancl-DeRouen), t reference): DryEye_Symptoms; Retreatment_Required.</t>
  </si>
  <si>
    <t xml:space="preserve">GroupLabel</t>
  </si>
  <si>
    <t xml:space="preserve">Pre_BCVA</t>
  </si>
  <si>
    <t xml:space="preserve">Post_UCVA</t>
  </si>
  <si>
    <t xml:space="preserve">Post_BCVA</t>
  </si>
  <si>
    <t xml:space="preserve">Pre_Sph</t>
  </si>
  <si>
    <t xml:space="preserve">Pre_Cyl</t>
  </si>
  <si>
    <t xml:space="preserve">Pre_Axis</t>
  </si>
  <si>
    <t xml:space="preserve">Preop_MR_Vertex_Distance</t>
  </si>
  <si>
    <t xml:space="preserve">Intended_Postop_MR_Sphere</t>
  </si>
  <si>
    <t xml:space="preserve">Intended_Postop_MR_Cylinder</t>
  </si>
  <si>
    <t xml:space="preserve">Intended_Postop_MR_Axis</t>
  </si>
  <si>
    <t xml:space="preserve">Intended_Postop_MR_Vertex_Distance</t>
  </si>
  <si>
    <t xml:space="preserve">Post_Sph</t>
  </si>
  <si>
    <t xml:space="preserve">Post_Cyl</t>
  </si>
  <si>
    <t xml:space="preserve">Post_Axis</t>
  </si>
  <si>
    <t xml:space="preserve">Postop_MR_Vertex_Distance</t>
  </si>
  <si>
    <t xml:space="preserve">Post_SEQ</t>
  </si>
  <si>
    <t xml:space="preserve">25</t>
  </si>
  <si>
    <t xml:space="preserve">20</t>
  </si>
  <si>
    <t xml:space="preserve">15-1</t>
  </si>
  <si>
    <t xml:space="preserve">12.5</t>
  </si>
  <si>
    <t xml:space="preserve">40</t>
  </si>
  <si>
    <t xml:space="preserve">30-1</t>
  </si>
  <si>
    <t xml:space="preserve">Eye</t>
  </si>
  <si>
    <t xml:space="preserve">preoperative cylinder</t>
  </si>
  <si>
    <t xml:space="preserve">preoperative axis</t>
  </si>
  <si>
    <t xml:space="preserve">postoperative cylinder</t>
  </si>
  <si>
    <t xml:space="preserve">postoperative axis</t>
  </si>
  <si>
    <t xml:space="preserve">OD</t>
  </si>
  <si>
    <t xml:space="preserve">OS</t>
  </si>
  <si>
    <t xml:space="preserve">Astigmatism per the JCRS 2025 standard (Koch et al., Part II), all analyzed eyes: plus-cylinder format, with-the-rule astigmatism on the left of the double-angle plots. Cohorts: Reference, Cohort A (reference: Reference). Tests clustered by patient.</t>
  </si>
  <si>
    <t xml:space="preserve">Summary per vector and cohort</t>
  </si>
  <si>
    <t xml:space="preserve">Vector</t>
  </si>
  <si>
    <t xml:space="preserve">Cohort</t>
  </si>
  <si>
    <t xml:space="preserve">Eyes</t>
  </si>
  <si>
    <t xml:space="preserve">Patients</t>
  </si>
  <si>
    <t xml:space="preserve">Centroid x (D)</t>
  </si>
  <si>
    <t xml:space="preserve">Centroid y (D)</t>
  </si>
  <si>
    <t xml:space="preserve">Centroid magnitude (D)</t>
  </si>
  <si>
    <t xml:space="preserve">Centroid plus axis (°)</t>
  </si>
  <si>
    <t xml:space="preserve">Centroid</t>
  </si>
  <si>
    <t xml:space="preserve">Total SD (D, N denominator)</t>
  </si>
  <si>
    <t xml:space="preserve">Magnitude mean (D)</t>
  </si>
  <si>
    <t xml:space="preserve">Magnitude SD (D)</t>
  </si>
  <si>
    <t xml:space="preserve">Magnitude median (D)</t>
  </si>
  <si>
    <t xml:space="preserve">Magnitude min (D)</t>
  </si>
  <si>
    <t xml:space="preserve">Magnitude max (D)</t>
  </si>
  <si>
    <t xml:space="preserve">Magnitude RMS (D)</t>
  </si>
  <si>
    <t xml:space="preserve">95% data region</t>
  </si>
  <si>
    <t xml:space="preserve">Eyes in data region</t>
  </si>
  <si>
    <t xml:space="preserve">Centroid 95% confidence region</t>
  </si>
  <si>
    <t xml:space="preserve">PRE (preoperative)</t>
  </si>
  <si>
    <t xml:space="preserve">0.45 D @ 90°</t>
  </si>
  <si>
    <t xml:space="preserve">depth-based convex polygon (as in the WHWK functions): 218 of 226 eyes</t>
  </si>
  <si>
    <t xml:space="preserve">bootstrap convex polygon of the centroid (as in the WHWK functions): 949 of 999 bootstrap centroids (bootstrap over patients, 136 patients)</t>
  </si>
  <si>
    <t xml:space="preserve">0.30 D @ 89°</t>
  </si>
  <si>
    <t xml:space="preserve">depth-based convex polygon (as in the WHWK functions): 156 of 163 eyes</t>
  </si>
  <si>
    <t xml:space="preserve">bootstrap convex polygon of the centroid (as in the WHWK functions): 954 of 999 bootstrap centroids (bootstrap over patients, 97 patients)</t>
  </si>
  <si>
    <t xml:space="preserve">SIA (surgically induced)</t>
  </si>
  <si>
    <t xml:space="preserve">0.44 D @ 180°</t>
  </si>
  <si>
    <t xml:space="preserve">depth-based convex polygon (as in the WHWK functions): 197 of 204 eyes</t>
  </si>
  <si>
    <t xml:space="preserve">bootstrap convex polygon of the centroid (as in the WHWK functions): 949 of 999 bootstrap centroids (bootstrap over patients, 123 patients)</t>
  </si>
  <si>
    <t xml:space="preserve">0.24 D @ 180°</t>
  </si>
  <si>
    <t xml:space="preserve">depth-based convex polygon (as in the WHWK functions): 149 of 149 eyes (the depth rule removed no eye: the region is the convex hull of all eyes)</t>
  </si>
  <si>
    <t xml:space="preserve">bootstrap convex polygon of the centroid (as in the WHWK functions): 954 of 999 bootstrap centroids (bootstrap over patients, 89 patients)</t>
  </si>
  <si>
    <t xml:space="preserve">PE (prediction error = POST; target plano)</t>
  </si>
  <si>
    <t xml:space="preserve">0.04 D @ 92°</t>
  </si>
  <si>
    <t xml:space="preserve">0.01 D @ 76°</t>
  </si>
  <si>
    <t xml:space="preserve">Cumulative percentage of eyes by magnitude</t>
  </si>
  <si>
    <t xml:space="preserve">≤ 0.25 D (%)</t>
  </si>
  <si>
    <t xml:space="preserve">≤ 0.50 D (%)</t>
  </si>
  <si>
    <t xml:space="preserve">≤ 0.75 D (%)</t>
  </si>
  <si>
    <t xml:space="preserve">≤ 1.00 D (%)</t>
  </si>
  <si>
    <t xml:space="preserve">≤ 1.25 D (%)</t>
  </si>
  <si>
    <t xml:space="preserve">≤ 1.50 D (%)</t>
  </si>
  <si>
    <t xml:space="preserve">≤ 1.75 D (%)</t>
  </si>
  <si>
    <t xml:space="preserve">≤ 2.00 D (%)</t>
  </si>
  <si>
    <t xml:space="preserve">&gt; 1.00 D (%)</t>
  </si>
  <si>
    <t xml:space="preserve">Centroid against zero (each cohort)</t>
  </si>
  <si>
    <t xml:space="preserve">P (Holm, cohorts of this vector)</t>
  </si>
  <si>
    <t xml:space="preserve">bootstrap projection-distance test (as in the WHWK functions) (B = 999)</t>
  </si>
  <si>
    <t xml:space="preserve">.001</t>
  </si>
  <si>
    <t xml:space="preserve">.002</t>
  </si>
  <si>
    <t xml:space="preserve">P at the bootstrap floor 1/B (B = 999): no bootstrap centroid lay farther from the centroid than zero</t>
  </si>
  <si>
    <t xml:space="preserve">.07</t>
  </si>
  <si>
    <t xml:space="preserve">.14</t>
  </si>
  <si>
    <t xml:space="preserve">.68</t>
  </si>
  <si>
    <t xml:space="preserve">Comparisons between cohorts</t>
  </si>
  <si>
    <t xml:space="preserve">Comparison</t>
  </si>
  <si>
    <t xml:space="preserve">Measure</t>
  </si>
  <si>
    <t xml:space="preserve">Values</t>
  </si>
  <si>
    <t xml:space="preserve">P (Holm, vs reference)</t>
  </si>
  <si>
    <t xml:space="preserve">P (Holm, family)</t>
  </si>
  <si>
    <t xml:space="preserve">Cohort A vs Reference</t>
  </si>
  <si>
    <t xml:space="preserve">Reference 0.45 D @ 90°; Cohort A 0.30 D @ 89°</t>
  </si>
  <si>
    <t xml:space="preserve">robust 20%-trimmed T², bootstrap (B = 999)</t>
  </si>
  <si>
    <t xml:space="preserve">.92</t>
  </si>
  <si>
    <t xml:space="preserve">Precision</t>
  </si>
  <si>
    <t xml:space="preserve">20%-trimmed mean: Reference 0.70 D; Cohort A 0.66 D</t>
  </si>
  <si>
    <t xml:space="preserve">robust 20%-trimmed means, bootstrap (B = 999)</t>
  </si>
  <si>
    <t xml:space="preserve">.48</t>
  </si>
  <si>
    <t xml:space="preserve">Mean magnitude</t>
  </si>
  <si>
    <t xml:space="preserve">20%-trimmed mean: Reference 0.80 D; Cohort A 0.70 D</t>
  </si>
  <si>
    <t xml:space="preserve">≤ 0.25 D</t>
  </si>
  <si>
    <t xml:space="preserve">Reference 12.8%; Cohort A 17.8%</t>
  </si>
  <si>
    <t xml:space="preserve">GEE (binomial, clustered by patient)</t>
  </si>
  <si>
    <t xml:space="preserve">.16</t>
  </si>
  <si>
    <t xml:space="preserve">≤ 0.50 D</t>
  </si>
  <si>
    <t xml:space="preserve">Reference 37.2%; Cohort A 45.4%</t>
  </si>
  <si>
    <t xml:space="preserve">.13</t>
  </si>
  <si>
    <t xml:space="preserve">≤ 0.75 D</t>
  </si>
  <si>
    <t xml:space="preserve">Reference 59.3%; Cohort A 66.9%</t>
  </si>
  <si>
    <t xml:space="preserve">.23</t>
  </si>
  <si>
    <t xml:space="preserve">≤ 1.00 D</t>
  </si>
  <si>
    <t xml:space="preserve">Reference 72.6%; Cohort A 79.1%</t>
  </si>
  <si>
    <t xml:space="preserve">.25</t>
  </si>
  <si>
    <t xml:space="preserve">≤ 1.25 D</t>
  </si>
  <si>
    <t xml:space="preserve">Reference 81.9%; Cohort A 89.0%</t>
  </si>
  <si>
    <t xml:space="preserve">.88</t>
  </si>
  <si>
    <t xml:space="preserve">≤ 1.50 D</t>
  </si>
  <si>
    <t xml:space="preserve">Reference 88.1%; Cohort A 96.3%</t>
  </si>
  <si>
    <t xml:space="preserve">.01</t>
  </si>
  <si>
    <t xml:space="preserve">≤ 1.75 D</t>
  </si>
  <si>
    <t xml:space="preserve">Reference 92.9%; Cohort A 98.8%</t>
  </si>
  <si>
    <t xml:space="preserve">.27</t>
  </si>
  <si>
    <t xml:space="preserve">≤ 2.00 D</t>
  </si>
  <si>
    <t xml:space="preserve">Reference 95.1%; Cohort A 98.8%</t>
  </si>
  <si>
    <t xml:space="preserve">Reference 0.44 D @ 180°; Cohort A 0.24 D @ 180°</t>
  </si>
  <si>
    <t xml:space="preserve">.28</t>
  </si>
  <si>
    <t xml:space="preserve">20%-trimmed mean: Reference 0.68 D; Cohort A 0.63 D</t>
  </si>
  <si>
    <t xml:space="preserve">.43</t>
  </si>
  <si>
    <t xml:space="preserve">&gt;.99</t>
  </si>
  <si>
    <t xml:space="preserve">20%-trimmed mean: Reference 0.79 D; Cohort A 0.65 D</t>
  </si>
  <si>
    <t xml:space="preserve">Reference 8.3%; Cohort A 9.4%</t>
  </si>
  <si>
    <t xml:space="preserve">Reference 28.9%; Cohort A 40.3%</t>
  </si>
  <si>
    <t xml:space="preserve">.04</t>
  </si>
  <si>
    <t xml:space="preserve">Reference 52.0%; Cohort A 63.8%</t>
  </si>
  <si>
    <t xml:space="preserve">.36</t>
  </si>
  <si>
    <t xml:space="preserve">Reference 68.1%; Cohort A 74.5%</t>
  </si>
  <si>
    <t xml:space="preserve">.29</t>
  </si>
  <si>
    <t xml:space="preserve">Reference 80.4%; Cohort A 85.9%</t>
  </si>
  <si>
    <t xml:space="preserve">.31</t>
  </si>
  <si>
    <t xml:space="preserve">Reference 87.7%; Cohort A 95.3%</t>
  </si>
  <si>
    <t xml:space="preserve">Reference 92.2%; Cohort A 98.0%</t>
  </si>
  <si>
    <t xml:space="preserve">Reference 94.1%; Cohort A 100.0%</t>
  </si>
  <si>
    <t xml:space="preserve">permutation test over patients, 999 permutations (GEE not fitted: a cohort at 0% or 100%)</t>
  </si>
  <si>
    <t xml:space="preserve">.11</t>
  </si>
  <si>
    <t xml:space="preserve">Reference 0.04 D @ 92°; Cohort A 0.01 D @ 76°</t>
  </si>
  <si>
    <t xml:space="preserve">.82</t>
  </si>
  <si>
    <t xml:space="preserve">20%-trimmed mean: Reference 0.25 D; Cohort A 0.25 D</t>
  </si>
  <si>
    <t xml:space="preserve">.67</t>
  </si>
  <si>
    <t xml:space="preserve">mean: Reference 0.27 D; Cohort A 0.24 D</t>
  </si>
  <si>
    <t xml:space="preserve">untrimmed bootstrap test (the trimmed statistic is not defined for these data) (B = 999)</t>
  </si>
  <si>
    <t xml:space="preserve">.08</t>
  </si>
  <si>
    <t xml:space="preserve">.58</t>
  </si>
  <si>
    <t xml:space="preserve">Reference 77.5%; Cohort A 89.3%</t>
  </si>
  <si>
    <t xml:space="preserve">.005</t>
  </si>
  <si>
    <t xml:space="preserve">Reference 94.6%; Cohort A 98.7%</t>
  </si>
  <si>
    <t xml:space="preserve">.09</t>
  </si>
  <si>
    <t xml:space="preserve">Reference 98.5%; Cohort A 100.0%</t>
  </si>
  <si>
    <t xml:space="preserve">.80</t>
  </si>
  <si>
    <t xml:space="preserve">Reference 99.5%; Cohort A 100.0%</t>
  </si>
  <si>
    <t xml:space="preserve">.66</t>
  </si>
  <si>
    <t xml:space="preserve">Reference 100.0%; Cohort A 100.0%</t>
  </si>
  <si>
    <t xml:space="preserve">Not tested</t>
  </si>
  <si>
    <t xml:space="preserve">Not estimable - every eye is within 1.50 D</t>
  </si>
  <si>
    <t xml:space="preserve">Not estimable - every eye is within 1.75 D</t>
  </si>
  <si>
    <t xml:space="preserve">Not estimable - every eye is within 2.00 D</t>
  </si>
  <si>
    <t xml:space="preserve">Preoperative vs postoperative refractive astigmatism, same eyes (McNemar)</t>
  </si>
  <si>
    <t xml:space="preserve">Interval</t>
  </si>
  <si>
    <t xml:space="preserve">Preop within (%)</t>
  </si>
  <si>
    <t xml:space="preserve">Postop within (%)</t>
  </si>
  <si>
    <t xml:space="preserve">Improved (preop above, postop within)</t>
  </si>
  <si>
    <t xml:space="preserve">Worsened (preop within, postop above)</t>
  </si>
  <si>
    <t xml:space="preserve">Chi-squared</t>
  </si>
  <si>
    <t xml:space="preserve">P (Holm, intervals of this cohort)</t>
  </si>
  <si>
    <t xml:space="preserve">McNemar, cluster-adjusted (Durkalski 2003)</t>
  </si>
  <si>
    <t xml:space="preserve">McNemar exact, cluster-level (sign test on patients; fewer than 25 discordant eyes)</t>
  </si>
  <si>
    <t xml:space="preserve">.02</t>
  </si>
  <si>
    <t xml:space="preserve">McNemar exact (binomial; fewer than 25 discordant eyes)</t>
  </si>
  <si>
    <t xml:space="preserve">Not estimable - no discordant eyes (every eye on the same side of the interval before and after)</t>
  </si>
  <si>
    <t xml:space="preserve">Right and left eyes (centroids)</t>
  </si>
  <si>
    <t xml:space="preserve">0.44 D @ 90°</t>
  </si>
  <si>
    <t xml:space="preserve">0.31 D @ 87°</t>
  </si>
  <si>
    <t xml:space="preserve">0.30 D @ 91°</t>
  </si>
  <si>
    <t xml:space="preserve">0.44 D @ 2°</t>
  </si>
  <si>
    <t xml:space="preserve">0.45 D @ 177°</t>
  </si>
  <si>
    <t xml:space="preserve">0.26 D @ 1°</t>
  </si>
  <si>
    <t xml:space="preserve">0.23 D @ 179°</t>
  </si>
  <si>
    <t xml:space="preserve">0.04 D @ 75°</t>
  </si>
  <si>
    <t xml:space="preserve">0.05 D @ 105°</t>
  </si>
  <si>
    <t xml:space="preserve">0.02 D @ 41°</t>
  </si>
  <si>
    <t xml:space="preserve">0.03 D @ 97°</t>
  </si>
  <si>
    <t xml:space="preserve">Region vertices (doubled-angle x, y)</t>
  </si>
  <si>
    <t xml:space="preserve">Region</t>
  </si>
  <si>
    <t xml:space="preserve">Vertex</t>
  </si>
  <si>
    <t xml:space="preserve">x (D)</t>
  </si>
  <si>
    <t xml:space="preserve">y (D)</t>
  </si>
  <si>
    <t xml:space="preserve">95% data polygon</t>
  </si>
  <si>
    <t xml:space="preserve">centroid 95% confidence polygon</t>
  </si>
  <si>
    <t xml:space="preserve">Method notes</t>
  </si>
  <si>
    <t xml:space="preserve">Vectors in plus-cylinder format (JCRS 2025): x = M cos 2θ, y = M sin 2θ, θ = plus axis; with-the-rule astigmatism to the left, against-the-rule to the right; SIA = postoperative - preoperative, PE = postoperative - target.</t>
  </si>
  <si>
    <t xml:space="preserve">Total SD = sqrt(σx² + σy²) with the population (N) denominator (Part II).</t>
  </si>
  <si>
    <t xml:space="preserve">Data region: 95% depth-based convex polygon (as in the WHWK functions) - the convex hull of the eyes whose depth (the smallest share of eyes on either side of the eye's projection, over the lines through the centroid and each eye; hull vertices take the smallest depth; steps of 1/n) is at least the depth of rank floor(0.05 n + 0.5); depths tie, so it can hold more than 95% of the eyes (the count is given); with fewer than 10 eyes the convex hull of all the eyes.</t>
  </si>
  <si>
    <t xml:space="preserve">Centroid 95% confidence region: bootstrap convex polygon of the centroid (as in the WHWK functions) - the convex hull of the bootstrap centroids nearest the centroid by projection distance (interquartile range by the ideal fourths), 999 bootstrap resamples with patients resampled (seed 20250602), keeping 95% of them for more than 120 resampling units and 95.5% to 98% for 120 or fewer.</t>
  </si>
  <si>
    <t xml:space="preserve">Tests: robust - centroid against zero by the bootstrap projection-distance test (as in the WHWK functions): 999 bootstrap centroids (seed 20250602, the resamples of the bootstrap convex polygon of the centroid) and the null point (0, 0) form one cloud, and P is the share of the bootstrap centroids whose projection distance from the centroid is greater than that of the null point (smallest P 1/B: P = .001 with B = 999 is the bootstrap floor); between cohorts, centroids by a 20%-trimmed Hotelling-type T² (pooled winsorized covariance), precision and mean magnitude by 20%-trimmed means (Yuen / Welch-type), each calibrated by 999 bootstrap resamples with patients resampled within each cohort (seed 20250601). Trimming and winsorizing by order statistics: g = floor(0.2 n) values at each end (Wilcox). A trimmed test is used only when its statistic exists in the data and in at least 95% of the resamples; otherwise the same bootstrap test runs untrimmed (ordinary means and covariance) and is labeled 'untrimmed bootstrap test (the trimmed statistic is not defined for these data)'. Resampling continues until exactly 999 usable resamples (at most 2997 drawn), else the test is not computed; each test is named with the variant that ran; cumulative intervals between cohorts by a binomial GEE clustered by patient (exchangeable working correlation; independence on a matched cohort or where a test is labeled so; robust SE (Mancl-DeRouen), t reference; Fisher's exact test with one eye per patient; when the GEE cannot be fitted - typically a cohort at 0% or 100% - a permutation test over patients: the cohort labels permuted across patients, the eyes of a patient kept together, 999 permutations, seed 20250601).</t>
  </si>
  <si>
    <t xml:space="preserve">Precision = each eye's distance to its cohort centroid.</t>
  </si>
  <si>
    <t xml:space="preserve">Cumulative intervals: magnitude ≤ 0.25, 0.50 ... 2.00 D (a magnitude on an interval edge counts as within it); the &gt; 1.00 D column is the complement of ≤ 1.00 D (the same test).</t>
  </si>
  <si>
    <t xml:space="preserve">Holm: 'P (Holm, family)' adjusts within each vector and each comparison (the omnibus, or one cohort vs the reference) across the family {centroid, precision, mean magnitude, ≤ 0.25 ... ≤ 2.00 D}; 'P (Holm, vs reference)' adjusts each measure across the cohorts compared with the reference (as the figures' 'vs' lines); the centroid-against-zero P across the cohorts of a vector; McNemar across the intervals of a cohort.</t>
  </si>
  <si>
    <t xml:space="preserve">McNemar: fewer than 25 discordant eyes - exact binomial test; otherwise the chi-squared test without continuity correction. Clustered by patient when a patient contributes two discordant eyes: below 25 discordant eyes the exact sign test on the patients' net changes, otherwise cluster-adjusted (Durkalski 2003); not estimable when the discordant eyes are from 1 patient.</t>
  </si>
  <si>
    <t xml:space="preserve">Right and left eyes are listed apart; left eyes are not mirrored.</t>
  </si>
  <si>
    <t xml:space="preserve">Patient ID</t>
  </si>
  <si>
    <t xml:space="preserve">Row label</t>
  </si>
  <si>
    <t xml:space="preserve">Magnitude (D)</t>
  </si>
  <si>
    <t xml:space="preserve">Plus axis (°)</t>
  </si>
  <si>
    <t xml:space="preserve">P0001</t>
  </si>
  <si>
    <t xml:space="preserve">P0001-OD</t>
  </si>
  <si>
    <t xml:space="preserve">PE</t>
  </si>
  <si>
    <t xml:space="preserve">P0001-OS</t>
  </si>
  <si>
    <t xml:space="preserve">P0002</t>
  </si>
  <si>
    <t xml:space="preserve">P0002-OD</t>
  </si>
  <si>
    <t xml:space="preserve">P0004</t>
  </si>
  <si>
    <t xml:space="preserve">P0004-OD</t>
  </si>
  <si>
    <t xml:space="preserve">P0004-OS</t>
  </si>
  <si>
    <t xml:space="preserve">P0006</t>
  </si>
  <si>
    <t xml:space="preserve">P0006-OD</t>
  </si>
  <si>
    <t xml:space="preserve">P0006-OS</t>
  </si>
  <si>
    <t xml:space="preserve">P0007</t>
  </si>
  <si>
    <t xml:space="preserve">P0007-OD</t>
  </si>
  <si>
    <t xml:space="preserve">P0008</t>
  </si>
  <si>
    <t xml:space="preserve">P0008-OD</t>
  </si>
  <si>
    <t xml:space="preserve">P0008-OS</t>
  </si>
  <si>
    <t xml:space="preserve">P0009</t>
  </si>
  <si>
    <t xml:space="preserve">P0009-OD</t>
  </si>
  <si>
    <t xml:space="preserve">P0010</t>
  </si>
  <si>
    <t xml:space="preserve">P0010-OD</t>
  </si>
  <si>
    <t xml:space="preserve">P0010-OS</t>
  </si>
  <si>
    <t xml:space="preserve">P0011</t>
  </si>
  <si>
    <t xml:space="preserve">P0011-OD</t>
  </si>
  <si>
    <t xml:space="preserve">P0011-OS</t>
  </si>
  <si>
    <t xml:space="preserve">P0012</t>
  </si>
  <si>
    <t xml:space="preserve">P0012-OD</t>
  </si>
  <si>
    <t xml:space="preserve">P0013</t>
  </si>
  <si>
    <t xml:space="preserve">P0013-OD</t>
  </si>
  <si>
    <t xml:space="preserve">P0013-OS</t>
  </si>
  <si>
    <t xml:space="preserve">P0014</t>
  </si>
  <si>
    <t xml:space="preserve">P0014-OD</t>
  </si>
  <si>
    <t xml:space="preserve">P0014-OS</t>
  </si>
  <si>
    <t xml:space="preserve">P0015</t>
  </si>
  <si>
    <t xml:space="preserve">P0015-OS</t>
  </si>
  <si>
    <t xml:space="preserve">P0016</t>
  </si>
  <si>
    <t xml:space="preserve">P0016-OS</t>
  </si>
  <si>
    <t xml:space="preserve">P0017</t>
  </si>
  <si>
    <t xml:space="preserve">P0017-OD</t>
  </si>
  <si>
    <t xml:space="preserve">P0017-OS</t>
  </si>
  <si>
    <t xml:space="preserve">P0018</t>
  </si>
  <si>
    <t xml:space="preserve">P0018-OD</t>
  </si>
  <si>
    <t xml:space="preserve">P0018-OS</t>
  </si>
  <si>
    <t xml:space="preserve">P0019</t>
  </si>
  <si>
    <t xml:space="preserve">P0019-OD</t>
  </si>
  <si>
    <t xml:space="preserve">P0019-OS</t>
  </si>
  <si>
    <t xml:space="preserve">P0020</t>
  </si>
  <si>
    <t xml:space="preserve">P0020-OD</t>
  </si>
  <si>
    <t xml:space="preserve">P0020-OS</t>
  </si>
  <si>
    <t xml:space="preserve">P0022</t>
  </si>
  <si>
    <t xml:space="preserve">P0022-OD</t>
  </si>
  <si>
    <t xml:space="preserve">P0022-OS</t>
  </si>
  <si>
    <t xml:space="preserve">P0023</t>
  </si>
  <si>
    <t xml:space="preserve">P0023-OS</t>
  </si>
  <si>
    <t xml:space="preserve">P0024</t>
  </si>
  <si>
    <t xml:space="preserve">P0024-OD</t>
  </si>
  <si>
    <t xml:space="preserve">P0028</t>
  </si>
  <si>
    <t xml:space="preserve">P0028-OD</t>
  </si>
  <si>
    <t xml:space="preserve">P0028-OS</t>
  </si>
  <si>
    <t xml:space="preserve">P0030</t>
  </si>
  <si>
    <t xml:space="preserve">P0030-OS</t>
  </si>
  <si>
    <t xml:space="preserve">P0033</t>
  </si>
  <si>
    <t xml:space="preserve">P0033-OS</t>
  </si>
  <si>
    <t xml:space="preserve">P0035</t>
  </si>
  <si>
    <t xml:space="preserve">P0035-OD</t>
  </si>
  <si>
    <t xml:space="preserve">P0037</t>
  </si>
  <si>
    <t xml:space="preserve">P0037-OD</t>
  </si>
  <si>
    <t xml:space="preserve">P0037-OS</t>
  </si>
  <si>
    <t xml:space="preserve">P0039</t>
  </si>
  <si>
    <t xml:space="preserve">P0039-OD</t>
  </si>
  <si>
    <t xml:space="preserve">P0039-OS</t>
  </si>
  <si>
    <t xml:space="preserve">P0040</t>
  </si>
  <si>
    <t xml:space="preserve">P0040-OD</t>
  </si>
  <si>
    <t xml:space="preserve">P0040-OS</t>
  </si>
  <si>
    <t xml:space="preserve">P0043</t>
  </si>
  <si>
    <t xml:space="preserve">P0043-OD</t>
  </si>
  <si>
    <t xml:space="preserve">P0044</t>
  </si>
  <si>
    <t xml:space="preserve">P0044-OS</t>
  </si>
  <si>
    <t xml:space="preserve">P0049</t>
  </si>
  <si>
    <t xml:space="preserve">P0049-OS</t>
  </si>
  <si>
    <t xml:space="preserve">P0050</t>
  </si>
  <si>
    <t xml:space="preserve">P0050-OD</t>
  </si>
  <si>
    <t xml:space="preserve">P0050-OS</t>
  </si>
  <si>
    <t xml:space="preserve">P0051</t>
  </si>
  <si>
    <t xml:space="preserve">P0051-OD</t>
  </si>
  <si>
    <t xml:space="preserve">P0051-OS</t>
  </si>
  <si>
    <t xml:space="preserve">P0053</t>
  </si>
  <si>
    <t xml:space="preserve">P0053-OD</t>
  </si>
  <si>
    <t xml:space="preserve">P0053-OS</t>
  </si>
  <si>
    <t xml:space="preserve">P0054</t>
  </si>
  <si>
    <t xml:space="preserve">P0054-OD</t>
  </si>
  <si>
    <t xml:space="preserve">P0054-OS</t>
  </si>
  <si>
    <t xml:space="preserve">P0055</t>
  </si>
  <si>
    <t xml:space="preserve">P0055-OD</t>
  </si>
  <si>
    <t xml:space="preserve">P0055-OS</t>
  </si>
  <si>
    <t xml:space="preserve">P0056</t>
  </si>
  <si>
    <t xml:space="preserve">P0056-OD</t>
  </si>
  <si>
    <t xml:space="preserve">P0056-OS</t>
  </si>
  <si>
    <t xml:space="preserve">P0057</t>
  </si>
  <si>
    <t xml:space="preserve">P0057-OD</t>
  </si>
  <si>
    <t xml:space="preserve">P0057-OS</t>
  </si>
  <si>
    <t xml:space="preserve">P0059</t>
  </si>
  <si>
    <t xml:space="preserve">P0059-OS</t>
  </si>
  <si>
    <t xml:space="preserve">P0062</t>
  </si>
  <si>
    <t xml:space="preserve">P0062-OD</t>
  </si>
  <si>
    <t xml:space="preserve">P0062-OS</t>
  </si>
  <si>
    <t xml:space="preserve">P0063</t>
  </si>
  <si>
    <t xml:space="preserve">P0063-OD</t>
  </si>
  <si>
    <t xml:space="preserve">P0063-OS</t>
  </si>
  <si>
    <t xml:space="preserve">P0064</t>
  </si>
  <si>
    <t xml:space="preserve">P0064-OD</t>
  </si>
  <si>
    <t xml:space="preserve">P0064-OS</t>
  </si>
  <si>
    <t xml:space="preserve">P0067</t>
  </si>
  <si>
    <t xml:space="preserve">P0067-OD</t>
  </si>
  <si>
    <t xml:space="preserve">P0067-OS</t>
  </si>
  <si>
    <t xml:space="preserve">P0069</t>
  </si>
  <si>
    <t xml:space="preserve">P0069-OD</t>
  </si>
  <si>
    <t xml:space="preserve">P0069-OS</t>
  </si>
  <si>
    <t xml:space="preserve">P0070</t>
  </si>
  <si>
    <t xml:space="preserve">P0070-OD</t>
  </si>
  <si>
    <t xml:space="preserve">P0070-OS</t>
  </si>
  <si>
    <t xml:space="preserve">P0073</t>
  </si>
  <si>
    <t xml:space="preserve">P0073-OD</t>
  </si>
  <si>
    <t xml:space="preserve">P0073-OS</t>
  </si>
  <si>
    <t xml:space="preserve">P0074</t>
  </si>
  <si>
    <t xml:space="preserve">P0074-OD</t>
  </si>
  <si>
    <t xml:space="preserve">P0074-OS</t>
  </si>
  <si>
    <t xml:space="preserve">P0075</t>
  </si>
  <si>
    <t xml:space="preserve">P0075-OD</t>
  </si>
  <si>
    <t xml:space="preserve">P0075-OS</t>
  </si>
  <si>
    <t xml:space="preserve">P0076</t>
  </si>
  <si>
    <t xml:space="preserve">P0076-OD</t>
  </si>
  <si>
    <t xml:space="preserve">P0076-OS</t>
  </si>
  <si>
    <t xml:space="preserve">P0079</t>
  </si>
  <si>
    <t xml:space="preserve">P0079-OD</t>
  </si>
  <si>
    <t xml:space="preserve">P0079-OS</t>
  </si>
  <si>
    <t xml:space="preserve">P0080</t>
  </si>
  <si>
    <t xml:space="preserve">P0080-OD</t>
  </si>
  <si>
    <t xml:space="preserve">P0080-OS</t>
  </si>
  <si>
    <t xml:space="preserve">P0081</t>
  </si>
  <si>
    <t xml:space="preserve">P0081-OD</t>
  </si>
  <si>
    <t xml:space="preserve">P0082</t>
  </si>
  <si>
    <t xml:space="preserve">P0082-OD</t>
  </si>
  <si>
    <t xml:space="preserve">P0082-OS</t>
  </si>
  <si>
    <t xml:space="preserve">P0084</t>
  </si>
  <si>
    <t xml:space="preserve">P0084-OD</t>
  </si>
  <si>
    <t xml:space="preserve">P0084-OS</t>
  </si>
  <si>
    <t xml:space="preserve">P0085</t>
  </si>
  <si>
    <t xml:space="preserve">P0085-OD</t>
  </si>
  <si>
    <t xml:space="preserve">P0085-OS</t>
  </si>
  <si>
    <t xml:space="preserve">P0088</t>
  </si>
  <si>
    <t xml:space="preserve">P0088-OD</t>
  </si>
  <si>
    <t xml:space="preserve">P0088-OS</t>
  </si>
  <si>
    <t xml:space="preserve">P0089</t>
  </si>
  <si>
    <t xml:space="preserve">P0089-OD</t>
  </si>
  <si>
    <t xml:space="preserve">P0089-OS</t>
  </si>
  <si>
    <t xml:space="preserve">P0090</t>
  </si>
  <si>
    <t xml:space="preserve">P0090-OD</t>
  </si>
  <si>
    <t xml:space="preserve">P0091</t>
  </si>
  <si>
    <t xml:space="preserve">P0091-OS</t>
  </si>
  <si>
    <t xml:space="preserve">P0092</t>
  </si>
  <si>
    <t xml:space="preserve">P0092-OD</t>
  </si>
  <si>
    <t xml:space="preserve">P0092-OS</t>
  </si>
  <si>
    <t xml:space="preserve">P0095</t>
  </si>
  <si>
    <t xml:space="preserve">P0095-OD</t>
  </si>
  <si>
    <t xml:space="preserve">P0095-OS</t>
  </si>
  <si>
    <t xml:space="preserve">P0096</t>
  </si>
  <si>
    <t xml:space="preserve">P0096-OS</t>
  </si>
  <si>
    <t xml:space="preserve">P0097</t>
  </si>
  <si>
    <t xml:space="preserve">P0097-OS</t>
  </si>
  <si>
    <t xml:space="preserve">P0098</t>
  </si>
  <si>
    <t xml:space="preserve">P0098-OD</t>
  </si>
  <si>
    <t xml:space="preserve">P0098-OS</t>
  </si>
  <si>
    <t xml:space="preserve">P0101</t>
  </si>
  <si>
    <t xml:space="preserve">P0101-OD</t>
  </si>
  <si>
    <t xml:space="preserve">P0101-OS</t>
  </si>
  <si>
    <t xml:space="preserve">P0102</t>
  </si>
  <si>
    <t xml:space="preserve">P0102-OD</t>
  </si>
  <si>
    <t xml:space="preserve">P0102-OS</t>
  </si>
  <si>
    <t xml:space="preserve">P0105</t>
  </si>
  <si>
    <t xml:space="preserve">P0105-OD</t>
  </si>
  <si>
    <t xml:space="preserve">P0105-OS</t>
  </si>
  <si>
    <t xml:space="preserve">P0106</t>
  </si>
  <si>
    <t xml:space="preserve">P0106-OD</t>
  </si>
  <si>
    <t xml:space="preserve">P0106-OS</t>
  </si>
  <si>
    <t xml:space="preserve">P0107</t>
  </si>
  <si>
    <t xml:space="preserve">P0107-OD</t>
  </si>
  <si>
    <t xml:space="preserve">P0107-OS</t>
  </si>
  <si>
    <t xml:space="preserve">P0108</t>
  </si>
  <si>
    <t xml:space="preserve">P0108-OD</t>
  </si>
  <si>
    <t xml:space="preserve">P0110</t>
  </si>
  <si>
    <t xml:space="preserve">P0110-OD</t>
  </si>
  <si>
    <t xml:space="preserve">P0111</t>
  </si>
  <si>
    <t xml:space="preserve">P0111-OD</t>
  </si>
  <si>
    <t xml:space="preserve">P0111-OS</t>
  </si>
  <si>
    <t xml:space="preserve">P0113</t>
  </si>
  <si>
    <t xml:space="preserve">P0113-OD</t>
  </si>
  <si>
    <t xml:space="preserve">P0113-OS</t>
  </si>
  <si>
    <t xml:space="preserve">P0117</t>
  </si>
  <si>
    <t xml:space="preserve">P0117-OD</t>
  </si>
  <si>
    <t xml:space="preserve">P0117-OS</t>
  </si>
  <si>
    <t xml:space="preserve">P0119</t>
  </si>
  <si>
    <t xml:space="preserve">P0119-OD</t>
  </si>
  <si>
    <t xml:space="preserve">P0119-OS</t>
  </si>
  <si>
    <t xml:space="preserve">P0120</t>
  </si>
  <si>
    <t xml:space="preserve">P0120-OD</t>
  </si>
  <si>
    <t xml:space="preserve">P0120-OS</t>
  </si>
  <si>
    <t xml:space="preserve">P0123</t>
  </si>
  <si>
    <t xml:space="preserve">P0123-OD</t>
  </si>
  <si>
    <t xml:space="preserve">P0123-OS</t>
  </si>
  <si>
    <t xml:space="preserve">P0126</t>
  </si>
  <si>
    <t xml:space="preserve">P0126-OD</t>
  </si>
  <si>
    <t xml:space="preserve">P0126-OS</t>
  </si>
  <si>
    <t xml:space="preserve">P0128</t>
  </si>
  <si>
    <t xml:space="preserve">P0128-OD</t>
  </si>
  <si>
    <t xml:space="preserve">P0130</t>
  </si>
  <si>
    <t xml:space="preserve">P0130-OD</t>
  </si>
  <si>
    <t xml:space="preserve">P0130-OS</t>
  </si>
  <si>
    <t xml:space="preserve">P0131</t>
  </si>
  <si>
    <t xml:space="preserve">P0131-OD</t>
  </si>
  <si>
    <t xml:space="preserve">P0131-OS</t>
  </si>
  <si>
    <t xml:space="preserve">P0132</t>
  </si>
  <si>
    <t xml:space="preserve">P0132-OS</t>
  </si>
  <si>
    <t xml:space="preserve">P0133</t>
  </si>
  <si>
    <t xml:space="preserve">P0133-OD</t>
  </si>
  <si>
    <t xml:space="preserve">P0133-OS</t>
  </si>
  <si>
    <t xml:space="preserve">P0134</t>
  </si>
  <si>
    <t xml:space="preserve">P0134-OD</t>
  </si>
  <si>
    <t xml:space="preserve">P0134-OS</t>
  </si>
  <si>
    <t xml:space="preserve">P0135</t>
  </si>
  <si>
    <t xml:space="preserve">P0135-OD</t>
  </si>
  <si>
    <t xml:space="preserve">P0136</t>
  </si>
  <si>
    <t xml:space="preserve">P0136-OD</t>
  </si>
  <si>
    <t xml:space="preserve">P0136-OS</t>
  </si>
  <si>
    <t xml:space="preserve">P0137</t>
  </si>
  <si>
    <t xml:space="preserve">P0137-OD</t>
  </si>
  <si>
    <t xml:space="preserve">P0137-OS</t>
  </si>
  <si>
    <t xml:space="preserve">P0138</t>
  </si>
  <si>
    <t xml:space="preserve">P0138-OD</t>
  </si>
  <si>
    <t xml:space="preserve">P0139</t>
  </si>
  <si>
    <t xml:space="preserve">P0139-OS</t>
  </si>
  <si>
    <t xml:space="preserve">P0140</t>
  </si>
  <si>
    <t xml:space="preserve">P0140-OD</t>
  </si>
  <si>
    <t xml:space="preserve">P0141</t>
  </si>
  <si>
    <t xml:space="preserve">P0141-OD</t>
  </si>
  <si>
    <t xml:space="preserve">P0141-OS</t>
  </si>
  <si>
    <t xml:space="preserve">P0142</t>
  </si>
  <si>
    <t xml:space="preserve">P0142-OS</t>
  </si>
  <si>
    <t xml:space="preserve">P0143</t>
  </si>
  <si>
    <t xml:space="preserve">P0143-OD</t>
  </si>
  <si>
    <t xml:space="preserve">P0143-OS</t>
  </si>
  <si>
    <t xml:space="preserve">P0149</t>
  </si>
  <si>
    <t xml:space="preserve">P0149-OS</t>
  </si>
  <si>
    <t xml:space="preserve">P0150</t>
  </si>
  <si>
    <t xml:space="preserve">P0150-OD</t>
  </si>
  <si>
    <t xml:space="preserve">P0150-OS</t>
  </si>
  <si>
    <t xml:space="preserve">P0151</t>
  </si>
  <si>
    <t xml:space="preserve">P0151-OD</t>
  </si>
  <si>
    <t xml:space="preserve">P0151-OS</t>
  </si>
  <si>
    <t xml:space="preserve">P0152</t>
  </si>
  <si>
    <t xml:space="preserve">P0152-OD</t>
  </si>
  <si>
    <t xml:space="preserve">P0152-OS</t>
  </si>
  <si>
    <t xml:space="preserve">P0154</t>
  </si>
  <si>
    <t xml:space="preserve">P0154-OD</t>
  </si>
  <si>
    <t xml:space="preserve">P0154-OS</t>
  </si>
  <si>
    <t xml:space="preserve">P0155</t>
  </si>
  <si>
    <t xml:space="preserve">P0155-OD</t>
  </si>
  <si>
    <t xml:space="preserve">P0156</t>
  </si>
  <si>
    <t xml:space="preserve">P0156-OD</t>
  </si>
  <si>
    <t xml:space="preserve">P0156-OS</t>
  </si>
  <si>
    <t xml:space="preserve">P0159</t>
  </si>
  <si>
    <t xml:space="preserve">P0159-OD</t>
  </si>
  <si>
    <t xml:space="preserve">P0159-OS</t>
  </si>
  <si>
    <t xml:space="preserve">P0160</t>
  </si>
  <si>
    <t xml:space="preserve">P0160-OS</t>
  </si>
  <si>
    <t xml:space="preserve">P0163</t>
  </si>
  <si>
    <t xml:space="preserve">P0163-OD</t>
  </si>
  <si>
    <t xml:space="preserve">P0163-OS</t>
  </si>
  <si>
    <t xml:space="preserve">P0164</t>
  </si>
  <si>
    <t xml:space="preserve">P0164-OD</t>
  </si>
  <si>
    <t xml:space="preserve">P0164-OS</t>
  </si>
  <si>
    <t xml:space="preserve">P0165</t>
  </si>
  <si>
    <t xml:space="preserve">P0165-OD</t>
  </si>
  <si>
    <t xml:space="preserve">P0166</t>
  </si>
  <si>
    <t xml:space="preserve">P0166-OD</t>
  </si>
  <si>
    <t xml:space="preserve">P0167</t>
  </si>
  <si>
    <t xml:space="preserve">P0167-OD</t>
  </si>
  <si>
    <t xml:space="preserve">P0167-OS</t>
  </si>
  <si>
    <t xml:space="preserve">P0168</t>
  </si>
  <si>
    <t xml:space="preserve">P0168-OD</t>
  </si>
  <si>
    <t xml:space="preserve">P0168-OS</t>
  </si>
  <si>
    <t xml:space="preserve">P0169</t>
  </si>
  <si>
    <t xml:space="preserve">P0169-OD</t>
  </si>
  <si>
    <t xml:space="preserve">P0169-OS</t>
  </si>
  <si>
    <t xml:space="preserve">P0170</t>
  </si>
  <si>
    <t xml:space="preserve">P0170-OD</t>
  </si>
  <si>
    <t xml:space="preserve">P0170-OS</t>
  </si>
  <si>
    <t xml:space="preserve">P0171</t>
  </si>
  <si>
    <t xml:space="preserve">P0171-OD</t>
  </si>
  <si>
    <t xml:space="preserve">P0171-OS</t>
  </si>
  <si>
    <t xml:space="preserve">P0172</t>
  </si>
  <si>
    <t xml:space="preserve">P0172-OS</t>
  </si>
  <si>
    <t xml:space="preserve">P0173</t>
  </si>
  <si>
    <t xml:space="preserve">P0173-OD</t>
  </si>
  <si>
    <t xml:space="preserve">P0173-OS</t>
  </si>
  <si>
    <t xml:space="preserve">P0174</t>
  </si>
  <si>
    <t xml:space="preserve">P0174-OD</t>
  </si>
  <si>
    <t xml:space="preserve">P0174-OS</t>
  </si>
  <si>
    <t xml:space="preserve">P0175</t>
  </si>
  <si>
    <t xml:space="preserve">P0175-OS</t>
  </si>
  <si>
    <t xml:space="preserve">P0176</t>
  </si>
  <si>
    <t xml:space="preserve">P0176-OS</t>
  </si>
  <si>
    <t xml:space="preserve">P0177</t>
  </si>
  <si>
    <t xml:space="preserve">P0177-OS</t>
  </si>
  <si>
    <t xml:space="preserve">P0178</t>
  </si>
  <si>
    <t xml:space="preserve">P0178-OD</t>
  </si>
  <si>
    <t xml:space="preserve">P0178-OS</t>
  </si>
  <si>
    <t xml:space="preserve">P0179</t>
  </si>
  <si>
    <t xml:space="preserve">P0179-OS</t>
  </si>
  <si>
    <t xml:space="preserve">P0181</t>
  </si>
  <si>
    <t xml:space="preserve">P0181-OS</t>
  </si>
  <si>
    <t xml:space="preserve">P0182</t>
  </si>
  <si>
    <t xml:space="preserve">P0182-OS</t>
  </si>
  <si>
    <t xml:space="preserve">P0184</t>
  </si>
  <si>
    <t xml:space="preserve">P0184-OS</t>
  </si>
  <si>
    <t xml:space="preserve">P0186</t>
  </si>
  <si>
    <t xml:space="preserve">P0186-OD</t>
  </si>
  <si>
    <t xml:space="preserve">P0186-OS</t>
  </si>
  <si>
    <t xml:space="preserve">P0187</t>
  </si>
  <si>
    <t xml:space="preserve">P0187-OD</t>
  </si>
  <si>
    <t xml:space="preserve">P0187-OS</t>
  </si>
  <si>
    <t xml:space="preserve">P0190</t>
  </si>
  <si>
    <t xml:space="preserve">P0190-OD</t>
  </si>
  <si>
    <t xml:space="preserve">P0190-OS</t>
  </si>
  <si>
    <t xml:space="preserve">P0191</t>
  </si>
  <si>
    <t xml:space="preserve">P0191-OD</t>
  </si>
  <si>
    <t xml:space="preserve">P0191-OS</t>
  </si>
  <si>
    <t xml:space="preserve">P0194</t>
  </si>
  <si>
    <t xml:space="preserve">P0194-OD</t>
  </si>
  <si>
    <t xml:space="preserve">P0194-OS</t>
  </si>
  <si>
    <t xml:space="preserve">P0195</t>
  </si>
  <si>
    <t xml:space="preserve">P0195-OD</t>
  </si>
  <si>
    <t xml:space="preserve">P0195-OS</t>
  </si>
  <si>
    <t xml:space="preserve">P0196</t>
  </si>
  <si>
    <t xml:space="preserve">P0196-OD</t>
  </si>
  <si>
    <t xml:space="preserve">P0196-OS</t>
  </si>
  <si>
    <t xml:space="preserve">P0197</t>
  </si>
  <si>
    <t xml:space="preserve">P0197-OD</t>
  </si>
  <si>
    <t xml:space="preserve">P0197-OS</t>
  </si>
  <si>
    <t xml:space="preserve">P0198</t>
  </si>
  <si>
    <t xml:space="preserve">P0198-OD</t>
  </si>
  <si>
    <t xml:space="preserve">P0198-OS</t>
  </si>
  <si>
    <t xml:space="preserve">P0200</t>
  </si>
  <si>
    <t xml:space="preserve">P0200-OS</t>
  </si>
  <si>
    <t xml:space="preserve">P0201</t>
  </si>
  <si>
    <t xml:space="preserve">P0201-OD</t>
  </si>
  <si>
    <t xml:space="preserve">P0201-OS</t>
  </si>
  <si>
    <t xml:space="preserve">P0203</t>
  </si>
  <si>
    <t xml:space="preserve">P0203-OD</t>
  </si>
  <si>
    <t xml:space="preserve">P0204</t>
  </si>
  <si>
    <t xml:space="preserve">P0204-OD</t>
  </si>
  <si>
    <t xml:space="preserve">P0204-OS</t>
  </si>
  <si>
    <t xml:space="preserve">P0205</t>
  </si>
  <si>
    <t xml:space="preserve">P0205-OD</t>
  </si>
  <si>
    <t xml:space="preserve">P0206</t>
  </si>
  <si>
    <t xml:space="preserve">P0206-OS</t>
  </si>
  <si>
    <t xml:space="preserve">P0208</t>
  </si>
  <si>
    <t xml:space="preserve">P0208-OD</t>
  </si>
  <si>
    <t xml:space="preserve">P0208-OS</t>
  </si>
  <si>
    <t xml:space="preserve">P0209</t>
  </si>
  <si>
    <t xml:space="preserve">P0209-OS</t>
  </si>
  <si>
    <t xml:space="preserve">P0211</t>
  </si>
  <si>
    <t xml:space="preserve">P0211-OD</t>
  </si>
  <si>
    <t xml:space="preserve">P0211-OS</t>
  </si>
  <si>
    <t xml:space="preserve">P0212</t>
  </si>
  <si>
    <t xml:space="preserve">P0212-OD</t>
  </si>
  <si>
    <t xml:space="preserve">P0212-OS</t>
  </si>
  <si>
    <t xml:space="preserve">P0214</t>
  </si>
  <si>
    <t xml:space="preserve">P0214-OD</t>
  </si>
  <si>
    <t xml:space="preserve">P0214-OS</t>
  </si>
  <si>
    <t xml:space="preserve">P0215</t>
  </si>
  <si>
    <t xml:space="preserve">P0215-OD</t>
  </si>
  <si>
    <t xml:space="preserve">P0216</t>
  </si>
  <si>
    <t xml:space="preserve">P0216-OD</t>
  </si>
  <si>
    <t xml:space="preserve">P0217</t>
  </si>
  <si>
    <t xml:space="preserve">P0217-OD</t>
  </si>
  <si>
    <t xml:space="preserve">P0217-OS</t>
  </si>
  <si>
    <t xml:space="preserve">P0218</t>
  </si>
  <si>
    <t xml:space="preserve">P0218-OD</t>
  </si>
  <si>
    <t xml:space="preserve">P0218-OS</t>
  </si>
  <si>
    <t xml:space="preserve">P0219</t>
  </si>
  <si>
    <t xml:space="preserve">P0219-OD</t>
  </si>
  <si>
    <t xml:space="preserve">P0219-OS</t>
  </si>
  <si>
    <t xml:space="preserve">P0220</t>
  </si>
  <si>
    <t xml:space="preserve">P0220-OD</t>
  </si>
  <si>
    <t xml:space="preserve">P0220-OS</t>
  </si>
  <si>
    <t xml:space="preserve">P0222</t>
  </si>
  <si>
    <t xml:space="preserve">P0222-OD</t>
  </si>
  <si>
    <t xml:space="preserve">P0222-OS</t>
  </si>
  <si>
    <t xml:space="preserve">P0223</t>
  </si>
  <si>
    <t xml:space="preserve">P0223-OD</t>
  </si>
  <si>
    <t xml:space="preserve">P0223-OS</t>
  </si>
  <si>
    <t xml:space="preserve">P0224</t>
  </si>
  <si>
    <t xml:space="preserve">P0224-OD</t>
  </si>
  <si>
    <t xml:space="preserve">P0224-OS</t>
  </si>
  <si>
    <t xml:space="preserve">P0225</t>
  </si>
  <si>
    <t xml:space="preserve">P0225-OS</t>
  </si>
  <si>
    <t xml:space="preserve">P0226</t>
  </si>
  <si>
    <t xml:space="preserve">P0226-OD</t>
  </si>
  <si>
    <t xml:space="preserve">P0226-OS</t>
  </si>
  <si>
    <t xml:space="preserve">P0227</t>
  </si>
  <si>
    <t xml:space="preserve">P0227-OS</t>
  </si>
  <si>
    <t xml:space="preserve">P0228</t>
  </si>
  <si>
    <t xml:space="preserve">P0228-OD</t>
  </si>
  <si>
    <t xml:space="preserve">P0228-OS</t>
  </si>
  <si>
    <t xml:space="preserve">P0230</t>
  </si>
  <si>
    <t xml:space="preserve">P0230-OS</t>
  </si>
  <si>
    <t xml:space="preserve">P0231</t>
  </si>
  <si>
    <t xml:space="preserve">P0231-OS</t>
  </si>
  <si>
    <t xml:space="preserve">P0232</t>
  </si>
  <si>
    <t xml:space="preserve">P0232-OD</t>
  </si>
  <si>
    <t xml:space="preserve">P0232-OS</t>
  </si>
  <si>
    <t xml:space="preserve">P0233</t>
  </si>
  <si>
    <t xml:space="preserve">P0233-OD</t>
  </si>
  <si>
    <t xml:space="preserve">P0233-OS</t>
  </si>
  <si>
    <t xml:space="preserve">P0234</t>
  </si>
  <si>
    <t xml:space="preserve">P0234-OD</t>
  </si>
  <si>
    <t xml:space="preserve">P0234-OS</t>
  </si>
  <si>
    <t xml:space="preserve">P0235</t>
  </si>
  <si>
    <t xml:space="preserve">P0235-OD</t>
  </si>
  <si>
    <t xml:space="preserve">P0235-OS</t>
  </si>
  <si>
    <t xml:space="preserve">P0236</t>
  </si>
  <si>
    <t xml:space="preserve">P0236-OD</t>
  </si>
  <si>
    <t xml:space="preserve">P0236-OS</t>
  </si>
  <si>
    <t xml:space="preserve">P0237</t>
  </si>
  <si>
    <t xml:space="preserve">P0237-OD</t>
  </si>
  <si>
    <t xml:space="preserve">P0239</t>
  </si>
  <si>
    <t xml:space="preserve">P0239-OD</t>
  </si>
  <si>
    <t xml:space="preserve">P0239-OS</t>
  </si>
  <si>
    <t xml:space="preserve">P0240</t>
  </si>
  <si>
    <t xml:space="preserve">P0240-OD</t>
  </si>
  <si>
    <t xml:space="preserve">P0240-OS</t>
  </si>
  <si>
    <t xml:space="preserve">P0241</t>
  </si>
  <si>
    <t xml:space="preserve">P0241-OD</t>
  </si>
  <si>
    <t xml:space="preserve">P0241-OS</t>
  </si>
  <si>
    <t xml:space="preserve">P0242</t>
  </si>
  <si>
    <t xml:space="preserve">P0242-OD</t>
  </si>
  <si>
    <t xml:space="preserve">P0248</t>
  </si>
  <si>
    <t xml:space="preserve">P0248-OD</t>
  </si>
  <si>
    <t xml:space="preserve">P0248-OS</t>
  </si>
  <si>
    <t xml:space="preserve">P0249</t>
  </si>
  <si>
    <t xml:space="preserve">P0249-OS</t>
  </si>
  <si>
    <t xml:space="preserve">P0250</t>
  </si>
  <si>
    <t xml:space="preserve">P0250-OD</t>
  </si>
  <si>
    <t xml:space="preserve">P0252</t>
  </si>
  <si>
    <t xml:space="preserve">P0252-OD</t>
  </si>
  <si>
    <t xml:space="preserve">P0252-OS</t>
  </si>
  <si>
    <t xml:space="preserve">P0254</t>
  </si>
  <si>
    <t xml:space="preserve">P0254-OD</t>
  </si>
  <si>
    <t xml:space="preserve">P0254-OS</t>
  </si>
  <si>
    <t xml:space="preserve">P0255</t>
  </si>
  <si>
    <t xml:space="preserve">P0255-OD</t>
  </si>
  <si>
    <t xml:space="preserve">P0256</t>
  </si>
  <si>
    <t xml:space="preserve">P0256-OD</t>
  </si>
  <si>
    <t xml:space="preserve">P0256-OS</t>
  </si>
  <si>
    <t xml:space="preserve">P0257</t>
  </si>
  <si>
    <t xml:space="preserve">P0257-OD</t>
  </si>
  <si>
    <t xml:space="preserve">P0257-OS</t>
  </si>
  <si>
    <t xml:space="preserve">P0258</t>
  </si>
  <si>
    <t xml:space="preserve">P0258-OD</t>
  </si>
  <si>
    <t xml:space="preserve">P0259</t>
  </si>
  <si>
    <t xml:space="preserve">P0259-OD</t>
  </si>
  <si>
    <t xml:space="preserve">P0259-OS</t>
  </si>
  <si>
    <t xml:space="preserve">P0260</t>
  </si>
  <si>
    <t xml:space="preserve">P0260-OD</t>
  </si>
  <si>
    <t xml:space="preserve">P0262</t>
  </si>
  <si>
    <t xml:space="preserve">P0262-OS</t>
  </si>
  <si>
    <t xml:space="preserve">P0263</t>
  </si>
  <si>
    <t xml:space="preserve">P0263-OD</t>
  </si>
  <si>
    <t xml:space="preserve">P0263-OS</t>
  </si>
  <si>
    <t xml:space="preserve">P0264</t>
  </si>
  <si>
    <t xml:space="preserve">P0264-OD</t>
  </si>
  <si>
    <t xml:space="preserve">P0265</t>
  </si>
  <si>
    <t xml:space="preserve">P0265-OD</t>
  </si>
  <si>
    <t xml:space="preserve">P0266</t>
  </si>
  <si>
    <t xml:space="preserve">P0266-OD</t>
  </si>
  <si>
    <t xml:space="preserve">P0266-OS</t>
  </si>
  <si>
    <t xml:space="preserve">P0270</t>
  </si>
  <si>
    <t xml:space="preserve">P0270-OD</t>
  </si>
  <si>
    <t xml:space="preserve">P0270-OS</t>
  </si>
  <si>
    <t xml:space="preserve">P0271</t>
  </si>
  <si>
    <t xml:space="preserve">P0271-OD</t>
  </si>
  <si>
    <t xml:space="preserve">P0271-OS</t>
  </si>
  <si>
    <t xml:space="preserve">P0272</t>
  </si>
  <si>
    <t xml:space="preserve">P0272-OD</t>
  </si>
  <si>
    <t xml:space="preserve">P0272-OS</t>
  </si>
  <si>
    <t xml:space="preserve">P0274</t>
  </si>
  <si>
    <t xml:space="preserve">P0274-OD</t>
  </si>
  <si>
    <t xml:space="preserve">P0274-OS</t>
  </si>
  <si>
    <t xml:space="preserve">P0275</t>
  </si>
  <si>
    <t xml:space="preserve">P0275-OD</t>
  </si>
  <si>
    <t xml:space="preserve">P0275-OS</t>
  </si>
  <si>
    <t xml:space="preserve">P0276</t>
  </si>
  <si>
    <t xml:space="preserve">P0276-OD</t>
  </si>
  <si>
    <t xml:space="preserve">P0276-OS</t>
  </si>
  <si>
    <t xml:space="preserve">P0278</t>
  </si>
  <si>
    <t xml:space="preserve">P0278-OD</t>
  </si>
  <si>
    <t xml:space="preserve">P0278-OS</t>
  </si>
  <si>
    <t xml:space="preserve">P0279</t>
  </si>
  <si>
    <t xml:space="preserve">P0279-OD</t>
  </si>
  <si>
    <t xml:space="preserve">P0280</t>
  </si>
  <si>
    <t xml:space="preserve">P0280-OD</t>
  </si>
  <si>
    <t xml:space="preserve">P0280-OS</t>
  </si>
  <si>
    <t xml:space="preserve">P0281</t>
  </si>
  <si>
    <t xml:space="preserve">P0281-OD</t>
  </si>
  <si>
    <t xml:space="preserve">P0281-OS</t>
  </si>
  <si>
    <t xml:space="preserve">P0282</t>
  </si>
  <si>
    <t xml:space="preserve">P0282-OD</t>
  </si>
  <si>
    <t xml:space="preserve">P0282-OS</t>
  </si>
  <si>
    <t xml:space="preserve">P0285</t>
  </si>
  <si>
    <t xml:space="preserve">P0285-OD</t>
  </si>
  <si>
    <t xml:space="preserve">P0285-OS</t>
  </si>
  <si>
    <t xml:space="preserve">P0288</t>
  </si>
  <si>
    <t xml:space="preserve">P0288-OS</t>
  </si>
  <si>
    <t xml:space="preserve">P0292</t>
  </si>
  <si>
    <t xml:space="preserve">P0292-OD</t>
  </si>
  <si>
    <t xml:space="preserve">P0292-OS</t>
  </si>
  <si>
    <t xml:space="preserve">P0294</t>
  </si>
  <si>
    <t xml:space="preserve">P0294-OD</t>
  </si>
  <si>
    <t xml:space="preserve">P0296</t>
  </si>
  <si>
    <t xml:space="preserve">P0296-OD</t>
  </si>
  <si>
    <t xml:space="preserve">P0296-OS</t>
  </si>
  <si>
    <t xml:space="preserve">P0297</t>
  </si>
  <si>
    <t xml:space="preserve">P0297-OD</t>
  </si>
  <si>
    <t xml:space="preserve">P0300</t>
  </si>
  <si>
    <t xml:space="preserve">P0300-OD</t>
  </si>
  <si>
    <t xml:space="preserve">P0300-OS</t>
  </si>
  <si>
    <t xml:space="preserve">P0303</t>
  </si>
  <si>
    <t xml:space="preserve">P0303-OD</t>
  </si>
  <si>
    <t xml:space="preserve">P0303-OS</t>
  </si>
  <si>
    <t xml:space="preserve">P0304</t>
  </si>
  <si>
    <t xml:space="preserve">P0304-OD</t>
  </si>
  <si>
    <t xml:space="preserve">P0306</t>
  </si>
  <si>
    <t xml:space="preserve">P0306-OD</t>
  </si>
  <si>
    <t xml:space="preserve">P0306-OS</t>
  </si>
  <si>
    <t xml:space="preserve">P0307</t>
  </si>
  <si>
    <t xml:space="preserve">P0307-OD</t>
  </si>
  <si>
    <t xml:space="preserve">P0307-OS</t>
  </si>
  <si>
    <t xml:space="preserve">P0309</t>
  </si>
  <si>
    <t xml:space="preserve">P0309-OD</t>
  </si>
  <si>
    <t xml:space="preserve">P0309-OS</t>
  </si>
  <si>
    <t xml:space="preserve">P0310</t>
  </si>
  <si>
    <t xml:space="preserve">P0310-OD</t>
  </si>
  <si>
    <t xml:space="preserve">P0310-OS</t>
  </si>
  <si>
    <t xml:space="preserve">P0311</t>
  </si>
  <si>
    <t xml:space="preserve">P0311-OD</t>
  </si>
  <si>
    <t xml:space="preserve">P0311-OS</t>
  </si>
  <si>
    <t xml:space="preserve">P0313</t>
  </si>
  <si>
    <t xml:space="preserve">P0313-OD</t>
  </si>
  <si>
    <t xml:space="preserve">P0314</t>
  </si>
  <si>
    <t xml:space="preserve">P0314-OD</t>
  </si>
  <si>
    <t xml:space="preserve">P0314-OS</t>
  </si>
  <si>
    <t xml:space="preserve">P0315</t>
  </si>
  <si>
    <t xml:space="preserve">P0315-OS</t>
  </si>
  <si>
    <t xml:space="preserve">P0317</t>
  </si>
  <si>
    <t xml:space="preserve">P0317-OD</t>
  </si>
  <si>
    <t xml:space="preserve">SIA</t>
  </si>
  <si>
    <t xml:space="preserve">PRE</t>
  </si>
  <si>
    <t xml:space="preserve">P0029</t>
  </si>
  <si>
    <t xml:space="preserve">P0029-OD</t>
  </si>
  <si>
    <t xml:space="preserve">P0029-OS</t>
  </si>
  <si>
    <t xml:space="preserve">P0031</t>
  </si>
  <si>
    <t xml:space="preserve">P0031-OD</t>
  </si>
  <si>
    <t xml:space="preserve">P0031-OS</t>
  </si>
  <si>
    <t xml:space="preserve">P0048</t>
  </si>
  <si>
    <t xml:space="preserve">P0048-OD</t>
  </si>
  <si>
    <t xml:space="preserve">P0048-OS</t>
  </si>
  <si>
    <t xml:space="preserve">P0072</t>
  </si>
  <si>
    <t xml:space="preserve">P0072-OS</t>
  </si>
  <si>
    <t xml:space="preserve">P0087</t>
  </si>
  <si>
    <t xml:space="preserve">P0087-OD</t>
  </si>
  <si>
    <t xml:space="preserve">P0087-OS</t>
  </si>
  <si>
    <t xml:space="preserve">P0093</t>
  </si>
  <si>
    <t xml:space="preserve">P0093-OD</t>
  </si>
  <si>
    <t xml:space="preserve">P0093-OS</t>
  </si>
  <si>
    <t xml:space="preserve">P0100</t>
  </si>
  <si>
    <t xml:space="preserve">P0100-OD</t>
  </si>
  <si>
    <t xml:space="preserve">P0100-OS</t>
  </si>
  <si>
    <t xml:space="preserve">P0103</t>
  </si>
  <si>
    <t xml:space="preserve">P0103-OD</t>
  </si>
  <si>
    <t xml:space="preserve">P0103-OS</t>
  </si>
  <si>
    <t xml:space="preserve">P0114</t>
  </si>
  <si>
    <t xml:space="preserve">P0114-OS</t>
  </si>
  <si>
    <t xml:space="preserve">P0115</t>
  </si>
  <si>
    <t xml:space="preserve">P0115-OS</t>
  </si>
  <si>
    <t xml:space="preserve">P0124</t>
  </si>
  <si>
    <t xml:space="preserve">P0124-OD</t>
  </si>
  <si>
    <t xml:space="preserve">P0124-OS</t>
  </si>
  <si>
    <t xml:space="preserve">P0146</t>
  </si>
  <si>
    <t xml:space="preserve">P0146-OD</t>
  </si>
  <si>
    <t xml:space="preserve">P0146-OS</t>
  </si>
  <si>
    <t xml:space="preserve">P0147</t>
  </si>
  <si>
    <t xml:space="preserve">P0147-OD</t>
  </si>
  <si>
    <t xml:space="preserve">P0147-OS</t>
  </si>
  <si>
    <t xml:space="preserve">P0188</t>
  </si>
  <si>
    <t xml:space="preserve">P0188-OD</t>
  </si>
  <si>
    <t xml:space="preserve">P0188-OS</t>
  </si>
  <si>
    <t xml:space="preserve">P0199</t>
  </si>
  <si>
    <t xml:space="preserve">P0199-OD</t>
  </si>
  <si>
    <t xml:space="preserve">P0199-OS</t>
  </si>
  <si>
    <t xml:space="preserve">P0245</t>
  </si>
  <si>
    <t xml:space="preserve">P0245-OD</t>
  </si>
  <si>
    <t xml:space="preserve">P0245-OS</t>
  </si>
  <si>
    <t xml:space="preserve">P0246</t>
  </si>
  <si>
    <t xml:space="preserve">P0246-OD</t>
  </si>
  <si>
    <t xml:space="preserve">P0268</t>
  </si>
  <si>
    <t xml:space="preserve">P0268-OD</t>
  </si>
  <si>
    <t xml:space="preserve">P0268-OS</t>
  </si>
  <si>
    <t xml:space="preserve">P0286</t>
  </si>
  <si>
    <t xml:space="preserve">P0286-OD</t>
  </si>
  <si>
    <t xml:space="preserve">P0289</t>
  </si>
  <si>
    <t xml:space="preserve">P0289-OS</t>
  </si>
  <si>
    <t xml:space="preserve">P0312</t>
  </si>
  <si>
    <t xml:space="preserve">P0312-OD</t>
  </si>
  <si>
    <t xml:space="preserve">P0312-OS</t>
  </si>
  <si>
    <t xml:space="preserve">POST</t>
  </si>
  <si>
    <t xml:space="preserve">TIA (Alpins)</t>
  </si>
  <si>
    <t xml:space="preserve">DV (Alpins)</t>
  </si>
  <si>
    <t xml:space="preserve">Setting</t>
  </si>
  <si>
    <t xml:space="preserve">StandardEyes version</t>
  </si>
  <si>
    <t xml:space="preserve">1.1.0</t>
  </si>
  <si>
    <t xml:space="preserve">Build</t>
  </si>
  <si>
    <t xml:space="preserve">2026-10-04-se.10</t>
  </si>
  <si>
    <t xml:space="preserve">Run duration (s)</t>
  </si>
  <si>
    <t xml:space="preserve">37.0 (seconds, the whole run: tables, workbooks and figures)</t>
  </si>
  <si>
    <t xml:space="preserve">R version</t>
  </si>
  <si>
    <t xml:space="preserve">R version 4.5.2 (2025-10-31 ucrt)</t>
  </si>
  <si>
    <t xml:space="preserve">MatchIt</t>
  </si>
  <si>
    <t xml:space="preserve">4.7.2</t>
  </si>
  <si>
    <t xml:space="preserve">cobalt</t>
  </si>
  <si>
    <t xml:space="preserve">4.6.1</t>
  </si>
  <si>
    <t xml:space="preserve">geepack</t>
  </si>
  <si>
    <t xml:space="preserve">1.3.13</t>
  </si>
  <si>
    <t xml:space="preserve">ggplot2</t>
  </si>
  <si>
    <t xml:space="preserve">4.0.1</t>
  </si>
  <si>
    <t xml:space="preserve">openxlsx</t>
  </si>
  <si>
    <t xml:space="preserve">4.2.8.1</t>
  </si>
  <si>
    <t xml:space="preserve">Run time</t>
  </si>
  <si>
    <t xml:space="preserve">2026-10-14 02:53:18</t>
  </si>
  <si>
    <t xml:space="preserve">Input file</t>
  </si>
  <si>
    <t xml:space="preserve">Example_Refractive_Dataset.xlsx</t>
  </si>
  <si>
    <t xml:space="preserve">Sheet</t>
  </si>
  <si>
    <t xml:space="preserve">sheet 1 ('Surgeries')</t>
  </si>
  <si>
    <t xml:space="preserve">Input MD5 checksum</t>
  </si>
  <si>
    <t xml:space="preserve">3af4f7a64806cc95d503cf6567ddd3a0</t>
  </si>
  <si>
    <t xml:space="preserve">Run / subset</t>
  </si>
  <si>
    <t xml:space="preserve">All (all rows)</t>
  </si>
  <si>
    <t xml:space="preserve">Rows analyzed</t>
  </si>
  <si>
    <t xml:space="preserve">'PatientID'</t>
  </si>
  <si>
    <t xml:space="preserve">Reference = 226; Cohort A = 163</t>
  </si>
  <si>
    <t xml:space="preserve">Reference group</t>
  </si>
  <si>
    <t xml:space="preserve">Filter rules</t>
  </si>
  <si>
    <t xml:space="preserve">Age_Years &gt;= 18; FollowUp_Days between 150 and 210; SurgeryNumber == 1; |Preop_Cylinder_D| &lt;= 5 (a row with a missing value is kept by every rule except 'is missing' / 'is not missing')</t>
  </si>
  <si>
    <t xml:space="preserve">Variables</t>
  </si>
  <si>
    <t xml:space="preserve">Baseline - continuous: Age_Years, Preop_SEQ_D, Preop_Sphere_D, Preop_Cylinder_D, Preop_UDVA, Preop_CDVA, Preop_Pachymetry_um, Preop_Mean_K_D; ordinal: Preop_DryEye_Grade; dichotomous: Sex, Smoker; categorical: Surgeon | Preoperative - continuous: Optical_Zone_mm, Ablation_or_Lenticule_Depth_um; categorical: Procedure | Outcome - continuous: FollowUp_Days, Postop_SEQ_D, Postop_Cylinder_D, Postop_UDVA, Postop_CDVA; ordinal: Postop_Haze_Grade, Patient_Satisfaction_1to5; dichotomous: DryEye_Symptoms, Retreatment_Required; categorical: Complication_Type | preferred levels: Sex = 'F', Smoker = 'Yes', DryEye_Symptoms = 'Yes', Retreatment_Required = 'Yes' | per-patient variables: Age_Years, Sex, Smoker, Optical_Zone_mm, Surgeon</t>
  </si>
  <si>
    <t xml:space="preserve">VA notation</t>
  </si>
  <si>
    <t xml:space="preserve">decimal (1.0 = 20/20)</t>
  </si>
  <si>
    <t xml:space="preserve">logMAR conversion</t>
  </si>
  <si>
    <t xml:space="preserve">on: Preop_UDVA, Preop_CDVA, Postop_UDVA, Postop_CDVA; acuity cells and figure headers read the Snellen geometric mean (logMAR mean ± SD), the table range in Snellen</t>
  </si>
  <si>
    <t xml:space="preserve">Matching</t>
  </si>
  <si>
    <t xml:space="preserve">off</t>
  </si>
  <si>
    <t xml:space="preserve">GEE small-sample inference</t>
  </si>
  <si>
    <t xml:space="preserve">md - Mancl-DeRouen bias-corrected robust standard errors with a t reference for single comparisons and intervals and an F reference for joint tests (df = patients - model coefficients)</t>
  </si>
  <si>
    <t xml:space="preserve">GEE working correlation</t>
  </si>
  <si>
    <t xml:space="preserve">exchangeable, kept only if the fit converged, its working correlation is below 0.95 and one further scoring step moves no coefficient by more than 0.01 SE - otherwise refitted with an independence working correlation and labeled so (sheets, tables, figures, run log); independence on matched cohorts; variables marked per patient are modeled on one row per patient by an ordinary linear or logistic model (on matched cohorts by an independence GEE with the robust SE clustered by patient), never by an eye-level GEE</t>
  </si>
  <si>
    <t xml:space="preserve">Table tests</t>
  </si>
  <si>
    <t xml:space="preserve">auto - patient-clustered GEE (continuous: Gaussian; ordinal: on ranks; dichotomous: binomial; categorical: stacked level indicators; more than two groups: joint test; exchangeable working correlation, independence for the stacked level indicators, on matched cohorts and where a refit is labeled) for every per-eye row in which a patient has two analyzed eyes, a permutation test over patients where that GEE cannot be fitted; classical (Welch t-test / Welch ANOVA, Wilcoxon / Kruskal-Wallis, chi-squared / Fisher's exact) for one eye per patient and for per-patient rows (on a matched cohort the per-patient rows get the independence GEE on one row per patient, weighted when the matching weights are unequal); a matched cohort with unequal weights: weighted Wald tests (GEE) on every row</t>
  </si>
  <si>
    <t xml:space="preserve">Multiplicity</t>
  </si>
  <si>
    <t xml:space="preserve">Holm within each variable across the comparisons of each group with the reference (summary-table GEE and adjusted columns, tagged [Holm]; regression 'P (Holm)' and 'Crude P (Holm), same eyes'; figure 'vs reference' lines, from the same GEE of all groups as the GEE column when the figure's test is a GEE); omnibus P values and single comparisons unadjusted; the 95% CIs are not adjusted, so a CI can exclude the null while the adjusted P is .05 or more</t>
  </si>
  <si>
    <t xml:space="preserve">GEE stage</t>
  </si>
  <si>
    <t xml:space="preserve">none</t>
  </si>
  <si>
    <t xml:space="preserve">GEE adjustment covariates</t>
  </si>
  <si>
    <t xml:space="preserve">GEE columns in summary tables</t>
  </si>
  <si>
    <t xml:space="preserve">Regression</t>
  </si>
  <si>
    <t xml:space="preserve">Minus-cyl standardization</t>
  </si>
  <si>
    <t xml:space="preserve">on</t>
  </si>
  <si>
    <t xml:space="preserve">Astigmatism vectors</t>
  </si>
  <si>
    <t xml:space="preserve">plus-cylinder format (JCRS 2025), converted by the sign of each cylinder whatever the minus-cylinder switch; with-the-rule on the left of the double-angle plots; SIA = postoperative - preoperative, PE = postoperative - target; total SD with the N denominator</t>
  </si>
  <si>
    <t xml:space="preserve">Astigmatism test</t>
  </si>
  <si>
    <t xml:space="preserve">robust - centroid against zero by the bootstrap projection-distance test (as in the WHWK functions; 999 bootstrap centroids, patients resampled, seed 20250602; untrimmed; P = .001 is the bootstrap floor 1/B); between cohorts 20%-trimmed mean vectors with the pooled winsorized covariance, precision and mean magnitude by trimmed means (trimming and winsorizing by order statistics, g = floor(0.2 n), Wilcox), bootstrap resampling patients within each cohort B = 999 usable resamples, seed 20250601; a trimmed test whose statistic does not exist in the data or in more than 5% of the resamples is run untrimmed - ordinary means and covariance, same bootstrap - and labeled so on the astigmatism sheet and the figure legends</t>
  </si>
  <si>
    <t xml:space="preserve">Astigmatism regions</t>
  </si>
  <si>
    <t xml:space="preserve">data: 95% depth-based convex polygon (as in the WHWK functions) (eyes of depth at least that of rank floor(0.05 n + 0.5); the convex hull of all eyes below 10 eyes); centroid: bootstrap convex polygon of the centroid (as in the WHWK functions) (999 bootstrap centroids, projection distance, 95% to 98% kept by the number of resampling units; seed 20250602); input files for the WHWK functions in the 'WHWK input' sub-folder of the run's figure folder (Graphs_...)</t>
  </si>
  <si>
    <t xml:space="preserve">mEYEstro intended refraction</t>
  </si>
  <si>
    <t xml:space="preserve">SEQ from 'Target_SEQ_D'; no cylinder (no astigmatism target mapped); vertex distance 12 mm assumed</t>
  </si>
  <si>
    <t xml:space="preserve">mEYEstro refraction notation</t>
  </si>
  <si>
    <t xml:space="preserve">minus cylinder (plus-cylinder rows transposed in the tab only)</t>
  </si>
  <si>
    <t xml:space="preserve">Random seeds</t>
  </si>
  <si>
    <t xml:space="preserve">bootstrap and Monte-Carlo exact tests 20250601; astigmatism centroid confidence regions and centroid-against-zero tests 20250602 (fixed, set locally; identical settings give identical results)</t>
  </si>
  <si>
    <t xml:space="preserve">P value style</t>
  </si>
  <si>
    <t xml:space="preserve">ama - two decimals, three below .01 (more only where needed to stay below .05), an exact half rounded up, no leading zero, &lt;.001 and &gt;.99</t>
  </si>
  <si>
    <t xml:space="preserve">Figures</t>
  </si>
  <si>
    <t xml:space="preserve">journal style (no frames, section bands, captions or shaded wedges; titles, method text and abbreviations in &lt;figure&gt;_legend.txt); width as designed; TIFF at 600 dpi; RGB color</t>
  </si>
  <si>
    <t xml:space="preserve">Figure P values</t>
  </si>
  <si>
    <t xml:space="preserve">clustered by patient (GEE, exchangeable working correlation - independence on matched cohorts and where a test is labeled so; robust SE (Mancl-DeRouen), t reference; F for joint tests) wherever a patient has two analyzed eyes; classical tests for one eye per patient; a GEE that cannot be fitted: a permutation test over patients, labeled 'GEE not fitted'</t>
  </si>
  <si>
    <t xml:space="preserve">Settings (JSON)</t>
  </si>
  <si>
    <t xml:space="preserve">{"file_path":"Example_Refractive_Dataset.xlsx","sheet_name":1,"guess_max":120000,"patient_id_raw":"PatientID","eye_id_raw":"EyeID","group_source_var":"Cohort","patient_level_params_raw":["Age_Years","Sex","Smoker","Optical_Zone_mm","Surgeon"],"exclude_params_raw":[],"age_var":"Age_Years","fu_var":"FollowUp_Days","sex_var":"Sex","baseline":{"continuous":["Age_Years","Preop_SEQ_D","Preop_Sphere_D","Preop_Cylinder_D","Preop_UDVA","Preop_CDVA","Preop_Pachymetry_um","Preop_Mean_K_D"],"ordinal":["Preop_DryEye_Grade"],"dichotomous":["Sex","Smoker"],"categorical":["Surgeon"]},"preop":{"continuous":["Optical_Zone_mm","Ablation_or_Lenticule_Depth_um"],"ordinal":[],"dichotomous":[],"categorical":["Procedure"]},"outcome":{"continuous":["FollowUp_Days","Postop_SEQ_D","Postop_Cylinder_D","Postop_UDVA","Postop_CDVA"],"ordinal":["Postop_Haze_Grade","Patient_Satisfaction_1to5"],"dichotomous":["DryEye_Symptoms","Retreatment_Required"],"categorical":["Complication_Type"]},"within_group":{"continuous":[],"ordinal":[],"dichotomous":[],"categorical":[]},"within_group_levels":{},"filter_rules":[{"var":"Age_Years","op":"&gt;=","value":[18]},{"var":"FollowUp_Days","op":"between","value":[150,210]},{"var":"SurgeryNumber","op":"==","value":[1]},{"var":"Preop_Cylinder_D","op":"abs_le","value":[5]}],"groups":{"Reference":["Reference"],"Cohort A":["Cohort A"]},"reference_group":"Reference","group_colors":{"Reference":"#5B2C86","Cohort A":"#F26522","Cohort B":"#1B9E4B"},"group_labels":{},"do_matching":false,"psm_covariates_raw":[],"psm_method":"nearest","psm_distance":"linear.logit","psm_ratio":2,"psm_replace":false,"psm_caliper":0.2,"psm_std_caliper":true,"psm_m_order":"largest","run_gee_stage":"none","run_main_gee":false,"run_adjusted_gee":false,"gee_adjust_covariates_raw":[],"use_matching_weights_in_gee":true,"add_gee_columns":true,"gee_source_for_tables":"main","do_regression":false,"regression_stage":"unmatched","regression_covariates_raw":[],"subset_col_raw":"","subsets":{},"subset_mode":"separate","do_standardize_minus_cyl":true,"std_triples":[{"sph":"Preop_Sphere_D","cyl":"Preop_Cylinder_D","axis":"Preop_Axis_Deg"},{"sph":"Postop_Sphere_D","cyl":"Postop_Cylinder_D","axis":"Postop_Axis_Deg"}],"std_sph_raw":"Preop_Sphere_D","std_cyl_raw":"Preop_Cylinder_D","std_axis_raw":"Preop_Axis_Deg","do_logmar":true,"logmar_cols_raw":["Preop_UDVA","Preop_CDVA","Postop_UDVA","Postop_CDVA"],"make_meyestro":true,"make_alpins":true,"make_pub_table":true,"make_graphs":true,"graph_set":"nine","graph_formats":["tiff"],"graph_dpi":600,"astig_panels":true,"double_angle_figs":true,"semicircle_figs":true,"astig_region":"polygon","astig_jcrs_standard":true,"astig_test_method":"robust","cluster_by_patient":true,"stability_figs":true,"stability_visits":[{"label":"1","time":"Visit1_Days_PostOp","sph":"Visit1_Sphere_D","cyl":"Visit1_Cylinder_D","seq":"Visit1_SEQ_D"},{"label":"3","time":"Visit2_Days_PostOp","sph":"Visit2_Sphere_D","cyl":"Visit2_Cylinder_D","seq":""},{"label":"6","time":"Visit3_Days_PostOp","sph":"Visit3_Sphere_D","cyl":"Visit3_Cylinder_D","seq":"Visit3_SEQ_D"},{"label":"12","time":"Visit4_Days_PostOp","sph":"Visit4_Sphere_D","cyl":"Visit4_Cylinder_D","seq":""},{"label":"24","time":"Visit5_Days_PostOp","sph":"Visit5_Sphere_D","cyl":"Visit5_Cylinder_D","seq":""}],"roles":{"pre_ucva":"Preop_UDVA","pre_bcva":"Preop_CDVA","post_ucva":"Postop_UDVA","post_bcva":"Postop_CDVA","pre_sph":"Preop_Sphere_D","pre_cyl":"Preop_Cylinder_D","pre_axis":"Preop_Axis_Deg","post_sph":"Postop_Sphere_D","post_cyl":"Postop_Cylinder_D","post_axis":"Postop_Axis_Deg","pre_seq":"Preop_SEQ_D","post_seq":"Postop_SEQ_D","target_seq":"Target_SEQ_D","eye":"Eye"},"dichotomous_preferred_level":{"Sex":"F","Smoker":"Yes","DryEye_Symptoms":"Yes","Retreatment_Required":"Yes"},"export_filtered_csv":true,"output_prefix":"Ex05_Stability","stability_include_preop":true,"stability_change_from":"6","stability_change_to":"24","stability_change_threshold":0.5,"num_groups":2,"num_filters":4,"num_subsets":0,"_title":"Stability over time","_description":"The stability-over-time curve as its own figure panel.","_demonstrates":"Five mapped follow-up visits and the preoperative point. The spherical equivalent is read from a column for visits 1 and 3, and computed from sphere and cylinder for the others.","figure_style":"journal"}</t>
  </si>
  <si>
    <t xml:space="preserve">Full name</t>
  </si>
  <si>
    <t xml:space="preserve">Manifest</t>
  </si>
  <si>
    <t xml:space="preserve">Versions, input checksum and settings of this run.</t>
  </si>
  <si>
    <t xml:space="preserve">Overview</t>
  </si>
  <si>
    <t xml:space="preserve">Initial data summary, notes and quality checks.</t>
  </si>
  <si>
    <t xml:space="preserve">Baseline &amp; Preop Summary</t>
  </si>
  <si>
    <t xml:space="preserve">Baseline and preoperative tables, with within-group sections.</t>
  </si>
  <si>
    <t xml:space="preserve">Outcome Summary</t>
  </si>
  <si>
    <t xml:space="preserve">Outcome comparisons (GEE / adjusted columns merged in when requested).</t>
  </si>
  <si>
    <t xml:space="preserve">Publication Table</t>
  </si>
  <si>
    <t xml:space="preserve">Manuscript-ready stacked table.</t>
  </si>
  <si>
    <t xml:space="preserve">mEYEstro_Reference</t>
  </si>
  <si>
    <t xml:space="preserve">mEYEstro-format export of one group (all rows): copy columns E-S (15 columns, template order) into the mEYEstro template - yellow E-I preop refraction, vertex (12 mm), preop CDVA; green J-M intended refraction; red N-S postop refraction, vertex, postop CDVA, postop UDVA. Gray A-D (group, decimal acuities) and blue T (postop SEQ) are for reference only.</t>
  </si>
  <si>
    <t xml:space="preserve">mEYEstro_Cohort A</t>
  </si>
  <si>
    <t xml:space="preserve">AstigMATIC_Reference</t>
  </si>
  <si>
    <t xml:space="preserve">AstigMATIC input for one group (all rows): columns A-E (eye OD/OS, preop cylinder, preop axis, postop cylinder, postop axis) load directly into AstigMATIC; written in minus-cylinder notation.</t>
  </si>
  <si>
    <t xml:space="preserve">AstigMATIC_Cohort A</t>
  </si>
  <si>
    <t xml:space="preserve">Astigmatism (JCRS 2025)</t>
  </si>
  <si>
    <t xml:space="preserve">Astigmatism per the JCRS 2025 standard (all analyzed eyes; a CSV copy is written beside the workbook), plus-cylinder format: per vector (PRE, SIA, PE, and POST with a target that is not plano) and cohort the centroid, total SD, magnitudes and cumulative intervals; the tests (centroid against zero; centroid, precision, mean magnitude and intervals between cohorts; McNemar preop vs postop) with nominal and Holm-adjusted P; the vertices of the depth-based convex polygon and of the bootstrap convex polygon of the centroid (as in the WHWK functions); method notes.</t>
  </si>
  <si>
    <t xml:space="preserve">Per eye: the astigmatism vectors PE, SIA, PRE, POST and the Alpins TIA and DV - magnitude, plus axis and doubled-angle x, y - input for external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</si>
</sst>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6" formatCode="0.00"/>
    <numFmt numFmtId="167" formatCode="0"/>
    <numFmt numFmtId="168" formatCode="0.0"/>
    <numFmt numFmtId="169" formatCode="0.000"/>
    <numFmt numFmtId="170" formatCode="0.000"/>
    <numFmt numFmtId="171" formatCode="0.000"/>
    <numFmt numFmtId="172" formatCode="0.0"/>
  </numFmts>
  <fonts count="6">
    <font>
      <sz val="11"/>
      <color rgb="FF000000"/>
      <name val="Calibri"/>
      <family val="2"/>
      <scheme val="minor"/>
    </font>
    <font>
      <sz val="12"/>
      <color rgb="FF000000"/>
      <name val="Calibri"/>
      <b/>
    </font>
    <font>
      <sz val="11"/>
      <color rgb="FF000000"/>
      <name val="Calibri"/>
      <b/>
    </font>
    <font>
      <sz val="11"/>
      <color rgb="FFC00000"/>
      <name val="Calibri"/>
      <b/>
    </font>
    <font>
      <sz val="11"/>
      <color rgb="FF000000"/>
      <name val="Calibri"/>
    </font>
    <font>
      <sz val="11"/>
      <color theme="10"/>
      <name val="Calibri"/>
      <u val="single"/>
    </font>
  </fonts>
  <fills count="8">
    <fill>
      <patternFill patternType="none"/>
    </fill>
    <fill>
      <patternFill patternType="gray125"/>
    </fill>
    <fill>
      <patternFill patternType="solid">
        <fgColor rgb="FFF2F2F2"/>
      </patternFill>
    </fill>
    <fill>
      <patternFill patternType="solid">
        <fgColor rgb="FFD3D3D3"/>
      </patternFill>
    </fill>
    <fill>
      <patternFill patternType="solid">
        <fgColor rgb="FFFFFF99"/>
      </patternFill>
    </fill>
    <fill>
      <patternFill patternType="solid">
        <fgColor rgb="FFCCFFCC"/>
      </patternFill>
    </fill>
    <fill>
      <patternFill patternType="solid">
        <fgColor rgb="FFFF9999"/>
      </patternFill>
    </fill>
    <fill>
      <patternFill patternType="solid">
        <fgColor rgb="FF99CCFF"/>
      </patternFill>
    </fill>
  </fills>
  <borders count="2">
    <border>
      <left/>
      <right/>
      <top/>
      <bottom/>
      <diagonal/>
    </border>
    <border>
      <bottom style="thin">
        <color rgb="FF000000"/>
      </bottom>
    </border>
  </borders>
  <cellStyleXfs count="1">
    <xf numFmtId="0" fontId="0" fillId="0" borderId="0"/>
  </cellStyleXfs>
  <cellXfs count="18">
    <xf numFmtId="0" fontId="0" fillId="0" borderId="0" xfId="0"/>
    <xf numFmtId="0" fontId="1" fillId="0" borderId="0" xfId="0" applyFont="1"/>
    <xf numFmtId="0" fontId="2" fillId="0" borderId="1" xfId="0" applyFont="1" applyBorder="1"/>
    <xf numFmtId="0" fontId="2" fillId="2" borderId="0" xfId="0" applyFont="1" applyFill="1"/>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0" fontId="2" fillId="7" borderId="0" xfId="0" applyFont="1" applyFill="1" applyAlignment="1">
      <alignment horizontal="center"/>
    </xf>
    <xf numFmtId="0" fontId="3" fillId="0" borderId="0" xfId="0" applyFont="1"/>
    <xf numFmtId="166" fontId="4" fillId="0" borderId="0" xfId="0" applyFont="1" applyNumberFormat="1"/>
    <xf numFmtId="167" fontId="4" fillId="0" borderId="0" xfId="0" applyFont="1" applyNumberFormat="1"/>
    <xf numFmtId="168" fontId="4" fillId="0" borderId="0" xfId="0" applyFont="1" applyNumberFormat="1"/>
    <xf numFmtId="169" fontId="4" fillId="0" borderId="0" xfId="0" applyFont="1" applyNumberFormat="1"/>
    <xf numFmtId="170" fontId="4" fillId="0" borderId="0" xfId="0" applyFont="1" applyNumberFormat="1"/>
    <xf numFmtId="171" fontId="4" fillId="0" borderId="0" xfId="0" applyFont="1" applyNumberFormat="1"/>
    <xf numFmtId="172" fontId="4" fillId="0" borderId="0" xfId="0" applyFont="1" applyNumberFormat="1"/>
    <xf numFmtId="0" fontId="5"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ables/table3.xml><?xml version="1.0" encoding="utf-8"?>
<table xmlns="http://schemas.openxmlformats.org/spreadsheetml/2006/main" id="3" name="Table3" displayName="Table3" ref="A1:E227" totalsRowCount="0" totalsRowShown="0">
  <autoFilter ref="A1:E227"/>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E164" totalsRowCount="0" totalsRowShown="0">
  <autoFilter ref="A1:E164"/>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H2191" totalsRowCount="0" totalsRowShown="0">
  <autoFilter ref="A1:H2191"/>
  <tableColumns count="8">
    <tableColumn id="1" name="Group"/>
    <tableColumn id="2" name="Patient ID"/>
    <tableColumn id="3" name="Row label"/>
    <tableColumn id="4" name="Vector"/>
    <tableColumn id="5" name="Magnitude (D)"/>
    <tableColumn id="6" name="Plus axis (°)"/>
    <tableColumn id="7" name="x (D)"/>
    <tableColumn id="8" name="y (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3.bin"/></Relationships>

</file>

<file path=xl/worksheets/_rels/sheet4.xml.rels><?xml version="1.0" encoding="UTF-8" standalone="yes"?><Relationships xmlns="http://schemas.openxmlformats.org/package/2006/relationships"><Relationship Id="rId2" Type="http://schemas.openxmlformats.org/officeDocument/2006/relationships/printerSettings" Target="../printerSettings/printerSettings4.bin"/></Relationships>

</file>

<file path=xl/worksheets/_rels/sheet5.xml.rels><?xml version="1.0" encoding="UTF-8" standalone="yes"?><Relationships xmlns="http://schemas.openxmlformats.org/package/2006/relationships"><Relationship Id="rId2" Type="http://schemas.openxmlformats.org/officeDocument/2006/relationships/printerSettings" Target="../printerSettings/printerSettings5.bin"/></Relationships>

</file>

<file path=xl/worksheets/_rels/sheet6.xml.rels><?xml version="1.0" encoding="UTF-8" standalone="yes"?><Relationships xmlns="http://schemas.openxmlformats.org/package/2006/relationships"><Relationship Id="rId2" Type="http://schemas.openxmlformats.org/officeDocument/2006/relationships/printerSettings" Target="../printerSettings/printerSettings6.bin"/></Relationships>

</file>

<file path=xl/worksheets/_rels/sheet7.xml.rels><?xml version="1.0" encoding="UTF-8" standalone="yes"?><Relationships xmlns="http://schemas.openxmlformats.org/package/2006/relationships"><Relationship Id="rId2" Type="http://schemas.openxmlformats.org/officeDocument/2006/relationships/printerSettings" Target="../printerSettings/printerSettings7.bin"/><Relationship Id="rId3" Type="http://schemas.openxmlformats.org/officeDocument/2006/relationships/table" Target="../tables/table3.xml"/></Relationships>

</file>

<file path=xl/worksheets/_rels/sheet8.xml.rels><?xml version="1.0" encoding="UTF-8" standalone="yes"?><Relationships xmlns="http://schemas.openxmlformats.org/package/2006/relationships"><Relationship Id="rId2" Type="http://schemas.openxmlformats.org/officeDocument/2006/relationships/printerSettings" Target="../printerSettings/printerSettings8.bin"/><Relationship Id="rId4" Type="http://schemas.openxmlformats.org/officeDocument/2006/relationships/table" Target="../tables/table4.xml"/></Relationships>

</file>

<file path=xl/worksheets/_rels/sheet9.xml.rels><?xml version="1.0" encoding="UTF-8" standalone="yes"?><Relationships xmlns="http://schemas.openxmlformats.org/package/2006/relationships"><Relationship Id="rId2" Type="http://schemas.openxmlformats.org/officeDocument/2006/relationships/printerSettings" Target="../printerSettings/printerSettings9.bin"/></Relationships>

</file>

<file path=xl/worksheets/_rels/sheet10.xml.rels><?xml version="1.0" encoding="UTF-8" standalone="yes"?><Relationships xmlns="http://schemas.openxmlformats.org/package/2006/relationships"><Relationship Id="rId2" Type="http://schemas.openxmlformats.org/officeDocument/2006/relationships/printerSettings" Target="../printerSettings/printerSettings10.bin"/><Relationship Id="rId5" Type="http://schemas.openxmlformats.org/officeDocument/2006/relationships/table" Target="../tables/table5.xml"/></Relationships>

</file>

<file path=xl/worksheets/_rels/sheet11.xml.rels><?xml version="1.0" encoding="UTF-8" standalone="yes"?><Relationships xmlns="http://schemas.openxmlformats.org/package/2006/relationships"><Relationship Id="rId2" Type="http://schemas.openxmlformats.org/officeDocument/2006/relationships/printerSettings" Target="../printerSettings/printerSettings11.bin"/></Relationships>

</file>

<file path=xl/worksheets/_rels/sheet12.xml.rels><?xml version="1.0" encoding="UTF-8" standalone="yes"?><Relationships xmlns="http://schemas.openxmlformats.org/package/2006/relationships"><Relationship Id="rId2"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row>
    <row r="2">
      <c r="A2" t="s">
        <v>1</v>
      </c>
    </row>
    <row r="3">
      <c r="A3" t="s">
        <v>2</v>
      </c>
    </row>
    <row r="5">
      <c r="A5" s="1" t="s">
        <v>3</v>
      </c>
    </row>
    <row r="6">
      <c r="A6" t="s">
        <v>4</v>
      </c>
      <c r="B6" t="s">
        <v>5</v>
      </c>
    </row>
    <row r="7">
      <c r="A7" t="s">
        <v>6</v>
      </c>
      <c r="B7" t="s">
        <v>7</v>
      </c>
    </row>
    <row r="8">
      <c r="A8" t="s">
        <v>8</v>
      </c>
      <c r="B8" t="s">
        <v>9</v>
      </c>
    </row>
    <row r="9">
      <c r="A9" t="s">
        <v>10</v>
      </c>
      <c r="B9" t="s">
        <v>11</v>
      </c>
    </row>
    <row r="10">
      <c r="A10" t="s">
        <v>12</v>
      </c>
      <c r="B10" t="s">
        <v>13</v>
      </c>
    </row>
    <row r="11">
      <c r="A11" t="s">
        <v>14</v>
      </c>
      <c r="B11" t="s">
        <v>15</v>
      </c>
    </row>
    <row r="12">
      <c r="A12" t="s">
        <v>16</v>
      </c>
      <c r="B12" t="s">
        <v>17</v>
      </c>
    </row>
    <row r="13">
      <c r="A13" t="s">
        <v>18</v>
      </c>
      <c r="B13" t="s">
        <v>19</v>
      </c>
    </row>
    <row r="14">
      <c r="A14" t="s">
        <v>20</v>
      </c>
      <c r="B14" t="s">
        <v>21</v>
      </c>
    </row>
    <row r="16">
      <c r="A16" s="1" t="s">
        <v>22</v>
      </c>
    </row>
    <row r="17">
      <c r="A17" t="s">
        <v>23</v>
      </c>
      <c r="B17" t="s">
        <v>24</v>
      </c>
      <c r="C17" t="s">
        <v>25</v>
      </c>
    </row>
    <row r="18">
      <c r="A18" t="s">
        <v>26</v>
      </c>
      <c r="B18" t="n">
        <v>135</v>
      </c>
      <c r="C18" t="n">
        <v>57.9</v>
      </c>
    </row>
    <row r="19">
      <c r="A19" t="s">
        <v>27</v>
      </c>
      <c r="B19" t="n">
        <v>98</v>
      </c>
      <c r="C19" t="n">
        <v>42.1</v>
      </c>
    </row>
    <row r="21">
      <c r="A21" s="1" t="s">
        <v>28</v>
      </c>
    </row>
    <row r="22">
      <c r="A22" t="s">
        <v>29</v>
      </c>
      <c r="B22" t="s">
        <v>24</v>
      </c>
      <c r="C22" t="s">
        <v>25</v>
      </c>
    </row>
    <row r="23">
      <c r="A23" t="s">
        <v>30</v>
      </c>
      <c r="B23" t="n">
        <v>226</v>
      </c>
      <c r="C23" t="n">
        <v>58.1</v>
      </c>
    </row>
    <row r="24">
      <c r="A24" t="s">
        <v>31</v>
      </c>
      <c r="B24" t="n">
        <v>163</v>
      </c>
      <c r="C24" t="n">
        <v>41.9</v>
      </c>
    </row>
    <row r="26">
      <c r="A26" s="1" t="s">
        <v>32</v>
      </c>
    </row>
    <row r="27">
      <c r="A27" t="s">
        <v>33</v>
      </c>
      <c r="B27" t="s">
        <v>29</v>
      </c>
      <c r="C27" t="s">
        <v>34</v>
      </c>
    </row>
    <row r="28">
      <c r="A28" t="s">
        <v>30</v>
      </c>
      <c r="B28" t="s">
        <v>30</v>
      </c>
      <c r="C28" t="n">
        <v>226</v>
      </c>
    </row>
    <row r="29">
      <c r="A29" t="s">
        <v>31</v>
      </c>
      <c r="B29" t="s">
        <v>31</v>
      </c>
      <c r="C29" t="n">
        <v>163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35</v>
      </c>
    </row>
    <row r="2">
      <c r="A2" t="s">
        <v>36</v>
      </c>
      <c r="B2" t="s">
        <v>37</v>
      </c>
      <c r="C2" t="s">
        <v>38</v>
      </c>
      <c r="D2" t="s">
        <v>39</v>
      </c>
      <c r="E2" t="s">
        <v>40</v>
      </c>
      <c r="F2" t="s">
        <v>41</v>
      </c>
    </row>
    <row r="3">
      <c r="A3" t="s">
        <v>42</v>
      </c>
      <c r="B3" t="s">
        <v>43</v>
      </c>
      <c r="C3" t="s">
        <v>44</v>
      </c>
      <c r="D3" t="s">
        <v>45</v>
      </c>
      <c r="E3" t="s">
        <v>46</v>
      </c>
      <c r="F3" t="s">
        <v>47</v>
      </c>
    </row>
    <row r="4">
      <c r="A4" t="s">
        <v>48</v>
      </c>
      <c r="B4" t="s">
        <v>49</v>
      </c>
      <c r="C4" t="s">
        <v>50</v>
      </c>
      <c r="D4" t="s">
        <v>45</v>
      </c>
      <c r="E4" t="s">
        <v>51</v>
      </c>
      <c r="F4" t="s">
        <v>47</v>
      </c>
    </row>
    <row r="5">
      <c r="A5" t="s">
        <v>52</v>
      </c>
      <c r="B5" t="s">
        <v>53</v>
      </c>
      <c r="C5" t="s">
        <v>54</v>
      </c>
      <c r="D5" t="s">
        <v>45</v>
      </c>
      <c r="E5" t="s">
        <v>51</v>
      </c>
      <c r="F5" t="s">
        <v>47</v>
      </c>
    </row>
    <row r="6">
      <c r="A6" t="s">
        <v>55</v>
      </c>
      <c r="B6" t="s">
        <v>56</v>
      </c>
      <c r="C6" t="s">
        <v>57</v>
      </c>
      <c r="D6" t="s">
        <v>58</v>
      </c>
      <c r="E6" t="s">
        <v>51</v>
      </c>
      <c r="F6" t="s">
        <v>47</v>
      </c>
    </row>
    <row r="7">
      <c r="A7" t="s">
        <v>59</v>
      </c>
      <c r="B7" t="s">
        <v>60</v>
      </c>
      <c r="C7" t="s">
        <v>61</v>
      </c>
      <c r="D7" t="s">
        <v>45</v>
      </c>
      <c r="E7" t="s">
        <v>51</v>
      </c>
      <c r="F7" t="s">
        <v>47</v>
      </c>
    </row>
    <row r="8">
      <c r="A8" t="s">
        <v>62</v>
      </c>
      <c r="B8" t="s">
        <v>63</v>
      </c>
      <c r="C8" t="s">
        <v>64</v>
      </c>
      <c r="D8" t="s">
        <v>65</v>
      </c>
      <c r="E8" t="s">
        <v>51</v>
      </c>
      <c r="F8" t="s">
        <v>66</v>
      </c>
    </row>
    <row r="9">
      <c r="A9" t="s">
        <v>67</v>
      </c>
      <c r="B9" t="s">
        <v>68</v>
      </c>
      <c r="C9" t="s">
        <v>69</v>
      </c>
      <c r="D9" t="s">
        <v>45</v>
      </c>
      <c r="E9" t="s">
        <v>51</v>
      </c>
      <c r="F9" t="s">
        <v>47</v>
      </c>
    </row>
    <row r="10">
      <c r="A10" t="s">
        <v>70</v>
      </c>
      <c r="B10" t="s">
        <v>71</v>
      </c>
      <c r="C10" t="s">
        <v>72</v>
      </c>
      <c r="D10" t="s">
        <v>73</v>
      </c>
      <c r="E10" t="s">
        <v>74</v>
      </c>
      <c r="F10" t="s">
        <v>66</v>
      </c>
    </row>
    <row r="11">
      <c r="A11" t="s">
        <v>75</v>
      </c>
      <c r="B11" t="s">
        <v>76</v>
      </c>
      <c r="C11" t="s">
        <v>77</v>
      </c>
      <c r="D11" t="s">
        <v>78</v>
      </c>
      <c r="E11" t="s">
        <v>79</v>
      </c>
      <c r="F11" t="s">
        <v>66</v>
      </c>
    </row>
    <row r="12">
      <c r="A12" t="s">
        <v>80</v>
      </c>
      <c r="B12" t="s">
        <v>81</v>
      </c>
      <c r="C12" t="s">
        <v>82</v>
      </c>
      <c r="D12" t="s">
        <v>83</v>
      </c>
      <c r="E12" t="s">
        <v>84</v>
      </c>
      <c r="F12" t="s">
        <v>66</v>
      </c>
    </row>
    <row r="13">
      <c r="A13" t="s">
        <v>85</v>
      </c>
      <c r="B13" t="s">
        <v>86</v>
      </c>
      <c r="C13" t="s">
        <v>87</v>
      </c>
      <c r="D13" t="s">
        <v>78</v>
      </c>
      <c r="E13" t="s">
        <v>84</v>
      </c>
      <c r="F13" t="s">
        <v>66</v>
      </c>
    </row>
    <row r="14">
      <c r="A14" t="s">
        <v>88</v>
      </c>
      <c r="B14" t="s">
        <v>89</v>
      </c>
      <c r="C14" t="s">
        <v>90</v>
      </c>
      <c r="D14" t="s">
        <v>91</v>
      </c>
      <c r="E14" t="s">
        <v>84</v>
      </c>
      <c r="F14" t="s">
        <v>66</v>
      </c>
    </row>
    <row r="15">
      <c r="A15" t="s">
        <v>92</v>
      </c>
      <c r="B15" t="s">
        <v>93</v>
      </c>
      <c r="C15" t="s">
        <v>94</v>
      </c>
      <c r="D15" t="s">
        <v>95</v>
      </c>
      <c r="E15" t="s">
        <v>95</v>
      </c>
      <c r="F15" t="s">
        <v>95</v>
      </c>
    </row>
    <row r="16">
      <c r="A16" t="s">
        <v>96</v>
      </c>
      <c r="B16" t="s">
        <v>97</v>
      </c>
      <c r="C16" t="s">
        <v>98</v>
      </c>
      <c r="D16" t="s">
        <v>95</v>
      </c>
      <c r="E16" t="s">
        <v>95</v>
      </c>
      <c r="F16" t="s">
        <v>95</v>
      </c>
    </row>
    <row r="18">
      <c r="A18" s="1" t="s">
        <v>99</v>
      </c>
    </row>
    <row r="19">
      <c r="A19" t="s">
        <v>36</v>
      </c>
      <c r="B19" t="s">
        <v>37</v>
      </c>
      <c r="C19" t="s">
        <v>38</v>
      </c>
      <c r="D19" t="s">
        <v>39</v>
      </c>
      <c r="E19" t="s">
        <v>40</v>
      </c>
      <c r="F19" t="s">
        <v>41</v>
      </c>
    </row>
    <row r="20">
      <c r="A20" t="s">
        <v>100</v>
      </c>
      <c r="B20" t="s">
        <v>101</v>
      </c>
      <c r="C20" t="s">
        <v>102</v>
      </c>
      <c r="D20" t="s">
        <v>45</v>
      </c>
      <c r="E20" t="s">
        <v>46</v>
      </c>
      <c r="F20" t="s">
        <v>47</v>
      </c>
    </row>
    <row r="21">
      <c r="A21" t="s">
        <v>103</v>
      </c>
      <c r="B21" t="s">
        <v>104</v>
      </c>
      <c r="C21" t="s">
        <v>105</v>
      </c>
      <c r="D21" t="s">
        <v>45</v>
      </c>
      <c r="E21" t="s">
        <v>51</v>
      </c>
      <c r="F21" t="s">
        <v>47</v>
      </c>
    </row>
    <row r="22">
      <c r="A22" t="s">
        <v>106</v>
      </c>
      <c r="B22" t="s">
        <v>107</v>
      </c>
      <c r="C22" t="s">
        <v>108</v>
      </c>
      <c r="D22" t="s">
        <v>109</v>
      </c>
      <c r="E22" t="s">
        <v>110</v>
      </c>
      <c r="F22" t="s">
        <v>47</v>
      </c>
    </row>
    <row r="23">
      <c r="A23" t="s">
        <v>111</v>
      </c>
      <c r="B23" t="s">
        <v>112</v>
      </c>
      <c r="C23" t="s">
        <v>113</v>
      </c>
      <c r="D23" t="s">
        <v>95</v>
      </c>
      <c r="E23" t="s">
        <v>95</v>
      </c>
      <c r="F23" t="s">
        <v>95</v>
      </c>
    </row>
    <row r="24">
      <c r="A24" t="s">
        <v>114</v>
      </c>
      <c r="B24" t="s">
        <v>115</v>
      </c>
      <c r="C24" t="s">
        <v>116</v>
      </c>
      <c r="D24" t="s">
        <v>95</v>
      </c>
      <c r="E24" t="s">
        <v>95</v>
      </c>
      <c r="F24" t="s">
        <v>95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v>
      </c>
      <c r="B1" t="s">
        <v>37</v>
      </c>
      <c r="C1" t="s">
        <v>38</v>
      </c>
      <c r="D1" t="s">
        <v>39</v>
      </c>
      <c r="E1" t="s">
        <v>40</v>
      </c>
      <c r="F1" t="s">
        <v>41</v>
      </c>
    </row>
    <row r="2">
      <c r="A2" t="s">
        <v>117</v>
      </c>
      <c r="B2" t="s">
        <v>118</v>
      </c>
      <c r="C2" t="s">
        <v>119</v>
      </c>
      <c r="D2" t="s">
        <v>120</v>
      </c>
      <c r="E2" t="s">
        <v>51</v>
      </c>
      <c r="F2" t="s">
        <v>66</v>
      </c>
    </row>
    <row r="3">
      <c r="A3" t="s">
        <v>121</v>
      </c>
      <c r="B3" t="s">
        <v>122</v>
      </c>
      <c r="C3" t="s">
        <v>123</v>
      </c>
      <c r="D3" t="s">
        <v>45</v>
      </c>
      <c r="E3" t="s">
        <v>51</v>
      </c>
      <c r="F3" t="s">
        <v>47</v>
      </c>
    </row>
    <row r="4">
      <c r="A4" t="s">
        <v>124</v>
      </c>
      <c r="B4" t="s">
        <v>125</v>
      </c>
      <c r="C4" t="s">
        <v>126</v>
      </c>
      <c r="D4" t="s">
        <v>78</v>
      </c>
      <c r="E4" t="s">
        <v>51</v>
      </c>
      <c r="F4" t="s">
        <v>66</v>
      </c>
    </row>
    <row r="5">
      <c r="A5" t="s">
        <v>127</v>
      </c>
      <c r="B5" t="s">
        <v>128</v>
      </c>
      <c r="C5" t="s">
        <v>129</v>
      </c>
      <c r="D5" t="s">
        <v>58</v>
      </c>
      <c r="E5" t="s">
        <v>51</v>
      </c>
      <c r="F5" t="s">
        <v>47</v>
      </c>
    </row>
    <row r="6">
      <c r="A6" t="s">
        <v>130</v>
      </c>
      <c r="B6" t="s">
        <v>131</v>
      </c>
      <c r="C6" t="s">
        <v>132</v>
      </c>
      <c r="D6" t="s">
        <v>133</v>
      </c>
      <c r="E6" t="s">
        <v>51</v>
      </c>
      <c r="F6" t="s">
        <v>66</v>
      </c>
    </row>
    <row r="7">
      <c r="A7" t="s">
        <v>134</v>
      </c>
      <c r="B7" t="s">
        <v>135</v>
      </c>
      <c r="C7" t="s">
        <v>136</v>
      </c>
      <c r="D7" t="s">
        <v>137</v>
      </c>
      <c r="E7" t="s">
        <v>79</v>
      </c>
      <c r="F7" t="s">
        <v>66</v>
      </c>
    </row>
    <row r="8">
      <c r="A8" t="s">
        <v>138</v>
      </c>
      <c r="B8" t="s">
        <v>139</v>
      </c>
      <c r="C8" t="s">
        <v>140</v>
      </c>
      <c r="D8" t="s">
        <v>141</v>
      </c>
      <c r="E8" t="s">
        <v>79</v>
      </c>
      <c r="F8" t="s">
        <v>47</v>
      </c>
    </row>
    <row r="9">
      <c r="A9" t="s">
        <v>142</v>
      </c>
      <c r="B9" t="s">
        <v>143</v>
      </c>
      <c r="C9" t="s">
        <v>144</v>
      </c>
      <c r="D9" t="s">
        <v>45</v>
      </c>
      <c r="E9" t="s">
        <v>145</v>
      </c>
      <c r="F9" t="s">
        <v>47</v>
      </c>
    </row>
    <row r="10">
      <c r="A10" t="s">
        <v>146</v>
      </c>
      <c r="B10" t="s">
        <v>147</v>
      </c>
      <c r="C10" t="s">
        <v>148</v>
      </c>
      <c r="D10" t="s">
        <v>149</v>
      </c>
      <c r="E10" t="s">
        <v>145</v>
      </c>
      <c r="F10" t="s">
        <v>66</v>
      </c>
    </row>
    <row r="11">
      <c r="A11" t="s">
        <v>150</v>
      </c>
      <c r="B11" t="s">
        <v>151</v>
      </c>
      <c r="C11" t="s">
        <v>152</v>
      </c>
      <c r="D11" t="s">
        <v>153</v>
      </c>
      <c r="E11" t="s">
        <v>110</v>
      </c>
      <c r="F11" t="s">
        <v>66</v>
      </c>
    </row>
    <row r="12">
      <c r="A12" t="s">
        <v>154</v>
      </c>
      <c r="B12" t="s">
        <v>155</v>
      </c>
      <c r="C12" t="s">
        <v>156</v>
      </c>
      <c r="D12" t="s">
        <v>95</v>
      </c>
      <c r="E12" t="s">
        <v>95</v>
      </c>
      <c r="F12" t="s">
        <v>95</v>
      </c>
    </row>
    <row r="13">
      <c r="A13" t="s">
        <v>157</v>
      </c>
      <c r="B13" t="s">
        <v>158</v>
      </c>
      <c r="C13" t="s">
        <v>159</v>
      </c>
      <c r="D13" t="s">
        <v>95</v>
      </c>
      <c r="E13" t="s">
        <v>95</v>
      </c>
      <c r="F13" t="s">
        <v>95</v>
      </c>
    </row>
    <row r="14">
      <c r="A14" t="s">
        <v>160</v>
      </c>
      <c r="B14" t="s">
        <v>155</v>
      </c>
      <c r="C14" t="s">
        <v>161</v>
      </c>
      <c r="D14" t="s">
        <v>95</v>
      </c>
      <c r="E14" t="s">
        <v>95</v>
      </c>
      <c r="F14" t="s">
        <v>95</v>
      </c>
    </row>
    <row r="15">
      <c r="A15" t="s">
        <v>162</v>
      </c>
      <c r="B15" t="s">
        <v>163</v>
      </c>
      <c r="C15" t="s">
        <v>164</v>
      </c>
      <c r="D15" t="s">
        <v>95</v>
      </c>
      <c r="E15" t="s">
        <v>95</v>
      </c>
      <c r="F15" t="s">
        <v>95</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38.71" hidden="0" customWidth="1"/>
    <col min="2" max="2" width="18.71" hidden="0" customWidth="1"/>
    <col min="3" max="3" width="18.71" hidden="0" customWidth="1"/>
    <col min="4" max="4" width="18.71" hidden="0" customWidth="1"/>
  </cols>
  <sheetData>
    <row r="1">
      <c r="A1" s="2" t="s">
        <v>36</v>
      </c>
      <c r="B1" s="2" t="s">
        <v>37</v>
      </c>
      <c r="C1" s="2" t="s">
        <v>38</v>
      </c>
      <c r="D1" s="2" t="s">
        <v>39</v>
      </c>
    </row>
    <row r="2">
      <c r="A2" s="3" t="s">
        <v>165</v>
      </c>
      <c r="B2" s="3" t="s">
        <v>95</v>
      </c>
      <c r="C2" s="3" t="s">
        <v>95</v>
      </c>
      <c r="D2" s="3" t="s">
        <v>95</v>
      </c>
    </row>
    <row r="3">
      <c r="A3" t="s">
        <v>42</v>
      </c>
      <c r="B3" t="s">
        <v>43</v>
      </c>
      <c r="C3" t="s">
        <v>44</v>
      </c>
      <c r="D3" t="s">
        <v>45</v>
      </c>
    </row>
    <row r="4">
      <c r="A4" t="s">
        <v>48</v>
      </c>
      <c r="B4" t="s">
        <v>49</v>
      </c>
      <c r="C4" t="s">
        <v>50</v>
      </c>
      <c r="D4" t="s">
        <v>45</v>
      </c>
    </row>
    <row r="5">
      <c r="A5" t="s">
        <v>52</v>
      </c>
      <c r="B5" t="s">
        <v>53</v>
      </c>
      <c r="C5" t="s">
        <v>54</v>
      </c>
      <c r="D5" t="s">
        <v>45</v>
      </c>
    </row>
    <row r="6">
      <c r="A6" t="s">
        <v>55</v>
      </c>
      <c r="B6" t="s">
        <v>56</v>
      </c>
      <c r="C6" t="s">
        <v>57</v>
      </c>
      <c r="D6" t="s">
        <v>58</v>
      </c>
    </row>
    <row r="7">
      <c r="A7" t="s">
        <v>59</v>
      </c>
      <c r="B7" t="s">
        <v>60</v>
      </c>
      <c r="C7" t="s">
        <v>61</v>
      </c>
      <c r="D7" t="s">
        <v>45</v>
      </c>
    </row>
    <row r="8">
      <c r="A8" t="s">
        <v>62</v>
      </c>
      <c r="B8" t="s">
        <v>63</v>
      </c>
      <c r="C8" t="s">
        <v>64</v>
      </c>
      <c r="D8" t="s">
        <v>65</v>
      </c>
    </row>
    <row r="9">
      <c r="A9" t="s">
        <v>67</v>
      </c>
      <c r="B9" t="s">
        <v>68</v>
      </c>
      <c r="C9" t="s">
        <v>69</v>
      </c>
      <c r="D9" t="s">
        <v>45</v>
      </c>
    </row>
    <row r="10">
      <c r="A10" t="s">
        <v>70</v>
      </c>
      <c r="B10" t="s">
        <v>71</v>
      </c>
      <c r="C10" t="s">
        <v>72</v>
      </c>
      <c r="D10" t="s">
        <v>73</v>
      </c>
    </row>
    <row r="11">
      <c r="A11" t="s">
        <v>75</v>
      </c>
      <c r="B11" t="s">
        <v>76</v>
      </c>
      <c r="C11" t="s">
        <v>77</v>
      </c>
      <c r="D11" t="s">
        <v>78</v>
      </c>
    </row>
    <row r="12">
      <c r="A12" t="s">
        <v>80</v>
      </c>
      <c r="B12" t="s">
        <v>81</v>
      </c>
      <c r="C12" t="s">
        <v>82</v>
      </c>
      <c r="D12" t="s">
        <v>83</v>
      </c>
    </row>
    <row r="13">
      <c r="A13" t="s">
        <v>85</v>
      </c>
      <c r="B13" t="s">
        <v>86</v>
      </c>
      <c r="C13" t="s">
        <v>87</v>
      </c>
      <c r="D13" t="s">
        <v>78</v>
      </c>
    </row>
    <row r="14">
      <c r="A14" t="s">
        <v>88</v>
      </c>
      <c r="B14" t="s">
        <v>89</v>
      </c>
      <c r="C14" t="s">
        <v>90</v>
      </c>
      <c r="D14" t="s">
        <v>91</v>
      </c>
    </row>
    <row r="15">
      <c r="A15" t="s">
        <v>92</v>
      </c>
      <c r="B15" t="s">
        <v>93</v>
      </c>
      <c r="C15" t="s">
        <v>94</v>
      </c>
      <c r="D15" t="s">
        <v>95</v>
      </c>
    </row>
    <row r="16">
      <c r="A16" t="s">
        <v>96</v>
      </c>
      <c r="B16" t="s">
        <v>97</v>
      </c>
      <c r="C16" t="s">
        <v>98</v>
      </c>
      <c r="D16" t="s">
        <v>95</v>
      </c>
    </row>
    <row r="17">
      <c r="A17" s="3" t="s">
        <v>99</v>
      </c>
      <c r="B17" s="3" t="s">
        <v>95</v>
      </c>
      <c r="C17" s="3" t="s">
        <v>95</v>
      </c>
      <c r="D17" s="3" t="s">
        <v>95</v>
      </c>
    </row>
    <row r="18">
      <c r="A18" t="s">
        <v>100</v>
      </c>
      <c r="B18" t="s">
        <v>101</v>
      </c>
      <c r="C18" t="s">
        <v>102</v>
      </c>
      <c r="D18" t="s">
        <v>45</v>
      </c>
    </row>
    <row r="19">
      <c r="A19" t="s">
        <v>103</v>
      </c>
      <c r="B19" t="s">
        <v>104</v>
      </c>
      <c r="C19" t="s">
        <v>105</v>
      </c>
      <c r="D19" t="s">
        <v>45</v>
      </c>
    </row>
    <row r="20">
      <c r="A20" t="s">
        <v>106</v>
      </c>
      <c r="B20" t="s">
        <v>107</v>
      </c>
      <c r="C20" t="s">
        <v>108</v>
      </c>
      <c r="D20" t="s">
        <v>109</v>
      </c>
    </row>
    <row r="21">
      <c r="A21" t="s">
        <v>111</v>
      </c>
      <c r="B21" t="s">
        <v>112</v>
      </c>
      <c r="C21" t="s">
        <v>113</v>
      </c>
      <c r="D21" t="s">
        <v>95</v>
      </c>
    </row>
    <row r="22">
      <c r="A22" t="s">
        <v>114</v>
      </c>
      <c r="B22" t="s">
        <v>115</v>
      </c>
      <c r="C22" t="s">
        <v>116</v>
      </c>
      <c r="D22" t="s">
        <v>95</v>
      </c>
    </row>
    <row r="23">
      <c r="A23" s="3" t="s">
        <v>166</v>
      </c>
      <c r="B23" s="3" t="s">
        <v>95</v>
      </c>
      <c r="C23" s="3" t="s">
        <v>95</v>
      </c>
      <c r="D23" s="3" t="s">
        <v>95</v>
      </c>
    </row>
    <row r="24">
      <c r="A24" t="s">
        <v>117</v>
      </c>
      <c r="B24" t="s">
        <v>118</v>
      </c>
      <c r="C24" t="s">
        <v>119</v>
      </c>
      <c r="D24" t="s">
        <v>120</v>
      </c>
    </row>
    <row r="25">
      <c r="A25" t="s">
        <v>121</v>
      </c>
      <c r="B25" t="s">
        <v>122</v>
      </c>
      <c r="C25" t="s">
        <v>123</v>
      </c>
      <c r="D25" t="s">
        <v>45</v>
      </c>
    </row>
    <row r="26">
      <c r="A26" t="s">
        <v>124</v>
      </c>
      <c r="B26" t="s">
        <v>125</v>
      </c>
      <c r="C26" t="s">
        <v>126</v>
      </c>
      <c r="D26" t="s">
        <v>78</v>
      </c>
    </row>
    <row r="27">
      <c r="A27" t="s">
        <v>127</v>
      </c>
      <c r="B27" t="s">
        <v>128</v>
      </c>
      <c r="C27" t="s">
        <v>129</v>
      </c>
      <c r="D27" t="s">
        <v>58</v>
      </c>
    </row>
    <row r="28">
      <c r="A28" t="s">
        <v>130</v>
      </c>
      <c r="B28" t="s">
        <v>131</v>
      </c>
      <c r="C28" t="s">
        <v>132</v>
      </c>
      <c r="D28" t="s">
        <v>133</v>
      </c>
    </row>
    <row r="29">
      <c r="A29" t="s">
        <v>134</v>
      </c>
      <c r="B29" t="s">
        <v>135</v>
      </c>
      <c r="C29" t="s">
        <v>136</v>
      </c>
      <c r="D29" t="s">
        <v>137</v>
      </c>
    </row>
    <row r="30">
      <c r="A30" t="s">
        <v>138</v>
      </c>
      <c r="B30" t="s">
        <v>139</v>
      </c>
      <c r="C30" t="s">
        <v>140</v>
      </c>
      <c r="D30" t="s">
        <v>141</v>
      </c>
    </row>
    <row r="31">
      <c r="A31" t="s">
        <v>142</v>
      </c>
      <c r="B31" t="s">
        <v>143</v>
      </c>
      <c r="C31" t="s">
        <v>144</v>
      </c>
      <c r="D31" t="s">
        <v>45</v>
      </c>
    </row>
    <row r="32">
      <c r="A32" t="s">
        <v>146</v>
      </c>
      <c r="B32" t="s">
        <v>147</v>
      </c>
      <c r="C32" t="s">
        <v>148</v>
      </c>
      <c r="D32" t="s">
        <v>149</v>
      </c>
    </row>
    <row r="33">
      <c r="A33" t="s">
        <v>150</v>
      </c>
      <c r="B33" t="s">
        <v>151</v>
      </c>
      <c r="C33" t="s">
        <v>152</v>
      </c>
      <c r="D33" t="s">
        <v>153</v>
      </c>
    </row>
    <row r="34">
      <c r="A34" t="s">
        <v>154</v>
      </c>
      <c r="B34" t="s">
        <v>155</v>
      </c>
      <c r="C34" t="s">
        <v>156</v>
      </c>
      <c r="D34" t="s">
        <v>95</v>
      </c>
    </row>
    <row r="35">
      <c r="A35" t="s">
        <v>157</v>
      </c>
      <c r="B35" t="s">
        <v>158</v>
      </c>
      <c r="C35" t="s">
        <v>159</v>
      </c>
      <c r="D35" t="s">
        <v>95</v>
      </c>
    </row>
    <row r="36">
      <c r="A36" t="s">
        <v>160</v>
      </c>
      <c r="B36" t="s">
        <v>155</v>
      </c>
      <c r="C36" t="s">
        <v>161</v>
      </c>
      <c r="D36" t="s">
        <v>95</v>
      </c>
    </row>
    <row r="37">
      <c r="A37" t="s">
        <v>162</v>
      </c>
      <c r="B37" t="s">
        <v>163</v>
      </c>
      <c r="C37" t="s">
        <v>164</v>
      </c>
      <c r="D37" t="s">
        <v>95</v>
      </c>
    </row>
    <row r="39">
      <c r="A39" t="s">
        <v>167</v>
      </c>
    </row>
    <row r="40">
      <c r="A40" t="s">
        <v>168</v>
      </c>
    </row>
    <row r="41">
      <c r="A41" t="s">
        <v>169</v>
      </c>
    </row>
    <row r="42">
      <c r="A42" t="s">
        <v>170</v>
      </c>
    </row>
    <row r="43">
      <c r="A43" t="s">
        <v>95</v>
      </c>
    </row>
    <row r="44">
      <c r="A44" t="s">
        <v>171</v>
      </c>
    </row>
    <row r="45">
      <c r="A45" t="s">
        <v>172</v>
      </c>
    </row>
    <row r="46">
      <c r="A46" t="s">
        <v>173</v>
      </c>
    </row>
    <row r="47">
      <c r="A47" t="s">
        <v>174</v>
      </c>
    </row>
    <row r="48">
      <c r="A48" t="s">
        <v>175</v>
      </c>
    </row>
    <row r="49">
      <c r="A49" t="s">
        <v>176</v>
      </c>
    </row>
    <row r="50">
      <c r="A50" t="s">
        <v>177</v>
      </c>
    </row>
    <row r="51">
      <c r="A51" t="s">
        <v>178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4" t="s">
        <v>179</v>
      </c>
      <c r="B1" s="4" t="s">
        <v>180</v>
      </c>
      <c r="C1" s="4" t="s">
        <v>181</v>
      </c>
      <c r="D1" s="4" t="s">
        <v>182</v>
      </c>
      <c r="E1" s="5" t="s">
        <v>183</v>
      </c>
      <c r="F1" s="5" t="s">
        <v>184</v>
      </c>
      <c r="G1" s="5" t="s">
        <v>185</v>
      </c>
      <c r="H1" s="5" t="s">
        <v>186</v>
      </c>
      <c r="I1" s="5" t="s">
        <v>62</v>
      </c>
      <c r="J1" s="6" t="s">
        <v>187</v>
      </c>
      <c r="K1" s="6" t="s">
        <v>188</v>
      </c>
      <c r="L1" s="6" t="s">
        <v>189</v>
      </c>
      <c r="M1" s="6" t="s">
        <v>190</v>
      </c>
      <c r="N1" s="7" t="s">
        <v>191</v>
      </c>
      <c r="O1" s="7" t="s">
        <v>192</v>
      </c>
      <c r="P1" s="7" t="s">
        <v>193</v>
      </c>
      <c r="Q1" s="7" t="s">
        <v>194</v>
      </c>
      <c r="R1" s="7" t="s">
        <v>130</v>
      </c>
      <c r="S1" s="7" t="s">
        <v>127</v>
      </c>
      <c r="T1" s="8" t="s">
        <v>195</v>
      </c>
    </row>
    <row r="2">
      <c r="A2" t="s">
        <v>30</v>
      </c>
      <c r="B2" t="n">
        <v>0.8</v>
      </c>
      <c r="C2" t="n">
        <v>0.8</v>
      </c>
      <c r="D2" t="n">
        <v>0.8</v>
      </c>
      <c r="E2" t="n">
        <v>-4.5</v>
      </c>
      <c r="F2" t="n">
        <v>-0.5</v>
      </c>
      <c r="G2" t="n">
        <v>139</v>
      </c>
      <c r="H2" t="n">
        <v>12</v>
      </c>
      <c r="I2" t="s">
        <v>196</v>
      </c>
      <c r="J2" t="n">
        <v>0</v>
      </c>
      <c r="K2" t="n">
        <v>0</v>
      </c>
      <c r="L2" t="n">
        <v>0</v>
      </c>
      <c r="M2" t="n">
        <v>12</v>
      </c>
      <c r="N2" t="n">
        <v>0.25</v>
      </c>
      <c r="O2" t="n">
        <v>-0.25</v>
      </c>
      <c r="P2" t="n">
        <v>27</v>
      </c>
      <c r="Q2" t="n">
        <v>12</v>
      </c>
      <c r="R2" t="s">
        <v>196</v>
      </c>
      <c r="S2" t="s">
        <v>196</v>
      </c>
      <c r="T2" t="n">
        <v>0.125</v>
      </c>
    </row>
    <row r="3">
      <c r="A3" t="s">
        <v>30</v>
      </c>
      <c r="B3" t="n">
        <v>0.8</v>
      </c>
      <c r="C3" t="n">
        <v>0.8</v>
      </c>
      <c r="D3" t="n">
        <v>0.8</v>
      </c>
      <c r="E3" t="n">
        <v>-4.75</v>
      </c>
      <c r="F3" t="n">
        <v>-0.75</v>
      </c>
      <c r="G3" t="n">
        <v>41</v>
      </c>
      <c r="H3" t="n">
        <v>12</v>
      </c>
      <c r="I3" t="s">
        <v>196</v>
      </c>
      <c r="J3" t="n">
        <v>0</v>
      </c>
      <c r="K3" t="n">
        <v>0</v>
      </c>
      <c r="L3" t="n">
        <v>0</v>
      </c>
      <c r="M3" t="n">
        <v>12</v>
      </c>
      <c r="N3" t="n">
        <v>0.5</v>
      </c>
      <c r="O3" t="n">
        <v>-0.25</v>
      </c>
      <c r="P3" t="n">
        <v>75</v>
      </c>
      <c r="Q3" t="n">
        <v>12</v>
      </c>
      <c r="R3" t="s">
        <v>196</v>
      </c>
      <c r="S3" t="s">
        <v>196</v>
      </c>
      <c r="T3" t="n">
        <v>0.375</v>
      </c>
    </row>
    <row r="4">
      <c r="A4" t="s">
        <v>30</v>
      </c>
      <c r="B4" t="n">
        <v>0.8</v>
      </c>
      <c r="C4" t="n">
        <v>1</v>
      </c>
      <c r="D4" t="n">
        <v>1</v>
      </c>
      <c r="E4" t="n">
        <v>-3</v>
      </c>
      <c r="F4" t="n">
        <v>-0.75</v>
      </c>
      <c r="G4" t="n">
        <v>70</v>
      </c>
      <c r="H4" t="n">
        <v>12</v>
      </c>
      <c r="I4" t="s">
        <v>196</v>
      </c>
      <c r="J4" t="n">
        <v>0</v>
      </c>
      <c r="K4" t="n">
        <v>0</v>
      </c>
      <c r="L4" t="n">
        <v>0</v>
      </c>
      <c r="M4" t="n">
        <v>12</v>
      </c>
      <c r="N4" t="n">
        <v>0.25</v>
      </c>
      <c r="O4" t="n">
        <v>-0.5</v>
      </c>
      <c r="P4" t="n">
        <v>78</v>
      </c>
      <c r="Q4" t="n">
        <v>12</v>
      </c>
      <c r="R4" t="s">
        <v>197</v>
      </c>
      <c r="S4" t="s">
        <v>197</v>
      </c>
      <c r="T4" t="n">
        <v>0</v>
      </c>
    </row>
    <row r="5">
      <c r="A5" t="s">
        <v>30</v>
      </c>
      <c r="B5" t="n">
        <v>0.8</v>
      </c>
      <c r="C5" t="n">
        <v>1</v>
      </c>
      <c r="D5" t="n">
        <v>1</v>
      </c>
      <c r="E5" t="n">
        <v>-4</v>
      </c>
      <c r="F5" t="n">
        <v>-0.5</v>
      </c>
      <c r="G5" t="n">
        <v>179</v>
      </c>
      <c r="H5" t="n">
        <v>12</v>
      </c>
      <c r="I5" t="s">
        <v>196</v>
      </c>
      <c r="J5" t="n">
        <v>0</v>
      </c>
      <c r="K5" t="n">
        <v>0</v>
      </c>
      <c r="L5" t="n">
        <v>0</v>
      </c>
      <c r="M5" t="n">
        <v>12</v>
      </c>
      <c r="N5" t="n">
        <v>0.25</v>
      </c>
      <c r="O5" t="n">
        <v>-0.25</v>
      </c>
      <c r="P5" t="n">
        <v>66</v>
      </c>
      <c r="Q5" t="n">
        <v>12</v>
      </c>
      <c r="R5" t="s">
        <v>197</v>
      </c>
      <c r="S5" t="s">
        <v>197</v>
      </c>
      <c r="T5" t="n">
        <v>0.125</v>
      </c>
    </row>
    <row r="6">
      <c r="A6" t="s">
        <v>30</v>
      </c>
      <c r="B6" t="n">
        <v>0.8</v>
      </c>
      <c r="C6" t="n">
        <v>0.8</v>
      </c>
      <c r="D6" t="n">
        <v>1</v>
      </c>
      <c r="E6" t="n">
        <v>-4</v>
      </c>
      <c r="F6" t="n">
        <v>-1</v>
      </c>
      <c r="G6" t="n">
        <v>170</v>
      </c>
      <c r="H6" t="n">
        <v>12</v>
      </c>
      <c r="I6" t="s">
        <v>196</v>
      </c>
      <c r="J6" t="n">
        <v>0</v>
      </c>
      <c r="K6" t="n">
        <v>0</v>
      </c>
      <c r="L6" t="n">
        <v>0</v>
      </c>
      <c r="M6" t="n">
        <v>12</v>
      </c>
      <c r="N6" t="n">
        <v>0.5</v>
      </c>
      <c r="O6" t="n">
        <v>-0.75</v>
      </c>
      <c r="P6" t="n">
        <v>131</v>
      </c>
      <c r="Q6" t="n">
        <v>12</v>
      </c>
      <c r="R6" t="s">
        <v>197</v>
      </c>
      <c r="S6" t="s">
        <v>196</v>
      </c>
      <c r="T6" t="n">
        <v>0.125</v>
      </c>
    </row>
    <row r="7">
      <c r="A7" t="s">
        <v>30</v>
      </c>
      <c r="B7" t="n">
        <v>1</v>
      </c>
      <c r="C7" t="n">
        <v>1.25</v>
      </c>
      <c r="D7" t="n">
        <v>1.25</v>
      </c>
      <c r="E7" t="n">
        <v>-3.5</v>
      </c>
      <c r="F7" t="n">
        <v>-0.75</v>
      </c>
      <c r="G7" t="n">
        <v>95</v>
      </c>
      <c r="H7" t="n">
        <v>12</v>
      </c>
      <c r="I7" t="s">
        <v>197</v>
      </c>
      <c r="J7" t="n">
        <v>0</v>
      </c>
      <c r="K7" t="n">
        <v>0</v>
      </c>
      <c r="L7" t="n">
        <v>0</v>
      </c>
      <c r="M7" t="n">
        <v>12</v>
      </c>
      <c r="N7" t="n">
        <v>0</v>
      </c>
      <c r="O7" t="n">
        <v>-0.25</v>
      </c>
      <c r="P7" t="n">
        <v>92</v>
      </c>
      <c r="Q7" t="n">
        <v>12</v>
      </c>
      <c r="R7" t="s">
        <v>198</v>
      </c>
      <c r="S7" t="s">
        <v>198</v>
      </c>
      <c r="T7" t="n">
        <v>-0.125</v>
      </c>
    </row>
    <row r="8">
      <c r="A8" t="s">
        <v>30</v>
      </c>
      <c r="B8" t="n">
        <v>1</v>
      </c>
      <c r="C8" t="n">
        <v>1.25</v>
      </c>
      <c r="D8" t="n">
        <v>1.25</v>
      </c>
      <c r="E8" t="n">
        <v>-4.75</v>
      </c>
      <c r="F8" t="n">
        <v>-0.5</v>
      </c>
      <c r="G8" t="n">
        <v>106</v>
      </c>
      <c r="H8" t="n">
        <v>12</v>
      </c>
      <c r="I8" t="s">
        <v>197</v>
      </c>
      <c r="J8" t="n">
        <v>0</v>
      </c>
      <c r="K8" t="n">
        <v>0</v>
      </c>
      <c r="L8" t="n">
        <v>0</v>
      </c>
      <c r="M8" t="n">
        <v>12</v>
      </c>
      <c r="N8" t="n">
        <v>0.25</v>
      </c>
      <c r="O8" t="n">
        <v>-0.25</v>
      </c>
      <c r="P8" t="n">
        <v>123</v>
      </c>
      <c r="Q8" t="n">
        <v>12</v>
      </c>
      <c r="R8" t="s">
        <v>198</v>
      </c>
      <c r="S8" t="s">
        <v>198</v>
      </c>
      <c r="T8" t="n">
        <v>0.125</v>
      </c>
    </row>
    <row r="9">
      <c r="A9" t="s">
        <v>30</v>
      </c>
      <c r="B9" t="n">
        <v>1</v>
      </c>
      <c r="C9" t="n">
        <v>1.25</v>
      </c>
      <c r="D9" t="n">
        <v>1.25</v>
      </c>
      <c r="E9" t="n">
        <v>-3.75</v>
      </c>
      <c r="F9" t="n">
        <v>-0.75</v>
      </c>
      <c r="G9" t="n">
        <v>4</v>
      </c>
      <c r="H9" t="n">
        <v>12</v>
      </c>
      <c r="I9" t="s">
        <v>197</v>
      </c>
      <c r="J9" t="n">
        <v>0</v>
      </c>
      <c r="K9" t="n">
        <v>0</v>
      </c>
      <c r="L9" t="n">
        <v>0</v>
      </c>
      <c r="M9" t="n">
        <v>12</v>
      </c>
      <c r="N9" t="n">
        <v>0</v>
      </c>
      <c r="O9" t="n">
        <v>-0.25</v>
      </c>
      <c r="P9" t="n">
        <v>156</v>
      </c>
      <c r="Q9" t="n">
        <v>12</v>
      </c>
      <c r="R9" t="s">
        <v>198</v>
      </c>
      <c r="S9" t="s">
        <v>198</v>
      </c>
      <c r="T9" t="n">
        <v>-0.125</v>
      </c>
    </row>
    <row r="10">
      <c r="A10" t="s">
        <v>30</v>
      </c>
      <c r="B10" t="n">
        <v>1</v>
      </c>
      <c r="C10" t="n">
        <v>1</v>
      </c>
      <c r="D10" t="n">
        <v>1.25</v>
      </c>
      <c r="E10" t="n">
        <v>-5</v>
      </c>
      <c r="F10" t="n">
        <v>-1.75</v>
      </c>
      <c r="G10" t="n">
        <v>23</v>
      </c>
      <c r="H10" t="n">
        <v>12</v>
      </c>
      <c r="I10" t="s">
        <v>197</v>
      </c>
      <c r="J10" t="n">
        <v>0</v>
      </c>
      <c r="K10" t="n">
        <v>0</v>
      </c>
      <c r="L10" t="n">
        <v>0</v>
      </c>
      <c r="M10" t="n">
        <v>12</v>
      </c>
      <c r="N10" t="n">
        <v>-0.5</v>
      </c>
      <c r="O10" t="n">
        <v>-0.25</v>
      </c>
      <c r="P10" t="n">
        <v>66</v>
      </c>
      <c r="Q10" t="n">
        <v>12</v>
      </c>
      <c r="R10" t="s">
        <v>198</v>
      </c>
      <c r="S10" t="s">
        <v>197</v>
      </c>
      <c r="T10" t="n">
        <v>-0.625</v>
      </c>
    </row>
    <row r="11">
      <c r="A11" t="s">
        <v>30</v>
      </c>
      <c r="B11" t="n">
        <v>0.8</v>
      </c>
      <c r="C11" t="n">
        <v>1</v>
      </c>
      <c r="D11" t="n">
        <v>1</v>
      </c>
      <c r="E11" t="n">
        <v>-6.5</v>
      </c>
      <c r="F11" t="n">
        <v>-1.5</v>
      </c>
      <c r="G11" t="n">
        <v>172</v>
      </c>
      <c r="H11" t="n">
        <v>12</v>
      </c>
      <c r="I11" t="s">
        <v>196</v>
      </c>
      <c r="J11" t="n">
        <v>0</v>
      </c>
      <c r="K11" t="n">
        <v>0</v>
      </c>
      <c r="L11" t="n">
        <v>0</v>
      </c>
      <c r="M11" t="n">
        <v>12</v>
      </c>
      <c r="N11" t="n">
        <v>-0.25</v>
      </c>
      <c r="O11" t="n">
        <v>-0.25</v>
      </c>
      <c r="P11" t="n">
        <v>37</v>
      </c>
      <c r="Q11" t="n">
        <v>12</v>
      </c>
      <c r="R11" t="s">
        <v>197</v>
      </c>
      <c r="S11" t="s">
        <v>197</v>
      </c>
      <c r="T11" t="n">
        <v>-0.375</v>
      </c>
    </row>
    <row r="12">
      <c r="A12" t="s">
        <v>30</v>
      </c>
      <c r="B12" t="n">
        <v>1</v>
      </c>
      <c r="C12" t="n">
        <v>1.25</v>
      </c>
      <c r="D12" t="n">
        <v>1.25</v>
      </c>
      <c r="E12" t="n">
        <v>-5</v>
      </c>
      <c r="F12" t="n">
        <v>-1.25</v>
      </c>
      <c r="G12" t="n">
        <v>171</v>
      </c>
      <c r="H12" t="n">
        <v>12</v>
      </c>
      <c r="I12" t="s">
        <v>197</v>
      </c>
      <c r="J12" t="n">
        <v>0</v>
      </c>
      <c r="K12" t="n">
        <v>0</v>
      </c>
      <c r="L12" t="n">
        <v>0</v>
      </c>
      <c r="M12" t="n">
        <v>12</v>
      </c>
      <c r="N12" t="n">
        <v>0.75</v>
      </c>
      <c r="O12" t="n">
        <v>-0.25</v>
      </c>
      <c r="P12" t="n">
        <v>162</v>
      </c>
      <c r="Q12" t="n">
        <v>12</v>
      </c>
      <c r="R12" t="s">
        <v>198</v>
      </c>
      <c r="S12" t="s">
        <v>198</v>
      </c>
      <c r="T12" t="n">
        <v>0.625</v>
      </c>
    </row>
    <row r="13">
      <c r="A13" t="s">
        <v>30</v>
      </c>
      <c r="B13" t="n">
        <v>1</v>
      </c>
      <c r="C13" t="n">
        <v>1</v>
      </c>
      <c r="D13" t="n">
        <v>1</v>
      </c>
      <c r="E13" t="n">
        <v>-4.5</v>
      </c>
      <c r="F13" t="n">
        <v>-0.5</v>
      </c>
      <c r="G13" t="n">
        <v>22</v>
      </c>
      <c r="H13" t="n">
        <v>12</v>
      </c>
      <c r="I13" t="s">
        <v>197</v>
      </c>
      <c r="J13" t="n">
        <v>0</v>
      </c>
      <c r="K13" t="n">
        <v>0</v>
      </c>
      <c r="L13" t="n">
        <v>0</v>
      </c>
      <c r="M13" t="n">
        <v>12</v>
      </c>
      <c r="N13" t="n">
        <v>0.75</v>
      </c>
      <c r="O13" t="n">
        <v>-0.25</v>
      </c>
      <c r="P13" t="n">
        <v>48</v>
      </c>
      <c r="Q13" t="n">
        <v>12</v>
      </c>
      <c r="R13" t="s">
        <v>197</v>
      </c>
      <c r="S13" t="s">
        <v>197</v>
      </c>
      <c r="T13" t="n">
        <v>0.625</v>
      </c>
    </row>
    <row r="14">
      <c r="A14" t="s">
        <v>30</v>
      </c>
      <c r="B14" t="n">
        <v>1.25</v>
      </c>
      <c r="C14" t="n">
        <v>1.6</v>
      </c>
      <c r="D14" t="n">
        <v>1.6</v>
      </c>
      <c r="E14" t="n">
        <v>-1.25</v>
      </c>
      <c r="F14" t="n">
        <v>-0.25</v>
      </c>
      <c r="G14" t="n">
        <v>165</v>
      </c>
      <c r="H14" t="n">
        <v>12</v>
      </c>
      <c r="I14" t="s">
        <v>198</v>
      </c>
      <c r="J14" t="n">
        <v>0</v>
      </c>
      <c r="K14" t="n">
        <v>0</v>
      </c>
      <c r="L14" t="n">
        <v>0</v>
      </c>
      <c r="M14" t="n">
        <v>12</v>
      </c>
      <c r="N14" t="n">
        <v>0.25</v>
      </c>
      <c r="O14" t="n">
        <v>0</v>
      </c>
      <c r="P14" t="n">
        <v>114</v>
      </c>
      <c r="Q14" t="n">
        <v>12</v>
      </c>
      <c r="R14" t="s">
        <v>199</v>
      </c>
      <c r="S14" t="s">
        <v>199</v>
      </c>
      <c r="T14" t="n">
        <v>0.25</v>
      </c>
    </row>
    <row r="15">
      <c r="A15" t="s">
        <v>30</v>
      </c>
      <c r="B15" t="n">
        <v>1.25</v>
      </c>
      <c r="C15" t="n">
        <v>1</v>
      </c>
      <c r="D15" t="n">
        <v>1.25</v>
      </c>
      <c r="E15" t="n">
        <v>-5</v>
      </c>
      <c r="F15" t="n">
        <v>-0.75</v>
      </c>
      <c r="G15" t="n">
        <v>50</v>
      </c>
      <c r="H15" t="n">
        <v>12</v>
      </c>
      <c r="I15" t="s">
        <v>198</v>
      </c>
      <c r="J15" t="n">
        <v>0</v>
      </c>
      <c r="K15" t="n">
        <v>0</v>
      </c>
      <c r="L15" t="n">
        <v>0</v>
      </c>
      <c r="M15" t="n">
        <v>12</v>
      </c>
      <c r="N15" t="n">
        <v>0.25</v>
      </c>
      <c r="O15" t="n">
        <v>-0.5</v>
      </c>
      <c r="P15" t="n">
        <v>31</v>
      </c>
      <c r="Q15" t="n">
        <v>12</v>
      </c>
      <c r="R15" t="s">
        <v>198</v>
      </c>
      <c r="S15" t="s">
        <v>197</v>
      </c>
      <c r="T15" t="n">
        <v>0</v>
      </c>
    </row>
    <row r="16">
      <c r="A16" t="s">
        <v>30</v>
      </c>
      <c r="B16" t="n">
        <v>1</v>
      </c>
      <c r="C16" t="n">
        <v>1.25</v>
      </c>
      <c r="D16" t="n">
        <v>1.6</v>
      </c>
      <c r="E16" t="n">
        <v>-3</v>
      </c>
      <c r="F16" t="n">
        <v>-0.5</v>
      </c>
      <c r="G16" t="n">
        <v>85</v>
      </c>
      <c r="H16" t="n">
        <v>12</v>
      </c>
      <c r="I16" t="s">
        <v>197</v>
      </c>
      <c r="J16" t="n">
        <v>0</v>
      </c>
      <c r="K16" t="n">
        <v>0</v>
      </c>
      <c r="L16" t="n">
        <v>0</v>
      </c>
      <c r="M16" t="n">
        <v>12</v>
      </c>
      <c r="N16" t="n">
        <v>0.5</v>
      </c>
      <c r="O16" t="n">
        <v>0</v>
      </c>
      <c r="P16" t="n">
        <v>131</v>
      </c>
      <c r="Q16" t="n">
        <v>12</v>
      </c>
      <c r="R16" t="s">
        <v>199</v>
      </c>
      <c r="S16" t="s">
        <v>198</v>
      </c>
      <c r="T16" t="n">
        <v>0.5</v>
      </c>
    </row>
    <row r="17">
      <c r="A17" t="s">
        <v>30</v>
      </c>
      <c r="B17" t="n">
        <v>1</v>
      </c>
      <c r="C17" t="n">
        <v>1</v>
      </c>
      <c r="D17" t="n">
        <v>1</v>
      </c>
      <c r="E17" t="n">
        <v>-1.5</v>
      </c>
      <c r="F17" t="n">
        <v>-1.5</v>
      </c>
      <c r="G17" t="n">
        <v>57</v>
      </c>
      <c r="H17" t="n">
        <v>12</v>
      </c>
      <c r="I17" t="s">
        <v>197</v>
      </c>
      <c r="J17" t="n">
        <v>0</v>
      </c>
      <c r="K17" t="n">
        <v>0</v>
      </c>
      <c r="L17" t="n">
        <v>0</v>
      </c>
      <c r="M17" t="n">
        <v>12</v>
      </c>
      <c r="N17" t="n">
        <v>0.5</v>
      </c>
      <c r="O17" t="n">
        <v>0</v>
      </c>
      <c r="P17" t="n">
        <v>84</v>
      </c>
      <c r="Q17" t="n">
        <v>12</v>
      </c>
      <c r="R17" t="s">
        <v>197</v>
      </c>
      <c r="S17" t="s">
        <v>197</v>
      </c>
      <c r="T17" t="n">
        <v>0.5</v>
      </c>
    </row>
    <row r="18">
      <c r="A18" t="s">
        <v>30</v>
      </c>
      <c r="B18" t="n">
        <v>1</v>
      </c>
      <c r="C18" t="n">
        <v>1</v>
      </c>
      <c r="D18" t="n">
        <v>1</v>
      </c>
      <c r="E18" t="n">
        <v>-4</v>
      </c>
      <c r="F18" t="n">
        <v>-1</v>
      </c>
      <c r="G18" t="n">
        <v>128</v>
      </c>
      <c r="H18" t="n">
        <v>12</v>
      </c>
      <c r="I18" t="s">
        <v>197</v>
      </c>
      <c r="J18" t="n">
        <v>0</v>
      </c>
      <c r="K18" t="n">
        <v>0</v>
      </c>
      <c r="L18" t="n">
        <v>0</v>
      </c>
      <c r="M18" t="n">
        <v>12</v>
      </c>
      <c r="N18" t="n">
        <v>0</v>
      </c>
      <c r="O18" t="n">
        <v>0</v>
      </c>
      <c r="P18" t="n">
        <v>42</v>
      </c>
      <c r="Q18" t="n">
        <v>12</v>
      </c>
      <c r="R18" t="s">
        <v>197</v>
      </c>
      <c r="S18" t="s">
        <v>197</v>
      </c>
      <c r="T18" t="n">
        <v>0</v>
      </c>
    </row>
    <row r="19">
      <c r="A19" t="s">
        <v>30</v>
      </c>
      <c r="B19" t="n">
        <v>1.25</v>
      </c>
      <c r="C19" t="n">
        <v>1.25</v>
      </c>
      <c r="D19" t="n">
        <v>1.25</v>
      </c>
      <c r="E19" t="n">
        <v>-1</v>
      </c>
      <c r="F19" t="n">
        <v>-1.25</v>
      </c>
      <c r="G19" t="n">
        <v>15</v>
      </c>
      <c r="H19" t="n">
        <v>12</v>
      </c>
      <c r="I19" t="s">
        <v>198</v>
      </c>
      <c r="J19" t="n">
        <v>0</v>
      </c>
      <c r="K19" t="n">
        <v>0</v>
      </c>
      <c r="L19" t="n">
        <v>0</v>
      </c>
      <c r="M19" t="n">
        <v>12</v>
      </c>
      <c r="N19" t="n">
        <v>1</v>
      </c>
      <c r="O19" t="n">
        <v>-0.5</v>
      </c>
      <c r="P19" t="n">
        <v>37</v>
      </c>
      <c r="Q19" t="n">
        <v>12</v>
      </c>
      <c r="R19" t="s">
        <v>198</v>
      </c>
      <c r="S19" t="s">
        <v>198</v>
      </c>
      <c r="T19" t="n">
        <v>0.75</v>
      </c>
    </row>
    <row r="20">
      <c r="A20" t="s">
        <v>30</v>
      </c>
      <c r="B20" t="n">
        <v>1.25</v>
      </c>
      <c r="C20" t="n">
        <v>1.25</v>
      </c>
      <c r="D20" t="n">
        <v>1.25</v>
      </c>
      <c r="E20" t="n">
        <v>-1.5</v>
      </c>
      <c r="F20" t="n">
        <v>-0.5</v>
      </c>
      <c r="G20" t="n">
        <v>6</v>
      </c>
      <c r="H20" t="n">
        <v>12</v>
      </c>
      <c r="I20" t="s">
        <v>198</v>
      </c>
      <c r="J20" t="n">
        <v>0</v>
      </c>
      <c r="K20" t="n">
        <v>0</v>
      </c>
      <c r="L20" t="n">
        <v>0</v>
      </c>
      <c r="M20" t="n">
        <v>12</v>
      </c>
      <c r="N20" t="n">
        <v>0.25</v>
      </c>
      <c r="O20" t="n">
        <v>-0.25</v>
      </c>
      <c r="P20" t="n">
        <v>164</v>
      </c>
      <c r="Q20" t="n">
        <v>12</v>
      </c>
      <c r="R20" t="s">
        <v>198</v>
      </c>
      <c r="S20" t="s">
        <v>198</v>
      </c>
      <c r="T20" t="n">
        <v>0.125</v>
      </c>
    </row>
    <row r="21">
      <c r="A21" t="s">
        <v>30</v>
      </c>
      <c r="B21" t="n">
        <v>1.25</v>
      </c>
      <c r="C21" t="n">
        <v>1.25</v>
      </c>
      <c r="D21" t="n">
        <v>1.25</v>
      </c>
      <c r="E21" t="n">
        <v>-2.25</v>
      </c>
      <c r="F21" t="n">
        <v>-1.75</v>
      </c>
      <c r="G21" t="n">
        <v>23</v>
      </c>
      <c r="H21" t="n">
        <v>12</v>
      </c>
      <c r="I21" t="s">
        <v>198</v>
      </c>
      <c r="J21" t="n">
        <v>0</v>
      </c>
      <c r="K21" t="n">
        <v>0</v>
      </c>
      <c r="L21" t="n">
        <v>0</v>
      </c>
      <c r="M21" t="n">
        <v>12</v>
      </c>
      <c r="N21" t="n">
        <v>0.5</v>
      </c>
      <c r="O21" t="n">
        <v>-0.5</v>
      </c>
      <c r="P21" t="n">
        <v>172</v>
      </c>
      <c r="Q21" t="n">
        <v>12</v>
      </c>
      <c r="R21" t="s">
        <v>198</v>
      </c>
      <c r="S21" t="s">
        <v>198</v>
      </c>
      <c r="T21" t="n">
        <v>0.25</v>
      </c>
    </row>
    <row r="22">
      <c r="A22" t="s">
        <v>30</v>
      </c>
      <c r="B22" t="n">
        <v>1</v>
      </c>
      <c r="C22" t="n">
        <v>1.25</v>
      </c>
      <c r="D22" t="n">
        <v>1.25</v>
      </c>
      <c r="E22" t="n">
        <v>-4</v>
      </c>
      <c r="F22" t="n">
        <v>-0.75</v>
      </c>
      <c r="G22" t="n">
        <v>149</v>
      </c>
      <c r="H22" t="n">
        <v>12</v>
      </c>
      <c r="I22" t="s">
        <v>197</v>
      </c>
      <c r="J22" t="n">
        <v>0</v>
      </c>
      <c r="K22" t="n">
        <v>0</v>
      </c>
      <c r="L22" t="n">
        <v>0</v>
      </c>
      <c r="M22" t="n">
        <v>12</v>
      </c>
      <c r="N22" t="n">
        <v>0</v>
      </c>
      <c r="O22" t="n">
        <v>-0.25</v>
      </c>
      <c r="P22" t="n">
        <v>117</v>
      </c>
      <c r="Q22" t="n">
        <v>12</v>
      </c>
      <c r="R22" t="s">
        <v>198</v>
      </c>
      <c r="S22" t="s">
        <v>198</v>
      </c>
      <c r="T22" t="n">
        <v>-0.125</v>
      </c>
    </row>
    <row r="23">
      <c r="A23" t="s">
        <v>30</v>
      </c>
      <c r="B23" t="n">
        <v>1.25</v>
      </c>
      <c r="C23" t="n">
        <v>1.25</v>
      </c>
      <c r="D23" t="n">
        <v>1.25</v>
      </c>
      <c r="E23" t="n">
        <v>-2</v>
      </c>
      <c r="F23" t="n">
        <v>-1.75</v>
      </c>
      <c r="G23" t="n">
        <v>108</v>
      </c>
      <c r="H23" t="n">
        <v>12</v>
      </c>
      <c r="I23" t="s">
        <v>198</v>
      </c>
      <c r="J23" t="n">
        <v>0</v>
      </c>
      <c r="K23" t="n">
        <v>0</v>
      </c>
      <c r="L23" t="n">
        <v>0</v>
      </c>
      <c r="M23" t="n">
        <v>12</v>
      </c>
      <c r="N23" t="n">
        <v>0.5</v>
      </c>
      <c r="O23" t="n">
        <v>-0.25</v>
      </c>
      <c r="P23" t="n">
        <v>15</v>
      </c>
      <c r="Q23" t="n">
        <v>12</v>
      </c>
      <c r="R23" t="s">
        <v>198</v>
      </c>
      <c r="S23" t="s">
        <v>198</v>
      </c>
      <c r="T23" t="n">
        <v>0.375</v>
      </c>
    </row>
    <row r="24">
      <c r="A24" t="s">
        <v>30</v>
      </c>
      <c r="B24" t="n">
        <v>1.25</v>
      </c>
      <c r="C24" t="n">
        <v>1.6</v>
      </c>
      <c r="D24" t="n">
        <v>1.6</v>
      </c>
      <c r="E24" t="n">
        <v>-1.25</v>
      </c>
      <c r="F24" t="n">
        <v>-1</v>
      </c>
      <c r="G24" t="n">
        <v>67</v>
      </c>
      <c r="H24" t="n">
        <v>12</v>
      </c>
      <c r="I24" t="s">
        <v>198</v>
      </c>
      <c r="J24" t="n">
        <v>0</v>
      </c>
      <c r="K24" t="n">
        <v>0</v>
      </c>
      <c r="L24" t="n">
        <v>0</v>
      </c>
      <c r="M24" t="n">
        <v>12</v>
      </c>
      <c r="N24" t="n">
        <v>0.75</v>
      </c>
      <c r="O24" t="n">
        <v>-0.25</v>
      </c>
      <c r="P24" t="n">
        <v>161</v>
      </c>
      <c r="Q24" t="n">
        <v>12</v>
      </c>
      <c r="R24" t="s">
        <v>199</v>
      </c>
      <c r="S24" t="s">
        <v>199</v>
      </c>
      <c r="T24" t="n">
        <v>0.625</v>
      </c>
    </row>
    <row r="25">
      <c r="A25" t="s">
        <v>30</v>
      </c>
      <c r="B25" t="n">
        <v>1</v>
      </c>
      <c r="C25" t="n">
        <v>1</v>
      </c>
      <c r="D25" t="n">
        <v>1</v>
      </c>
      <c r="E25" t="n">
        <v>-2</v>
      </c>
      <c r="F25" t="n">
        <v>-1</v>
      </c>
      <c r="G25" t="n">
        <v>109</v>
      </c>
      <c r="H25" t="n">
        <v>12</v>
      </c>
      <c r="I25" t="s">
        <v>197</v>
      </c>
      <c r="J25" t="n">
        <v>0</v>
      </c>
      <c r="K25" t="n">
        <v>0</v>
      </c>
      <c r="L25" t="n">
        <v>0</v>
      </c>
      <c r="M25" t="n">
        <v>12</v>
      </c>
      <c r="N25" t="n">
        <v>0.25</v>
      </c>
      <c r="O25" t="n">
        <v>0</v>
      </c>
      <c r="P25" t="n">
        <v>159</v>
      </c>
      <c r="Q25" t="n">
        <v>12</v>
      </c>
      <c r="R25" t="s">
        <v>197</v>
      </c>
      <c r="S25" t="s">
        <v>197</v>
      </c>
      <c r="T25" t="n">
        <v>0.25</v>
      </c>
    </row>
    <row r="26">
      <c r="A26" t="s">
        <v>30</v>
      </c>
      <c r="B26" t="n">
        <v>1</v>
      </c>
      <c r="C26" t="n">
        <v>1</v>
      </c>
      <c r="D26" t="n">
        <v>1</v>
      </c>
      <c r="E26" t="n">
        <v>-5.5</v>
      </c>
      <c r="F26" t="n">
        <v>-0.25</v>
      </c>
      <c r="G26" t="n">
        <v>14</v>
      </c>
      <c r="H26" t="n">
        <v>12</v>
      </c>
      <c r="I26" t="s">
        <v>197</v>
      </c>
      <c r="J26" t="n">
        <v>0</v>
      </c>
      <c r="K26" t="n">
        <v>0</v>
      </c>
      <c r="L26" t="n">
        <v>0</v>
      </c>
      <c r="M26" t="n">
        <v>12</v>
      </c>
      <c r="N26" t="n">
        <v>-0.25</v>
      </c>
      <c r="O26" t="n">
        <v>-0.25</v>
      </c>
      <c r="P26" t="n">
        <v>84</v>
      </c>
      <c r="Q26" t="n">
        <v>12</v>
      </c>
      <c r="R26" t="s">
        <v>197</v>
      </c>
      <c r="S26" t="s">
        <v>197</v>
      </c>
      <c r="T26" t="n">
        <v>-0.375</v>
      </c>
    </row>
    <row r="27">
      <c r="A27" t="s">
        <v>30</v>
      </c>
      <c r="B27" t="n">
        <v>1</v>
      </c>
      <c r="C27"/>
      <c r="D27"/>
      <c r="E27" t="n">
        <v>-4</v>
      </c>
      <c r="F27" t="n">
        <v>-0.5</v>
      </c>
      <c r="G27" t="n">
        <v>179</v>
      </c>
      <c r="H27" t="n">
        <v>12</v>
      </c>
      <c r="I27" t="s">
        <v>197</v>
      </c>
      <c r="J27" t="n">
        <v>0</v>
      </c>
      <c r="K27" t="n">
        <v>0</v>
      </c>
      <c r="L27" t="n">
        <v>0</v>
      </c>
      <c r="M27" t="n">
        <v>12</v>
      </c>
      <c r="N27"/>
      <c r="O27"/>
      <c r="P27"/>
      <c r="Q27" t="n">
        <v>12</v>
      </c>
      <c r="R27" t="s">
        <v>95</v>
      </c>
      <c r="S27" t="s">
        <v>95</v>
      </c>
      <c r="T27"/>
    </row>
    <row r="28">
      <c r="A28" t="s">
        <v>30</v>
      </c>
      <c r="B28" t="n">
        <v>1</v>
      </c>
      <c r="C28"/>
      <c r="D28"/>
      <c r="E28" t="n">
        <v>-4.5</v>
      </c>
      <c r="F28" t="n">
        <v>-0.5</v>
      </c>
      <c r="G28" t="n">
        <v>176</v>
      </c>
      <c r="H28" t="n">
        <v>12</v>
      </c>
      <c r="I28" t="s">
        <v>197</v>
      </c>
      <c r="J28" t="n">
        <v>0</v>
      </c>
      <c r="K28" t="n">
        <v>0</v>
      </c>
      <c r="L28" t="n">
        <v>0</v>
      </c>
      <c r="M28" t="n">
        <v>12</v>
      </c>
      <c r="N28"/>
      <c r="O28"/>
      <c r="P28"/>
      <c r="Q28" t="n">
        <v>12</v>
      </c>
      <c r="R28" t="s">
        <v>95</v>
      </c>
      <c r="S28" t="s">
        <v>95</v>
      </c>
      <c r="T28"/>
    </row>
    <row r="29">
      <c r="A29" t="s">
        <v>30</v>
      </c>
      <c r="B29" t="n">
        <v>1.25</v>
      </c>
      <c r="C29" t="n">
        <v>1.6</v>
      </c>
      <c r="D29" t="n">
        <v>1.6</v>
      </c>
      <c r="E29" t="n">
        <v>-2</v>
      </c>
      <c r="F29" t="n">
        <v>-1.25</v>
      </c>
      <c r="G29" t="n">
        <v>2</v>
      </c>
      <c r="H29" t="n">
        <v>12</v>
      </c>
      <c r="I29" t="s">
        <v>198</v>
      </c>
      <c r="J29" t="n">
        <v>0</v>
      </c>
      <c r="K29" t="n">
        <v>0</v>
      </c>
      <c r="L29" t="n">
        <v>0</v>
      </c>
      <c r="M29" t="n">
        <v>12</v>
      </c>
      <c r="N29" t="n">
        <v>0.25</v>
      </c>
      <c r="O29" t="n">
        <v>-0.25</v>
      </c>
      <c r="P29" t="n">
        <v>157</v>
      </c>
      <c r="Q29" t="n">
        <v>12</v>
      </c>
      <c r="R29" t="s">
        <v>199</v>
      </c>
      <c r="S29" t="s">
        <v>199</v>
      </c>
      <c r="T29" t="n">
        <v>0.125</v>
      </c>
    </row>
    <row r="30">
      <c r="A30" t="s">
        <v>30</v>
      </c>
      <c r="B30" t="n">
        <v>1</v>
      </c>
      <c r="C30" t="n">
        <v>1</v>
      </c>
      <c r="D30" t="n">
        <v>1</v>
      </c>
      <c r="E30" t="n">
        <v>-1.75</v>
      </c>
      <c r="F30" t="n">
        <v>-1.5</v>
      </c>
      <c r="G30" t="n">
        <v>176</v>
      </c>
      <c r="H30" t="n">
        <v>12</v>
      </c>
      <c r="I30" t="s">
        <v>197</v>
      </c>
      <c r="J30" t="n">
        <v>0</v>
      </c>
      <c r="K30" t="n">
        <v>0</v>
      </c>
      <c r="L30" t="n">
        <v>0</v>
      </c>
      <c r="M30" t="n">
        <v>12</v>
      </c>
      <c r="N30" t="n">
        <v>0.5</v>
      </c>
      <c r="O30" t="n">
        <v>-0.25</v>
      </c>
      <c r="P30" t="n">
        <v>20</v>
      </c>
      <c r="Q30" t="n">
        <v>12</v>
      </c>
      <c r="R30" t="s">
        <v>197</v>
      </c>
      <c r="S30" t="s">
        <v>197</v>
      </c>
      <c r="T30" t="n">
        <v>0.375</v>
      </c>
    </row>
    <row r="31">
      <c r="A31" t="s">
        <v>30</v>
      </c>
      <c r="B31" t="n">
        <v>1</v>
      </c>
      <c r="C31" t="n">
        <v>1</v>
      </c>
      <c r="D31" t="n">
        <v>1</v>
      </c>
      <c r="E31" t="n">
        <v>-1.5</v>
      </c>
      <c r="F31" t="n">
        <v>-1</v>
      </c>
      <c r="G31" t="n">
        <v>21</v>
      </c>
      <c r="H31" t="n">
        <v>12</v>
      </c>
      <c r="I31" t="s">
        <v>197</v>
      </c>
      <c r="J31" t="n">
        <v>0</v>
      </c>
      <c r="K31" t="n">
        <v>0</v>
      </c>
      <c r="L31" t="n">
        <v>0</v>
      </c>
      <c r="M31" t="n">
        <v>12</v>
      </c>
      <c r="N31" t="n">
        <v>0</v>
      </c>
      <c r="O31" t="n">
        <v>-0.25</v>
      </c>
      <c r="P31" t="n">
        <v>52</v>
      </c>
      <c r="Q31" t="n">
        <v>12</v>
      </c>
      <c r="R31" t="s">
        <v>197</v>
      </c>
      <c r="S31" t="s">
        <v>197</v>
      </c>
      <c r="T31" t="n">
        <v>-0.125</v>
      </c>
    </row>
    <row r="32">
      <c r="A32" t="s">
        <v>30</v>
      </c>
      <c r="B32" t="n">
        <v>1.25</v>
      </c>
      <c r="C32" t="n">
        <v>1.6</v>
      </c>
      <c r="D32" t="n">
        <v>1.6</v>
      </c>
      <c r="E32" t="n">
        <v>-2.5</v>
      </c>
      <c r="F32" t="n">
        <v>-1</v>
      </c>
      <c r="G32" t="n">
        <v>167</v>
      </c>
      <c r="H32" t="n">
        <v>12</v>
      </c>
      <c r="I32" t="s">
        <v>198</v>
      </c>
      <c r="J32" t="n">
        <v>0</v>
      </c>
      <c r="K32" t="n">
        <v>0</v>
      </c>
      <c r="L32" t="n">
        <v>0</v>
      </c>
      <c r="M32" t="n">
        <v>12</v>
      </c>
      <c r="N32" t="n">
        <v>0.25</v>
      </c>
      <c r="O32" t="n">
        <v>-0.25</v>
      </c>
      <c r="P32" t="n">
        <v>142</v>
      </c>
      <c r="Q32" t="n">
        <v>12</v>
      </c>
      <c r="R32" t="s">
        <v>199</v>
      </c>
      <c r="S32" t="s">
        <v>199</v>
      </c>
      <c r="T32" t="n">
        <v>0.125</v>
      </c>
    </row>
    <row r="33">
      <c r="A33" t="s">
        <v>30</v>
      </c>
      <c r="B33" t="n">
        <v>0.8</v>
      </c>
      <c r="C33"/>
      <c r="D33"/>
      <c r="E33" t="n">
        <v>-6</v>
      </c>
      <c r="F33" t="n">
        <v>-0.75</v>
      </c>
      <c r="G33" t="n">
        <v>116</v>
      </c>
      <c r="H33" t="n">
        <v>12</v>
      </c>
      <c r="I33" t="s">
        <v>196</v>
      </c>
      <c r="J33" t="n">
        <v>0</v>
      </c>
      <c r="K33" t="n">
        <v>0</v>
      </c>
      <c r="L33" t="n">
        <v>0</v>
      </c>
      <c r="M33" t="n">
        <v>12</v>
      </c>
      <c r="N33"/>
      <c r="O33"/>
      <c r="P33"/>
      <c r="Q33" t="n">
        <v>12</v>
      </c>
      <c r="R33" t="s">
        <v>95</v>
      </c>
      <c r="S33" t="s">
        <v>95</v>
      </c>
      <c r="T33"/>
    </row>
    <row r="34">
      <c r="A34" t="s">
        <v>30</v>
      </c>
      <c r="B34" t="n">
        <v>1</v>
      </c>
      <c r="C34"/>
      <c r="D34"/>
      <c r="E34" t="n">
        <v>-4</v>
      </c>
      <c r="F34" t="n">
        <v>-1</v>
      </c>
      <c r="G34" t="n">
        <v>59</v>
      </c>
      <c r="H34" t="n">
        <v>12</v>
      </c>
      <c r="I34" t="s">
        <v>197</v>
      </c>
      <c r="J34" t="n">
        <v>0</v>
      </c>
      <c r="K34" t="n">
        <v>0</v>
      </c>
      <c r="L34" t="n">
        <v>0</v>
      </c>
      <c r="M34" t="n">
        <v>12</v>
      </c>
      <c r="N34"/>
      <c r="O34"/>
      <c r="P34"/>
      <c r="Q34" t="n">
        <v>12</v>
      </c>
      <c r="R34" t="s">
        <v>95</v>
      </c>
      <c r="S34" t="s">
        <v>95</v>
      </c>
      <c r="T34"/>
    </row>
    <row r="35">
      <c r="A35" t="s">
        <v>30</v>
      </c>
      <c r="B35" t="n">
        <v>1</v>
      </c>
      <c r="C35" t="n">
        <v>1.25</v>
      </c>
      <c r="D35" t="n">
        <v>1.25</v>
      </c>
      <c r="E35" t="n">
        <v>-3</v>
      </c>
      <c r="F35" t="n">
        <v>-1</v>
      </c>
      <c r="G35" t="n">
        <v>101</v>
      </c>
      <c r="H35" t="n">
        <v>12</v>
      </c>
      <c r="I35" t="s">
        <v>197</v>
      </c>
      <c r="J35" t="n">
        <v>0</v>
      </c>
      <c r="K35" t="n">
        <v>0</v>
      </c>
      <c r="L35" t="n">
        <v>0</v>
      </c>
      <c r="M35" t="n">
        <v>12</v>
      </c>
      <c r="N35" t="n">
        <v>0</v>
      </c>
      <c r="O35" t="n">
        <v>0</v>
      </c>
      <c r="P35" t="n">
        <v>58</v>
      </c>
      <c r="Q35" t="n">
        <v>12</v>
      </c>
      <c r="R35" t="s">
        <v>198</v>
      </c>
      <c r="S35" t="s">
        <v>198</v>
      </c>
      <c r="T35" t="n">
        <v>0</v>
      </c>
    </row>
    <row r="36">
      <c r="A36" t="s">
        <v>30</v>
      </c>
      <c r="B36" t="n">
        <v>1.25</v>
      </c>
      <c r="C36"/>
      <c r="D36" t="n">
        <v>1.6</v>
      </c>
      <c r="E36" t="n">
        <v>-2.75</v>
      </c>
      <c r="F36" t="n">
        <v>-1</v>
      </c>
      <c r="G36" t="n">
        <v>83</v>
      </c>
      <c r="H36" t="n">
        <v>12</v>
      </c>
      <c r="I36" t="s">
        <v>198</v>
      </c>
      <c r="J36" t="n">
        <v>0</v>
      </c>
      <c r="K36" t="n">
        <v>0</v>
      </c>
      <c r="L36" t="n">
        <v>0</v>
      </c>
      <c r="M36" t="n">
        <v>12</v>
      </c>
      <c r="N36" t="n">
        <v>0.25</v>
      </c>
      <c r="O36" t="n">
        <v>-0.25</v>
      </c>
      <c r="P36" t="n">
        <v>165</v>
      </c>
      <c r="Q36" t="n">
        <v>12</v>
      </c>
      <c r="R36" t="s">
        <v>199</v>
      </c>
      <c r="S36" t="s">
        <v>95</v>
      </c>
      <c r="T36" t="n">
        <v>0.125</v>
      </c>
    </row>
    <row r="37">
      <c r="A37" t="s">
        <v>30</v>
      </c>
      <c r="B37" t="n">
        <v>1.25</v>
      </c>
      <c r="C37" t="n">
        <v>1.25</v>
      </c>
      <c r="D37" t="n">
        <v>1.25</v>
      </c>
      <c r="E37" t="n">
        <v>-2.25</v>
      </c>
      <c r="F37" t="n">
        <v>-1</v>
      </c>
      <c r="G37" t="n">
        <v>170</v>
      </c>
      <c r="H37" t="n">
        <v>12</v>
      </c>
      <c r="I37" t="s">
        <v>198</v>
      </c>
      <c r="J37" t="n">
        <v>0</v>
      </c>
      <c r="K37" t="n">
        <v>0</v>
      </c>
      <c r="L37" t="n">
        <v>0</v>
      </c>
      <c r="M37" t="n">
        <v>12</v>
      </c>
      <c r="N37" t="n">
        <v>0.25</v>
      </c>
      <c r="O37" t="n">
        <v>-0.25</v>
      </c>
      <c r="P37" t="n">
        <v>70</v>
      </c>
      <c r="Q37" t="n">
        <v>12</v>
      </c>
      <c r="R37" t="s">
        <v>198</v>
      </c>
      <c r="S37" t="s">
        <v>198</v>
      </c>
      <c r="T37" t="n">
        <v>0.125</v>
      </c>
    </row>
    <row r="38">
      <c r="A38" t="s">
        <v>30</v>
      </c>
      <c r="B38" t="n">
        <v>1</v>
      </c>
      <c r="C38" t="n">
        <v>1</v>
      </c>
      <c r="D38" t="n">
        <v>1</v>
      </c>
      <c r="E38" t="n">
        <v>-2</v>
      </c>
      <c r="F38" t="n">
        <v>-1.25</v>
      </c>
      <c r="G38" t="n">
        <v>170</v>
      </c>
      <c r="H38" t="n">
        <v>12</v>
      </c>
      <c r="I38" t="s">
        <v>197</v>
      </c>
      <c r="J38" t="n">
        <v>0</v>
      </c>
      <c r="K38" t="n">
        <v>0</v>
      </c>
      <c r="L38" t="n">
        <v>0</v>
      </c>
      <c r="M38" t="n">
        <v>12</v>
      </c>
      <c r="N38" t="n">
        <v>0.25</v>
      </c>
      <c r="O38" t="n">
        <v>-0.25</v>
      </c>
      <c r="P38" t="n">
        <v>108</v>
      </c>
      <c r="Q38" t="n">
        <v>12</v>
      </c>
      <c r="R38" t="s">
        <v>197</v>
      </c>
      <c r="S38" t="s">
        <v>197</v>
      </c>
      <c r="T38" t="n">
        <v>0.125</v>
      </c>
    </row>
    <row r="39">
      <c r="A39" t="s">
        <v>30</v>
      </c>
      <c r="B39" t="n">
        <v>1</v>
      </c>
      <c r="C39" t="n">
        <v>1</v>
      </c>
      <c r="D39" t="n">
        <v>1</v>
      </c>
      <c r="E39" t="n">
        <v>-3.75</v>
      </c>
      <c r="F39" t="n">
        <v>-1.5</v>
      </c>
      <c r="G39" t="n">
        <v>160</v>
      </c>
      <c r="H39" t="n">
        <v>12</v>
      </c>
      <c r="I39" t="s">
        <v>197</v>
      </c>
      <c r="J39" t="n">
        <v>0</v>
      </c>
      <c r="K39" t="n">
        <v>0</v>
      </c>
      <c r="L39" t="n">
        <v>0</v>
      </c>
      <c r="M39" t="n">
        <v>12</v>
      </c>
      <c r="N39" t="n">
        <v>0.75</v>
      </c>
      <c r="O39" t="n">
        <v>-0.5</v>
      </c>
      <c r="P39" t="n">
        <v>106</v>
      </c>
      <c r="Q39" t="n">
        <v>12</v>
      </c>
      <c r="R39" t="s">
        <v>197</v>
      </c>
      <c r="S39" t="s">
        <v>197</v>
      </c>
      <c r="T39" t="n">
        <v>0.5</v>
      </c>
    </row>
    <row r="40">
      <c r="A40" t="s">
        <v>30</v>
      </c>
      <c r="B40" t="n">
        <v>1.25</v>
      </c>
      <c r="C40" t="n">
        <v>1.6</v>
      </c>
      <c r="D40" t="n">
        <v>1.6</v>
      </c>
      <c r="E40" t="n">
        <v>-4</v>
      </c>
      <c r="F40" t="n">
        <v>-0.5</v>
      </c>
      <c r="G40" t="n">
        <v>11</v>
      </c>
      <c r="H40" t="n">
        <v>12</v>
      </c>
      <c r="I40" t="s">
        <v>198</v>
      </c>
      <c r="J40" t="n">
        <v>0</v>
      </c>
      <c r="K40" t="n">
        <v>0</v>
      </c>
      <c r="L40" t="n">
        <v>0</v>
      </c>
      <c r="M40" t="n">
        <v>12</v>
      </c>
      <c r="N40" t="n">
        <v>0</v>
      </c>
      <c r="O40" t="n">
        <v>0</v>
      </c>
      <c r="P40" t="n">
        <v>111</v>
      </c>
      <c r="Q40" t="n">
        <v>12</v>
      </c>
      <c r="R40" t="s">
        <v>199</v>
      </c>
      <c r="S40" t="s">
        <v>199</v>
      </c>
      <c r="T40" t="n">
        <v>0</v>
      </c>
    </row>
    <row r="41">
      <c r="A41" t="s">
        <v>30</v>
      </c>
      <c r="B41" t="n">
        <v>1.25</v>
      </c>
      <c r="C41" t="n">
        <v>1.25</v>
      </c>
      <c r="D41" t="n">
        <v>1.25</v>
      </c>
      <c r="E41" t="n">
        <v>-3.25</v>
      </c>
      <c r="F41" t="n">
        <v>-0.75</v>
      </c>
      <c r="G41" t="n">
        <v>19</v>
      </c>
      <c r="H41" t="n">
        <v>12</v>
      </c>
      <c r="I41" t="s">
        <v>198</v>
      </c>
      <c r="J41" t="n">
        <v>0</v>
      </c>
      <c r="K41" t="n">
        <v>0</v>
      </c>
      <c r="L41" t="n">
        <v>0</v>
      </c>
      <c r="M41" t="n">
        <v>12</v>
      </c>
      <c r="N41" t="n">
        <v>0.5</v>
      </c>
      <c r="O41" t="n">
        <v>-0.5</v>
      </c>
      <c r="P41" t="n">
        <v>43</v>
      </c>
      <c r="Q41" t="n">
        <v>12</v>
      </c>
      <c r="R41" t="s">
        <v>198</v>
      </c>
      <c r="S41" t="s">
        <v>198</v>
      </c>
      <c r="T41" t="n">
        <v>0.25</v>
      </c>
    </row>
    <row r="42">
      <c r="A42" t="s">
        <v>30</v>
      </c>
      <c r="B42" t="n">
        <v>1</v>
      </c>
      <c r="C42" t="n">
        <v>1</v>
      </c>
      <c r="D42" t="n">
        <v>1</v>
      </c>
      <c r="E42" t="n">
        <v>-4.75</v>
      </c>
      <c r="F42" t="n">
        <v>-0.5</v>
      </c>
      <c r="G42" t="n">
        <v>150</v>
      </c>
      <c r="H42" t="n">
        <v>12</v>
      </c>
      <c r="I42" t="s">
        <v>197</v>
      </c>
      <c r="J42" t="n">
        <v>0</v>
      </c>
      <c r="K42" t="n">
        <v>0</v>
      </c>
      <c r="L42" t="n">
        <v>0</v>
      </c>
      <c r="M42" t="n">
        <v>12</v>
      </c>
      <c r="N42" t="n">
        <v>0.5</v>
      </c>
      <c r="O42" t="n">
        <v>-0.25</v>
      </c>
      <c r="P42" t="n">
        <v>148</v>
      </c>
      <c r="Q42" t="n">
        <v>12</v>
      </c>
      <c r="R42" t="s">
        <v>197</v>
      </c>
      <c r="S42" t="s">
        <v>197</v>
      </c>
      <c r="T42" t="n">
        <v>0.375</v>
      </c>
    </row>
    <row r="43">
      <c r="A43" t="s">
        <v>30</v>
      </c>
      <c r="B43" t="n">
        <v>1</v>
      </c>
      <c r="C43" t="n">
        <v>1</v>
      </c>
      <c r="D43" t="n">
        <v>1</v>
      </c>
      <c r="E43" t="n">
        <v>-4</v>
      </c>
      <c r="F43" t="n">
        <v>-2.5</v>
      </c>
      <c r="G43" t="n">
        <v>173</v>
      </c>
      <c r="H43" t="n">
        <v>12</v>
      </c>
      <c r="I43" t="s">
        <v>197</v>
      </c>
      <c r="J43" t="n">
        <v>0</v>
      </c>
      <c r="K43" t="n">
        <v>0</v>
      </c>
      <c r="L43" t="n">
        <v>0</v>
      </c>
      <c r="M43" t="n">
        <v>12</v>
      </c>
      <c r="N43" t="n">
        <v>0</v>
      </c>
      <c r="O43" t="n">
        <v>-0.25</v>
      </c>
      <c r="P43" t="n">
        <v>156</v>
      </c>
      <c r="Q43" t="n">
        <v>12</v>
      </c>
      <c r="R43" t="s">
        <v>197</v>
      </c>
      <c r="S43" t="s">
        <v>197</v>
      </c>
      <c r="T43" t="n">
        <v>-0.125</v>
      </c>
    </row>
    <row r="44">
      <c r="A44" t="s">
        <v>30</v>
      </c>
      <c r="B44" t="n">
        <v>1.25</v>
      </c>
      <c r="C44" t="n">
        <v>1</v>
      </c>
      <c r="D44" t="n">
        <v>1</v>
      </c>
      <c r="E44" t="n">
        <v>-3.75</v>
      </c>
      <c r="F44" t="n">
        <v>-1.5</v>
      </c>
      <c r="G44" t="n">
        <v>4</v>
      </c>
      <c r="H44" t="n">
        <v>12</v>
      </c>
      <c r="I44" t="s">
        <v>198</v>
      </c>
      <c r="J44" t="n">
        <v>0</v>
      </c>
      <c r="K44" t="n">
        <v>0</v>
      </c>
      <c r="L44" t="n">
        <v>0</v>
      </c>
      <c r="M44" t="n">
        <v>12</v>
      </c>
      <c r="N44" t="n">
        <v>-0.25</v>
      </c>
      <c r="O44" t="n">
        <v>0</v>
      </c>
      <c r="P44" t="n">
        <v>178</v>
      </c>
      <c r="Q44" t="n">
        <v>12</v>
      </c>
      <c r="R44" t="s">
        <v>197</v>
      </c>
      <c r="S44" t="s">
        <v>197</v>
      </c>
      <c r="T44" t="n">
        <v>-0.25</v>
      </c>
    </row>
    <row r="45">
      <c r="A45" t="s">
        <v>30</v>
      </c>
      <c r="B45" t="n">
        <v>0.8</v>
      </c>
      <c r="C45" t="n">
        <v>0.8</v>
      </c>
      <c r="D45" t="n">
        <v>0.8</v>
      </c>
      <c r="E45" t="n">
        <v>-8</v>
      </c>
      <c r="F45" t="n">
        <v>-1.25</v>
      </c>
      <c r="G45" t="n">
        <v>44</v>
      </c>
      <c r="H45" t="n">
        <v>12</v>
      </c>
      <c r="I45" t="s">
        <v>196</v>
      </c>
      <c r="J45" t="n">
        <v>0</v>
      </c>
      <c r="K45" t="n">
        <v>0</v>
      </c>
      <c r="L45" t="n">
        <v>0</v>
      </c>
      <c r="M45" t="n">
        <v>12</v>
      </c>
      <c r="N45" t="n">
        <v>0.75</v>
      </c>
      <c r="O45" t="n">
        <v>-0.5</v>
      </c>
      <c r="P45" t="n">
        <v>4</v>
      </c>
      <c r="Q45" t="n">
        <v>12</v>
      </c>
      <c r="R45" t="s">
        <v>196</v>
      </c>
      <c r="S45" t="s">
        <v>196</v>
      </c>
      <c r="T45" t="n">
        <v>0.5</v>
      </c>
    </row>
    <row r="46">
      <c r="A46" t="s">
        <v>30</v>
      </c>
      <c r="B46" t="n">
        <v>0.8</v>
      </c>
      <c r="C46" t="n">
        <v>0.8</v>
      </c>
      <c r="D46" t="n">
        <v>0.8</v>
      </c>
      <c r="E46" t="n">
        <v>-7.5</v>
      </c>
      <c r="F46" t="n">
        <v>-0.5</v>
      </c>
      <c r="G46" t="n">
        <v>142</v>
      </c>
      <c r="H46" t="n">
        <v>12</v>
      </c>
      <c r="I46" t="s">
        <v>196</v>
      </c>
      <c r="J46" t="n">
        <v>0</v>
      </c>
      <c r="K46" t="n">
        <v>0</v>
      </c>
      <c r="L46" t="n">
        <v>0</v>
      </c>
      <c r="M46" t="n">
        <v>12</v>
      </c>
      <c r="N46" t="n">
        <v>0</v>
      </c>
      <c r="O46" t="n">
        <v>-0.25</v>
      </c>
      <c r="P46" t="n">
        <v>175</v>
      </c>
      <c r="Q46" t="n">
        <v>12</v>
      </c>
      <c r="R46" t="s">
        <v>196</v>
      </c>
      <c r="S46" t="s">
        <v>196</v>
      </c>
      <c r="T46" t="n">
        <v>-0.125</v>
      </c>
    </row>
    <row r="47">
      <c r="A47" t="s">
        <v>30</v>
      </c>
      <c r="B47" t="n">
        <v>1.25</v>
      </c>
      <c r="C47" t="n">
        <v>1</v>
      </c>
      <c r="D47" t="n">
        <v>1.25</v>
      </c>
      <c r="E47" t="n">
        <v>-1.5</v>
      </c>
      <c r="F47" t="n">
        <v>-0.5</v>
      </c>
      <c r="G47" t="n">
        <v>122</v>
      </c>
      <c r="H47" t="n">
        <v>12</v>
      </c>
      <c r="I47" t="s">
        <v>198</v>
      </c>
      <c r="J47" t="n">
        <v>0</v>
      </c>
      <c r="K47" t="n">
        <v>0</v>
      </c>
      <c r="L47" t="n">
        <v>0</v>
      </c>
      <c r="M47" t="n">
        <v>12</v>
      </c>
      <c r="N47" t="n">
        <v>0.5</v>
      </c>
      <c r="O47" t="n">
        <v>-0.25</v>
      </c>
      <c r="P47" t="n">
        <v>85</v>
      </c>
      <c r="Q47" t="n">
        <v>12</v>
      </c>
      <c r="R47" t="s">
        <v>198</v>
      </c>
      <c r="S47" t="s">
        <v>197</v>
      </c>
      <c r="T47" t="n">
        <v>0.375</v>
      </c>
    </row>
    <row r="48">
      <c r="A48" t="s">
        <v>30</v>
      </c>
      <c r="B48" t="n">
        <v>1</v>
      </c>
      <c r="C48" t="n">
        <v>1</v>
      </c>
      <c r="D48" t="n">
        <v>1.25</v>
      </c>
      <c r="E48" t="n">
        <v>-0.75</v>
      </c>
      <c r="F48" t="n">
        <v>-0.5</v>
      </c>
      <c r="G48" t="n">
        <v>11</v>
      </c>
      <c r="H48" t="n">
        <v>12</v>
      </c>
      <c r="I48" t="s">
        <v>197</v>
      </c>
      <c r="J48" t="n">
        <v>0</v>
      </c>
      <c r="K48" t="n">
        <v>0</v>
      </c>
      <c r="L48" t="n">
        <v>0</v>
      </c>
      <c r="M48" t="n">
        <v>12</v>
      </c>
      <c r="N48" t="n">
        <v>0.25</v>
      </c>
      <c r="O48" t="n">
        <v>-0.25</v>
      </c>
      <c r="P48" t="n">
        <v>120</v>
      </c>
      <c r="Q48" t="n">
        <v>12</v>
      </c>
      <c r="R48" t="s">
        <v>198</v>
      </c>
      <c r="S48" t="s">
        <v>197</v>
      </c>
      <c r="T48" t="n">
        <v>0.125</v>
      </c>
    </row>
    <row r="49">
      <c r="A49" t="s">
        <v>30</v>
      </c>
      <c r="B49" t="n">
        <v>1</v>
      </c>
      <c r="C49" t="n">
        <v>1</v>
      </c>
      <c r="D49" t="n">
        <v>1.25</v>
      </c>
      <c r="E49" t="n">
        <v>-0.25</v>
      </c>
      <c r="F49" t="n">
        <v>-0.75</v>
      </c>
      <c r="G49" t="n">
        <v>153</v>
      </c>
      <c r="H49" t="n">
        <v>12</v>
      </c>
      <c r="I49" t="s">
        <v>197</v>
      </c>
      <c r="J49" t="n">
        <v>0</v>
      </c>
      <c r="K49" t="n">
        <v>0</v>
      </c>
      <c r="L49" t="n">
        <v>0</v>
      </c>
      <c r="M49" t="n">
        <v>12</v>
      </c>
      <c r="N49" t="n">
        <v>0.75</v>
      </c>
      <c r="O49" t="n">
        <v>-0.25</v>
      </c>
      <c r="P49" t="n">
        <v>87</v>
      </c>
      <c r="Q49" t="n">
        <v>12</v>
      </c>
      <c r="R49" t="s">
        <v>198</v>
      </c>
      <c r="S49" t="s">
        <v>197</v>
      </c>
      <c r="T49" t="n">
        <v>0.625</v>
      </c>
    </row>
    <row r="50">
      <c r="A50" t="s">
        <v>30</v>
      </c>
      <c r="B50" t="n">
        <v>1</v>
      </c>
      <c r="C50" t="n">
        <v>1</v>
      </c>
      <c r="D50" t="n">
        <v>1</v>
      </c>
      <c r="E50" t="n">
        <v>-0.75</v>
      </c>
      <c r="F50" t="n">
        <v>-2.25</v>
      </c>
      <c r="G50" t="n">
        <v>27</v>
      </c>
      <c r="H50" t="n">
        <v>12</v>
      </c>
      <c r="I50" t="s">
        <v>197</v>
      </c>
      <c r="J50" t="n">
        <v>0</v>
      </c>
      <c r="K50" t="n">
        <v>0</v>
      </c>
      <c r="L50" t="n">
        <v>0</v>
      </c>
      <c r="M50" t="n">
        <v>12</v>
      </c>
      <c r="N50" t="n">
        <v>0</v>
      </c>
      <c r="O50" t="n">
        <v>-0.25</v>
      </c>
      <c r="P50" t="n">
        <v>178</v>
      </c>
      <c r="Q50" t="n">
        <v>12</v>
      </c>
      <c r="R50" t="s">
        <v>197</v>
      </c>
      <c r="S50" t="s">
        <v>197</v>
      </c>
      <c r="T50" t="n">
        <v>-0.125</v>
      </c>
    </row>
    <row r="51">
      <c r="A51" t="s">
        <v>30</v>
      </c>
      <c r="B51" t="n">
        <v>1</v>
      </c>
      <c r="C51" t="n">
        <v>1</v>
      </c>
      <c r="D51" t="n">
        <v>1</v>
      </c>
      <c r="E51" t="n">
        <v>-0.25</v>
      </c>
      <c r="F51" t="n">
        <v>-2.25</v>
      </c>
      <c r="G51" t="n">
        <v>152</v>
      </c>
      <c r="H51" t="n">
        <v>12</v>
      </c>
      <c r="I51" t="s">
        <v>197</v>
      </c>
      <c r="J51" t="n">
        <v>0</v>
      </c>
      <c r="K51" t="n">
        <v>0</v>
      </c>
      <c r="L51" t="n">
        <v>0</v>
      </c>
      <c r="M51" t="n">
        <v>12</v>
      </c>
      <c r="N51" t="n">
        <v>0</v>
      </c>
      <c r="O51" t="n">
        <v>-0.25</v>
      </c>
      <c r="P51" t="n">
        <v>172</v>
      </c>
      <c r="Q51" t="n">
        <v>12</v>
      </c>
      <c r="R51" t="s">
        <v>197</v>
      </c>
      <c r="S51" t="s">
        <v>197</v>
      </c>
      <c r="T51" t="n">
        <v>-0.125</v>
      </c>
    </row>
    <row r="52">
      <c r="A52" t="s">
        <v>30</v>
      </c>
      <c r="B52" t="n">
        <v>1</v>
      </c>
      <c r="C52" t="n">
        <v>1.25</v>
      </c>
      <c r="D52" t="n">
        <v>1.25</v>
      </c>
      <c r="E52" t="n">
        <v>-7.25</v>
      </c>
      <c r="F52" t="n">
        <v>-0.75</v>
      </c>
      <c r="G52" t="n">
        <v>165</v>
      </c>
      <c r="H52" t="n">
        <v>12</v>
      </c>
      <c r="I52" t="s">
        <v>197</v>
      </c>
      <c r="J52" t="n">
        <v>0</v>
      </c>
      <c r="K52" t="n">
        <v>0</v>
      </c>
      <c r="L52" t="n">
        <v>0</v>
      </c>
      <c r="M52" t="n">
        <v>12</v>
      </c>
      <c r="N52" t="n">
        <v>0</v>
      </c>
      <c r="O52" t="n">
        <v>-0.25</v>
      </c>
      <c r="P52" t="n">
        <v>133</v>
      </c>
      <c r="Q52" t="n">
        <v>12</v>
      </c>
      <c r="R52" t="s">
        <v>198</v>
      </c>
      <c r="S52" t="s">
        <v>198</v>
      </c>
      <c r="T52" t="n">
        <v>-0.125</v>
      </c>
    </row>
    <row r="53">
      <c r="A53" t="s">
        <v>30</v>
      </c>
      <c r="B53" t="n">
        <v>1</v>
      </c>
      <c r="C53" t="n">
        <v>1</v>
      </c>
      <c r="D53" t="n">
        <v>1</v>
      </c>
      <c r="E53" t="n">
        <v>-6.25</v>
      </c>
      <c r="F53" t="n">
        <v>-2</v>
      </c>
      <c r="G53" t="n">
        <v>24</v>
      </c>
      <c r="H53" t="n">
        <v>12</v>
      </c>
      <c r="I53" t="s">
        <v>197</v>
      </c>
      <c r="J53" t="n">
        <v>0</v>
      </c>
      <c r="K53" t="n">
        <v>0</v>
      </c>
      <c r="L53" t="n">
        <v>0</v>
      </c>
      <c r="M53" t="n">
        <v>12</v>
      </c>
      <c r="N53" t="n">
        <v>0</v>
      </c>
      <c r="O53" t="n">
        <v>-0.5</v>
      </c>
      <c r="P53" t="n">
        <v>24</v>
      </c>
      <c r="Q53" t="n">
        <v>12</v>
      </c>
      <c r="R53" t="s">
        <v>197</v>
      </c>
      <c r="S53" t="s">
        <v>197</v>
      </c>
      <c r="T53" t="n">
        <v>-0.25</v>
      </c>
    </row>
    <row r="54">
      <c r="A54" t="s">
        <v>30</v>
      </c>
      <c r="B54" t="n">
        <v>1</v>
      </c>
      <c r="C54" t="n">
        <v>1.25</v>
      </c>
      <c r="D54" t="n">
        <v>1.25</v>
      </c>
      <c r="E54" t="n">
        <v>-4</v>
      </c>
      <c r="F54" t="n">
        <v>-1</v>
      </c>
      <c r="G54" t="n">
        <v>21</v>
      </c>
      <c r="H54" t="n">
        <v>12</v>
      </c>
      <c r="I54" t="s">
        <v>197</v>
      </c>
      <c r="J54" t="n">
        <v>0</v>
      </c>
      <c r="K54" t="n">
        <v>0</v>
      </c>
      <c r="L54" t="n">
        <v>0</v>
      </c>
      <c r="M54" t="n">
        <v>12</v>
      </c>
      <c r="N54" t="n">
        <v>0.5</v>
      </c>
      <c r="O54" t="n">
        <v>-0.5</v>
      </c>
      <c r="P54" t="n">
        <v>156</v>
      </c>
      <c r="Q54" t="n">
        <v>12</v>
      </c>
      <c r="R54" t="s">
        <v>198</v>
      </c>
      <c r="S54" t="s">
        <v>198</v>
      </c>
      <c r="T54" t="n">
        <v>0.25</v>
      </c>
    </row>
    <row r="55">
      <c r="A55" t="s">
        <v>30</v>
      </c>
      <c r="B55" t="n">
        <v>1</v>
      </c>
      <c r="C55" t="n">
        <v>1.6</v>
      </c>
      <c r="D55" t="n">
        <v>1.6</v>
      </c>
      <c r="E55" t="n">
        <v>-1.75</v>
      </c>
      <c r="F55" t="n">
        <v>-1.75</v>
      </c>
      <c r="G55" t="n">
        <v>164</v>
      </c>
      <c r="H55" t="n">
        <v>12</v>
      </c>
      <c r="I55" t="s">
        <v>197</v>
      </c>
      <c r="J55" t="n">
        <v>0</v>
      </c>
      <c r="K55" t="n">
        <v>0</v>
      </c>
      <c r="L55" t="n">
        <v>0</v>
      </c>
      <c r="M55" t="n">
        <v>12</v>
      </c>
      <c r="N55" t="n">
        <v>0.5</v>
      </c>
      <c r="O55" t="n">
        <v>-0.5</v>
      </c>
      <c r="P55" t="n">
        <v>24</v>
      </c>
      <c r="Q55" t="n">
        <v>12</v>
      </c>
      <c r="R55" t="s">
        <v>199</v>
      </c>
      <c r="S55" t="s">
        <v>199</v>
      </c>
      <c r="T55" t="n">
        <v>0.25</v>
      </c>
    </row>
    <row r="56">
      <c r="A56" t="s">
        <v>30</v>
      </c>
      <c r="B56" t="n">
        <v>1</v>
      </c>
      <c r="C56"/>
      <c r="D56"/>
      <c r="E56" t="n">
        <v>-3</v>
      </c>
      <c r="F56" t="n">
        <v>-0.75</v>
      </c>
      <c r="G56" t="n">
        <v>9</v>
      </c>
      <c r="H56" t="n">
        <v>12</v>
      </c>
      <c r="I56" t="s">
        <v>197</v>
      </c>
      <c r="J56" t="n">
        <v>0</v>
      </c>
      <c r="K56" t="n">
        <v>0</v>
      </c>
      <c r="L56" t="n">
        <v>0</v>
      </c>
      <c r="M56" t="n">
        <v>12</v>
      </c>
      <c r="N56"/>
      <c r="O56"/>
      <c r="P56"/>
      <c r="Q56" t="n">
        <v>12</v>
      </c>
      <c r="R56" t="s">
        <v>95</v>
      </c>
      <c r="S56" t="s">
        <v>95</v>
      </c>
      <c r="T56"/>
    </row>
    <row r="57">
      <c r="A57" t="s">
        <v>30</v>
      </c>
      <c r="B57" t="n">
        <v>1</v>
      </c>
      <c r="C57" t="n">
        <v>1.25</v>
      </c>
      <c r="D57" t="n">
        <v>1.25</v>
      </c>
      <c r="E57" t="n">
        <v>-3.75</v>
      </c>
      <c r="F57" t="n">
        <v>-0.5</v>
      </c>
      <c r="G57" t="n">
        <v>174</v>
      </c>
      <c r="H57" t="n">
        <v>12</v>
      </c>
      <c r="I57" t="s">
        <v>197</v>
      </c>
      <c r="J57" t="n">
        <v>0</v>
      </c>
      <c r="K57" t="n">
        <v>0</v>
      </c>
      <c r="L57" t="n">
        <v>0</v>
      </c>
      <c r="M57" t="n">
        <v>12</v>
      </c>
      <c r="N57" t="n">
        <v>0.25</v>
      </c>
      <c r="O57" t="n">
        <v>0</v>
      </c>
      <c r="P57" t="n">
        <v>51</v>
      </c>
      <c r="Q57" t="n">
        <v>12</v>
      </c>
      <c r="R57" t="s">
        <v>198</v>
      </c>
      <c r="S57" t="s">
        <v>198</v>
      </c>
      <c r="T57" t="n">
        <v>0.25</v>
      </c>
    </row>
    <row r="58">
      <c r="A58" t="s">
        <v>30</v>
      </c>
      <c r="B58" t="n">
        <v>0.8</v>
      </c>
      <c r="C58" t="n">
        <v>1</v>
      </c>
      <c r="D58" t="n">
        <v>1</v>
      </c>
      <c r="E58" t="n">
        <v>-5</v>
      </c>
      <c r="F58" t="n">
        <v>-0.5</v>
      </c>
      <c r="G58" t="n">
        <v>2</v>
      </c>
      <c r="H58" t="n">
        <v>12</v>
      </c>
      <c r="I58" t="s">
        <v>196</v>
      </c>
      <c r="J58" t="n">
        <v>0</v>
      </c>
      <c r="K58" t="n">
        <v>0</v>
      </c>
      <c r="L58" t="n">
        <v>0</v>
      </c>
      <c r="M58" t="n">
        <v>12</v>
      </c>
      <c r="N58" t="n">
        <v>0.5</v>
      </c>
      <c r="O58" t="n">
        <v>0</v>
      </c>
      <c r="P58" t="n">
        <v>99</v>
      </c>
      <c r="Q58" t="n">
        <v>12</v>
      </c>
      <c r="R58" t="s">
        <v>197</v>
      </c>
      <c r="S58" t="s">
        <v>197</v>
      </c>
      <c r="T58" t="n">
        <v>0.5</v>
      </c>
    </row>
    <row r="59">
      <c r="A59" t="s">
        <v>30</v>
      </c>
      <c r="B59" t="n">
        <v>1.25</v>
      </c>
      <c r="C59" t="n">
        <v>1.25</v>
      </c>
      <c r="D59" t="n">
        <v>1.25</v>
      </c>
      <c r="E59" t="n">
        <v>-3.5</v>
      </c>
      <c r="F59" t="n">
        <v>-0.5</v>
      </c>
      <c r="G59" t="n">
        <v>18</v>
      </c>
      <c r="H59" t="n">
        <v>12</v>
      </c>
      <c r="I59" t="s">
        <v>198</v>
      </c>
      <c r="J59" t="n">
        <v>0</v>
      </c>
      <c r="K59" t="n">
        <v>0</v>
      </c>
      <c r="L59" t="n">
        <v>0</v>
      </c>
      <c r="M59" t="n">
        <v>12</v>
      </c>
      <c r="N59" t="n">
        <v>0</v>
      </c>
      <c r="O59" t="n">
        <v>-0.25</v>
      </c>
      <c r="P59" t="n">
        <v>37</v>
      </c>
      <c r="Q59" t="n">
        <v>12</v>
      </c>
      <c r="R59" t="s">
        <v>198</v>
      </c>
      <c r="S59" t="s">
        <v>198</v>
      </c>
      <c r="T59" t="n">
        <v>-0.125</v>
      </c>
    </row>
    <row r="60">
      <c r="A60" t="s">
        <v>30</v>
      </c>
      <c r="B60" t="n">
        <v>1.25</v>
      </c>
      <c r="C60" t="n">
        <v>1.25</v>
      </c>
      <c r="D60" t="n">
        <v>1.25</v>
      </c>
      <c r="E60" t="n">
        <v>-4</v>
      </c>
      <c r="F60" t="n">
        <v>-0.75</v>
      </c>
      <c r="G60" t="n">
        <v>171</v>
      </c>
      <c r="H60" t="n">
        <v>12</v>
      </c>
      <c r="I60" t="s">
        <v>198</v>
      </c>
      <c r="J60" t="n">
        <v>0</v>
      </c>
      <c r="K60" t="n">
        <v>0</v>
      </c>
      <c r="L60" t="n">
        <v>0</v>
      </c>
      <c r="M60" t="n">
        <v>12</v>
      </c>
      <c r="N60" t="n">
        <v>0</v>
      </c>
      <c r="O60" t="n">
        <v>-0.25</v>
      </c>
      <c r="P60" t="n">
        <v>2</v>
      </c>
      <c r="Q60" t="n">
        <v>12</v>
      </c>
      <c r="R60" t="s">
        <v>198</v>
      </c>
      <c r="S60" t="s">
        <v>198</v>
      </c>
      <c r="T60" t="n">
        <v>-0.125</v>
      </c>
    </row>
    <row r="61">
      <c r="A61" t="s">
        <v>30</v>
      </c>
      <c r="B61" t="n">
        <v>1</v>
      </c>
      <c r="C61" t="n">
        <v>1.25</v>
      </c>
      <c r="D61" t="n">
        <v>1.6</v>
      </c>
      <c r="E61" t="n">
        <v>-5.5</v>
      </c>
      <c r="F61" t="n">
        <v>-1</v>
      </c>
      <c r="G61" t="n">
        <v>156</v>
      </c>
      <c r="H61" t="n">
        <v>12</v>
      </c>
      <c r="I61" t="s">
        <v>197</v>
      </c>
      <c r="J61" t="n">
        <v>0</v>
      </c>
      <c r="K61" t="n">
        <v>0</v>
      </c>
      <c r="L61" t="n">
        <v>0</v>
      </c>
      <c r="M61" t="n">
        <v>12</v>
      </c>
      <c r="N61" t="n">
        <v>0.5</v>
      </c>
      <c r="O61" t="n">
        <v>-0.5</v>
      </c>
      <c r="P61" t="n">
        <v>126</v>
      </c>
      <c r="Q61" t="n">
        <v>12</v>
      </c>
      <c r="R61" t="s">
        <v>199</v>
      </c>
      <c r="S61" t="s">
        <v>198</v>
      </c>
      <c r="T61" t="n">
        <v>0.25</v>
      </c>
    </row>
    <row r="62">
      <c r="A62" t="s">
        <v>30</v>
      </c>
      <c r="B62" t="n">
        <v>1.25</v>
      </c>
      <c r="C62" t="n">
        <v>1.6</v>
      </c>
      <c r="D62" t="n">
        <v>1.6</v>
      </c>
      <c r="E62" t="n">
        <v>-5.75</v>
      </c>
      <c r="F62" t="n">
        <v>-1.25</v>
      </c>
      <c r="G62" t="n">
        <v>7</v>
      </c>
      <c r="H62" t="n">
        <v>12</v>
      </c>
      <c r="I62" t="s">
        <v>198</v>
      </c>
      <c r="J62" t="n">
        <v>0</v>
      </c>
      <c r="K62" t="n">
        <v>0</v>
      </c>
      <c r="L62" t="n">
        <v>0</v>
      </c>
      <c r="M62" t="n">
        <v>12</v>
      </c>
      <c r="N62" t="n">
        <v>0.25</v>
      </c>
      <c r="O62" t="n">
        <v>-0.25</v>
      </c>
      <c r="P62" t="n">
        <v>35</v>
      </c>
      <c r="Q62" t="n">
        <v>12</v>
      </c>
      <c r="R62" t="s">
        <v>199</v>
      </c>
      <c r="S62" t="s">
        <v>199</v>
      </c>
      <c r="T62" t="n">
        <v>0.125</v>
      </c>
    </row>
    <row r="63">
      <c r="A63" t="s">
        <v>30</v>
      </c>
      <c r="B63" t="n">
        <v>1</v>
      </c>
      <c r="C63" t="n">
        <v>0.5</v>
      </c>
      <c r="D63" t="n">
        <v>0.5</v>
      </c>
      <c r="E63" t="n">
        <v>-2.25</v>
      </c>
      <c r="F63" t="n">
        <v>-0.25</v>
      </c>
      <c r="G63" t="n">
        <v>52</v>
      </c>
      <c r="H63" t="n">
        <v>12</v>
      </c>
      <c r="I63" t="s">
        <v>197</v>
      </c>
      <c r="J63" t="n">
        <v>0</v>
      </c>
      <c r="K63" t="n">
        <v>0</v>
      </c>
      <c r="L63" t="n">
        <v>0</v>
      </c>
      <c r="M63" t="n">
        <v>12</v>
      </c>
      <c r="N63" t="n">
        <v>0.5</v>
      </c>
      <c r="O63" t="n">
        <v>-0.25</v>
      </c>
      <c r="P63" t="n">
        <v>144</v>
      </c>
      <c r="Q63" t="n">
        <v>12</v>
      </c>
      <c r="R63" t="s">
        <v>200</v>
      </c>
      <c r="S63" t="s">
        <v>200</v>
      </c>
      <c r="T63" t="n">
        <v>0.375</v>
      </c>
    </row>
    <row r="64">
      <c r="A64" t="s">
        <v>30</v>
      </c>
      <c r="B64" t="n">
        <v>1</v>
      </c>
      <c r="C64" t="n">
        <v>0.5</v>
      </c>
      <c r="D64" t="n">
        <v>0.5</v>
      </c>
      <c r="E64" t="n">
        <v>-3.5</v>
      </c>
      <c r="F64" t="n">
        <v>-0.25</v>
      </c>
      <c r="G64" t="n">
        <v>133</v>
      </c>
      <c r="H64" t="n">
        <v>12</v>
      </c>
      <c r="I64" t="s">
        <v>197</v>
      </c>
      <c r="J64" t="n">
        <v>0</v>
      </c>
      <c r="K64" t="n">
        <v>0</v>
      </c>
      <c r="L64" t="n">
        <v>0</v>
      </c>
      <c r="M64" t="n">
        <v>12</v>
      </c>
      <c r="N64" t="n">
        <v>-0.25</v>
      </c>
      <c r="O64" t="n">
        <v>-0.25</v>
      </c>
      <c r="P64" t="n">
        <v>19</v>
      </c>
      <c r="Q64" t="n">
        <v>12</v>
      </c>
      <c r="R64" t="s">
        <v>200</v>
      </c>
      <c r="S64" t="s">
        <v>200</v>
      </c>
      <c r="T64" t="n">
        <v>-0.375</v>
      </c>
    </row>
    <row r="65">
      <c r="A65" t="s">
        <v>30</v>
      </c>
      <c r="B65" t="n">
        <v>1</v>
      </c>
      <c r="C65" t="n">
        <v>1.25</v>
      </c>
      <c r="D65" t="n">
        <v>1.25</v>
      </c>
      <c r="E65" t="n">
        <v>-1</v>
      </c>
      <c r="F65" t="n">
        <v>-0.5</v>
      </c>
      <c r="G65" t="n">
        <v>176</v>
      </c>
      <c r="H65" t="n">
        <v>12</v>
      </c>
      <c r="I65" t="s">
        <v>197</v>
      </c>
      <c r="J65" t="n">
        <v>0</v>
      </c>
      <c r="K65" t="n">
        <v>0</v>
      </c>
      <c r="L65" t="n">
        <v>0</v>
      </c>
      <c r="M65" t="n">
        <v>12</v>
      </c>
      <c r="N65" t="n">
        <v>0.5</v>
      </c>
      <c r="O65" t="n">
        <v>-0.25</v>
      </c>
      <c r="P65" t="n">
        <v>123</v>
      </c>
      <c r="Q65" t="n">
        <v>12</v>
      </c>
      <c r="R65" t="s">
        <v>198</v>
      </c>
      <c r="S65" t="s">
        <v>198</v>
      </c>
      <c r="T65" t="n">
        <v>0.375</v>
      </c>
    </row>
    <row r="66">
      <c r="A66" t="s">
        <v>30</v>
      </c>
      <c r="B66" t="n">
        <v>1.25</v>
      </c>
      <c r="C66" t="n">
        <v>1.25</v>
      </c>
      <c r="D66" t="n">
        <v>1.25</v>
      </c>
      <c r="E66" t="n">
        <v>-0.25</v>
      </c>
      <c r="F66" t="n">
        <v>-0.5</v>
      </c>
      <c r="G66" t="n">
        <v>11</v>
      </c>
      <c r="H66" t="n">
        <v>12</v>
      </c>
      <c r="I66" t="s">
        <v>198</v>
      </c>
      <c r="J66" t="n">
        <v>0</v>
      </c>
      <c r="K66" t="n">
        <v>0</v>
      </c>
      <c r="L66" t="n">
        <v>0</v>
      </c>
      <c r="M66" t="n">
        <v>12</v>
      </c>
      <c r="N66" t="n">
        <v>0.5</v>
      </c>
      <c r="O66" t="n">
        <v>-0.25</v>
      </c>
      <c r="P66" t="n">
        <v>61</v>
      </c>
      <c r="Q66" t="n">
        <v>12</v>
      </c>
      <c r="R66" t="s">
        <v>198</v>
      </c>
      <c r="S66" t="s">
        <v>198</v>
      </c>
      <c r="T66" t="n">
        <v>0.375</v>
      </c>
    </row>
    <row r="67">
      <c r="A67" t="s">
        <v>30</v>
      </c>
      <c r="B67" t="n">
        <v>1.25</v>
      </c>
      <c r="C67" t="n">
        <v>1.25</v>
      </c>
      <c r="D67" t="n">
        <v>1.25</v>
      </c>
      <c r="E67" t="n">
        <v>-2.5</v>
      </c>
      <c r="F67" t="n">
        <v>-1</v>
      </c>
      <c r="G67" t="n">
        <v>100</v>
      </c>
      <c r="H67" t="n">
        <v>12</v>
      </c>
      <c r="I67" t="s">
        <v>198</v>
      </c>
      <c r="J67" t="n">
        <v>0</v>
      </c>
      <c r="K67" t="n">
        <v>0</v>
      </c>
      <c r="L67" t="n">
        <v>0</v>
      </c>
      <c r="M67" t="n">
        <v>12</v>
      </c>
      <c r="N67" t="n">
        <v>0.25</v>
      </c>
      <c r="O67" t="n">
        <v>-0.25</v>
      </c>
      <c r="P67" t="n">
        <v>161</v>
      </c>
      <c r="Q67" t="n">
        <v>12</v>
      </c>
      <c r="R67" t="s">
        <v>198</v>
      </c>
      <c r="S67" t="s">
        <v>198</v>
      </c>
      <c r="T67" t="n">
        <v>0.125</v>
      </c>
    </row>
    <row r="68">
      <c r="A68" t="s">
        <v>30</v>
      </c>
      <c r="B68" t="n">
        <v>1.25</v>
      </c>
      <c r="C68" t="n">
        <v>1.25</v>
      </c>
      <c r="D68" t="n">
        <v>1.25</v>
      </c>
      <c r="E68" t="n">
        <v>-4</v>
      </c>
      <c r="F68" t="n">
        <v>-0.75</v>
      </c>
      <c r="G68" t="n">
        <v>86</v>
      </c>
      <c r="H68" t="n">
        <v>12</v>
      </c>
      <c r="I68" t="s">
        <v>198</v>
      </c>
      <c r="J68" t="n">
        <v>0</v>
      </c>
      <c r="K68" t="n">
        <v>0</v>
      </c>
      <c r="L68" t="n">
        <v>0</v>
      </c>
      <c r="M68" t="n">
        <v>12</v>
      </c>
      <c r="N68" t="n">
        <v>-0.25</v>
      </c>
      <c r="O68" t="n">
        <v>0</v>
      </c>
      <c r="P68" t="n">
        <v>52</v>
      </c>
      <c r="Q68" t="n">
        <v>12</v>
      </c>
      <c r="R68" t="s">
        <v>198</v>
      </c>
      <c r="S68" t="s">
        <v>198</v>
      </c>
      <c r="T68" t="n">
        <v>-0.25</v>
      </c>
    </row>
    <row r="69">
      <c r="A69" t="s">
        <v>30</v>
      </c>
      <c r="B69" t="n">
        <v>1</v>
      </c>
      <c r="C69"/>
      <c r="D69"/>
      <c r="E69" t="n">
        <v>-4.5</v>
      </c>
      <c r="F69" t="n">
        <v>-0.75</v>
      </c>
      <c r="G69" t="n">
        <v>177</v>
      </c>
      <c r="H69" t="n">
        <v>12</v>
      </c>
      <c r="I69" t="s">
        <v>197</v>
      </c>
      <c r="J69" t="n">
        <v>0</v>
      </c>
      <c r="K69" t="n">
        <v>0</v>
      </c>
      <c r="L69" t="n">
        <v>0</v>
      </c>
      <c r="M69" t="n">
        <v>12</v>
      </c>
      <c r="N69"/>
      <c r="O69"/>
      <c r="P69"/>
      <c r="Q69" t="n">
        <v>12</v>
      </c>
      <c r="R69" t="s">
        <v>95</v>
      </c>
      <c r="S69" t="s">
        <v>95</v>
      </c>
      <c r="T69"/>
    </row>
    <row r="70">
      <c r="A70" t="s">
        <v>30</v>
      </c>
      <c r="B70" t="n">
        <v>1</v>
      </c>
      <c r="C70"/>
      <c r="D70"/>
      <c r="E70" t="n">
        <v>-5.25</v>
      </c>
      <c r="F70" t="n">
        <v>-0.5</v>
      </c>
      <c r="G70" t="n">
        <v>19</v>
      </c>
      <c r="H70" t="n">
        <v>12</v>
      </c>
      <c r="I70" t="s">
        <v>197</v>
      </c>
      <c r="J70" t="n">
        <v>0</v>
      </c>
      <c r="K70" t="n">
        <v>0</v>
      </c>
      <c r="L70" t="n">
        <v>0</v>
      </c>
      <c r="M70" t="n">
        <v>12</v>
      </c>
      <c r="N70"/>
      <c r="O70"/>
      <c r="P70"/>
      <c r="Q70" t="n">
        <v>12</v>
      </c>
      <c r="R70" t="s">
        <v>95</v>
      </c>
      <c r="S70" t="s">
        <v>95</v>
      </c>
      <c r="T70"/>
    </row>
    <row r="71">
      <c r="A71" t="s">
        <v>30</v>
      </c>
      <c r="B71" t="n">
        <v>1</v>
      </c>
      <c r="C71" t="n">
        <v>1</v>
      </c>
      <c r="D71" t="n">
        <v>1</v>
      </c>
      <c r="E71" t="n">
        <v>-1.25</v>
      </c>
      <c r="F71" t="n">
        <v>-3</v>
      </c>
      <c r="G71" t="n">
        <v>158</v>
      </c>
      <c r="H71" t="n">
        <v>12</v>
      </c>
      <c r="I71" t="s">
        <v>197</v>
      </c>
      <c r="J71" t="n">
        <v>0</v>
      </c>
      <c r="K71" t="n">
        <v>0</v>
      </c>
      <c r="L71" t="n">
        <v>0</v>
      </c>
      <c r="M71" t="n">
        <v>12</v>
      </c>
      <c r="N71" t="n">
        <v>0.5</v>
      </c>
      <c r="O71" t="n">
        <v>-0.5</v>
      </c>
      <c r="P71" t="n">
        <v>122</v>
      </c>
      <c r="Q71" t="n">
        <v>12</v>
      </c>
      <c r="R71" t="s">
        <v>197</v>
      </c>
      <c r="S71" t="s">
        <v>197</v>
      </c>
      <c r="T71" t="n">
        <v>0.25</v>
      </c>
    </row>
    <row r="72">
      <c r="A72" t="s">
        <v>30</v>
      </c>
      <c r="B72" t="n">
        <v>1</v>
      </c>
      <c r="C72" t="n">
        <v>1.25</v>
      </c>
      <c r="D72" t="n">
        <v>1.25</v>
      </c>
      <c r="E72" t="n">
        <v>-1</v>
      </c>
      <c r="F72" t="n">
        <v>-1.75</v>
      </c>
      <c r="G72" t="n">
        <v>24</v>
      </c>
      <c r="H72" t="n">
        <v>12</v>
      </c>
      <c r="I72" t="s">
        <v>197</v>
      </c>
      <c r="J72" t="n">
        <v>0</v>
      </c>
      <c r="K72" t="n">
        <v>0</v>
      </c>
      <c r="L72" t="n">
        <v>0</v>
      </c>
      <c r="M72" t="n">
        <v>12</v>
      </c>
      <c r="N72" t="n">
        <v>0.25</v>
      </c>
      <c r="O72" t="n">
        <v>-0.25</v>
      </c>
      <c r="P72" t="n">
        <v>52</v>
      </c>
      <c r="Q72" t="n">
        <v>12</v>
      </c>
      <c r="R72" t="s">
        <v>198</v>
      </c>
      <c r="S72" t="s">
        <v>198</v>
      </c>
      <c r="T72" t="n">
        <v>0.125</v>
      </c>
    </row>
    <row r="73">
      <c r="A73" t="s">
        <v>30</v>
      </c>
      <c r="B73" t="n">
        <v>1.25</v>
      </c>
      <c r="C73" t="n">
        <v>1.25</v>
      </c>
      <c r="D73" t="n">
        <v>1.25</v>
      </c>
      <c r="E73" t="n">
        <v>-5.25</v>
      </c>
      <c r="F73" t="n">
        <v>-1.25</v>
      </c>
      <c r="G73" t="n">
        <v>179</v>
      </c>
      <c r="H73" t="n">
        <v>12</v>
      </c>
      <c r="I73" t="s">
        <v>198</v>
      </c>
      <c r="J73" t="n">
        <v>0</v>
      </c>
      <c r="K73" t="n">
        <v>0</v>
      </c>
      <c r="L73" t="n">
        <v>0</v>
      </c>
      <c r="M73" t="n">
        <v>12</v>
      </c>
      <c r="N73" t="n">
        <v>0</v>
      </c>
      <c r="O73" t="n">
        <v>-0.25</v>
      </c>
      <c r="P73" t="n">
        <v>16</v>
      </c>
      <c r="Q73" t="n">
        <v>12</v>
      </c>
      <c r="R73" t="s">
        <v>198</v>
      </c>
      <c r="S73" t="s">
        <v>198</v>
      </c>
      <c r="T73" t="n">
        <v>-0.125</v>
      </c>
    </row>
    <row r="74">
      <c r="A74" t="s">
        <v>30</v>
      </c>
      <c r="B74" t="n">
        <v>1.25</v>
      </c>
      <c r="C74" t="n">
        <v>1.6</v>
      </c>
      <c r="D74" t="n">
        <v>1.6</v>
      </c>
      <c r="E74" t="n">
        <v>-3.25</v>
      </c>
      <c r="F74" t="n">
        <v>-0.5</v>
      </c>
      <c r="G74" t="n">
        <v>18</v>
      </c>
      <c r="H74" t="n">
        <v>12</v>
      </c>
      <c r="I74" t="s">
        <v>198</v>
      </c>
      <c r="J74" t="n">
        <v>0</v>
      </c>
      <c r="K74" t="n">
        <v>0</v>
      </c>
      <c r="L74" t="n">
        <v>0</v>
      </c>
      <c r="M74" t="n">
        <v>12</v>
      </c>
      <c r="N74" t="n">
        <v>0.25</v>
      </c>
      <c r="O74" t="n">
        <v>-0.25</v>
      </c>
      <c r="P74" t="n">
        <v>141</v>
      </c>
      <c r="Q74" t="n">
        <v>12</v>
      </c>
      <c r="R74" t="s">
        <v>199</v>
      </c>
      <c r="S74" t="s">
        <v>199</v>
      </c>
      <c r="T74" t="n">
        <v>0.125</v>
      </c>
    </row>
    <row r="75">
      <c r="A75" t="s">
        <v>30</v>
      </c>
      <c r="B75" t="n">
        <v>1.25</v>
      </c>
      <c r="C75" t="n">
        <v>1.25</v>
      </c>
      <c r="D75" t="n">
        <v>1.25</v>
      </c>
      <c r="E75" t="n">
        <v>-3.75</v>
      </c>
      <c r="F75" t="n">
        <v>-1</v>
      </c>
      <c r="G75" t="n">
        <v>162</v>
      </c>
      <c r="H75" t="n">
        <v>12</v>
      </c>
      <c r="I75" t="s">
        <v>198</v>
      </c>
      <c r="J75" t="n">
        <v>0</v>
      </c>
      <c r="K75" t="n">
        <v>0</v>
      </c>
      <c r="L75" t="n">
        <v>0</v>
      </c>
      <c r="M75" t="n">
        <v>12</v>
      </c>
      <c r="N75" t="n">
        <v>0</v>
      </c>
      <c r="O75" t="n">
        <v>0</v>
      </c>
      <c r="P75" t="n">
        <v>45</v>
      </c>
      <c r="Q75" t="n">
        <v>12</v>
      </c>
      <c r="R75" t="s">
        <v>198</v>
      </c>
      <c r="S75" t="s">
        <v>198</v>
      </c>
      <c r="T75" t="n">
        <v>0</v>
      </c>
    </row>
    <row r="76">
      <c r="A76" t="s">
        <v>30</v>
      </c>
      <c r="B76" t="n">
        <v>1.25</v>
      </c>
      <c r="C76"/>
      <c r="D76"/>
      <c r="E76" t="n">
        <v>-2.5</v>
      </c>
      <c r="F76" t="n">
        <v>-0.25</v>
      </c>
      <c r="G76" t="n">
        <v>36</v>
      </c>
      <c r="H76" t="n">
        <v>12</v>
      </c>
      <c r="I76" t="s">
        <v>198</v>
      </c>
      <c r="J76" t="n">
        <v>0</v>
      </c>
      <c r="K76" t="n">
        <v>0</v>
      </c>
      <c r="L76" t="n">
        <v>0</v>
      </c>
      <c r="M76" t="n">
        <v>12</v>
      </c>
      <c r="N76"/>
      <c r="O76"/>
      <c r="P76"/>
      <c r="Q76" t="n">
        <v>12</v>
      </c>
      <c r="R76" t="s">
        <v>95</v>
      </c>
      <c r="S76" t="s">
        <v>95</v>
      </c>
      <c r="T76"/>
    </row>
    <row r="77">
      <c r="A77" t="s">
        <v>30</v>
      </c>
      <c r="B77" t="n">
        <v>1</v>
      </c>
      <c r="C77"/>
      <c r="D77"/>
      <c r="E77" t="n">
        <v>-3</v>
      </c>
      <c r="F77" t="n">
        <v>-0.5</v>
      </c>
      <c r="G77" t="n">
        <v>145</v>
      </c>
      <c r="H77" t="n">
        <v>12</v>
      </c>
      <c r="I77" t="s">
        <v>197</v>
      </c>
      <c r="J77" t="n">
        <v>0</v>
      </c>
      <c r="K77" t="n">
        <v>0</v>
      </c>
      <c r="L77" t="n">
        <v>0</v>
      </c>
      <c r="M77" t="n">
        <v>12</v>
      </c>
      <c r="N77"/>
      <c r="O77"/>
      <c r="P77"/>
      <c r="Q77" t="n">
        <v>12</v>
      </c>
      <c r="R77" t="s">
        <v>95</v>
      </c>
      <c r="S77" t="s">
        <v>95</v>
      </c>
      <c r="T77"/>
    </row>
    <row r="78">
      <c r="A78" t="s">
        <v>30</v>
      </c>
      <c r="B78" t="n">
        <v>1</v>
      </c>
      <c r="C78" t="n">
        <v>0.63</v>
      </c>
      <c r="D78" t="n">
        <v>0.8</v>
      </c>
      <c r="E78" t="n">
        <v>-1</v>
      </c>
      <c r="F78" t="n">
        <v>-1.75</v>
      </c>
      <c r="G78" t="n">
        <v>179</v>
      </c>
      <c r="H78" t="n">
        <v>12</v>
      </c>
      <c r="I78" t="s">
        <v>197</v>
      </c>
      <c r="J78" t="n">
        <v>-0.5</v>
      </c>
      <c r="K78" t="n">
        <v>0</v>
      </c>
      <c r="L78" t="n">
        <v>0</v>
      </c>
      <c r="M78" t="n">
        <v>12</v>
      </c>
      <c r="N78" t="n">
        <v>-0.25</v>
      </c>
      <c r="O78" t="n">
        <v>-0.5</v>
      </c>
      <c r="P78" t="n">
        <v>127</v>
      </c>
      <c r="Q78" t="n">
        <v>12</v>
      </c>
      <c r="R78" t="s">
        <v>196</v>
      </c>
      <c r="S78" t="s">
        <v>201</v>
      </c>
      <c r="T78" t="n">
        <v>-0.5</v>
      </c>
    </row>
    <row r="79">
      <c r="A79" t="s">
        <v>30</v>
      </c>
      <c r="B79" t="n">
        <v>1</v>
      </c>
      <c r="C79" t="n">
        <v>1</v>
      </c>
      <c r="D79" t="n">
        <v>1</v>
      </c>
      <c r="E79" t="n">
        <v>-2.5</v>
      </c>
      <c r="F79" t="n">
        <v>-2</v>
      </c>
      <c r="G79" t="n">
        <v>1</v>
      </c>
      <c r="H79" t="n">
        <v>12</v>
      </c>
      <c r="I79" t="s">
        <v>197</v>
      </c>
      <c r="J79" t="n">
        <v>0</v>
      </c>
      <c r="K79" t="n">
        <v>0</v>
      </c>
      <c r="L79" t="n">
        <v>0</v>
      </c>
      <c r="M79" t="n">
        <v>12</v>
      </c>
      <c r="N79" t="n">
        <v>0</v>
      </c>
      <c r="O79" t="n">
        <v>-0.25</v>
      </c>
      <c r="P79" t="n">
        <v>71</v>
      </c>
      <c r="Q79" t="n">
        <v>12</v>
      </c>
      <c r="R79" t="s">
        <v>197</v>
      </c>
      <c r="S79" t="s">
        <v>197</v>
      </c>
      <c r="T79" t="n">
        <v>-0.125</v>
      </c>
    </row>
    <row r="80">
      <c r="A80" t="s">
        <v>30</v>
      </c>
      <c r="B80" t="n">
        <v>0.8</v>
      </c>
      <c r="C80" t="n">
        <v>0.8</v>
      </c>
      <c r="D80" t="n">
        <v>0.8</v>
      </c>
      <c r="E80" t="n">
        <v>-3.5</v>
      </c>
      <c r="F80" t="n">
        <v>-1</v>
      </c>
      <c r="G80" t="n">
        <v>12</v>
      </c>
      <c r="H80" t="n">
        <v>12</v>
      </c>
      <c r="I80" t="s">
        <v>196</v>
      </c>
      <c r="J80" t="n">
        <v>0</v>
      </c>
      <c r="K80" t="n">
        <v>0</v>
      </c>
      <c r="L80" t="n">
        <v>0</v>
      </c>
      <c r="M80" t="n">
        <v>12</v>
      </c>
      <c r="N80" t="n">
        <v>0.5</v>
      </c>
      <c r="O80" t="n">
        <v>-0.25</v>
      </c>
      <c r="P80" t="n">
        <v>31</v>
      </c>
      <c r="Q80" t="n">
        <v>12</v>
      </c>
      <c r="R80" t="s">
        <v>196</v>
      </c>
      <c r="S80" t="s">
        <v>196</v>
      </c>
      <c r="T80" t="n">
        <v>0.375</v>
      </c>
    </row>
    <row r="81">
      <c r="A81" t="s">
        <v>30</v>
      </c>
      <c r="B81" t="n">
        <v>0.8</v>
      </c>
      <c r="C81" t="n">
        <v>0.63</v>
      </c>
      <c r="D81" t="n">
        <v>0.8</v>
      </c>
      <c r="E81" t="n">
        <v>-5.75</v>
      </c>
      <c r="F81" t="n">
        <v>-1</v>
      </c>
      <c r="G81" t="n">
        <v>174</v>
      </c>
      <c r="H81" t="n">
        <v>12</v>
      </c>
      <c r="I81" t="s">
        <v>196</v>
      </c>
      <c r="J81" t="n">
        <v>0</v>
      </c>
      <c r="K81" t="n">
        <v>0</v>
      </c>
      <c r="L81" t="n">
        <v>0</v>
      </c>
      <c r="M81" t="n">
        <v>12</v>
      </c>
      <c r="N81" t="n">
        <v>-0.25</v>
      </c>
      <c r="O81" t="n">
        <v>-0.25</v>
      </c>
      <c r="P81" t="n">
        <v>127</v>
      </c>
      <c r="Q81" t="n">
        <v>12</v>
      </c>
      <c r="R81" t="s">
        <v>196</v>
      </c>
      <c r="S81" t="s">
        <v>201</v>
      </c>
      <c r="T81" t="n">
        <v>-0.375</v>
      </c>
    </row>
    <row r="82">
      <c r="A82" t="s">
        <v>30</v>
      </c>
      <c r="B82" t="n">
        <v>1</v>
      </c>
      <c r="C82" t="n">
        <v>1</v>
      </c>
      <c r="D82" t="n">
        <v>1</v>
      </c>
      <c r="E82" t="n">
        <v>-1.75</v>
      </c>
      <c r="F82" t="n">
        <v>-1</v>
      </c>
      <c r="G82" t="n">
        <v>174</v>
      </c>
      <c r="H82" t="n">
        <v>12</v>
      </c>
      <c r="I82" t="s">
        <v>197</v>
      </c>
      <c r="J82" t="n">
        <v>0</v>
      </c>
      <c r="K82" t="n">
        <v>0</v>
      </c>
      <c r="L82" t="n">
        <v>0</v>
      </c>
      <c r="M82" t="n">
        <v>12</v>
      </c>
      <c r="N82" t="n">
        <v>0.25</v>
      </c>
      <c r="O82" t="n">
        <v>-0.5</v>
      </c>
      <c r="P82" t="n">
        <v>130</v>
      </c>
      <c r="Q82" t="n">
        <v>12</v>
      </c>
      <c r="R82" t="s">
        <v>197</v>
      </c>
      <c r="S82" t="s">
        <v>197</v>
      </c>
      <c r="T82" t="n">
        <v>0</v>
      </c>
    </row>
    <row r="83">
      <c r="A83" t="s">
        <v>30</v>
      </c>
      <c r="B83" t="n">
        <v>0.8</v>
      </c>
      <c r="C83"/>
      <c r="D83"/>
      <c r="E83" t="n">
        <v>-3</v>
      </c>
      <c r="F83" t="n">
        <v>-0.75</v>
      </c>
      <c r="G83" t="n">
        <v>172</v>
      </c>
      <c r="H83" t="n">
        <v>12</v>
      </c>
      <c r="I83" t="s">
        <v>196</v>
      </c>
      <c r="J83" t="n">
        <v>0</v>
      </c>
      <c r="K83" t="n">
        <v>0</v>
      </c>
      <c r="L83" t="n">
        <v>0</v>
      </c>
      <c r="M83" t="n">
        <v>12</v>
      </c>
      <c r="N83"/>
      <c r="O83"/>
      <c r="P83"/>
      <c r="Q83" t="n">
        <v>12</v>
      </c>
      <c r="R83" t="s">
        <v>95</v>
      </c>
      <c r="S83" t="s">
        <v>95</v>
      </c>
      <c r="T83"/>
    </row>
    <row r="84">
      <c r="A84" t="s">
        <v>30</v>
      </c>
      <c r="B84" t="n">
        <v>1</v>
      </c>
      <c r="C84" t="n">
        <v>1</v>
      </c>
      <c r="D84" t="n">
        <v>1</v>
      </c>
      <c r="E84" t="n">
        <v>-0.75</v>
      </c>
      <c r="F84" t="n">
        <v>-1.25</v>
      </c>
      <c r="G84" t="n">
        <v>13</v>
      </c>
      <c r="H84" t="n">
        <v>12</v>
      </c>
      <c r="I84" t="s">
        <v>197</v>
      </c>
      <c r="J84" t="n">
        <v>0</v>
      </c>
      <c r="K84" t="n">
        <v>0</v>
      </c>
      <c r="L84" t="n">
        <v>0</v>
      </c>
      <c r="M84" t="n">
        <v>12</v>
      </c>
      <c r="N84" t="n">
        <v>0.25</v>
      </c>
      <c r="O84" t="n">
        <v>-0.25</v>
      </c>
      <c r="P84" t="n">
        <v>77</v>
      </c>
      <c r="Q84" t="n">
        <v>12</v>
      </c>
      <c r="R84" t="s">
        <v>197</v>
      </c>
      <c r="S84" t="s">
        <v>197</v>
      </c>
      <c r="T84" t="n">
        <v>0.125</v>
      </c>
    </row>
    <row r="85">
      <c r="A85" t="s">
        <v>30</v>
      </c>
      <c r="B85" t="n">
        <v>1</v>
      </c>
      <c r="C85" t="n">
        <v>1</v>
      </c>
      <c r="D85" t="n">
        <v>1</v>
      </c>
      <c r="E85" t="n">
        <v>-2</v>
      </c>
      <c r="F85" t="n">
        <v>-1</v>
      </c>
      <c r="G85" t="n">
        <v>178</v>
      </c>
      <c r="H85" t="n">
        <v>12</v>
      </c>
      <c r="I85" t="s">
        <v>197</v>
      </c>
      <c r="J85" t="n">
        <v>0</v>
      </c>
      <c r="K85" t="n">
        <v>0</v>
      </c>
      <c r="L85" t="n">
        <v>0</v>
      </c>
      <c r="M85" t="n">
        <v>12</v>
      </c>
      <c r="N85" t="n">
        <v>0</v>
      </c>
      <c r="O85" t="n">
        <v>-0.25</v>
      </c>
      <c r="P85" t="n">
        <v>84</v>
      </c>
      <c r="Q85" t="n">
        <v>12</v>
      </c>
      <c r="R85" t="s">
        <v>197</v>
      </c>
      <c r="S85" t="s">
        <v>197</v>
      </c>
      <c r="T85" t="n">
        <v>-0.125</v>
      </c>
    </row>
    <row r="86">
      <c r="A86" t="s">
        <v>30</v>
      </c>
      <c r="B86" t="n">
        <v>1.25</v>
      </c>
      <c r="C86" t="n">
        <v>1.25</v>
      </c>
      <c r="D86" t="n">
        <v>1.6</v>
      </c>
      <c r="E86" t="n">
        <v>-3</v>
      </c>
      <c r="F86" t="n">
        <v>-3.5</v>
      </c>
      <c r="G86" t="n">
        <v>156</v>
      </c>
      <c r="H86" t="n">
        <v>12</v>
      </c>
      <c r="I86" t="s">
        <v>198</v>
      </c>
      <c r="J86" t="n">
        <v>0</v>
      </c>
      <c r="K86" t="n">
        <v>0</v>
      </c>
      <c r="L86" t="n">
        <v>0</v>
      </c>
      <c r="M86" t="n">
        <v>12</v>
      </c>
      <c r="N86" t="n">
        <v>0.75</v>
      </c>
      <c r="O86" t="n">
        <v>-1</v>
      </c>
      <c r="P86" t="n">
        <v>3</v>
      </c>
      <c r="Q86" t="n">
        <v>12</v>
      </c>
      <c r="R86" t="s">
        <v>199</v>
      </c>
      <c r="S86" t="s">
        <v>198</v>
      </c>
      <c r="T86" t="n">
        <v>0.25</v>
      </c>
    </row>
    <row r="87">
      <c r="A87" t="s">
        <v>30</v>
      </c>
      <c r="B87" t="n">
        <v>1.25</v>
      </c>
      <c r="C87" t="n">
        <v>1.25</v>
      </c>
      <c r="D87" t="n">
        <v>1.25</v>
      </c>
      <c r="E87" t="n">
        <v>-2.25</v>
      </c>
      <c r="F87" t="n">
        <v>-3</v>
      </c>
      <c r="G87" t="n">
        <v>19</v>
      </c>
      <c r="H87" t="n">
        <v>12</v>
      </c>
      <c r="I87" t="s">
        <v>198</v>
      </c>
      <c r="J87" t="n">
        <v>0</v>
      </c>
      <c r="K87" t="n">
        <v>0</v>
      </c>
      <c r="L87" t="n">
        <v>0</v>
      </c>
      <c r="M87" t="n">
        <v>12</v>
      </c>
      <c r="N87" t="n">
        <v>0.75</v>
      </c>
      <c r="O87" t="n">
        <v>-0.75</v>
      </c>
      <c r="P87" t="n">
        <v>166</v>
      </c>
      <c r="Q87" t="n">
        <v>12</v>
      </c>
      <c r="R87" t="s">
        <v>198</v>
      </c>
      <c r="S87" t="s">
        <v>198</v>
      </c>
      <c r="T87" t="n">
        <v>0.375</v>
      </c>
    </row>
    <row r="88">
      <c r="A88" t="s">
        <v>30</v>
      </c>
      <c r="B88" t="n">
        <v>1</v>
      </c>
      <c r="C88"/>
      <c r="D88" t="n">
        <v>1</v>
      </c>
      <c r="E88" t="n">
        <v>-3.75</v>
      </c>
      <c r="F88" t="n">
        <v>-0.5</v>
      </c>
      <c r="G88" t="n">
        <v>156</v>
      </c>
      <c r="H88" t="n">
        <v>12</v>
      </c>
      <c r="I88" t="s">
        <v>197</v>
      </c>
      <c r="J88" t="n">
        <v>0</v>
      </c>
      <c r="K88" t="n">
        <v>0</v>
      </c>
      <c r="L88" t="n">
        <v>0</v>
      </c>
      <c r="M88" t="n">
        <v>12</v>
      </c>
      <c r="N88" t="n">
        <v>0.75</v>
      </c>
      <c r="O88" t="n">
        <v>-0.25</v>
      </c>
      <c r="P88" t="n">
        <v>30</v>
      </c>
      <c r="Q88" t="n">
        <v>12</v>
      </c>
      <c r="R88" t="s">
        <v>197</v>
      </c>
      <c r="S88" t="s">
        <v>95</v>
      </c>
      <c r="T88" t="n">
        <v>0.625</v>
      </c>
    </row>
    <row r="89">
      <c r="A89" t="s">
        <v>30</v>
      </c>
      <c r="B89" t="n">
        <v>1</v>
      </c>
      <c r="C89" t="n">
        <v>0.8</v>
      </c>
      <c r="D89" t="n">
        <v>1</v>
      </c>
      <c r="E89" t="n">
        <v>-3.75</v>
      </c>
      <c r="F89" t="n">
        <v>-0.5</v>
      </c>
      <c r="G89" t="n">
        <v>11</v>
      </c>
      <c r="H89" t="n">
        <v>12</v>
      </c>
      <c r="I89" t="s">
        <v>197</v>
      </c>
      <c r="J89" t="n">
        <v>0</v>
      </c>
      <c r="K89" t="n">
        <v>0</v>
      </c>
      <c r="L89" t="n">
        <v>0</v>
      </c>
      <c r="M89" t="n">
        <v>12</v>
      </c>
      <c r="N89" t="n">
        <v>1</v>
      </c>
      <c r="O89" t="n">
        <v>-0.25</v>
      </c>
      <c r="P89" t="n">
        <v>143</v>
      </c>
      <c r="Q89" t="n">
        <v>12</v>
      </c>
      <c r="R89" t="s">
        <v>197</v>
      </c>
      <c r="S89" t="s">
        <v>196</v>
      </c>
      <c r="T89" t="n">
        <v>0.875</v>
      </c>
    </row>
    <row r="90">
      <c r="A90" t="s">
        <v>30</v>
      </c>
      <c r="B90" t="n">
        <v>1.25</v>
      </c>
      <c r="C90" t="n">
        <v>1.25</v>
      </c>
      <c r="D90" t="n">
        <v>1.6</v>
      </c>
      <c r="E90" t="n">
        <v>-5.75</v>
      </c>
      <c r="F90" t="n">
        <v>-0.5</v>
      </c>
      <c r="G90" t="n">
        <v>41</v>
      </c>
      <c r="H90" t="n">
        <v>12</v>
      </c>
      <c r="I90" t="s">
        <v>198</v>
      </c>
      <c r="J90" t="n">
        <v>0</v>
      </c>
      <c r="K90" t="n">
        <v>0</v>
      </c>
      <c r="L90" t="n">
        <v>0</v>
      </c>
      <c r="M90" t="n">
        <v>12</v>
      </c>
      <c r="N90" t="n">
        <v>-0.25</v>
      </c>
      <c r="O90" t="n">
        <v>0</v>
      </c>
      <c r="P90" t="n">
        <v>82</v>
      </c>
      <c r="Q90" t="n">
        <v>12</v>
      </c>
      <c r="R90" t="s">
        <v>199</v>
      </c>
      <c r="S90" t="s">
        <v>198</v>
      </c>
      <c r="T90" t="n">
        <v>-0.25</v>
      </c>
    </row>
    <row r="91">
      <c r="A91" t="s">
        <v>30</v>
      </c>
      <c r="B91" t="n">
        <v>1</v>
      </c>
      <c r="C91" t="n">
        <v>1</v>
      </c>
      <c r="D91" t="n">
        <v>1</v>
      </c>
      <c r="E91" t="n">
        <v>-5.5</v>
      </c>
      <c r="F91" t="n">
        <v>-0.75</v>
      </c>
      <c r="G91" t="n">
        <v>100</v>
      </c>
      <c r="H91" t="n">
        <v>12</v>
      </c>
      <c r="I91" t="s">
        <v>197</v>
      </c>
      <c r="J91" t="n">
        <v>0</v>
      </c>
      <c r="K91" t="n">
        <v>0</v>
      </c>
      <c r="L91" t="n">
        <v>0</v>
      </c>
      <c r="M91" t="n">
        <v>12</v>
      </c>
      <c r="N91" t="n">
        <v>0.5</v>
      </c>
      <c r="O91" t="n">
        <v>0</v>
      </c>
      <c r="P91" t="n">
        <v>166</v>
      </c>
      <c r="Q91" t="n">
        <v>12</v>
      </c>
      <c r="R91" t="s">
        <v>197</v>
      </c>
      <c r="S91" t="s">
        <v>197</v>
      </c>
      <c r="T91" t="n">
        <v>0.5</v>
      </c>
    </row>
    <row r="92">
      <c r="A92" t="s">
        <v>30</v>
      </c>
      <c r="B92" t="n">
        <v>1</v>
      </c>
      <c r="C92" t="n">
        <v>1</v>
      </c>
      <c r="D92" t="n">
        <v>1</v>
      </c>
      <c r="E92" t="n">
        <v>-5.5</v>
      </c>
      <c r="F92" t="n">
        <v>-0.5</v>
      </c>
      <c r="G92" t="n">
        <v>96</v>
      </c>
      <c r="H92" t="n">
        <v>12</v>
      </c>
      <c r="I92" t="s">
        <v>197</v>
      </c>
      <c r="J92" t="n">
        <v>0</v>
      </c>
      <c r="K92" t="n">
        <v>0</v>
      </c>
      <c r="L92" t="n">
        <v>0</v>
      </c>
      <c r="M92" t="n">
        <v>12</v>
      </c>
      <c r="N92" t="n">
        <v>0.25</v>
      </c>
      <c r="O92" t="n">
        <v>0</v>
      </c>
      <c r="P92" t="n">
        <v>6</v>
      </c>
      <c r="Q92" t="n">
        <v>12</v>
      </c>
      <c r="R92" t="s">
        <v>197</v>
      </c>
      <c r="S92" t="s">
        <v>197</v>
      </c>
      <c r="T92" t="n">
        <v>0.25</v>
      </c>
    </row>
    <row r="93">
      <c r="A93" t="s">
        <v>30</v>
      </c>
      <c r="B93" t="n">
        <v>0.8</v>
      </c>
      <c r="C93" t="n">
        <v>0.63</v>
      </c>
      <c r="D93" t="n">
        <v>0.63</v>
      </c>
      <c r="E93" t="n">
        <v>0</v>
      </c>
      <c r="F93" t="n">
        <v>-0.75</v>
      </c>
      <c r="G93" t="n">
        <v>31</v>
      </c>
      <c r="H93" t="n">
        <v>12</v>
      </c>
      <c r="I93" t="s">
        <v>196</v>
      </c>
      <c r="J93" t="n">
        <v>0</v>
      </c>
      <c r="K93" t="n">
        <v>0</v>
      </c>
      <c r="L93" t="n">
        <v>0</v>
      </c>
      <c r="M93" t="n">
        <v>12</v>
      </c>
      <c r="N93" t="n">
        <v>0</v>
      </c>
      <c r="O93" t="n">
        <v>0</v>
      </c>
      <c r="P93" t="n">
        <v>166</v>
      </c>
      <c r="Q93" t="n">
        <v>12</v>
      </c>
      <c r="R93" t="s">
        <v>201</v>
      </c>
      <c r="S93" t="s">
        <v>201</v>
      </c>
      <c r="T93" t="n">
        <v>0</v>
      </c>
    </row>
    <row r="94">
      <c r="A94" t="s">
        <v>30</v>
      </c>
      <c r="B94" t="n">
        <v>0.8</v>
      </c>
      <c r="C94" t="n">
        <v>0.8</v>
      </c>
      <c r="D94" t="n">
        <v>0.8</v>
      </c>
      <c r="E94" t="n">
        <v>-2</v>
      </c>
      <c r="F94" t="n">
        <v>-0.25</v>
      </c>
      <c r="G94" t="n">
        <v>156</v>
      </c>
      <c r="H94" t="n">
        <v>12</v>
      </c>
      <c r="I94" t="s">
        <v>196</v>
      </c>
      <c r="J94" t="n">
        <v>0</v>
      </c>
      <c r="K94" t="n">
        <v>0</v>
      </c>
      <c r="L94" t="n">
        <v>0</v>
      </c>
      <c r="M94" t="n">
        <v>12</v>
      </c>
      <c r="N94" t="n">
        <v>0.25</v>
      </c>
      <c r="O94" t="n">
        <v>-0.25</v>
      </c>
      <c r="P94" t="n">
        <v>180</v>
      </c>
      <c r="Q94" t="n">
        <v>12</v>
      </c>
      <c r="R94" t="s">
        <v>196</v>
      </c>
      <c r="S94" t="s">
        <v>196</v>
      </c>
      <c r="T94" t="n">
        <v>0.125</v>
      </c>
    </row>
    <row r="95">
      <c r="A95" t="s">
        <v>30</v>
      </c>
      <c r="B95" t="n">
        <v>1</v>
      </c>
      <c r="C95" t="n">
        <v>1.25</v>
      </c>
      <c r="D95" t="n">
        <v>1.25</v>
      </c>
      <c r="E95" t="n">
        <v>-0.25</v>
      </c>
      <c r="F95" t="n">
        <v>-2</v>
      </c>
      <c r="G95" t="n">
        <v>23</v>
      </c>
      <c r="H95" t="n">
        <v>12</v>
      </c>
      <c r="I95" t="s">
        <v>197</v>
      </c>
      <c r="J95" t="n">
        <v>0</v>
      </c>
      <c r="K95" t="n">
        <v>0</v>
      </c>
      <c r="L95" t="n">
        <v>0</v>
      </c>
      <c r="M95" t="n">
        <v>12</v>
      </c>
      <c r="N95" t="n">
        <v>1</v>
      </c>
      <c r="O95" t="n">
        <v>-0.75</v>
      </c>
      <c r="P95" t="n">
        <v>42</v>
      </c>
      <c r="Q95" t="n">
        <v>12</v>
      </c>
      <c r="R95" t="s">
        <v>198</v>
      </c>
      <c r="S95" t="s">
        <v>198</v>
      </c>
      <c r="T95" t="n">
        <v>0.625</v>
      </c>
    </row>
    <row r="96">
      <c r="A96" t="s">
        <v>30</v>
      </c>
      <c r="B96" t="n">
        <v>1.25</v>
      </c>
      <c r="C96" t="n">
        <v>1.25</v>
      </c>
      <c r="D96" t="n">
        <v>1.25</v>
      </c>
      <c r="E96" t="n">
        <v>-1.5</v>
      </c>
      <c r="F96" t="n">
        <v>-0.5</v>
      </c>
      <c r="G96" t="n">
        <v>140</v>
      </c>
      <c r="H96" t="n">
        <v>12</v>
      </c>
      <c r="I96" t="s">
        <v>198</v>
      </c>
      <c r="J96" t="n">
        <v>0</v>
      </c>
      <c r="K96" t="n">
        <v>0</v>
      </c>
      <c r="L96" t="n">
        <v>0</v>
      </c>
      <c r="M96" t="n">
        <v>12</v>
      </c>
      <c r="N96" t="n">
        <v>-0.25</v>
      </c>
      <c r="O96" t="n">
        <v>-0.25</v>
      </c>
      <c r="P96" t="n">
        <v>77</v>
      </c>
      <c r="Q96" t="n">
        <v>12</v>
      </c>
      <c r="R96" t="s">
        <v>198</v>
      </c>
      <c r="S96" t="s">
        <v>198</v>
      </c>
      <c r="T96" t="n">
        <v>-0.375</v>
      </c>
    </row>
    <row r="97">
      <c r="A97" t="s">
        <v>30</v>
      </c>
      <c r="B97" t="n">
        <v>1.25</v>
      </c>
      <c r="C97" t="n">
        <v>1.25</v>
      </c>
      <c r="D97" t="n">
        <v>1.25</v>
      </c>
      <c r="E97" t="n">
        <v>-1</v>
      </c>
      <c r="F97" t="n">
        <v>-0.25</v>
      </c>
      <c r="G97" t="n">
        <v>42</v>
      </c>
      <c r="H97" t="n">
        <v>12</v>
      </c>
      <c r="I97" t="s">
        <v>198</v>
      </c>
      <c r="J97" t="n">
        <v>0</v>
      </c>
      <c r="K97" t="n">
        <v>0</v>
      </c>
      <c r="L97" t="n">
        <v>0</v>
      </c>
      <c r="M97" t="n">
        <v>12</v>
      </c>
      <c r="N97" t="n">
        <v>0</v>
      </c>
      <c r="O97" t="n">
        <v>-0.25</v>
      </c>
      <c r="P97" t="n">
        <v>92</v>
      </c>
      <c r="Q97" t="n">
        <v>12</v>
      </c>
      <c r="R97" t="s">
        <v>198</v>
      </c>
      <c r="S97" t="s">
        <v>198</v>
      </c>
      <c r="T97" t="n">
        <v>-0.125</v>
      </c>
    </row>
    <row r="98">
      <c r="A98" t="s">
        <v>30</v>
      </c>
      <c r="B98" t="n">
        <v>1.6</v>
      </c>
      <c r="C98" t="n">
        <v>1.25</v>
      </c>
      <c r="D98" t="n">
        <v>1.6</v>
      </c>
      <c r="E98" t="n">
        <v>-1</v>
      </c>
      <c r="F98" t="n">
        <v>-0.75</v>
      </c>
      <c r="G98" t="n">
        <v>4</v>
      </c>
      <c r="H98" t="n">
        <v>12</v>
      </c>
      <c r="I98" t="s">
        <v>199</v>
      </c>
      <c r="J98" t="n">
        <v>0</v>
      </c>
      <c r="K98" t="n">
        <v>0</v>
      </c>
      <c r="L98" t="n">
        <v>0</v>
      </c>
      <c r="M98" t="n">
        <v>12</v>
      </c>
      <c r="N98" t="n">
        <v>-0.5</v>
      </c>
      <c r="O98" t="n">
        <v>0</v>
      </c>
      <c r="P98" t="n">
        <v>130</v>
      </c>
      <c r="Q98" t="n">
        <v>12</v>
      </c>
      <c r="R98" t="s">
        <v>199</v>
      </c>
      <c r="S98" t="s">
        <v>198</v>
      </c>
      <c r="T98" t="n">
        <v>-0.5</v>
      </c>
    </row>
    <row r="99">
      <c r="A99" t="s">
        <v>30</v>
      </c>
      <c r="B99" t="n">
        <v>1.25</v>
      </c>
      <c r="C99" t="n">
        <v>1.25</v>
      </c>
      <c r="D99" t="n">
        <v>1.6</v>
      </c>
      <c r="E99" t="n">
        <v>-1.5</v>
      </c>
      <c r="F99" t="n">
        <v>-1.25</v>
      </c>
      <c r="G99" t="n">
        <v>2</v>
      </c>
      <c r="H99" t="n">
        <v>12</v>
      </c>
      <c r="I99" t="s">
        <v>198</v>
      </c>
      <c r="J99" t="n">
        <v>0</v>
      </c>
      <c r="K99" t="n">
        <v>0</v>
      </c>
      <c r="L99" t="n">
        <v>0</v>
      </c>
      <c r="M99" t="n">
        <v>12</v>
      </c>
      <c r="N99" t="n">
        <v>-0.25</v>
      </c>
      <c r="O99" t="n">
        <v>-0.5</v>
      </c>
      <c r="P99" t="n">
        <v>37</v>
      </c>
      <c r="Q99" t="n">
        <v>12</v>
      </c>
      <c r="R99" t="s">
        <v>199</v>
      </c>
      <c r="S99" t="s">
        <v>198</v>
      </c>
      <c r="T99" t="n">
        <v>-0.5</v>
      </c>
    </row>
    <row r="100">
      <c r="A100" t="s">
        <v>30</v>
      </c>
      <c r="B100" t="n">
        <v>1</v>
      </c>
      <c r="C100" t="n">
        <v>1.25</v>
      </c>
      <c r="D100" t="n">
        <v>1.25</v>
      </c>
      <c r="E100" t="n">
        <v>-2.75</v>
      </c>
      <c r="F100" t="n">
        <v>-0.5</v>
      </c>
      <c r="G100" t="n">
        <v>107</v>
      </c>
      <c r="H100" t="n">
        <v>12</v>
      </c>
      <c r="I100" t="s">
        <v>197</v>
      </c>
      <c r="J100" t="n">
        <v>0</v>
      </c>
      <c r="K100" t="n">
        <v>0</v>
      </c>
      <c r="L100" t="n">
        <v>0</v>
      </c>
      <c r="M100" t="n">
        <v>12</v>
      </c>
      <c r="N100" t="n">
        <v>-0.25</v>
      </c>
      <c r="O100" t="n">
        <v>0</v>
      </c>
      <c r="P100" t="n">
        <v>71</v>
      </c>
      <c r="Q100" t="n">
        <v>12</v>
      </c>
      <c r="R100" t="s">
        <v>198</v>
      </c>
      <c r="S100" t="s">
        <v>198</v>
      </c>
      <c r="T100" t="n">
        <v>-0.25</v>
      </c>
    </row>
    <row r="101">
      <c r="A101" t="s">
        <v>30</v>
      </c>
      <c r="B101" t="n">
        <v>1.25</v>
      </c>
      <c r="C101" t="n">
        <v>1.6</v>
      </c>
      <c r="D101" t="n">
        <v>1.6</v>
      </c>
      <c r="E101" t="n">
        <v>-1.75</v>
      </c>
      <c r="F101" t="n">
        <v>-0.25</v>
      </c>
      <c r="G101" t="n">
        <v>170</v>
      </c>
      <c r="H101" t="n">
        <v>12</v>
      </c>
      <c r="I101" t="s">
        <v>198</v>
      </c>
      <c r="J101" t="n">
        <v>0</v>
      </c>
      <c r="K101" t="n">
        <v>0</v>
      </c>
      <c r="L101" t="n">
        <v>0</v>
      </c>
      <c r="M101" t="n">
        <v>12</v>
      </c>
      <c r="N101" t="n">
        <v>-0.25</v>
      </c>
      <c r="O101" t="n">
        <v>-0.25</v>
      </c>
      <c r="P101" t="n">
        <v>24</v>
      </c>
      <c r="Q101" t="n">
        <v>12</v>
      </c>
      <c r="R101" t="s">
        <v>199</v>
      </c>
      <c r="S101" t="s">
        <v>199</v>
      </c>
      <c r="T101" t="n">
        <v>-0.375</v>
      </c>
    </row>
    <row r="102">
      <c r="A102" t="s">
        <v>30</v>
      </c>
      <c r="B102" t="n">
        <v>1.25</v>
      </c>
      <c r="C102" t="n">
        <v>1.6</v>
      </c>
      <c r="D102" t="n">
        <v>1.6</v>
      </c>
      <c r="E102" t="n">
        <v>-0.75</v>
      </c>
      <c r="F102" t="n">
        <v>-0.25</v>
      </c>
      <c r="G102" t="n">
        <v>179</v>
      </c>
      <c r="H102" t="n">
        <v>12</v>
      </c>
      <c r="I102" t="s">
        <v>198</v>
      </c>
      <c r="J102" t="n">
        <v>0</v>
      </c>
      <c r="K102" t="n">
        <v>0</v>
      </c>
      <c r="L102" t="n">
        <v>0</v>
      </c>
      <c r="M102" t="n">
        <v>12</v>
      </c>
      <c r="N102" t="n">
        <v>0</v>
      </c>
      <c r="O102" t="n">
        <v>-0.25</v>
      </c>
      <c r="P102" t="n">
        <v>21</v>
      </c>
      <c r="Q102" t="n">
        <v>12</v>
      </c>
      <c r="R102" t="s">
        <v>199</v>
      </c>
      <c r="S102" t="s">
        <v>199</v>
      </c>
      <c r="T102" t="n">
        <v>-0.125</v>
      </c>
    </row>
    <row r="103">
      <c r="A103" t="s">
        <v>30</v>
      </c>
      <c r="B103" t="n">
        <v>1</v>
      </c>
      <c r="C103" t="n">
        <v>1</v>
      </c>
      <c r="D103" t="n">
        <v>1</v>
      </c>
      <c r="E103" t="n">
        <v>-5.75</v>
      </c>
      <c r="F103" t="n">
        <v>-1.25</v>
      </c>
      <c r="G103" t="n">
        <v>156</v>
      </c>
      <c r="H103" t="n">
        <v>12</v>
      </c>
      <c r="I103" t="s">
        <v>197</v>
      </c>
      <c r="J103" t="n">
        <v>0</v>
      </c>
      <c r="K103" t="n">
        <v>0</v>
      </c>
      <c r="L103" t="n">
        <v>0</v>
      </c>
      <c r="M103" t="n">
        <v>12</v>
      </c>
      <c r="N103" t="n">
        <v>-0.25</v>
      </c>
      <c r="O103" t="n">
        <v>-0.25</v>
      </c>
      <c r="P103" t="n">
        <v>92</v>
      </c>
      <c r="Q103" t="n">
        <v>12</v>
      </c>
      <c r="R103" t="s">
        <v>197</v>
      </c>
      <c r="S103" t="s">
        <v>197</v>
      </c>
      <c r="T103" t="n">
        <v>-0.375</v>
      </c>
    </row>
    <row r="104">
      <c r="A104" t="s">
        <v>30</v>
      </c>
      <c r="B104" t="n">
        <v>1</v>
      </c>
      <c r="C104" t="n">
        <v>1</v>
      </c>
      <c r="D104" t="n">
        <v>1</v>
      </c>
      <c r="E104" t="n">
        <v>-4.75</v>
      </c>
      <c r="F104" t="n">
        <v>-2</v>
      </c>
      <c r="G104" t="n">
        <v>36</v>
      </c>
      <c r="H104" t="n">
        <v>12</v>
      </c>
      <c r="I104" t="s">
        <v>197</v>
      </c>
      <c r="J104" t="n">
        <v>0</v>
      </c>
      <c r="K104" t="n">
        <v>0</v>
      </c>
      <c r="L104" t="n">
        <v>0</v>
      </c>
      <c r="M104" t="n">
        <v>12</v>
      </c>
      <c r="N104" t="n">
        <v>-0.25</v>
      </c>
      <c r="O104" t="n">
        <v>-0.25</v>
      </c>
      <c r="P104" t="n">
        <v>80</v>
      </c>
      <c r="Q104" t="n">
        <v>12</v>
      </c>
      <c r="R104" t="s">
        <v>197</v>
      </c>
      <c r="S104" t="s">
        <v>197</v>
      </c>
      <c r="T104" t="n">
        <v>-0.375</v>
      </c>
    </row>
    <row r="105">
      <c r="A105" t="s">
        <v>30</v>
      </c>
      <c r="B105" t="n">
        <v>1</v>
      </c>
      <c r="C105" t="n">
        <v>1</v>
      </c>
      <c r="D105" t="n">
        <v>1</v>
      </c>
      <c r="E105" t="n">
        <v>-3.75</v>
      </c>
      <c r="F105" t="n">
        <v>-0.75</v>
      </c>
      <c r="G105" t="n">
        <v>35</v>
      </c>
      <c r="H105" t="n">
        <v>12</v>
      </c>
      <c r="I105" t="s">
        <v>197</v>
      </c>
      <c r="J105" t="n">
        <v>0</v>
      </c>
      <c r="K105" t="n">
        <v>0</v>
      </c>
      <c r="L105" t="n">
        <v>0</v>
      </c>
      <c r="M105" t="n">
        <v>12</v>
      </c>
      <c r="N105" t="n">
        <v>0.75</v>
      </c>
      <c r="O105" t="n">
        <v>-0.25</v>
      </c>
      <c r="P105" t="n">
        <v>7</v>
      </c>
      <c r="Q105" t="n">
        <v>12</v>
      </c>
      <c r="R105" t="s">
        <v>197</v>
      </c>
      <c r="S105" t="s">
        <v>197</v>
      </c>
      <c r="T105" t="n">
        <v>0.625</v>
      </c>
    </row>
    <row r="106">
      <c r="A106" t="s">
        <v>30</v>
      </c>
      <c r="B106" t="n">
        <v>1</v>
      </c>
      <c r="C106" t="n">
        <v>1</v>
      </c>
      <c r="D106" t="n">
        <v>1</v>
      </c>
      <c r="E106" t="n">
        <v>-3.75</v>
      </c>
      <c r="F106" t="n">
        <v>-0.5</v>
      </c>
      <c r="G106" t="n">
        <v>143</v>
      </c>
      <c r="H106" t="n">
        <v>12</v>
      </c>
      <c r="I106" t="s">
        <v>197</v>
      </c>
      <c r="J106" t="n">
        <v>0</v>
      </c>
      <c r="K106" t="n">
        <v>0</v>
      </c>
      <c r="L106" t="n">
        <v>0</v>
      </c>
      <c r="M106" t="n">
        <v>12</v>
      </c>
      <c r="N106" t="n">
        <v>0.25</v>
      </c>
      <c r="O106" t="n">
        <v>-0.25</v>
      </c>
      <c r="P106" t="n">
        <v>33</v>
      </c>
      <c r="Q106" t="n">
        <v>12</v>
      </c>
      <c r="R106" t="s">
        <v>197</v>
      </c>
      <c r="S106" t="s">
        <v>197</v>
      </c>
      <c r="T106" t="n">
        <v>0.125</v>
      </c>
    </row>
    <row r="107">
      <c r="A107" t="s">
        <v>30</v>
      </c>
      <c r="B107" t="n">
        <v>1</v>
      </c>
      <c r="C107" t="n">
        <v>1.25</v>
      </c>
      <c r="D107" t="n">
        <v>1.25</v>
      </c>
      <c r="E107" t="n">
        <v>-0.25</v>
      </c>
      <c r="F107" t="n">
        <v>-0.5</v>
      </c>
      <c r="G107" t="n">
        <v>68</v>
      </c>
      <c r="H107" t="n">
        <v>12</v>
      </c>
      <c r="I107" t="s">
        <v>197</v>
      </c>
      <c r="J107" t="n">
        <v>0</v>
      </c>
      <c r="K107" t="n">
        <v>0</v>
      </c>
      <c r="L107" t="n">
        <v>0</v>
      </c>
      <c r="M107" t="n">
        <v>12</v>
      </c>
      <c r="N107" t="n">
        <v>-0.25</v>
      </c>
      <c r="O107" t="n">
        <v>-0.25</v>
      </c>
      <c r="P107" t="n">
        <v>126</v>
      </c>
      <c r="Q107" t="n">
        <v>12</v>
      </c>
      <c r="R107" t="s">
        <v>198</v>
      </c>
      <c r="S107" t="s">
        <v>198</v>
      </c>
      <c r="T107" t="n">
        <v>-0.375</v>
      </c>
    </row>
    <row r="108">
      <c r="A108" t="s">
        <v>30</v>
      </c>
      <c r="B108" t="n">
        <v>0.8</v>
      </c>
      <c r="C108"/>
      <c r="D108"/>
      <c r="E108" t="n">
        <v>-4</v>
      </c>
      <c r="F108" t="n">
        <v>-1.25</v>
      </c>
      <c r="G108" t="n">
        <v>118</v>
      </c>
      <c r="H108" t="n">
        <v>12</v>
      </c>
      <c r="I108" t="s">
        <v>196</v>
      </c>
      <c r="J108" t="n">
        <v>0</v>
      </c>
      <c r="K108" t="n">
        <v>0</v>
      </c>
      <c r="L108" t="n">
        <v>0</v>
      </c>
      <c r="M108" t="n">
        <v>12</v>
      </c>
      <c r="N108"/>
      <c r="O108"/>
      <c r="P108"/>
      <c r="Q108" t="n">
        <v>12</v>
      </c>
      <c r="R108" t="s">
        <v>95</v>
      </c>
      <c r="S108" t="s">
        <v>95</v>
      </c>
      <c r="T108"/>
    </row>
    <row r="109">
      <c r="A109" t="s">
        <v>30</v>
      </c>
      <c r="B109" t="n">
        <v>1</v>
      </c>
      <c r="C109"/>
      <c r="D109"/>
      <c r="E109" t="n">
        <v>-3.25</v>
      </c>
      <c r="F109" t="n">
        <v>-0.75</v>
      </c>
      <c r="G109" t="n">
        <v>45</v>
      </c>
      <c r="H109" t="n">
        <v>12</v>
      </c>
      <c r="I109" t="s">
        <v>197</v>
      </c>
      <c r="J109" t="n">
        <v>0</v>
      </c>
      <c r="K109" t="n">
        <v>0</v>
      </c>
      <c r="L109" t="n">
        <v>0</v>
      </c>
      <c r="M109" t="n">
        <v>12</v>
      </c>
      <c r="N109"/>
      <c r="O109"/>
      <c r="P109"/>
      <c r="Q109" t="n">
        <v>12</v>
      </c>
      <c r="R109" t="s">
        <v>95</v>
      </c>
      <c r="S109" t="s">
        <v>95</v>
      </c>
      <c r="T109"/>
    </row>
    <row r="110">
      <c r="A110" t="s">
        <v>30</v>
      </c>
      <c r="B110" t="n">
        <v>1.25</v>
      </c>
      <c r="C110" t="n">
        <v>1.25</v>
      </c>
      <c r="D110" t="n">
        <v>1.25</v>
      </c>
      <c r="E110" t="n">
        <v>-2.5</v>
      </c>
      <c r="F110" t="n">
        <v>-1.25</v>
      </c>
      <c r="G110" t="n">
        <v>79</v>
      </c>
      <c r="H110" t="n">
        <v>12</v>
      </c>
      <c r="I110" t="s">
        <v>198</v>
      </c>
      <c r="J110" t="n">
        <v>0</v>
      </c>
      <c r="K110" t="n">
        <v>0</v>
      </c>
      <c r="L110" t="n">
        <v>0</v>
      </c>
      <c r="M110" t="n">
        <v>12</v>
      </c>
      <c r="N110" t="n">
        <v>0.5</v>
      </c>
      <c r="O110" t="n">
        <v>-0.5</v>
      </c>
      <c r="P110" t="n">
        <v>40</v>
      </c>
      <c r="Q110" t="n">
        <v>12</v>
      </c>
      <c r="R110" t="s">
        <v>198</v>
      </c>
      <c r="S110" t="s">
        <v>198</v>
      </c>
      <c r="T110" t="n">
        <v>0.25</v>
      </c>
    </row>
    <row r="111">
      <c r="A111" t="s">
        <v>30</v>
      </c>
      <c r="B111" t="n">
        <v>1.25</v>
      </c>
      <c r="C111" t="n">
        <v>1.6</v>
      </c>
      <c r="D111" t="n">
        <v>1.6</v>
      </c>
      <c r="E111" t="n">
        <v>-5.5</v>
      </c>
      <c r="F111" t="n">
        <v>-0.75</v>
      </c>
      <c r="G111" t="n">
        <v>81</v>
      </c>
      <c r="H111" t="n">
        <v>12</v>
      </c>
      <c r="I111" t="s">
        <v>198</v>
      </c>
      <c r="J111" t="n">
        <v>0</v>
      </c>
      <c r="K111" t="n">
        <v>0</v>
      </c>
      <c r="L111" t="n">
        <v>0</v>
      </c>
      <c r="M111" t="n">
        <v>12</v>
      </c>
      <c r="N111" t="n">
        <v>0.5</v>
      </c>
      <c r="O111" t="n">
        <v>-0.25</v>
      </c>
      <c r="P111" t="n">
        <v>130</v>
      </c>
      <c r="Q111" t="n">
        <v>12</v>
      </c>
      <c r="R111" t="s">
        <v>199</v>
      </c>
      <c r="S111" t="s">
        <v>199</v>
      </c>
      <c r="T111" t="n">
        <v>0.375</v>
      </c>
    </row>
    <row r="112">
      <c r="A112" t="s">
        <v>30</v>
      </c>
      <c r="B112" t="n">
        <v>1.25</v>
      </c>
      <c r="C112" t="n">
        <v>1.6</v>
      </c>
      <c r="D112" t="n">
        <v>1.6</v>
      </c>
      <c r="E112" t="n">
        <v>-4.25</v>
      </c>
      <c r="F112" t="n">
        <v>-0.75</v>
      </c>
      <c r="G112" t="n">
        <v>93</v>
      </c>
      <c r="H112" t="n">
        <v>12</v>
      </c>
      <c r="I112" t="s">
        <v>198</v>
      </c>
      <c r="J112" t="n">
        <v>0</v>
      </c>
      <c r="K112" t="n">
        <v>0</v>
      </c>
      <c r="L112" t="n">
        <v>0</v>
      </c>
      <c r="M112" t="n">
        <v>12</v>
      </c>
      <c r="N112" t="n">
        <v>0.75</v>
      </c>
      <c r="O112" t="n">
        <v>0</v>
      </c>
      <c r="P112" t="n">
        <v>102</v>
      </c>
      <c r="Q112" t="n">
        <v>12</v>
      </c>
      <c r="R112" t="s">
        <v>199</v>
      </c>
      <c r="S112" t="s">
        <v>199</v>
      </c>
      <c r="T112" t="n">
        <v>0.75</v>
      </c>
    </row>
    <row r="113">
      <c r="A113" t="s">
        <v>30</v>
      </c>
      <c r="B113" t="n">
        <v>1</v>
      </c>
      <c r="C113" t="n">
        <v>1</v>
      </c>
      <c r="D113" t="n">
        <v>1</v>
      </c>
      <c r="E113" t="n">
        <v>-3.25</v>
      </c>
      <c r="F113" t="n">
        <v>-0.25</v>
      </c>
      <c r="G113" t="n">
        <v>13</v>
      </c>
      <c r="H113" t="n">
        <v>12</v>
      </c>
      <c r="I113" t="s">
        <v>197</v>
      </c>
      <c r="J113" t="n">
        <v>0</v>
      </c>
      <c r="K113" t="n">
        <v>0</v>
      </c>
      <c r="L113" t="n">
        <v>0</v>
      </c>
      <c r="M113" t="n">
        <v>12</v>
      </c>
      <c r="N113" t="n">
        <v>0.5</v>
      </c>
      <c r="O113" t="n">
        <v>0</v>
      </c>
      <c r="P113" t="n">
        <v>58</v>
      </c>
      <c r="Q113" t="n">
        <v>12</v>
      </c>
      <c r="R113" t="s">
        <v>197</v>
      </c>
      <c r="S113" t="s">
        <v>197</v>
      </c>
      <c r="T113" t="n">
        <v>0.5</v>
      </c>
    </row>
    <row r="114">
      <c r="A114" t="s">
        <v>30</v>
      </c>
      <c r="B114" t="n">
        <v>1</v>
      </c>
      <c r="C114" t="n">
        <v>1</v>
      </c>
      <c r="D114" t="n">
        <v>1</v>
      </c>
      <c r="E114" t="n">
        <v>-3.5</v>
      </c>
      <c r="F114" t="n">
        <v>-1</v>
      </c>
      <c r="G114" t="n">
        <v>180</v>
      </c>
      <c r="H114" t="n">
        <v>12</v>
      </c>
      <c r="I114" t="s">
        <v>197</v>
      </c>
      <c r="J114" t="n">
        <v>0</v>
      </c>
      <c r="K114" t="n">
        <v>0</v>
      </c>
      <c r="L114" t="n">
        <v>0</v>
      </c>
      <c r="M114" t="n">
        <v>12</v>
      </c>
      <c r="N114" t="n">
        <v>0.5</v>
      </c>
      <c r="O114" t="n">
        <v>-0.25</v>
      </c>
      <c r="P114" t="n">
        <v>135</v>
      </c>
      <c r="Q114" t="n">
        <v>12</v>
      </c>
      <c r="R114" t="s">
        <v>197</v>
      </c>
      <c r="S114" t="s">
        <v>197</v>
      </c>
      <c r="T114" t="n">
        <v>0.375</v>
      </c>
    </row>
    <row r="115">
      <c r="A115" t="s">
        <v>30</v>
      </c>
      <c r="B115" t="n">
        <v>1.25</v>
      </c>
      <c r="C115" t="n">
        <v>1.25</v>
      </c>
      <c r="D115" t="n">
        <v>1.25</v>
      </c>
      <c r="E115" t="n">
        <v>-4.5</v>
      </c>
      <c r="F115" t="n">
        <v>-1</v>
      </c>
      <c r="G115" t="n">
        <v>4</v>
      </c>
      <c r="H115" t="n">
        <v>12</v>
      </c>
      <c r="I115" t="s">
        <v>198</v>
      </c>
      <c r="J115" t="n">
        <v>0</v>
      </c>
      <c r="K115" t="n">
        <v>0</v>
      </c>
      <c r="L115" t="n">
        <v>0</v>
      </c>
      <c r="M115" t="n">
        <v>12</v>
      </c>
      <c r="N115" t="n">
        <v>0.5</v>
      </c>
      <c r="O115" t="n">
        <v>-0.5</v>
      </c>
      <c r="P115" t="n">
        <v>17</v>
      </c>
      <c r="Q115" t="n">
        <v>12</v>
      </c>
      <c r="R115" t="s">
        <v>198</v>
      </c>
      <c r="S115" t="s">
        <v>198</v>
      </c>
      <c r="T115" t="n">
        <v>0.25</v>
      </c>
    </row>
    <row r="116">
      <c r="A116" t="s">
        <v>30</v>
      </c>
      <c r="B116" t="n">
        <v>1.25</v>
      </c>
      <c r="C116" t="n">
        <v>1</v>
      </c>
      <c r="D116" t="n">
        <v>1</v>
      </c>
      <c r="E116" t="n">
        <v>-2.25</v>
      </c>
      <c r="F116" t="n">
        <v>-0.75</v>
      </c>
      <c r="G116" t="n">
        <v>8</v>
      </c>
      <c r="H116" t="n">
        <v>12</v>
      </c>
      <c r="I116" t="s">
        <v>198</v>
      </c>
      <c r="J116" t="n">
        <v>0</v>
      </c>
      <c r="K116" t="n">
        <v>0</v>
      </c>
      <c r="L116" t="n">
        <v>0</v>
      </c>
      <c r="M116" t="n">
        <v>12</v>
      </c>
      <c r="N116" t="n">
        <v>0.25</v>
      </c>
      <c r="O116" t="n">
        <v>-0.25</v>
      </c>
      <c r="P116" t="n">
        <v>8</v>
      </c>
      <c r="Q116" t="n">
        <v>12</v>
      </c>
      <c r="R116" t="s">
        <v>197</v>
      </c>
      <c r="S116" t="s">
        <v>197</v>
      </c>
      <c r="T116" t="n">
        <v>0.125</v>
      </c>
    </row>
    <row r="117">
      <c r="A117" t="s">
        <v>30</v>
      </c>
      <c r="B117" t="n">
        <v>1</v>
      </c>
      <c r="C117" t="n">
        <v>1</v>
      </c>
      <c r="D117" t="n">
        <v>1</v>
      </c>
      <c r="E117" t="n">
        <v>-2.75</v>
      </c>
      <c r="F117" t="n">
        <v>-1.75</v>
      </c>
      <c r="G117" t="n">
        <v>168</v>
      </c>
      <c r="H117" t="n">
        <v>12</v>
      </c>
      <c r="I117" t="s">
        <v>197</v>
      </c>
      <c r="J117" t="n">
        <v>0</v>
      </c>
      <c r="K117" t="n">
        <v>0</v>
      </c>
      <c r="L117" t="n">
        <v>0</v>
      </c>
      <c r="M117" t="n">
        <v>12</v>
      </c>
      <c r="N117" t="n">
        <v>0.75</v>
      </c>
      <c r="O117" t="n">
        <v>-0.5</v>
      </c>
      <c r="P117" t="n">
        <v>7</v>
      </c>
      <c r="Q117" t="n">
        <v>12</v>
      </c>
      <c r="R117" t="s">
        <v>197</v>
      </c>
      <c r="S117" t="s">
        <v>197</v>
      </c>
      <c r="T117" t="n">
        <v>0.5</v>
      </c>
    </row>
    <row r="118">
      <c r="A118" t="s">
        <v>30</v>
      </c>
      <c r="B118" t="n">
        <v>1</v>
      </c>
      <c r="C118" t="n">
        <v>0.8</v>
      </c>
      <c r="D118" t="n">
        <v>1</v>
      </c>
      <c r="E118" t="n">
        <v>-2.25</v>
      </c>
      <c r="F118" t="n">
        <v>-1.25</v>
      </c>
      <c r="G118" t="n">
        <v>13</v>
      </c>
      <c r="H118" t="n">
        <v>12</v>
      </c>
      <c r="I118" t="s">
        <v>197</v>
      </c>
      <c r="J118" t="n">
        <v>0</v>
      </c>
      <c r="K118" t="n">
        <v>0</v>
      </c>
      <c r="L118" t="n">
        <v>0</v>
      </c>
      <c r="M118" t="n">
        <v>12</v>
      </c>
      <c r="N118" t="n">
        <v>-0.25</v>
      </c>
      <c r="O118" t="n">
        <v>-0.5</v>
      </c>
      <c r="P118" t="n">
        <v>153</v>
      </c>
      <c r="Q118" t="n">
        <v>12</v>
      </c>
      <c r="R118" t="s">
        <v>197</v>
      </c>
      <c r="S118" t="s">
        <v>196</v>
      </c>
      <c r="T118" t="n">
        <v>-0.5</v>
      </c>
    </row>
    <row r="119">
      <c r="A119" t="s">
        <v>30</v>
      </c>
      <c r="B119" t="n">
        <v>1</v>
      </c>
      <c r="C119" t="n">
        <v>0.8</v>
      </c>
      <c r="D119" t="n">
        <v>0.8</v>
      </c>
      <c r="E119" t="n">
        <v>0</v>
      </c>
      <c r="F119" t="n">
        <v>-0.75</v>
      </c>
      <c r="G119" t="n">
        <v>2</v>
      </c>
      <c r="H119" t="n">
        <v>12</v>
      </c>
      <c r="I119" t="s">
        <v>197</v>
      </c>
      <c r="J119" t="n">
        <v>0</v>
      </c>
      <c r="K119" t="n">
        <v>0</v>
      </c>
      <c r="L119" t="n">
        <v>0</v>
      </c>
      <c r="M119" t="n">
        <v>12</v>
      </c>
      <c r="N119" t="n">
        <v>0.75</v>
      </c>
      <c r="O119" t="n">
        <v>-0.25</v>
      </c>
      <c r="P119" t="n">
        <v>1</v>
      </c>
      <c r="Q119" t="n">
        <v>12</v>
      </c>
      <c r="R119" t="s">
        <v>196</v>
      </c>
      <c r="S119" t="s">
        <v>196</v>
      </c>
      <c r="T119" t="n">
        <v>0.625</v>
      </c>
    </row>
    <row r="120">
      <c r="A120" t="s">
        <v>30</v>
      </c>
      <c r="B120" t="n">
        <v>1</v>
      </c>
      <c r="C120" t="n">
        <v>1</v>
      </c>
      <c r="D120" t="n">
        <v>1</v>
      </c>
      <c r="E120" t="n">
        <v>-0.75</v>
      </c>
      <c r="F120" t="n">
        <v>-0.75</v>
      </c>
      <c r="G120" t="n">
        <v>180</v>
      </c>
      <c r="H120" t="n">
        <v>12</v>
      </c>
      <c r="I120" t="s">
        <v>197</v>
      </c>
      <c r="J120" t="n">
        <v>0</v>
      </c>
      <c r="K120" t="n">
        <v>0</v>
      </c>
      <c r="L120" t="n">
        <v>0</v>
      </c>
      <c r="M120" t="n">
        <v>12</v>
      </c>
      <c r="N120" t="n">
        <v>0.25</v>
      </c>
      <c r="O120" t="n">
        <v>-0.25</v>
      </c>
      <c r="P120" t="n">
        <v>173</v>
      </c>
      <c r="Q120" t="n">
        <v>12</v>
      </c>
      <c r="R120" t="s">
        <v>197</v>
      </c>
      <c r="S120" t="s">
        <v>197</v>
      </c>
      <c r="T120" t="n">
        <v>0.125</v>
      </c>
    </row>
    <row r="121">
      <c r="A121" t="s">
        <v>30</v>
      </c>
      <c r="B121" t="n">
        <v>1.25</v>
      </c>
      <c r="C121" t="n">
        <v>1.6</v>
      </c>
      <c r="D121" t="n">
        <v>1.6</v>
      </c>
      <c r="E121" t="n">
        <v>-1.75</v>
      </c>
      <c r="F121" t="n">
        <v>-0.5</v>
      </c>
      <c r="G121" t="n">
        <v>44</v>
      </c>
      <c r="H121" t="n">
        <v>12</v>
      </c>
      <c r="I121" t="s">
        <v>198</v>
      </c>
      <c r="J121" t="n">
        <v>0</v>
      </c>
      <c r="K121" t="n">
        <v>0</v>
      </c>
      <c r="L121" t="n">
        <v>0</v>
      </c>
      <c r="M121" t="n">
        <v>12</v>
      </c>
      <c r="N121" t="n">
        <v>0.25</v>
      </c>
      <c r="O121" t="n">
        <v>-0.25</v>
      </c>
      <c r="P121" t="n">
        <v>21</v>
      </c>
      <c r="Q121" t="n">
        <v>12</v>
      </c>
      <c r="R121" t="s">
        <v>199</v>
      </c>
      <c r="S121" t="s">
        <v>199</v>
      </c>
      <c r="T121" t="n">
        <v>0.125</v>
      </c>
    </row>
    <row r="122">
      <c r="A122" t="s">
        <v>30</v>
      </c>
      <c r="B122" t="n">
        <v>1</v>
      </c>
      <c r="C122" t="n">
        <v>1.25</v>
      </c>
      <c r="D122" t="n">
        <v>1.6</v>
      </c>
      <c r="E122" t="n">
        <v>-4.25</v>
      </c>
      <c r="F122" t="n">
        <v>-0.5</v>
      </c>
      <c r="G122" t="n">
        <v>125</v>
      </c>
      <c r="H122" t="n">
        <v>12</v>
      </c>
      <c r="I122" t="s">
        <v>197</v>
      </c>
      <c r="J122" t="n">
        <v>0</v>
      </c>
      <c r="K122" t="n">
        <v>0</v>
      </c>
      <c r="L122" t="n">
        <v>0</v>
      </c>
      <c r="M122" t="n">
        <v>12</v>
      </c>
      <c r="N122" t="n">
        <v>-0.5</v>
      </c>
      <c r="O122" t="n">
        <v>-0.5</v>
      </c>
      <c r="P122" t="n">
        <v>158</v>
      </c>
      <c r="Q122" t="n">
        <v>12</v>
      </c>
      <c r="R122" t="s">
        <v>199</v>
      </c>
      <c r="S122" t="s">
        <v>198</v>
      </c>
      <c r="T122" t="n">
        <v>-0.75</v>
      </c>
    </row>
    <row r="123">
      <c r="A123" t="s">
        <v>30</v>
      </c>
      <c r="B123" t="n">
        <v>1</v>
      </c>
      <c r="C123" t="n">
        <v>0.8</v>
      </c>
      <c r="D123" t="n">
        <v>1</v>
      </c>
      <c r="E123" t="n">
        <v>-2.5</v>
      </c>
      <c r="F123" t="n">
        <v>-1.25</v>
      </c>
      <c r="G123" t="n">
        <v>16</v>
      </c>
      <c r="H123" t="n">
        <v>12</v>
      </c>
      <c r="I123" t="s">
        <v>197</v>
      </c>
      <c r="J123" t="n">
        <v>0</v>
      </c>
      <c r="K123" t="n">
        <v>0</v>
      </c>
      <c r="L123" t="n">
        <v>0</v>
      </c>
      <c r="M123" t="n">
        <v>12</v>
      </c>
      <c r="N123" t="n">
        <v>0.25</v>
      </c>
      <c r="O123" t="n">
        <v>-0.5</v>
      </c>
      <c r="P123" t="n">
        <v>29</v>
      </c>
      <c r="Q123" t="n">
        <v>12</v>
      </c>
      <c r="R123" t="s">
        <v>197</v>
      </c>
      <c r="S123" t="s">
        <v>196</v>
      </c>
      <c r="T123" t="n">
        <v>0</v>
      </c>
    </row>
    <row r="124">
      <c r="A124" t="s">
        <v>30</v>
      </c>
      <c r="B124" t="n">
        <v>1</v>
      </c>
      <c r="C124" t="n">
        <v>1</v>
      </c>
      <c r="D124" t="n">
        <v>1</v>
      </c>
      <c r="E124" t="n">
        <v>-4.75</v>
      </c>
      <c r="F124" t="n">
        <v>-1.5</v>
      </c>
      <c r="G124" t="n">
        <v>166</v>
      </c>
      <c r="H124" t="n">
        <v>12</v>
      </c>
      <c r="I124" t="s">
        <v>197</v>
      </c>
      <c r="J124" t="n">
        <v>0</v>
      </c>
      <c r="K124" t="n">
        <v>0</v>
      </c>
      <c r="L124" t="n">
        <v>0</v>
      </c>
      <c r="M124" t="n">
        <v>12</v>
      </c>
      <c r="N124" t="n">
        <v>0.25</v>
      </c>
      <c r="O124" t="n">
        <v>-0.5</v>
      </c>
      <c r="P124" t="n">
        <v>162</v>
      </c>
      <c r="Q124" t="n">
        <v>12</v>
      </c>
      <c r="R124" t="s">
        <v>197</v>
      </c>
      <c r="S124" t="s">
        <v>197</v>
      </c>
      <c r="T124" t="n">
        <v>0</v>
      </c>
    </row>
    <row r="125">
      <c r="A125" t="s">
        <v>30</v>
      </c>
      <c r="B125" t="n">
        <v>1</v>
      </c>
      <c r="C125" t="n">
        <v>1</v>
      </c>
      <c r="D125" t="n">
        <v>1</v>
      </c>
      <c r="E125" t="n">
        <v>-3.75</v>
      </c>
      <c r="F125" t="n">
        <v>-0.75</v>
      </c>
      <c r="G125" t="n">
        <v>7</v>
      </c>
      <c r="H125" t="n">
        <v>12</v>
      </c>
      <c r="I125" t="s">
        <v>197</v>
      </c>
      <c r="J125" t="n">
        <v>0</v>
      </c>
      <c r="K125" t="n">
        <v>0</v>
      </c>
      <c r="L125" t="n">
        <v>0</v>
      </c>
      <c r="M125" t="n">
        <v>12</v>
      </c>
      <c r="N125" t="n">
        <v>-0.25</v>
      </c>
      <c r="O125" t="n">
        <v>0</v>
      </c>
      <c r="P125" t="n">
        <v>139</v>
      </c>
      <c r="Q125" t="n">
        <v>12</v>
      </c>
      <c r="R125" t="s">
        <v>197</v>
      </c>
      <c r="S125" t="s">
        <v>197</v>
      </c>
      <c r="T125" t="n">
        <v>-0.25</v>
      </c>
    </row>
    <row r="126">
      <c r="A126" t="s">
        <v>30</v>
      </c>
      <c r="B126" t="n">
        <v>1</v>
      </c>
      <c r="C126" t="n">
        <v>1.25</v>
      </c>
      <c r="D126" t="n">
        <v>1.25</v>
      </c>
      <c r="E126" t="n">
        <v>-2.5</v>
      </c>
      <c r="F126" t="n">
        <v>-0.75</v>
      </c>
      <c r="G126" t="n">
        <v>89</v>
      </c>
      <c r="H126" t="n">
        <v>12</v>
      </c>
      <c r="I126" t="s">
        <v>197</v>
      </c>
      <c r="J126" t="n">
        <v>0</v>
      </c>
      <c r="K126" t="n">
        <v>0</v>
      </c>
      <c r="L126" t="n">
        <v>0</v>
      </c>
      <c r="M126" t="n">
        <v>12</v>
      </c>
      <c r="N126" t="n">
        <v>1</v>
      </c>
      <c r="O126" t="n">
        <v>-0.25</v>
      </c>
      <c r="P126" t="n">
        <v>80</v>
      </c>
      <c r="Q126" t="n">
        <v>12</v>
      </c>
      <c r="R126" t="s">
        <v>198</v>
      </c>
      <c r="S126" t="s">
        <v>198</v>
      </c>
      <c r="T126" t="n">
        <v>0.875</v>
      </c>
    </row>
    <row r="127">
      <c r="A127" t="s">
        <v>30</v>
      </c>
      <c r="B127" t="n">
        <v>1.25</v>
      </c>
      <c r="C127" t="n">
        <v>1.25</v>
      </c>
      <c r="D127" t="n">
        <v>1.25</v>
      </c>
      <c r="E127" t="n">
        <v>-2.25</v>
      </c>
      <c r="F127" t="n">
        <v>-0.5</v>
      </c>
      <c r="G127" t="n">
        <v>165</v>
      </c>
      <c r="H127" t="n">
        <v>12</v>
      </c>
      <c r="I127" t="s">
        <v>198</v>
      </c>
      <c r="J127" t="n">
        <v>0</v>
      </c>
      <c r="K127" t="n">
        <v>0</v>
      </c>
      <c r="L127" t="n">
        <v>0</v>
      </c>
      <c r="M127" t="n">
        <v>12</v>
      </c>
      <c r="N127" t="n">
        <v>0</v>
      </c>
      <c r="O127" t="n">
        <v>-0.25</v>
      </c>
      <c r="P127" t="n">
        <v>170</v>
      </c>
      <c r="Q127" t="n">
        <v>12</v>
      </c>
      <c r="R127" t="s">
        <v>198</v>
      </c>
      <c r="S127" t="s">
        <v>198</v>
      </c>
      <c r="T127" t="n">
        <v>-0.125</v>
      </c>
    </row>
    <row r="128">
      <c r="A128" t="s">
        <v>30</v>
      </c>
      <c r="B128" t="n">
        <v>1</v>
      </c>
      <c r="C128" t="n">
        <v>1</v>
      </c>
      <c r="D128" t="n">
        <v>1</v>
      </c>
      <c r="E128" t="n">
        <v>-3.25</v>
      </c>
      <c r="F128" t="n">
        <v>-0.5</v>
      </c>
      <c r="G128" t="n">
        <v>21</v>
      </c>
      <c r="H128" t="n">
        <v>12</v>
      </c>
      <c r="I128" t="s">
        <v>197</v>
      </c>
      <c r="J128" t="n">
        <v>0</v>
      </c>
      <c r="K128" t="n">
        <v>0</v>
      </c>
      <c r="L128" t="n">
        <v>0</v>
      </c>
      <c r="M128" t="n">
        <v>12</v>
      </c>
      <c r="N128" t="n">
        <v>0.5</v>
      </c>
      <c r="O128" t="n">
        <v>-0.25</v>
      </c>
      <c r="P128" t="n">
        <v>19</v>
      </c>
      <c r="Q128" t="n">
        <v>12</v>
      </c>
      <c r="R128" t="s">
        <v>197</v>
      </c>
      <c r="S128" t="s">
        <v>197</v>
      </c>
      <c r="T128" t="n">
        <v>0.375</v>
      </c>
    </row>
    <row r="129">
      <c r="A129" t="s">
        <v>30</v>
      </c>
      <c r="B129" t="n">
        <v>1</v>
      </c>
      <c r="C129" t="n">
        <v>1.25</v>
      </c>
      <c r="D129" t="n">
        <v>1.25</v>
      </c>
      <c r="E129" t="n">
        <v>-4</v>
      </c>
      <c r="F129" t="n">
        <v>-1</v>
      </c>
      <c r="G129" t="n">
        <v>167</v>
      </c>
      <c r="H129" t="n">
        <v>12</v>
      </c>
      <c r="I129" t="s">
        <v>197</v>
      </c>
      <c r="J129" t="n">
        <v>0</v>
      </c>
      <c r="K129" t="n">
        <v>0</v>
      </c>
      <c r="L129" t="n">
        <v>0</v>
      </c>
      <c r="M129" t="n">
        <v>12</v>
      </c>
      <c r="N129" t="n">
        <v>-0.5</v>
      </c>
      <c r="O129" t="n">
        <v>0</v>
      </c>
      <c r="P129" t="n">
        <v>20</v>
      </c>
      <c r="Q129" t="n">
        <v>12</v>
      </c>
      <c r="R129" t="s">
        <v>198</v>
      </c>
      <c r="S129" t="s">
        <v>198</v>
      </c>
      <c r="T129" t="n">
        <v>-0.5</v>
      </c>
    </row>
    <row r="130">
      <c r="A130" t="s">
        <v>30</v>
      </c>
      <c r="B130" t="n">
        <v>1</v>
      </c>
      <c r="C130" t="n">
        <v>1.25</v>
      </c>
      <c r="D130" t="n">
        <v>1.25</v>
      </c>
      <c r="E130" t="n">
        <v>-3</v>
      </c>
      <c r="F130" t="n">
        <v>-0.5</v>
      </c>
      <c r="G130" t="n">
        <v>10</v>
      </c>
      <c r="H130" t="n">
        <v>12</v>
      </c>
      <c r="I130" t="s">
        <v>197</v>
      </c>
      <c r="J130" t="n">
        <v>0</v>
      </c>
      <c r="K130" t="n">
        <v>0</v>
      </c>
      <c r="L130" t="n">
        <v>0</v>
      </c>
      <c r="M130" t="n">
        <v>12</v>
      </c>
      <c r="N130" t="n">
        <v>0.25</v>
      </c>
      <c r="O130" t="n">
        <v>0</v>
      </c>
      <c r="P130" t="n">
        <v>82</v>
      </c>
      <c r="Q130" t="n">
        <v>12</v>
      </c>
      <c r="R130" t="s">
        <v>198</v>
      </c>
      <c r="S130" t="s">
        <v>198</v>
      </c>
      <c r="T130" t="n">
        <v>0.25</v>
      </c>
    </row>
    <row r="131">
      <c r="A131" t="s">
        <v>30</v>
      </c>
      <c r="B131" t="n">
        <v>1.25</v>
      </c>
      <c r="C131" t="n">
        <v>0.8</v>
      </c>
      <c r="D131" t="n">
        <v>1.25</v>
      </c>
      <c r="E131" t="n">
        <v>0</v>
      </c>
      <c r="F131" t="n">
        <v>-0.75</v>
      </c>
      <c r="G131" t="n">
        <v>145</v>
      </c>
      <c r="H131" t="n">
        <v>12</v>
      </c>
      <c r="I131" t="s">
        <v>198</v>
      </c>
      <c r="J131" t="n">
        <v>0</v>
      </c>
      <c r="K131" t="n">
        <v>0</v>
      </c>
      <c r="L131" t="n">
        <v>0</v>
      </c>
      <c r="M131" t="n">
        <v>12</v>
      </c>
      <c r="N131" t="n">
        <v>-0.75</v>
      </c>
      <c r="O131" t="n">
        <v>-0.25</v>
      </c>
      <c r="P131" t="n">
        <v>155</v>
      </c>
      <c r="Q131" t="n">
        <v>12</v>
      </c>
      <c r="R131" t="s">
        <v>198</v>
      </c>
      <c r="S131" t="s">
        <v>196</v>
      </c>
      <c r="T131" t="n">
        <v>-0.875</v>
      </c>
    </row>
    <row r="132">
      <c r="A132" t="s">
        <v>30</v>
      </c>
      <c r="B132" t="n">
        <v>1</v>
      </c>
      <c r="C132" t="n">
        <v>0.5</v>
      </c>
      <c r="D132" t="n">
        <v>1</v>
      </c>
      <c r="E132" t="n">
        <v>-0.25</v>
      </c>
      <c r="F132" t="n">
        <v>-1.25</v>
      </c>
      <c r="G132" t="n">
        <v>31</v>
      </c>
      <c r="H132" t="n">
        <v>12</v>
      </c>
      <c r="I132" t="s">
        <v>197</v>
      </c>
      <c r="J132" t="n">
        <v>0</v>
      </c>
      <c r="K132" t="n">
        <v>0</v>
      </c>
      <c r="L132" t="n">
        <v>0</v>
      </c>
      <c r="M132" t="n">
        <v>12</v>
      </c>
      <c r="N132" t="n">
        <v>-1</v>
      </c>
      <c r="O132" t="n">
        <v>-0.5</v>
      </c>
      <c r="P132" t="n">
        <v>20</v>
      </c>
      <c r="Q132" t="n">
        <v>12</v>
      </c>
      <c r="R132" t="s">
        <v>197</v>
      </c>
      <c r="S132" t="s">
        <v>200</v>
      </c>
      <c r="T132" t="n">
        <v>-1.25</v>
      </c>
    </row>
    <row r="133">
      <c r="A133" t="s">
        <v>30</v>
      </c>
      <c r="B133" t="n">
        <v>1</v>
      </c>
      <c r="C133" t="n">
        <v>1</v>
      </c>
      <c r="D133" t="n">
        <v>1</v>
      </c>
      <c r="E133" t="n">
        <v>-1</v>
      </c>
      <c r="F133" t="n">
        <v>-0.5</v>
      </c>
      <c r="G133" t="n">
        <v>166</v>
      </c>
      <c r="H133" t="n">
        <v>12</v>
      </c>
      <c r="I133" t="s">
        <v>197</v>
      </c>
      <c r="J133" t="n">
        <v>0</v>
      </c>
      <c r="K133" t="n">
        <v>0</v>
      </c>
      <c r="L133" t="n">
        <v>0</v>
      </c>
      <c r="M133" t="n">
        <v>12</v>
      </c>
      <c r="N133" t="n">
        <v>0.75</v>
      </c>
      <c r="O133" t="n">
        <v>-0.25</v>
      </c>
      <c r="P133" t="n">
        <v>149</v>
      </c>
      <c r="Q133" t="n">
        <v>12</v>
      </c>
      <c r="R133" t="s">
        <v>197</v>
      </c>
      <c r="S133" t="s">
        <v>197</v>
      </c>
      <c r="T133" t="n">
        <v>0.625</v>
      </c>
    </row>
    <row r="134">
      <c r="A134" t="s">
        <v>30</v>
      </c>
      <c r="B134" t="n">
        <v>1</v>
      </c>
      <c r="C134" t="n">
        <v>1</v>
      </c>
      <c r="D134" t="n">
        <v>1</v>
      </c>
      <c r="E134" t="n">
        <v>-1.75</v>
      </c>
      <c r="F134" t="n">
        <v>-0.25</v>
      </c>
      <c r="G134" t="n">
        <v>12</v>
      </c>
      <c r="H134" t="n">
        <v>12</v>
      </c>
      <c r="I134" t="s">
        <v>197</v>
      </c>
      <c r="J134" t="n">
        <v>0</v>
      </c>
      <c r="K134" t="n">
        <v>0</v>
      </c>
      <c r="L134" t="n">
        <v>0</v>
      </c>
      <c r="M134" t="n">
        <v>12</v>
      </c>
      <c r="N134" t="n">
        <v>0.5</v>
      </c>
      <c r="O134" t="n">
        <v>-0.25</v>
      </c>
      <c r="P134" t="n">
        <v>28</v>
      </c>
      <c r="Q134" t="n">
        <v>12</v>
      </c>
      <c r="R134" t="s">
        <v>197</v>
      </c>
      <c r="S134" t="s">
        <v>197</v>
      </c>
      <c r="T134" t="n">
        <v>0.375</v>
      </c>
    </row>
    <row r="135">
      <c r="A135" t="s">
        <v>30</v>
      </c>
      <c r="B135" t="n">
        <v>1</v>
      </c>
      <c r="C135"/>
      <c r="D135"/>
      <c r="E135" t="n">
        <v>-2.75</v>
      </c>
      <c r="F135" t="n">
        <v>-0.5</v>
      </c>
      <c r="G135" t="n">
        <v>160</v>
      </c>
      <c r="H135" t="n">
        <v>12</v>
      </c>
      <c r="I135" t="s">
        <v>197</v>
      </c>
      <c r="J135" t="n">
        <v>0</v>
      </c>
      <c r="K135" t="n">
        <v>0</v>
      </c>
      <c r="L135" t="n">
        <v>0</v>
      </c>
      <c r="M135" t="n">
        <v>12</v>
      </c>
      <c r="N135"/>
      <c r="O135"/>
      <c r="P135"/>
      <c r="Q135" t="n">
        <v>12</v>
      </c>
      <c r="R135" t="s">
        <v>95</v>
      </c>
      <c r="S135" t="s">
        <v>95</v>
      </c>
      <c r="T135"/>
    </row>
    <row r="136">
      <c r="A136" t="s">
        <v>30</v>
      </c>
      <c r="B136" t="n">
        <v>1</v>
      </c>
      <c r="C136"/>
      <c r="D136"/>
      <c r="E136" t="n">
        <v>-3.25</v>
      </c>
      <c r="F136" t="n">
        <v>-0.5</v>
      </c>
      <c r="G136" t="n">
        <v>23</v>
      </c>
      <c r="H136" t="n">
        <v>12</v>
      </c>
      <c r="I136" t="s">
        <v>197</v>
      </c>
      <c r="J136" t="n">
        <v>0</v>
      </c>
      <c r="K136" t="n">
        <v>0</v>
      </c>
      <c r="L136" t="n">
        <v>0</v>
      </c>
      <c r="M136" t="n">
        <v>12</v>
      </c>
      <c r="N136"/>
      <c r="O136"/>
      <c r="P136"/>
      <c r="Q136" t="n">
        <v>12</v>
      </c>
      <c r="R136" t="s">
        <v>95</v>
      </c>
      <c r="S136" t="s">
        <v>95</v>
      </c>
      <c r="T136"/>
    </row>
    <row r="137">
      <c r="A137" t="s">
        <v>30</v>
      </c>
      <c r="B137" t="n">
        <v>1.25</v>
      </c>
      <c r="C137" t="n">
        <v>1.25</v>
      </c>
      <c r="D137" t="n">
        <v>1.25</v>
      </c>
      <c r="E137" t="n">
        <v>-2</v>
      </c>
      <c r="F137" t="n">
        <v>-0.25</v>
      </c>
      <c r="G137" t="n">
        <v>35</v>
      </c>
      <c r="H137" t="n">
        <v>12</v>
      </c>
      <c r="I137" t="s">
        <v>198</v>
      </c>
      <c r="J137" t="n">
        <v>0</v>
      </c>
      <c r="K137" t="n">
        <v>0</v>
      </c>
      <c r="L137" t="n">
        <v>0</v>
      </c>
      <c r="M137" t="n">
        <v>12</v>
      </c>
      <c r="N137" t="n">
        <v>0.25</v>
      </c>
      <c r="O137" t="n">
        <v>0</v>
      </c>
      <c r="P137" t="n">
        <v>20</v>
      </c>
      <c r="Q137" t="n">
        <v>12</v>
      </c>
      <c r="R137" t="s">
        <v>198</v>
      </c>
      <c r="S137" t="s">
        <v>198</v>
      </c>
      <c r="T137" t="n">
        <v>0.25</v>
      </c>
    </row>
    <row r="138">
      <c r="A138" t="s">
        <v>30</v>
      </c>
      <c r="B138" t="n">
        <v>1.6</v>
      </c>
      <c r="C138" t="n">
        <v>1.25</v>
      </c>
      <c r="D138" t="n">
        <v>1.25</v>
      </c>
      <c r="E138" t="n">
        <v>-2.25</v>
      </c>
      <c r="F138" t="n">
        <v>-0.25</v>
      </c>
      <c r="G138" t="n">
        <v>147</v>
      </c>
      <c r="H138" t="n">
        <v>12</v>
      </c>
      <c r="I138" t="s">
        <v>199</v>
      </c>
      <c r="J138" t="n">
        <v>0</v>
      </c>
      <c r="K138" t="n">
        <v>0</v>
      </c>
      <c r="L138" t="n">
        <v>0</v>
      </c>
      <c r="M138" t="n">
        <v>12</v>
      </c>
      <c r="N138" t="n">
        <v>0.25</v>
      </c>
      <c r="O138" t="n">
        <v>0</v>
      </c>
      <c r="P138" t="n">
        <v>29</v>
      </c>
      <c r="Q138" t="n">
        <v>12</v>
      </c>
      <c r="R138" t="s">
        <v>198</v>
      </c>
      <c r="S138" t="s">
        <v>198</v>
      </c>
      <c r="T138" t="n">
        <v>0.25</v>
      </c>
    </row>
    <row r="139">
      <c r="A139" t="s">
        <v>30</v>
      </c>
      <c r="B139" t="n">
        <v>1</v>
      </c>
      <c r="C139" t="n">
        <v>0.63</v>
      </c>
      <c r="D139" t="n">
        <v>0.63</v>
      </c>
      <c r="E139" t="n">
        <v>-1.75</v>
      </c>
      <c r="F139" t="n">
        <v>-0.25</v>
      </c>
      <c r="G139" t="n">
        <v>97</v>
      </c>
      <c r="H139" t="n">
        <v>12</v>
      </c>
      <c r="I139" t="s">
        <v>197</v>
      </c>
      <c r="J139" t="n">
        <v>0</v>
      </c>
      <c r="K139" t="n">
        <v>0</v>
      </c>
      <c r="L139" t="n">
        <v>0</v>
      </c>
      <c r="M139" t="n">
        <v>12</v>
      </c>
      <c r="N139" t="n">
        <v>0.75</v>
      </c>
      <c r="O139" t="n">
        <v>0</v>
      </c>
      <c r="P139" t="n">
        <v>141</v>
      </c>
      <c r="Q139" t="n">
        <v>12</v>
      </c>
      <c r="R139" t="s">
        <v>201</v>
      </c>
      <c r="S139" t="s">
        <v>201</v>
      </c>
      <c r="T139" t="n">
        <v>0.75</v>
      </c>
    </row>
    <row r="140">
      <c r="A140" t="s">
        <v>30</v>
      </c>
      <c r="B140" t="n">
        <v>1.25</v>
      </c>
      <c r="C140" t="n">
        <v>1</v>
      </c>
      <c r="D140" t="n">
        <v>1</v>
      </c>
      <c r="E140" t="n">
        <v>-1.75</v>
      </c>
      <c r="F140" t="n">
        <v>-0.75</v>
      </c>
      <c r="G140" t="n">
        <v>93</v>
      </c>
      <c r="H140" t="n">
        <v>12</v>
      </c>
      <c r="I140" t="s">
        <v>198</v>
      </c>
      <c r="J140" t="n">
        <v>-1</v>
      </c>
      <c r="K140" t="n">
        <v>0</v>
      </c>
      <c r="L140" t="n">
        <v>0</v>
      </c>
      <c r="M140" t="n">
        <v>12</v>
      </c>
      <c r="N140" t="n">
        <v>-0.25</v>
      </c>
      <c r="O140" t="n">
        <v>-0.25</v>
      </c>
      <c r="P140" t="n">
        <v>155</v>
      </c>
      <c r="Q140" t="n">
        <v>12</v>
      </c>
      <c r="R140" t="s">
        <v>197</v>
      </c>
      <c r="S140" t="s">
        <v>197</v>
      </c>
      <c r="T140" t="n">
        <v>-0.375</v>
      </c>
    </row>
    <row r="141">
      <c r="A141" t="s">
        <v>30</v>
      </c>
      <c r="B141" t="n">
        <v>1</v>
      </c>
      <c r="C141" t="n">
        <v>1</v>
      </c>
      <c r="D141" t="n">
        <v>1</v>
      </c>
      <c r="E141" t="n">
        <v>-0.75</v>
      </c>
      <c r="F141" t="n">
        <v>-0.75</v>
      </c>
      <c r="G141" t="n">
        <v>166</v>
      </c>
      <c r="H141" t="n">
        <v>12</v>
      </c>
      <c r="I141" t="s">
        <v>197</v>
      </c>
      <c r="J141" t="n">
        <v>0</v>
      </c>
      <c r="K141" t="n">
        <v>0</v>
      </c>
      <c r="L141" t="n">
        <v>0</v>
      </c>
      <c r="M141" t="n">
        <v>12</v>
      </c>
      <c r="N141" t="n">
        <v>0.75</v>
      </c>
      <c r="O141" t="n">
        <v>-0.25</v>
      </c>
      <c r="P141" t="n">
        <v>110</v>
      </c>
      <c r="Q141" t="n">
        <v>12</v>
      </c>
      <c r="R141" t="s">
        <v>197</v>
      </c>
      <c r="S141" t="s">
        <v>197</v>
      </c>
      <c r="T141" t="n">
        <v>0.625</v>
      </c>
    </row>
    <row r="142">
      <c r="A142" t="s">
        <v>30</v>
      </c>
      <c r="B142" t="n">
        <v>1</v>
      </c>
      <c r="C142" t="n">
        <v>1</v>
      </c>
      <c r="D142" t="n">
        <v>1</v>
      </c>
      <c r="E142" t="n">
        <v>0</v>
      </c>
      <c r="F142" t="n">
        <v>-1</v>
      </c>
      <c r="G142" t="n">
        <v>180</v>
      </c>
      <c r="H142" t="n">
        <v>12</v>
      </c>
      <c r="I142" t="s">
        <v>197</v>
      </c>
      <c r="J142" t="n">
        <v>0</v>
      </c>
      <c r="K142" t="n">
        <v>0</v>
      </c>
      <c r="L142" t="n">
        <v>0</v>
      </c>
      <c r="M142" t="n">
        <v>12</v>
      </c>
      <c r="N142" t="n">
        <v>0.25</v>
      </c>
      <c r="O142" t="n">
        <v>-0.25</v>
      </c>
      <c r="P142" t="n">
        <v>69</v>
      </c>
      <c r="Q142" t="n">
        <v>12</v>
      </c>
      <c r="R142" t="s">
        <v>197</v>
      </c>
      <c r="S142" t="s">
        <v>197</v>
      </c>
      <c r="T142" t="n">
        <v>0.125</v>
      </c>
    </row>
    <row r="143">
      <c r="A143" t="s">
        <v>30</v>
      </c>
      <c r="B143" t="n">
        <v>1</v>
      </c>
      <c r="C143" t="n">
        <v>0.8</v>
      </c>
      <c r="D143" t="n">
        <v>1</v>
      </c>
      <c r="E143" t="n">
        <v>-4.25</v>
      </c>
      <c r="F143" t="n">
        <v>-1.75</v>
      </c>
      <c r="G143" t="n">
        <v>61</v>
      </c>
      <c r="H143" t="n">
        <v>12</v>
      </c>
      <c r="I143" t="s">
        <v>197</v>
      </c>
      <c r="J143" t="n">
        <v>0</v>
      </c>
      <c r="K143" t="n">
        <v>0</v>
      </c>
      <c r="L143" t="n">
        <v>0</v>
      </c>
      <c r="M143" t="n">
        <v>12</v>
      </c>
      <c r="N143" t="n">
        <v>-0.25</v>
      </c>
      <c r="O143" t="n">
        <v>-0.25</v>
      </c>
      <c r="P143" t="n">
        <v>6</v>
      </c>
      <c r="Q143" t="n">
        <v>12</v>
      </c>
      <c r="R143" t="s">
        <v>197</v>
      </c>
      <c r="S143" t="s">
        <v>196</v>
      </c>
      <c r="T143" t="n">
        <v>-0.375</v>
      </c>
    </row>
    <row r="144">
      <c r="A144" t="s">
        <v>30</v>
      </c>
      <c r="B144" t="n">
        <v>1</v>
      </c>
      <c r="C144" t="n">
        <v>1</v>
      </c>
      <c r="D144" t="n">
        <v>1</v>
      </c>
      <c r="E144" t="n">
        <v>-3.5</v>
      </c>
      <c r="F144" t="n">
        <v>-2</v>
      </c>
      <c r="G144" t="n">
        <v>134</v>
      </c>
      <c r="H144" t="n">
        <v>12</v>
      </c>
      <c r="I144" t="s">
        <v>197</v>
      </c>
      <c r="J144" t="n">
        <v>0</v>
      </c>
      <c r="K144" t="n">
        <v>0</v>
      </c>
      <c r="L144" t="n">
        <v>0</v>
      </c>
      <c r="M144" t="n">
        <v>12</v>
      </c>
      <c r="N144" t="n">
        <v>0</v>
      </c>
      <c r="O144" t="n">
        <v>-0.25</v>
      </c>
      <c r="P144" t="n">
        <v>79</v>
      </c>
      <c r="Q144" t="n">
        <v>12</v>
      </c>
      <c r="R144" t="s">
        <v>197</v>
      </c>
      <c r="S144" t="s">
        <v>197</v>
      </c>
      <c r="T144" t="n">
        <v>-0.125</v>
      </c>
    </row>
    <row r="145">
      <c r="A145" t="s">
        <v>30</v>
      </c>
      <c r="B145" t="n">
        <v>1.25</v>
      </c>
      <c r="C145" t="n">
        <v>1.25</v>
      </c>
      <c r="D145" t="n">
        <v>1.25</v>
      </c>
      <c r="E145" t="n">
        <v>-5.25</v>
      </c>
      <c r="F145" t="n">
        <v>-1.5</v>
      </c>
      <c r="G145" t="n">
        <v>171</v>
      </c>
      <c r="H145" t="n">
        <v>12</v>
      </c>
      <c r="I145" t="s">
        <v>198</v>
      </c>
      <c r="J145" t="n">
        <v>0</v>
      </c>
      <c r="K145" t="n">
        <v>0</v>
      </c>
      <c r="L145" t="n">
        <v>0</v>
      </c>
      <c r="M145" t="n">
        <v>12</v>
      </c>
      <c r="N145" t="n">
        <v>0.75</v>
      </c>
      <c r="O145" t="n">
        <v>-0.5</v>
      </c>
      <c r="P145" t="n">
        <v>8</v>
      </c>
      <c r="Q145" t="n">
        <v>12</v>
      </c>
      <c r="R145" t="s">
        <v>198</v>
      </c>
      <c r="S145" t="s">
        <v>198</v>
      </c>
      <c r="T145" t="n">
        <v>0.5</v>
      </c>
    </row>
    <row r="146">
      <c r="A146" t="s">
        <v>30</v>
      </c>
      <c r="B146" t="n">
        <v>1.25</v>
      </c>
      <c r="C146" t="n">
        <v>1.6</v>
      </c>
      <c r="D146" t="n">
        <v>1.6</v>
      </c>
      <c r="E146" t="n">
        <v>-5.5</v>
      </c>
      <c r="F146" t="n">
        <v>-1</v>
      </c>
      <c r="G146" t="n">
        <v>15</v>
      </c>
      <c r="H146" t="n">
        <v>12</v>
      </c>
      <c r="I146" t="s">
        <v>198</v>
      </c>
      <c r="J146" t="n">
        <v>0</v>
      </c>
      <c r="K146" t="n">
        <v>0</v>
      </c>
      <c r="L146" t="n">
        <v>0</v>
      </c>
      <c r="M146" t="n">
        <v>12</v>
      </c>
      <c r="N146" t="n">
        <v>0.25</v>
      </c>
      <c r="O146" t="n">
        <v>-0.25</v>
      </c>
      <c r="P146" t="n">
        <v>177</v>
      </c>
      <c r="Q146" t="n">
        <v>12</v>
      </c>
      <c r="R146" t="s">
        <v>199</v>
      </c>
      <c r="S146" t="s">
        <v>199</v>
      </c>
      <c r="T146" t="n">
        <v>0.125</v>
      </c>
    </row>
    <row r="147">
      <c r="A147" t="s">
        <v>30</v>
      </c>
      <c r="B147" t="n">
        <v>1</v>
      </c>
      <c r="C147"/>
      <c r="D147"/>
      <c r="E147" t="n">
        <v>-5.5</v>
      </c>
      <c r="F147" t="n">
        <v>-0.25</v>
      </c>
      <c r="G147" t="n">
        <v>7</v>
      </c>
      <c r="H147" t="n">
        <v>12</v>
      </c>
      <c r="I147" t="s">
        <v>197</v>
      </c>
      <c r="J147" t="n">
        <v>0</v>
      </c>
      <c r="K147" t="n">
        <v>0</v>
      </c>
      <c r="L147" t="n">
        <v>0</v>
      </c>
      <c r="M147" t="n">
        <v>12</v>
      </c>
      <c r="N147"/>
      <c r="O147"/>
      <c r="P147"/>
      <c r="Q147" t="n">
        <v>12</v>
      </c>
      <c r="R147" t="s">
        <v>95</v>
      </c>
      <c r="S147" t="s">
        <v>95</v>
      </c>
      <c r="T147"/>
    </row>
    <row r="148">
      <c r="A148" t="s">
        <v>30</v>
      </c>
      <c r="B148" t="n">
        <v>1</v>
      </c>
      <c r="C148"/>
      <c r="D148"/>
      <c r="E148" t="n">
        <v>-4.5</v>
      </c>
      <c r="F148" t="n">
        <v>-0.25</v>
      </c>
      <c r="G148" t="n">
        <v>169</v>
      </c>
      <c r="H148" t="n">
        <v>12</v>
      </c>
      <c r="I148" t="s">
        <v>197</v>
      </c>
      <c r="J148" t="n">
        <v>0</v>
      </c>
      <c r="K148" t="n">
        <v>0</v>
      </c>
      <c r="L148" t="n">
        <v>0</v>
      </c>
      <c r="M148" t="n">
        <v>12</v>
      </c>
      <c r="N148"/>
      <c r="O148"/>
      <c r="P148"/>
      <c r="Q148" t="n">
        <v>12</v>
      </c>
      <c r="R148" t="s">
        <v>95</v>
      </c>
      <c r="S148" t="s">
        <v>95</v>
      </c>
      <c r="T148"/>
    </row>
    <row r="149">
      <c r="A149" t="s">
        <v>30</v>
      </c>
      <c r="B149" t="n">
        <v>1.25</v>
      </c>
      <c r="C149" t="n">
        <v>1</v>
      </c>
      <c r="D149" t="n">
        <v>1.25</v>
      </c>
      <c r="E149" t="n">
        <v>-1</v>
      </c>
      <c r="F149" t="n">
        <v>-2.75</v>
      </c>
      <c r="G149" t="n">
        <v>154</v>
      </c>
      <c r="H149" t="n">
        <v>12</v>
      </c>
      <c r="I149" t="s">
        <v>198</v>
      </c>
      <c r="J149" t="n">
        <v>0</v>
      </c>
      <c r="K149" t="n">
        <v>0</v>
      </c>
      <c r="L149" t="n">
        <v>0</v>
      </c>
      <c r="M149" t="n">
        <v>12</v>
      </c>
      <c r="N149" t="n">
        <v>0.75</v>
      </c>
      <c r="O149" t="n">
        <v>-1</v>
      </c>
      <c r="P149" t="n">
        <v>122</v>
      </c>
      <c r="Q149" t="n">
        <v>12</v>
      </c>
      <c r="R149" t="s">
        <v>198</v>
      </c>
      <c r="S149" t="s">
        <v>197</v>
      </c>
      <c r="T149" t="n">
        <v>0.25</v>
      </c>
    </row>
    <row r="150">
      <c r="A150" t="s">
        <v>30</v>
      </c>
      <c r="B150" t="n">
        <v>1</v>
      </c>
      <c r="C150" t="n">
        <v>1</v>
      </c>
      <c r="D150" t="n">
        <v>1</v>
      </c>
      <c r="E150" t="n">
        <v>0</v>
      </c>
      <c r="F150" t="n">
        <v>-0.75</v>
      </c>
      <c r="G150" t="n">
        <v>14</v>
      </c>
      <c r="H150" t="n">
        <v>12</v>
      </c>
      <c r="I150" t="s">
        <v>197</v>
      </c>
      <c r="J150" t="n">
        <v>0</v>
      </c>
      <c r="K150" t="n">
        <v>0</v>
      </c>
      <c r="L150" t="n">
        <v>0</v>
      </c>
      <c r="M150" t="n">
        <v>12</v>
      </c>
      <c r="N150" t="n">
        <v>0.25</v>
      </c>
      <c r="O150" t="n">
        <v>0</v>
      </c>
      <c r="P150" t="n">
        <v>14</v>
      </c>
      <c r="Q150" t="n">
        <v>12</v>
      </c>
      <c r="R150" t="s">
        <v>197</v>
      </c>
      <c r="S150" t="s">
        <v>197</v>
      </c>
      <c r="T150" t="n">
        <v>0.25</v>
      </c>
    </row>
    <row r="151">
      <c r="A151" t="s">
        <v>30</v>
      </c>
      <c r="B151" t="n">
        <v>1.25</v>
      </c>
      <c r="C151" t="n">
        <v>1.6</v>
      </c>
      <c r="D151" t="n">
        <v>1.6</v>
      </c>
      <c r="E151" t="n">
        <v>-2.75</v>
      </c>
      <c r="F151" t="n">
        <v>-1.25</v>
      </c>
      <c r="G151" t="n">
        <v>16</v>
      </c>
      <c r="H151" t="n">
        <v>12</v>
      </c>
      <c r="I151" t="s">
        <v>198</v>
      </c>
      <c r="J151" t="n">
        <v>0</v>
      </c>
      <c r="K151" t="n">
        <v>0</v>
      </c>
      <c r="L151" t="n">
        <v>0</v>
      </c>
      <c r="M151" t="n">
        <v>12</v>
      </c>
      <c r="N151" t="n">
        <v>0.25</v>
      </c>
      <c r="O151" t="n">
        <v>-0.5</v>
      </c>
      <c r="P151" t="n">
        <v>174</v>
      </c>
      <c r="Q151" t="n">
        <v>12</v>
      </c>
      <c r="R151" t="s">
        <v>199</v>
      </c>
      <c r="S151" t="s">
        <v>199</v>
      </c>
      <c r="T151" t="n">
        <v>0</v>
      </c>
    </row>
    <row r="152">
      <c r="A152" t="s">
        <v>30</v>
      </c>
      <c r="B152" t="n">
        <v>1.25</v>
      </c>
      <c r="C152" t="n">
        <v>1.25</v>
      </c>
      <c r="D152" t="n">
        <v>1.6</v>
      </c>
      <c r="E152" t="n">
        <v>-3.5</v>
      </c>
      <c r="F152" t="n">
        <v>-1.5</v>
      </c>
      <c r="G152" t="n">
        <v>156</v>
      </c>
      <c r="H152" t="n">
        <v>12</v>
      </c>
      <c r="I152" t="s">
        <v>198</v>
      </c>
      <c r="J152" t="n">
        <v>0</v>
      </c>
      <c r="K152" t="n">
        <v>0</v>
      </c>
      <c r="L152" t="n">
        <v>0</v>
      </c>
      <c r="M152" t="n">
        <v>12</v>
      </c>
      <c r="N152" t="n">
        <v>0.75</v>
      </c>
      <c r="O152" t="n">
        <v>-0.75</v>
      </c>
      <c r="P152" t="n">
        <v>1</v>
      </c>
      <c r="Q152" t="n">
        <v>12</v>
      </c>
      <c r="R152" t="s">
        <v>199</v>
      </c>
      <c r="S152" t="s">
        <v>198</v>
      </c>
      <c r="T152" t="n">
        <v>0.375</v>
      </c>
    </row>
    <row r="153">
      <c r="A153" t="s">
        <v>30</v>
      </c>
      <c r="B153" t="n">
        <v>0.8</v>
      </c>
      <c r="C153" t="n">
        <v>1</v>
      </c>
      <c r="D153" t="n">
        <v>1.25</v>
      </c>
      <c r="E153" t="n">
        <v>-4.5</v>
      </c>
      <c r="F153" t="n">
        <v>-1.25</v>
      </c>
      <c r="G153" t="n">
        <v>4</v>
      </c>
      <c r="H153" t="n">
        <v>12</v>
      </c>
      <c r="I153" t="s">
        <v>196</v>
      </c>
      <c r="J153" t="n">
        <v>0</v>
      </c>
      <c r="K153" t="n">
        <v>0</v>
      </c>
      <c r="L153" t="n">
        <v>0</v>
      </c>
      <c r="M153" t="n">
        <v>12</v>
      </c>
      <c r="N153" t="n">
        <v>0</v>
      </c>
      <c r="O153" t="n">
        <v>-0.5</v>
      </c>
      <c r="P153" t="n">
        <v>161</v>
      </c>
      <c r="Q153" t="n">
        <v>12</v>
      </c>
      <c r="R153" t="s">
        <v>198</v>
      </c>
      <c r="S153" t="s">
        <v>197</v>
      </c>
      <c r="T153" t="n">
        <v>-0.25</v>
      </c>
    </row>
    <row r="154">
      <c r="A154" t="s">
        <v>30</v>
      </c>
      <c r="B154" t="n">
        <v>1.25</v>
      </c>
      <c r="C154" t="n">
        <v>0.8</v>
      </c>
      <c r="D154" t="n">
        <v>1.25</v>
      </c>
      <c r="E154" t="n">
        <v>-0.75</v>
      </c>
      <c r="F154" t="n">
        <v>-3</v>
      </c>
      <c r="G154" t="n">
        <v>8</v>
      </c>
      <c r="H154" t="n">
        <v>12</v>
      </c>
      <c r="I154" t="s">
        <v>198</v>
      </c>
      <c r="J154" t="n">
        <v>0</v>
      </c>
      <c r="K154" t="n">
        <v>0</v>
      </c>
      <c r="L154" t="n">
        <v>0</v>
      </c>
      <c r="M154" t="n">
        <v>12</v>
      </c>
      <c r="N154" t="n">
        <v>1.5</v>
      </c>
      <c r="O154" t="n">
        <v>-1.5</v>
      </c>
      <c r="P154" t="n">
        <v>55</v>
      </c>
      <c r="Q154" t="n">
        <v>12</v>
      </c>
      <c r="R154" t="s">
        <v>198</v>
      </c>
      <c r="S154" t="s">
        <v>196</v>
      </c>
      <c r="T154" t="n">
        <v>0.75</v>
      </c>
    </row>
    <row r="155">
      <c r="A155" t="s">
        <v>30</v>
      </c>
      <c r="B155" t="n">
        <v>1.25</v>
      </c>
      <c r="C155" t="n">
        <v>0.8</v>
      </c>
      <c r="D155" t="n">
        <v>1</v>
      </c>
      <c r="E155" t="n">
        <v>-0.75</v>
      </c>
      <c r="F155" t="n">
        <v>-2.25</v>
      </c>
      <c r="G155" t="n">
        <v>10</v>
      </c>
      <c r="H155" t="n">
        <v>12</v>
      </c>
      <c r="I155" t="s">
        <v>198</v>
      </c>
      <c r="J155" t="n">
        <v>0</v>
      </c>
      <c r="K155" t="n">
        <v>0</v>
      </c>
      <c r="L155" t="n">
        <v>0</v>
      </c>
      <c r="M155" t="n">
        <v>12</v>
      </c>
      <c r="N155" t="n">
        <v>0.5</v>
      </c>
      <c r="O155" t="n">
        <v>-0.5</v>
      </c>
      <c r="P155" t="n">
        <v>77</v>
      </c>
      <c r="Q155" t="n">
        <v>12</v>
      </c>
      <c r="R155" t="s">
        <v>197</v>
      </c>
      <c r="S155" t="s">
        <v>196</v>
      </c>
      <c r="T155" t="n">
        <v>0.25</v>
      </c>
    </row>
    <row r="156">
      <c r="A156" t="s">
        <v>30</v>
      </c>
      <c r="B156" t="n">
        <v>0.8</v>
      </c>
      <c r="C156" t="n">
        <v>0.5</v>
      </c>
      <c r="D156" t="n">
        <v>0.8</v>
      </c>
      <c r="E156" t="n">
        <v>-0.25</v>
      </c>
      <c r="F156" t="n">
        <v>-2.25</v>
      </c>
      <c r="G156" t="n">
        <v>79</v>
      </c>
      <c r="H156" t="n">
        <v>12</v>
      </c>
      <c r="I156" t="s">
        <v>196</v>
      </c>
      <c r="J156" t="n">
        <v>0</v>
      </c>
      <c r="K156" t="n">
        <v>0</v>
      </c>
      <c r="L156" t="n">
        <v>0</v>
      </c>
      <c r="M156" t="n">
        <v>12</v>
      </c>
      <c r="N156" t="n">
        <v>0</v>
      </c>
      <c r="O156" t="n">
        <v>-0.75</v>
      </c>
      <c r="P156" t="n">
        <v>60</v>
      </c>
      <c r="Q156" t="n">
        <v>12</v>
      </c>
      <c r="R156" t="s">
        <v>196</v>
      </c>
      <c r="S156" t="s">
        <v>200</v>
      </c>
      <c r="T156" t="n">
        <v>-0.375</v>
      </c>
    </row>
    <row r="157">
      <c r="A157" t="s">
        <v>30</v>
      </c>
      <c r="B157" t="n">
        <v>1</v>
      </c>
      <c r="C157" t="n">
        <v>1</v>
      </c>
      <c r="D157" t="n">
        <v>1</v>
      </c>
      <c r="E157" t="n">
        <v>0.5</v>
      </c>
      <c r="F157" t="n">
        <v>-1.75</v>
      </c>
      <c r="G157" t="n">
        <v>91</v>
      </c>
      <c r="H157" t="n">
        <v>12</v>
      </c>
      <c r="I157" t="s">
        <v>197</v>
      </c>
      <c r="J157" t="n">
        <v>0</v>
      </c>
      <c r="K157" t="n">
        <v>0</v>
      </c>
      <c r="L157" t="n">
        <v>0</v>
      </c>
      <c r="M157" t="n">
        <v>12</v>
      </c>
      <c r="N157" t="n">
        <v>0.75</v>
      </c>
      <c r="O157" t="n">
        <v>-0.25</v>
      </c>
      <c r="P157" t="n">
        <v>78</v>
      </c>
      <c r="Q157" t="n">
        <v>12</v>
      </c>
      <c r="R157" t="s">
        <v>197</v>
      </c>
      <c r="S157" t="s">
        <v>197</v>
      </c>
      <c r="T157" t="n">
        <v>0.625</v>
      </c>
    </row>
    <row r="158">
      <c r="A158" t="s">
        <v>30</v>
      </c>
      <c r="B158" t="n">
        <v>1</v>
      </c>
      <c r="C158" t="n">
        <v>1.25</v>
      </c>
      <c r="D158" t="n">
        <v>1.25</v>
      </c>
      <c r="E158" t="n">
        <v>-4.5</v>
      </c>
      <c r="F158" t="n">
        <v>-0.5</v>
      </c>
      <c r="G158" t="n">
        <v>91</v>
      </c>
      <c r="H158" t="n">
        <v>12</v>
      </c>
      <c r="I158" t="s">
        <v>197</v>
      </c>
      <c r="J158" t="n">
        <v>0</v>
      </c>
      <c r="K158" t="n">
        <v>0</v>
      </c>
      <c r="L158" t="n">
        <v>0</v>
      </c>
      <c r="M158" t="n">
        <v>12</v>
      </c>
      <c r="N158" t="n">
        <v>0.5</v>
      </c>
      <c r="O158" t="n">
        <v>-0.25</v>
      </c>
      <c r="P158" t="n">
        <v>76</v>
      </c>
      <c r="Q158" t="n">
        <v>12</v>
      </c>
      <c r="R158" t="s">
        <v>198</v>
      </c>
      <c r="S158" t="s">
        <v>198</v>
      </c>
      <c r="T158" t="n">
        <v>0.375</v>
      </c>
    </row>
    <row r="159">
      <c r="A159" t="s">
        <v>30</v>
      </c>
      <c r="B159" t="n">
        <v>1</v>
      </c>
      <c r="C159" t="n">
        <v>1</v>
      </c>
      <c r="D159" t="n">
        <v>1</v>
      </c>
      <c r="E159" t="n">
        <v>-5.25</v>
      </c>
      <c r="F159" t="n">
        <v>-0.75</v>
      </c>
      <c r="G159" t="n">
        <v>168</v>
      </c>
      <c r="H159" t="n">
        <v>12</v>
      </c>
      <c r="I159" t="s">
        <v>197</v>
      </c>
      <c r="J159" t="n">
        <v>0</v>
      </c>
      <c r="K159" t="n">
        <v>0</v>
      </c>
      <c r="L159" t="n">
        <v>0</v>
      </c>
      <c r="M159" t="n">
        <v>12</v>
      </c>
      <c r="N159" t="n">
        <v>0</v>
      </c>
      <c r="O159" t="n">
        <v>0</v>
      </c>
      <c r="P159" t="n">
        <v>137</v>
      </c>
      <c r="Q159" t="n">
        <v>12</v>
      </c>
      <c r="R159" t="s">
        <v>197</v>
      </c>
      <c r="S159" t="s">
        <v>197</v>
      </c>
      <c r="T159" t="n">
        <v>0</v>
      </c>
    </row>
    <row r="160">
      <c r="A160" t="s">
        <v>30</v>
      </c>
      <c r="B160" t="n">
        <v>1</v>
      </c>
      <c r="C160" t="n">
        <v>0.8</v>
      </c>
      <c r="D160" t="n">
        <v>1</v>
      </c>
      <c r="E160" t="n">
        <v>-4.25</v>
      </c>
      <c r="F160" t="n">
        <v>-0.75</v>
      </c>
      <c r="G160" t="n">
        <v>17</v>
      </c>
      <c r="H160" t="n">
        <v>12</v>
      </c>
      <c r="I160" t="s">
        <v>197</v>
      </c>
      <c r="J160" t="n">
        <v>0</v>
      </c>
      <c r="K160" t="n">
        <v>0</v>
      </c>
      <c r="L160" t="n">
        <v>0</v>
      </c>
      <c r="M160" t="n">
        <v>12</v>
      </c>
      <c r="N160" t="n">
        <v>-0.5</v>
      </c>
      <c r="O160" t="n">
        <v>0</v>
      </c>
      <c r="P160" t="n">
        <v>31</v>
      </c>
      <c r="Q160" t="n">
        <v>12</v>
      </c>
      <c r="R160" t="s">
        <v>197</v>
      </c>
      <c r="S160" t="s">
        <v>196</v>
      </c>
      <c r="T160" t="n">
        <v>-0.5</v>
      </c>
    </row>
    <row r="161">
      <c r="A161" t="s">
        <v>30</v>
      </c>
      <c r="B161" t="n">
        <v>1.25</v>
      </c>
      <c r="C161" t="n">
        <v>1.25</v>
      </c>
      <c r="D161" t="n">
        <v>1.25</v>
      </c>
      <c r="E161" t="n">
        <v>-3.75</v>
      </c>
      <c r="F161" t="n">
        <v>-1</v>
      </c>
      <c r="G161" t="n">
        <v>180</v>
      </c>
      <c r="H161" t="n">
        <v>12</v>
      </c>
      <c r="I161" t="s">
        <v>198</v>
      </c>
      <c r="J161" t="n">
        <v>0</v>
      </c>
      <c r="K161" t="n">
        <v>0</v>
      </c>
      <c r="L161" t="n">
        <v>0</v>
      </c>
      <c r="M161" t="n">
        <v>12</v>
      </c>
      <c r="N161" t="n">
        <v>0.5</v>
      </c>
      <c r="O161" t="n">
        <v>-0.5</v>
      </c>
      <c r="P161" t="n">
        <v>159</v>
      </c>
      <c r="Q161" t="n">
        <v>12</v>
      </c>
      <c r="R161" t="s">
        <v>198</v>
      </c>
      <c r="S161" t="s">
        <v>198</v>
      </c>
      <c r="T161" t="n">
        <v>0.25</v>
      </c>
    </row>
    <row r="162">
      <c r="A162" t="s">
        <v>30</v>
      </c>
      <c r="B162" t="n">
        <v>1.25</v>
      </c>
      <c r="C162" t="n">
        <v>1.25</v>
      </c>
      <c r="D162" t="n">
        <v>1.25</v>
      </c>
      <c r="E162" t="n">
        <v>-4.5</v>
      </c>
      <c r="F162" t="n">
        <v>-0.75</v>
      </c>
      <c r="G162" t="n">
        <v>176</v>
      </c>
      <c r="H162" t="n">
        <v>12</v>
      </c>
      <c r="I162" t="s">
        <v>198</v>
      </c>
      <c r="J162" t="n">
        <v>0</v>
      </c>
      <c r="K162" t="n">
        <v>0</v>
      </c>
      <c r="L162" t="n">
        <v>0</v>
      </c>
      <c r="M162" t="n">
        <v>12</v>
      </c>
      <c r="N162" t="n">
        <v>-0.25</v>
      </c>
      <c r="O162" t="n">
        <v>-0.25</v>
      </c>
      <c r="P162" t="n">
        <v>160</v>
      </c>
      <c r="Q162" t="n">
        <v>12</v>
      </c>
      <c r="R162" t="s">
        <v>198</v>
      </c>
      <c r="S162" t="s">
        <v>198</v>
      </c>
      <c r="T162" t="n">
        <v>-0.375</v>
      </c>
    </row>
    <row r="163">
      <c r="A163" t="s">
        <v>30</v>
      </c>
      <c r="B163" t="n">
        <v>0.8</v>
      </c>
      <c r="C163" t="n">
        <v>1</v>
      </c>
      <c r="D163" t="n">
        <v>1</v>
      </c>
      <c r="E163" t="n">
        <v>-4.75</v>
      </c>
      <c r="F163" t="n">
        <v>-0.25</v>
      </c>
      <c r="G163" t="n">
        <v>129</v>
      </c>
      <c r="H163" t="n">
        <v>12</v>
      </c>
      <c r="I163" t="s">
        <v>196</v>
      </c>
      <c r="J163" t="n">
        <v>0</v>
      </c>
      <c r="K163" t="n">
        <v>0</v>
      </c>
      <c r="L163" t="n">
        <v>0</v>
      </c>
      <c r="M163" t="n">
        <v>12</v>
      </c>
      <c r="N163" t="n">
        <v>0.5</v>
      </c>
      <c r="O163" t="n">
        <v>-0.25</v>
      </c>
      <c r="P163" t="n">
        <v>122</v>
      </c>
      <c r="Q163" t="n">
        <v>12</v>
      </c>
      <c r="R163" t="s">
        <v>197</v>
      </c>
      <c r="S163" t="s">
        <v>197</v>
      </c>
      <c r="T163" t="n">
        <v>0.375</v>
      </c>
    </row>
    <row r="164">
      <c r="A164" t="s">
        <v>30</v>
      </c>
      <c r="B164" t="n">
        <v>0.8</v>
      </c>
      <c r="C164" t="n">
        <v>0.8</v>
      </c>
      <c r="D164" t="n">
        <v>0.8</v>
      </c>
      <c r="E164" t="n">
        <v>-4.5</v>
      </c>
      <c r="F164" t="n">
        <v>-0.5</v>
      </c>
      <c r="G164" t="n">
        <v>60</v>
      </c>
      <c r="H164" t="n">
        <v>12</v>
      </c>
      <c r="I164" t="s">
        <v>196</v>
      </c>
      <c r="J164" t="n">
        <v>0</v>
      </c>
      <c r="K164" t="n">
        <v>0</v>
      </c>
      <c r="L164" t="n">
        <v>0</v>
      </c>
      <c r="M164" t="n">
        <v>12</v>
      </c>
      <c r="N164" t="n">
        <v>0.5</v>
      </c>
      <c r="O164" t="n">
        <v>-0.25</v>
      </c>
      <c r="P164" t="n">
        <v>78</v>
      </c>
      <c r="Q164" t="n">
        <v>12</v>
      </c>
      <c r="R164" t="s">
        <v>196</v>
      </c>
      <c r="S164" t="s">
        <v>196</v>
      </c>
      <c r="T164" t="n">
        <v>0.375</v>
      </c>
    </row>
    <row r="165">
      <c r="A165" t="s">
        <v>30</v>
      </c>
      <c r="B165" t="n">
        <v>1.25</v>
      </c>
      <c r="C165" t="n">
        <v>1</v>
      </c>
      <c r="D165" t="n">
        <v>1.25</v>
      </c>
      <c r="E165" t="n">
        <v>-0.75</v>
      </c>
      <c r="F165" t="n">
        <v>-0.75</v>
      </c>
      <c r="G165" t="n">
        <v>167</v>
      </c>
      <c r="H165" t="n">
        <v>12</v>
      </c>
      <c r="I165" t="s">
        <v>198</v>
      </c>
      <c r="J165" t="n">
        <v>0</v>
      </c>
      <c r="K165" t="n">
        <v>0</v>
      </c>
      <c r="L165" t="n">
        <v>0</v>
      </c>
      <c r="M165" t="n">
        <v>12</v>
      </c>
      <c r="N165" t="n">
        <v>0.75</v>
      </c>
      <c r="O165" t="n">
        <v>-0.5</v>
      </c>
      <c r="P165" t="n">
        <v>39</v>
      </c>
      <c r="Q165" t="n">
        <v>12</v>
      </c>
      <c r="R165" t="s">
        <v>198</v>
      </c>
      <c r="S165" t="s">
        <v>197</v>
      </c>
      <c r="T165" t="n">
        <v>0.5</v>
      </c>
    </row>
    <row r="166">
      <c r="A166" t="s">
        <v>30</v>
      </c>
      <c r="B166" t="n">
        <v>0.8</v>
      </c>
      <c r="C166" t="n">
        <v>0.63</v>
      </c>
      <c r="D166" t="n">
        <v>0.8</v>
      </c>
      <c r="E166" t="n">
        <v>-3.25</v>
      </c>
      <c r="F166" t="n">
        <v>-1.5</v>
      </c>
      <c r="G166" t="n">
        <v>8</v>
      </c>
      <c r="H166" t="n">
        <v>12</v>
      </c>
      <c r="I166" t="s">
        <v>196</v>
      </c>
      <c r="J166" t="n">
        <v>0</v>
      </c>
      <c r="K166" t="n">
        <v>0</v>
      </c>
      <c r="L166" t="n">
        <v>0</v>
      </c>
      <c r="M166" t="n">
        <v>12</v>
      </c>
      <c r="N166" t="n">
        <v>-0.25</v>
      </c>
      <c r="O166" t="n">
        <v>-0.25</v>
      </c>
      <c r="P166" t="n">
        <v>34</v>
      </c>
      <c r="Q166" t="n">
        <v>12</v>
      </c>
      <c r="R166" t="s">
        <v>196</v>
      </c>
      <c r="S166" t="s">
        <v>201</v>
      </c>
      <c r="T166" t="n">
        <v>-0.375</v>
      </c>
    </row>
    <row r="167">
      <c r="A167" t="s">
        <v>30</v>
      </c>
      <c r="B167" t="n">
        <v>1</v>
      </c>
      <c r="C167" t="n">
        <v>1</v>
      </c>
      <c r="D167" t="n">
        <v>1</v>
      </c>
      <c r="E167" t="n">
        <v>-4.25</v>
      </c>
      <c r="F167" t="n">
        <v>-0.75</v>
      </c>
      <c r="G167" t="n">
        <v>171</v>
      </c>
      <c r="H167" t="n">
        <v>12</v>
      </c>
      <c r="I167" t="s">
        <v>197</v>
      </c>
      <c r="J167" t="n">
        <v>0</v>
      </c>
      <c r="K167" t="n">
        <v>0</v>
      </c>
      <c r="L167" t="n">
        <v>0</v>
      </c>
      <c r="M167" t="n">
        <v>12</v>
      </c>
      <c r="N167" t="n">
        <v>0.25</v>
      </c>
      <c r="O167" t="n">
        <v>0</v>
      </c>
      <c r="P167" t="n">
        <v>138</v>
      </c>
      <c r="Q167" t="n">
        <v>12</v>
      </c>
      <c r="R167" t="s">
        <v>197</v>
      </c>
      <c r="S167" t="s">
        <v>197</v>
      </c>
      <c r="T167" t="n">
        <v>0.25</v>
      </c>
    </row>
    <row r="168">
      <c r="A168" t="s">
        <v>30</v>
      </c>
      <c r="B168" t="n">
        <v>0.8</v>
      </c>
      <c r="C168" t="n">
        <v>1</v>
      </c>
      <c r="D168" t="n">
        <v>1</v>
      </c>
      <c r="E168" t="n">
        <v>-4.75</v>
      </c>
      <c r="F168" t="n">
        <v>-0.5</v>
      </c>
      <c r="G168" t="n">
        <v>6</v>
      </c>
      <c r="H168" t="n">
        <v>12</v>
      </c>
      <c r="I168" t="s">
        <v>196</v>
      </c>
      <c r="J168" t="n">
        <v>0</v>
      </c>
      <c r="K168" t="n">
        <v>0</v>
      </c>
      <c r="L168" t="n">
        <v>0</v>
      </c>
      <c r="M168" t="n">
        <v>12</v>
      </c>
      <c r="N168" t="n">
        <v>0.5</v>
      </c>
      <c r="O168" t="n">
        <v>-0.25</v>
      </c>
      <c r="P168" t="n">
        <v>31</v>
      </c>
      <c r="Q168" t="n">
        <v>12</v>
      </c>
      <c r="R168" t="s">
        <v>197</v>
      </c>
      <c r="S168" t="s">
        <v>197</v>
      </c>
      <c r="T168" t="n">
        <v>0.375</v>
      </c>
    </row>
    <row r="169">
      <c r="A169" t="s">
        <v>30</v>
      </c>
      <c r="B169" t="n">
        <v>1</v>
      </c>
      <c r="C169" t="n">
        <v>1.6</v>
      </c>
      <c r="D169" t="n">
        <v>1.6</v>
      </c>
      <c r="E169" t="n">
        <v>-5</v>
      </c>
      <c r="F169" t="n">
        <v>-0.75</v>
      </c>
      <c r="G169" t="n">
        <v>179</v>
      </c>
      <c r="H169" t="n">
        <v>12</v>
      </c>
      <c r="I169" t="s">
        <v>197</v>
      </c>
      <c r="J169" t="n">
        <v>0</v>
      </c>
      <c r="K169" t="n">
        <v>0</v>
      </c>
      <c r="L169" t="n">
        <v>0</v>
      </c>
      <c r="M169" t="n">
        <v>12</v>
      </c>
      <c r="N169" t="n">
        <v>0</v>
      </c>
      <c r="O169" t="n">
        <v>-0.25</v>
      </c>
      <c r="P169" t="n">
        <v>138</v>
      </c>
      <c r="Q169" t="n">
        <v>12</v>
      </c>
      <c r="R169" t="s">
        <v>199</v>
      </c>
      <c r="S169" t="s">
        <v>199</v>
      </c>
      <c r="T169" t="n">
        <v>-0.125</v>
      </c>
    </row>
    <row r="170">
      <c r="A170" t="s">
        <v>30</v>
      </c>
      <c r="B170" t="n">
        <v>1.25</v>
      </c>
      <c r="C170" t="n">
        <v>1</v>
      </c>
      <c r="D170" t="n">
        <v>1.25</v>
      </c>
      <c r="E170" t="n">
        <v>0.25</v>
      </c>
      <c r="F170" t="n">
        <v>-1.5</v>
      </c>
      <c r="G170" t="n">
        <v>7</v>
      </c>
      <c r="H170" t="n">
        <v>12</v>
      </c>
      <c r="I170" t="s">
        <v>198</v>
      </c>
      <c r="J170" t="n">
        <v>0</v>
      </c>
      <c r="K170" t="n">
        <v>0</v>
      </c>
      <c r="L170" t="n">
        <v>0</v>
      </c>
      <c r="M170" t="n">
        <v>12</v>
      </c>
      <c r="N170" t="n">
        <v>0</v>
      </c>
      <c r="O170" t="n">
        <v>-0.25</v>
      </c>
      <c r="P170" t="n">
        <v>123</v>
      </c>
      <c r="Q170" t="n">
        <v>12</v>
      </c>
      <c r="R170" t="s">
        <v>198</v>
      </c>
      <c r="S170" t="s">
        <v>197</v>
      </c>
      <c r="T170" t="n">
        <v>-0.125</v>
      </c>
    </row>
    <row r="171">
      <c r="A171" t="s">
        <v>30</v>
      </c>
      <c r="B171" t="n">
        <v>1.25</v>
      </c>
      <c r="C171" t="n">
        <v>1.25</v>
      </c>
      <c r="D171" t="n">
        <v>1.25</v>
      </c>
      <c r="E171" t="n">
        <v>-0.5</v>
      </c>
      <c r="F171" t="n">
        <v>-1</v>
      </c>
      <c r="G171" t="n">
        <v>4</v>
      </c>
      <c r="H171" t="n">
        <v>12</v>
      </c>
      <c r="I171" t="s">
        <v>198</v>
      </c>
      <c r="J171" t="n">
        <v>0</v>
      </c>
      <c r="K171" t="n">
        <v>0</v>
      </c>
      <c r="L171" t="n">
        <v>0</v>
      </c>
      <c r="M171" t="n">
        <v>12</v>
      </c>
      <c r="N171" t="n">
        <v>0</v>
      </c>
      <c r="O171" t="n">
        <v>0</v>
      </c>
      <c r="P171" t="n">
        <v>71</v>
      </c>
      <c r="Q171" t="n">
        <v>12</v>
      </c>
      <c r="R171" t="s">
        <v>198</v>
      </c>
      <c r="S171" t="s">
        <v>198</v>
      </c>
      <c r="T171" t="n">
        <v>0</v>
      </c>
    </row>
    <row r="172">
      <c r="A172" t="s">
        <v>30</v>
      </c>
      <c r="B172" t="n">
        <v>1.25</v>
      </c>
      <c r="C172" t="n">
        <v>1.25</v>
      </c>
      <c r="D172" t="n">
        <v>1.25</v>
      </c>
      <c r="E172" t="n">
        <v>0</v>
      </c>
      <c r="F172" t="n">
        <v>-0.75</v>
      </c>
      <c r="G172" t="n">
        <v>152</v>
      </c>
      <c r="H172" t="n">
        <v>12</v>
      </c>
      <c r="I172" t="s">
        <v>198</v>
      </c>
      <c r="J172" t="n">
        <v>0</v>
      </c>
      <c r="K172" t="n">
        <v>0</v>
      </c>
      <c r="L172" t="n">
        <v>0</v>
      </c>
      <c r="M172" t="n">
        <v>12</v>
      </c>
      <c r="N172" t="n">
        <v>0.25</v>
      </c>
      <c r="O172" t="n">
        <v>-0.25</v>
      </c>
      <c r="P172" t="n">
        <v>13</v>
      </c>
      <c r="Q172" t="n">
        <v>12</v>
      </c>
      <c r="R172" t="s">
        <v>198</v>
      </c>
      <c r="S172" t="s">
        <v>198</v>
      </c>
      <c r="T172" t="n">
        <v>0.125</v>
      </c>
    </row>
    <row r="173">
      <c r="A173" t="s">
        <v>30</v>
      </c>
      <c r="B173" t="n">
        <v>1.25</v>
      </c>
      <c r="C173" t="n">
        <v>1.25</v>
      </c>
      <c r="D173" t="n">
        <v>1.25</v>
      </c>
      <c r="E173" t="n">
        <v>-1.25</v>
      </c>
      <c r="F173" t="n">
        <v>-1</v>
      </c>
      <c r="G173" t="n">
        <v>29</v>
      </c>
      <c r="H173" t="n">
        <v>12</v>
      </c>
      <c r="I173" t="s">
        <v>198</v>
      </c>
      <c r="J173" t="n">
        <v>0</v>
      </c>
      <c r="K173" t="n">
        <v>0</v>
      </c>
      <c r="L173" t="n">
        <v>0</v>
      </c>
      <c r="M173" t="n">
        <v>12</v>
      </c>
      <c r="N173" t="n">
        <v>0.5</v>
      </c>
      <c r="O173" t="n">
        <v>-0.25</v>
      </c>
      <c r="P173" t="n">
        <v>47</v>
      </c>
      <c r="Q173" t="n">
        <v>12</v>
      </c>
      <c r="R173" t="s">
        <v>198</v>
      </c>
      <c r="S173" t="s">
        <v>198</v>
      </c>
      <c r="T173" t="n">
        <v>0.375</v>
      </c>
    </row>
    <row r="174">
      <c r="A174" t="s">
        <v>30</v>
      </c>
      <c r="B174" t="n">
        <v>1.25</v>
      </c>
      <c r="C174"/>
      <c r="D174"/>
      <c r="E174" t="n">
        <v>-2</v>
      </c>
      <c r="F174" t="n">
        <v>-1.75</v>
      </c>
      <c r="G174" t="n">
        <v>71</v>
      </c>
      <c r="H174" t="n">
        <v>12</v>
      </c>
      <c r="I174" t="s">
        <v>198</v>
      </c>
      <c r="J174" t="n">
        <v>0</v>
      </c>
      <c r="K174" t="n">
        <v>0</v>
      </c>
      <c r="L174" t="n">
        <v>0</v>
      </c>
      <c r="M174" t="n">
        <v>12</v>
      </c>
      <c r="N174"/>
      <c r="O174"/>
      <c r="P174"/>
      <c r="Q174" t="n">
        <v>12</v>
      </c>
      <c r="R174" t="s">
        <v>95</v>
      </c>
      <c r="S174" t="s">
        <v>95</v>
      </c>
      <c r="T174"/>
    </row>
    <row r="175">
      <c r="A175" t="s">
        <v>30</v>
      </c>
      <c r="B175" t="n">
        <v>1</v>
      </c>
      <c r="C175"/>
      <c r="D175"/>
      <c r="E175" t="n">
        <v>-3.25</v>
      </c>
      <c r="F175" t="n">
        <v>-0.75</v>
      </c>
      <c r="G175" t="n">
        <v>116</v>
      </c>
      <c r="H175" t="n">
        <v>12</v>
      </c>
      <c r="I175" t="s">
        <v>197</v>
      </c>
      <c r="J175" t="n">
        <v>0</v>
      </c>
      <c r="K175" t="n">
        <v>0</v>
      </c>
      <c r="L175" t="n">
        <v>0</v>
      </c>
      <c r="M175" t="n">
        <v>12</v>
      </c>
      <c r="N175"/>
      <c r="O175"/>
      <c r="P175"/>
      <c r="Q175" t="n">
        <v>12</v>
      </c>
      <c r="R175" t="s">
        <v>95</v>
      </c>
      <c r="S175" t="s">
        <v>95</v>
      </c>
      <c r="T175"/>
    </row>
    <row r="176">
      <c r="A176" t="s">
        <v>30</v>
      </c>
      <c r="B176" t="n">
        <v>1.25</v>
      </c>
      <c r="C176"/>
      <c r="D176"/>
      <c r="E176" t="n">
        <v>-2.25</v>
      </c>
      <c r="F176" t="n">
        <v>-2.25</v>
      </c>
      <c r="G176" t="n">
        <v>6</v>
      </c>
      <c r="H176" t="n">
        <v>12</v>
      </c>
      <c r="I176" t="s">
        <v>198</v>
      </c>
      <c r="J176" t="n">
        <v>0</v>
      </c>
      <c r="K176" t="n">
        <v>0</v>
      </c>
      <c r="L176" t="n">
        <v>0</v>
      </c>
      <c r="M176" t="n">
        <v>12</v>
      </c>
      <c r="N176"/>
      <c r="O176"/>
      <c r="P176"/>
      <c r="Q176" t="n">
        <v>12</v>
      </c>
      <c r="R176" t="s">
        <v>95</v>
      </c>
      <c r="S176" t="s">
        <v>95</v>
      </c>
      <c r="T176"/>
    </row>
    <row r="177">
      <c r="A177" t="s">
        <v>30</v>
      </c>
      <c r="B177" t="n">
        <v>1</v>
      </c>
      <c r="C177" t="n">
        <v>1</v>
      </c>
      <c r="D177" t="n">
        <v>1</v>
      </c>
      <c r="E177" t="n">
        <v>-5.5</v>
      </c>
      <c r="F177" t="n">
        <v>-0.25</v>
      </c>
      <c r="G177" t="n">
        <v>175</v>
      </c>
      <c r="H177" t="n">
        <v>12</v>
      </c>
      <c r="I177" t="s">
        <v>197</v>
      </c>
      <c r="J177" t="n">
        <v>0</v>
      </c>
      <c r="K177" t="n">
        <v>0</v>
      </c>
      <c r="L177" t="n">
        <v>0</v>
      </c>
      <c r="M177" t="n">
        <v>12</v>
      </c>
      <c r="N177" t="n">
        <v>-0.25</v>
      </c>
      <c r="O177" t="n">
        <v>0</v>
      </c>
      <c r="P177" t="n">
        <v>132</v>
      </c>
      <c r="Q177" t="n">
        <v>12</v>
      </c>
      <c r="R177" t="s">
        <v>197</v>
      </c>
      <c r="S177" t="s">
        <v>197</v>
      </c>
      <c r="T177" t="n">
        <v>-0.25</v>
      </c>
    </row>
    <row r="178">
      <c r="A178" t="s">
        <v>30</v>
      </c>
      <c r="B178" t="n">
        <v>1.25</v>
      </c>
      <c r="C178" t="n">
        <v>1.25</v>
      </c>
      <c r="D178" t="n">
        <v>1.25</v>
      </c>
      <c r="E178" t="n">
        <v>-5.75</v>
      </c>
      <c r="F178" t="n">
        <v>-0.25</v>
      </c>
      <c r="G178" t="n">
        <v>1</v>
      </c>
      <c r="H178" t="n">
        <v>12</v>
      </c>
      <c r="I178" t="s">
        <v>198</v>
      </c>
      <c r="J178" t="n">
        <v>0</v>
      </c>
      <c r="K178" t="n">
        <v>0</v>
      </c>
      <c r="L178" t="n">
        <v>0</v>
      </c>
      <c r="M178" t="n">
        <v>12</v>
      </c>
      <c r="N178" t="n">
        <v>-0.25</v>
      </c>
      <c r="O178" t="n">
        <v>0</v>
      </c>
      <c r="P178" t="n">
        <v>1</v>
      </c>
      <c r="Q178" t="n">
        <v>12</v>
      </c>
      <c r="R178" t="s">
        <v>198</v>
      </c>
      <c r="S178" t="s">
        <v>198</v>
      </c>
      <c r="T178" t="n">
        <v>-0.25</v>
      </c>
    </row>
    <row r="179">
      <c r="A179" t="s">
        <v>30</v>
      </c>
      <c r="B179" t="n">
        <v>1</v>
      </c>
      <c r="C179" t="n">
        <v>1</v>
      </c>
      <c r="D179" t="n">
        <v>1</v>
      </c>
      <c r="E179" t="n">
        <v>-4.75</v>
      </c>
      <c r="F179" t="n">
        <v>0</v>
      </c>
      <c r="G179" t="n">
        <v>64</v>
      </c>
      <c r="H179" t="n">
        <v>12</v>
      </c>
      <c r="I179" t="s">
        <v>197</v>
      </c>
      <c r="J179" t="n">
        <v>0</v>
      </c>
      <c r="K179" t="n">
        <v>0</v>
      </c>
      <c r="L179" t="n">
        <v>0</v>
      </c>
      <c r="M179" t="n">
        <v>12</v>
      </c>
      <c r="N179" t="n">
        <v>0.5</v>
      </c>
      <c r="O179" t="n">
        <v>-0.25</v>
      </c>
      <c r="P179" t="n">
        <v>145</v>
      </c>
      <c r="Q179" t="n">
        <v>12</v>
      </c>
      <c r="R179" t="s">
        <v>197</v>
      </c>
      <c r="S179" t="s">
        <v>197</v>
      </c>
      <c r="T179" t="n">
        <v>0.375</v>
      </c>
    </row>
    <row r="180">
      <c r="A180" t="s">
        <v>30</v>
      </c>
      <c r="B180" t="n">
        <v>0.8</v>
      </c>
      <c r="C180" t="n">
        <v>0.63</v>
      </c>
      <c r="D180" t="n">
        <v>0.63</v>
      </c>
      <c r="E180" t="n">
        <v>-3.5</v>
      </c>
      <c r="F180" t="n">
        <v>-1</v>
      </c>
      <c r="G180" t="n">
        <v>88</v>
      </c>
      <c r="H180" t="n">
        <v>12</v>
      </c>
      <c r="I180" t="s">
        <v>196</v>
      </c>
      <c r="J180" t="n">
        <v>0</v>
      </c>
      <c r="K180" t="n">
        <v>0</v>
      </c>
      <c r="L180" t="n">
        <v>0</v>
      </c>
      <c r="M180" t="n">
        <v>12</v>
      </c>
      <c r="N180" t="n">
        <v>0</v>
      </c>
      <c r="O180" t="n">
        <v>-0.25</v>
      </c>
      <c r="P180" t="n">
        <v>132</v>
      </c>
      <c r="Q180" t="n">
        <v>12</v>
      </c>
      <c r="R180" t="s">
        <v>201</v>
      </c>
      <c r="S180" t="s">
        <v>201</v>
      </c>
      <c r="T180" t="n">
        <v>-0.125</v>
      </c>
    </row>
    <row r="181">
      <c r="A181" t="s">
        <v>30</v>
      </c>
      <c r="B181" t="n">
        <v>1.25</v>
      </c>
      <c r="C181" t="n">
        <v>1</v>
      </c>
      <c r="D181" t="n">
        <v>1.6</v>
      </c>
      <c r="E181" t="n">
        <v>-5.75</v>
      </c>
      <c r="F181" t="n">
        <v>-1</v>
      </c>
      <c r="G181" t="n">
        <v>164</v>
      </c>
      <c r="H181" t="n">
        <v>12</v>
      </c>
      <c r="I181" t="s">
        <v>198</v>
      </c>
      <c r="J181" t="n">
        <v>0</v>
      </c>
      <c r="K181" t="n">
        <v>0</v>
      </c>
      <c r="L181" t="n">
        <v>0</v>
      </c>
      <c r="M181" t="n">
        <v>12</v>
      </c>
      <c r="N181" t="n">
        <v>-0.25</v>
      </c>
      <c r="O181" t="n">
        <v>-0.75</v>
      </c>
      <c r="P181" t="n">
        <v>131</v>
      </c>
      <c r="Q181" t="n">
        <v>12</v>
      </c>
      <c r="R181" t="s">
        <v>199</v>
      </c>
      <c r="S181" t="s">
        <v>197</v>
      </c>
      <c r="T181" t="n">
        <v>-0.625</v>
      </c>
    </row>
    <row r="182">
      <c r="A182" t="s">
        <v>30</v>
      </c>
      <c r="B182" t="n">
        <v>1</v>
      </c>
      <c r="C182"/>
      <c r="D182" t="n">
        <v>1.6</v>
      </c>
      <c r="E182" t="n">
        <v>-5</v>
      </c>
      <c r="F182" t="n">
        <v>-0.5</v>
      </c>
      <c r="G182" t="n">
        <v>163</v>
      </c>
      <c r="H182" t="n">
        <v>12</v>
      </c>
      <c r="I182" t="s">
        <v>197</v>
      </c>
      <c r="J182" t="n">
        <v>0</v>
      </c>
      <c r="K182" t="n">
        <v>0</v>
      </c>
      <c r="L182" t="n">
        <v>0</v>
      </c>
      <c r="M182" t="n">
        <v>12</v>
      </c>
      <c r="N182" t="n">
        <v>0.25</v>
      </c>
      <c r="O182" t="n">
        <v>-0.5</v>
      </c>
      <c r="P182" t="n">
        <v>127</v>
      </c>
      <c r="Q182" t="n">
        <v>12</v>
      </c>
      <c r="R182" t="s">
        <v>199</v>
      </c>
      <c r="S182" t="s">
        <v>95</v>
      </c>
      <c r="T182" t="n">
        <v>0</v>
      </c>
    </row>
    <row r="183">
      <c r="A183" t="s">
        <v>30</v>
      </c>
      <c r="B183" t="n">
        <v>1.25</v>
      </c>
      <c r="C183" t="n">
        <v>1.6</v>
      </c>
      <c r="D183" t="n">
        <v>1.6</v>
      </c>
      <c r="E183" t="n">
        <v>-1.75</v>
      </c>
      <c r="F183" t="n">
        <v>-0.75</v>
      </c>
      <c r="G183" t="n">
        <v>26</v>
      </c>
      <c r="H183" t="n">
        <v>12</v>
      </c>
      <c r="I183" t="s">
        <v>198</v>
      </c>
      <c r="J183" t="n">
        <v>0</v>
      </c>
      <c r="K183" t="n">
        <v>0</v>
      </c>
      <c r="L183" t="n">
        <v>0</v>
      </c>
      <c r="M183" t="n">
        <v>12</v>
      </c>
      <c r="N183" t="n">
        <v>0.25</v>
      </c>
      <c r="O183" t="n">
        <v>0</v>
      </c>
      <c r="P183" t="n">
        <v>66</v>
      </c>
      <c r="Q183" t="n">
        <v>12</v>
      </c>
      <c r="R183" t="s">
        <v>199</v>
      </c>
      <c r="S183" t="s">
        <v>199</v>
      </c>
      <c r="T183" t="n">
        <v>0.25</v>
      </c>
    </row>
    <row r="184">
      <c r="A184" t="s">
        <v>30</v>
      </c>
      <c r="B184" t="n">
        <v>1.25</v>
      </c>
      <c r="C184" t="n">
        <v>1.25</v>
      </c>
      <c r="D184" t="n">
        <v>1.25</v>
      </c>
      <c r="E184" t="n">
        <v>-2</v>
      </c>
      <c r="F184" t="n">
        <v>-1.75</v>
      </c>
      <c r="G184" t="n">
        <v>148</v>
      </c>
      <c r="H184" t="n">
        <v>12</v>
      </c>
      <c r="I184" t="s">
        <v>198</v>
      </c>
      <c r="J184" t="n">
        <v>0</v>
      </c>
      <c r="K184" t="n">
        <v>0</v>
      </c>
      <c r="L184" t="n">
        <v>0</v>
      </c>
      <c r="M184" t="n">
        <v>12</v>
      </c>
      <c r="N184" t="n">
        <v>0.25</v>
      </c>
      <c r="O184" t="n">
        <v>-0.25</v>
      </c>
      <c r="P184" t="n">
        <v>112</v>
      </c>
      <c r="Q184" t="n">
        <v>12</v>
      </c>
      <c r="R184" t="s">
        <v>198</v>
      </c>
      <c r="S184" t="s">
        <v>198</v>
      </c>
      <c r="T184" t="n">
        <v>0.125</v>
      </c>
    </row>
    <row r="185">
      <c r="A185" t="s">
        <v>30</v>
      </c>
      <c r="B185" t="n">
        <v>1</v>
      </c>
      <c r="C185" t="n">
        <v>1</v>
      </c>
      <c r="D185" t="n">
        <v>1</v>
      </c>
      <c r="E185" t="n">
        <v>-6.75</v>
      </c>
      <c r="F185" t="n">
        <v>-0.75</v>
      </c>
      <c r="G185" t="n">
        <v>38</v>
      </c>
      <c r="H185" t="n">
        <v>12</v>
      </c>
      <c r="I185" t="s">
        <v>197</v>
      </c>
      <c r="J185" t="n">
        <v>0</v>
      </c>
      <c r="K185" t="n">
        <v>0</v>
      </c>
      <c r="L185" t="n">
        <v>0</v>
      </c>
      <c r="M185" t="n">
        <v>12</v>
      </c>
      <c r="N185" t="n">
        <v>0</v>
      </c>
      <c r="O185" t="n">
        <v>-0.25</v>
      </c>
      <c r="P185" t="n">
        <v>156</v>
      </c>
      <c r="Q185" t="n">
        <v>12</v>
      </c>
      <c r="R185" t="s">
        <v>197</v>
      </c>
      <c r="S185" t="s">
        <v>197</v>
      </c>
      <c r="T185" t="n">
        <v>-0.125</v>
      </c>
    </row>
    <row r="186">
      <c r="A186" t="s">
        <v>30</v>
      </c>
      <c r="B186" t="n">
        <v>1.25</v>
      </c>
      <c r="C186" t="n">
        <v>1.6</v>
      </c>
      <c r="D186" t="n">
        <v>1.6</v>
      </c>
      <c r="E186" t="n">
        <v>-6.25</v>
      </c>
      <c r="F186" t="n">
        <v>-0.25</v>
      </c>
      <c r="G186" t="n">
        <v>97</v>
      </c>
      <c r="H186" t="n">
        <v>12</v>
      </c>
      <c r="I186" t="s">
        <v>198</v>
      </c>
      <c r="J186" t="n">
        <v>0</v>
      </c>
      <c r="K186" t="n">
        <v>0</v>
      </c>
      <c r="L186" t="n">
        <v>0</v>
      </c>
      <c r="M186" t="n">
        <v>12</v>
      </c>
      <c r="N186" t="n">
        <v>-0.25</v>
      </c>
      <c r="O186" t="n">
        <v>0</v>
      </c>
      <c r="P186" t="n">
        <v>166</v>
      </c>
      <c r="Q186" t="n">
        <v>12</v>
      </c>
      <c r="R186" t="s">
        <v>199</v>
      </c>
      <c r="S186" t="s">
        <v>199</v>
      </c>
      <c r="T186" t="n">
        <v>-0.25</v>
      </c>
    </row>
    <row r="187">
      <c r="A187" t="s">
        <v>30</v>
      </c>
      <c r="B187" t="n">
        <v>1</v>
      </c>
      <c r="C187" t="n">
        <v>1</v>
      </c>
      <c r="D187" t="n">
        <v>1</v>
      </c>
      <c r="E187" t="n">
        <v>-2.75</v>
      </c>
      <c r="F187" t="n">
        <v>-1.25</v>
      </c>
      <c r="G187" t="n">
        <v>3</v>
      </c>
      <c r="H187" t="n">
        <v>12</v>
      </c>
      <c r="I187" t="s">
        <v>197</v>
      </c>
      <c r="J187" t="n">
        <v>0</v>
      </c>
      <c r="K187" t="n">
        <v>0</v>
      </c>
      <c r="L187" t="n">
        <v>0</v>
      </c>
      <c r="M187" t="n">
        <v>12</v>
      </c>
      <c r="N187" t="n">
        <v>0.25</v>
      </c>
      <c r="O187" t="n">
        <v>-0.5</v>
      </c>
      <c r="P187" t="n">
        <v>168</v>
      </c>
      <c r="Q187" t="n">
        <v>12</v>
      </c>
      <c r="R187" t="s">
        <v>197</v>
      </c>
      <c r="S187" t="s">
        <v>197</v>
      </c>
      <c r="T187" t="n">
        <v>0</v>
      </c>
    </row>
    <row r="188">
      <c r="A188" t="s">
        <v>30</v>
      </c>
      <c r="B188" t="n">
        <v>1</v>
      </c>
      <c r="C188" t="n">
        <v>1</v>
      </c>
      <c r="D188" t="n">
        <v>1</v>
      </c>
      <c r="E188" t="n">
        <v>-3.5</v>
      </c>
      <c r="F188" t="n">
        <v>-1.5</v>
      </c>
      <c r="G188" t="n">
        <v>16</v>
      </c>
      <c r="H188" t="n">
        <v>12</v>
      </c>
      <c r="I188" t="s">
        <v>197</v>
      </c>
      <c r="J188" t="n">
        <v>0</v>
      </c>
      <c r="K188" t="n">
        <v>0</v>
      </c>
      <c r="L188" t="n">
        <v>0</v>
      </c>
      <c r="M188" t="n">
        <v>12</v>
      </c>
      <c r="N188" t="n">
        <v>0.25</v>
      </c>
      <c r="O188" t="n">
        <v>-0.5</v>
      </c>
      <c r="P188" t="n">
        <v>40</v>
      </c>
      <c r="Q188" t="n">
        <v>12</v>
      </c>
      <c r="R188" t="s">
        <v>197</v>
      </c>
      <c r="S188" t="s">
        <v>197</v>
      </c>
      <c r="T188" t="n">
        <v>0</v>
      </c>
    </row>
    <row r="189">
      <c r="A189" t="s">
        <v>30</v>
      </c>
      <c r="B189" t="n">
        <v>1.25</v>
      </c>
      <c r="C189" t="n">
        <v>1.25</v>
      </c>
      <c r="D189" t="n">
        <v>1.25</v>
      </c>
      <c r="E189" t="n">
        <v>-3.5</v>
      </c>
      <c r="F189" t="n">
        <v>-0.5</v>
      </c>
      <c r="G189" t="n">
        <v>42</v>
      </c>
      <c r="H189" t="n">
        <v>12</v>
      </c>
      <c r="I189" t="s">
        <v>198</v>
      </c>
      <c r="J189" t="n">
        <v>0</v>
      </c>
      <c r="K189" t="n">
        <v>0</v>
      </c>
      <c r="L189" t="n">
        <v>0</v>
      </c>
      <c r="M189" t="n">
        <v>12</v>
      </c>
      <c r="N189" t="n">
        <v>0</v>
      </c>
      <c r="O189" t="n">
        <v>-0.5</v>
      </c>
      <c r="P189" t="n">
        <v>91</v>
      </c>
      <c r="Q189" t="n">
        <v>12</v>
      </c>
      <c r="R189" t="s">
        <v>198</v>
      </c>
      <c r="S189" t="s">
        <v>198</v>
      </c>
      <c r="T189" t="n">
        <v>-0.25</v>
      </c>
    </row>
    <row r="190">
      <c r="A190" t="s">
        <v>30</v>
      </c>
      <c r="B190" t="n">
        <v>1.25</v>
      </c>
      <c r="C190" t="n">
        <v>1.25</v>
      </c>
      <c r="D190" t="n">
        <v>1.25</v>
      </c>
      <c r="E190" t="n">
        <v>-3</v>
      </c>
      <c r="F190" t="n">
        <v>-0.75</v>
      </c>
      <c r="G190" t="n">
        <v>139</v>
      </c>
      <c r="H190" t="n">
        <v>12</v>
      </c>
      <c r="I190" t="s">
        <v>198</v>
      </c>
      <c r="J190" t="n">
        <v>0</v>
      </c>
      <c r="K190" t="n">
        <v>0</v>
      </c>
      <c r="L190" t="n">
        <v>0</v>
      </c>
      <c r="M190" t="n">
        <v>12</v>
      </c>
      <c r="N190" t="n">
        <v>-0.25</v>
      </c>
      <c r="O190" t="n">
        <v>-0.25</v>
      </c>
      <c r="P190" t="n">
        <v>87</v>
      </c>
      <c r="Q190" t="n">
        <v>12</v>
      </c>
      <c r="R190" t="s">
        <v>198</v>
      </c>
      <c r="S190" t="s">
        <v>198</v>
      </c>
      <c r="T190" t="n">
        <v>-0.375</v>
      </c>
    </row>
    <row r="191">
      <c r="A191" t="s">
        <v>30</v>
      </c>
      <c r="B191" t="n">
        <v>1.25</v>
      </c>
      <c r="C191"/>
      <c r="D191"/>
      <c r="E191" t="n">
        <v>-4.5</v>
      </c>
      <c r="F191" t="n">
        <v>-1</v>
      </c>
      <c r="G191" t="n">
        <v>129</v>
      </c>
      <c r="H191" t="n">
        <v>12</v>
      </c>
      <c r="I191" t="s">
        <v>198</v>
      </c>
      <c r="J191" t="n">
        <v>0</v>
      </c>
      <c r="K191" t="n">
        <v>0</v>
      </c>
      <c r="L191" t="n">
        <v>0</v>
      </c>
      <c r="M191" t="n">
        <v>12</v>
      </c>
      <c r="N191"/>
      <c r="O191"/>
      <c r="P191"/>
      <c r="Q191" t="n">
        <v>12</v>
      </c>
      <c r="R191" t="s">
        <v>95</v>
      </c>
      <c r="S191" t="s">
        <v>95</v>
      </c>
      <c r="T191"/>
    </row>
    <row r="192">
      <c r="A192" t="s">
        <v>30</v>
      </c>
      <c r="B192" t="n">
        <v>1.25</v>
      </c>
      <c r="C192"/>
      <c r="D192"/>
      <c r="E192" t="n">
        <v>-3.75</v>
      </c>
      <c r="F192" t="n">
        <v>-0.75</v>
      </c>
      <c r="G192" t="n">
        <v>54</v>
      </c>
      <c r="H192" t="n">
        <v>12</v>
      </c>
      <c r="I192" t="s">
        <v>198</v>
      </c>
      <c r="J192" t="n">
        <v>0</v>
      </c>
      <c r="K192" t="n">
        <v>0</v>
      </c>
      <c r="L192" t="n">
        <v>0</v>
      </c>
      <c r="M192" t="n">
        <v>12</v>
      </c>
      <c r="N192"/>
      <c r="O192"/>
      <c r="P192"/>
      <c r="Q192" t="n">
        <v>12</v>
      </c>
      <c r="R192" t="s">
        <v>95</v>
      </c>
      <c r="S192" t="s">
        <v>95</v>
      </c>
      <c r="T192"/>
    </row>
    <row r="193">
      <c r="A193" t="s">
        <v>30</v>
      </c>
      <c r="B193" t="n">
        <v>1.6</v>
      </c>
      <c r="C193" t="n">
        <v>1.6</v>
      </c>
      <c r="D193" t="n">
        <v>1.6</v>
      </c>
      <c r="E193" t="n">
        <v>0</v>
      </c>
      <c r="F193" t="n">
        <v>-1.25</v>
      </c>
      <c r="G193" t="n">
        <v>180</v>
      </c>
      <c r="H193" t="n">
        <v>12</v>
      </c>
      <c r="I193" t="s">
        <v>199</v>
      </c>
      <c r="J193" t="n">
        <v>0</v>
      </c>
      <c r="K193" t="n">
        <v>0</v>
      </c>
      <c r="L193" t="n">
        <v>0</v>
      </c>
      <c r="M193" t="n">
        <v>12</v>
      </c>
      <c r="N193" t="n">
        <v>0.5</v>
      </c>
      <c r="O193" t="n">
        <v>-0.75</v>
      </c>
      <c r="P193" t="n">
        <v>152</v>
      </c>
      <c r="Q193" t="n">
        <v>12</v>
      </c>
      <c r="R193" t="s">
        <v>199</v>
      </c>
      <c r="S193" t="s">
        <v>199</v>
      </c>
      <c r="T193" t="n">
        <v>0.125</v>
      </c>
    </row>
    <row r="194">
      <c r="A194" t="s">
        <v>30</v>
      </c>
      <c r="B194" t="n">
        <v>1.6</v>
      </c>
      <c r="C194" t="n">
        <v>1.25</v>
      </c>
      <c r="D194" t="n">
        <v>1.6</v>
      </c>
      <c r="E194" t="n">
        <v>-0.25</v>
      </c>
      <c r="F194" t="n">
        <v>-1.25</v>
      </c>
      <c r="G194" t="n">
        <v>171</v>
      </c>
      <c r="H194" t="n">
        <v>12</v>
      </c>
      <c r="I194" t="s">
        <v>199</v>
      </c>
      <c r="J194" t="n">
        <v>0</v>
      </c>
      <c r="K194" t="n">
        <v>0</v>
      </c>
      <c r="L194" t="n">
        <v>0</v>
      </c>
      <c r="M194" t="n">
        <v>12</v>
      </c>
      <c r="N194" t="n">
        <v>0.25</v>
      </c>
      <c r="O194" t="n">
        <v>-0.75</v>
      </c>
      <c r="P194" t="n">
        <v>26</v>
      </c>
      <c r="Q194" t="n">
        <v>12</v>
      </c>
      <c r="R194" t="s">
        <v>199</v>
      </c>
      <c r="S194" t="s">
        <v>198</v>
      </c>
      <c r="T194" t="n">
        <v>-0.125</v>
      </c>
    </row>
    <row r="195">
      <c r="A195" t="s">
        <v>30</v>
      </c>
      <c r="B195" t="n">
        <v>1</v>
      </c>
      <c r="C195" t="n">
        <v>1</v>
      </c>
      <c r="D195" t="n">
        <v>1</v>
      </c>
      <c r="E195" t="n">
        <v>-3.5</v>
      </c>
      <c r="F195" t="n">
        <v>-1</v>
      </c>
      <c r="G195" t="n">
        <v>18</v>
      </c>
      <c r="H195" t="n">
        <v>12</v>
      </c>
      <c r="I195" t="s">
        <v>197</v>
      </c>
      <c r="J195" t="n">
        <v>0</v>
      </c>
      <c r="K195" t="n">
        <v>0</v>
      </c>
      <c r="L195" t="n">
        <v>0</v>
      </c>
      <c r="M195" t="n">
        <v>12</v>
      </c>
      <c r="N195" t="n">
        <v>0.25</v>
      </c>
      <c r="O195" t="n">
        <v>-0.25</v>
      </c>
      <c r="P195" t="n">
        <v>48</v>
      </c>
      <c r="Q195" t="n">
        <v>12</v>
      </c>
      <c r="R195" t="s">
        <v>197</v>
      </c>
      <c r="S195" t="s">
        <v>197</v>
      </c>
      <c r="T195" t="n">
        <v>0.125</v>
      </c>
    </row>
    <row r="196">
      <c r="A196" t="s">
        <v>30</v>
      </c>
      <c r="B196" t="n">
        <v>1</v>
      </c>
      <c r="C196" t="n">
        <v>1.25</v>
      </c>
      <c r="D196" t="n">
        <v>1.25</v>
      </c>
      <c r="E196" t="n">
        <v>-3.25</v>
      </c>
      <c r="F196" t="n">
        <v>-1.5</v>
      </c>
      <c r="G196" t="n">
        <v>157</v>
      </c>
      <c r="H196" t="n">
        <v>12</v>
      </c>
      <c r="I196" t="s">
        <v>197</v>
      </c>
      <c r="J196" t="n">
        <v>0</v>
      </c>
      <c r="K196" t="n">
        <v>0</v>
      </c>
      <c r="L196" t="n">
        <v>0</v>
      </c>
      <c r="M196" t="n">
        <v>12</v>
      </c>
      <c r="N196" t="n">
        <v>0.5</v>
      </c>
      <c r="O196" t="n">
        <v>-0.5</v>
      </c>
      <c r="P196" t="n">
        <v>177</v>
      </c>
      <c r="Q196" t="n">
        <v>12</v>
      </c>
      <c r="R196" t="s">
        <v>198</v>
      </c>
      <c r="S196" t="s">
        <v>198</v>
      </c>
      <c r="T196" t="n">
        <v>0.25</v>
      </c>
    </row>
    <row r="197">
      <c r="A197" t="s">
        <v>30</v>
      </c>
      <c r="B197" t="n">
        <v>1</v>
      </c>
      <c r="C197" t="n">
        <v>1</v>
      </c>
      <c r="D197" t="n">
        <v>1</v>
      </c>
      <c r="E197" t="n">
        <v>0.25</v>
      </c>
      <c r="F197" t="n">
        <v>-1.5</v>
      </c>
      <c r="G197" t="n">
        <v>165</v>
      </c>
      <c r="H197" t="n">
        <v>12</v>
      </c>
      <c r="I197" t="s">
        <v>197</v>
      </c>
      <c r="J197" t="n">
        <v>0</v>
      </c>
      <c r="K197" t="n">
        <v>0</v>
      </c>
      <c r="L197" t="n">
        <v>0</v>
      </c>
      <c r="M197" t="n">
        <v>12</v>
      </c>
      <c r="N197" t="n">
        <v>0.25</v>
      </c>
      <c r="O197" t="n">
        <v>-0.25</v>
      </c>
      <c r="P197" t="n">
        <v>157</v>
      </c>
      <c r="Q197" t="n">
        <v>12</v>
      </c>
      <c r="R197" t="s">
        <v>197</v>
      </c>
      <c r="S197" t="s">
        <v>197</v>
      </c>
      <c r="T197" t="n">
        <v>0.125</v>
      </c>
    </row>
    <row r="198">
      <c r="A198" t="s">
        <v>30</v>
      </c>
      <c r="B198" t="n">
        <v>1</v>
      </c>
      <c r="C198" t="n">
        <v>1</v>
      </c>
      <c r="D198" t="n">
        <v>1.25</v>
      </c>
      <c r="E198" t="n">
        <v>0</v>
      </c>
      <c r="F198" t="n">
        <v>-0.75</v>
      </c>
      <c r="G198" t="n">
        <v>15</v>
      </c>
      <c r="H198" t="n">
        <v>12</v>
      </c>
      <c r="I198" t="s">
        <v>197</v>
      </c>
      <c r="J198" t="n">
        <v>-0.75</v>
      </c>
      <c r="K198" t="n">
        <v>0</v>
      </c>
      <c r="L198" t="n">
        <v>0</v>
      </c>
      <c r="M198" t="n">
        <v>12</v>
      </c>
      <c r="N198" t="n">
        <v>-0.5</v>
      </c>
      <c r="O198" t="n">
        <v>0</v>
      </c>
      <c r="P198" t="n">
        <v>110</v>
      </c>
      <c r="Q198" t="n">
        <v>12</v>
      </c>
      <c r="R198" t="s">
        <v>198</v>
      </c>
      <c r="S198" t="s">
        <v>197</v>
      </c>
      <c r="T198" t="n">
        <v>-0.5</v>
      </c>
    </row>
    <row r="199">
      <c r="A199" t="s">
        <v>30</v>
      </c>
      <c r="B199" t="n">
        <v>1</v>
      </c>
      <c r="C199" t="n">
        <v>1.25</v>
      </c>
      <c r="D199" t="n">
        <v>1.25</v>
      </c>
      <c r="E199" t="n">
        <v>-3.25</v>
      </c>
      <c r="F199" t="n">
        <v>-0.5</v>
      </c>
      <c r="G199" t="n">
        <v>84</v>
      </c>
      <c r="H199" t="n">
        <v>12</v>
      </c>
      <c r="I199" t="s">
        <v>197</v>
      </c>
      <c r="J199" t="n">
        <v>0</v>
      </c>
      <c r="K199" t="n">
        <v>0</v>
      </c>
      <c r="L199" t="n">
        <v>0</v>
      </c>
      <c r="M199" t="n">
        <v>12</v>
      </c>
      <c r="N199" t="n">
        <v>0</v>
      </c>
      <c r="O199" t="n">
        <v>-0.25</v>
      </c>
      <c r="P199" t="n">
        <v>54</v>
      </c>
      <c r="Q199" t="n">
        <v>12</v>
      </c>
      <c r="R199" t="s">
        <v>198</v>
      </c>
      <c r="S199" t="s">
        <v>198</v>
      </c>
      <c r="T199" t="n">
        <v>-0.125</v>
      </c>
    </row>
    <row r="200">
      <c r="A200" t="s">
        <v>30</v>
      </c>
      <c r="B200" t="n">
        <v>1</v>
      </c>
      <c r="C200" t="n">
        <v>1</v>
      </c>
      <c r="D200" t="n">
        <v>1</v>
      </c>
      <c r="E200" t="n">
        <v>-4.5</v>
      </c>
      <c r="F200" t="n">
        <v>-0.25</v>
      </c>
      <c r="G200" t="n">
        <v>83</v>
      </c>
      <c r="H200" t="n">
        <v>12</v>
      </c>
      <c r="I200" t="s">
        <v>197</v>
      </c>
      <c r="J200" t="n">
        <v>0</v>
      </c>
      <c r="K200" t="n">
        <v>0</v>
      </c>
      <c r="L200" t="n">
        <v>0</v>
      </c>
      <c r="M200" t="n">
        <v>12</v>
      </c>
      <c r="N200" t="n">
        <v>0.25</v>
      </c>
      <c r="O200" t="n">
        <v>-0.25</v>
      </c>
      <c r="P200" t="n">
        <v>154</v>
      </c>
      <c r="Q200" t="n">
        <v>12</v>
      </c>
      <c r="R200" t="s">
        <v>197</v>
      </c>
      <c r="S200" t="s">
        <v>197</v>
      </c>
      <c r="T200" t="n">
        <v>0.125</v>
      </c>
    </row>
    <row r="201">
      <c r="A201" t="s">
        <v>30</v>
      </c>
      <c r="B201" t="n">
        <v>1.25</v>
      </c>
      <c r="C201" t="n">
        <v>1.25</v>
      </c>
      <c r="D201" t="n">
        <v>1.25</v>
      </c>
      <c r="E201" t="n">
        <v>-1.75</v>
      </c>
      <c r="F201" t="n">
        <v>-0.75</v>
      </c>
      <c r="G201" t="n">
        <v>10</v>
      </c>
      <c r="H201" t="n">
        <v>12</v>
      </c>
      <c r="I201" t="s">
        <v>198</v>
      </c>
      <c r="J201" t="n">
        <v>0</v>
      </c>
      <c r="K201" t="n">
        <v>0</v>
      </c>
      <c r="L201" t="n">
        <v>0</v>
      </c>
      <c r="M201" t="n">
        <v>12</v>
      </c>
      <c r="N201" t="n">
        <v>0.25</v>
      </c>
      <c r="O201" t="n">
        <v>-0.25</v>
      </c>
      <c r="P201" t="n">
        <v>68</v>
      </c>
      <c r="Q201" t="n">
        <v>12</v>
      </c>
      <c r="R201" t="s">
        <v>198</v>
      </c>
      <c r="S201" t="s">
        <v>198</v>
      </c>
      <c r="T201" t="n">
        <v>0.125</v>
      </c>
    </row>
    <row r="202">
      <c r="A202" t="s">
        <v>30</v>
      </c>
      <c r="B202" t="n">
        <v>1.25</v>
      </c>
      <c r="C202" t="n">
        <v>1.25</v>
      </c>
      <c r="D202" t="n">
        <v>1.25</v>
      </c>
      <c r="E202" t="n">
        <v>-0.5</v>
      </c>
      <c r="F202" t="n">
        <v>-1.25</v>
      </c>
      <c r="G202" t="n">
        <v>171</v>
      </c>
      <c r="H202" t="n">
        <v>12</v>
      </c>
      <c r="I202" t="s">
        <v>198</v>
      </c>
      <c r="J202" t="n">
        <v>0</v>
      </c>
      <c r="K202" t="n">
        <v>0</v>
      </c>
      <c r="L202" t="n">
        <v>0</v>
      </c>
      <c r="M202" t="n">
        <v>12</v>
      </c>
      <c r="N202" t="n">
        <v>0.25</v>
      </c>
      <c r="O202" t="n">
        <v>-0.25</v>
      </c>
      <c r="P202" t="n">
        <v>41</v>
      </c>
      <c r="Q202" t="n">
        <v>12</v>
      </c>
      <c r="R202" t="s">
        <v>198</v>
      </c>
      <c r="S202" t="s">
        <v>198</v>
      </c>
      <c r="T202" t="n">
        <v>0.125</v>
      </c>
    </row>
    <row r="203">
      <c r="A203" t="s">
        <v>30</v>
      </c>
      <c r="B203" t="n">
        <v>1.25</v>
      </c>
      <c r="C203" t="n">
        <v>1.25</v>
      </c>
      <c r="D203" t="n">
        <v>1.25</v>
      </c>
      <c r="E203" t="n">
        <v>-4.25</v>
      </c>
      <c r="F203" t="n">
        <v>-0.25</v>
      </c>
      <c r="G203" t="n">
        <v>165</v>
      </c>
      <c r="H203" t="n">
        <v>12</v>
      </c>
      <c r="I203" t="s">
        <v>198</v>
      </c>
      <c r="J203" t="n">
        <v>0</v>
      </c>
      <c r="K203" t="n">
        <v>0</v>
      </c>
      <c r="L203" t="n">
        <v>0</v>
      </c>
      <c r="M203" t="n">
        <v>12</v>
      </c>
      <c r="N203" t="n">
        <v>0.5</v>
      </c>
      <c r="O203" t="n">
        <v>-0.25</v>
      </c>
      <c r="P203" t="n">
        <v>117</v>
      </c>
      <c r="Q203" t="n">
        <v>12</v>
      </c>
      <c r="R203" t="s">
        <v>198</v>
      </c>
      <c r="S203" t="s">
        <v>198</v>
      </c>
      <c r="T203" t="n">
        <v>0.375</v>
      </c>
    </row>
    <row r="204">
      <c r="A204" t="s">
        <v>30</v>
      </c>
      <c r="B204" t="n">
        <v>1</v>
      </c>
      <c r="C204" t="n">
        <v>0.8</v>
      </c>
      <c r="D204" t="n">
        <v>1.6</v>
      </c>
      <c r="E204" t="n">
        <v>-5</v>
      </c>
      <c r="F204" t="n">
        <v>-0.5</v>
      </c>
      <c r="G204" t="n">
        <v>157</v>
      </c>
      <c r="H204" t="n">
        <v>12</v>
      </c>
      <c r="I204" t="s">
        <v>197</v>
      </c>
      <c r="J204" t="n">
        <v>0</v>
      </c>
      <c r="K204" t="n">
        <v>0</v>
      </c>
      <c r="L204" t="n">
        <v>0</v>
      </c>
      <c r="M204" t="n">
        <v>12</v>
      </c>
      <c r="N204" t="n">
        <v>-1</v>
      </c>
      <c r="O204" t="n">
        <v>0</v>
      </c>
      <c r="P204" t="n">
        <v>108</v>
      </c>
      <c r="Q204" t="n">
        <v>12</v>
      </c>
      <c r="R204" t="s">
        <v>199</v>
      </c>
      <c r="S204" t="s">
        <v>196</v>
      </c>
      <c r="T204" t="n">
        <v>-1</v>
      </c>
    </row>
    <row r="205">
      <c r="A205" t="s">
        <v>30</v>
      </c>
      <c r="B205" t="n">
        <v>1</v>
      </c>
      <c r="C205" t="n">
        <v>1</v>
      </c>
      <c r="D205" t="n">
        <v>1.6</v>
      </c>
      <c r="E205" t="n">
        <v>-4.5</v>
      </c>
      <c r="F205" t="n">
        <v>-0.75</v>
      </c>
      <c r="G205" t="n">
        <v>28</v>
      </c>
      <c r="H205" t="n">
        <v>12</v>
      </c>
      <c r="I205" t="s">
        <v>197</v>
      </c>
      <c r="J205" t="n">
        <v>0</v>
      </c>
      <c r="K205" t="n">
        <v>0</v>
      </c>
      <c r="L205" t="n">
        <v>0</v>
      </c>
      <c r="M205" t="n">
        <v>12</v>
      </c>
      <c r="N205" t="n">
        <v>-1</v>
      </c>
      <c r="O205" t="n">
        <v>0</v>
      </c>
      <c r="P205" t="n">
        <v>97</v>
      </c>
      <c r="Q205" t="n">
        <v>12</v>
      </c>
      <c r="R205" t="s">
        <v>199</v>
      </c>
      <c r="S205" t="s">
        <v>197</v>
      </c>
      <c r="T205" t="n">
        <v>-1</v>
      </c>
    </row>
    <row r="206">
      <c r="A206" t="s">
        <v>30</v>
      </c>
      <c r="B206" t="n">
        <v>1</v>
      </c>
      <c r="C206" t="n">
        <v>1.25</v>
      </c>
      <c r="D206" t="n">
        <v>1.25</v>
      </c>
      <c r="E206" t="n">
        <v>-5</v>
      </c>
      <c r="F206" t="n">
        <v>-0.5</v>
      </c>
      <c r="G206" t="n">
        <v>53</v>
      </c>
      <c r="H206" t="n">
        <v>12</v>
      </c>
      <c r="I206" t="s">
        <v>197</v>
      </c>
      <c r="J206" t="n">
        <v>0</v>
      </c>
      <c r="K206" t="n">
        <v>0</v>
      </c>
      <c r="L206" t="n">
        <v>0</v>
      </c>
      <c r="M206" t="n">
        <v>12</v>
      </c>
      <c r="N206" t="n">
        <v>0.25</v>
      </c>
      <c r="O206" t="n">
        <v>-0.25</v>
      </c>
      <c r="P206" t="n">
        <v>72</v>
      </c>
      <c r="Q206" t="n">
        <v>12</v>
      </c>
      <c r="R206" t="s">
        <v>198</v>
      </c>
      <c r="S206" t="s">
        <v>198</v>
      </c>
      <c r="T206" t="n">
        <v>0.125</v>
      </c>
    </row>
    <row r="207">
      <c r="A207" t="s">
        <v>30</v>
      </c>
      <c r="B207" t="n">
        <v>1.25</v>
      </c>
      <c r="C207" t="n">
        <v>1.6</v>
      </c>
      <c r="D207" t="n">
        <v>1.6</v>
      </c>
      <c r="E207" t="n">
        <v>-4</v>
      </c>
      <c r="F207" t="n">
        <v>-0.25</v>
      </c>
      <c r="G207" t="n">
        <v>130</v>
      </c>
      <c r="H207" t="n">
        <v>12</v>
      </c>
      <c r="I207" t="s">
        <v>198</v>
      </c>
      <c r="J207" t="n">
        <v>0</v>
      </c>
      <c r="K207" t="n">
        <v>0</v>
      </c>
      <c r="L207" t="n">
        <v>0</v>
      </c>
      <c r="M207" t="n">
        <v>12</v>
      </c>
      <c r="N207" t="n">
        <v>0</v>
      </c>
      <c r="O207" t="n">
        <v>0</v>
      </c>
      <c r="P207" t="n">
        <v>132</v>
      </c>
      <c r="Q207" t="n">
        <v>12</v>
      </c>
      <c r="R207" t="s">
        <v>199</v>
      </c>
      <c r="S207" t="s">
        <v>199</v>
      </c>
      <c r="T207" t="n">
        <v>0</v>
      </c>
    </row>
    <row r="208">
      <c r="A208" t="s">
        <v>30</v>
      </c>
      <c r="B208" t="n">
        <v>0.8</v>
      </c>
      <c r="C208"/>
      <c r="D208"/>
      <c r="E208" t="n">
        <v>-5.75</v>
      </c>
      <c r="F208" t="n">
        <v>-0.5</v>
      </c>
      <c r="G208" t="n">
        <v>126</v>
      </c>
      <c r="H208" t="n">
        <v>12</v>
      </c>
      <c r="I208" t="s">
        <v>196</v>
      </c>
      <c r="J208" t="n">
        <v>0</v>
      </c>
      <c r="K208" t="n">
        <v>0</v>
      </c>
      <c r="L208" t="n">
        <v>0</v>
      </c>
      <c r="M208" t="n">
        <v>12</v>
      </c>
      <c r="N208"/>
      <c r="O208"/>
      <c r="P208"/>
      <c r="Q208" t="n">
        <v>12</v>
      </c>
      <c r="R208" t="s">
        <v>95</v>
      </c>
      <c r="S208" t="s">
        <v>95</v>
      </c>
      <c r="T208"/>
    </row>
    <row r="209">
      <c r="A209" t="s">
        <v>30</v>
      </c>
      <c r="B209" t="n">
        <v>1</v>
      </c>
      <c r="C209" t="n">
        <v>0.8</v>
      </c>
      <c r="D209" t="n">
        <v>1</v>
      </c>
      <c r="E209" t="n">
        <v>-3.75</v>
      </c>
      <c r="F209" t="n">
        <v>-0.25</v>
      </c>
      <c r="G209" t="n">
        <v>9</v>
      </c>
      <c r="H209" t="n">
        <v>12</v>
      </c>
      <c r="I209" t="s">
        <v>197</v>
      </c>
      <c r="J209" t="n">
        <v>0</v>
      </c>
      <c r="K209" t="n">
        <v>0</v>
      </c>
      <c r="L209" t="n">
        <v>0</v>
      </c>
      <c r="M209" t="n">
        <v>12</v>
      </c>
      <c r="N209" t="n">
        <v>0</v>
      </c>
      <c r="O209" t="n">
        <v>0</v>
      </c>
      <c r="P209" t="n">
        <v>142</v>
      </c>
      <c r="Q209" t="n">
        <v>12</v>
      </c>
      <c r="R209" t="s">
        <v>197</v>
      </c>
      <c r="S209" t="s">
        <v>196</v>
      </c>
      <c r="T209" t="n">
        <v>0</v>
      </c>
    </row>
    <row r="210">
      <c r="A210" t="s">
        <v>30</v>
      </c>
      <c r="B210" t="n">
        <v>1</v>
      </c>
      <c r="C210" t="n">
        <v>0.63</v>
      </c>
      <c r="D210" t="n">
        <v>0.8</v>
      </c>
      <c r="E210" t="n">
        <v>-4</v>
      </c>
      <c r="F210" t="n">
        <v>-0.5</v>
      </c>
      <c r="G210" t="n">
        <v>165</v>
      </c>
      <c r="H210" t="n">
        <v>12</v>
      </c>
      <c r="I210" t="s">
        <v>197</v>
      </c>
      <c r="J210" t="n">
        <v>0</v>
      </c>
      <c r="K210" t="n">
        <v>0</v>
      </c>
      <c r="L210" t="n">
        <v>0</v>
      </c>
      <c r="M210" t="n">
        <v>12</v>
      </c>
      <c r="N210" t="n">
        <v>-0.25</v>
      </c>
      <c r="O210" t="n">
        <v>-0.25</v>
      </c>
      <c r="P210" t="n">
        <v>138</v>
      </c>
      <c r="Q210" t="n">
        <v>12</v>
      </c>
      <c r="R210" t="s">
        <v>196</v>
      </c>
      <c r="S210" t="s">
        <v>201</v>
      </c>
      <c r="T210" t="n">
        <v>-0.375</v>
      </c>
    </row>
    <row r="211">
      <c r="A211" t="s">
        <v>30</v>
      </c>
      <c r="B211" t="n">
        <v>0.8</v>
      </c>
      <c r="C211" t="n">
        <v>0.63</v>
      </c>
      <c r="D211" t="n">
        <v>0.8</v>
      </c>
      <c r="E211" t="n">
        <v>-5</v>
      </c>
      <c r="F211" t="n">
        <v>-0.5</v>
      </c>
      <c r="G211" t="n">
        <v>4</v>
      </c>
      <c r="H211" t="n">
        <v>12</v>
      </c>
      <c r="I211" t="s">
        <v>196</v>
      </c>
      <c r="J211" t="n">
        <v>0</v>
      </c>
      <c r="K211" t="n">
        <v>0</v>
      </c>
      <c r="L211" t="n">
        <v>0</v>
      </c>
      <c r="M211" t="n">
        <v>12</v>
      </c>
      <c r="N211" t="n">
        <v>0</v>
      </c>
      <c r="O211" t="n">
        <v>-0.25</v>
      </c>
      <c r="P211" t="n">
        <v>141</v>
      </c>
      <c r="Q211" t="n">
        <v>12</v>
      </c>
      <c r="R211" t="s">
        <v>196</v>
      </c>
      <c r="S211" t="s">
        <v>201</v>
      </c>
      <c r="T211" t="n">
        <v>-0.125</v>
      </c>
    </row>
    <row r="212">
      <c r="A212" t="s">
        <v>30</v>
      </c>
      <c r="B212" t="n">
        <v>1.25</v>
      </c>
      <c r="C212" t="n">
        <v>1.6</v>
      </c>
      <c r="D212" t="n">
        <v>1.6</v>
      </c>
      <c r="E212" t="n">
        <v>-2.75</v>
      </c>
      <c r="F212" t="n">
        <v>-0.25</v>
      </c>
      <c r="G212" t="n">
        <v>10</v>
      </c>
      <c r="H212" t="n">
        <v>12</v>
      </c>
      <c r="I212" t="s">
        <v>198</v>
      </c>
      <c r="J212" t="n">
        <v>0</v>
      </c>
      <c r="K212" t="n">
        <v>0</v>
      </c>
      <c r="L212" t="n">
        <v>0</v>
      </c>
      <c r="M212" t="n">
        <v>12</v>
      </c>
      <c r="N212" t="n">
        <v>-0.25</v>
      </c>
      <c r="O212" t="n">
        <v>-0.25</v>
      </c>
      <c r="P212" t="n">
        <v>66</v>
      </c>
      <c r="Q212" t="n">
        <v>12</v>
      </c>
      <c r="R212" t="s">
        <v>199</v>
      </c>
      <c r="S212" t="s">
        <v>199</v>
      </c>
      <c r="T212" t="n">
        <v>-0.375</v>
      </c>
    </row>
    <row r="213">
      <c r="A213" t="s">
        <v>30</v>
      </c>
      <c r="B213" t="n">
        <v>1.25</v>
      </c>
      <c r="C213" t="n">
        <v>1.6</v>
      </c>
      <c r="D213" t="n">
        <v>1.6</v>
      </c>
      <c r="E213" t="n">
        <v>-4.5</v>
      </c>
      <c r="F213" t="n">
        <v>-0.25</v>
      </c>
      <c r="G213" t="n">
        <v>174</v>
      </c>
      <c r="H213" t="n">
        <v>12</v>
      </c>
      <c r="I213" t="s">
        <v>198</v>
      </c>
      <c r="J213" t="n">
        <v>0</v>
      </c>
      <c r="K213" t="n">
        <v>0</v>
      </c>
      <c r="L213" t="n">
        <v>0</v>
      </c>
      <c r="M213" t="n">
        <v>12</v>
      </c>
      <c r="N213" t="n">
        <v>-0.25</v>
      </c>
      <c r="O213" t="n">
        <v>0</v>
      </c>
      <c r="P213" t="n">
        <v>31</v>
      </c>
      <c r="Q213" t="n">
        <v>12</v>
      </c>
      <c r="R213" t="s">
        <v>199</v>
      </c>
      <c r="S213" t="s">
        <v>199</v>
      </c>
      <c r="T213" t="n">
        <v>-0.25</v>
      </c>
    </row>
    <row r="214">
      <c r="A214" t="s">
        <v>30</v>
      </c>
      <c r="B214" t="n">
        <v>1</v>
      </c>
      <c r="C214" t="n">
        <v>0.8</v>
      </c>
      <c r="D214" t="n">
        <v>1</v>
      </c>
      <c r="E214" t="n">
        <v>-1</v>
      </c>
      <c r="F214" t="n">
        <v>-0.5</v>
      </c>
      <c r="G214" t="n">
        <v>162</v>
      </c>
      <c r="H214" t="n">
        <v>12</v>
      </c>
      <c r="I214" t="s">
        <v>197</v>
      </c>
      <c r="J214" t="n">
        <v>0</v>
      </c>
      <c r="K214" t="n">
        <v>0</v>
      </c>
      <c r="L214" t="n">
        <v>0</v>
      </c>
      <c r="M214" t="n">
        <v>12</v>
      </c>
      <c r="N214" t="n">
        <v>0.75</v>
      </c>
      <c r="O214" t="n">
        <v>-0.25</v>
      </c>
      <c r="P214" t="n">
        <v>96</v>
      </c>
      <c r="Q214" t="n">
        <v>12</v>
      </c>
      <c r="R214" t="s">
        <v>197</v>
      </c>
      <c r="S214" t="s">
        <v>196</v>
      </c>
      <c r="T214" t="n">
        <v>0.625</v>
      </c>
    </row>
    <row r="215">
      <c r="A215" t="s">
        <v>30</v>
      </c>
      <c r="B215" t="n">
        <v>1</v>
      </c>
      <c r="C215"/>
      <c r="D215" t="n">
        <v>1</v>
      </c>
      <c r="E215" t="n">
        <v>-4.5</v>
      </c>
      <c r="F215" t="n">
        <v>-0.25</v>
      </c>
      <c r="G215" t="n">
        <v>48</v>
      </c>
      <c r="H215" t="n">
        <v>12</v>
      </c>
      <c r="I215" t="s">
        <v>197</v>
      </c>
      <c r="J215" t="n">
        <v>0</v>
      </c>
      <c r="K215" t="n">
        <v>0</v>
      </c>
      <c r="L215" t="n">
        <v>0</v>
      </c>
      <c r="M215" t="n">
        <v>12</v>
      </c>
      <c r="N215" t="n">
        <v>0</v>
      </c>
      <c r="O215" t="n">
        <v>0</v>
      </c>
      <c r="P215" t="n">
        <v>9</v>
      </c>
      <c r="Q215" t="n">
        <v>12</v>
      </c>
      <c r="R215" t="s">
        <v>197</v>
      </c>
      <c r="S215" t="s">
        <v>95</v>
      </c>
      <c r="T215" t="n">
        <v>0</v>
      </c>
    </row>
    <row r="216">
      <c r="A216" t="s">
        <v>30</v>
      </c>
      <c r="B216" t="n">
        <v>1</v>
      </c>
      <c r="C216" t="n">
        <v>1</v>
      </c>
      <c r="D216" t="n">
        <v>1</v>
      </c>
      <c r="E216" t="n">
        <v>-6.5</v>
      </c>
      <c r="F216" t="n">
        <v>-0.5</v>
      </c>
      <c r="G216" t="n">
        <v>141</v>
      </c>
      <c r="H216" t="n">
        <v>12</v>
      </c>
      <c r="I216" t="s">
        <v>197</v>
      </c>
      <c r="J216" t="n">
        <v>0</v>
      </c>
      <c r="K216" t="n">
        <v>0</v>
      </c>
      <c r="L216" t="n">
        <v>0</v>
      </c>
      <c r="M216" t="n">
        <v>12</v>
      </c>
      <c r="N216" t="n">
        <v>0</v>
      </c>
      <c r="O216" t="n">
        <v>-0.25</v>
      </c>
      <c r="P216" t="n">
        <v>145</v>
      </c>
      <c r="Q216" t="n">
        <v>12</v>
      </c>
      <c r="R216" t="s">
        <v>197</v>
      </c>
      <c r="S216" t="s">
        <v>197</v>
      </c>
      <c r="T216" t="n">
        <v>-0.125</v>
      </c>
    </row>
    <row r="217">
      <c r="A217" t="s">
        <v>30</v>
      </c>
      <c r="B217" t="n">
        <v>1.25</v>
      </c>
      <c r="C217" t="n">
        <v>1.6</v>
      </c>
      <c r="D217" t="n">
        <v>1.6</v>
      </c>
      <c r="E217" t="n">
        <v>-5.75</v>
      </c>
      <c r="F217" t="n">
        <v>-0.5</v>
      </c>
      <c r="G217" t="n">
        <v>3</v>
      </c>
      <c r="H217" t="n">
        <v>12</v>
      </c>
      <c r="I217" t="s">
        <v>198</v>
      </c>
      <c r="J217" t="n">
        <v>0</v>
      </c>
      <c r="K217" t="n">
        <v>0</v>
      </c>
      <c r="L217" t="n">
        <v>0</v>
      </c>
      <c r="M217" t="n">
        <v>12</v>
      </c>
      <c r="N217" t="n">
        <v>0.25</v>
      </c>
      <c r="O217" t="n">
        <v>-0.25</v>
      </c>
      <c r="P217" t="n">
        <v>70</v>
      </c>
      <c r="Q217" t="n">
        <v>12</v>
      </c>
      <c r="R217" t="s">
        <v>199</v>
      </c>
      <c r="S217" t="s">
        <v>199</v>
      </c>
      <c r="T217" t="n">
        <v>0.125</v>
      </c>
    </row>
    <row r="218">
      <c r="A218" t="s">
        <v>30</v>
      </c>
      <c r="B218" t="n">
        <v>1.6</v>
      </c>
      <c r="C218" t="n">
        <v>1.6</v>
      </c>
      <c r="D218" t="n">
        <v>1.6</v>
      </c>
      <c r="E218" t="n">
        <v>-5</v>
      </c>
      <c r="F218" t="n">
        <v>-0.5</v>
      </c>
      <c r="G218" t="n">
        <v>177</v>
      </c>
      <c r="H218" t="n">
        <v>12</v>
      </c>
      <c r="I218" t="s">
        <v>199</v>
      </c>
      <c r="J218" t="n">
        <v>0</v>
      </c>
      <c r="K218" t="n">
        <v>0</v>
      </c>
      <c r="L218" t="n">
        <v>0</v>
      </c>
      <c r="M218" t="n">
        <v>12</v>
      </c>
      <c r="N218" t="n">
        <v>0.25</v>
      </c>
      <c r="O218" t="n">
        <v>-0.25</v>
      </c>
      <c r="P218" t="n">
        <v>110</v>
      </c>
      <c r="Q218" t="n">
        <v>12</v>
      </c>
      <c r="R218" t="s">
        <v>199</v>
      </c>
      <c r="S218" t="s">
        <v>199</v>
      </c>
      <c r="T218" t="n">
        <v>0.125</v>
      </c>
    </row>
    <row r="219">
      <c r="A219" t="s">
        <v>30</v>
      </c>
      <c r="B219" t="n">
        <v>1</v>
      </c>
      <c r="C219" t="n">
        <v>1</v>
      </c>
      <c r="D219" t="n">
        <v>1</v>
      </c>
      <c r="E219" t="n">
        <v>-3.5</v>
      </c>
      <c r="F219" t="n">
        <v>-0.5</v>
      </c>
      <c r="G219" t="n">
        <v>12</v>
      </c>
      <c r="H219" t="n">
        <v>12</v>
      </c>
      <c r="I219" t="s">
        <v>197</v>
      </c>
      <c r="J219" t="n">
        <v>0</v>
      </c>
      <c r="K219" t="n">
        <v>0</v>
      </c>
      <c r="L219" t="n">
        <v>0</v>
      </c>
      <c r="M219" t="n">
        <v>12</v>
      </c>
      <c r="N219" t="n">
        <v>0</v>
      </c>
      <c r="O219" t="n">
        <v>-0.25</v>
      </c>
      <c r="P219" t="n">
        <v>157</v>
      </c>
      <c r="Q219" t="n">
        <v>12</v>
      </c>
      <c r="R219" t="s">
        <v>197</v>
      </c>
      <c r="S219" t="s">
        <v>197</v>
      </c>
      <c r="T219" t="n">
        <v>-0.125</v>
      </c>
    </row>
    <row r="220">
      <c r="A220" t="s">
        <v>30</v>
      </c>
      <c r="B220" t="n">
        <v>1</v>
      </c>
      <c r="C220" t="n">
        <v>1</v>
      </c>
      <c r="D220" t="n">
        <v>1</v>
      </c>
      <c r="E220" t="n">
        <v>-3.25</v>
      </c>
      <c r="F220" t="n">
        <v>-0.75</v>
      </c>
      <c r="G220" t="n">
        <v>171</v>
      </c>
      <c r="H220" t="n">
        <v>12</v>
      </c>
      <c r="I220" t="s">
        <v>197</v>
      </c>
      <c r="J220" t="n">
        <v>0</v>
      </c>
      <c r="K220" t="n">
        <v>0</v>
      </c>
      <c r="L220" t="n">
        <v>0</v>
      </c>
      <c r="M220" t="n">
        <v>12</v>
      </c>
      <c r="N220" t="n">
        <v>0.25</v>
      </c>
      <c r="O220" t="n">
        <v>-0.25</v>
      </c>
      <c r="P220" t="n">
        <v>42</v>
      </c>
      <c r="Q220" t="n">
        <v>12</v>
      </c>
      <c r="R220" t="s">
        <v>197</v>
      </c>
      <c r="S220" t="s">
        <v>197</v>
      </c>
      <c r="T220" t="n">
        <v>0.125</v>
      </c>
    </row>
    <row r="221">
      <c r="A221" t="s">
        <v>30</v>
      </c>
      <c r="B221" t="n">
        <v>1.25</v>
      </c>
      <c r="C221" t="n">
        <v>1.25</v>
      </c>
      <c r="D221" t="n">
        <v>1.25</v>
      </c>
      <c r="E221" t="n">
        <v>-4.25</v>
      </c>
      <c r="F221" t="n">
        <v>-0.75</v>
      </c>
      <c r="G221" t="n">
        <v>131</v>
      </c>
      <c r="H221" t="n">
        <v>12</v>
      </c>
      <c r="I221" t="s">
        <v>198</v>
      </c>
      <c r="J221" t="n">
        <v>0</v>
      </c>
      <c r="K221" t="n">
        <v>0</v>
      </c>
      <c r="L221" t="n">
        <v>0</v>
      </c>
      <c r="M221" t="n">
        <v>12</v>
      </c>
      <c r="N221" t="n">
        <v>0.25</v>
      </c>
      <c r="O221" t="n">
        <v>-0.25</v>
      </c>
      <c r="P221" t="n">
        <v>71</v>
      </c>
      <c r="Q221" t="n">
        <v>12</v>
      </c>
      <c r="R221" t="s">
        <v>198</v>
      </c>
      <c r="S221" t="s">
        <v>198</v>
      </c>
      <c r="T221" t="n">
        <v>0.125</v>
      </c>
    </row>
    <row r="222">
      <c r="A222" t="s">
        <v>30</v>
      </c>
      <c r="B222" t="n">
        <v>1.25</v>
      </c>
      <c r="C222" t="n">
        <v>1.25</v>
      </c>
      <c r="D222" t="n">
        <v>1.25</v>
      </c>
      <c r="E222" t="n">
        <v>-3.5</v>
      </c>
      <c r="F222" t="n">
        <v>-0.25</v>
      </c>
      <c r="G222" t="n">
        <v>53</v>
      </c>
      <c r="H222" t="n">
        <v>12</v>
      </c>
      <c r="I222" t="s">
        <v>198</v>
      </c>
      <c r="J222" t="n">
        <v>0</v>
      </c>
      <c r="K222" t="n">
        <v>0</v>
      </c>
      <c r="L222" t="n">
        <v>0</v>
      </c>
      <c r="M222" t="n">
        <v>12</v>
      </c>
      <c r="N222" t="n">
        <v>0.25</v>
      </c>
      <c r="O222" t="n">
        <v>-0.25</v>
      </c>
      <c r="P222" t="n">
        <v>136</v>
      </c>
      <c r="Q222" t="n">
        <v>12</v>
      </c>
      <c r="R222" t="s">
        <v>198</v>
      </c>
      <c r="S222" t="s">
        <v>198</v>
      </c>
      <c r="T222" t="n">
        <v>0.125</v>
      </c>
    </row>
    <row r="223">
      <c r="A223" t="s">
        <v>30</v>
      </c>
      <c r="B223" t="n">
        <v>1</v>
      </c>
      <c r="C223" t="n">
        <v>1.25</v>
      </c>
      <c r="D223" t="n">
        <v>1.25</v>
      </c>
      <c r="E223" t="n">
        <v>-2.75</v>
      </c>
      <c r="F223" t="n">
        <v>-0.75</v>
      </c>
      <c r="G223" t="n">
        <v>173</v>
      </c>
      <c r="H223" t="n">
        <v>12</v>
      </c>
      <c r="I223" t="s">
        <v>197</v>
      </c>
      <c r="J223" t="n">
        <v>0</v>
      </c>
      <c r="K223" t="n">
        <v>0</v>
      </c>
      <c r="L223" t="n">
        <v>0</v>
      </c>
      <c r="M223" t="n">
        <v>12</v>
      </c>
      <c r="N223" t="n">
        <v>-0.5</v>
      </c>
      <c r="O223" t="n">
        <v>0</v>
      </c>
      <c r="P223" t="n">
        <v>80</v>
      </c>
      <c r="Q223" t="n">
        <v>12</v>
      </c>
      <c r="R223" t="s">
        <v>198</v>
      </c>
      <c r="S223" t="s">
        <v>198</v>
      </c>
      <c r="T223" t="n">
        <v>-0.5</v>
      </c>
    </row>
    <row r="224">
      <c r="A224" t="s">
        <v>30</v>
      </c>
      <c r="B224" t="n">
        <v>1</v>
      </c>
      <c r="C224" t="n">
        <v>1.25</v>
      </c>
      <c r="D224" t="n">
        <v>1.25</v>
      </c>
      <c r="E224" t="n">
        <v>-3.25</v>
      </c>
      <c r="F224" t="n">
        <v>-0.5</v>
      </c>
      <c r="G224" t="n">
        <v>14</v>
      </c>
      <c r="H224" t="n">
        <v>12</v>
      </c>
      <c r="I224" t="s">
        <v>197</v>
      </c>
      <c r="J224" t="n">
        <v>0</v>
      </c>
      <c r="K224" t="n">
        <v>0</v>
      </c>
      <c r="L224" t="n">
        <v>0</v>
      </c>
      <c r="M224" t="n">
        <v>12</v>
      </c>
      <c r="N224" t="n">
        <v>0</v>
      </c>
      <c r="O224" t="n">
        <v>-0.25</v>
      </c>
      <c r="P224" t="n">
        <v>165</v>
      </c>
      <c r="Q224" t="n">
        <v>12</v>
      </c>
      <c r="R224" t="s">
        <v>198</v>
      </c>
      <c r="S224" t="s">
        <v>198</v>
      </c>
      <c r="T224" t="n">
        <v>-0.125</v>
      </c>
    </row>
    <row r="225">
      <c r="A225" t="s">
        <v>30</v>
      </c>
      <c r="B225" t="n">
        <v>1.25</v>
      </c>
      <c r="C225" t="n">
        <v>1.25</v>
      </c>
      <c r="D225" t="n">
        <v>1.25</v>
      </c>
      <c r="E225" t="n">
        <v>-4</v>
      </c>
      <c r="F225" t="n">
        <v>-0.5</v>
      </c>
      <c r="G225" t="n">
        <v>152</v>
      </c>
      <c r="H225" t="n">
        <v>12</v>
      </c>
      <c r="I225" t="s">
        <v>198</v>
      </c>
      <c r="J225" t="n">
        <v>0</v>
      </c>
      <c r="K225" t="n">
        <v>0</v>
      </c>
      <c r="L225" t="n">
        <v>0</v>
      </c>
      <c r="M225" t="n">
        <v>12</v>
      </c>
      <c r="N225" t="n">
        <v>-0.25</v>
      </c>
      <c r="O225" t="n">
        <v>-0.25</v>
      </c>
      <c r="P225" t="n">
        <v>1</v>
      </c>
      <c r="Q225" t="n">
        <v>12</v>
      </c>
      <c r="R225" t="s">
        <v>198</v>
      </c>
      <c r="S225" t="s">
        <v>198</v>
      </c>
      <c r="T225" t="n">
        <v>-0.375</v>
      </c>
    </row>
    <row r="226">
      <c r="A226" t="s">
        <v>30</v>
      </c>
      <c r="B226" t="n">
        <v>1</v>
      </c>
      <c r="C226" t="n">
        <v>1.25</v>
      </c>
      <c r="D226" t="n">
        <v>1.25</v>
      </c>
      <c r="E226" t="n">
        <v>-6.5</v>
      </c>
      <c r="F226" t="n">
        <v>-0.75</v>
      </c>
      <c r="G226" t="n">
        <v>93</v>
      </c>
      <c r="H226" t="n">
        <v>12</v>
      </c>
      <c r="I226" t="s">
        <v>197</v>
      </c>
      <c r="J226" t="n">
        <v>0</v>
      </c>
      <c r="K226" t="n">
        <v>0</v>
      </c>
      <c r="L226" t="n">
        <v>0</v>
      </c>
      <c r="M226" t="n">
        <v>12</v>
      </c>
      <c r="N226" t="n">
        <v>0</v>
      </c>
      <c r="O226" t="n">
        <v>-0.5</v>
      </c>
      <c r="P226" t="n">
        <v>64</v>
      </c>
      <c r="Q226" t="n">
        <v>12</v>
      </c>
      <c r="R226" t="s">
        <v>198</v>
      </c>
      <c r="S226" t="s">
        <v>198</v>
      </c>
      <c r="T226" t="n">
        <v>-0.25</v>
      </c>
    </row>
    <row r="227">
      <c r="A227" t="s">
        <v>30</v>
      </c>
      <c r="B227" t="n">
        <v>1</v>
      </c>
      <c r="C227" t="n">
        <v>1.25</v>
      </c>
      <c r="D227" t="n">
        <v>1.25</v>
      </c>
      <c r="E227" t="n">
        <v>-4.75</v>
      </c>
      <c r="F227" t="n">
        <v>-1.5</v>
      </c>
      <c r="G227" t="n">
        <v>166</v>
      </c>
      <c r="H227" t="n">
        <v>12</v>
      </c>
      <c r="I227" t="s">
        <v>197</v>
      </c>
      <c r="J227" t="n">
        <v>0</v>
      </c>
      <c r="K227" t="n">
        <v>0</v>
      </c>
      <c r="L227" t="n">
        <v>0</v>
      </c>
      <c r="M227" t="n">
        <v>12</v>
      </c>
      <c r="N227" t="n">
        <v>0.5</v>
      </c>
      <c r="O227" t="n">
        <v>-0.25</v>
      </c>
      <c r="P227" t="n">
        <v>5</v>
      </c>
      <c r="Q227" t="n">
        <v>12</v>
      </c>
      <c r="R227" t="s">
        <v>198</v>
      </c>
      <c r="S227" t="s">
        <v>198</v>
      </c>
      <c r="T227" t="n">
        <v>0.375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4" t="s">
        <v>179</v>
      </c>
      <c r="B1" s="4" t="s">
        <v>180</v>
      </c>
      <c r="C1" s="4" t="s">
        <v>181</v>
      </c>
      <c r="D1" s="4" t="s">
        <v>182</v>
      </c>
      <c r="E1" s="5" t="s">
        <v>183</v>
      </c>
      <c r="F1" s="5" t="s">
        <v>184</v>
      </c>
      <c r="G1" s="5" t="s">
        <v>185</v>
      </c>
      <c r="H1" s="5" t="s">
        <v>186</v>
      </c>
      <c r="I1" s="5" t="s">
        <v>62</v>
      </c>
      <c r="J1" s="6" t="s">
        <v>187</v>
      </c>
      <c r="K1" s="6" t="s">
        <v>188</v>
      </c>
      <c r="L1" s="6" t="s">
        <v>189</v>
      </c>
      <c r="M1" s="6" t="s">
        <v>190</v>
      </c>
      <c r="N1" s="7" t="s">
        <v>191</v>
      </c>
      <c r="O1" s="7" t="s">
        <v>192</v>
      </c>
      <c r="P1" s="7" t="s">
        <v>193</v>
      </c>
      <c r="Q1" s="7" t="s">
        <v>194</v>
      </c>
      <c r="R1" s="7" t="s">
        <v>130</v>
      </c>
      <c r="S1" s="7" t="s">
        <v>127</v>
      </c>
      <c r="T1" s="8" t="s">
        <v>195</v>
      </c>
    </row>
    <row r="2">
      <c r="A2" t="s">
        <v>31</v>
      </c>
      <c r="B2" t="n">
        <v>1</v>
      </c>
      <c r="C2"/>
      <c r="D2" t="n">
        <v>1</v>
      </c>
      <c r="E2" t="n">
        <v>-4</v>
      </c>
      <c r="F2" t="n">
        <v>-0.5</v>
      </c>
      <c r="G2" t="n">
        <v>5</v>
      </c>
      <c r="H2" t="n">
        <v>12</v>
      </c>
      <c r="I2" t="s">
        <v>197</v>
      </c>
      <c r="J2" t="n">
        <v>0</v>
      </c>
      <c r="K2" t="n">
        <v>0</v>
      </c>
      <c r="L2" t="n">
        <v>0</v>
      </c>
      <c r="M2" t="n">
        <v>12</v>
      </c>
      <c r="N2" t="n">
        <v>0</v>
      </c>
      <c r="O2" t="n">
        <v>-0.25</v>
      </c>
      <c r="P2" t="n">
        <v>175</v>
      </c>
      <c r="Q2" t="n">
        <v>12</v>
      </c>
      <c r="R2" t="s">
        <v>197</v>
      </c>
      <c r="S2" t="s">
        <v>95</v>
      </c>
      <c r="T2" t="n">
        <v>-0.125</v>
      </c>
    </row>
    <row r="3">
      <c r="A3" t="s">
        <v>31</v>
      </c>
      <c r="B3" t="n">
        <v>1</v>
      </c>
      <c r="C3" t="n">
        <v>1</v>
      </c>
      <c r="D3" t="n">
        <v>1</v>
      </c>
      <c r="E3" t="n">
        <v>-4.5</v>
      </c>
      <c r="F3" t="n">
        <v>-0.25</v>
      </c>
      <c r="G3" t="n">
        <v>172</v>
      </c>
      <c r="H3" t="n">
        <v>12</v>
      </c>
      <c r="I3" t="s">
        <v>197</v>
      </c>
      <c r="J3" t="n">
        <v>0</v>
      </c>
      <c r="K3" t="n">
        <v>0</v>
      </c>
      <c r="L3" t="n">
        <v>0</v>
      </c>
      <c r="M3" t="n">
        <v>12</v>
      </c>
      <c r="N3" t="n">
        <v>0</v>
      </c>
      <c r="O3" t="n">
        <v>-0.25</v>
      </c>
      <c r="P3" t="n">
        <v>17</v>
      </c>
      <c r="Q3" t="n">
        <v>12</v>
      </c>
      <c r="R3" t="s">
        <v>197</v>
      </c>
      <c r="S3" t="s">
        <v>197</v>
      </c>
      <c r="T3" t="n">
        <v>-0.125</v>
      </c>
    </row>
    <row r="4">
      <c r="A4" t="s">
        <v>31</v>
      </c>
      <c r="B4" t="n">
        <v>1</v>
      </c>
      <c r="C4" t="n">
        <v>0.8</v>
      </c>
      <c r="D4" t="n">
        <v>1</v>
      </c>
      <c r="E4" t="n">
        <v>-6</v>
      </c>
      <c r="F4" t="n">
        <v>-0.25</v>
      </c>
      <c r="G4" t="n">
        <v>9</v>
      </c>
      <c r="H4" t="n">
        <v>12</v>
      </c>
      <c r="I4" t="s">
        <v>197</v>
      </c>
      <c r="J4" t="n">
        <v>0</v>
      </c>
      <c r="K4" t="n">
        <v>0</v>
      </c>
      <c r="L4" t="n">
        <v>0</v>
      </c>
      <c r="M4" t="n">
        <v>12</v>
      </c>
      <c r="N4" t="n">
        <v>-0.75</v>
      </c>
      <c r="O4" t="n">
        <v>0</v>
      </c>
      <c r="P4" t="n">
        <v>10</v>
      </c>
      <c r="Q4" t="n">
        <v>12</v>
      </c>
      <c r="R4" t="s">
        <v>197</v>
      </c>
      <c r="S4" t="s">
        <v>196</v>
      </c>
      <c r="T4" t="n">
        <v>-0.75</v>
      </c>
    </row>
    <row r="5">
      <c r="A5" t="s">
        <v>31</v>
      </c>
      <c r="B5" t="n">
        <v>1</v>
      </c>
      <c r="C5" t="n">
        <v>1</v>
      </c>
      <c r="D5" t="n">
        <v>1</v>
      </c>
      <c r="E5" t="n">
        <v>-3</v>
      </c>
      <c r="F5" t="n">
        <v>-0.75</v>
      </c>
      <c r="G5" t="n">
        <v>177</v>
      </c>
      <c r="H5" t="n">
        <v>12</v>
      </c>
      <c r="I5" t="s">
        <v>197</v>
      </c>
      <c r="J5" t="n">
        <v>0</v>
      </c>
      <c r="K5" t="n">
        <v>0</v>
      </c>
      <c r="L5" t="n">
        <v>0</v>
      </c>
      <c r="M5" t="n">
        <v>12</v>
      </c>
      <c r="N5" t="n">
        <v>0</v>
      </c>
      <c r="O5" t="n">
        <v>-0.25</v>
      </c>
      <c r="P5" t="n">
        <v>136</v>
      </c>
      <c r="Q5" t="n">
        <v>12</v>
      </c>
      <c r="R5" t="s">
        <v>197</v>
      </c>
      <c r="S5" t="s">
        <v>197</v>
      </c>
      <c r="T5" t="n">
        <v>-0.125</v>
      </c>
    </row>
    <row r="6">
      <c r="A6" t="s">
        <v>31</v>
      </c>
      <c r="B6" t="n">
        <v>0.8</v>
      </c>
      <c r="C6" t="n">
        <v>0.8</v>
      </c>
      <c r="D6" t="n">
        <v>0.8</v>
      </c>
      <c r="E6" t="n">
        <v>-3.75</v>
      </c>
      <c r="F6" t="n">
        <v>-0.25</v>
      </c>
      <c r="G6" t="n">
        <v>14</v>
      </c>
      <c r="H6" t="n">
        <v>12</v>
      </c>
      <c r="I6" t="s">
        <v>196</v>
      </c>
      <c r="J6" t="n">
        <v>0</v>
      </c>
      <c r="K6" t="n">
        <v>0</v>
      </c>
      <c r="L6" t="n">
        <v>0</v>
      </c>
      <c r="M6" t="n">
        <v>12</v>
      </c>
      <c r="N6" t="n">
        <v>0</v>
      </c>
      <c r="O6" t="n">
        <v>-0.25</v>
      </c>
      <c r="P6" t="n">
        <v>48</v>
      </c>
      <c r="Q6" t="n">
        <v>12</v>
      </c>
      <c r="R6" t="s">
        <v>196</v>
      </c>
      <c r="S6" t="s">
        <v>196</v>
      </c>
      <c r="T6" t="n">
        <v>-0.125</v>
      </c>
    </row>
    <row r="7">
      <c r="A7" t="s">
        <v>31</v>
      </c>
      <c r="B7" t="n">
        <v>1.25</v>
      </c>
      <c r="C7" t="n">
        <v>1</v>
      </c>
      <c r="D7" t="n">
        <v>1.25</v>
      </c>
      <c r="E7" t="n">
        <v>-5</v>
      </c>
      <c r="F7" t="n">
        <v>-0.5</v>
      </c>
      <c r="G7" t="n">
        <v>124</v>
      </c>
      <c r="H7" t="n">
        <v>12</v>
      </c>
      <c r="I7" t="s">
        <v>198</v>
      </c>
      <c r="J7" t="n">
        <v>0</v>
      </c>
      <c r="K7" t="n">
        <v>0</v>
      </c>
      <c r="L7" t="n">
        <v>0</v>
      </c>
      <c r="M7" t="n">
        <v>12</v>
      </c>
      <c r="N7" t="n">
        <v>-0.25</v>
      </c>
      <c r="O7" t="n">
        <v>-0.5</v>
      </c>
      <c r="P7" t="n">
        <v>1</v>
      </c>
      <c r="Q7" t="n">
        <v>12</v>
      </c>
      <c r="R7" t="s">
        <v>198</v>
      </c>
      <c r="S7" t="s">
        <v>197</v>
      </c>
      <c r="T7" t="n">
        <v>-0.5</v>
      </c>
    </row>
    <row r="8">
      <c r="A8" t="s">
        <v>31</v>
      </c>
      <c r="B8" t="n">
        <v>1.25</v>
      </c>
      <c r="C8" t="n">
        <v>1.25</v>
      </c>
      <c r="D8" t="n">
        <v>1.25</v>
      </c>
      <c r="E8" t="n">
        <v>-5</v>
      </c>
      <c r="F8" t="n">
        <v>-0.25</v>
      </c>
      <c r="G8" t="n">
        <v>59</v>
      </c>
      <c r="H8" t="n">
        <v>12</v>
      </c>
      <c r="I8" t="s">
        <v>198</v>
      </c>
      <c r="J8" t="n">
        <v>0</v>
      </c>
      <c r="K8" t="n">
        <v>0</v>
      </c>
      <c r="L8" t="n">
        <v>0</v>
      </c>
      <c r="M8" t="n">
        <v>12</v>
      </c>
      <c r="N8" t="n">
        <v>0.25</v>
      </c>
      <c r="O8" t="n">
        <v>-0.25</v>
      </c>
      <c r="P8" t="n">
        <v>166</v>
      </c>
      <c r="Q8" t="n">
        <v>12</v>
      </c>
      <c r="R8" t="s">
        <v>198</v>
      </c>
      <c r="S8" t="s">
        <v>198</v>
      </c>
      <c r="T8" t="n">
        <v>0.125</v>
      </c>
    </row>
    <row r="9">
      <c r="A9" t="s">
        <v>31</v>
      </c>
      <c r="B9" t="n">
        <v>1</v>
      </c>
      <c r="C9" t="n">
        <v>1.25</v>
      </c>
      <c r="D9" t="n">
        <v>1.25</v>
      </c>
      <c r="E9" t="n">
        <v>-6.75</v>
      </c>
      <c r="F9" t="n">
        <v>-0.75</v>
      </c>
      <c r="G9" t="n">
        <v>89</v>
      </c>
      <c r="H9" t="n">
        <v>12</v>
      </c>
      <c r="I9" t="s">
        <v>197</v>
      </c>
      <c r="J9" t="n">
        <v>0</v>
      </c>
      <c r="K9" t="n">
        <v>0</v>
      </c>
      <c r="L9" t="n">
        <v>0</v>
      </c>
      <c r="M9" t="n">
        <v>12</v>
      </c>
      <c r="N9" t="n">
        <v>0.5</v>
      </c>
      <c r="O9" t="n">
        <v>-0.5</v>
      </c>
      <c r="P9" t="n">
        <v>93</v>
      </c>
      <c r="Q9" t="n">
        <v>12</v>
      </c>
      <c r="R9" t="s">
        <v>198</v>
      </c>
      <c r="S9" t="s">
        <v>198</v>
      </c>
      <c r="T9" t="n">
        <v>0.25</v>
      </c>
    </row>
    <row r="10">
      <c r="A10" t="s">
        <v>31</v>
      </c>
      <c r="B10" t="n">
        <v>1</v>
      </c>
      <c r="C10" t="n">
        <v>1</v>
      </c>
      <c r="D10" t="n">
        <v>1</v>
      </c>
      <c r="E10" t="n">
        <v>-5.25</v>
      </c>
      <c r="F10" t="n">
        <v>-1.5</v>
      </c>
      <c r="G10" t="n">
        <v>98</v>
      </c>
      <c r="H10" t="n">
        <v>12</v>
      </c>
      <c r="I10" t="s">
        <v>197</v>
      </c>
      <c r="J10" t="n">
        <v>0</v>
      </c>
      <c r="K10" t="n">
        <v>0</v>
      </c>
      <c r="L10" t="n">
        <v>0</v>
      </c>
      <c r="M10" t="n">
        <v>12</v>
      </c>
      <c r="N10" t="n">
        <v>0.5</v>
      </c>
      <c r="O10" t="n">
        <v>-0.25</v>
      </c>
      <c r="P10" t="n">
        <v>97</v>
      </c>
      <c r="Q10" t="n">
        <v>12</v>
      </c>
      <c r="R10" t="s">
        <v>197</v>
      </c>
      <c r="S10" t="s">
        <v>197</v>
      </c>
      <c r="T10" t="n">
        <v>0.375</v>
      </c>
    </row>
    <row r="11">
      <c r="A11" t="s">
        <v>31</v>
      </c>
      <c r="B11" t="n">
        <v>1</v>
      </c>
      <c r="C11" t="n">
        <v>1.25</v>
      </c>
      <c r="D11" t="n">
        <v>1.25</v>
      </c>
      <c r="E11" t="n">
        <v>-4.25</v>
      </c>
      <c r="F11" t="n">
        <v>-1.5</v>
      </c>
      <c r="G11" t="n">
        <v>171</v>
      </c>
      <c r="H11" t="n">
        <v>12</v>
      </c>
      <c r="I11" t="s">
        <v>197</v>
      </c>
      <c r="J11" t="n">
        <v>0</v>
      </c>
      <c r="K11" t="n">
        <v>0</v>
      </c>
      <c r="L11" t="n">
        <v>0</v>
      </c>
      <c r="M11" t="n">
        <v>12</v>
      </c>
      <c r="N11" t="n">
        <v>0.25</v>
      </c>
      <c r="O11" t="n">
        <v>-0.5</v>
      </c>
      <c r="P11" t="n">
        <v>4</v>
      </c>
      <c r="Q11" t="n">
        <v>12</v>
      </c>
      <c r="R11" t="s">
        <v>198</v>
      </c>
      <c r="S11" t="s">
        <v>198</v>
      </c>
      <c r="T11" t="n">
        <v>0</v>
      </c>
    </row>
    <row r="12">
      <c r="A12" t="s">
        <v>31</v>
      </c>
      <c r="B12" t="n">
        <v>1</v>
      </c>
      <c r="C12" t="n">
        <v>1.6</v>
      </c>
      <c r="D12" t="n">
        <v>1.6</v>
      </c>
      <c r="E12" t="n">
        <v>-2.5</v>
      </c>
      <c r="F12" t="n">
        <v>-1.75</v>
      </c>
      <c r="G12" t="n">
        <v>4</v>
      </c>
      <c r="H12" t="n">
        <v>12</v>
      </c>
      <c r="I12" t="s">
        <v>197</v>
      </c>
      <c r="J12" t="n">
        <v>0</v>
      </c>
      <c r="K12" t="n">
        <v>0</v>
      </c>
      <c r="L12" t="n">
        <v>0</v>
      </c>
      <c r="M12" t="n">
        <v>12</v>
      </c>
      <c r="N12" t="n">
        <v>0</v>
      </c>
      <c r="O12" t="n">
        <v>-0.25</v>
      </c>
      <c r="P12" t="n">
        <v>87</v>
      </c>
      <c r="Q12" t="n">
        <v>12</v>
      </c>
      <c r="R12" t="s">
        <v>199</v>
      </c>
      <c r="S12" t="s">
        <v>199</v>
      </c>
      <c r="T12" t="n">
        <v>-0.125</v>
      </c>
    </row>
    <row r="13">
      <c r="A13" t="s">
        <v>31</v>
      </c>
      <c r="B13" t="n">
        <v>1</v>
      </c>
      <c r="C13" t="n">
        <v>1</v>
      </c>
      <c r="D13" t="n">
        <v>1.25</v>
      </c>
      <c r="E13" t="n">
        <v>-3.75</v>
      </c>
      <c r="F13" t="n">
        <v>-1</v>
      </c>
      <c r="G13" t="n">
        <v>2</v>
      </c>
      <c r="H13" t="n">
        <v>12</v>
      </c>
      <c r="I13" t="s">
        <v>197</v>
      </c>
      <c r="J13" t="n">
        <v>0</v>
      </c>
      <c r="K13" t="n">
        <v>0</v>
      </c>
      <c r="L13" t="n">
        <v>0</v>
      </c>
      <c r="M13" t="n">
        <v>12</v>
      </c>
      <c r="N13" t="n">
        <v>-0.25</v>
      </c>
      <c r="O13" t="n">
        <v>-0.25</v>
      </c>
      <c r="P13" t="n">
        <v>91</v>
      </c>
      <c r="Q13" t="n">
        <v>12</v>
      </c>
      <c r="R13" t="s">
        <v>198</v>
      </c>
      <c r="S13" t="s">
        <v>197</v>
      </c>
      <c r="T13" t="n">
        <v>-0.375</v>
      </c>
    </row>
    <row r="14">
      <c r="A14" t="s">
        <v>31</v>
      </c>
      <c r="B14" t="n">
        <v>1</v>
      </c>
      <c r="C14"/>
      <c r="D14"/>
      <c r="E14" t="n">
        <v>-7</v>
      </c>
      <c r="F14" t="n">
        <v>-1</v>
      </c>
      <c r="G14" t="n">
        <v>177</v>
      </c>
      <c r="H14" t="n">
        <v>12</v>
      </c>
      <c r="I14" t="s">
        <v>197</v>
      </c>
      <c r="J14" t="n">
        <v>0</v>
      </c>
      <c r="K14" t="n">
        <v>0</v>
      </c>
      <c r="L14" t="n">
        <v>0</v>
      </c>
      <c r="M14" t="n">
        <v>12</v>
      </c>
      <c r="N14"/>
      <c r="O14"/>
      <c r="P14"/>
      <c r="Q14" t="n">
        <v>12</v>
      </c>
      <c r="R14" t="s">
        <v>95</v>
      </c>
      <c r="S14" t="s">
        <v>95</v>
      </c>
      <c r="T14"/>
    </row>
    <row r="15">
      <c r="A15" t="s">
        <v>31</v>
      </c>
      <c r="B15" t="n">
        <v>1</v>
      </c>
      <c r="C15"/>
      <c r="D15"/>
      <c r="E15" t="n">
        <v>-6.75</v>
      </c>
      <c r="F15" t="n">
        <v>-2.25</v>
      </c>
      <c r="G15" t="n">
        <v>7</v>
      </c>
      <c r="H15" t="n">
        <v>12</v>
      </c>
      <c r="I15" t="s">
        <v>197</v>
      </c>
      <c r="J15" t="n">
        <v>0</v>
      </c>
      <c r="K15" t="n">
        <v>0</v>
      </c>
      <c r="L15" t="n">
        <v>0</v>
      </c>
      <c r="M15" t="n">
        <v>12</v>
      </c>
      <c r="N15"/>
      <c r="O15"/>
      <c r="P15"/>
      <c r="Q15" t="n">
        <v>12</v>
      </c>
      <c r="R15" t="s">
        <v>95</v>
      </c>
      <c r="S15" t="s">
        <v>95</v>
      </c>
      <c r="T15"/>
    </row>
    <row r="16">
      <c r="A16" t="s">
        <v>31</v>
      </c>
      <c r="B16" t="n">
        <v>1</v>
      </c>
      <c r="C16" t="n">
        <v>1.25</v>
      </c>
      <c r="D16" t="n">
        <v>1.6</v>
      </c>
      <c r="E16" t="n">
        <v>-8</v>
      </c>
      <c r="F16" t="n">
        <v>-0.75</v>
      </c>
      <c r="G16" t="n">
        <v>82</v>
      </c>
      <c r="H16" t="n">
        <v>12</v>
      </c>
      <c r="I16" t="s">
        <v>197</v>
      </c>
      <c r="J16" t="n">
        <v>0</v>
      </c>
      <c r="K16" t="n">
        <v>0</v>
      </c>
      <c r="L16" t="n">
        <v>0</v>
      </c>
      <c r="M16" t="n">
        <v>12</v>
      </c>
      <c r="N16" t="n">
        <v>-0.5</v>
      </c>
      <c r="O16" t="n">
        <v>-0.25</v>
      </c>
      <c r="P16" t="n">
        <v>121</v>
      </c>
      <c r="Q16" t="n">
        <v>12</v>
      </c>
      <c r="R16" t="s">
        <v>199</v>
      </c>
      <c r="S16" t="s">
        <v>198</v>
      </c>
      <c r="T16" t="n">
        <v>-0.625</v>
      </c>
    </row>
    <row r="17">
      <c r="A17" t="s">
        <v>31</v>
      </c>
      <c r="B17" t="n">
        <v>1.25</v>
      </c>
      <c r="C17" t="n">
        <v>1.25</v>
      </c>
      <c r="D17" t="n">
        <v>1.25</v>
      </c>
      <c r="E17" t="n">
        <v>-1.25</v>
      </c>
      <c r="F17" t="n">
        <v>-1.5</v>
      </c>
      <c r="G17" t="n">
        <v>38</v>
      </c>
      <c r="H17" t="n">
        <v>12</v>
      </c>
      <c r="I17" t="s">
        <v>198</v>
      </c>
      <c r="J17" t="n">
        <v>0</v>
      </c>
      <c r="K17" t="n">
        <v>0</v>
      </c>
      <c r="L17" t="n">
        <v>0</v>
      </c>
      <c r="M17" t="n">
        <v>12</v>
      </c>
      <c r="N17" t="n">
        <v>0</v>
      </c>
      <c r="O17" t="n">
        <v>-0.5</v>
      </c>
      <c r="P17" t="n">
        <v>70</v>
      </c>
      <c r="Q17" t="n">
        <v>12</v>
      </c>
      <c r="R17" t="s">
        <v>198</v>
      </c>
      <c r="S17" t="s">
        <v>198</v>
      </c>
      <c r="T17" t="n">
        <v>-0.25</v>
      </c>
    </row>
    <row r="18">
      <c r="A18" t="s">
        <v>31</v>
      </c>
      <c r="B18" t="n">
        <v>1</v>
      </c>
      <c r="C18" t="n">
        <v>1</v>
      </c>
      <c r="D18" t="n">
        <v>1</v>
      </c>
      <c r="E18" t="n">
        <v>-2</v>
      </c>
      <c r="F18" t="n">
        <v>-1.5</v>
      </c>
      <c r="G18" t="n">
        <v>132</v>
      </c>
      <c r="H18" t="n">
        <v>12</v>
      </c>
      <c r="I18" t="s">
        <v>197</v>
      </c>
      <c r="J18" t="n">
        <v>0</v>
      </c>
      <c r="K18" t="n">
        <v>0</v>
      </c>
      <c r="L18" t="n">
        <v>0</v>
      </c>
      <c r="M18" t="n">
        <v>12</v>
      </c>
      <c r="N18" t="n">
        <v>-0.25</v>
      </c>
      <c r="O18" t="n">
        <v>-0.25</v>
      </c>
      <c r="P18" t="n">
        <v>136</v>
      </c>
      <c r="Q18" t="n">
        <v>12</v>
      </c>
      <c r="R18" t="s">
        <v>197</v>
      </c>
      <c r="S18" t="s">
        <v>197</v>
      </c>
      <c r="T18" t="n">
        <v>-0.375</v>
      </c>
    </row>
    <row r="19">
      <c r="A19" t="s">
        <v>31</v>
      </c>
      <c r="B19" t="n">
        <v>1</v>
      </c>
      <c r="C19" t="n">
        <v>1</v>
      </c>
      <c r="D19" t="n">
        <v>1</v>
      </c>
      <c r="E19" t="n">
        <v>-1.5</v>
      </c>
      <c r="F19" t="n">
        <v>-0.5</v>
      </c>
      <c r="G19" t="n">
        <v>169</v>
      </c>
      <c r="H19" t="n">
        <v>12</v>
      </c>
      <c r="I19" t="s">
        <v>197</v>
      </c>
      <c r="J19" t="n">
        <v>0</v>
      </c>
      <c r="K19" t="n">
        <v>0</v>
      </c>
      <c r="L19" t="n">
        <v>0</v>
      </c>
      <c r="M19" t="n">
        <v>12</v>
      </c>
      <c r="N19" t="n">
        <v>0.25</v>
      </c>
      <c r="O19" t="n">
        <v>-0.25</v>
      </c>
      <c r="P19" t="n">
        <v>176</v>
      </c>
      <c r="Q19" t="n">
        <v>12</v>
      </c>
      <c r="R19" t="s">
        <v>197</v>
      </c>
      <c r="S19" t="s">
        <v>197</v>
      </c>
      <c r="T19" t="n">
        <v>0.125</v>
      </c>
    </row>
    <row r="20">
      <c r="A20" t="s">
        <v>31</v>
      </c>
      <c r="B20" t="n">
        <v>1</v>
      </c>
      <c r="C20" t="n">
        <v>1</v>
      </c>
      <c r="D20" t="n">
        <v>1</v>
      </c>
      <c r="E20" t="n">
        <v>-2.5</v>
      </c>
      <c r="F20" t="n">
        <v>-0.5</v>
      </c>
      <c r="G20" t="n">
        <v>9</v>
      </c>
      <c r="H20" t="n">
        <v>12</v>
      </c>
      <c r="I20" t="s">
        <v>197</v>
      </c>
      <c r="J20" t="n">
        <v>0</v>
      </c>
      <c r="K20" t="n">
        <v>0</v>
      </c>
      <c r="L20" t="n">
        <v>0</v>
      </c>
      <c r="M20" t="n">
        <v>12</v>
      </c>
      <c r="N20" t="n">
        <v>0.25</v>
      </c>
      <c r="O20" t="n">
        <v>-0.25</v>
      </c>
      <c r="P20" t="n">
        <v>150</v>
      </c>
      <c r="Q20" t="n">
        <v>12</v>
      </c>
      <c r="R20" t="s">
        <v>197</v>
      </c>
      <c r="S20" t="s">
        <v>197</v>
      </c>
      <c r="T20" t="n">
        <v>0.125</v>
      </c>
    </row>
    <row r="21">
      <c r="A21" t="s">
        <v>31</v>
      </c>
      <c r="B21" t="n">
        <v>1</v>
      </c>
      <c r="C21" t="n">
        <v>1</v>
      </c>
      <c r="D21" t="n">
        <v>1</v>
      </c>
      <c r="E21" t="n">
        <v>-5.25</v>
      </c>
      <c r="F21" t="n">
        <v>-1.5</v>
      </c>
      <c r="G21" t="n">
        <v>179</v>
      </c>
      <c r="H21" t="n">
        <v>12</v>
      </c>
      <c r="I21" t="s">
        <v>197</v>
      </c>
      <c r="J21" t="n">
        <v>0</v>
      </c>
      <c r="K21" t="n">
        <v>0</v>
      </c>
      <c r="L21" t="n">
        <v>0</v>
      </c>
      <c r="M21" t="n">
        <v>12</v>
      </c>
      <c r="N21" t="n">
        <v>-0.25</v>
      </c>
      <c r="O21" t="n">
        <v>-0.25</v>
      </c>
      <c r="P21" t="n">
        <v>48</v>
      </c>
      <c r="Q21" t="n">
        <v>12</v>
      </c>
      <c r="R21" t="s">
        <v>197</v>
      </c>
      <c r="S21" t="s">
        <v>197</v>
      </c>
      <c r="T21" t="n">
        <v>-0.375</v>
      </c>
    </row>
    <row r="22">
      <c r="A22" t="s">
        <v>31</v>
      </c>
      <c r="B22" t="n">
        <v>1</v>
      </c>
      <c r="C22" t="n">
        <v>1</v>
      </c>
      <c r="D22" t="n">
        <v>1</v>
      </c>
      <c r="E22" t="n">
        <v>-3.5</v>
      </c>
      <c r="F22" t="n">
        <v>-0.25</v>
      </c>
      <c r="G22" t="n">
        <v>167</v>
      </c>
      <c r="H22" t="n">
        <v>12</v>
      </c>
      <c r="I22" t="s">
        <v>197</v>
      </c>
      <c r="J22" t="n">
        <v>0</v>
      </c>
      <c r="K22" t="n">
        <v>0</v>
      </c>
      <c r="L22" t="n">
        <v>0</v>
      </c>
      <c r="M22" t="n">
        <v>12</v>
      </c>
      <c r="N22" t="n">
        <v>0</v>
      </c>
      <c r="O22" t="n">
        <v>-0.25</v>
      </c>
      <c r="P22" t="n">
        <v>49</v>
      </c>
      <c r="Q22" t="n">
        <v>12</v>
      </c>
      <c r="R22" t="s">
        <v>197</v>
      </c>
      <c r="S22" t="s">
        <v>197</v>
      </c>
      <c r="T22" t="n">
        <v>-0.125</v>
      </c>
    </row>
    <row r="23">
      <c r="A23" t="s">
        <v>31</v>
      </c>
      <c r="B23" t="n">
        <v>1</v>
      </c>
      <c r="C23" t="n">
        <v>1</v>
      </c>
      <c r="D23" t="n">
        <v>1</v>
      </c>
      <c r="E23" t="n">
        <v>-5.5</v>
      </c>
      <c r="F23" t="n">
        <v>-0.5</v>
      </c>
      <c r="G23" t="n">
        <v>13</v>
      </c>
      <c r="H23" t="n">
        <v>12</v>
      </c>
      <c r="I23" t="s">
        <v>197</v>
      </c>
      <c r="J23" t="n">
        <v>0</v>
      </c>
      <c r="K23" t="n">
        <v>0</v>
      </c>
      <c r="L23" t="n">
        <v>0</v>
      </c>
      <c r="M23" t="n">
        <v>12</v>
      </c>
      <c r="N23" t="n">
        <v>0</v>
      </c>
      <c r="O23" t="n">
        <v>-0.25</v>
      </c>
      <c r="P23" t="n">
        <v>163</v>
      </c>
      <c r="Q23" t="n">
        <v>12</v>
      </c>
      <c r="R23" t="s">
        <v>197</v>
      </c>
      <c r="S23" t="s">
        <v>197</v>
      </c>
      <c r="T23" t="n">
        <v>-0.125</v>
      </c>
    </row>
    <row r="24">
      <c r="A24" t="s">
        <v>31</v>
      </c>
      <c r="B24" t="n">
        <v>1</v>
      </c>
      <c r="C24" t="n">
        <v>1</v>
      </c>
      <c r="D24" t="n">
        <v>1</v>
      </c>
      <c r="E24" t="n">
        <v>-7.5</v>
      </c>
      <c r="F24" t="n">
        <v>-0.5</v>
      </c>
      <c r="G24" t="n">
        <v>166</v>
      </c>
      <c r="H24" t="n">
        <v>12</v>
      </c>
      <c r="I24" t="s">
        <v>197</v>
      </c>
      <c r="J24" t="n">
        <v>0</v>
      </c>
      <c r="K24" t="n">
        <v>0</v>
      </c>
      <c r="L24" t="n">
        <v>0</v>
      </c>
      <c r="M24" t="n">
        <v>12</v>
      </c>
      <c r="N24" t="n">
        <v>0.25</v>
      </c>
      <c r="O24" t="n">
        <v>0</v>
      </c>
      <c r="P24" t="n">
        <v>127</v>
      </c>
      <c r="Q24" t="n">
        <v>12</v>
      </c>
      <c r="R24" t="s">
        <v>197</v>
      </c>
      <c r="S24" t="s">
        <v>197</v>
      </c>
      <c r="T24" t="n">
        <v>0.25</v>
      </c>
    </row>
    <row r="25">
      <c r="A25" t="s">
        <v>31</v>
      </c>
      <c r="B25" t="n">
        <v>1.25</v>
      </c>
      <c r="C25" t="n">
        <v>1.25</v>
      </c>
      <c r="D25" t="n">
        <v>1.25</v>
      </c>
      <c r="E25" t="n">
        <v>-2</v>
      </c>
      <c r="F25" t="n">
        <v>-0.5</v>
      </c>
      <c r="G25" t="n">
        <v>128</v>
      </c>
      <c r="H25" t="n">
        <v>12</v>
      </c>
      <c r="I25" t="s">
        <v>198</v>
      </c>
      <c r="J25" t="n">
        <v>0</v>
      </c>
      <c r="K25" t="n">
        <v>0</v>
      </c>
      <c r="L25" t="n">
        <v>0</v>
      </c>
      <c r="M25" t="n">
        <v>12</v>
      </c>
      <c r="N25" t="n">
        <v>0.25</v>
      </c>
      <c r="O25" t="n">
        <v>-0.25</v>
      </c>
      <c r="P25" t="n">
        <v>103</v>
      </c>
      <c r="Q25" t="n">
        <v>12</v>
      </c>
      <c r="R25" t="s">
        <v>198</v>
      </c>
      <c r="S25" t="s">
        <v>198</v>
      </c>
      <c r="T25" t="n">
        <v>0.125</v>
      </c>
    </row>
    <row r="26">
      <c r="A26" t="s">
        <v>31</v>
      </c>
      <c r="B26" t="n">
        <v>1</v>
      </c>
      <c r="C26" t="n">
        <v>1.25</v>
      </c>
      <c r="D26" t="n">
        <v>1.25</v>
      </c>
      <c r="E26" t="n">
        <v>-1.75</v>
      </c>
      <c r="F26" t="n">
        <v>-0.75</v>
      </c>
      <c r="G26" t="n">
        <v>49</v>
      </c>
      <c r="H26" t="n">
        <v>12</v>
      </c>
      <c r="I26" t="s">
        <v>197</v>
      </c>
      <c r="J26" t="n">
        <v>0</v>
      </c>
      <c r="K26" t="n">
        <v>0</v>
      </c>
      <c r="L26" t="n">
        <v>0</v>
      </c>
      <c r="M26" t="n">
        <v>12</v>
      </c>
      <c r="N26" t="n">
        <v>0</v>
      </c>
      <c r="O26" t="n">
        <v>-0.25</v>
      </c>
      <c r="P26" t="n">
        <v>28</v>
      </c>
      <c r="Q26" t="n">
        <v>12</v>
      </c>
      <c r="R26" t="s">
        <v>198</v>
      </c>
      <c r="S26" t="s">
        <v>198</v>
      </c>
      <c r="T26" t="n">
        <v>-0.125</v>
      </c>
    </row>
    <row r="27">
      <c r="A27" t="s">
        <v>31</v>
      </c>
      <c r="B27" t="n">
        <v>1.25</v>
      </c>
      <c r="C27" t="n">
        <v>1.25</v>
      </c>
      <c r="D27" t="n">
        <v>1.25</v>
      </c>
      <c r="E27" t="n">
        <v>-3.75</v>
      </c>
      <c r="F27" t="n">
        <v>-0.5</v>
      </c>
      <c r="G27" t="n">
        <v>151</v>
      </c>
      <c r="H27" t="n">
        <v>12</v>
      </c>
      <c r="I27" t="s">
        <v>198</v>
      </c>
      <c r="J27" t="n">
        <v>0</v>
      </c>
      <c r="K27" t="n">
        <v>0</v>
      </c>
      <c r="L27" t="n">
        <v>0</v>
      </c>
      <c r="M27" t="n">
        <v>12</v>
      </c>
      <c r="N27" t="n">
        <v>-0.25</v>
      </c>
      <c r="O27" t="n">
        <v>-0.25</v>
      </c>
      <c r="P27" t="n">
        <v>2</v>
      </c>
      <c r="Q27" t="n">
        <v>12</v>
      </c>
      <c r="R27" t="s">
        <v>198</v>
      </c>
      <c r="S27" t="s">
        <v>198</v>
      </c>
      <c r="T27" t="n">
        <v>-0.375</v>
      </c>
    </row>
    <row r="28">
      <c r="A28" t="s">
        <v>31</v>
      </c>
      <c r="B28" t="n">
        <v>1</v>
      </c>
      <c r="C28" t="n">
        <v>1</v>
      </c>
      <c r="D28" t="n">
        <v>1</v>
      </c>
      <c r="E28" t="n">
        <v>-3.25</v>
      </c>
      <c r="F28" t="n">
        <v>-0.5</v>
      </c>
      <c r="G28" t="n">
        <v>6</v>
      </c>
      <c r="H28" t="n">
        <v>12</v>
      </c>
      <c r="I28" t="s">
        <v>197</v>
      </c>
      <c r="J28" t="n">
        <v>0</v>
      </c>
      <c r="K28" t="n">
        <v>0</v>
      </c>
      <c r="L28" t="n">
        <v>0</v>
      </c>
      <c r="M28" t="n">
        <v>12</v>
      </c>
      <c r="N28" t="n">
        <v>0.25</v>
      </c>
      <c r="O28" t="n">
        <v>-0.25</v>
      </c>
      <c r="P28" t="n">
        <v>168</v>
      </c>
      <c r="Q28" t="n">
        <v>12</v>
      </c>
      <c r="R28" t="s">
        <v>197</v>
      </c>
      <c r="S28" t="s">
        <v>197</v>
      </c>
      <c r="T28" t="n">
        <v>0.125</v>
      </c>
    </row>
    <row r="29">
      <c r="A29" t="s">
        <v>31</v>
      </c>
      <c r="B29" t="n">
        <v>1</v>
      </c>
      <c r="C29" t="n">
        <v>0.8</v>
      </c>
      <c r="D29" t="n">
        <v>1</v>
      </c>
      <c r="E29" t="n">
        <v>-3.75</v>
      </c>
      <c r="F29" t="n">
        <v>-1</v>
      </c>
      <c r="G29" t="n">
        <v>1</v>
      </c>
      <c r="H29" t="n">
        <v>12</v>
      </c>
      <c r="I29" t="s">
        <v>197</v>
      </c>
      <c r="J29" t="n">
        <v>0</v>
      </c>
      <c r="K29" t="n">
        <v>0</v>
      </c>
      <c r="L29" t="n">
        <v>0</v>
      </c>
      <c r="M29" t="n">
        <v>12</v>
      </c>
      <c r="N29" t="n">
        <v>-0.75</v>
      </c>
      <c r="O29" t="n">
        <v>-0.25</v>
      </c>
      <c r="P29" t="n">
        <v>45</v>
      </c>
      <c r="Q29" t="n">
        <v>12</v>
      </c>
      <c r="R29" t="s">
        <v>197</v>
      </c>
      <c r="S29" t="s">
        <v>196</v>
      </c>
      <c r="T29" t="n">
        <v>-0.875</v>
      </c>
    </row>
    <row r="30">
      <c r="A30" t="s">
        <v>31</v>
      </c>
      <c r="B30" t="n">
        <v>1</v>
      </c>
      <c r="C30" t="n">
        <v>0.8</v>
      </c>
      <c r="D30" t="n">
        <v>1</v>
      </c>
      <c r="E30" t="n">
        <v>-4.25</v>
      </c>
      <c r="F30" t="n">
        <v>-1</v>
      </c>
      <c r="G30" t="n">
        <v>166</v>
      </c>
      <c r="H30" t="n">
        <v>12</v>
      </c>
      <c r="I30" t="s">
        <v>197</v>
      </c>
      <c r="J30" t="n">
        <v>0</v>
      </c>
      <c r="K30" t="n">
        <v>0</v>
      </c>
      <c r="L30" t="n">
        <v>0</v>
      </c>
      <c r="M30" t="n">
        <v>12</v>
      </c>
      <c r="N30" t="n">
        <v>-0.5</v>
      </c>
      <c r="O30" t="n">
        <v>-0.25</v>
      </c>
      <c r="P30" t="n">
        <v>121</v>
      </c>
      <c r="Q30" t="n">
        <v>12</v>
      </c>
      <c r="R30" t="s">
        <v>197</v>
      </c>
      <c r="S30" t="s">
        <v>196</v>
      </c>
      <c r="T30" t="n">
        <v>-0.625</v>
      </c>
    </row>
    <row r="31">
      <c r="A31" t="s">
        <v>31</v>
      </c>
      <c r="B31" t="n">
        <v>1.25</v>
      </c>
      <c r="C31" t="n">
        <v>1.6</v>
      </c>
      <c r="D31" t="n">
        <v>1.6</v>
      </c>
      <c r="E31" t="n">
        <v>-4.5</v>
      </c>
      <c r="F31" t="n">
        <v>-0.75</v>
      </c>
      <c r="G31" t="n">
        <v>166</v>
      </c>
      <c r="H31" t="n">
        <v>12</v>
      </c>
      <c r="I31" t="s">
        <v>198</v>
      </c>
      <c r="J31" t="n">
        <v>0</v>
      </c>
      <c r="K31" t="n">
        <v>0</v>
      </c>
      <c r="L31" t="n">
        <v>0</v>
      </c>
      <c r="M31" t="n">
        <v>12</v>
      </c>
      <c r="N31" t="n">
        <v>0.25</v>
      </c>
      <c r="O31" t="n">
        <v>-0.25</v>
      </c>
      <c r="P31" t="n">
        <v>20</v>
      </c>
      <c r="Q31" t="n">
        <v>12</v>
      </c>
      <c r="R31" t="s">
        <v>199</v>
      </c>
      <c r="S31" t="s">
        <v>199</v>
      </c>
      <c r="T31" t="n">
        <v>0.125</v>
      </c>
    </row>
    <row r="32">
      <c r="A32" t="s">
        <v>31</v>
      </c>
      <c r="B32" t="n">
        <v>1.25</v>
      </c>
      <c r="C32" t="n">
        <v>1.25</v>
      </c>
      <c r="D32" t="n">
        <v>1.25</v>
      </c>
      <c r="E32" t="n">
        <v>-4.5</v>
      </c>
      <c r="F32" t="n">
        <v>-1</v>
      </c>
      <c r="G32" t="n">
        <v>14</v>
      </c>
      <c r="H32" t="n">
        <v>12</v>
      </c>
      <c r="I32" t="s">
        <v>198</v>
      </c>
      <c r="J32" t="n">
        <v>0</v>
      </c>
      <c r="K32" t="n">
        <v>0</v>
      </c>
      <c r="L32" t="n">
        <v>0</v>
      </c>
      <c r="M32" t="n">
        <v>12</v>
      </c>
      <c r="N32" t="n">
        <v>0.25</v>
      </c>
      <c r="O32" t="n">
        <v>-0.25</v>
      </c>
      <c r="P32" t="n">
        <v>147</v>
      </c>
      <c r="Q32" t="n">
        <v>12</v>
      </c>
      <c r="R32" t="s">
        <v>198</v>
      </c>
      <c r="S32" t="s">
        <v>198</v>
      </c>
      <c r="T32" t="n">
        <v>0.125</v>
      </c>
    </row>
    <row r="33">
      <c r="A33" t="s">
        <v>31</v>
      </c>
      <c r="B33" t="n">
        <v>1</v>
      </c>
      <c r="C33" t="n">
        <v>1</v>
      </c>
      <c r="D33" t="n">
        <v>1</v>
      </c>
      <c r="E33" t="n">
        <v>-4</v>
      </c>
      <c r="F33" t="n">
        <v>-1.25</v>
      </c>
      <c r="G33" t="n">
        <v>157</v>
      </c>
      <c r="H33" t="n">
        <v>12</v>
      </c>
      <c r="I33" t="s">
        <v>197</v>
      </c>
      <c r="J33" t="n">
        <v>0</v>
      </c>
      <c r="K33" t="n">
        <v>0</v>
      </c>
      <c r="L33" t="n">
        <v>0</v>
      </c>
      <c r="M33" t="n">
        <v>12</v>
      </c>
      <c r="N33" t="n">
        <v>0</v>
      </c>
      <c r="O33" t="n">
        <v>-0.5</v>
      </c>
      <c r="P33" t="n">
        <v>115</v>
      </c>
      <c r="Q33" t="n">
        <v>12</v>
      </c>
      <c r="R33" t="s">
        <v>197</v>
      </c>
      <c r="S33" t="s">
        <v>197</v>
      </c>
      <c r="T33" t="n">
        <v>-0.25</v>
      </c>
    </row>
    <row r="34">
      <c r="A34" t="s">
        <v>31</v>
      </c>
      <c r="B34" t="n">
        <v>1</v>
      </c>
      <c r="C34" t="n">
        <v>1</v>
      </c>
      <c r="D34" t="n">
        <v>1</v>
      </c>
      <c r="E34" t="n">
        <v>-4</v>
      </c>
      <c r="F34" t="n">
        <v>-0.25</v>
      </c>
      <c r="G34" t="n">
        <v>13</v>
      </c>
      <c r="H34" t="n">
        <v>12</v>
      </c>
      <c r="I34" t="s">
        <v>197</v>
      </c>
      <c r="J34" t="n">
        <v>0</v>
      </c>
      <c r="K34" t="n">
        <v>0</v>
      </c>
      <c r="L34" t="n">
        <v>0</v>
      </c>
      <c r="M34" t="n">
        <v>12</v>
      </c>
      <c r="N34" t="n">
        <v>-0.5</v>
      </c>
      <c r="O34" t="n">
        <v>-0.25</v>
      </c>
      <c r="P34" t="n">
        <v>130</v>
      </c>
      <c r="Q34" t="n">
        <v>12</v>
      </c>
      <c r="R34" t="s">
        <v>197</v>
      </c>
      <c r="S34" t="s">
        <v>197</v>
      </c>
      <c r="T34" t="n">
        <v>-0.625</v>
      </c>
    </row>
    <row r="35">
      <c r="A35" t="s">
        <v>31</v>
      </c>
      <c r="B35" t="n">
        <v>1</v>
      </c>
      <c r="C35" t="n">
        <v>1</v>
      </c>
      <c r="D35" t="n">
        <v>1</v>
      </c>
      <c r="E35" t="n">
        <v>-4.5</v>
      </c>
      <c r="F35" t="n">
        <v>-1.75</v>
      </c>
      <c r="G35" t="n">
        <v>7</v>
      </c>
      <c r="H35" t="n">
        <v>12</v>
      </c>
      <c r="I35" t="s">
        <v>197</v>
      </c>
      <c r="J35" t="n">
        <v>0</v>
      </c>
      <c r="K35" t="n">
        <v>0</v>
      </c>
      <c r="L35" t="n">
        <v>0</v>
      </c>
      <c r="M35" t="n">
        <v>12</v>
      </c>
      <c r="N35" t="n">
        <v>-0.5</v>
      </c>
      <c r="O35" t="n">
        <v>-0.25</v>
      </c>
      <c r="P35" t="n">
        <v>161</v>
      </c>
      <c r="Q35" t="n">
        <v>12</v>
      </c>
      <c r="R35" t="s">
        <v>197</v>
      </c>
      <c r="S35" t="s">
        <v>197</v>
      </c>
      <c r="T35" t="n">
        <v>-0.625</v>
      </c>
    </row>
    <row r="36">
      <c r="A36" t="s">
        <v>31</v>
      </c>
      <c r="B36" t="n">
        <v>1</v>
      </c>
      <c r="C36" t="n">
        <v>0.63</v>
      </c>
      <c r="D36" t="n">
        <v>1</v>
      </c>
      <c r="E36" t="n">
        <v>-5</v>
      </c>
      <c r="F36" t="n">
        <v>-1</v>
      </c>
      <c r="G36" t="n">
        <v>180</v>
      </c>
      <c r="H36" t="n">
        <v>12</v>
      </c>
      <c r="I36" t="s">
        <v>197</v>
      </c>
      <c r="J36" t="n">
        <v>0</v>
      </c>
      <c r="K36" t="n">
        <v>0</v>
      </c>
      <c r="L36" t="n">
        <v>0</v>
      </c>
      <c r="M36" t="n">
        <v>12</v>
      </c>
      <c r="N36" t="n">
        <v>-0.75</v>
      </c>
      <c r="O36" t="n">
        <v>-0.25</v>
      </c>
      <c r="P36" t="n">
        <v>32</v>
      </c>
      <c r="Q36" t="n">
        <v>12</v>
      </c>
      <c r="R36" t="s">
        <v>197</v>
      </c>
      <c r="S36" t="s">
        <v>201</v>
      </c>
      <c r="T36" t="n">
        <v>-0.875</v>
      </c>
    </row>
    <row r="37">
      <c r="A37" t="s">
        <v>31</v>
      </c>
      <c r="B37" t="n">
        <v>1</v>
      </c>
      <c r="C37" t="n">
        <v>0.8</v>
      </c>
      <c r="D37" t="n">
        <v>1</v>
      </c>
      <c r="E37" t="n">
        <v>-8.75</v>
      </c>
      <c r="F37" t="n">
        <v>-0.5</v>
      </c>
      <c r="G37" t="n">
        <v>17</v>
      </c>
      <c r="H37" t="n">
        <v>12</v>
      </c>
      <c r="I37" t="s">
        <v>197</v>
      </c>
      <c r="J37" t="n">
        <v>0</v>
      </c>
      <c r="K37" t="n">
        <v>0</v>
      </c>
      <c r="L37" t="n">
        <v>0</v>
      </c>
      <c r="M37" t="n">
        <v>12</v>
      </c>
      <c r="N37" t="n">
        <v>-0.5</v>
      </c>
      <c r="O37" t="n">
        <v>0</v>
      </c>
      <c r="P37" t="n">
        <v>144</v>
      </c>
      <c r="Q37" t="n">
        <v>12</v>
      </c>
      <c r="R37" t="s">
        <v>197</v>
      </c>
      <c r="S37" t="s">
        <v>196</v>
      </c>
      <c r="T37" t="n">
        <v>-0.5</v>
      </c>
    </row>
    <row r="38">
      <c r="A38" t="s">
        <v>31</v>
      </c>
      <c r="B38" t="n">
        <v>1</v>
      </c>
      <c r="C38" t="n">
        <v>1</v>
      </c>
      <c r="D38" t="n">
        <v>1</v>
      </c>
      <c r="E38" t="n">
        <v>-6.5</v>
      </c>
      <c r="F38" t="n">
        <v>-0.25</v>
      </c>
      <c r="G38" t="n">
        <v>94</v>
      </c>
      <c r="H38" t="n">
        <v>12</v>
      </c>
      <c r="I38" t="s">
        <v>197</v>
      </c>
      <c r="J38" t="n">
        <v>0</v>
      </c>
      <c r="K38" t="n">
        <v>0</v>
      </c>
      <c r="L38" t="n">
        <v>0</v>
      </c>
      <c r="M38" t="n">
        <v>12</v>
      </c>
      <c r="N38" t="n">
        <v>-0.25</v>
      </c>
      <c r="O38" t="n">
        <v>-0.25</v>
      </c>
      <c r="P38" t="n">
        <v>39</v>
      </c>
      <c r="Q38" t="n">
        <v>12</v>
      </c>
      <c r="R38" t="s">
        <v>197</v>
      </c>
      <c r="S38" t="s">
        <v>197</v>
      </c>
      <c r="T38" t="n">
        <v>-0.375</v>
      </c>
    </row>
    <row r="39">
      <c r="A39" t="s">
        <v>31</v>
      </c>
      <c r="B39" t="n">
        <v>0.8</v>
      </c>
      <c r="C39" t="n">
        <v>0.8</v>
      </c>
      <c r="D39" t="n">
        <v>0.8</v>
      </c>
      <c r="E39" t="n">
        <v>-7.25</v>
      </c>
      <c r="F39" t="n">
        <v>-0.25</v>
      </c>
      <c r="G39" t="n">
        <v>89</v>
      </c>
      <c r="H39" t="n">
        <v>12</v>
      </c>
      <c r="I39" t="s">
        <v>196</v>
      </c>
      <c r="J39" t="n">
        <v>0</v>
      </c>
      <c r="K39" t="n">
        <v>0</v>
      </c>
      <c r="L39" t="n">
        <v>0</v>
      </c>
      <c r="M39" t="n">
        <v>12</v>
      </c>
      <c r="N39" t="n">
        <v>-0.25</v>
      </c>
      <c r="O39" t="n">
        <v>-0.25</v>
      </c>
      <c r="P39" t="n">
        <v>162</v>
      </c>
      <c r="Q39" t="n">
        <v>12</v>
      </c>
      <c r="R39" t="s">
        <v>196</v>
      </c>
      <c r="S39" t="s">
        <v>196</v>
      </c>
      <c r="T39" t="n">
        <v>-0.375</v>
      </c>
    </row>
    <row r="40">
      <c r="A40" t="s">
        <v>31</v>
      </c>
      <c r="B40" t="n">
        <v>1.25</v>
      </c>
      <c r="C40"/>
      <c r="D40"/>
      <c r="E40" t="n">
        <v>-6</v>
      </c>
      <c r="F40" t="n">
        <v>-0.75</v>
      </c>
      <c r="G40" t="n">
        <v>171</v>
      </c>
      <c r="H40" t="n">
        <v>12</v>
      </c>
      <c r="I40" t="s">
        <v>198</v>
      </c>
      <c r="J40" t="n">
        <v>0</v>
      </c>
      <c r="K40" t="n">
        <v>0</v>
      </c>
      <c r="L40" t="n">
        <v>0</v>
      </c>
      <c r="M40" t="n">
        <v>12</v>
      </c>
      <c r="N40"/>
      <c r="O40"/>
      <c r="P40"/>
      <c r="Q40" t="n">
        <v>12</v>
      </c>
      <c r="R40" t="s">
        <v>95</v>
      </c>
      <c r="S40" t="s">
        <v>95</v>
      </c>
      <c r="T40"/>
    </row>
    <row r="41">
      <c r="A41" t="s">
        <v>31</v>
      </c>
      <c r="B41" t="n">
        <v>1.25</v>
      </c>
      <c r="C41"/>
      <c r="D41"/>
      <c r="E41" t="n">
        <v>-6.25</v>
      </c>
      <c r="F41" t="n">
        <v>-1</v>
      </c>
      <c r="G41" t="n">
        <v>178</v>
      </c>
      <c r="H41" t="n">
        <v>12</v>
      </c>
      <c r="I41" t="s">
        <v>198</v>
      </c>
      <c r="J41" t="n">
        <v>-0.75</v>
      </c>
      <c r="K41" t="n">
        <v>0</v>
      </c>
      <c r="L41" t="n">
        <v>0</v>
      </c>
      <c r="M41" t="n">
        <v>12</v>
      </c>
      <c r="N41"/>
      <c r="O41"/>
      <c r="P41"/>
      <c r="Q41" t="n">
        <v>12</v>
      </c>
      <c r="R41" t="s">
        <v>95</v>
      </c>
      <c r="S41" t="s">
        <v>95</v>
      </c>
      <c r="T41"/>
    </row>
    <row r="42">
      <c r="A42" t="s">
        <v>31</v>
      </c>
      <c r="B42" t="n">
        <v>1.25</v>
      </c>
      <c r="C42" t="n">
        <v>1.25</v>
      </c>
      <c r="D42" t="n">
        <v>1.25</v>
      </c>
      <c r="E42" t="n">
        <v>-4.5</v>
      </c>
      <c r="F42" t="n">
        <v>-0.5</v>
      </c>
      <c r="G42" t="n">
        <v>152</v>
      </c>
      <c r="H42" t="n">
        <v>12</v>
      </c>
      <c r="I42" t="s">
        <v>198</v>
      </c>
      <c r="J42" t="n">
        <v>0</v>
      </c>
      <c r="K42" t="n">
        <v>0</v>
      </c>
      <c r="L42" t="n">
        <v>0</v>
      </c>
      <c r="M42" t="n">
        <v>12</v>
      </c>
      <c r="N42" t="n">
        <v>-0.25</v>
      </c>
      <c r="O42" t="n">
        <v>-0.25</v>
      </c>
      <c r="P42" t="n">
        <v>114</v>
      </c>
      <c r="Q42" t="n">
        <v>12</v>
      </c>
      <c r="R42" t="s">
        <v>198</v>
      </c>
      <c r="S42" t="s">
        <v>198</v>
      </c>
      <c r="T42" t="n">
        <v>-0.375</v>
      </c>
    </row>
    <row r="43">
      <c r="A43" t="s">
        <v>31</v>
      </c>
      <c r="B43" t="n">
        <v>1.25</v>
      </c>
      <c r="C43" t="n">
        <v>1</v>
      </c>
      <c r="D43" t="n">
        <v>1.25</v>
      </c>
      <c r="E43" t="n">
        <v>-5.75</v>
      </c>
      <c r="F43" t="n">
        <v>-0.5</v>
      </c>
      <c r="G43" t="n">
        <v>43</v>
      </c>
      <c r="H43" t="n">
        <v>12</v>
      </c>
      <c r="I43" t="s">
        <v>198</v>
      </c>
      <c r="J43" t="n">
        <v>0</v>
      </c>
      <c r="K43" t="n">
        <v>0</v>
      </c>
      <c r="L43" t="n">
        <v>0</v>
      </c>
      <c r="M43" t="n">
        <v>12</v>
      </c>
      <c r="N43" t="n">
        <v>-0.5</v>
      </c>
      <c r="O43" t="n">
        <v>0</v>
      </c>
      <c r="P43" t="n">
        <v>90</v>
      </c>
      <c r="Q43" t="n">
        <v>12</v>
      </c>
      <c r="R43" t="s">
        <v>198</v>
      </c>
      <c r="S43" t="s">
        <v>197</v>
      </c>
      <c r="T43" t="n">
        <v>-0.5</v>
      </c>
    </row>
    <row r="44">
      <c r="A44" t="s">
        <v>31</v>
      </c>
      <c r="B44" t="n">
        <v>1</v>
      </c>
      <c r="C44" t="n">
        <v>1</v>
      </c>
      <c r="D44" t="n">
        <v>1</v>
      </c>
      <c r="E44" t="n">
        <v>-4</v>
      </c>
      <c r="F44" t="n">
        <v>-0.25</v>
      </c>
      <c r="G44" t="n">
        <v>4</v>
      </c>
      <c r="H44" t="n">
        <v>12</v>
      </c>
      <c r="I44" t="s">
        <v>197</v>
      </c>
      <c r="J44" t="n">
        <v>0</v>
      </c>
      <c r="K44" t="n">
        <v>0</v>
      </c>
      <c r="L44" t="n">
        <v>0</v>
      </c>
      <c r="M44" t="n">
        <v>12</v>
      </c>
      <c r="N44" t="n">
        <v>0.25</v>
      </c>
      <c r="O44" t="n">
        <v>-0.25</v>
      </c>
      <c r="P44" t="n">
        <v>36</v>
      </c>
      <c r="Q44" t="n">
        <v>12</v>
      </c>
      <c r="R44" t="s">
        <v>197</v>
      </c>
      <c r="S44" t="s">
        <v>197</v>
      </c>
      <c r="T44" t="n">
        <v>0.125</v>
      </c>
    </row>
    <row r="45">
      <c r="A45" t="s">
        <v>31</v>
      </c>
      <c r="B45" t="n">
        <v>1</v>
      </c>
      <c r="C45" t="n">
        <v>0.8</v>
      </c>
      <c r="D45" t="n">
        <v>1.25</v>
      </c>
      <c r="E45" t="n">
        <v>-7</v>
      </c>
      <c r="F45" t="n">
        <v>-0.5</v>
      </c>
      <c r="G45" t="n">
        <v>141</v>
      </c>
      <c r="H45" t="n">
        <v>12</v>
      </c>
      <c r="I45" t="s">
        <v>197</v>
      </c>
      <c r="J45" t="n">
        <v>0</v>
      </c>
      <c r="K45" t="n">
        <v>0</v>
      </c>
      <c r="L45" t="n">
        <v>0</v>
      </c>
      <c r="M45" t="n">
        <v>12</v>
      </c>
      <c r="N45" t="n">
        <v>-1</v>
      </c>
      <c r="O45" t="n">
        <v>0</v>
      </c>
      <c r="P45" t="n">
        <v>8</v>
      </c>
      <c r="Q45" t="n">
        <v>12</v>
      </c>
      <c r="R45" t="s">
        <v>198</v>
      </c>
      <c r="S45" t="s">
        <v>196</v>
      </c>
      <c r="T45" t="n">
        <v>-1</v>
      </c>
    </row>
    <row r="46">
      <c r="A46" t="s">
        <v>31</v>
      </c>
      <c r="B46" t="n">
        <v>1</v>
      </c>
      <c r="C46" t="n">
        <v>1</v>
      </c>
      <c r="D46" t="n">
        <v>1</v>
      </c>
      <c r="E46" t="n">
        <v>-5.5</v>
      </c>
      <c r="F46" t="n">
        <v>-0.75</v>
      </c>
      <c r="G46" t="n">
        <v>4</v>
      </c>
      <c r="H46" t="n">
        <v>12</v>
      </c>
      <c r="I46" t="s">
        <v>197</v>
      </c>
      <c r="J46" t="n">
        <v>0</v>
      </c>
      <c r="K46" t="n">
        <v>0</v>
      </c>
      <c r="L46" t="n">
        <v>0</v>
      </c>
      <c r="M46" t="n">
        <v>12</v>
      </c>
      <c r="N46" t="n">
        <v>0</v>
      </c>
      <c r="O46" t="n">
        <v>-0.25</v>
      </c>
      <c r="P46" t="n">
        <v>7</v>
      </c>
      <c r="Q46" t="n">
        <v>12</v>
      </c>
      <c r="R46" t="s">
        <v>197</v>
      </c>
      <c r="S46" t="s">
        <v>197</v>
      </c>
      <c r="T46" t="n">
        <v>-0.125</v>
      </c>
    </row>
    <row r="47">
      <c r="A47" t="s">
        <v>31</v>
      </c>
      <c r="B47" t="n">
        <v>1</v>
      </c>
      <c r="C47"/>
      <c r="D47"/>
      <c r="E47" t="n">
        <v>-4.75</v>
      </c>
      <c r="F47" t="n">
        <v>-0.5</v>
      </c>
      <c r="G47" t="n">
        <v>130</v>
      </c>
      <c r="H47" t="n">
        <v>12</v>
      </c>
      <c r="I47" t="s">
        <v>197</v>
      </c>
      <c r="J47" t="n">
        <v>-0.5</v>
      </c>
      <c r="K47" t="n">
        <v>0</v>
      </c>
      <c r="L47" t="n">
        <v>0</v>
      </c>
      <c r="M47" t="n">
        <v>12</v>
      </c>
      <c r="N47"/>
      <c r="O47"/>
      <c r="P47"/>
      <c r="Q47" t="n">
        <v>12</v>
      </c>
      <c r="R47" t="s">
        <v>95</v>
      </c>
      <c r="S47" t="s">
        <v>95</v>
      </c>
      <c r="T47"/>
    </row>
    <row r="48">
      <c r="A48" t="s">
        <v>31</v>
      </c>
      <c r="B48" t="n">
        <v>1</v>
      </c>
      <c r="C48"/>
      <c r="D48"/>
      <c r="E48" t="n">
        <v>-4</v>
      </c>
      <c r="F48" t="n">
        <v>-1</v>
      </c>
      <c r="G48" t="n">
        <v>44</v>
      </c>
      <c r="H48" t="n">
        <v>12</v>
      </c>
      <c r="I48" t="s">
        <v>197</v>
      </c>
      <c r="J48" t="n">
        <v>0</v>
      </c>
      <c r="K48" t="n">
        <v>0</v>
      </c>
      <c r="L48" t="n">
        <v>0</v>
      </c>
      <c r="M48" t="n">
        <v>12</v>
      </c>
      <c r="N48"/>
      <c r="O48"/>
      <c r="P48"/>
      <c r="Q48" t="n">
        <v>12</v>
      </c>
      <c r="R48" t="s">
        <v>95</v>
      </c>
      <c r="S48" t="s">
        <v>95</v>
      </c>
      <c r="T48"/>
    </row>
    <row r="49">
      <c r="A49" t="s">
        <v>31</v>
      </c>
      <c r="B49" t="n">
        <v>1.25</v>
      </c>
      <c r="C49" t="n">
        <v>1.25</v>
      </c>
      <c r="D49" t="n">
        <v>1.25</v>
      </c>
      <c r="E49" t="n">
        <v>-3.25</v>
      </c>
      <c r="F49" t="n">
        <v>-0.25</v>
      </c>
      <c r="G49" t="n">
        <v>177</v>
      </c>
      <c r="H49" t="n">
        <v>12</v>
      </c>
      <c r="I49" t="s">
        <v>198</v>
      </c>
      <c r="J49" t="n">
        <v>0</v>
      </c>
      <c r="K49" t="n">
        <v>0</v>
      </c>
      <c r="L49" t="n">
        <v>0</v>
      </c>
      <c r="M49" t="n">
        <v>12</v>
      </c>
      <c r="N49" t="n">
        <v>0</v>
      </c>
      <c r="O49" t="n">
        <v>0</v>
      </c>
      <c r="P49" t="n">
        <v>125</v>
      </c>
      <c r="Q49" t="n">
        <v>12</v>
      </c>
      <c r="R49" t="s">
        <v>198</v>
      </c>
      <c r="S49" t="s">
        <v>198</v>
      </c>
      <c r="T49" t="n">
        <v>0</v>
      </c>
    </row>
    <row r="50">
      <c r="A50" t="s">
        <v>31</v>
      </c>
      <c r="B50" t="n">
        <v>1</v>
      </c>
      <c r="C50" t="n">
        <v>1</v>
      </c>
      <c r="D50" t="n">
        <v>1</v>
      </c>
      <c r="E50" t="n">
        <v>-4.5</v>
      </c>
      <c r="F50" t="n">
        <v>-1</v>
      </c>
      <c r="G50" t="n">
        <v>6</v>
      </c>
      <c r="H50" t="n">
        <v>12</v>
      </c>
      <c r="I50" t="s">
        <v>197</v>
      </c>
      <c r="J50" t="n">
        <v>0</v>
      </c>
      <c r="K50" t="n">
        <v>0</v>
      </c>
      <c r="L50" t="n">
        <v>0</v>
      </c>
      <c r="M50" t="n">
        <v>12</v>
      </c>
      <c r="N50" t="n">
        <v>0</v>
      </c>
      <c r="O50" t="n">
        <v>-0.25</v>
      </c>
      <c r="P50" t="n">
        <v>170</v>
      </c>
      <c r="Q50" t="n">
        <v>12</v>
      </c>
      <c r="R50" t="s">
        <v>197</v>
      </c>
      <c r="S50" t="s">
        <v>197</v>
      </c>
      <c r="T50" t="n">
        <v>-0.125</v>
      </c>
    </row>
    <row r="51">
      <c r="A51" t="s">
        <v>31</v>
      </c>
      <c r="B51" t="n">
        <v>1</v>
      </c>
      <c r="C51" t="n">
        <v>0.63</v>
      </c>
      <c r="D51" t="n">
        <v>1.25</v>
      </c>
      <c r="E51" t="n">
        <v>-6</v>
      </c>
      <c r="F51" t="n">
        <v>-0.75</v>
      </c>
      <c r="G51" t="n">
        <v>178</v>
      </c>
      <c r="H51" t="n">
        <v>12</v>
      </c>
      <c r="I51" t="s">
        <v>197</v>
      </c>
      <c r="J51" t="n">
        <v>-0.75</v>
      </c>
      <c r="K51" t="n">
        <v>0</v>
      </c>
      <c r="L51" t="n">
        <v>0</v>
      </c>
      <c r="M51" t="n">
        <v>12</v>
      </c>
      <c r="N51" t="n">
        <v>-0.75</v>
      </c>
      <c r="O51" t="n">
        <v>-0.25</v>
      </c>
      <c r="P51" t="n">
        <v>140</v>
      </c>
      <c r="Q51" t="n">
        <v>12</v>
      </c>
      <c r="R51" t="s">
        <v>198</v>
      </c>
      <c r="S51" t="s">
        <v>201</v>
      </c>
      <c r="T51" t="n">
        <v>-0.875</v>
      </c>
    </row>
    <row r="52">
      <c r="A52" t="s">
        <v>31</v>
      </c>
      <c r="B52" t="n">
        <v>1</v>
      </c>
      <c r="C52" t="n">
        <v>1.25</v>
      </c>
      <c r="D52" t="n">
        <v>1.25</v>
      </c>
      <c r="E52" t="n">
        <v>-5.75</v>
      </c>
      <c r="F52" t="n">
        <v>-0.5</v>
      </c>
      <c r="G52" t="n">
        <v>5</v>
      </c>
      <c r="H52" t="n">
        <v>12</v>
      </c>
      <c r="I52" t="s">
        <v>197</v>
      </c>
      <c r="J52" t="n">
        <v>0</v>
      </c>
      <c r="K52" t="n">
        <v>0</v>
      </c>
      <c r="L52" t="n">
        <v>0</v>
      </c>
      <c r="M52" t="n">
        <v>12</v>
      </c>
      <c r="N52" t="n">
        <v>0</v>
      </c>
      <c r="O52" t="n">
        <v>-0.25</v>
      </c>
      <c r="P52" t="n">
        <v>58</v>
      </c>
      <c r="Q52" t="n">
        <v>12</v>
      </c>
      <c r="R52" t="s">
        <v>198</v>
      </c>
      <c r="S52" t="s">
        <v>198</v>
      </c>
      <c r="T52" t="n">
        <v>-0.125</v>
      </c>
    </row>
    <row r="53">
      <c r="A53" t="s">
        <v>31</v>
      </c>
      <c r="B53" t="n">
        <v>1</v>
      </c>
      <c r="C53" t="n">
        <v>1</v>
      </c>
      <c r="D53" t="n">
        <v>1</v>
      </c>
      <c r="E53" t="n">
        <v>-5</v>
      </c>
      <c r="F53" t="n">
        <v>-0.25</v>
      </c>
      <c r="G53" t="n">
        <v>175</v>
      </c>
      <c r="H53" t="n">
        <v>12</v>
      </c>
      <c r="I53" t="s">
        <v>197</v>
      </c>
      <c r="J53" t="n">
        <v>0</v>
      </c>
      <c r="K53" t="n">
        <v>0</v>
      </c>
      <c r="L53" t="n">
        <v>0</v>
      </c>
      <c r="M53" t="n">
        <v>12</v>
      </c>
      <c r="N53" t="n">
        <v>0.5</v>
      </c>
      <c r="O53" t="n">
        <v>-0.25</v>
      </c>
      <c r="P53" t="n">
        <v>151</v>
      </c>
      <c r="Q53" t="n">
        <v>12</v>
      </c>
      <c r="R53" t="s">
        <v>197</v>
      </c>
      <c r="S53" t="s">
        <v>197</v>
      </c>
      <c r="T53" t="n">
        <v>0.375</v>
      </c>
    </row>
    <row r="54">
      <c r="A54" t="s">
        <v>31</v>
      </c>
      <c r="B54" t="n">
        <v>1</v>
      </c>
      <c r="C54" t="n">
        <v>1</v>
      </c>
      <c r="D54" t="n">
        <v>1</v>
      </c>
      <c r="E54" t="n">
        <v>-5</v>
      </c>
      <c r="F54" t="n">
        <v>-0.25</v>
      </c>
      <c r="G54" t="n">
        <v>15</v>
      </c>
      <c r="H54" t="n">
        <v>12</v>
      </c>
      <c r="I54" t="s">
        <v>197</v>
      </c>
      <c r="J54" t="n">
        <v>0</v>
      </c>
      <c r="K54" t="n">
        <v>0</v>
      </c>
      <c r="L54" t="n">
        <v>0</v>
      </c>
      <c r="M54" t="n">
        <v>12</v>
      </c>
      <c r="N54" t="n">
        <v>-0.25</v>
      </c>
      <c r="O54" t="n">
        <v>-0.25</v>
      </c>
      <c r="P54" t="n">
        <v>31</v>
      </c>
      <c r="Q54" t="n">
        <v>12</v>
      </c>
      <c r="R54" t="s">
        <v>197</v>
      </c>
      <c r="S54" t="s">
        <v>197</v>
      </c>
      <c r="T54" t="n">
        <v>-0.375</v>
      </c>
    </row>
    <row r="55">
      <c r="A55" t="s">
        <v>31</v>
      </c>
      <c r="B55" t="n">
        <v>1</v>
      </c>
      <c r="C55" t="n">
        <v>1</v>
      </c>
      <c r="D55" t="n">
        <v>1</v>
      </c>
      <c r="E55" t="n">
        <v>-7.75</v>
      </c>
      <c r="F55" t="n">
        <v>-0.5</v>
      </c>
      <c r="G55" t="n">
        <v>82</v>
      </c>
      <c r="H55" t="n">
        <v>12</v>
      </c>
      <c r="I55" t="s">
        <v>197</v>
      </c>
      <c r="J55" t="n">
        <v>0</v>
      </c>
      <c r="K55" t="n">
        <v>0</v>
      </c>
      <c r="L55" t="n">
        <v>0</v>
      </c>
      <c r="M55" t="n">
        <v>12</v>
      </c>
      <c r="N55" t="n">
        <v>-0.25</v>
      </c>
      <c r="O55" t="n">
        <v>0</v>
      </c>
      <c r="P55" t="n">
        <v>129</v>
      </c>
      <c r="Q55" t="n">
        <v>12</v>
      </c>
      <c r="R55" t="s">
        <v>197</v>
      </c>
      <c r="S55" t="s">
        <v>197</v>
      </c>
      <c r="T55" t="n">
        <v>-0.25</v>
      </c>
    </row>
    <row r="56">
      <c r="A56" t="s">
        <v>31</v>
      </c>
      <c r="B56" t="n">
        <v>1.25</v>
      </c>
      <c r="C56" t="n">
        <v>1.25</v>
      </c>
      <c r="D56" t="n">
        <v>1.25</v>
      </c>
      <c r="E56" t="n">
        <v>-5</v>
      </c>
      <c r="F56" t="n">
        <v>-0.75</v>
      </c>
      <c r="G56" t="n">
        <v>168</v>
      </c>
      <c r="H56" t="n">
        <v>12</v>
      </c>
      <c r="I56" t="s">
        <v>198</v>
      </c>
      <c r="J56" t="n">
        <v>0</v>
      </c>
      <c r="K56" t="n">
        <v>0</v>
      </c>
      <c r="L56" t="n">
        <v>0</v>
      </c>
      <c r="M56" t="n">
        <v>12</v>
      </c>
      <c r="N56" t="n">
        <v>0</v>
      </c>
      <c r="O56" t="n">
        <v>-0.25</v>
      </c>
      <c r="P56" t="n">
        <v>54</v>
      </c>
      <c r="Q56" t="n">
        <v>12</v>
      </c>
      <c r="R56" t="s">
        <v>198</v>
      </c>
      <c r="S56" t="s">
        <v>198</v>
      </c>
      <c r="T56" t="n">
        <v>-0.125</v>
      </c>
    </row>
    <row r="57">
      <c r="A57" t="s">
        <v>31</v>
      </c>
      <c r="B57" t="n">
        <v>1.25</v>
      </c>
      <c r="C57" t="n">
        <v>1.25</v>
      </c>
      <c r="D57" t="n">
        <v>1.25</v>
      </c>
      <c r="E57" t="n">
        <v>-3.25</v>
      </c>
      <c r="F57" t="n">
        <v>-0.75</v>
      </c>
      <c r="G57" t="n">
        <v>16</v>
      </c>
      <c r="H57" t="n">
        <v>12</v>
      </c>
      <c r="I57" t="s">
        <v>198</v>
      </c>
      <c r="J57" t="n">
        <v>0</v>
      </c>
      <c r="K57" t="n">
        <v>0</v>
      </c>
      <c r="L57" t="n">
        <v>0</v>
      </c>
      <c r="M57" t="n">
        <v>12</v>
      </c>
      <c r="N57" t="n">
        <v>-0.25</v>
      </c>
      <c r="O57" t="n">
        <v>-0.25</v>
      </c>
      <c r="P57" t="n">
        <v>137</v>
      </c>
      <c r="Q57" t="n">
        <v>12</v>
      </c>
      <c r="R57" t="s">
        <v>198</v>
      </c>
      <c r="S57" t="s">
        <v>198</v>
      </c>
      <c r="T57" t="n">
        <v>-0.375</v>
      </c>
    </row>
    <row r="58">
      <c r="A58" t="s">
        <v>31</v>
      </c>
      <c r="B58" t="n">
        <v>1</v>
      </c>
      <c r="C58" t="n">
        <v>1.25</v>
      </c>
      <c r="D58" t="n">
        <v>1.25</v>
      </c>
      <c r="E58" t="n">
        <v>-5.5</v>
      </c>
      <c r="F58" t="n">
        <v>-0.75</v>
      </c>
      <c r="G58" t="n">
        <v>9</v>
      </c>
      <c r="H58" t="n">
        <v>12</v>
      </c>
      <c r="I58" t="s">
        <v>197</v>
      </c>
      <c r="J58" t="n">
        <v>0</v>
      </c>
      <c r="K58" t="n">
        <v>0</v>
      </c>
      <c r="L58" t="n">
        <v>0</v>
      </c>
      <c r="M58" t="n">
        <v>12</v>
      </c>
      <c r="N58" t="n">
        <v>0.25</v>
      </c>
      <c r="O58" t="n">
        <v>-0.25</v>
      </c>
      <c r="P58" t="n">
        <v>16</v>
      </c>
      <c r="Q58" t="n">
        <v>12</v>
      </c>
      <c r="R58" t="s">
        <v>198</v>
      </c>
      <c r="S58" t="s">
        <v>198</v>
      </c>
      <c r="T58" t="n">
        <v>0.125</v>
      </c>
    </row>
    <row r="59">
      <c r="A59" t="s">
        <v>31</v>
      </c>
      <c r="B59" t="n">
        <v>1</v>
      </c>
      <c r="C59" t="n">
        <v>1.25</v>
      </c>
      <c r="D59" t="n">
        <v>1.25</v>
      </c>
      <c r="E59" t="n">
        <v>-5.5</v>
      </c>
      <c r="F59" t="n">
        <v>-0.5</v>
      </c>
      <c r="G59" t="n">
        <v>164</v>
      </c>
      <c r="H59" t="n">
        <v>12</v>
      </c>
      <c r="I59" t="s">
        <v>197</v>
      </c>
      <c r="J59" t="n">
        <v>0</v>
      </c>
      <c r="K59" t="n">
        <v>0</v>
      </c>
      <c r="L59" t="n">
        <v>0</v>
      </c>
      <c r="M59" t="n">
        <v>12</v>
      </c>
      <c r="N59" t="n">
        <v>-0.25</v>
      </c>
      <c r="O59" t="n">
        <v>0</v>
      </c>
      <c r="P59" t="n">
        <v>7</v>
      </c>
      <c r="Q59" t="n">
        <v>12</v>
      </c>
      <c r="R59" t="s">
        <v>198</v>
      </c>
      <c r="S59" t="s">
        <v>198</v>
      </c>
      <c r="T59" t="n">
        <v>-0.25</v>
      </c>
    </row>
    <row r="60">
      <c r="A60" t="s">
        <v>31</v>
      </c>
      <c r="B60" t="n">
        <v>0.8</v>
      </c>
      <c r="C60"/>
      <c r="D60"/>
      <c r="E60" t="n">
        <v>-4.5</v>
      </c>
      <c r="F60" t="n">
        <v>-1.25</v>
      </c>
      <c r="G60" t="n">
        <v>158</v>
      </c>
      <c r="H60" t="n">
        <v>12</v>
      </c>
      <c r="I60" t="s">
        <v>196</v>
      </c>
      <c r="J60" t="n">
        <v>0</v>
      </c>
      <c r="K60" t="n">
        <v>0</v>
      </c>
      <c r="L60" t="n">
        <v>0</v>
      </c>
      <c r="M60" t="n">
        <v>12</v>
      </c>
      <c r="N60"/>
      <c r="O60"/>
      <c r="P60"/>
      <c r="Q60" t="n">
        <v>12</v>
      </c>
      <c r="R60" t="s">
        <v>95</v>
      </c>
      <c r="S60" t="s">
        <v>95</v>
      </c>
      <c r="T60"/>
    </row>
    <row r="61">
      <c r="A61" t="s">
        <v>31</v>
      </c>
      <c r="B61" t="n">
        <v>1</v>
      </c>
      <c r="C61" t="n">
        <v>1.25</v>
      </c>
      <c r="D61" t="n">
        <v>1.25</v>
      </c>
      <c r="E61" t="n">
        <v>-6.5</v>
      </c>
      <c r="F61" t="n">
        <v>-0.5</v>
      </c>
      <c r="G61" t="n">
        <v>10</v>
      </c>
      <c r="H61" t="n">
        <v>12</v>
      </c>
      <c r="I61" t="s">
        <v>197</v>
      </c>
      <c r="J61" t="n">
        <v>0</v>
      </c>
      <c r="K61" t="n">
        <v>0</v>
      </c>
      <c r="L61" t="n">
        <v>0</v>
      </c>
      <c r="M61" t="n">
        <v>12</v>
      </c>
      <c r="N61" t="n">
        <v>0</v>
      </c>
      <c r="O61" t="n">
        <v>-0.25</v>
      </c>
      <c r="P61" t="n">
        <v>155</v>
      </c>
      <c r="Q61" t="n">
        <v>12</v>
      </c>
      <c r="R61" t="s">
        <v>198</v>
      </c>
      <c r="S61" t="s">
        <v>198</v>
      </c>
      <c r="T61" t="n">
        <v>-0.125</v>
      </c>
    </row>
    <row r="62">
      <c r="A62" t="s">
        <v>31</v>
      </c>
      <c r="B62" t="n">
        <v>1</v>
      </c>
      <c r="C62" t="n">
        <v>1.25</v>
      </c>
      <c r="D62" t="n">
        <v>1.25</v>
      </c>
      <c r="E62" t="n">
        <v>-5.75</v>
      </c>
      <c r="F62" t="n">
        <v>-0.5</v>
      </c>
      <c r="G62" t="n">
        <v>154</v>
      </c>
      <c r="H62" t="n">
        <v>12</v>
      </c>
      <c r="I62" t="s">
        <v>197</v>
      </c>
      <c r="J62" t="n">
        <v>0</v>
      </c>
      <c r="K62" t="n">
        <v>0</v>
      </c>
      <c r="L62" t="n">
        <v>0</v>
      </c>
      <c r="M62" t="n">
        <v>12</v>
      </c>
      <c r="N62" t="n">
        <v>0.25</v>
      </c>
      <c r="O62" t="n">
        <v>-0.25</v>
      </c>
      <c r="P62" t="n">
        <v>30</v>
      </c>
      <c r="Q62" t="n">
        <v>12</v>
      </c>
      <c r="R62" t="s">
        <v>198</v>
      </c>
      <c r="S62" t="s">
        <v>198</v>
      </c>
      <c r="T62" t="n">
        <v>0.125</v>
      </c>
    </row>
    <row r="63">
      <c r="A63" t="s">
        <v>31</v>
      </c>
      <c r="B63" t="n">
        <v>1.25</v>
      </c>
      <c r="C63"/>
      <c r="D63"/>
      <c r="E63" t="n">
        <v>-2.75</v>
      </c>
      <c r="F63" t="n">
        <v>-0.75</v>
      </c>
      <c r="G63" t="n">
        <v>157</v>
      </c>
      <c r="H63" t="n">
        <v>12</v>
      </c>
      <c r="I63" t="s">
        <v>198</v>
      </c>
      <c r="J63" t="n">
        <v>0</v>
      </c>
      <c r="K63" t="n">
        <v>0</v>
      </c>
      <c r="L63" t="n">
        <v>0</v>
      </c>
      <c r="M63" t="n">
        <v>12</v>
      </c>
      <c r="N63"/>
      <c r="O63"/>
      <c r="P63"/>
      <c r="Q63" t="n">
        <v>12</v>
      </c>
      <c r="R63" t="s">
        <v>95</v>
      </c>
      <c r="S63" t="s">
        <v>95</v>
      </c>
      <c r="T63"/>
    </row>
    <row r="64">
      <c r="A64" t="s">
        <v>31</v>
      </c>
      <c r="B64" t="n">
        <v>1.25</v>
      </c>
      <c r="C64"/>
      <c r="D64"/>
      <c r="E64" t="n">
        <v>-3.75</v>
      </c>
      <c r="F64" t="n">
        <v>-0.5</v>
      </c>
      <c r="G64" t="n">
        <v>20</v>
      </c>
      <c r="H64" t="n">
        <v>12</v>
      </c>
      <c r="I64" t="s">
        <v>198</v>
      </c>
      <c r="J64" t="n">
        <v>0</v>
      </c>
      <c r="K64" t="n">
        <v>0</v>
      </c>
      <c r="L64" t="n">
        <v>0</v>
      </c>
      <c r="M64" t="n">
        <v>12</v>
      </c>
      <c r="N64"/>
      <c r="O64"/>
      <c r="P64"/>
      <c r="Q64" t="n">
        <v>12</v>
      </c>
      <c r="R64" t="s">
        <v>95</v>
      </c>
      <c r="S64" t="s">
        <v>95</v>
      </c>
      <c r="T64"/>
    </row>
    <row r="65">
      <c r="A65" t="s">
        <v>31</v>
      </c>
      <c r="B65" t="n">
        <v>1</v>
      </c>
      <c r="C65" t="n">
        <v>1.25</v>
      </c>
      <c r="D65" t="n">
        <v>1.25</v>
      </c>
      <c r="E65" t="n">
        <v>-3.25</v>
      </c>
      <c r="F65" t="n">
        <v>-0.75</v>
      </c>
      <c r="G65" t="n">
        <v>170</v>
      </c>
      <c r="H65" t="n">
        <v>12</v>
      </c>
      <c r="I65" t="s">
        <v>197</v>
      </c>
      <c r="J65" t="n">
        <v>0</v>
      </c>
      <c r="K65" t="n">
        <v>0</v>
      </c>
      <c r="L65" t="n">
        <v>0</v>
      </c>
      <c r="M65" t="n">
        <v>12</v>
      </c>
      <c r="N65" t="n">
        <v>0.25</v>
      </c>
      <c r="O65" t="n">
        <v>-0.25</v>
      </c>
      <c r="P65" t="n">
        <v>129</v>
      </c>
      <c r="Q65" t="n">
        <v>12</v>
      </c>
      <c r="R65" t="s">
        <v>198</v>
      </c>
      <c r="S65" t="s">
        <v>198</v>
      </c>
      <c r="T65" t="n">
        <v>0.125</v>
      </c>
    </row>
    <row r="66">
      <c r="A66" t="s">
        <v>31</v>
      </c>
      <c r="B66" t="n">
        <v>0.8</v>
      </c>
      <c r="C66" t="n">
        <v>1</v>
      </c>
      <c r="D66" t="n">
        <v>1</v>
      </c>
      <c r="E66" t="n">
        <v>-4.25</v>
      </c>
      <c r="F66" t="n">
        <v>-0.75</v>
      </c>
      <c r="G66" t="n">
        <v>6</v>
      </c>
      <c r="H66" t="n">
        <v>12</v>
      </c>
      <c r="I66" t="s">
        <v>196</v>
      </c>
      <c r="J66" t="n">
        <v>0</v>
      </c>
      <c r="K66" t="n">
        <v>0</v>
      </c>
      <c r="L66" t="n">
        <v>0</v>
      </c>
      <c r="M66" t="n">
        <v>12</v>
      </c>
      <c r="N66" t="n">
        <v>0.25</v>
      </c>
      <c r="O66" t="n">
        <v>0</v>
      </c>
      <c r="P66" t="n">
        <v>106</v>
      </c>
      <c r="Q66" t="n">
        <v>12</v>
      </c>
      <c r="R66" t="s">
        <v>197</v>
      </c>
      <c r="S66" t="s">
        <v>197</v>
      </c>
      <c r="T66" t="n">
        <v>0.25</v>
      </c>
    </row>
    <row r="67">
      <c r="A67" t="s">
        <v>31</v>
      </c>
      <c r="B67" t="n">
        <v>1</v>
      </c>
      <c r="C67" t="n">
        <v>1</v>
      </c>
      <c r="D67" t="n">
        <v>1</v>
      </c>
      <c r="E67" t="n">
        <v>-5.75</v>
      </c>
      <c r="F67" t="n">
        <v>-0.5</v>
      </c>
      <c r="G67" t="n">
        <v>8</v>
      </c>
      <c r="H67" t="n">
        <v>12</v>
      </c>
      <c r="I67" t="s">
        <v>197</v>
      </c>
      <c r="J67" t="n">
        <v>0</v>
      </c>
      <c r="K67" t="n">
        <v>0</v>
      </c>
      <c r="L67" t="n">
        <v>0</v>
      </c>
      <c r="M67" t="n">
        <v>12</v>
      </c>
      <c r="N67" t="n">
        <v>0.5</v>
      </c>
      <c r="O67" t="n">
        <v>-0.25</v>
      </c>
      <c r="P67" t="n">
        <v>167</v>
      </c>
      <c r="Q67" t="n">
        <v>12</v>
      </c>
      <c r="R67" t="s">
        <v>197</v>
      </c>
      <c r="S67" t="s">
        <v>197</v>
      </c>
      <c r="T67" t="n">
        <v>0.375</v>
      </c>
    </row>
    <row r="68">
      <c r="A68" t="s">
        <v>31</v>
      </c>
      <c r="B68" t="n">
        <v>1</v>
      </c>
      <c r="C68" t="n">
        <v>1</v>
      </c>
      <c r="D68" t="n">
        <v>1.25</v>
      </c>
      <c r="E68" t="n">
        <v>-6.5</v>
      </c>
      <c r="F68" t="n">
        <v>-0.25</v>
      </c>
      <c r="G68" t="n">
        <v>175</v>
      </c>
      <c r="H68" t="n">
        <v>12</v>
      </c>
      <c r="I68" t="s">
        <v>197</v>
      </c>
      <c r="J68" t="n">
        <v>0</v>
      </c>
      <c r="K68" t="n">
        <v>0</v>
      </c>
      <c r="L68" t="n">
        <v>0</v>
      </c>
      <c r="M68" t="n">
        <v>12</v>
      </c>
      <c r="N68" t="n">
        <v>-0.75</v>
      </c>
      <c r="O68" t="n">
        <v>-0.25</v>
      </c>
      <c r="P68" t="n">
        <v>45</v>
      </c>
      <c r="Q68" t="n">
        <v>12</v>
      </c>
      <c r="R68" t="s">
        <v>198</v>
      </c>
      <c r="S68" t="s">
        <v>197</v>
      </c>
      <c r="T68" t="n">
        <v>-0.875</v>
      </c>
    </row>
    <row r="69">
      <c r="A69" t="s">
        <v>31</v>
      </c>
      <c r="B69" t="n">
        <v>1</v>
      </c>
      <c r="C69" t="n">
        <v>1.25</v>
      </c>
      <c r="D69" t="n">
        <v>1.25</v>
      </c>
      <c r="E69" t="n">
        <v>-8</v>
      </c>
      <c r="F69" t="n">
        <v>-1.25</v>
      </c>
      <c r="G69" t="n">
        <v>6</v>
      </c>
      <c r="H69" t="n">
        <v>12</v>
      </c>
      <c r="I69" t="s">
        <v>197</v>
      </c>
      <c r="J69" t="n">
        <v>0</v>
      </c>
      <c r="K69" t="n">
        <v>0</v>
      </c>
      <c r="L69" t="n">
        <v>0</v>
      </c>
      <c r="M69" t="n">
        <v>12</v>
      </c>
      <c r="N69" t="n">
        <v>0.5</v>
      </c>
      <c r="O69" t="n">
        <v>-0.75</v>
      </c>
      <c r="P69" t="n">
        <v>50</v>
      </c>
      <c r="Q69" t="n">
        <v>12</v>
      </c>
      <c r="R69" t="s">
        <v>198</v>
      </c>
      <c r="S69" t="s">
        <v>198</v>
      </c>
      <c r="T69" t="n">
        <v>0.125</v>
      </c>
    </row>
    <row r="70">
      <c r="A70" t="s">
        <v>31</v>
      </c>
      <c r="B70" t="n">
        <v>1</v>
      </c>
      <c r="C70" t="n">
        <v>1</v>
      </c>
      <c r="D70" t="n">
        <v>1</v>
      </c>
      <c r="E70" t="n">
        <v>-4.75</v>
      </c>
      <c r="F70" t="n">
        <v>-1.25</v>
      </c>
      <c r="G70" t="n">
        <v>78</v>
      </c>
      <c r="H70" t="n">
        <v>12</v>
      </c>
      <c r="I70" t="s">
        <v>197</v>
      </c>
      <c r="J70" t="n">
        <v>0</v>
      </c>
      <c r="K70" t="n">
        <v>0</v>
      </c>
      <c r="L70" t="n">
        <v>0</v>
      </c>
      <c r="M70" t="n">
        <v>12</v>
      </c>
      <c r="N70" t="n">
        <v>0</v>
      </c>
      <c r="O70" t="n">
        <v>-0.5</v>
      </c>
      <c r="P70" t="n">
        <v>108</v>
      </c>
      <c r="Q70" t="n">
        <v>12</v>
      </c>
      <c r="R70" t="s">
        <v>197</v>
      </c>
      <c r="S70" t="s">
        <v>197</v>
      </c>
      <c r="T70" t="n">
        <v>-0.25</v>
      </c>
    </row>
    <row r="71">
      <c r="A71" t="s">
        <v>31</v>
      </c>
      <c r="B71" t="n">
        <v>1</v>
      </c>
      <c r="C71" t="n">
        <v>1</v>
      </c>
      <c r="D71" t="n">
        <v>1</v>
      </c>
      <c r="E71" t="n">
        <v>-4.75</v>
      </c>
      <c r="F71" t="n">
        <v>-0.75</v>
      </c>
      <c r="G71" t="n">
        <v>93</v>
      </c>
      <c r="H71" t="n">
        <v>12</v>
      </c>
      <c r="I71" t="s">
        <v>197</v>
      </c>
      <c r="J71" t="n">
        <v>0</v>
      </c>
      <c r="K71" t="n">
        <v>0</v>
      </c>
      <c r="L71" t="n">
        <v>0</v>
      </c>
      <c r="M71" t="n">
        <v>12</v>
      </c>
      <c r="N71" t="n">
        <v>0</v>
      </c>
      <c r="O71" t="n">
        <v>-0.25</v>
      </c>
      <c r="P71" t="n">
        <v>66</v>
      </c>
      <c r="Q71" t="n">
        <v>12</v>
      </c>
      <c r="R71" t="s">
        <v>197</v>
      </c>
      <c r="S71" t="s">
        <v>197</v>
      </c>
      <c r="T71" t="n">
        <v>-0.125</v>
      </c>
    </row>
    <row r="72">
      <c r="A72" t="s">
        <v>31</v>
      </c>
      <c r="B72" t="n">
        <v>1</v>
      </c>
      <c r="C72"/>
      <c r="D72"/>
      <c r="E72" t="n">
        <v>-6.5</v>
      </c>
      <c r="F72" t="n">
        <v>-0.5</v>
      </c>
      <c r="G72" t="n">
        <v>170</v>
      </c>
      <c r="H72" t="n">
        <v>12</v>
      </c>
      <c r="I72" t="s">
        <v>197</v>
      </c>
      <c r="J72" t="n">
        <v>0</v>
      </c>
      <c r="K72" t="n">
        <v>0</v>
      </c>
      <c r="L72" t="n">
        <v>0</v>
      </c>
      <c r="M72" t="n">
        <v>12</v>
      </c>
      <c r="N72"/>
      <c r="O72"/>
      <c r="P72"/>
      <c r="Q72" t="n">
        <v>12</v>
      </c>
      <c r="R72" t="s">
        <v>95</v>
      </c>
      <c r="S72" t="s">
        <v>95</v>
      </c>
      <c r="T72"/>
    </row>
    <row r="73">
      <c r="A73" t="s">
        <v>31</v>
      </c>
      <c r="B73" t="n">
        <v>1</v>
      </c>
      <c r="C73"/>
      <c r="D73"/>
      <c r="E73" t="n">
        <v>-6.5</v>
      </c>
      <c r="F73" t="n">
        <v>-0.25</v>
      </c>
      <c r="G73" t="n">
        <v>14</v>
      </c>
      <c r="H73" t="n">
        <v>12</v>
      </c>
      <c r="I73" t="s">
        <v>197</v>
      </c>
      <c r="J73" t="n">
        <v>0</v>
      </c>
      <c r="K73" t="n">
        <v>0</v>
      </c>
      <c r="L73" t="n">
        <v>0</v>
      </c>
      <c r="M73" t="n">
        <v>12</v>
      </c>
      <c r="N73"/>
      <c r="O73"/>
      <c r="P73"/>
      <c r="Q73" t="n">
        <v>12</v>
      </c>
      <c r="R73" t="s">
        <v>95</v>
      </c>
      <c r="S73" t="s">
        <v>95</v>
      </c>
      <c r="T73"/>
    </row>
    <row r="74">
      <c r="A74" t="s">
        <v>31</v>
      </c>
      <c r="B74" t="n">
        <v>1.25</v>
      </c>
      <c r="C74" t="n">
        <v>1.25</v>
      </c>
      <c r="D74" t="n">
        <v>1.6</v>
      </c>
      <c r="E74" t="n">
        <v>-2.5</v>
      </c>
      <c r="F74" t="n">
        <v>-1.25</v>
      </c>
      <c r="G74" t="n">
        <v>98</v>
      </c>
      <c r="H74" t="n">
        <v>12</v>
      </c>
      <c r="I74" t="s">
        <v>198</v>
      </c>
      <c r="J74" t="n">
        <v>0</v>
      </c>
      <c r="K74" t="n">
        <v>0</v>
      </c>
      <c r="L74" t="n">
        <v>0</v>
      </c>
      <c r="M74" t="n">
        <v>12</v>
      </c>
      <c r="N74" t="n">
        <v>-0.5</v>
      </c>
      <c r="O74" t="n">
        <v>0</v>
      </c>
      <c r="P74" t="n">
        <v>63</v>
      </c>
      <c r="Q74" t="n">
        <v>12</v>
      </c>
      <c r="R74" t="s">
        <v>199</v>
      </c>
      <c r="S74" t="s">
        <v>198</v>
      </c>
      <c r="T74" t="n">
        <v>-0.5</v>
      </c>
    </row>
    <row r="75">
      <c r="A75" t="s">
        <v>31</v>
      </c>
      <c r="B75" t="n">
        <v>1</v>
      </c>
      <c r="C75" t="n">
        <v>0.8</v>
      </c>
      <c r="D75" t="n">
        <v>1.25</v>
      </c>
      <c r="E75" t="n">
        <v>-5.25</v>
      </c>
      <c r="F75" t="n">
        <v>-0.5</v>
      </c>
      <c r="G75" t="n">
        <v>81</v>
      </c>
      <c r="H75" t="n">
        <v>12</v>
      </c>
      <c r="I75" t="s">
        <v>197</v>
      </c>
      <c r="J75" t="n">
        <v>0</v>
      </c>
      <c r="K75" t="n">
        <v>0</v>
      </c>
      <c r="L75" t="n">
        <v>0</v>
      </c>
      <c r="M75" t="n">
        <v>12</v>
      </c>
      <c r="N75" t="n">
        <v>-0.75</v>
      </c>
      <c r="O75" t="n">
        <v>-0.25</v>
      </c>
      <c r="P75" t="n">
        <v>47</v>
      </c>
      <c r="Q75" t="n">
        <v>12</v>
      </c>
      <c r="R75" t="s">
        <v>198</v>
      </c>
      <c r="S75" t="s">
        <v>196</v>
      </c>
      <c r="T75" t="n">
        <v>-0.875</v>
      </c>
    </row>
    <row r="76">
      <c r="A76" t="s">
        <v>31</v>
      </c>
      <c r="B76" t="n">
        <v>1.25</v>
      </c>
      <c r="C76" t="n">
        <v>0.5</v>
      </c>
      <c r="D76" t="n">
        <v>1.25</v>
      </c>
      <c r="E76" t="n">
        <v>-4.25</v>
      </c>
      <c r="F76" t="n">
        <v>-0.5</v>
      </c>
      <c r="G76" t="n">
        <v>160</v>
      </c>
      <c r="H76" t="n">
        <v>12</v>
      </c>
      <c r="I76" t="s">
        <v>198</v>
      </c>
      <c r="J76" t="n">
        <v>-1</v>
      </c>
      <c r="K76" t="n">
        <v>0</v>
      </c>
      <c r="L76" t="n">
        <v>0</v>
      </c>
      <c r="M76" t="n">
        <v>12</v>
      </c>
      <c r="N76" t="n">
        <v>-1.5</v>
      </c>
      <c r="O76" t="n">
        <v>-0.25</v>
      </c>
      <c r="P76" t="n">
        <v>73</v>
      </c>
      <c r="Q76" t="n">
        <v>12</v>
      </c>
      <c r="R76" t="s">
        <v>198</v>
      </c>
      <c r="S76" t="s">
        <v>200</v>
      </c>
      <c r="T76" t="n">
        <v>-1.625</v>
      </c>
    </row>
    <row r="77">
      <c r="A77" t="s">
        <v>31</v>
      </c>
      <c r="B77" t="n">
        <v>1.25</v>
      </c>
      <c r="C77" t="n">
        <v>1.25</v>
      </c>
      <c r="D77" t="n">
        <v>1.25</v>
      </c>
      <c r="E77" t="n">
        <v>-4.25</v>
      </c>
      <c r="F77" t="n">
        <v>-1</v>
      </c>
      <c r="G77" t="n">
        <v>25</v>
      </c>
      <c r="H77" t="n">
        <v>12</v>
      </c>
      <c r="I77" t="s">
        <v>198</v>
      </c>
      <c r="J77" t="n">
        <v>0</v>
      </c>
      <c r="K77" t="n">
        <v>0</v>
      </c>
      <c r="L77" t="n">
        <v>0</v>
      </c>
      <c r="M77" t="n">
        <v>12</v>
      </c>
      <c r="N77" t="n">
        <v>0</v>
      </c>
      <c r="O77" t="n">
        <v>-0.5</v>
      </c>
      <c r="P77" t="n">
        <v>117</v>
      </c>
      <c r="Q77" t="n">
        <v>12</v>
      </c>
      <c r="R77" t="s">
        <v>198</v>
      </c>
      <c r="S77" t="s">
        <v>198</v>
      </c>
      <c r="T77" t="n">
        <v>-0.25</v>
      </c>
    </row>
    <row r="78">
      <c r="A78" t="s">
        <v>31</v>
      </c>
      <c r="B78" t="n">
        <v>1.25</v>
      </c>
      <c r="C78" t="n">
        <v>1.25</v>
      </c>
      <c r="D78" t="n">
        <v>1.6</v>
      </c>
      <c r="E78" t="n">
        <v>-0.5</v>
      </c>
      <c r="F78" t="n">
        <v>-0.75</v>
      </c>
      <c r="G78" t="n">
        <v>125</v>
      </c>
      <c r="H78" t="n">
        <v>12</v>
      </c>
      <c r="I78" t="s">
        <v>198</v>
      </c>
      <c r="J78" t="n">
        <v>0</v>
      </c>
      <c r="K78" t="n">
        <v>0</v>
      </c>
      <c r="L78" t="n">
        <v>0</v>
      </c>
      <c r="M78" t="n">
        <v>12</v>
      </c>
      <c r="N78" t="n">
        <v>0.25</v>
      </c>
      <c r="O78" t="n">
        <v>-0.5</v>
      </c>
      <c r="P78" t="n">
        <v>96</v>
      </c>
      <c r="Q78" t="n">
        <v>12</v>
      </c>
      <c r="R78" t="s">
        <v>199</v>
      </c>
      <c r="S78" t="s">
        <v>198</v>
      </c>
      <c r="T78" t="n">
        <v>0</v>
      </c>
    </row>
    <row r="79">
      <c r="A79" t="s">
        <v>31</v>
      </c>
      <c r="B79" t="n">
        <v>1.6</v>
      </c>
      <c r="C79" t="n">
        <v>1.6</v>
      </c>
      <c r="D79" t="n">
        <v>1.6</v>
      </c>
      <c r="E79" t="n">
        <v>-1.25</v>
      </c>
      <c r="F79" t="n">
        <v>-0.5</v>
      </c>
      <c r="G79" t="n">
        <v>69</v>
      </c>
      <c r="H79" t="n">
        <v>12</v>
      </c>
      <c r="I79" t="s">
        <v>199</v>
      </c>
      <c r="J79" t="n">
        <v>0</v>
      </c>
      <c r="K79" t="n">
        <v>0</v>
      </c>
      <c r="L79" t="n">
        <v>0</v>
      </c>
      <c r="M79" t="n">
        <v>12</v>
      </c>
      <c r="N79" t="n">
        <v>0.25</v>
      </c>
      <c r="O79" t="n">
        <v>0</v>
      </c>
      <c r="P79" t="n">
        <v>66</v>
      </c>
      <c r="Q79" t="n">
        <v>12</v>
      </c>
      <c r="R79" t="s">
        <v>199</v>
      </c>
      <c r="S79" t="s">
        <v>199</v>
      </c>
      <c r="T79" t="n">
        <v>0.25</v>
      </c>
    </row>
    <row r="80">
      <c r="A80" t="s">
        <v>31</v>
      </c>
      <c r="B80" t="n">
        <v>1</v>
      </c>
      <c r="C80" t="n">
        <v>1</v>
      </c>
      <c r="D80" t="n">
        <v>1.25</v>
      </c>
      <c r="E80" t="n">
        <v>-3.75</v>
      </c>
      <c r="F80" t="n">
        <v>-1.75</v>
      </c>
      <c r="G80" t="n">
        <v>6</v>
      </c>
      <c r="H80" t="n">
        <v>12</v>
      </c>
      <c r="I80" t="s">
        <v>197</v>
      </c>
      <c r="J80" t="n">
        <v>0</v>
      </c>
      <c r="K80" t="n">
        <v>0</v>
      </c>
      <c r="L80" t="n">
        <v>0</v>
      </c>
      <c r="M80" t="n">
        <v>12</v>
      </c>
      <c r="N80" t="n">
        <v>-0.5</v>
      </c>
      <c r="O80" t="n">
        <v>-0.25</v>
      </c>
      <c r="P80" t="n">
        <v>112</v>
      </c>
      <c r="Q80" t="n">
        <v>12</v>
      </c>
      <c r="R80" t="s">
        <v>198</v>
      </c>
      <c r="S80" t="s">
        <v>197</v>
      </c>
      <c r="T80" t="n">
        <v>-0.625</v>
      </c>
    </row>
    <row r="81">
      <c r="A81" t="s">
        <v>31</v>
      </c>
      <c r="B81" t="n">
        <v>1</v>
      </c>
      <c r="C81" t="n">
        <v>0.5</v>
      </c>
      <c r="D81" t="n">
        <v>1</v>
      </c>
      <c r="E81" t="n">
        <v>-3.75</v>
      </c>
      <c r="F81" t="n">
        <v>-1.25</v>
      </c>
      <c r="G81" t="n">
        <v>8</v>
      </c>
      <c r="H81" t="n">
        <v>12</v>
      </c>
      <c r="I81" t="s">
        <v>197</v>
      </c>
      <c r="J81" t="n">
        <v>-0.5</v>
      </c>
      <c r="K81" t="n">
        <v>0</v>
      </c>
      <c r="L81" t="n">
        <v>0</v>
      </c>
      <c r="M81" t="n">
        <v>12</v>
      </c>
      <c r="N81" t="n">
        <v>-0.75</v>
      </c>
      <c r="O81" t="n">
        <v>-0.5</v>
      </c>
      <c r="P81" t="n">
        <v>126</v>
      </c>
      <c r="Q81" t="n">
        <v>12</v>
      </c>
      <c r="R81" t="s">
        <v>197</v>
      </c>
      <c r="S81" t="s">
        <v>200</v>
      </c>
      <c r="T81" t="n">
        <v>-1</v>
      </c>
    </row>
    <row r="82">
      <c r="A82" t="s">
        <v>31</v>
      </c>
      <c r="B82" t="n">
        <v>1</v>
      </c>
      <c r="C82" t="n">
        <v>1</v>
      </c>
      <c r="D82" t="n">
        <v>1</v>
      </c>
      <c r="E82" t="n">
        <v>-4.25</v>
      </c>
      <c r="F82" t="n">
        <v>-1</v>
      </c>
      <c r="G82" t="n">
        <v>73</v>
      </c>
      <c r="H82" t="n">
        <v>12</v>
      </c>
      <c r="I82" t="s">
        <v>197</v>
      </c>
      <c r="J82" t="n">
        <v>0</v>
      </c>
      <c r="K82" t="n">
        <v>0</v>
      </c>
      <c r="L82" t="n">
        <v>0</v>
      </c>
      <c r="M82" t="n">
        <v>12</v>
      </c>
      <c r="N82" t="n">
        <v>0</v>
      </c>
      <c r="O82" t="n">
        <v>-0.25</v>
      </c>
      <c r="P82" t="n">
        <v>22</v>
      </c>
      <c r="Q82" t="n">
        <v>12</v>
      </c>
      <c r="R82" t="s">
        <v>197</v>
      </c>
      <c r="S82" t="s">
        <v>197</v>
      </c>
      <c r="T82" t="n">
        <v>-0.125</v>
      </c>
    </row>
    <row r="83">
      <c r="A83" t="s">
        <v>31</v>
      </c>
      <c r="B83" t="n">
        <v>1</v>
      </c>
      <c r="C83" t="n">
        <v>1</v>
      </c>
      <c r="D83" t="n">
        <v>1.25</v>
      </c>
      <c r="E83" t="n">
        <v>-4.5</v>
      </c>
      <c r="F83" t="n">
        <v>-1.25</v>
      </c>
      <c r="G83" t="n">
        <v>168</v>
      </c>
      <c r="H83" t="n">
        <v>12</v>
      </c>
      <c r="I83" t="s">
        <v>197</v>
      </c>
      <c r="J83" t="n">
        <v>0</v>
      </c>
      <c r="K83" t="n">
        <v>0</v>
      </c>
      <c r="L83" t="n">
        <v>0</v>
      </c>
      <c r="M83" t="n">
        <v>12</v>
      </c>
      <c r="N83" t="n">
        <v>-0.5</v>
      </c>
      <c r="O83" t="n">
        <v>-0.25</v>
      </c>
      <c r="P83" t="n">
        <v>15</v>
      </c>
      <c r="Q83" t="n">
        <v>12</v>
      </c>
      <c r="R83" t="s">
        <v>198</v>
      </c>
      <c r="S83" t="s">
        <v>197</v>
      </c>
      <c r="T83" t="n">
        <v>-0.625</v>
      </c>
    </row>
    <row r="84">
      <c r="A84" t="s">
        <v>31</v>
      </c>
      <c r="B84" t="n">
        <v>1</v>
      </c>
      <c r="C84" t="n">
        <v>1</v>
      </c>
      <c r="D84" t="n">
        <v>1</v>
      </c>
      <c r="E84" t="n">
        <v>-4.25</v>
      </c>
      <c r="F84" t="n">
        <v>-0.75</v>
      </c>
      <c r="G84" t="n">
        <v>50</v>
      </c>
      <c r="H84" t="n">
        <v>12</v>
      </c>
      <c r="I84" t="s">
        <v>197</v>
      </c>
      <c r="J84" t="n">
        <v>0</v>
      </c>
      <c r="K84" t="n">
        <v>0</v>
      </c>
      <c r="L84" t="n">
        <v>0</v>
      </c>
      <c r="M84" t="n">
        <v>12</v>
      </c>
      <c r="N84" t="n">
        <v>0</v>
      </c>
      <c r="O84" t="n">
        <v>-0.5</v>
      </c>
      <c r="P84" t="n">
        <v>83</v>
      </c>
      <c r="Q84" t="n">
        <v>12</v>
      </c>
      <c r="R84" t="s">
        <v>197</v>
      </c>
      <c r="S84" t="s">
        <v>197</v>
      </c>
      <c r="T84" t="n">
        <v>-0.25</v>
      </c>
    </row>
    <row r="85">
      <c r="A85" t="s">
        <v>31</v>
      </c>
      <c r="B85" t="n">
        <v>1.25</v>
      </c>
      <c r="C85" t="n">
        <v>1.25</v>
      </c>
      <c r="D85" t="n">
        <v>1.25</v>
      </c>
      <c r="E85" t="n">
        <v>-5.5</v>
      </c>
      <c r="F85" t="n">
        <v>-1.25</v>
      </c>
      <c r="G85" t="n">
        <v>132</v>
      </c>
      <c r="H85" t="n">
        <v>12</v>
      </c>
      <c r="I85" t="s">
        <v>198</v>
      </c>
      <c r="J85" t="n">
        <v>0</v>
      </c>
      <c r="K85" t="n">
        <v>0</v>
      </c>
      <c r="L85" t="n">
        <v>0</v>
      </c>
      <c r="M85" t="n">
        <v>12</v>
      </c>
      <c r="N85" t="n">
        <v>-0.25</v>
      </c>
      <c r="O85" t="n">
        <v>-0.25</v>
      </c>
      <c r="P85" t="n">
        <v>102</v>
      </c>
      <c r="Q85" t="n">
        <v>12</v>
      </c>
      <c r="R85" t="s">
        <v>198</v>
      </c>
      <c r="S85" t="s">
        <v>198</v>
      </c>
      <c r="T85" t="n">
        <v>-0.375</v>
      </c>
    </row>
    <row r="86">
      <c r="A86" t="s">
        <v>31</v>
      </c>
      <c r="B86" t="n">
        <v>1</v>
      </c>
      <c r="C86"/>
      <c r="D86" t="n">
        <v>1</v>
      </c>
      <c r="E86" t="n">
        <v>-3.25</v>
      </c>
      <c r="F86" t="n">
        <v>-1.5</v>
      </c>
      <c r="G86" t="n">
        <v>177</v>
      </c>
      <c r="H86" t="n">
        <v>12</v>
      </c>
      <c r="I86" t="s">
        <v>197</v>
      </c>
      <c r="J86" t="n">
        <v>0</v>
      </c>
      <c r="K86" t="n">
        <v>0</v>
      </c>
      <c r="L86" t="n">
        <v>0</v>
      </c>
      <c r="M86" t="n">
        <v>12</v>
      </c>
      <c r="N86" t="n">
        <v>0.25</v>
      </c>
      <c r="O86" t="n">
        <v>-0.25</v>
      </c>
      <c r="P86" t="n">
        <v>129</v>
      </c>
      <c r="Q86" t="n">
        <v>12</v>
      </c>
      <c r="R86" t="s">
        <v>197</v>
      </c>
      <c r="S86" t="s">
        <v>95</v>
      </c>
      <c r="T86" t="n">
        <v>0.125</v>
      </c>
    </row>
    <row r="87">
      <c r="A87" t="s">
        <v>31</v>
      </c>
      <c r="B87" t="n">
        <v>1.25</v>
      </c>
      <c r="C87" t="n">
        <v>1</v>
      </c>
      <c r="D87" t="n">
        <v>1</v>
      </c>
      <c r="E87" t="n">
        <v>-2.75</v>
      </c>
      <c r="F87" t="n">
        <v>-1.5</v>
      </c>
      <c r="G87" t="n">
        <v>153</v>
      </c>
      <c r="H87" t="n">
        <v>12</v>
      </c>
      <c r="I87" t="s">
        <v>198</v>
      </c>
      <c r="J87" t="n">
        <v>0</v>
      </c>
      <c r="K87" t="n">
        <v>0</v>
      </c>
      <c r="L87" t="n">
        <v>0</v>
      </c>
      <c r="M87" t="n">
        <v>12</v>
      </c>
      <c r="N87" t="n">
        <v>0.25</v>
      </c>
      <c r="O87" t="n">
        <v>-0.25</v>
      </c>
      <c r="P87" t="n">
        <v>115</v>
      </c>
      <c r="Q87" t="n">
        <v>12</v>
      </c>
      <c r="R87" t="s">
        <v>197</v>
      </c>
      <c r="S87" t="s">
        <v>197</v>
      </c>
      <c r="T87" t="n">
        <v>0.125</v>
      </c>
    </row>
    <row r="88">
      <c r="A88" t="s">
        <v>31</v>
      </c>
      <c r="B88" t="n">
        <v>1</v>
      </c>
      <c r="C88" t="n">
        <v>0.8</v>
      </c>
      <c r="D88" t="n">
        <v>1</v>
      </c>
      <c r="E88" t="n">
        <v>-5.75</v>
      </c>
      <c r="F88" t="n">
        <v>-0.5</v>
      </c>
      <c r="G88" t="n">
        <v>140</v>
      </c>
      <c r="H88" t="n">
        <v>12</v>
      </c>
      <c r="I88" t="s">
        <v>197</v>
      </c>
      <c r="J88" t="n">
        <v>0</v>
      </c>
      <c r="K88" t="n">
        <v>0</v>
      </c>
      <c r="L88" t="n">
        <v>0</v>
      </c>
      <c r="M88" t="n">
        <v>12</v>
      </c>
      <c r="N88" t="n">
        <v>-0.5</v>
      </c>
      <c r="O88" t="n">
        <v>0</v>
      </c>
      <c r="P88" t="n">
        <v>150</v>
      </c>
      <c r="Q88" t="n">
        <v>12</v>
      </c>
      <c r="R88" t="s">
        <v>197</v>
      </c>
      <c r="S88" t="s">
        <v>196</v>
      </c>
      <c r="T88" t="n">
        <v>-0.5</v>
      </c>
    </row>
    <row r="89">
      <c r="A89" t="s">
        <v>31</v>
      </c>
      <c r="B89" t="n">
        <v>1</v>
      </c>
      <c r="C89" t="n">
        <v>0.5</v>
      </c>
      <c r="D89" t="n">
        <v>0.8</v>
      </c>
      <c r="E89" t="n">
        <v>-5.5</v>
      </c>
      <c r="F89" t="n">
        <v>-0.75</v>
      </c>
      <c r="G89" t="n">
        <v>41</v>
      </c>
      <c r="H89" t="n">
        <v>12</v>
      </c>
      <c r="I89" t="s">
        <v>197</v>
      </c>
      <c r="J89" t="n">
        <v>0</v>
      </c>
      <c r="K89" t="n">
        <v>0</v>
      </c>
      <c r="L89" t="n">
        <v>0</v>
      </c>
      <c r="M89" t="n">
        <v>12</v>
      </c>
      <c r="N89" t="n">
        <v>-0.75</v>
      </c>
      <c r="O89" t="n">
        <v>0</v>
      </c>
      <c r="P89" t="n">
        <v>140</v>
      </c>
      <c r="Q89" t="n">
        <v>12</v>
      </c>
      <c r="R89" t="s">
        <v>196</v>
      </c>
      <c r="S89" t="s">
        <v>200</v>
      </c>
      <c r="T89" t="n">
        <v>-0.75</v>
      </c>
    </row>
    <row r="90">
      <c r="A90" t="s">
        <v>31</v>
      </c>
      <c r="B90" t="n">
        <v>1.25</v>
      </c>
      <c r="C90" t="n">
        <v>1.25</v>
      </c>
      <c r="D90" t="n">
        <v>1.25</v>
      </c>
      <c r="E90" t="n">
        <v>-2.75</v>
      </c>
      <c r="F90" t="n">
        <v>-1.25</v>
      </c>
      <c r="G90" t="n">
        <v>2</v>
      </c>
      <c r="H90" t="n">
        <v>12</v>
      </c>
      <c r="I90" t="s">
        <v>198</v>
      </c>
      <c r="J90" t="n">
        <v>0</v>
      </c>
      <c r="K90" t="n">
        <v>0</v>
      </c>
      <c r="L90" t="n">
        <v>0</v>
      </c>
      <c r="M90" t="n">
        <v>12</v>
      </c>
      <c r="N90" t="n">
        <v>0</v>
      </c>
      <c r="O90" t="n">
        <v>-0.25</v>
      </c>
      <c r="P90" t="n">
        <v>58</v>
      </c>
      <c r="Q90" t="n">
        <v>12</v>
      </c>
      <c r="R90" t="s">
        <v>198</v>
      </c>
      <c r="S90" t="s">
        <v>198</v>
      </c>
      <c r="T90" t="n">
        <v>-0.125</v>
      </c>
    </row>
    <row r="91">
      <c r="A91" t="s">
        <v>31</v>
      </c>
      <c r="B91" t="n">
        <v>1.25</v>
      </c>
      <c r="C91" t="n">
        <v>1.25</v>
      </c>
      <c r="D91" t="n">
        <v>1.6</v>
      </c>
      <c r="E91" t="n">
        <v>-2.75</v>
      </c>
      <c r="F91" t="n">
        <v>-1.5</v>
      </c>
      <c r="G91" t="n">
        <v>165</v>
      </c>
      <c r="H91" t="n">
        <v>12</v>
      </c>
      <c r="I91" t="s">
        <v>198</v>
      </c>
      <c r="J91" t="n">
        <v>0</v>
      </c>
      <c r="K91" t="n">
        <v>0</v>
      </c>
      <c r="L91" t="n">
        <v>0</v>
      </c>
      <c r="M91" t="n">
        <v>12</v>
      </c>
      <c r="N91" t="n">
        <v>-0.25</v>
      </c>
      <c r="O91" t="n">
        <v>-0.25</v>
      </c>
      <c r="P91" t="n">
        <v>166</v>
      </c>
      <c r="Q91" t="n">
        <v>12</v>
      </c>
      <c r="R91" t="s">
        <v>199</v>
      </c>
      <c r="S91" t="s">
        <v>198</v>
      </c>
      <c r="T91" t="n">
        <v>-0.375</v>
      </c>
    </row>
    <row r="92">
      <c r="A92" t="s">
        <v>31</v>
      </c>
      <c r="B92" t="n">
        <v>1</v>
      </c>
      <c r="C92" t="n">
        <v>1</v>
      </c>
      <c r="D92" t="n">
        <v>1</v>
      </c>
      <c r="E92" t="n">
        <v>-3.5</v>
      </c>
      <c r="F92" t="n">
        <v>-0.25</v>
      </c>
      <c r="G92" t="n">
        <v>90</v>
      </c>
      <c r="H92" t="n">
        <v>12</v>
      </c>
      <c r="I92" t="s">
        <v>197</v>
      </c>
      <c r="J92" t="n">
        <v>0</v>
      </c>
      <c r="K92" t="n">
        <v>0</v>
      </c>
      <c r="L92" t="n">
        <v>0</v>
      </c>
      <c r="M92" t="n">
        <v>12</v>
      </c>
      <c r="N92" t="n">
        <v>0.25</v>
      </c>
      <c r="O92" t="n">
        <v>-0.25</v>
      </c>
      <c r="P92" t="n">
        <v>147</v>
      </c>
      <c r="Q92" t="n">
        <v>12</v>
      </c>
      <c r="R92" t="s">
        <v>197</v>
      </c>
      <c r="S92" t="s">
        <v>197</v>
      </c>
      <c r="T92" t="n">
        <v>0.125</v>
      </c>
    </row>
    <row r="93">
      <c r="A93" t="s">
        <v>31</v>
      </c>
      <c r="B93" t="n">
        <v>1.25</v>
      </c>
      <c r="C93" t="n">
        <v>0.8</v>
      </c>
      <c r="D93" t="n">
        <v>1.25</v>
      </c>
      <c r="E93" t="n">
        <v>-1.75</v>
      </c>
      <c r="F93" t="n">
        <v>-1</v>
      </c>
      <c r="G93" t="n">
        <v>82</v>
      </c>
      <c r="H93" t="n">
        <v>12</v>
      </c>
      <c r="I93" t="s">
        <v>198</v>
      </c>
      <c r="J93" t="n">
        <v>0</v>
      </c>
      <c r="K93" t="n">
        <v>0</v>
      </c>
      <c r="L93" t="n">
        <v>0</v>
      </c>
      <c r="M93" t="n">
        <v>12</v>
      </c>
      <c r="N93" t="n">
        <v>-0.75</v>
      </c>
      <c r="O93" t="n">
        <v>-0.25</v>
      </c>
      <c r="P93" t="n">
        <v>99</v>
      </c>
      <c r="Q93" t="n">
        <v>12</v>
      </c>
      <c r="R93" t="s">
        <v>198</v>
      </c>
      <c r="S93" t="s">
        <v>196</v>
      </c>
      <c r="T93" t="n">
        <v>-0.875</v>
      </c>
    </row>
    <row r="94">
      <c r="A94" t="s">
        <v>31</v>
      </c>
      <c r="B94" t="n">
        <v>1.25</v>
      </c>
      <c r="C94" t="n">
        <v>0.8</v>
      </c>
      <c r="D94" t="n">
        <v>1.25</v>
      </c>
      <c r="E94" t="n">
        <v>-1.5</v>
      </c>
      <c r="F94" t="n">
        <v>-1</v>
      </c>
      <c r="G94" t="n">
        <v>80</v>
      </c>
      <c r="H94" t="n">
        <v>12</v>
      </c>
      <c r="I94" t="s">
        <v>198</v>
      </c>
      <c r="J94" t="n">
        <v>-0.75</v>
      </c>
      <c r="K94" t="n">
        <v>0</v>
      </c>
      <c r="L94" t="n">
        <v>0</v>
      </c>
      <c r="M94" t="n">
        <v>12</v>
      </c>
      <c r="N94" t="n">
        <v>-0.75</v>
      </c>
      <c r="O94" t="n">
        <v>-0.5</v>
      </c>
      <c r="P94" t="n">
        <v>36</v>
      </c>
      <c r="Q94" t="n">
        <v>12</v>
      </c>
      <c r="R94" t="s">
        <v>198</v>
      </c>
      <c r="S94" t="s">
        <v>196</v>
      </c>
      <c r="T94" t="n">
        <v>-1</v>
      </c>
    </row>
    <row r="95">
      <c r="A95" t="s">
        <v>31</v>
      </c>
      <c r="B95" t="n">
        <v>1.25</v>
      </c>
      <c r="C95" t="n">
        <v>1.25</v>
      </c>
      <c r="D95" t="n">
        <v>1.25</v>
      </c>
      <c r="E95" t="n">
        <v>-0.25</v>
      </c>
      <c r="F95" t="n">
        <v>-0.5</v>
      </c>
      <c r="G95" t="n">
        <v>165</v>
      </c>
      <c r="H95" t="n">
        <v>12</v>
      </c>
      <c r="I95" t="s">
        <v>198</v>
      </c>
      <c r="J95" t="n">
        <v>0</v>
      </c>
      <c r="K95" t="n">
        <v>0</v>
      </c>
      <c r="L95" t="n">
        <v>0</v>
      </c>
      <c r="M95" t="n">
        <v>12</v>
      </c>
      <c r="N95" t="n">
        <v>0</v>
      </c>
      <c r="O95" t="n">
        <v>-0.25</v>
      </c>
      <c r="P95" t="n">
        <v>155</v>
      </c>
      <c r="Q95" t="n">
        <v>12</v>
      </c>
      <c r="R95" t="s">
        <v>198</v>
      </c>
      <c r="S95" t="s">
        <v>198</v>
      </c>
      <c r="T95" t="n">
        <v>-0.125</v>
      </c>
    </row>
    <row r="96">
      <c r="A96" t="s">
        <v>31</v>
      </c>
      <c r="B96" t="n">
        <v>1</v>
      </c>
      <c r="C96" t="n">
        <v>1</v>
      </c>
      <c r="D96" t="n">
        <v>1</v>
      </c>
      <c r="E96" t="n">
        <v>-6.5</v>
      </c>
      <c r="F96" t="n">
        <v>-1.25</v>
      </c>
      <c r="G96" t="n">
        <v>5</v>
      </c>
      <c r="H96" t="n">
        <v>12</v>
      </c>
      <c r="I96" t="s">
        <v>197</v>
      </c>
      <c r="J96" t="n">
        <v>0</v>
      </c>
      <c r="K96" t="n">
        <v>0</v>
      </c>
      <c r="L96" t="n">
        <v>0</v>
      </c>
      <c r="M96" t="n">
        <v>12</v>
      </c>
      <c r="N96" t="n">
        <v>-0.25</v>
      </c>
      <c r="O96" t="n">
        <v>-0.25</v>
      </c>
      <c r="P96" t="n">
        <v>135</v>
      </c>
      <c r="Q96" t="n">
        <v>12</v>
      </c>
      <c r="R96" t="s">
        <v>197</v>
      </c>
      <c r="S96" t="s">
        <v>197</v>
      </c>
      <c r="T96" t="n">
        <v>-0.375</v>
      </c>
    </row>
    <row r="97">
      <c r="A97" t="s">
        <v>31</v>
      </c>
      <c r="B97" t="n">
        <v>1.25</v>
      </c>
      <c r="C97" t="n">
        <v>1.25</v>
      </c>
      <c r="D97" t="n">
        <v>1.25</v>
      </c>
      <c r="E97" t="n">
        <v>-5.75</v>
      </c>
      <c r="F97" t="n">
        <v>-0.5</v>
      </c>
      <c r="G97" t="n">
        <v>14</v>
      </c>
      <c r="H97" t="n">
        <v>12</v>
      </c>
      <c r="I97" t="s">
        <v>198</v>
      </c>
      <c r="J97" t="n">
        <v>0</v>
      </c>
      <c r="K97" t="n">
        <v>0</v>
      </c>
      <c r="L97" t="n">
        <v>0</v>
      </c>
      <c r="M97" t="n">
        <v>12</v>
      </c>
      <c r="N97" t="n">
        <v>0</v>
      </c>
      <c r="O97" t="n">
        <v>-0.25</v>
      </c>
      <c r="P97" t="n">
        <v>144</v>
      </c>
      <c r="Q97" t="n">
        <v>12</v>
      </c>
      <c r="R97" t="s">
        <v>198</v>
      </c>
      <c r="S97" t="s">
        <v>198</v>
      </c>
      <c r="T97" t="n">
        <v>-0.125</v>
      </c>
    </row>
    <row r="98">
      <c r="A98" t="s">
        <v>31</v>
      </c>
      <c r="B98" t="n">
        <v>1</v>
      </c>
      <c r="C98" t="n">
        <v>1</v>
      </c>
      <c r="D98" t="n">
        <v>1</v>
      </c>
      <c r="E98" t="n">
        <v>-6.5</v>
      </c>
      <c r="F98" t="n">
        <v>-0.75</v>
      </c>
      <c r="G98" t="n">
        <v>160</v>
      </c>
      <c r="H98" t="n">
        <v>12</v>
      </c>
      <c r="I98" t="s">
        <v>197</v>
      </c>
      <c r="J98" t="n">
        <v>0</v>
      </c>
      <c r="K98" t="n">
        <v>0</v>
      </c>
      <c r="L98" t="n">
        <v>0</v>
      </c>
      <c r="M98" t="n">
        <v>12</v>
      </c>
      <c r="N98" t="n">
        <v>-0.25</v>
      </c>
      <c r="O98" t="n">
        <v>-0.25</v>
      </c>
      <c r="P98" t="n">
        <v>170</v>
      </c>
      <c r="Q98" t="n">
        <v>12</v>
      </c>
      <c r="R98" t="s">
        <v>197</v>
      </c>
      <c r="S98" t="s">
        <v>197</v>
      </c>
      <c r="T98" t="n">
        <v>-0.375</v>
      </c>
    </row>
    <row r="99">
      <c r="A99" t="s">
        <v>31</v>
      </c>
      <c r="B99" t="n">
        <v>1</v>
      </c>
      <c r="C99" t="n">
        <v>1</v>
      </c>
      <c r="D99" t="n">
        <v>1</v>
      </c>
      <c r="E99" t="n">
        <v>-4.25</v>
      </c>
      <c r="F99" t="n">
        <v>-0.75</v>
      </c>
      <c r="G99" t="n">
        <v>21</v>
      </c>
      <c r="H99" t="n">
        <v>12</v>
      </c>
      <c r="I99" t="s">
        <v>197</v>
      </c>
      <c r="J99" t="n">
        <v>0</v>
      </c>
      <c r="K99" t="n">
        <v>0</v>
      </c>
      <c r="L99" t="n">
        <v>0</v>
      </c>
      <c r="M99" t="n">
        <v>12</v>
      </c>
      <c r="N99" t="n">
        <v>-0.25</v>
      </c>
      <c r="O99" t="n">
        <v>-0.25</v>
      </c>
      <c r="P99" t="n">
        <v>177</v>
      </c>
      <c r="Q99" t="n">
        <v>12</v>
      </c>
      <c r="R99" t="s">
        <v>197</v>
      </c>
      <c r="S99" t="s">
        <v>197</v>
      </c>
      <c r="T99" t="n">
        <v>-0.375</v>
      </c>
    </row>
    <row r="100">
      <c r="A100" t="s">
        <v>31</v>
      </c>
      <c r="B100" t="n">
        <v>1.25</v>
      </c>
      <c r="C100" t="n">
        <v>1.25</v>
      </c>
      <c r="D100" t="n">
        <v>1.25</v>
      </c>
      <c r="E100" t="n">
        <v>-1</v>
      </c>
      <c r="F100" t="n">
        <v>-0.75</v>
      </c>
      <c r="G100" t="n">
        <v>21</v>
      </c>
      <c r="H100" t="n">
        <v>12</v>
      </c>
      <c r="I100" t="s">
        <v>198</v>
      </c>
      <c r="J100" t="n">
        <v>0</v>
      </c>
      <c r="K100" t="n">
        <v>0</v>
      </c>
      <c r="L100" t="n">
        <v>0</v>
      </c>
      <c r="M100" t="n">
        <v>12</v>
      </c>
      <c r="N100" t="n">
        <v>0.25</v>
      </c>
      <c r="O100" t="n">
        <v>0</v>
      </c>
      <c r="P100" t="n">
        <v>180</v>
      </c>
      <c r="Q100" t="n">
        <v>12</v>
      </c>
      <c r="R100" t="s">
        <v>198</v>
      </c>
      <c r="S100" t="s">
        <v>198</v>
      </c>
      <c r="T100" t="n">
        <v>0.25</v>
      </c>
    </row>
    <row r="101">
      <c r="A101" t="s">
        <v>31</v>
      </c>
      <c r="B101" t="n">
        <v>1</v>
      </c>
      <c r="C101" t="n">
        <v>1</v>
      </c>
      <c r="D101" t="n">
        <v>1</v>
      </c>
      <c r="E101" t="n">
        <v>-0.75</v>
      </c>
      <c r="F101" t="n">
        <v>-0.5</v>
      </c>
      <c r="G101" t="n">
        <v>166</v>
      </c>
      <c r="H101" t="n">
        <v>12</v>
      </c>
      <c r="I101" t="s">
        <v>197</v>
      </c>
      <c r="J101" t="n">
        <v>0</v>
      </c>
      <c r="K101" t="n">
        <v>0</v>
      </c>
      <c r="L101" t="n">
        <v>0</v>
      </c>
      <c r="M101" t="n">
        <v>12</v>
      </c>
      <c r="N101" t="n">
        <v>0.5</v>
      </c>
      <c r="O101" t="n">
        <v>-0.25</v>
      </c>
      <c r="P101" t="n">
        <v>26</v>
      </c>
      <c r="Q101" t="n">
        <v>12</v>
      </c>
      <c r="R101" t="s">
        <v>197</v>
      </c>
      <c r="S101" t="s">
        <v>197</v>
      </c>
      <c r="T101" t="n">
        <v>0.375</v>
      </c>
    </row>
    <row r="102">
      <c r="A102" t="s">
        <v>31</v>
      </c>
      <c r="B102" t="n">
        <v>1.25</v>
      </c>
      <c r="C102" t="n">
        <v>1.25</v>
      </c>
      <c r="D102" t="n">
        <v>1.25</v>
      </c>
      <c r="E102" t="n">
        <v>-0.25</v>
      </c>
      <c r="F102" t="n">
        <v>-0.75</v>
      </c>
      <c r="G102" t="n">
        <v>43</v>
      </c>
      <c r="H102" t="n">
        <v>12</v>
      </c>
      <c r="I102" t="s">
        <v>198</v>
      </c>
      <c r="J102" t="n">
        <v>0</v>
      </c>
      <c r="K102" t="n">
        <v>0</v>
      </c>
      <c r="L102" t="n">
        <v>0</v>
      </c>
      <c r="M102" t="n">
        <v>12</v>
      </c>
      <c r="N102" t="n">
        <v>-0.25</v>
      </c>
      <c r="O102" t="n">
        <v>-0.25</v>
      </c>
      <c r="P102" t="n">
        <v>180</v>
      </c>
      <c r="Q102" t="n">
        <v>12</v>
      </c>
      <c r="R102" t="s">
        <v>198</v>
      </c>
      <c r="S102" t="s">
        <v>198</v>
      </c>
      <c r="T102" t="n">
        <v>-0.375</v>
      </c>
    </row>
    <row r="103">
      <c r="A103" t="s">
        <v>31</v>
      </c>
      <c r="B103" t="n">
        <v>1.25</v>
      </c>
      <c r="C103" t="n">
        <v>1.25</v>
      </c>
      <c r="D103" t="n">
        <v>1.25</v>
      </c>
      <c r="E103" t="n">
        <v>-1.5</v>
      </c>
      <c r="F103" t="n">
        <v>-0.5</v>
      </c>
      <c r="G103" t="n">
        <v>141</v>
      </c>
      <c r="H103" t="n">
        <v>12</v>
      </c>
      <c r="I103" t="s">
        <v>198</v>
      </c>
      <c r="J103" t="n">
        <v>0</v>
      </c>
      <c r="K103" t="n">
        <v>0</v>
      </c>
      <c r="L103" t="n">
        <v>0</v>
      </c>
      <c r="M103" t="n">
        <v>12</v>
      </c>
      <c r="N103" t="n">
        <v>0</v>
      </c>
      <c r="O103" t="n">
        <v>0</v>
      </c>
      <c r="P103" t="n">
        <v>162</v>
      </c>
      <c r="Q103" t="n">
        <v>12</v>
      </c>
      <c r="R103" t="s">
        <v>198</v>
      </c>
      <c r="S103" t="s">
        <v>198</v>
      </c>
      <c r="T103" t="n">
        <v>0</v>
      </c>
    </row>
    <row r="104">
      <c r="A104" t="s">
        <v>31</v>
      </c>
      <c r="B104" t="n">
        <v>1.6</v>
      </c>
      <c r="C104" t="n">
        <v>1.6</v>
      </c>
      <c r="D104" t="n">
        <v>1.6</v>
      </c>
      <c r="E104" t="n">
        <v>-5</v>
      </c>
      <c r="F104" t="n">
        <v>0</v>
      </c>
      <c r="G104" t="n">
        <v>14</v>
      </c>
      <c r="H104" t="n">
        <v>12</v>
      </c>
      <c r="I104" t="s">
        <v>199</v>
      </c>
      <c r="J104" t="n">
        <v>0</v>
      </c>
      <c r="K104" t="n">
        <v>0</v>
      </c>
      <c r="L104" t="n">
        <v>0</v>
      </c>
      <c r="M104" t="n">
        <v>12</v>
      </c>
      <c r="N104" t="n">
        <v>0</v>
      </c>
      <c r="O104" t="n">
        <v>-0.25</v>
      </c>
      <c r="P104" t="n">
        <v>29</v>
      </c>
      <c r="Q104" t="n">
        <v>12</v>
      </c>
      <c r="R104" t="s">
        <v>199</v>
      </c>
      <c r="S104" t="s">
        <v>199</v>
      </c>
      <c r="T104" t="n">
        <v>-0.125</v>
      </c>
    </row>
    <row r="105">
      <c r="A105" t="s">
        <v>31</v>
      </c>
      <c r="B105" t="n">
        <v>1.25</v>
      </c>
      <c r="C105" t="n">
        <v>1</v>
      </c>
      <c r="D105" t="n">
        <v>1.25</v>
      </c>
      <c r="E105" t="n">
        <v>-1.75</v>
      </c>
      <c r="F105" t="n">
        <v>-0.25</v>
      </c>
      <c r="G105" t="n">
        <v>23</v>
      </c>
      <c r="H105" t="n">
        <v>12</v>
      </c>
      <c r="I105" t="s">
        <v>198</v>
      </c>
      <c r="J105" t="n">
        <v>0</v>
      </c>
      <c r="K105" t="n">
        <v>0</v>
      </c>
      <c r="L105" t="n">
        <v>0</v>
      </c>
      <c r="M105" t="n">
        <v>12</v>
      </c>
      <c r="N105" t="n">
        <v>-0.5</v>
      </c>
      <c r="O105" t="n">
        <v>-0.25</v>
      </c>
      <c r="P105" t="n">
        <v>43</v>
      </c>
      <c r="Q105" t="n">
        <v>12</v>
      </c>
      <c r="R105" t="s">
        <v>198</v>
      </c>
      <c r="S105" t="s">
        <v>197</v>
      </c>
      <c r="T105" t="n">
        <v>-0.625</v>
      </c>
    </row>
    <row r="106">
      <c r="A106" t="s">
        <v>31</v>
      </c>
      <c r="B106" t="n">
        <v>1</v>
      </c>
      <c r="C106" t="n">
        <v>0.5</v>
      </c>
      <c r="D106" t="n">
        <v>1</v>
      </c>
      <c r="E106" t="n">
        <v>-6.75</v>
      </c>
      <c r="F106" t="n">
        <v>-0.75</v>
      </c>
      <c r="G106" t="n">
        <v>163</v>
      </c>
      <c r="H106" t="n">
        <v>12</v>
      </c>
      <c r="I106" t="s">
        <v>197</v>
      </c>
      <c r="J106" t="n">
        <v>0</v>
      </c>
      <c r="K106" t="n">
        <v>0</v>
      </c>
      <c r="L106" t="n">
        <v>0</v>
      </c>
      <c r="M106" t="n">
        <v>12</v>
      </c>
      <c r="N106" t="n">
        <v>-1</v>
      </c>
      <c r="O106" t="n">
        <v>-0.25</v>
      </c>
      <c r="P106" t="n">
        <v>153</v>
      </c>
      <c r="Q106" t="n">
        <v>12</v>
      </c>
      <c r="R106" t="s">
        <v>197</v>
      </c>
      <c r="S106" t="s">
        <v>200</v>
      </c>
      <c r="T106" t="n">
        <v>-1.125</v>
      </c>
    </row>
    <row r="107">
      <c r="A107" t="s">
        <v>31</v>
      </c>
      <c r="B107" t="n">
        <v>1</v>
      </c>
      <c r="C107" t="n">
        <v>0.63</v>
      </c>
      <c r="D107" t="n">
        <v>1</v>
      </c>
      <c r="E107" t="n">
        <v>-6.5</v>
      </c>
      <c r="F107" t="n">
        <v>-0.75</v>
      </c>
      <c r="G107" t="n">
        <v>5</v>
      </c>
      <c r="H107" t="n">
        <v>12</v>
      </c>
      <c r="I107" t="s">
        <v>197</v>
      </c>
      <c r="J107" t="n">
        <v>0</v>
      </c>
      <c r="K107" t="n">
        <v>0</v>
      </c>
      <c r="L107" t="n">
        <v>0</v>
      </c>
      <c r="M107" t="n">
        <v>12</v>
      </c>
      <c r="N107" t="n">
        <v>-0.5</v>
      </c>
      <c r="O107" t="n">
        <v>-0.25</v>
      </c>
      <c r="P107" t="n">
        <v>162</v>
      </c>
      <c r="Q107" t="n">
        <v>12</v>
      </c>
      <c r="R107" t="s">
        <v>197</v>
      </c>
      <c r="S107" t="s">
        <v>201</v>
      </c>
      <c r="T107" t="n">
        <v>-0.625</v>
      </c>
    </row>
    <row r="108">
      <c r="A108" t="s">
        <v>31</v>
      </c>
      <c r="B108" t="n">
        <v>1</v>
      </c>
      <c r="C108" t="n">
        <v>1</v>
      </c>
      <c r="D108" t="n">
        <v>1</v>
      </c>
      <c r="E108" t="n">
        <v>-6</v>
      </c>
      <c r="F108" t="n">
        <v>-1.5</v>
      </c>
      <c r="G108" t="n">
        <v>124</v>
      </c>
      <c r="H108" t="n">
        <v>12</v>
      </c>
      <c r="I108" t="s">
        <v>197</v>
      </c>
      <c r="J108" t="n">
        <v>0</v>
      </c>
      <c r="K108" t="n">
        <v>0</v>
      </c>
      <c r="L108" t="n">
        <v>0</v>
      </c>
      <c r="M108" t="n">
        <v>12</v>
      </c>
      <c r="N108" t="n">
        <v>0</v>
      </c>
      <c r="O108" t="n">
        <v>-0.5</v>
      </c>
      <c r="P108" t="n">
        <v>105</v>
      </c>
      <c r="Q108" t="n">
        <v>12</v>
      </c>
      <c r="R108" t="s">
        <v>197</v>
      </c>
      <c r="S108" t="s">
        <v>197</v>
      </c>
      <c r="T108" t="n">
        <v>-0.25</v>
      </c>
    </row>
    <row r="109">
      <c r="A109" t="s">
        <v>31</v>
      </c>
      <c r="B109" t="n">
        <v>1</v>
      </c>
      <c r="C109" t="n">
        <v>1</v>
      </c>
      <c r="D109" t="n">
        <v>1.25</v>
      </c>
      <c r="E109" t="n">
        <v>-5</v>
      </c>
      <c r="F109" t="n">
        <v>-1</v>
      </c>
      <c r="G109" t="n">
        <v>55</v>
      </c>
      <c r="H109" t="n">
        <v>12</v>
      </c>
      <c r="I109" t="s">
        <v>197</v>
      </c>
      <c r="J109" t="n">
        <v>0</v>
      </c>
      <c r="K109" t="n">
        <v>0</v>
      </c>
      <c r="L109" t="n">
        <v>0</v>
      </c>
      <c r="M109" t="n">
        <v>12</v>
      </c>
      <c r="N109" t="n">
        <v>-0.5</v>
      </c>
      <c r="O109" t="n">
        <v>-0.25</v>
      </c>
      <c r="P109" t="n">
        <v>58</v>
      </c>
      <c r="Q109" t="n">
        <v>12</v>
      </c>
      <c r="R109" t="s">
        <v>198</v>
      </c>
      <c r="S109" t="s">
        <v>197</v>
      </c>
      <c r="T109" t="n">
        <v>-0.625</v>
      </c>
    </row>
    <row r="110">
      <c r="A110" t="s">
        <v>31</v>
      </c>
      <c r="B110" t="n">
        <v>1</v>
      </c>
      <c r="C110" t="n">
        <v>0.63</v>
      </c>
      <c r="D110" t="n">
        <v>1.25</v>
      </c>
      <c r="E110" t="n">
        <v>-2.5</v>
      </c>
      <c r="F110" t="n">
        <v>-0.25</v>
      </c>
      <c r="G110" t="n">
        <v>4</v>
      </c>
      <c r="H110" t="n">
        <v>12</v>
      </c>
      <c r="I110" t="s">
        <v>197</v>
      </c>
      <c r="J110" t="n">
        <v>0</v>
      </c>
      <c r="K110" t="n">
        <v>0</v>
      </c>
      <c r="L110" t="n">
        <v>0</v>
      </c>
      <c r="M110" t="n">
        <v>12</v>
      </c>
      <c r="N110" t="n">
        <v>-1</v>
      </c>
      <c r="O110" t="n">
        <v>0</v>
      </c>
      <c r="P110" t="n">
        <v>154</v>
      </c>
      <c r="Q110" t="n">
        <v>12</v>
      </c>
      <c r="R110" t="s">
        <v>198</v>
      </c>
      <c r="S110" t="s">
        <v>201</v>
      </c>
      <c r="T110" t="n">
        <v>-1</v>
      </c>
    </row>
    <row r="111">
      <c r="A111" t="s">
        <v>31</v>
      </c>
      <c r="B111" t="n">
        <v>0.8</v>
      </c>
      <c r="C111" t="n">
        <v>0.5</v>
      </c>
      <c r="D111" t="n">
        <v>0.8</v>
      </c>
      <c r="E111" t="n">
        <v>-2.25</v>
      </c>
      <c r="F111" t="n">
        <v>-0.5</v>
      </c>
      <c r="G111" t="n">
        <v>95</v>
      </c>
      <c r="H111" t="n">
        <v>12</v>
      </c>
      <c r="I111" t="s">
        <v>196</v>
      </c>
      <c r="J111" t="n">
        <v>-0.75</v>
      </c>
      <c r="K111" t="n">
        <v>0</v>
      </c>
      <c r="L111" t="n">
        <v>0</v>
      </c>
      <c r="M111" t="n">
        <v>12</v>
      </c>
      <c r="N111" t="n">
        <v>-1</v>
      </c>
      <c r="O111" t="n">
        <v>-0.25</v>
      </c>
      <c r="P111" t="n">
        <v>62</v>
      </c>
      <c r="Q111" t="n">
        <v>12</v>
      </c>
      <c r="R111" t="s">
        <v>196</v>
      </c>
      <c r="S111" t="s">
        <v>200</v>
      </c>
      <c r="T111" t="n">
        <v>-1.125</v>
      </c>
    </row>
    <row r="112">
      <c r="A112" t="s">
        <v>31</v>
      </c>
      <c r="B112" t="n">
        <v>1</v>
      </c>
      <c r="C112" t="n">
        <v>1</v>
      </c>
      <c r="D112" t="n">
        <v>1</v>
      </c>
      <c r="E112" t="n">
        <v>-2</v>
      </c>
      <c r="F112" t="n">
        <v>-0.25</v>
      </c>
      <c r="G112" t="n">
        <v>85</v>
      </c>
      <c r="H112" t="n">
        <v>12</v>
      </c>
      <c r="I112" t="s">
        <v>197</v>
      </c>
      <c r="J112" t="n">
        <v>0</v>
      </c>
      <c r="K112" t="n">
        <v>0</v>
      </c>
      <c r="L112" t="n">
        <v>0</v>
      </c>
      <c r="M112" t="n">
        <v>12</v>
      </c>
      <c r="N112" t="n">
        <v>-0.25</v>
      </c>
      <c r="O112" t="n">
        <v>0</v>
      </c>
      <c r="P112" t="n">
        <v>142</v>
      </c>
      <c r="Q112" t="n">
        <v>12</v>
      </c>
      <c r="R112" t="s">
        <v>197</v>
      </c>
      <c r="S112" t="s">
        <v>197</v>
      </c>
      <c r="T112" t="n">
        <v>-0.25</v>
      </c>
    </row>
    <row r="113">
      <c r="A113" t="s">
        <v>31</v>
      </c>
      <c r="B113" t="n">
        <v>1</v>
      </c>
      <c r="C113" t="n">
        <v>0.8</v>
      </c>
      <c r="D113" t="n">
        <v>1.6</v>
      </c>
      <c r="E113" t="n">
        <v>-7.5</v>
      </c>
      <c r="F113" t="n">
        <v>-0.75</v>
      </c>
      <c r="G113" t="n">
        <v>129</v>
      </c>
      <c r="H113" t="n">
        <v>12</v>
      </c>
      <c r="I113" t="s">
        <v>197</v>
      </c>
      <c r="J113" t="n">
        <v>-1</v>
      </c>
      <c r="K113" t="n">
        <v>0</v>
      </c>
      <c r="L113" t="n">
        <v>0</v>
      </c>
      <c r="M113" t="n">
        <v>12</v>
      </c>
      <c r="N113" t="n">
        <v>-1</v>
      </c>
      <c r="O113" t="n">
        <v>-0.25</v>
      </c>
      <c r="P113" t="n">
        <v>99</v>
      </c>
      <c r="Q113" t="n">
        <v>12</v>
      </c>
      <c r="R113" t="s">
        <v>199</v>
      </c>
      <c r="S113" t="s">
        <v>196</v>
      </c>
      <c r="T113" t="n">
        <v>-1.125</v>
      </c>
    </row>
    <row r="114">
      <c r="A114" t="s">
        <v>31</v>
      </c>
      <c r="B114" t="n">
        <v>1</v>
      </c>
      <c r="C114" t="n">
        <v>1.6</v>
      </c>
      <c r="D114" t="n">
        <v>1.6</v>
      </c>
      <c r="E114" t="n">
        <v>-7.5</v>
      </c>
      <c r="F114" t="n">
        <v>-0.75</v>
      </c>
      <c r="G114" t="n">
        <v>64</v>
      </c>
      <c r="H114" t="n">
        <v>12</v>
      </c>
      <c r="I114" t="s">
        <v>197</v>
      </c>
      <c r="J114" t="n">
        <v>0</v>
      </c>
      <c r="K114" t="n">
        <v>0</v>
      </c>
      <c r="L114" t="n">
        <v>0</v>
      </c>
      <c r="M114" t="n">
        <v>12</v>
      </c>
      <c r="N114" t="n">
        <v>-0.25</v>
      </c>
      <c r="O114" t="n">
        <v>-0.25</v>
      </c>
      <c r="P114" t="n">
        <v>67</v>
      </c>
      <c r="Q114" t="n">
        <v>12</v>
      </c>
      <c r="R114" t="s">
        <v>199</v>
      </c>
      <c r="S114" t="s">
        <v>199</v>
      </c>
      <c r="T114" t="n">
        <v>-0.375</v>
      </c>
    </row>
    <row r="115">
      <c r="A115" t="s">
        <v>31</v>
      </c>
      <c r="B115" t="n">
        <v>1</v>
      </c>
      <c r="C115" t="n">
        <v>0.63</v>
      </c>
      <c r="D115" t="n">
        <v>0.63</v>
      </c>
      <c r="E115" t="n">
        <v>-3.75</v>
      </c>
      <c r="F115" t="n">
        <v>-0.5</v>
      </c>
      <c r="G115" t="n">
        <v>5</v>
      </c>
      <c r="H115" t="n">
        <v>12</v>
      </c>
      <c r="I115" t="s">
        <v>197</v>
      </c>
      <c r="J115" t="n">
        <v>0</v>
      </c>
      <c r="K115" t="n">
        <v>0</v>
      </c>
      <c r="L115" t="n">
        <v>0</v>
      </c>
      <c r="M115" t="n">
        <v>12</v>
      </c>
      <c r="N115" t="n">
        <v>-0.25</v>
      </c>
      <c r="O115" t="n">
        <v>0</v>
      </c>
      <c r="P115" t="n">
        <v>10</v>
      </c>
      <c r="Q115" t="n">
        <v>12</v>
      </c>
      <c r="R115" t="s">
        <v>201</v>
      </c>
      <c r="S115" t="s">
        <v>201</v>
      </c>
      <c r="T115" t="n">
        <v>-0.25</v>
      </c>
    </row>
    <row r="116">
      <c r="A116" t="s">
        <v>31</v>
      </c>
      <c r="B116" t="n">
        <v>1</v>
      </c>
      <c r="C116" t="n">
        <v>0.63</v>
      </c>
      <c r="D116" t="n">
        <v>0.8</v>
      </c>
      <c r="E116" t="n">
        <v>-4</v>
      </c>
      <c r="F116" t="n">
        <v>-1.25</v>
      </c>
      <c r="G116" t="n">
        <v>6</v>
      </c>
      <c r="H116" t="n">
        <v>12</v>
      </c>
      <c r="I116" t="s">
        <v>197</v>
      </c>
      <c r="J116" t="n">
        <v>0</v>
      </c>
      <c r="K116" t="n">
        <v>0</v>
      </c>
      <c r="L116" t="n">
        <v>0</v>
      </c>
      <c r="M116" t="n">
        <v>12</v>
      </c>
      <c r="N116" t="n">
        <v>-0.5</v>
      </c>
      <c r="O116" t="n">
        <v>-0.25</v>
      </c>
      <c r="P116" t="n">
        <v>2</v>
      </c>
      <c r="Q116" t="n">
        <v>12</v>
      </c>
      <c r="R116" t="s">
        <v>196</v>
      </c>
      <c r="S116" t="s">
        <v>201</v>
      </c>
      <c r="T116" t="n">
        <v>-0.625</v>
      </c>
    </row>
    <row r="117">
      <c r="A117" t="s">
        <v>31</v>
      </c>
      <c r="B117" t="n">
        <v>1.25</v>
      </c>
      <c r="C117" t="n">
        <v>1.25</v>
      </c>
      <c r="D117" t="n">
        <v>1.25</v>
      </c>
      <c r="E117" t="n">
        <v>-5</v>
      </c>
      <c r="F117" t="n">
        <v>-0.5</v>
      </c>
      <c r="G117" t="n">
        <v>101</v>
      </c>
      <c r="H117" t="n">
        <v>12</v>
      </c>
      <c r="I117" t="s">
        <v>198</v>
      </c>
      <c r="J117" t="n">
        <v>0</v>
      </c>
      <c r="K117" t="n">
        <v>0</v>
      </c>
      <c r="L117" t="n">
        <v>0</v>
      </c>
      <c r="M117" t="n">
        <v>12</v>
      </c>
      <c r="N117" t="n">
        <v>0</v>
      </c>
      <c r="O117" t="n">
        <v>0</v>
      </c>
      <c r="P117" t="n">
        <v>166</v>
      </c>
      <c r="Q117" t="n">
        <v>12</v>
      </c>
      <c r="R117" t="s">
        <v>198</v>
      </c>
      <c r="S117" t="s">
        <v>198</v>
      </c>
      <c r="T117" t="n">
        <v>0</v>
      </c>
    </row>
    <row r="118">
      <c r="A118" t="s">
        <v>31</v>
      </c>
      <c r="B118" t="n">
        <v>1</v>
      </c>
      <c r="C118" t="n">
        <v>1</v>
      </c>
      <c r="D118" t="n">
        <v>1</v>
      </c>
      <c r="E118" t="n">
        <v>-4.75</v>
      </c>
      <c r="F118" t="n">
        <v>-0.5</v>
      </c>
      <c r="G118" t="n">
        <v>78</v>
      </c>
      <c r="H118" t="n">
        <v>12</v>
      </c>
      <c r="I118" t="s">
        <v>197</v>
      </c>
      <c r="J118" t="n">
        <v>0</v>
      </c>
      <c r="K118" t="n">
        <v>0</v>
      </c>
      <c r="L118" t="n">
        <v>0</v>
      </c>
      <c r="M118" t="n">
        <v>12</v>
      </c>
      <c r="N118" t="n">
        <v>0.25</v>
      </c>
      <c r="O118" t="n">
        <v>-0.25</v>
      </c>
      <c r="P118" t="n">
        <v>51</v>
      </c>
      <c r="Q118" t="n">
        <v>12</v>
      </c>
      <c r="R118" t="s">
        <v>197</v>
      </c>
      <c r="S118" t="s">
        <v>197</v>
      </c>
      <c r="T118" t="n">
        <v>0.125</v>
      </c>
    </row>
    <row r="119">
      <c r="A119" t="s">
        <v>31</v>
      </c>
      <c r="B119" t="n">
        <v>1</v>
      </c>
      <c r="C119" t="n">
        <v>0.63</v>
      </c>
      <c r="D119" t="n">
        <v>1</v>
      </c>
      <c r="E119" t="n">
        <v>-4</v>
      </c>
      <c r="F119" t="n">
        <v>-1.5</v>
      </c>
      <c r="G119" t="n">
        <v>160</v>
      </c>
      <c r="H119" t="n">
        <v>12</v>
      </c>
      <c r="I119" t="s">
        <v>197</v>
      </c>
      <c r="J119" t="n">
        <v>0</v>
      </c>
      <c r="K119" t="n">
        <v>0</v>
      </c>
      <c r="L119" t="n">
        <v>0</v>
      </c>
      <c r="M119" t="n">
        <v>12</v>
      </c>
      <c r="N119" t="n">
        <v>-0.5</v>
      </c>
      <c r="O119" t="n">
        <v>-0.25</v>
      </c>
      <c r="P119" t="n">
        <v>2</v>
      </c>
      <c r="Q119" t="n">
        <v>12</v>
      </c>
      <c r="R119" t="s">
        <v>197</v>
      </c>
      <c r="S119" t="s">
        <v>201</v>
      </c>
      <c r="T119" t="n">
        <v>-0.625</v>
      </c>
    </row>
    <row r="120">
      <c r="A120" t="s">
        <v>31</v>
      </c>
      <c r="B120" t="n">
        <v>1.25</v>
      </c>
      <c r="C120" t="n">
        <v>1</v>
      </c>
      <c r="D120" t="n">
        <v>1.25</v>
      </c>
      <c r="E120" t="n">
        <v>-5.5</v>
      </c>
      <c r="F120" t="n">
        <v>-0.5</v>
      </c>
      <c r="G120" t="n">
        <v>11</v>
      </c>
      <c r="H120" t="n">
        <v>12</v>
      </c>
      <c r="I120" t="s">
        <v>198</v>
      </c>
      <c r="J120" t="n">
        <v>0</v>
      </c>
      <c r="K120" t="n">
        <v>0</v>
      </c>
      <c r="L120" t="n">
        <v>0</v>
      </c>
      <c r="M120" t="n">
        <v>12</v>
      </c>
      <c r="N120" t="n">
        <v>0</v>
      </c>
      <c r="O120" t="n">
        <v>-0.25</v>
      </c>
      <c r="P120" t="n">
        <v>64</v>
      </c>
      <c r="Q120" t="n">
        <v>12</v>
      </c>
      <c r="R120" t="s">
        <v>198</v>
      </c>
      <c r="S120" t="s">
        <v>197</v>
      </c>
      <c r="T120" t="n">
        <v>-0.125</v>
      </c>
    </row>
    <row r="121">
      <c r="A121" t="s">
        <v>31</v>
      </c>
      <c r="B121" t="n">
        <v>0.8</v>
      </c>
      <c r="C121" t="n">
        <v>0.8</v>
      </c>
      <c r="D121" t="n">
        <v>1</v>
      </c>
      <c r="E121" t="n">
        <v>-5.5</v>
      </c>
      <c r="F121" t="n">
        <v>-0.25</v>
      </c>
      <c r="G121" t="n">
        <v>96</v>
      </c>
      <c r="H121" t="n">
        <v>12</v>
      </c>
      <c r="I121" t="s">
        <v>196</v>
      </c>
      <c r="J121" t="n">
        <v>0</v>
      </c>
      <c r="K121" t="n">
        <v>0</v>
      </c>
      <c r="L121" t="n">
        <v>0</v>
      </c>
      <c r="M121" t="n">
        <v>12</v>
      </c>
      <c r="N121" t="n">
        <v>-0.5</v>
      </c>
      <c r="O121" t="n">
        <v>0</v>
      </c>
      <c r="P121" t="n">
        <v>62</v>
      </c>
      <c r="Q121" t="n">
        <v>12</v>
      </c>
      <c r="R121" t="s">
        <v>197</v>
      </c>
      <c r="S121" t="s">
        <v>196</v>
      </c>
      <c r="T121" t="n">
        <v>-0.5</v>
      </c>
    </row>
    <row r="122">
      <c r="A122" t="s">
        <v>31</v>
      </c>
      <c r="B122" t="n">
        <v>1</v>
      </c>
      <c r="C122"/>
      <c r="D122" t="n">
        <v>0.8</v>
      </c>
      <c r="E122" t="n">
        <v>-5.5</v>
      </c>
      <c r="F122" t="n">
        <v>-0.5</v>
      </c>
      <c r="G122" t="n">
        <v>72</v>
      </c>
      <c r="H122" t="n">
        <v>12</v>
      </c>
      <c r="I122" t="s">
        <v>197</v>
      </c>
      <c r="J122" t="n">
        <v>0</v>
      </c>
      <c r="K122" t="n">
        <v>0</v>
      </c>
      <c r="L122" t="n">
        <v>0</v>
      </c>
      <c r="M122" t="n">
        <v>12</v>
      </c>
      <c r="N122" t="n">
        <v>0.25</v>
      </c>
      <c r="O122" t="n">
        <v>-0.25</v>
      </c>
      <c r="P122" t="n">
        <v>75</v>
      </c>
      <c r="Q122" t="n">
        <v>12</v>
      </c>
      <c r="R122" t="s">
        <v>196</v>
      </c>
      <c r="S122" t="s">
        <v>95</v>
      </c>
      <c r="T122" t="n">
        <v>0.125</v>
      </c>
    </row>
    <row r="123">
      <c r="A123" t="s">
        <v>31</v>
      </c>
      <c r="B123" t="n">
        <v>1</v>
      </c>
      <c r="C123" t="n">
        <v>1</v>
      </c>
      <c r="D123" t="n">
        <v>1</v>
      </c>
      <c r="E123" t="n">
        <v>-5.5</v>
      </c>
      <c r="F123" t="n">
        <v>-0.5</v>
      </c>
      <c r="G123" t="n">
        <v>111</v>
      </c>
      <c r="H123" t="n">
        <v>12</v>
      </c>
      <c r="I123" t="s">
        <v>197</v>
      </c>
      <c r="J123" t="n">
        <v>0</v>
      </c>
      <c r="K123" t="n">
        <v>0</v>
      </c>
      <c r="L123" t="n">
        <v>0</v>
      </c>
      <c r="M123" t="n">
        <v>12</v>
      </c>
      <c r="N123" t="n">
        <v>-0.25</v>
      </c>
      <c r="O123" t="n">
        <v>-0.25</v>
      </c>
      <c r="P123" t="n">
        <v>120</v>
      </c>
      <c r="Q123" t="n">
        <v>12</v>
      </c>
      <c r="R123" t="s">
        <v>197</v>
      </c>
      <c r="S123" t="s">
        <v>197</v>
      </c>
      <c r="T123" t="n">
        <v>-0.375</v>
      </c>
    </row>
    <row r="124">
      <c r="A124" t="s">
        <v>31</v>
      </c>
      <c r="B124" t="n">
        <v>1</v>
      </c>
      <c r="C124" t="n">
        <v>0.8</v>
      </c>
      <c r="D124" t="n">
        <v>0.8</v>
      </c>
      <c r="E124" t="n">
        <v>-2.25</v>
      </c>
      <c r="F124" t="n">
        <v>-0.25</v>
      </c>
      <c r="G124" t="n">
        <v>1</v>
      </c>
      <c r="H124" t="n">
        <v>12</v>
      </c>
      <c r="I124" t="s">
        <v>197</v>
      </c>
      <c r="J124" t="n">
        <v>0</v>
      </c>
      <c r="K124" t="n">
        <v>0</v>
      </c>
      <c r="L124" t="n">
        <v>0</v>
      </c>
      <c r="M124" t="n">
        <v>12</v>
      </c>
      <c r="N124" t="n">
        <v>0</v>
      </c>
      <c r="O124" t="n">
        <v>-0.25</v>
      </c>
      <c r="P124" t="n">
        <v>107</v>
      </c>
      <c r="Q124" t="n">
        <v>12</v>
      </c>
      <c r="R124" t="s">
        <v>196</v>
      </c>
      <c r="S124" t="s">
        <v>196</v>
      </c>
      <c r="T124" t="n">
        <v>-0.125</v>
      </c>
    </row>
    <row r="125">
      <c r="A125" t="s">
        <v>31</v>
      </c>
      <c r="B125" t="n">
        <v>1</v>
      </c>
      <c r="C125" t="n">
        <v>1</v>
      </c>
      <c r="D125" t="n">
        <v>1</v>
      </c>
      <c r="E125" t="n">
        <v>-4.5</v>
      </c>
      <c r="F125" t="n">
        <v>-0.5</v>
      </c>
      <c r="G125" t="n">
        <v>175</v>
      </c>
      <c r="H125" t="n">
        <v>12</v>
      </c>
      <c r="I125" t="s">
        <v>197</v>
      </c>
      <c r="J125" t="n">
        <v>0</v>
      </c>
      <c r="K125" t="n">
        <v>0</v>
      </c>
      <c r="L125" t="n">
        <v>0</v>
      </c>
      <c r="M125" t="n">
        <v>12</v>
      </c>
      <c r="N125" t="n">
        <v>0</v>
      </c>
      <c r="O125" t="n">
        <v>-0.25</v>
      </c>
      <c r="P125" t="n">
        <v>7</v>
      </c>
      <c r="Q125" t="n">
        <v>12</v>
      </c>
      <c r="R125" t="s">
        <v>197</v>
      </c>
      <c r="S125" t="s">
        <v>197</v>
      </c>
      <c r="T125" t="n">
        <v>-0.125</v>
      </c>
    </row>
    <row r="126">
      <c r="A126" t="s">
        <v>31</v>
      </c>
      <c r="B126" t="n">
        <v>1.25</v>
      </c>
      <c r="C126" t="n">
        <v>1.25</v>
      </c>
      <c r="D126" t="n">
        <v>1.25</v>
      </c>
      <c r="E126" t="n">
        <v>-6.25</v>
      </c>
      <c r="F126" t="n">
        <v>-0.25</v>
      </c>
      <c r="G126" t="n">
        <v>2</v>
      </c>
      <c r="H126" t="n">
        <v>12</v>
      </c>
      <c r="I126" t="s">
        <v>198</v>
      </c>
      <c r="J126" t="n">
        <v>0</v>
      </c>
      <c r="K126" t="n">
        <v>0</v>
      </c>
      <c r="L126" t="n">
        <v>0</v>
      </c>
      <c r="M126" t="n">
        <v>12</v>
      </c>
      <c r="N126" t="n">
        <v>0.25</v>
      </c>
      <c r="O126" t="n">
        <v>-0.25</v>
      </c>
      <c r="P126" t="n">
        <v>176</v>
      </c>
      <c r="Q126" t="n">
        <v>12</v>
      </c>
      <c r="R126" t="s">
        <v>198</v>
      </c>
      <c r="S126" t="s">
        <v>198</v>
      </c>
      <c r="T126" t="n">
        <v>0.125</v>
      </c>
    </row>
    <row r="127">
      <c r="A127" t="s">
        <v>31</v>
      </c>
      <c r="B127" t="n">
        <v>1.25</v>
      </c>
      <c r="C127" t="n">
        <v>1.25</v>
      </c>
      <c r="D127" t="n">
        <v>1.6</v>
      </c>
      <c r="E127" t="n">
        <v>-8</v>
      </c>
      <c r="F127" t="n">
        <v>-0.75</v>
      </c>
      <c r="G127" t="n">
        <v>94</v>
      </c>
      <c r="H127" t="n">
        <v>12</v>
      </c>
      <c r="I127" t="s">
        <v>198</v>
      </c>
      <c r="J127" t="n">
        <v>0</v>
      </c>
      <c r="K127" t="n">
        <v>0</v>
      </c>
      <c r="L127" t="n">
        <v>0</v>
      </c>
      <c r="M127" t="n">
        <v>12</v>
      </c>
      <c r="N127" t="n">
        <v>-0.5</v>
      </c>
      <c r="O127" t="n">
        <v>-0.25</v>
      </c>
      <c r="P127" t="n">
        <v>132</v>
      </c>
      <c r="Q127" t="n">
        <v>12</v>
      </c>
      <c r="R127" t="s">
        <v>199</v>
      </c>
      <c r="S127" t="s">
        <v>198</v>
      </c>
      <c r="T127" t="n">
        <v>-0.625</v>
      </c>
    </row>
    <row r="128">
      <c r="A128" t="s">
        <v>31</v>
      </c>
      <c r="B128" t="n">
        <v>1.25</v>
      </c>
      <c r="C128" t="n">
        <v>1.6</v>
      </c>
      <c r="D128" t="n">
        <v>1.6</v>
      </c>
      <c r="E128" t="n">
        <v>-7.5</v>
      </c>
      <c r="F128" t="n">
        <v>-1</v>
      </c>
      <c r="G128" t="n">
        <v>75</v>
      </c>
      <c r="H128" t="n">
        <v>12</v>
      </c>
      <c r="I128" t="s">
        <v>198</v>
      </c>
      <c r="J128" t="n">
        <v>0</v>
      </c>
      <c r="K128" t="n">
        <v>0</v>
      </c>
      <c r="L128" t="n">
        <v>0</v>
      </c>
      <c r="M128" t="n">
        <v>12</v>
      </c>
      <c r="N128" t="n">
        <v>0</v>
      </c>
      <c r="O128" t="n">
        <v>-0.25</v>
      </c>
      <c r="P128" t="n">
        <v>31</v>
      </c>
      <c r="Q128" t="n">
        <v>12</v>
      </c>
      <c r="R128" t="s">
        <v>199</v>
      </c>
      <c r="S128" t="s">
        <v>199</v>
      </c>
      <c r="T128" t="n">
        <v>-0.125</v>
      </c>
    </row>
    <row r="129">
      <c r="A129" t="s">
        <v>31</v>
      </c>
      <c r="B129" t="n">
        <v>1</v>
      </c>
      <c r="C129" t="n">
        <v>1</v>
      </c>
      <c r="D129" t="n">
        <v>1</v>
      </c>
      <c r="E129" t="n">
        <v>-4.75</v>
      </c>
      <c r="F129" t="n">
        <v>-0.75</v>
      </c>
      <c r="G129" t="n">
        <v>93</v>
      </c>
      <c r="H129" t="n">
        <v>12</v>
      </c>
      <c r="I129" t="s">
        <v>197</v>
      </c>
      <c r="J129" t="n">
        <v>0</v>
      </c>
      <c r="K129" t="n">
        <v>0</v>
      </c>
      <c r="L129" t="n">
        <v>0</v>
      </c>
      <c r="M129" t="n">
        <v>12</v>
      </c>
      <c r="N129" t="n">
        <v>0.25</v>
      </c>
      <c r="O129" t="n">
        <v>-0.25</v>
      </c>
      <c r="P129" t="n">
        <v>111</v>
      </c>
      <c r="Q129" t="n">
        <v>12</v>
      </c>
      <c r="R129" t="s">
        <v>197</v>
      </c>
      <c r="S129" t="s">
        <v>197</v>
      </c>
      <c r="T129" t="n">
        <v>0.125</v>
      </c>
    </row>
    <row r="130">
      <c r="A130" t="s">
        <v>31</v>
      </c>
      <c r="B130" t="n">
        <v>1</v>
      </c>
      <c r="C130" t="n">
        <v>0.8</v>
      </c>
      <c r="D130" t="n">
        <v>0.8</v>
      </c>
      <c r="E130" t="n">
        <v>-5.5</v>
      </c>
      <c r="F130" t="n">
        <v>-0.5</v>
      </c>
      <c r="G130" t="n">
        <v>80</v>
      </c>
      <c r="H130" t="n">
        <v>12</v>
      </c>
      <c r="I130" t="s">
        <v>197</v>
      </c>
      <c r="J130" t="n">
        <v>-0.5</v>
      </c>
      <c r="K130" t="n">
        <v>0</v>
      </c>
      <c r="L130" t="n">
        <v>0</v>
      </c>
      <c r="M130" t="n">
        <v>12</v>
      </c>
      <c r="N130" t="n">
        <v>-0.25</v>
      </c>
      <c r="O130" t="n">
        <v>-0.25</v>
      </c>
      <c r="P130" t="n">
        <v>83</v>
      </c>
      <c r="Q130" t="n">
        <v>12</v>
      </c>
      <c r="R130" t="s">
        <v>196</v>
      </c>
      <c r="S130" t="s">
        <v>196</v>
      </c>
      <c r="T130" t="n">
        <v>-0.375</v>
      </c>
    </row>
    <row r="131">
      <c r="A131" t="s">
        <v>31</v>
      </c>
      <c r="B131" t="n">
        <v>1.25</v>
      </c>
      <c r="C131" t="n">
        <v>0.8</v>
      </c>
      <c r="D131" t="n">
        <v>1.25</v>
      </c>
      <c r="E131" t="n">
        <v>-2.5</v>
      </c>
      <c r="F131" t="n">
        <v>-1.5</v>
      </c>
      <c r="G131" t="n">
        <v>173</v>
      </c>
      <c r="H131" t="n">
        <v>12</v>
      </c>
      <c r="I131" t="s">
        <v>198</v>
      </c>
      <c r="J131" t="n">
        <v>0</v>
      </c>
      <c r="K131" t="n">
        <v>0</v>
      </c>
      <c r="L131" t="n">
        <v>0</v>
      </c>
      <c r="M131" t="n">
        <v>12</v>
      </c>
      <c r="N131" t="n">
        <v>-0.25</v>
      </c>
      <c r="O131" t="n">
        <v>-0.75</v>
      </c>
      <c r="P131" t="n">
        <v>148</v>
      </c>
      <c r="Q131" t="n">
        <v>12</v>
      </c>
      <c r="R131" t="s">
        <v>198</v>
      </c>
      <c r="S131" t="s">
        <v>196</v>
      </c>
      <c r="T131" t="n">
        <v>-0.625</v>
      </c>
    </row>
    <row r="132">
      <c r="A132" t="s">
        <v>31</v>
      </c>
      <c r="B132" t="n">
        <v>1</v>
      </c>
      <c r="C132" t="n">
        <v>0.8</v>
      </c>
      <c r="D132" t="n">
        <v>1</v>
      </c>
      <c r="E132" t="n">
        <v>-4.5</v>
      </c>
      <c r="F132" t="n">
        <v>-1</v>
      </c>
      <c r="G132" t="n">
        <v>19</v>
      </c>
      <c r="H132" t="n">
        <v>12</v>
      </c>
      <c r="I132" t="s">
        <v>197</v>
      </c>
      <c r="J132" t="n">
        <v>0</v>
      </c>
      <c r="K132" t="n">
        <v>0</v>
      </c>
      <c r="L132" t="n">
        <v>0</v>
      </c>
      <c r="M132" t="n">
        <v>12</v>
      </c>
      <c r="N132" t="n">
        <v>-0.5</v>
      </c>
      <c r="O132" t="n">
        <v>-0.25</v>
      </c>
      <c r="P132" t="n">
        <v>32</v>
      </c>
      <c r="Q132" t="n">
        <v>12</v>
      </c>
      <c r="R132" t="s">
        <v>197</v>
      </c>
      <c r="S132" t="s">
        <v>196</v>
      </c>
      <c r="T132" t="n">
        <v>-0.625</v>
      </c>
    </row>
    <row r="133">
      <c r="A133" t="s">
        <v>31</v>
      </c>
      <c r="B133" t="n">
        <v>1.25</v>
      </c>
      <c r="C133" t="n">
        <v>1.25</v>
      </c>
      <c r="D133" t="n">
        <v>1.25</v>
      </c>
      <c r="E133" t="n">
        <v>-1.5</v>
      </c>
      <c r="F133" t="n">
        <v>-1</v>
      </c>
      <c r="G133" t="n">
        <v>168</v>
      </c>
      <c r="H133" t="n">
        <v>12</v>
      </c>
      <c r="I133" t="s">
        <v>198</v>
      </c>
      <c r="J133" t="n">
        <v>0</v>
      </c>
      <c r="K133" t="n">
        <v>0</v>
      </c>
      <c r="L133" t="n">
        <v>0</v>
      </c>
      <c r="M133" t="n">
        <v>12</v>
      </c>
      <c r="N133" t="n">
        <v>-0.25</v>
      </c>
      <c r="O133" t="n">
        <v>-0.25</v>
      </c>
      <c r="P133" t="n">
        <v>176</v>
      </c>
      <c r="Q133" t="n">
        <v>12</v>
      </c>
      <c r="R133" t="s">
        <v>198</v>
      </c>
      <c r="S133" t="s">
        <v>198</v>
      </c>
      <c r="T133" t="n">
        <v>-0.375</v>
      </c>
    </row>
    <row r="134">
      <c r="A134" t="s">
        <v>31</v>
      </c>
      <c r="B134" t="n">
        <v>1.25</v>
      </c>
      <c r="C134" t="n">
        <v>1</v>
      </c>
      <c r="D134" t="n">
        <v>1.25</v>
      </c>
      <c r="E134" t="n">
        <v>-1.25</v>
      </c>
      <c r="F134" t="n">
        <v>-0.75</v>
      </c>
      <c r="G134" t="n">
        <v>8</v>
      </c>
      <c r="H134" t="n">
        <v>12</v>
      </c>
      <c r="I134" t="s">
        <v>198</v>
      </c>
      <c r="J134" t="n">
        <v>0</v>
      </c>
      <c r="K134" t="n">
        <v>0</v>
      </c>
      <c r="L134" t="n">
        <v>0</v>
      </c>
      <c r="M134" t="n">
        <v>12</v>
      </c>
      <c r="N134" t="n">
        <v>-0.25</v>
      </c>
      <c r="O134" t="n">
        <v>-0.25</v>
      </c>
      <c r="P134" t="n">
        <v>40</v>
      </c>
      <c r="Q134" t="n">
        <v>12</v>
      </c>
      <c r="R134" t="s">
        <v>198</v>
      </c>
      <c r="S134" t="s">
        <v>197</v>
      </c>
      <c r="T134" t="n">
        <v>-0.375</v>
      </c>
    </row>
    <row r="135">
      <c r="A135" t="s">
        <v>31</v>
      </c>
      <c r="B135" t="n">
        <v>1</v>
      </c>
      <c r="C135" t="n">
        <v>1</v>
      </c>
      <c r="D135" t="n">
        <v>1.6</v>
      </c>
      <c r="E135" t="n">
        <v>-7.5</v>
      </c>
      <c r="F135" t="n">
        <v>-1.25</v>
      </c>
      <c r="G135" t="n">
        <v>6</v>
      </c>
      <c r="H135" t="n">
        <v>12</v>
      </c>
      <c r="I135" t="s">
        <v>197</v>
      </c>
      <c r="J135" t="n">
        <v>0</v>
      </c>
      <c r="K135" t="n">
        <v>0</v>
      </c>
      <c r="L135" t="n">
        <v>0</v>
      </c>
      <c r="M135" t="n">
        <v>12</v>
      </c>
      <c r="N135" t="n">
        <v>-0.75</v>
      </c>
      <c r="O135" t="n">
        <v>-0.25</v>
      </c>
      <c r="P135" t="n">
        <v>125</v>
      </c>
      <c r="Q135" t="n">
        <v>12</v>
      </c>
      <c r="R135" t="s">
        <v>199</v>
      </c>
      <c r="S135" t="s">
        <v>197</v>
      </c>
      <c r="T135" t="n">
        <v>-0.875</v>
      </c>
    </row>
    <row r="136">
      <c r="A136" t="s">
        <v>31</v>
      </c>
      <c r="B136" t="n">
        <v>1</v>
      </c>
      <c r="C136" t="n">
        <v>0.8</v>
      </c>
      <c r="D136" t="n">
        <v>0.8</v>
      </c>
      <c r="E136" t="n">
        <v>-7</v>
      </c>
      <c r="F136" t="n">
        <v>-0.75</v>
      </c>
      <c r="G136" t="n">
        <v>178</v>
      </c>
      <c r="H136" t="n">
        <v>12</v>
      </c>
      <c r="I136" t="s">
        <v>197</v>
      </c>
      <c r="J136" t="n">
        <v>0</v>
      </c>
      <c r="K136" t="n">
        <v>0</v>
      </c>
      <c r="L136" t="n">
        <v>0</v>
      </c>
      <c r="M136" t="n">
        <v>12</v>
      </c>
      <c r="N136" t="n">
        <v>0.25</v>
      </c>
      <c r="O136" t="n">
        <v>-0.5</v>
      </c>
      <c r="P136" t="n">
        <v>22</v>
      </c>
      <c r="Q136" t="n">
        <v>12</v>
      </c>
      <c r="R136" t="s">
        <v>196</v>
      </c>
      <c r="S136" t="s">
        <v>196</v>
      </c>
      <c r="T136" t="n">
        <v>0</v>
      </c>
    </row>
    <row r="137">
      <c r="A137" t="s">
        <v>31</v>
      </c>
      <c r="B137" t="n">
        <v>1</v>
      </c>
      <c r="C137" t="n">
        <v>1</v>
      </c>
      <c r="D137" t="n">
        <v>1</v>
      </c>
      <c r="E137" t="n">
        <v>-6.5</v>
      </c>
      <c r="F137" t="n">
        <v>-0.25</v>
      </c>
      <c r="G137" t="n">
        <v>180</v>
      </c>
      <c r="H137" t="n">
        <v>12</v>
      </c>
      <c r="I137" t="s">
        <v>197</v>
      </c>
      <c r="J137" t="n">
        <v>0</v>
      </c>
      <c r="K137" t="n">
        <v>0</v>
      </c>
      <c r="L137" t="n">
        <v>0</v>
      </c>
      <c r="M137" t="n">
        <v>12</v>
      </c>
      <c r="N137" t="n">
        <v>0</v>
      </c>
      <c r="O137" t="n">
        <v>-0.25</v>
      </c>
      <c r="P137" t="n">
        <v>165</v>
      </c>
      <c r="Q137" t="n">
        <v>12</v>
      </c>
      <c r="R137" t="s">
        <v>197</v>
      </c>
      <c r="S137" t="s">
        <v>197</v>
      </c>
      <c r="T137" t="n">
        <v>-0.125</v>
      </c>
    </row>
    <row r="138">
      <c r="A138" t="s">
        <v>31</v>
      </c>
      <c r="B138" t="n">
        <v>1.25</v>
      </c>
      <c r="C138" t="n">
        <v>1</v>
      </c>
      <c r="D138" t="n">
        <v>1.6</v>
      </c>
      <c r="E138" t="n">
        <v>-6.25</v>
      </c>
      <c r="F138" t="n">
        <v>-0.25</v>
      </c>
      <c r="G138" t="n">
        <v>64</v>
      </c>
      <c r="H138" t="n">
        <v>12</v>
      </c>
      <c r="I138" t="s">
        <v>198</v>
      </c>
      <c r="J138" t="n">
        <v>0</v>
      </c>
      <c r="K138" t="n">
        <v>0</v>
      </c>
      <c r="L138" t="n">
        <v>0</v>
      </c>
      <c r="M138" t="n">
        <v>12</v>
      </c>
      <c r="N138" t="n">
        <v>-0.75</v>
      </c>
      <c r="O138" t="n">
        <v>-0.25</v>
      </c>
      <c r="P138" t="n">
        <v>31</v>
      </c>
      <c r="Q138" t="n">
        <v>12</v>
      </c>
      <c r="R138" t="s">
        <v>199</v>
      </c>
      <c r="S138" t="s">
        <v>197</v>
      </c>
      <c r="T138" t="n">
        <v>-0.875</v>
      </c>
    </row>
    <row r="139">
      <c r="A139" t="s">
        <v>31</v>
      </c>
      <c r="B139" t="n">
        <v>1.25</v>
      </c>
      <c r="C139" t="n">
        <v>1.25</v>
      </c>
      <c r="D139" t="n">
        <v>1.6</v>
      </c>
      <c r="E139" t="n">
        <v>-6.5</v>
      </c>
      <c r="F139" t="n">
        <v>-1</v>
      </c>
      <c r="G139" t="n">
        <v>127</v>
      </c>
      <c r="H139" t="n">
        <v>12</v>
      </c>
      <c r="I139" t="s">
        <v>198</v>
      </c>
      <c r="J139" t="n">
        <v>0</v>
      </c>
      <c r="K139" t="n">
        <v>0</v>
      </c>
      <c r="L139" t="n">
        <v>0</v>
      </c>
      <c r="M139" t="n">
        <v>12</v>
      </c>
      <c r="N139" t="n">
        <v>-0.25</v>
      </c>
      <c r="O139" t="n">
        <v>-0.5</v>
      </c>
      <c r="P139" t="n">
        <v>150</v>
      </c>
      <c r="Q139" t="n">
        <v>12</v>
      </c>
      <c r="R139" t="s">
        <v>199</v>
      </c>
      <c r="S139" t="s">
        <v>198</v>
      </c>
      <c r="T139" t="n">
        <v>-0.5</v>
      </c>
    </row>
    <row r="140">
      <c r="A140" t="s">
        <v>31</v>
      </c>
      <c r="B140" t="n">
        <v>1.25</v>
      </c>
      <c r="C140" t="n">
        <v>1.25</v>
      </c>
      <c r="D140" t="n">
        <v>1.25</v>
      </c>
      <c r="E140" t="n">
        <v>-2.75</v>
      </c>
      <c r="F140" t="n">
        <v>-1.25</v>
      </c>
      <c r="G140" t="n">
        <v>2</v>
      </c>
      <c r="H140" t="n">
        <v>12</v>
      </c>
      <c r="I140" t="s">
        <v>198</v>
      </c>
      <c r="J140" t="n">
        <v>0</v>
      </c>
      <c r="K140" t="n">
        <v>0</v>
      </c>
      <c r="L140" t="n">
        <v>0</v>
      </c>
      <c r="M140" t="n">
        <v>12</v>
      </c>
      <c r="N140" t="n">
        <v>0.25</v>
      </c>
      <c r="O140" t="n">
        <v>-0.25</v>
      </c>
      <c r="P140" t="n">
        <v>2</v>
      </c>
      <c r="Q140" t="n">
        <v>12</v>
      </c>
      <c r="R140" t="s">
        <v>198</v>
      </c>
      <c r="S140" t="s">
        <v>198</v>
      </c>
      <c r="T140" t="n">
        <v>0.125</v>
      </c>
    </row>
    <row r="141">
      <c r="A141" t="s">
        <v>31</v>
      </c>
      <c r="B141" t="n">
        <v>1.25</v>
      </c>
      <c r="C141" t="n">
        <v>1.6</v>
      </c>
      <c r="D141" t="n">
        <v>1.6</v>
      </c>
      <c r="E141" t="n">
        <v>-3.25</v>
      </c>
      <c r="F141" t="n">
        <v>-1.25</v>
      </c>
      <c r="G141" t="n">
        <v>163</v>
      </c>
      <c r="H141" t="n">
        <v>12</v>
      </c>
      <c r="I141" t="s">
        <v>198</v>
      </c>
      <c r="J141" t="n">
        <v>0</v>
      </c>
      <c r="K141" t="n">
        <v>0</v>
      </c>
      <c r="L141" t="n">
        <v>0</v>
      </c>
      <c r="M141" t="n">
        <v>12</v>
      </c>
      <c r="N141" t="n">
        <v>0.25</v>
      </c>
      <c r="O141" t="n">
        <v>-0.25</v>
      </c>
      <c r="P141" t="n">
        <v>147</v>
      </c>
      <c r="Q141" t="n">
        <v>12</v>
      </c>
      <c r="R141" t="s">
        <v>199</v>
      </c>
      <c r="S141" t="s">
        <v>199</v>
      </c>
      <c r="T141" t="n">
        <v>0.125</v>
      </c>
    </row>
    <row r="142">
      <c r="A142" t="s">
        <v>31</v>
      </c>
      <c r="B142" t="n">
        <v>1</v>
      </c>
      <c r="C142" t="n">
        <v>0.63</v>
      </c>
      <c r="D142" t="n">
        <v>1</v>
      </c>
      <c r="E142" t="n">
        <v>-4.75</v>
      </c>
      <c r="F142" t="n">
        <v>-0.25</v>
      </c>
      <c r="G142" t="n">
        <v>172</v>
      </c>
      <c r="H142" t="n">
        <v>12</v>
      </c>
      <c r="I142" t="s">
        <v>197</v>
      </c>
      <c r="J142" t="n">
        <v>0</v>
      </c>
      <c r="K142" t="n">
        <v>0</v>
      </c>
      <c r="L142" t="n">
        <v>0</v>
      </c>
      <c r="M142" t="n">
        <v>12</v>
      </c>
      <c r="N142" t="n">
        <v>-0.75</v>
      </c>
      <c r="O142" t="n">
        <v>-0.25</v>
      </c>
      <c r="P142" t="n">
        <v>135</v>
      </c>
      <c r="Q142" t="n">
        <v>12</v>
      </c>
      <c r="R142" t="s">
        <v>197</v>
      </c>
      <c r="S142" t="s">
        <v>201</v>
      </c>
      <c r="T142" t="n">
        <v>-0.875</v>
      </c>
    </row>
    <row r="143">
      <c r="A143" t="s">
        <v>31</v>
      </c>
      <c r="B143" t="n">
        <v>1</v>
      </c>
      <c r="C143" t="n">
        <v>1</v>
      </c>
      <c r="D143" t="n">
        <v>1</v>
      </c>
      <c r="E143" t="n">
        <v>-5</v>
      </c>
      <c r="F143" t="n">
        <v>-0.5</v>
      </c>
      <c r="G143" t="n">
        <v>3</v>
      </c>
      <c r="H143" t="n">
        <v>12</v>
      </c>
      <c r="I143" t="s">
        <v>197</v>
      </c>
      <c r="J143" t="n">
        <v>0</v>
      </c>
      <c r="K143" t="n">
        <v>0</v>
      </c>
      <c r="L143" t="n">
        <v>0</v>
      </c>
      <c r="M143" t="n">
        <v>12</v>
      </c>
      <c r="N143" t="n">
        <v>-0.5</v>
      </c>
      <c r="O143" t="n">
        <v>-0.25</v>
      </c>
      <c r="P143" t="n">
        <v>32</v>
      </c>
      <c r="Q143" t="n">
        <v>12</v>
      </c>
      <c r="R143" t="s">
        <v>197</v>
      </c>
      <c r="S143" t="s">
        <v>197</v>
      </c>
      <c r="T143" t="n">
        <v>-0.625</v>
      </c>
    </row>
    <row r="144">
      <c r="A144" t="s">
        <v>31</v>
      </c>
      <c r="B144" t="n">
        <v>1</v>
      </c>
      <c r="C144" t="n">
        <v>1</v>
      </c>
      <c r="D144" t="n">
        <v>1</v>
      </c>
      <c r="E144" t="n">
        <v>-2.5</v>
      </c>
      <c r="F144" t="n">
        <v>-1</v>
      </c>
      <c r="G144" t="n">
        <v>14</v>
      </c>
      <c r="H144" t="n">
        <v>12</v>
      </c>
      <c r="I144" t="s">
        <v>197</v>
      </c>
      <c r="J144" t="n">
        <v>0</v>
      </c>
      <c r="K144" t="n">
        <v>0</v>
      </c>
      <c r="L144" t="n">
        <v>0</v>
      </c>
      <c r="M144" t="n">
        <v>12</v>
      </c>
      <c r="N144" t="n">
        <v>-0.25</v>
      </c>
      <c r="O144" t="n">
        <v>0</v>
      </c>
      <c r="P144" t="n">
        <v>171</v>
      </c>
      <c r="Q144" t="n">
        <v>12</v>
      </c>
      <c r="R144" t="s">
        <v>197</v>
      </c>
      <c r="S144" t="s">
        <v>197</v>
      </c>
      <c r="T144" t="n">
        <v>-0.25</v>
      </c>
    </row>
    <row r="145">
      <c r="A145" t="s">
        <v>31</v>
      </c>
      <c r="B145" t="n">
        <v>1.25</v>
      </c>
      <c r="C145" t="n">
        <v>1.25</v>
      </c>
      <c r="D145" t="n">
        <v>1.25</v>
      </c>
      <c r="E145" t="n">
        <v>-5.25</v>
      </c>
      <c r="F145" t="n">
        <v>-0.75</v>
      </c>
      <c r="G145" t="n">
        <v>91</v>
      </c>
      <c r="H145" t="n">
        <v>12</v>
      </c>
      <c r="I145" t="s">
        <v>198</v>
      </c>
      <c r="J145" t="n">
        <v>0</v>
      </c>
      <c r="K145" t="n">
        <v>0</v>
      </c>
      <c r="L145" t="n">
        <v>0</v>
      </c>
      <c r="M145" t="n">
        <v>12</v>
      </c>
      <c r="N145" t="n">
        <v>-0.25</v>
      </c>
      <c r="O145" t="n">
        <v>-0.25</v>
      </c>
      <c r="P145" t="n">
        <v>49</v>
      </c>
      <c r="Q145" t="n">
        <v>12</v>
      </c>
      <c r="R145" t="s">
        <v>198</v>
      </c>
      <c r="S145" t="s">
        <v>198</v>
      </c>
      <c r="T145" t="n">
        <v>-0.375</v>
      </c>
    </row>
    <row r="146">
      <c r="A146" t="s">
        <v>31</v>
      </c>
      <c r="B146" t="n">
        <v>1</v>
      </c>
      <c r="C146" t="n">
        <v>1</v>
      </c>
      <c r="D146" t="n">
        <v>1</v>
      </c>
      <c r="E146" t="n">
        <v>-7</v>
      </c>
      <c r="F146" t="n">
        <v>-0.25</v>
      </c>
      <c r="G146" t="n">
        <v>9</v>
      </c>
      <c r="H146" t="n">
        <v>12</v>
      </c>
      <c r="I146" t="s">
        <v>197</v>
      </c>
      <c r="J146" t="n">
        <v>0</v>
      </c>
      <c r="K146" t="n">
        <v>0</v>
      </c>
      <c r="L146" t="n">
        <v>0</v>
      </c>
      <c r="M146" t="n">
        <v>12</v>
      </c>
      <c r="N146" t="n">
        <v>0</v>
      </c>
      <c r="O146" t="n">
        <v>0</v>
      </c>
      <c r="P146" t="n">
        <v>114</v>
      </c>
      <c r="Q146" t="n">
        <v>12</v>
      </c>
      <c r="R146" t="s">
        <v>197</v>
      </c>
      <c r="S146" t="s">
        <v>197</v>
      </c>
      <c r="T146" t="n">
        <v>0</v>
      </c>
    </row>
    <row r="147">
      <c r="A147" t="s">
        <v>31</v>
      </c>
      <c r="B147" t="n">
        <v>1</v>
      </c>
      <c r="C147" t="n">
        <v>1</v>
      </c>
      <c r="D147" t="n">
        <v>1</v>
      </c>
      <c r="E147" t="n">
        <v>-7.25</v>
      </c>
      <c r="F147" t="n">
        <v>-0.5</v>
      </c>
      <c r="G147" t="n">
        <v>3</v>
      </c>
      <c r="H147" t="n">
        <v>12</v>
      </c>
      <c r="I147" t="s">
        <v>197</v>
      </c>
      <c r="J147" t="n">
        <v>0</v>
      </c>
      <c r="K147" t="n">
        <v>0</v>
      </c>
      <c r="L147" t="n">
        <v>0</v>
      </c>
      <c r="M147" t="n">
        <v>12</v>
      </c>
      <c r="N147" t="n">
        <v>0.25</v>
      </c>
      <c r="O147" t="n">
        <v>-0.25</v>
      </c>
      <c r="P147" t="n">
        <v>48</v>
      </c>
      <c r="Q147" t="n">
        <v>12</v>
      </c>
      <c r="R147" t="s">
        <v>197</v>
      </c>
      <c r="S147" t="s">
        <v>197</v>
      </c>
      <c r="T147" t="n">
        <v>0.125</v>
      </c>
    </row>
    <row r="148">
      <c r="A148" t="s">
        <v>31</v>
      </c>
      <c r="B148" t="n">
        <v>1</v>
      </c>
      <c r="C148" t="n">
        <v>1.25</v>
      </c>
      <c r="D148" t="n">
        <v>1.25</v>
      </c>
      <c r="E148" t="n">
        <v>-5.5</v>
      </c>
      <c r="F148" t="n">
        <v>-0.25</v>
      </c>
      <c r="G148" t="n">
        <v>21</v>
      </c>
      <c r="H148" t="n">
        <v>12</v>
      </c>
      <c r="I148" t="s">
        <v>197</v>
      </c>
      <c r="J148" t="n">
        <v>0</v>
      </c>
      <c r="K148" t="n">
        <v>0</v>
      </c>
      <c r="L148" t="n">
        <v>0</v>
      </c>
      <c r="M148" t="n">
        <v>12</v>
      </c>
      <c r="N148" t="n">
        <v>-0.25</v>
      </c>
      <c r="O148" t="n">
        <v>-0.25</v>
      </c>
      <c r="P148" t="n">
        <v>108</v>
      </c>
      <c r="Q148" t="n">
        <v>12</v>
      </c>
      <c r="R148" t="s">
        <v>198</v>
      </c>
      <c r="S148" t="s">
        <v>198</v>
      </c>
      <c r="T148" t="n">
        <v>-0.375</v>
      </c>
    </row>
    <row r="149">
      <c r="A149" t="s">
        <v>31</v>
      </c>
      <c r="B149" t="n">
        <v>1</v>
      </c>
      <c r="C149" t="n">
        <v>1</v>
      </c>
      <c r="D149" t="n">
        <v>1</v>
      </c>
      <c r="E149" t="n">
        <v>-6.75</v>
      </c>
      <c r="F149" t="n">
        <v>-0.25</v>
      </c>
      <c r="G149" t="n">
        <v>146</v>
      </c>
      <c r="H149" t="n">
        <v>12</v>
      </c>
      <c r="I149" t="s">
        <v>197</v>
      </c>
      <c r="J149" t="n">
        <v>0</v>
      </c>
      <c r="K149" t="n">
        <v>0</v>
      </c>
      <c r="L149" t="n">
        <v>0</v>
      </c>
      <c r="M149" t="n">
        <v>12</v>
      </c>
      <c r="N149" t="n">
        <v>0.25</v>
      </c>
      <c r="O149" t="n">
        <v>-0.25</v>
      </c>
      <c r="P149" t="n">
        <v>75</v>
      </c>
      <c r="Q149" t="n">
        <v>12</v>
      </c>
      <c r="R149" t="s">
        <v>197</v>
      </c>
      <c r="S149" t="s">
        <v>197</v>
      </c>
      <c r="T149" t="n">
        <v>0.125</v>
      </c>
    </row>
    <row r="150">
      <c r="A150" t="s">
        <v>31</v>
      </c>
      <c r="B150" t="n">
        <v>1</v>
      </c>
      <c r="C150" t="n">
        <v>1</v>
      </c>
      <c r="D150" t="n">
        <v>1</v>
      </c>
      <c r="E150" t="n">
        <v>-5.75</v>
      </c>
      <c r="F150" t="n">
        <v>-0.75</v>
      </c>
      <c r="G150" t="n">
        <v>89</v>
      </c>
      <c r="H150" t="n">
        <v>12</v>
      </c>
      <c r="I150" t="s">
        <v>197</v>
      </c>
      <c r="J150" t="n">
        <v>0</v>
      </c>
      <c r="K150" t="n">
        <v>0</v>
      </c>
      <c r="L150" t="n">
        <v>0</v>
      </c>
      <c r="M150" t="n">
        <v>12</v>
      </c>
      <c r="N150" t="n">
        <v>-0.25</v>
      </c>
      <c r="O150" t="n">
        <v>0</v>
      </c>
      <c r="P150" t="n">
        <v>23</v>
      </c>
      <c r="Q150" t="n">
        <v>12</v>
      </c>
      <c r="R150" t="s">
        <v>197</v>
      </c>
      <c r="S150" t="s">
        <v>197</v>
      </c>
      <c r="T150" t="n">
        <v>-0.25</v>
      </c>
    </row>
    <row r="151">
      <c r="A151" t="s">
        <v>31</v>
      </c>
      <c r="B151" t="n">
        <v>1</v>
      </c>
      <c r="C151" t="n">
        <v>0.8</v>
      </c>
      <c r="D151" t="n">
        <v>0.8</v>
      </c>
      <c r="E151" t="n">
        <v>-5.75</v>
      </c>
      <c r="F151" t="n">
        <v>-0.5</v>
      </c>
      <c r="G151" t="n">
        <v>102</v>
      </c>
      <c r="H151" t="n">
        <v>12</v>
      </c>
      <c r="I151" t="s">
        <v>197</v>
      </c>
      <c r="J151" t="n">
        <v>0</v>
      </c>
      <c r="K151" t="n">
        <v>0</v>
      </c>
      <c r="L151" t="n">
        <v>0</v>
      </c>
      <c r="M151" t="n">
        <v>12</v>
      </c>
      <c r="N151" t="n">
        <v>0</v>
      </c>
      <c r="O151" t="n">
        <v>-0.25</v>
      </c>
      <c r="P151" t="n">
        <v>51</v>
      </c>
      <c r="Q151" t="n">
        <v>12</v>
      </c>
      <c r="R151" t="s">
        <v>196</v>
      </c>
      <c r="S151" t="s">
        <v>196</v>
      </c>
      <c r="T151" t="n">
        <v>-0.125</v>
      </c>
    </row>
    <row r="152">
      <c r="A152" t="s">
        <v>31</v>
      </c>
      <c r="B152" t="n">
        <v>1</v>
      </c>
      <c r="C152" t="n">
        <v>1</v>
      </c>
      <c r="D152" t="n">
        <v>1</v>
      </c>
      <c r="E152" t="n">
        <v>-7.5</v>
      </c>
      <c r="F152" t="n">
        <v>-0.25</v>
      </c>
      <c r="G152" t="n">
        <v>180</v>
      </c>
      <c r="H152" t="n">
        <v>12</v>
      </c>
      <c r="I152" t="s">
        <v>197</v>
      </c>
      <c r="J152" t="n">
        <v>0</v>
      </c>
      <c r="K152" t="n">
        <v>0</v>
      </c>
      <c r="L152" t="n">
        <v>0</v>
      </c>
      <c r="M152" t="n">
        <v>12</v>
      </c>
      <c r="N152" t="n">
        <v>-0.75</v>
      </c>
      <c r="O152" t="n">
        <v>0</v>
      </c>
      <c r="P152" t="n">
        <v>167</v>
      </c>
      <c r="Q152" t="n">
        <v>12</v>
      </c>
      <c r="R152" t="s">
        <v>197</v>
      </c>
      <c r="S152" t="s">
        <v>197</v>
      </c>
      <c r="T152" t="n">
        <v>-0.75</v>
      </c>
    </row>
    <row r="153">
      <c r="A153" t="s">
        <v>31</v>
      </c>
      <c r="B153" t="n">
        <v>1.25</v>
      </c>
      <c r="C153" t="n">
        <v>1</v>
      </c>
      <c r="D153" t="n">
        <v>1.25</v>
      </c>
      <c r="E153" t="n">
        <v>-7.5</v>
      </c>
      <c r="F153" t="n">
        <v>-0.5</v>
      </c>
      <c r="G153" t="n">
        <v>19</v>
      </c>
      <c r="H153" t="n">
        <v>12</v>
      </c>
      <c r="I153" t="s">
        <v>198</v>
      </c>
      <c r="J153" t="n">
        <v>0</v>
      </c>
      <c r="K153" t="n">
        <v>0</v>
      </c>
      <c r="L153" t="n">
        <v>0</v>
      </c>
      <c r="M153" t="n">
        <v>12</v>
      </c>
      <c r="N153" t="n">
        <v>-0.5</v>
      </c>
      <c r="O153" t="n">
        <v>0</v>
      </c>
      <c r="P153" t="n">
        <v>163</v>
      </c>
      <c r="Q153" t="n">
        <v>12</v>
      </c>
      <c r="R153" t="s">
        <v>198</v>
      </c>
      <c r="S153" t="s">
        <v>197</v>
      </c>
      <c r="T153" t="n">
        <v>-0.5</v>
      </c>
    </row>
    <row r="154">
      <c r="A154" t="s">
        <v>31</v>
      </c>
      <c r="B154" t="n">
        <v>1.25</v>
      </c>
      <c r="C154"/>
      <c r="D154"/>
      <c r="E154" t="n">
        <v>-1.25</v>
      </c>
      <c r="F154" t="n">
        <v>-2.75</v>
      </c>
      <c r="G154" t="n">
        <v>172</v>
      </c>
      <c r="H154" t="n">
        <v>12</v>
      </c>
      <c r="I154" t="s">
        <v>198</v>
      </c>
      <c r="J154" t="n">
        <v>0</v>
      </c>
      <c r="K154" t="n">
        <v>0</v>
      </c>
      <c r="L154" t="n">
        <v>0</v>
      </c>
      <c r="M154" t="n">
        <v>12</v>
      </c>
      <c r="N154"/>
      <c r="O154"/>
      <c r="P154"/>
      <c r="Q154" t="n">
        <v>12</v>
      </c>
      <c r="R154" t="s">
        <v>95</v>
      </c>
      <c r="S154" t="s">
        <v>95</v>
      </c>
      <c r="T154"/>
    </row>
    <row r="155">
      <c r="A155" t="s">
        <v>31</v>
      </c>
      <c r="B155" t="n">
        <v>1</v>
      </c>
      <c r="C155" t="n">
        <v>1.25</v>
      </c>
      <c r="D155" t="n">
        <v>1.25</v>
      </c>
      <c r="E155" t="n">
        <v>-3</v>
      </c>
      <c r="F155" t="n">
        <v>-0.5</v>
      </c>
      <c r="G155" t="n">
        <v>85</v>
      </c>
      <c r="H155" t="n">
        <v>12</v>
      </c>
      <c r="I155" t="s">
        <v>197</v>
      </c>
      <c r="J155" t="n">
        <v>0</v>
      </c>
      <c r="K155" t="n">
        <v>0</v>
      </c>
      <c r="L155" t="n">
        <v>0</v>
      </c>
      <c r="M155" t="n">
        <v>12</v>
      </c>
      <c r="N155" t="n">
        <v>0.25</v>
      </c>
      <c r="O155" t="n">
        <v>-0.25</v>
      </c>
      <c r="P155" t="n">
        <v>110</v>
      </c>
      <c r="Q155" t="n">
        <v>12</v>
      </c>
      <c r="R155" t="s">
        <v>198</v>
      </c>
      <c r="S155" t="s">
        <v>198</v>
      </c>
      <c r="T155" t="n">
        <v>0.125</v>
      </c>
    </row>
    <row r="156">
      <c r="A156" t="s">
        <v>31</v>
      </c>
      <c r="B156" t="n">
        <v>1.25</v>
      </c>
      <c r="C156" t="n">
        <v>1.25</v>
      </c>
      <c r="D156" t="n">
        <v>1.25</v>
      </c>
      <c r="E156" t="n">
        <v>-5</v>
      </c>
      <c r="F156" t="n">
        <v>-1</v>
      </c>
      <c r="G156" t="n">
        <v>95</v>
      </c>
      <c r="H156" t="n">
        <v>12</v>
      </c>
      <c r="I156" t="s">
        <v>198</v>
      </c>
      <c r="J156" t="n">
        <v>0</v>
      </c>
      <c r="K156" t="n">
        <v>0</v>
      </c>
      <c r="L156" t="n">
        <v>0</v>
      </c>
      <c r="M156" t="n">
        <v>12</v>
      </c>
      <c r="N156" t="n">
        <v>0</v>
      </c>
      <c r="O156" t="n">
        <v>0</v>
      </c>
      <c r="P156" t="n">
        <v>32</v>
      </c>
      <c r="Q156" t="n">
        <v>12</v>
      </c>
      <c r="R156" t="s">
        <v>198</v>
      </c>
      <c r="S156" t="s">
        <v>198</v>
      </c>
      <c r="T156" t="n">
        <v>0</v>
      </c>
    </row>
    <row r="157">
      <c r="A157" t="s">
        <v>31</v>
      </c>
      <c r="B157" t="n">
        <v>1</v>
      </c>
      <c r="C157" t="n">
        <v>1.25</v>
      </c>
      <c r="D157" t="n">
        <v>1.25</v>
      </c>
      <c r="E157" t="n">
        <v>-5.75</v>
      </c>
      <c r="F157" t="n">
        <v>-0.75</v>
      </c>
      <c r="G157" t="n">
        <v>104</v>
      </c>
      <c r="H157" t="n">
        <v>12</v>
      </c>
      <c r="I157" t="s">
        <v>197</v>
      </c>
      <c r="J157" t="n">
        <v>0</v>
      </c>
      <c r="K157" t="n">
        <v>0</v>
      </c>
      <c r="L157" t="n">
        <v>0</v>
      </c>
      <c r="M157" t="n">
        <v>12</v>
      </c>
      <c r="N157" t="n">
        <v>-0.25</v>
      </c>
      <c r="O157" t="n">
        <v>-0.25</v>
      </c>
      <c r="P157" t="n">
        <v>84</v>
      </c>
      <c r="Q157" t="n">
        <v>12</v>
      </c>
      <c r="R157" t="s">
        <v>198</v>
      </c>
      <c r="S157" t="s">
        <v>198</v>
      </c>
      <c r="T157" t="n">
        <v>-0.375</v>
      </c>
    </row>
    <row r="158">
      <c r="A158" t="s">
        <v>31</v>
      </c>
      <c r="B158" t="n">
        <v>1</v>
      </c>
      <c r="C158" t="n">
        <v>1</v>
      </c>
      <c r="D158" t="n">
        <v>1</v>
      </c>
      <c r="E158" t="n">
        <v>-6.5</v>
      </c>
      <c r="F158" t="n">
        <v>-0.5</v>
      </c>
      <c r="G158" t="n">
        <v>77</v>
      </c>
      <c r="H158" t="n">
        <v>12</v>
      </c>
      <c r="I158" t="s">
        <v>197</v>
      </c>
      <c r="J158" t="n">
        <v>0</v>
      </c>
      <c r="K158" t="n">
        <v>0</v>
      </c>
      <c r="L158" t="n">
        <v>0</v>
      </c>
      <c r="M158" t="n">
        <v>12</v>
      </c>
      <c r="N158" t="n">
        <v>0</v>
      </c>
      <c r="O158" t="n">
        <v>-0.25</v>
      </c>
      <c r="P158" t="n">
        <v>48</v>
      </c>
      <c r="Q158" t="n">
        <v>12</v>
      </c>
      <c r="R158" t="s">
        <v>197</v>
      </c>
      <c r="S158" t="s">
        <v>197</v>
      </c>
      <c r="T158" t="n">
        <v>-0.125</v>
      </c>
    </row>
    <row r="159">
      <c r="A159" t="s">
        <v>31</v>
      </c>
      <c r="B159" t="n">
        <v>1.25</v>
      </c>
      <c r="C159" t="n">
        <v>1.6</v>
      </c>
      <c r="D159" t="n">
        <v>1.6</v>
      </c>
      <c r="E159" t="n">
        <v>-3.75</v>
      </c>
      <c r="F159" t="n">
        <v>-1.75</v>
      </c>
      <c r="G159" t="n">
        <v>65</v>
      </c>
      <c r="H159" t="n">
        <v>12</v>
      </c>
      <c r="I159" t="s">
        <v>198</v>
      </c>
      <c r="J159" t="n">
        <v>0</v>
      </c>
      <c r="K159" t="n">
        <v>0</v>
      </c>
      <c r="L159" t="n">
        <v>0</v>
      </c>
      <c r="M159" t="n">
        <v>12</v>
      </c>
      <c r="N159" t="n">
        <v>0</v>
      </c>
      <c r="O159" t="n">
        <v>-0.25</v>
      </c>
      <c r="P159" t="n">
        <v>9</v>
      </c>
      <c r="Q159" t="n">
        <v>12</v>
      </c>
      <c r="R159" t="s">
        <v>199</v>
      </c>
      <c r="S159" t="s">
        <v>199</v>
      </c>
      <c r="T159" t="n">
        <v>-0.125</v>
      </c>
    </row>
    <row r="160">
      <c r="A160" t="s">
        <v>31</v>
      </c>
      <c r="B160" t="n">
        <v>1.25</v>
      </c>
      <c r="C160" t="n">
        <v>1.6</v>
      </c>
      <c r="D160" t="n">
        <v>1.6</v>
      </c>
      <c r="E160" t="n">
        <v>-4</v>
      </c>
      <c r="F160" t="n">
        <v>-1.25</v>
      </c>
      <c r="G160" t="n">
        <v>107</v>
      </c>
      <c r="H160" t="n">
        <v>12</v>
      </c>
      <c r="I160" t="s">
        <v>198</v>
      </c>
      <c r="J160" t="n">
        <v>0</v>
      </c>
      <c r="K160" t="n">
        <v>0</v>
      </c>
      <c r="L160" t="n">
        <v>0</v>
      </c>
      <c r="M160" t="n">
        <v>12</v>
      </c>
      <c r="N160" t="n">
        <v>0</v>
      </c>
      <c r="O160" t="n">
        <v>-0.25</v>
      </c>
      <c r="P160" t="n">
        <v>134</v>
      </c>
      <c r="Q160" t="n">
        <v>12</v>
      </c>
      <c r="R160" t="s">
        <v>199</v>
      </c>
      <c r="S160" t="s">
        <v>199</v>
      </c>
      <c r="T160" t="n">
        <v>-0.125</v>
      </c>
    </row>
    <row r="161">
      <c r="A161" t="s">
        <v>31</v>
      </c>
      <c r="B161" t="n">
        <v>1</v>
      </c>
      <c r="C161"/>
      <c r="D161"/>
      <c r="E161" t="n">
        <v>-5.5</v>
      </c>
      <c r="F161" t="n">
        <v>-0.75</v>
      </c>
      <c r="G161" t="n">
        <v>12</v>
      </c>
      <c r="H161" t="n">
        <v>12</v>
      </c>
      <c r="I161" t="s">
        <v>197</v>
      </c>
      <c r="J161" t="n">
        <v>0</v>
      </c>
      <c r="K161" t="n">
        <v>0</v>
      </c>
      <c r="L161" t="n">
        <v>0</v>
      </c>
      <c r="M161" t="n">
        <v>12</v>
      </c>
      <c r="N161"/>
      <c r="O161"/>
      <c r="P161"/>
      <c r="Q161" t="n">
        <v>12</v>
      </c>
      <c r="R161" t="s">
        <v>95</v>
      </c>
      <c r="S161" t="s">
        <v>95</v>
      </c>
      <c r="T161"/>
    </row>
    <row r="162">
      <c r="A162" t="s">
        <v>31</v>
      </c>
      <c r="B162" t="n">
        <v>1</v>
      </c>
      <c r="C162"/>
      <c r="D162"/>
      <c r="E162" t="n">
        <v>-4</v>
      </c>
      <c r="F162" t="n">
        <v>-0.75</v>
      </c>
      <c r="G162" t="n">
        <v>5</v>
      </c>
      <c r="H162" t="n">
        <v>12</v>
      </c>
      <c r="I162" t="s">
        <v>197</v>
      </c>
      <c r="J162" t="n">
        <v>0</v>
      </c>
      <c r="K162" t="n">
        <v>0</v>
      </c>
      <c r="L162" t="n">
        <v>0</v>
      </c>
      <c r="M162" t="n">
        <v>12</v>
      </c>
      <c r="N162"/>
      <c r="O162"/>
      <c r="P162"/>
      <c r="Q162" t="n">
        <v>12</v>
      </c>
      <c r="R162" t="s">
        <v>95</v>
      </c>
      <c r="S162" t="s">
        <v>95</v>
      </c>
      <c r="T162"/>
    </row>
    <row r="163">
      <c r="A163" t="s">
        <v>31</v>
      </c>
      <c r="B163" t="n">
        <v>1</v>
      </c>
      <c r="C163" t="n">
        <v>1</v>
      </c>
      <c r="D163" t="n">
        <v>1</v>
      </c>
      <c r="E163" t="n">
        <v>-4</v>
      </c>
      <c r="F163" t="n">
        <v>-1.25</v>
      </c>
      <c r="G163" t="n">
        <v>22</v>
      </c>
      <c r="H163" t="n">
        <v>12</v>
      </c>
      <c r="I163" t="s">
        <v>197</v>
      </c>
      <c r="J163" t="n">
        <v>0</v>
      </c>
      <c r="K163" t="n">
        <v>0</v>
      </c>
      <c r="L163" t="n">
        <v>0</v>
      </c>
      <c r="M163" t="n">
        <v>12</v>
      </c>
      <c r="N163" t="n">
        <v>-0.25</v>
      </c>
      <c r="O163" t="n">
        <v>-0.25</v>
      </c>
      <c r="P163" t="n">
        <v>156</v>
      </c>
      <c r="Q163" t="n">
        <v>12</v>
      </c>
      <c r="R163" t="s">
        <v>197</v>
      </c>
      <c r="S163" t="s">
        <v>197</v>
      </c>
      <c r="T163" t="n">
        <v>-0.375</v>
      </c>
    </row>
    <row r="164">
      <c r="A164" t="s">
        <v>31</v>
      </c>
      <c r="B164" t="n">
        <v>0.8</v>
      </c>
      <c r="C164" t="n">
        <v>0.8</v>
      </c>
      <c r="D164" t="n">
        <v>0.8</v>
      </c>
      <c r="E164" t="n">
        <v>-5.5</v>
      </c>
      <c r="F164" t="n">
        <v>-1.5</v>
      </c>
      <c r="G164" t="n">
        <v>172</v>
      </c>
      <c r="H164" t="n">
        <v>12</v>
      </c>
      <c r="I164" t="s">
        <v>196</v>
      </c>
      <c r="J164" t="n">
        <v>0</v>
      </c>
      <c r="K164" t="n">
        <v>0</v>
      </c>
      <c r="L164" t="n">
        <v>0</v>
      </c>
      <c r="M164" t="n">
        <v>12</v>
      </c>
      <c r="N164" t="n">
        <v>-0.25</v>
      </c>
      <c r="O164" t="n">
        <v>-0.25</v>
      </c>
      <c r="P164" t="n">
        <v>137</v>
      </c>
      <c r="Q164" t="n">
        <v>12</v>
      </c>
      <c r="R164" t="s">
        <v>196</v>
      </c>
      <c r="S164" t="s">
        <v>196</v>
      </c>
      <c r="T164" t="n">
        <v>-0.375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202</v>
      </c>
      <c r="B1" t="s">
        <v>203</v>
      </c>
      <c r="C1" t="s">
        <v>204</v>
      </c>
      <c r="D1" t="s">
        <v>205</v>
      </c>
      <c r="E1" t="s">
        <v>206</v>
      </c>
    </row>
    <row r="2">
      <c r="A2" t="s">
        <v>207</v>
      </c>
      <c r="B2" t="n">
        <v>-0.5</v>
      </c>
      <c r="C2" t="n">
        <v>139</v>
      </c>
      <c r="D2" t="n">
        <v>-0.25</v>
      </c>
      <c r="E2" t="n">
        <v>27</v>
      </c>
    </row>
    <row r="3">
      <c r="A3" t="s">
        <v>208</v>
      </c>
      <c r="B3" t="n">
        <v>-0.75</v>
      </c>
      <c r="C3" t="n">
        <v>41</v>
      </c>
      <c r="D3" t="n">
        <v>-0.25</v>
      </c>
      <c r="E3" t="n">
        <v>75</v>
      </c>
    </row>
    <row r="4">
      <c r="A4" t="s">
        <v>207</v>
      </c>
      <c r="B4" t="n">
        <v>-0.75</v>
      </c>
      <c r="C4" t="n">
        <v>70</v>
      </c>
      <c r="D4" t="n">
        <v>-0.5</v>
      </c>
      <c r="E4" t="n">
        <v>78</v>
      </c>
    </row>
    <row r="5">
      <c r="A5" t="s">
        <v>207</v>
      </c>
      <c r="B5" t="n">
        <v>-0.5</v>
      </c>
      <c r="C5" t="n">
        <v>179</v>
      </c>
      <c r="D5" t="n">
        <v>-0.25</v>
      </c>
      <c r="E5" t="n">
        <v>66</v>
      </c>
    </row>
    <row r="6">
      <c r="A6" t="s">
        <v>208</v>
      </c>
      <c r="B6" t="n">
        <v>-1</v>
      </c>
      <c r="C6" t="n">
        <v>170</v>
      </c>
      <c r="D6" t="n">
        <v>-0.75</v>
      </c>
      <c r="E6" t="n">
        <v>131</v>
      </c>
    </row>
    <row r="7">
      <c r="A7" t="s">
        <v>207</v>
      </c>
      <c r="B7" t="n">
        <v>-0.75</v>
      </c>
      <c r="C7" t="n">
        <v>95</v>
      </c>
      <c r="D7" t="n">
        <v>-0.25</v>
      </c>
      <c r="E7" t="n">
        <v>92</v>
      </c>
    </row>
    <row r="8">
      <c r="A8" t="s">
        <v>208</v>
      </c>
      <c r="B8" t="n">
        <v>-0.5</v>
      </c>
      <c r="C8" t="n">
        <v>106</v>
      </c>
      <c r="D8" t="n">
        <v>-0.25</v>
      </c>
      <c r="E8" t="n">
        <v>123</v>
      </c>
    </row>
    <row r="9">
      <c r="A9" t="s">
        <v>207</v>
      </c>
      <c r="B9" t="n">
        <v>-0.75</v>
      </c>
      <c r="C9" t="n">
        <v>4</v>
      </c>
      <c r="D9" t="n">
        <v>-0.25</v>
      </c>
      <c r="E9" t="n">
        <v>156</v>
      </c>
    </row>
    <row r="10">
      <c r="A10" t="s">
        <v>207</v>
      </c>
      <c r="B10" t="n">
        <v>-1.75</v>
      </c>
      <c r="C10" t="n">
        <v>23</v>
      </c>
      <c r="D10" t="n">
        <v>-0.25</v>
      </c>
      <c r="E10" t="n">
        <v>66</v>
      </c>
    </row>
    <row r="11">
      <c r="A11" t="s">
        <v>208</v>
      </c>
      <c r="B11" t="n">
        <v>-1.5</v>
      </c>
      <c r="C11" t="n">
        <v>172</v>
      </c>
      <c r="D11" t="n">
        <v>-0.25</v>
      </c>
      <c r="E11" t="n">
        <v>37</v>
      </c>
    </row>
    <row r="12">
      <c r="A12" t="s">
        <v>207</v>
      </c>
      <c r="B12" t="n">
        <v>-1.25</v>
      </c>
      <c r="C12" t="n">
        <v>171</v>
      </c>
      <c r="D12" t="n">
        <v>-0.25</v>
      </c>
      <c r="E12" t="n">
        <v>162</v>
      </c>
    </row>
    <row r="13">
      <c r="A13" t="s">
        <v>208</v>
      </c>
      <c r="B13" t="n">
        <v>-0.5</v>
      </c>
      <c r="C13" t="n">
        <v>22</v>
      </c>
      <c r="D13" t="n">
        <v>-0.25</v>
      </c>
      <c r="E13" t="n">
        <v>48</v>
      </c>
    </row>
    <row r="14">
      <c r="A14" t="s">
        <v>207</v>
      </c>
      <c r="B14" t="n">
        <v>-0.25</v>
      </c>
      <c r="C14" t="n">
        <v>165</v>
      </c>
      <c r="D14" t="n">
        <v>0</v>
      </c>
      <c r="E14" t="n">
        <v>114</v>
      </c>
    </row>
    <row r="15">
      <c r="A15" t="s">
        <v>208</v>
      </c>
      <c r="B15" t="n">
        <v>-0.75</v>
      </c>
      <c r="C15" t="n">
        <v>50</v>
      </c>
      <c r="D15" t="n">
        <v>-0.5</v>
      </c>
      <c r="E15" t="n">
        <v>31</v>
      </c>
    </row>
    <row r="16">
      <c r="A16" t="s">
        <v>208</v>
      </c>
      <c r="B16" t="n">
        <v>-0.5</v>
      </c>
      <c r="C16" t="n">
        <v>85</v>
      </c>
      <c r="D16" t="n">
        <v>0</v>
      </c>
      <c r="E16" t="n">
        <v>131</v>
      </c>
    </row>
    <row r="17">
      <c r="A17" t="s">
        <v>207</v>
      </c>
      <c r="B17" t="n">
        <v>-1.5</v>
      </c>
      <c r="C17" t="n">
        <v>57</v>
      </c>
      <c r="D17" t="n">
        <v>0</v>
      </c>
      <c r="E17" t="n">
        <v>84</v>
      </c>
    </row>
    <row r="18">
      <c r="A18" t="s">
        <v>208</v>
      </c>
      <c r="B18" t="n">
        <v>-1</v>
      </c>
      <c r="C18" t="n">
        <v>128</v>
      </c>
      <c r="D18" t="n">
        <v>0</v>
      </c>
      <c r="E18" t="n">
        <v>42</v>
      </c>
    </row>
    <row r="19">
      <c r="A19" t="s">
        <v>207</v>
      </c>
      <c r="B19" t="n">
        <v>-1.25</v>
      </c>
      <c r="C19" t="n">
        <v>15</v>
      </c>
      <c r="D19" t="n">
        <v>-0.5</v>
      </c>
      <c r="E19" t="n">
        <v>37</v>
      </c>
    </row>
    <row r="20">
      <c r="A20" t="s">
        <v>208</v>
      </c>
      <c r="B20" t="n">
        <v>-0.5</v>
      </c>
      <c r="C20" t="n">
        <v>6</v>
      </c>
      <c r="D20" t="n">
        <v>-0.25</v>
      </c>
      <c r="E20" t="n">
        <v>164</v>
      </c>
    </row>
    <row r="21">
      <c r="A21" t="s">
        <v>207</v>
      </c>
      <c r="B21" t="n">
        <v>-1.75</v>
      </c>
      <c r="C21" t="n">
        <v>23</v>
      </c>
      <c r="D21" t="n">
        <v>-0.5</v>
      </c>
      <c r="E21" t="n">
        <v>172</v>
      </c>
    </row>
    <row r="22">
      <c r="A22" t="s">
        <v>208</v>
      </c>
      <c r="B22" t="n">
        <v>-0.75</v>
      </c>
      <c r="C22" t="n">
        <v>149</v>
      </c>
      <c r="D22" t="n">
        <v>-0.25</v>
      </c>
      <c r="E22" t="n">
        <v>117</v>
      </c>
    </row>
    <row r="23">
      <c r="A23" t="s">
        <v>207</v>
      </c>
      <c r="B23" t="n">
        <v>-1.75</v>
      </c>
      <c r="C23" t="n">
        <v>108</v>
      </c>
      <c r="D23" t="n">
        <v>-0.25</v>
      </c>
      <c r="E23" t="n">
        <v>15</v>
      </c>
    </row>
    <row r="24">
      <c r="A24" t="s">
        <v>208</v>
      </c>
      <c r="B24" t="n">
        <v>-1</v>
      </c>
      <c r="C24" t="n">
        <v>67</v>
      </c>
      <c r="D24" t="n">
        <v>-0.25</v>
      </c>
      <c r="E24" t="n">
        <v>161</v>
      </c>
    </row>
    <row r="25">
      <c r="A25" t="s">
        <v>207</v>
      </c>
      <c r="B25" t="n">
        <v>-1</v>
      </c>
      <c r="C25" t="n">
        <v>109</v>
      </c>
      <c r="D25" t="n">
        <v>0</v>
      </c>
      <c r="E25" t="n">
        <v>159</v>
      </c>
    </row>
    <row r="26">
      <c r="A26" t="s">
        <v>208</v>
      </c>
      <c r="B26" t="n">
        <v>-0.25</v>
      </c>
      <c r="C26" t="n">
        <v>14</v>
      </c>
      <c r="D26" t="n">
        <v>-0.25</v>
      </c>
      <c r="E26" t="n">
        <v>84</v>
      </c>
    </row>
    <row r="27">
      <c r="A27" t="s">
        <v>207</v>
      </c>
      <c r="B27" t="n">
        <v>-0.5</v>
      </c>
      <c r="C27" t="n">
        <v>179</v>
      </c>
      <c r="D27"/>
      <c r="E27"/>
    </row>
    <row r="28">
      <c r="A28" t="s">
        <v>208</v>
      </c>
      <c r="B28" t="n">
        <v>-0.5</v>
      </c>
      <c r="C28" t="n">
        <v>176</v>
      </c>
      <c r="D28"/>
      <c r="E28"/>
    </row>
    <row r="29">
      <c r="A29" t="s">
        <v>208</v>
      </c>
      <c r="B29" t="n">
        <v>-1.25</v>
      </c>
      <c r="C29" t="n">
        <v>2</v>
      </c>
      <c r="D29" t="n">
        <v>-0.25</v>
      </c>
      <c r="E29" t="n">
        <v>157</v>
      </c>
    </row>
    <row r="30">
      <c r="A30" t="s">
        <v>207</v>
      </c>
      <c r="B30" t="n">
        <v>-1.5</v>
      </c>
      <c r="C30" t="n">
        <v>176</v>
      </c>
      <c r="D30" t="n">
        <v>-0.25</v>
      </c>
      <c r="E30" t="n">
        <v>20</v>
      </c>
    </row>
    <row r="31">
      <c r="A31" t="s">
        <v>208</v>
      </c>
      <c r="B31" t="n">
        <v>-1</v>
      </c>
      <c r="C31" t="n">
        <v>21</v>
      </c>
      <c r="D31" t="n">
        <v>-0.25</v>
      </c>
      <c r="E31" t="n">
        <v>52</v>
      </c>
    </row>
    <row r="32">
      <c r="A32" t="s">
        <v>207</v>
      </c>
      <c r="B32" t="n">
        <v>-1</v>
      </c>
      <c r="C32" t="n">
        <v>167</v>
      </c>
      <c r="D32" t="n">
        <v>-0.25</v>
      </c>
      <c r="E32" t="n">
        <v>142</v>
      </c>
    </row>
    <row r="33">
      <c r="A33" t="s">
        <v>207</v>
      </c>
      <c r="B33" t="n">
        <v>-0.75</v>
      </c>
      <c r="C33" t="n">
        <v>116</v>
      </c>
      <c r="D33"/>
      <c r="E33"/>
    </row>
    <row r="34">
      <c r="A34" t="s">
        <v>208</v>
      </c>
      <c r="B34" t="n">
        <v>-1</v>
      </c>
      <c r="C34" t="n">
        <v>59</v>
      </c>
      <c r="D34"/>
      <c r="E34"/>
    </row>
    <row r="35">
      <c r="A35" t="s">
        <v>207</v>
      </c>
      <c r="B35" t="n">
        <v>-1</v>
      </c>
      <c r="C35" t="n">
        <v>101</v>
      </c>
      <c r="D35" t="n">
        <v>0</v>
      </c>
      <c r="E35" t="n">
        <v>58</v>
      </c>
    </row>
    <row r="36">
      <c r="A36" t="s">
        <v>208</v>
      </c>
      <c r="B36" t="n">
        <v>-1</v>
      </c>
      <c r="C36" t="n">
        <v>83</v>
      </c>
      <c r="D36" t="n">
        <v>-0.25</v>
      </c>
      <c r="E36" t="n">
        <v>165</v>
      </c>
    </row>
    <row r="37">
      <c r="A37" t="s">
        <v>207</v>
      </c>
      <c r="B37" t="n">
        <v>-1</v>
      </c>
      <c r="C37" t="n">
        <v>170</v>
      </c>
      <c r="D37" t="n">
        <v>-0.25</v>
      </c>
      <c r="E37" t="n">
        <v>70</v>
      </c>
    </row>
    <row r="38">
      <c r="A38" t="s">
        <v>208</v>
      </c>
      <c r="B38" t="n">
        <v>-1.25</v>
      </c>
      <c r="C38" t="n">
        <v>170</v>
      </c>
      <c r="D38" t="n">
        <v>-0.25</v>
      </c>
      <c r="E38" t="n">
        <v>108</v>
      </c>
    </row>
    <row r="39">
      <c r="A39" t="s">
        <v>207</v>
      </c>
      <c r="B39" t="n">
        <v>-1.5</v>
      </c>
      <c r="C39" t="n">
        <v>160</v>
      </c>
      <c r="D39" t="n">
        <v>-0.5</v>
      </c>
      <c r="E39" t="n">
        <v>106</v>
      </c>
    </row>
    <row r="40">
      <c r="A40" t="s">
        <v>208</v>
      </c>
      <c r="B40" t="n">
        <v>-0.5</v>
      </c>
      <c r="C40" t="n">
        <v>11</v>
      </c>
      <c r="D40" t="n">
        <v>0</v>
      </c>
      <c r="E40" t="n">
        <v>111</v>
      </c>
    </row>
    <row r="41">
      <c r="A41" t="s">
        <v>207</v>
      </c>
      <c r="B41" t="n">
        <v>-0.75</v>
      </c>
      <c r="C41" t="n">
        <v>19</v>
      </c>
      <c r="D41" t="n">
        <v>-0.5</v>
      </c>
      <c r="E41" t="n">
        <v>43</v>
      </c>
    </row>
    <row r="42">
      <c r="A42" t="s">
        <v>208</v>
      </c>
      <c r="B42" t="n">
        <v>-0.5</v>
      </c>
      <c r="C42" t="n">
        <v>150</v>
      </c>
      <c r="D42" t="n">
        <v>-0.25</v>
      </c>
      <c r="E42" t="n">
        <v>148</v>
      </c>
    </row>
    <row r="43">
      <c r="A43" t="s">
        <v>207</v>
      </c>
      <c r="B43" t="n">
        <v>-2.5</v>
      </c>
      <c r="C43" t="n">
        <v>173</v>
      </c>
      <c r="D43" t="n">
        <v>-0.25</v>
      </c>
      <c r="E43" t="n">
        <v>156</v>
      </c>
    </row>
    <row r="44">
      <c r="A44" t="s">
        <v>208</v>
      </c>
      <c r="B44" t="n">
        <v>-1.5</v>
      </c>
      <c r="C44" t="n">
        <v>4</v>
      </c>
      <c r="D44" t="n">
        <v>0</v>
      </c>
      <c r="E44" t="n">
        <v>178</v>
      </c>
    </row>
    <row r="45">
      <c r="A45" t="s">
        <v>207</v>
      </c>
      <c r="B45" t="n">
        <v>-1.25</v>
      </c>
      <c r="C45" t="n">
        <v>44</v>
      </c>
      <c r="D45" t="n">
        <v>-0.5</v>
      </c>
      <c r="E45" t="n">
        <v>4</v>
      </c>
    </row>
    <row r="46">
      <c r="A46" t="s">
        <v>208</v>
      </c>
      <c r="B46" t="n">
        <v>-0.5</v>
      </c>
      <c r="C46" t="n">
        <v>142</v>
      </c>
      <c r="D46" t="n">
        <v>-0.25</v>
      </c>
      <c r="E46" t="n">
        <v>175</v>
      </c>
    </row>
    <row r="47">
      <c r="A47" t="s">
        <v>208</v>
      </c>
      <c r="B47" t="n">
        <v>-0.5</v>
      </c>
      <c r="C47" t="n">
        <v>122</v>
      </c>
      <c r="D47" t="n">
        <v>-0.25</v>
      </c>
      <c r="E47" t="n">
        <v>85</v>
      </c>
    </row>
    <row r="48">
      <c r="A48" t="s">
        <v>207</v>
      </c>
      <c r="B48" t="n">
        <v>-0.5</v>
      </c>
      <c r="C48" t="n">
        <v>11</v>
      </c>
      <c r="D48" t="n">
        <v>-0.25</v>
      </c>
      <c r="E48" t="n">
        <v>120</v>
      </c>
    </row>
    <row r="49">
      <c r="A49" t="s">
        <v>208</v>
      </c>
      <c r="B49" t="n">
        <v>-0.75</v>
      </c>
      <c r="C49" t="n">
        <v>153</v>
      </c>
      <c r="D49" t="n">
        <v>-0.25</v>
      </c>
      <c r="E49" t="n">
        <v>87</v>
      </c>
    </row>
    <row r="50">
      <c r="A50" t="s">
        <v>207</v>
      </c>
      <c r="B50" t="n">
        <v>-2.25</v>
      </c>
      <c r="C50" t="n">
        <v>27</v>
      </c>
      <c r="D50" t="n">
        <v>-0.25</v>
      </c>
      <c r="E50" t="n">
        <v>178</v>
      </c>
    </row>
    <row r="51">
      <c r="A51" t="s">
        <v>208</v>
      </c>
      <c r="B51" t="n">
        <v>-2.25</v>
      </c>
      <c r="C51" t="n">
        <v>152</v>
      </c>
      <c r="D51" t="n">
        <v>-0.25</v>
      </c>
      <c r="E51" t="n">
        <v>172</v>
      </c>
    </row>
    <row r="52">
      <c r="A52" t="s">
        <v>207</v>
      </c>
      <c r="B52" t="n">
        <v>-0.75</v>
      </c>
      <c r="C52" t="n">
        <v>165</v>
      </c>
      <c r="D52" t="n">
        <v>-0.25</v>
      </c>
      <c r="E52" t="n">
        <v>133</v>
      </c>
    </row>
    <row r="53">
      <c r="A53" t="s">
        <v>208</v>
      </c>
      <c r="B53" t="n">
        <v>-2</v>
      </c>
      <c r="C53" t="n">
        <v>24</v>
      </c>
      <c r="D53" t="n">
        <v>-0.5</v>
      </c>
      <c r="E53" t="n">
        <v>24</v>
      </c>
    </row>
    <row r="54">
      <c r="A54" t="s">
        <v>207</v>
      </c>
      <c r="B54" t="n">
        <v>-1</v>
      </c>
      <c r="C54" t="n">
        <v>21</v>
      </c>
      <c r="D54" t="n">
        <v>-0.5</v>
      </c>
      <c r="E54" t="n">
        <v>156</v>
      </c>
    </row>
    <row r="55">
      <c r="A55" t="s">
        <v>208</v>
      </c>
      <c r="B55" t="n">
        <v>-1.75</v>
      </c>
      <c r="C55" t="n">
        <v>164</v>
      </c>
      <c r="D55" t="n">
        <v>-0.5</v>
      </c>
      <c r="E55" t="n">
        <v>24</v>
      </c>
    </row>
    <row r="56">
      <c r="A56" t="s">
        <v>208</v>
      </c>
      <c r="B56" t="n">
        <v>-0.75</v>
      </c>
      <c r="C56" t="n">
        <v>9</v>
      </c>
      <c r="D56"/>
      <c r="E56"/>
    </row>
    <row r="57">
      <c r="A57" t="s">
        <v>207</v>
      </c>
      <c r="B57" t="n">
        <v>-0.5</v>
      </c>
      <c r="C57" t="n">
        <v>174</v>
      </c>
      <c r="D57" t="n">
        <v>0</v>
      </c>
      <c r="E57" t="n">
        <v>51</v>
      </c>
    </row>
    <row r="58">
      <c r="A58" t="s">
        <v>208</v>
      </c>
      <c r="B58" t="n">
        <v>-0.5</v>
      </c>
      <c r="C58" t="n">
        <v>2</v>
      </c>
      <c r="D58" t="n">
        <v>0</v>
      </c>
      <c r="E58" t="n">
        <v>99</v>
      </c>
    </row>
    <row r="59">
      <c r="A59" t="s">
        <v>207</v>
      </c>
      <c r="B59" t="n">
        <v>-0.5</v>
      </c>
      <c r="C59" t="n">
        <v>18</v>
      </c>
      <c r="D59" t="n">
        <v>-0.25</v>
      </c>
      <c r="E59" t="n">
        <v>37</v>
      </c>
    </row>
    <row r="60">
      <c r="A60" t="s">
        <v>208</v>
      </c>
      <c r="B60" t="n">
        <v>-0.75</v>
      </c>
      <c r="C60" t="n">
        <v>171</v>
      </c>
      <c r="D60" t="n">
        <v>-0.25</v>
      </c>
      <c r="E60" t="n">
        <v>2</v>
      </c>
    </row>
    <row r="61">
      <c r="A61" t="s">
        <v>207</v>
      </c>
      <c r="B61" t="n">
        <v>-1</v>
      </c>
      <c r="C61" t="n">
        <v>156</v>
      </c>
      <c r="D61" t="n">
        <v>-0.5</v>
      </c>
      <c r="E61" t="n">
        <v>126</v>
      </c>
    </row>
    <row r="62">
      <c r="A62" t="s">
        <v>208</v>
      </c>
      <c r="B62" t="n">
        <v>-1.25</v>
      </c>
      <c r="C62" t="n">
        <v>7</v>
      </c>
      <c r="D62" t="n">
        <v>-0.25</v>
      </c>
      <c r="E62" t="n">
        <v>35</v>
      </c>
    </row>
    <row r="63">
      <c r="A63" t="s">
        <v>207</v>
      </c>
      <c r="B63" t="n">
        <v>-0.25</v>
      </c>
      <c r="C63" t="n">
        <v>52</v>
      </c>
      <c r="D63" t="n">
        <v>-0.25</v>
      </c>
      <c r="E63" t="n">
        <v>144</v>
      </c>
    </row>
    <row r="64">
      <c r="A64" t="s">
        <v>208</v>
      </c>
      <c r="B64" t="n">
        <v>-0.25</v>
      </c>
      <c r="C64" t="n">
        <v>133</v>
      </c>
      <c r="D64" t="n">
        <v>-0.25</v>
      </c>
      <c r="E64" t="n">
        <v>19</v>
      </c>
    </row>
    <row r="65">
      <c r="A65" t="s">
        <v>207</v>
      </c>
      <c r="B65" t="n">
        <v>-0.5</v>
      </c>
      <c r="C65" t="n">
        <v>176</v>
      </c>
      <c r="D65" t="n">
        <v>-0.25</v>
      </c>
      <c r="E65" t="n">
        <v>123</v>
      </c>
    </row>
    <row r="66">
      <c r="A66" t="s">
        <v>208</v>
      </c>
      <c r="B66" t="n">
        <v>-0.5</v>
      </c>
      <c r="C66" t="n">
        <v>11</v>
      </c>
      <c r="D66" t="n">
        <v>-0.25</v>
      </c>
      <c r="E66" t="n">
        <v>61</v>
      </c>
    </row>
    <row r="67">
      <c r="A67" t="s">
        <v>207</v>
      </c>
      <c r="B67" t="n">
        <v>-1</v>
      </c>
      <c r="C67" t="n">
        <v>100</v>
      </c>
      <c r="D67" t="n">
        <v>-0.25</v>
      </c>
      <c r="E67" t="n">
        <v>161</v>
      </c>
    </row>
    <row r="68">
      <c r="A68" t="s">
        <v>208</v>
      </c>
      <c r="B68" t="n">
        <v>-0.75</v>
      </c>
      <c r="C68" t="n">
        <v>86</v>
      </c>
      <c r="D68" t="n">
        <v>0</v>
      </c>
      <c r="E68" t="n">
        <v>52</v>
      </c>
    </row>
    <row r="69">
      <c r="A69" t="s">
        <v>207</v>
      </c>
      <c r="B69" t="n">
        <v>-0.75</v>
      </c>
      <c r="C69" t="n">
        <v>177</v>
      </c>
      <c r="D69"/>
      <c r="E69"/>
    </row>
    <row r="70">
      <c r="A70" t="s">
        <v>208</v>
      </c>
      <c r="B70" t="n">
        <v>-0.5</v>
      </c>
      <c r="C70" t="n">
        <v>19</v>
      </c>
      <c r="D70"/>
      <c r="E70"/>
    </row>
    <row r="71">
      <c r="A71" t="s">
        <v>207</v>
      </c>
      <c r="B71" t="n">
        <v>-3</v>
      </c>
      <c r="C71" t="n">
        <v>158</v>
      </c>
      <c r="D71" t="n">
        <v>-0.5</v>
      </c>
      <c r="E71" t="n">
        <v>122</v>
      </c>
    </row>
    <row r="72">
      <c r="A72" t="s">
        <v>208</v>
      </c>
      <c r="B72" t="n">
        <v>-1.75</v>
      </c>
      <c r="C72" t="n">
        <v>24</v>
      </c>
      <c r="D72" t="n">
        <v>-0.25</v>
      </c>
      <c r="E72" t="n">
        <v>52</v>
      </c>
    </row>
    <row r="73">
      <c r="A73" t="s">
        <v>208</v>
      </c>
      <c r="B73" t="n">
        <v>-1.25</v>
      </c>
      <c r="C73" t="n">
        <v>179</v>
      </c>
      <c r="D73" t="n">
        <v>-0.25</v>
      </c>
      <c r="E73" t="n">
        <v>16</v>
      </c>
    </row>
    <row r="74">
      <c r="A74" t="s">
        <v>207</v>
      </c>
      <c r="B74" t="n">
        <v>-0.5</v>
      </c>
      <c r="C74" t="n">
        <v>18</v>
      </c>
      <c r="D74" t="n">
        <v>-0.25</v>
      </c>
      <c r="E74" t="n">
        <v>141</v>
      </c>
    </row>
    <row r="75">
      <c r="A75" t="s">
        <v>208</v>
      </c>
      <c r="B75" t="n">
        <v>-1</v>
      </c>
      <c r="C75" t="n">
        <v>162</v>
      </c>
      <c r="D75" t="n">
        <v>0</v>
      </c>
      <c r="E75" t="n">
        <v>45</v>
      </c>
    </row>
    <row r="76">
      <c r="A76" t="s">
        <v>207</v>
      </c>
      <c r="B76" t="n">
        <v>-0.25</v>
      </c>
      <c r="C76" t="n">
        <v>36</v>
      </c>
      <c r="D76"/>
      <c r="E76"/>
    </row>
    <row r="77">
      <c r="A77" t="s">
        <v>208</v>
      </c>
      <c r="B77" t="n">
        <v>-0.5</v>
      </c>
      <c r="C77" t="n">
        <v>145</v>
      </c>
      <c r="D77"/>
      <c r="E77"/>
    </row>
    <row r="78">
      <c r="A78" t="s">
        <v>207</v>
      </c>
      <c r="B78" t="n">
        <v>-1.75</v>
      </c>
      <c r="C78" t="n">
        <v>179</v>
      </c>
      <c r="D78" t="n">
        <v>-0.5</v>
      </c>
      <c r="E78" t="n">
        <v>127</v>
      </c>
    </row>
    <row r="79">
      <c r="A79" t="s">
        <v>208</v>
      </c>
      <c r="B79" t="n">
        <v>-2</v>
      </c>
      <c r="C79" t="n">
        <v>1</v>
      </c>
      <c r="D79" t="n">
        <v>-0.25</v>
      </c>
      <c r="E79" t="n">
        <v>71</v>
      </c>
    </row>
    <row r="80">
      <c r="A80" t="s">
        <v>207</v>
      </c>
      <c r="B80" t="n">
        <v>-1</v>
      </c>
      <c r="C80" t="n">
        <v>12</v>
      </c>
      <c r="D80" t="n">
        <v>-0.25</v>
      </c>
      <c r="E80" t="n">
        <v>31</v>
      </c>
    </row>
    <row r="81">
      <c r="A81" t="s">
        <v>208</v>
      </c>
      <c r="B81" t="n">
        <v>-1</v>
      </c>
      <c r="C81" t="n">
        <v>174</v>
      </c>
      <c r="D81" t="n">
        <v>-0.25</v>
      </c>
      <c r="E81" t="n">
        <v>127</v>
      </c>
    </row>
    <row r="82">
      <c r="A82" t="s">
        <v>207</v>
      </c>
      <c r="B82" t="n">
        <v>-1</v>
      </c>
      <c r="C82" t="n">
        <v>174</v>
      </c>
      <c r="D82" t="n">
        <v>-0.5</v>
      </c>
      <c r="E82" t="n">
        <v>130</v>
      </c>
    </row>
    <row r="83">
      <c r="A83" t="s">
        <v>208</v>
      </c>
      <c r="B83" t="n">
        <v>-0.75</v>
      </c>
      <c r="C83" t="n">
        <v>172</v>
      </c>
      <c r="D83"/>
      <c r="E83"/>
    </row>
    <row r="84">
      <c r="A84" t="s">
        <v>207</v>
      </c>
      <c r="B84" t="n">
        <v>-1.25</v>
      </c>
      <c r="C84" t="n">
        <v>13</v>
      </c>
      <c r="D84" t="n">
        <v>-0.25</v>
      </c>
      <c r="E84" t="n">
        <v>77</v>
      </c>
    </row>
    <row r="85">
      <c r="A85" t="s">
        <v>208</v>
      </c>
      <c r="B85" t="n">
        <v>-1</v>
      </c>
      <c r="C85" t="n">
        <v>178</v>
      </c>
      <c r="D85" t="n">
        <v>-0.25</v>
      </c>
      <c r="E85" t="n">
        <v>84</v>
      </c>
    </row>
    <row r="86">
      <c r="A86" t="s">
        <v>207</v>
      </c>
      <c r="B86" t="n">
        <v>-3.5</v>
      </c>
      <c r="C86" t="n">
        <v>156</v>
      </c>
      <c r="D86" t="n">
        <v>-1</v>
      </c>
      <c r="E86" t="n">
        <v>3</v>
      </c>
    </row>
    <row r="87">
      <c r="A87" t="s">
        <v>208</v>
      </c>
      <c r="B87" t="n">
        <v>-3</v>
      </c>
      <c r="C87" t="n">
        <v>19</v>
      </c>
      <c r="D87" t="n">
        <v>-0.75</v>
      </c>
      <c r="E87" t="n">
        <v>166</v>
      </c>
    </row>
    <row r="88">
      <c r="A88" t="s">
        <v>207</v>
      </c>
      <c r="B88" t="n">
        <v>-0.5</v>
      </c>
      <c r="C88" t="n">
        <v>156</v>
      </c>
      <c r="D88" t="n">
        <v>-0.25</v>
      </c>
      <c r="E88" t="n">
        <v>30</v>
      </c>
    </row>
    <row r="89">
      <c r="A89" t="s">
        <v>208</v>
      </c>
      <c r="B89" t="n">
        <v>-0.5</v>
      </c>
      <c r="C89" t="n">
        <v>11</v>
      </c>
      <c r="D89" t="n">
        <v>-0.25</v>
      </c>
      <c r="E89" t="n">
        <v>143</v>
      </c>
    </row>
    <row r="90">
      <c r="A90" t="s">
        <v>207</v>
      </c>
      <c r="B90" t="n">
        <v>-0.5</v>
      </c>
      <c r="C90" t="n">
        <v>41</v>
      </c>
      <c r="D90" t="n">
        <v>0</v>
      </c>
      <c r="E90" t="n">
        <v>82</v>
      </c>
    </row>
    <row r="91">
      <c r="A91" t="s">
        <v>207</v>
      </c>
      <c r="B91" t="n">
        <v>-0.75</v>
      </c>
      <c r="C91" t="n">
        <v>100</v>
      </c>
      <c r="D91" t="n">
        <v>0</v>
      </c>
      <c r="E91" t="n">
        <v>166</v>
      </c>
    </row>
    <row r="92">
      <c r="A92" t="s">
        <v>208</v>
      </c>
      <c r="B92" t="n">
        <v>-0.5</v>
      </c>
      <c r="C92" t="n">
        <v>96</v>
      </c>
      <c r="D92" t="n">
        <v>0</v>
      </c>
      <c r="E92" t="n">
        <v>6</v>
      </c>
    </row>
    <row r="93">
      <c r="A93" t="s">
        <v>207</v>
      </c>
      <c r="B93" t="n">
        <v>-0.75</v>
      </c>
      <c r="C93" t="n">
        <v>31</v>
      </c>
      <c r="D93" t="n">
        <v>0</v>
      </c>
      <c r="E93" t="n">
        <v>166</v>
      </c>
    </row>
    <row r="94">
      <c r="A94" t="s">
        <v>208</v>
      </c>
      <c r="B94" t="n">
        <v>-0.25</v>
      </c>
      <c r="C94" t="n">
        <v>156</v>
      </c>
      <c r="D94" t="n">
        <v>-0.25</v>
      </c>
      <c r="E94" t="n">
        <v>180</v>
      </c>
    </row>
    <row r="95">
      <c r="A95" t="s">
        <v>208</v>
      </c>
      <c r="B95" t="n">
        <v>-2</v>
      </c>
      <c r="C95" t="n">
        <v>23</v>
      </c>
      <c r="D95" t="n">
        <v>-0.75</v>
      </c>
      <c r="E95" t="n">
        <v>42</v>
      </c>
    </row>
    <row r="96">
      <c r="A96" t="s">
        <v>207</v>
      </c>
      <c r="B96" t="n">
        <v>-0.5</v>
      </c>
      <c r="C96" t="n">
        <v>140</v>
      </c>
      <c r="D96" t="n">
        <v>-0.25</v>
      </c>
      <c r="E96" t="n">
        <v>77</v>
      </c>
    </row>
    <row r="97">
      <c r="A97" t="s">
        <v>208</v>
      </c>
      <c r="B97" t="n">
        <v>-0.25</v>
      </c>
      <c r="C97" t="n">
        <v>42</v>
      </c>
      <c r="D97" t="n">
        <v>-0.25</v>
      </c>
      <c r="E97" t="n">
        <v>92</v>
      </c>
    </row>
    <row r="98">
      <c r="A98" t="s">
        <v>207</v>
      </c>
      <c r="B98" t="n">
        <v>-0.75</v>
      </c>
      <c r="C98" t="n">
        <v>4</v>
      </c>
      <c r="D98" t="n">
        <v>0</v>
      </c>
      <c r="E98" t="n">
        <v>130</v>
      </c>
    </row>
    <row r="99">
      <c r="A99" t="s">
        <v>208</v>
      </c>
      <c r="B99" t="n">
        <v>-1.25</v>
      </c>
      <c r="C99" t="n">
        <v>2</v>
      </c>
      <c r="D99" t="n">
        <v>-0.5</v>
      </c>
      <c r="E99" t="n">
        <v>37</v>
      </c>
    </row>
    <row r="100">
      <c r="A100" t="s">
        <v>207</v>
      </c>
      <c r="B100" t="n">
        <v>-0.5</v>
      </c>
      <c r="C100" t="n">
        <v>107</v>
      </c>
      <c r="D100" t="n">
        <v>0</v>
      </c>
      <c r="E100" t="n">
        <v>71</v>
      </c>
    </row>
    <row r="101">
      <c r="A101" t="s">
        <v>207</v>
      </c>
      <c r="B101" t="n">
        <v>-0.25</v>
      </c>
      <c r="C101" t="n">
        <v>170</v>
      </c>
      <c r="D101" t="n">
        <v>-0.25</v>
      </c>
      <c r="E101" t="n">
        <v>24</v>
      </c>
    </row>
    <row r="102">
      <c r="A102" t="s">
        <v>208</v>
      </c>
      <c r="B102" t="n">
        <v>-0.25</v>
      </c>
      <c r="C102" t="n">
        <v>179</v>
      </c>
      <c r="D102" t="n">
        <v>-0.25</v>
      </c>
      <c r="E102" t="n">
        <v>21</v>
      </c>
    </row>
    <row r="103">
      <c r="A103" t="s">
        <v>207</v>
      </c>
      <c r="B103" t="n">
        <v>-1.25</v>
      </c>
      <c r="C103" t="n">
        <v>156</v>
      </c>
      <c r="D103" t="n">
        <v>-0.25</v>
      </c>
      <c r="E103" t="n">
        <v>92</v>
      </c>
    </row>
    <row r="104">
      <c r="A104" t="s">
        <v>208</v>
      </c>
      <c r="B104" t="n">
        <v>-2</v>
      </c>
      <c r="C104" t="n">
        <v>36</v>
      </c>
      <c r="D104" t="n">
        <v>-0.25</v>
      </c>
      <c r="E104" t="n">
        <v>80</v>
      </c>
    </row>
    <row r="105">
      <c r="A105" t="s">
        <v>207</v>
      </c>
      <c r="B105" t="n">
        <v>-0.75</v>
      </c>
      <c r="C105" t="n">
        <v>35</v>
      </c>
      <c r="D105" t="n">
        <v>-0.25</v>
      </c>
      <c r="E105" t="n">
        <v>7</v>
      </c>
    </row>
    <row r="106">
      <c r="A106" t="s">
        <v>208</v>
      </c>
      <c r="B106" t="n">
        <v>-0.5</v>
      </c>
      <c r="C106" t="n">
        <v>143</v>
      </c>
      <c r="D106" t="n">
        <v>-0.25</v>
      </c>
      <c r="E106" t="n">
        <v>33</v>
      </c>
    </row>
    <row r="107">
      <c r="A107" t="s">
        <v>208</v>
      </c>
      <c r="B107" t="n">
        <v>-0.5</v>
      </c>
      <c r="C107" t="n">
        <v>68</v>
      </c>
      <c r="D107" t="n">
        <v>-0.25</v>
      </c>
      <c r="E107" t="n">
        <v>126</v>
      </c>
    </row>
    <row r="108">
      <c r="A108" t="s">
        <v>207</v>
      </c>
      <c r="B108" t="n">
        <v>-1.25</v>
      </c>
      <c r="C108" t="n">
        <v>118</v>
      </c>
      <c r="D108"/>
      <c r="E108"/>
    </row>
    <row r="109">
      <c r="A109" t="s">
        <v>208</v>
      </c>
      <c r="B109" t="n">
        <v>-0.75</v>
      </c>
      <c r="C109" t="n">
        <v>45</v>
      </c>
      <c r="D109"/>
      <c r="E109"/>
    </row>
    <row r="110">
      <c r="A110" t="s">
        <v>208</v>
      </c>
      <c r="B110" t="n">
        <v>-1.25</v>
      </c>
      <c r="C110" t="n">
        <v>79</v>
      </c>
      <c r="D110" t="n">
        <v>-0.5</v>
      </c>
      <c r="E110" t="n">
        <v>40</v>
      </c>
    </row>
    <row r="111">
      <c r="A111" t="s">
        <v>207</v>
      </c>
      <c r="B111" t="n">
        <v>-0.75</v>
      </c>
      <c r="C111" t="n">
        <v>81</v>
      </c>
      <c r="D111" t="n">
        <v>-0.25</v>
      </c>
      <c r="E111" t="n">
        <v>130</v>
      </c>
    </row>
    <row r="112">
      <c r="A112" t="s">
        <v>208</v>
      </c>
      <c r="B112" t="n">
        <v>-0.75</v>
      </c>
      <c r="C112" t="n">
        <v>93</v>
      </c>
      <c r="D112" t="n">
        <v>0</v>
      </c>
      <c r="E112" t="n">
        <v>102</v>
      </c>
    </row>
    <row r="113">
      <c r="A113" t="s">
        <v>207</v>
      </c>
      <c r="B113" t="n">
        <v>-0.25</v>
      </c>
      <c r="C113" t="n">
        <v>13</v>
      </c>
      <c r="D113" t="n">
        <v>0</v>
      </c>
      <c r="E113" t="n">
        <v>58</v>
      </c>
    </row>
    <row r="114">
      <c r="A114" t="s">
        <v>208</v>
      </c>
      <c r="B114" t="n">
        <v>-1</v>
      </c>
      <c r="C114" t="n">
        <v>180</v>
      </c>
      <c r="D114" t="n">
        <v>-0.25</v>
      </c>
      <c r="E114" t="n">
        <v>135</v>
      </c>
    </row>
    <row r="115">
      <c r="A115" t="s">
        <v>207</v>
      </c>
      <c r="B115" t="n">
        <v>-1</v>
      </c>
      <c r="C115" t="n">
        <v>4</v>
      </c>
      <c r="D115" t="n">
        <v>-0.5</v>
      </c>
      <c r="E115" t="n">
        <v>17</v>
      </c>
    </row>
    <row r="116">
      <c r="A116" t="s">
        <v>207</v>
      </c>
      <c r="B116" t="n">
        <v>-0.75</v>
      </c>
      <c r="C116" t="n">
        <v>8</v>
      </c>
      <c r="D116" t="n">
        <v>-0.25</v>
      </c>
      <c r="E116" t="n">
        <v>8</v>
      </c>
    </row>
    <row r="117">
      <c r="A117" t="s">
        <v>208</v>
      </c>
      <c r="B117" t="n">
        <v>-1.75</v>
      </c>
      <c r="C117" t="n">
        <v>168</v>
      </c>
      <c r="D117" t="n">
        <v>-0.5</v>
      </c>
      <c r="E117" t="n">
        <v>7</v>
      </c>
    </row>
    <row r="118">
      <c r="A118" t="s">
        <v>208</v>
      </c>
      <c r="B118" t="n">
        <v>-1.25</v>
      </c>
      <c r="C118" t="n">
        <v>13</v>
      </c>
      <c r="D118" t="n">
        <v>-0.5</v>
      </c>
      <c r="E118" t="n">
        <v>153</v>
      </c>
    </row>
    <row r="119">
      <c r="A119" t="s">
        <v>207</v>
      </c>
      <c r="B119" t="n">
        <v>-0.75</v>
      </c>
      <c r="C119" t="n">
        <v>2</v>
      </c>
      <c r="D119" t="n">
        <v>-0.25</v>
      </c>
      <c r="E119" t="n">
        <v>1</v>
      </c>
    </row>
    <row r="120">
      <c r="A120" t="s">
        <v>208</v>
      </c>
      <c r="B120" t="n">
        <v>-0.75</v>
      </c>
      <c r="C120" t="n">
        <v>180</v>
      </c>
      <c r="D120" t="n">
        <v>-0.25</v>
      </c>
      <c r="E120" t="n">
        <v>173</v>
      </c>
    </row>
    <row r="121">
      <c r="A121" t="s">
        <v>207</v>
      </c>
      <c r="B121" t="n">
        <v>-0.5</v>
      </c>
      <c r="C121" t="n">
        <v>44</v>
      </c>
      <c r="D121" t="n">
        <v>-0.25</v>
      </c>
      <c r="E121" t="n">
        <v>21</v>
      </c>
    </row>
    <row r="122">
      <c r="A122" t="s">
        <v>208</v>
      </c>
      <c r="B122" t="n">
        <v>-0.5</v>
      </c>
      <c r="C122" t="n">
        <v>125</v>
      </c>
      <c r="D122" t="n">
        <v>-0.5</v>
      </c>
      <c r="E122" t="n">
        <v>158</v>
      </c>
    </row>
    <row r="123">
      <c r="A123" t="s">
        <v>207</v>
      </c>
      <c r="B123" t="n">
        <v>-1.25</v>
      </c>
      <c r="C123" t="n">
        <v>16</v>
      </c>
      <c r="D123" t="n">
        <v>-0.5</v>
      </c>
      <c r="E123" t="n">
        <v>29</v>
      </c>
    </row>
    <row r="124">
      <c r="A124" t="s">
        <v>208</v>
      </c>
      <c r="B124" t="n">
        <v>-1.5</v>
      </c>
      <c r="C124" t="n">
        <v>166</v>
      </c>
      <c r="D124" t="n">
        <v>-0.5</v>
      </c>
      <c r="E124" t="n">
        <v>162</v>
      </c>
    </row>
    <row r="125">
      <c r="A125" t="s">
        <v>208</v>
      </c>
      <c r="B125" t="n">
        <v>-0.75</v>
      </c>
      <c r="C125" t="n">
        <v>7</v>
      </c>
      <c r="D125" t="n">
        <v>0</v>
      </c>
      <c r="E125" t="n">
        <v>139</v>
      </c>
    </row>
    <row r="126">
      <c r="A126" t="s">
        <v>208</v>
      </c>
      <c r="B126" t="n">
        <v>-0.75</v>
      </c>
      <c r="C126" t="n">
        <v>89</v>
      </c>
      <c r="D126" t="n">
        <v>-0.25</v>
      </c>
      <c r="E126" t="n">
        <v>80</v>
      </c>
    </row>
    <row r="127">
      <c r="A127" t="s">
        <v>207</v>
      </c>
      <c r="B127" t="n">
        <v>-0.5</v>
      </c>
      <c r="C127" t="n">
        <v>165</v>
      </c>
      <c r="D127" t="n">
        <v>-0.25</v>
      </c>
      <c r="E127" t="n">
        <v>170</v>
      </c>
    </row>
    <row r="128">
      <c r="A128" t="s">
        <v>208</v>
      </c>
      <c r="B128" t="n">
        <v>-0.5</v>
      </c>
      <c r="C128" t="n">
        <v>21</v>
      </c>
      <c r="D128" t="n">
        <v>-0.25</v>
      </c>
      <c r="E128" t="n">
        <v>19</v>
      </c>
    </row>
    <row r="129">
      <c r="A129" t="s">
        <v>208</v>
      </c>
      <c r="B129" t="n">
        <v>-1</v>
      </c>
      <c r="C129" t="n">
        <v>167</v>
      </c>
      <c r="D129" t="n">
        <v>0</v>
      </c>
      <c r="E129" t="n">
        <v>20</v>
      </c>
    </row>
    <row r="130">
      <c r="A130" t="s">
        <v>208</v>
      </c>
      <c r="B130" t="n">
        <v>-0.5</v>
      </c>
      <c r="C130" t="n">
        <v>10</v>
      </c>
      <c r="D130" t="n">
        <v>0</v>
      </c>
      <c r="E130" t="n">
        <v>82</v>
      </c>
    </row>
    <row r="131">
      <c r="A131" t="s">
        <v>207</v>
      </c>
      <c r="B131" t="n">
        <v>-0.75</v>
      </c>
      <c r="C131" t="n">
        <v>145</v>
      </c>
      <c r="D131" t="n">
        <v>-0.25</v>
      </c>
      <c r="E131" t="n">
        <v>155</v>
      </c>
    </row>
    <row r="132">
      <c r="A132" t="s">
        <v>208</v>
      </c>
      <c r="B132" t="n">
        <v>-1.25</v>
      </c>
      <c r="C132" t="n">
        <v>31</v>
      </c>
      <c r="D132" t="n">
        <v>-0.5</v>
      </c>
      <c r="E132" t="n">
        <v>20</v>
      </c>
    </row>
    <row r="133">
      <c r="A133" t="s">
        <v>207</v>
      </c>
      <c r="B133" t="n">
        <v>-0.5</v>
      </c>
      <c r="C133" t="n">
        <v>166</v>
      </c>
      <c r="D133" t="n">
        <v>-0.25</v>
      </c>
      <c r="E133" t="n">
        <v>149</v>
      </c>
    </row>
    <row r="134">
      <c r="A134" t="s">
        <v>208</v>
      </c>
      <c r="B134" t="n">
        <v>-0.25</v>
      </c>
      <c r="C134" t="n">
        <v>12</v>
      </c>
      <c r="D134" t="n">
        <v>-0.25</v>
      </c>
      <c r="E134" t="n">
        <v>28</v>
      </c>
    </row>
    <row r="135">
      <c r="A135" t="s">
        <v>207</v>
      </c>
      <c r="B135" t="n">
        <v>-0.5</v>
      </c>
      <c r="C135" t="n">
        <v>160</v>
      </c>
      <c r="D135"/>
      <c r="E135"/>
    </row>
    <row r="136">
      <c r="A136" t="s">
        <v>208</v>
      </c>
      <c r="B136" t="n">
        <v>-0.5</v>
      </c>
      <c r="C136" t="n">
        <v>23</v>
      </c>
      <c r="D136"/>
      <c r="E136"/>
    </row>
    <row r="137">
      <c r="A137" t="s">
        <v>207</v>
      </c>
      <c r="B137" t="n">
        <v>-0.25</v>
      </c>
      <c r="C137" t="n">
        <v>35</v>
      </c>
      <c r="D137" t="n">
        <v>0</v>
      </c>
      <c r="E137" t="n">
        <v>20</v>
      </c>
    </row>
    <row r="138">
      <c r="A138" t="s">
        <v>208</v>
      </c>
      <c r="B138" t="n">
        <v>-0.25</v>
      </c>
      <c r="C138" t="n">
        <v>147</v>
      </c>
      <c r="D138" t="n">
        <v>0</v>
      </c>
      <c r="E138" t="n">
        <v>29</v>
      </c>
    </row>
    <row r="139">
      <c r="A139" t="s">
        <v>207</v>
      </c>
      <c r="B139" t="n">
        <v>-0.25</v>
      </c>
      <c r="C139" t="n">
        <v>97</v>
      </c>
      <c r="D139" t="n">
        <v>0</v>
      </c>
      <c r="E139" t="n">
        <v>141</v>
      </c>
    </row>
    <row r="140">
      <c r="A140" t="s">
        <v>208</v>
      </c>
      <c r="B140" t="n">
        <v>-0.75</v>
      </c>
      <c r="C140" t="n">
        <v>93</v>
      </c>
      <c r="D140" t="n">
        <v>-0.25</v>
      </c>
      <c r="E140" t="n">
        <v>155</v>
      </c>
    </row>
    <row r="141">
      <c r="A141" t="s">
        <v>207</v>
      </c>
      <c r="B141" t="n">
        <v>-0.75</v>
      </c>
      <c r="C141" t="n">
        <v>166</v>
      </c>
      <c r="D141" t="n">
        <v>-0.25</v>
      </c>
      <c r="E141" t="n">
        <v>110</v>
      </c>
    </row>
    <row r="142">
      <c r="A142" t="s">
        <v>208</v>
      </c>
      <c r="B142" t="n">
        <v>-1</v>
      </c>
      <c r="C142" t="n">
        <v>180</v>
      </c>
      <c r="D142" t="n">
        <v>-0.25</v>
      </c>
      <c r="E142" t="n">
        <v>69</v>
      </c>
    </row>
    <row r="143">
      <c r="A143" t="s">
        <v>207</v>
      </c>
      <c r="B143" t="n">
        <v>-1.75</v>
      </c>
      <c r="C143" t="n">
        <v>61</v>
      </c>
      <c r="D143" t="n">
        <v>-0.25</v>
      </c>
      <c r="E143" t="n">
        <v>6</v>
      </c>
    </row>
    <row r="144">
      <c r="A144" t="s">
        <v>208</v>
      </c>
      <c r="B144" t="n">
        <v>-2</v>
      </c>
      <c r="C144" t="n">
        <v>134</v>
      </c>
      <c r="D144" t="n">
        <v>-0.25</v>
      </c>
      <c r="E144" t="n">
        <v>79</v>
      </c>
    </row>
    <row r="145">
      <c r="A145" t="s">
        <v>207</v>
      </c>
      <c r="B145" t="n">
        <v>-1.5</v>
      </c>
      <c r="C145" t="n">
        <v>171</v>
      </c>
      <c r="D145" t="n">
        <v>-0.5</v>
      </c>
      <c r="E145" t="n">
        <v>8</v>
      </c>
    </row>
    <row r="146">
      <c r="A146" t="s">
        <v>208</v>
      </c>
      <c r="B146" t="n">
        <v>-1</v>
      </c>
      <c r="C146" t="n">
        <v>15</v>
      </c>
      <c r="D146" t="n">
        <v>-0.25</v>
      </c>
      <c r="E146" t="n">
        <v>177</v>
      </c>
    </row>
    <row r="147">
      <c r="A147" t="s">
        <v>207</v>
      </c>
      <c r="B147" t="n">
        <v>-0.25</v>
      </c>
      <c r="C147" t="n">
        <v>7</v>
      </c>
      <c r="D147"/>
      <c r="E147"/>
    </row>
    <row r="148">
      <c r="A148" t="s">
        <v>208</v>
      </c>
      <c r="B148" t="n">
        <v>-0.25</v>
      </c>
      <c r="C148" t="n">
        <v>169</v>
      </c>
      <c r="D148"/>
      <c r="E148"/>
    </row>
    <row r="149">
      <c r="A149" t="s">
        <v>208</v>
      </c>
      <c r="B149" t="n">
        <v>-2.75</v>
      </c>
      <c r="C149" t="n">
        <v>154</v>
      </c>
      <c r="D149" t="n">
        <v>-1</v>
      </c>
      <c r="E149" t="n">
        <v>122</v>
      </c>
    </row>
    <row r="150">
      <c r="A150" t="s">
        <v>207</v>
      </c>
      <c r="B150" t="n">
        <v>-0.75</v>
      </c>
      <c r="C150" t="n">
        <v>14</v>
      </c>
      <c r="D150" t="n">
        <v>0</v>
      </c>
      <c r="E150" t="n">
        <v>14</v>
      </c>
    </row>
    <row r="151">
      <c r="A151" t="s">
        <v>207</v>
      </c>
      <c r="B151" t="n">
        <v>-1.25</v>
      </c>
      <c r="C151" t="n">
        <v>16</v>
      </c>
      <c r="D151" t="n">
        <v>-0.5</v>
      </c>
      <c r="E151" t="n">
        <v>174</v>
      </c>
    </row>
    <row r="152">
      <c r="A152" t="s">
        <v>208</v>
      </c>
      <c r="B152" t="n">
        <v>-1.5</v>
      </c>
      <c r="C152" t="n">
        <v>156</v>
      </c>
      <c r="D152" t="n">
        <v>-0.75</v>
      </c>
      <c r="E152" t="n">
        <v>1</v>
      </c>
    </row>
    <row r="153">
      <c r="A153" t="s">
        <v>207</v>
      </c>
      <c r="B153" t="n">
        <v>-1.25</v>
      </c>
      <c r="C153" t="n">
        <v>4</v>
      </c>
      <c r="D153" t="n">
        <v>-0.5</v>
      </c>
      <c r="E153" t="n">
        <v>161</v>
      </c>
    </row>
    <row r="154">
      <c r="A154" t="s">
        <v>207</v>
      </c>
      <c r="B154" t="n">
        <v>-3</v>
      </c>
      <c r="C154" t="n">
        <v>8</v>
      </c>
      <c r="D154" t="n">
        <v>-1.5</v>
      </c>
      <c r="E154" t="n">
        <v>55</v>
      </c>
    </row>
    <row r="155">
      <c r="A155" t="s">
        <v>208</v>
      </c>
      <c r="B155" t="n">
        <v>-2.25</v>
      </c>
      <c r="C155" t="n">
        <v>10</v>
      </c>
      <c r="D155" t="n">
        <v>-0.5</v>
      </c>
      <c r="E155" t="n">
        <v>77</v>
      </c>
    </row>
    <row r="156">
      <c r="A156" t="s">
        <v>207</v>
      </c>
      <c r="B156" t="n">
        <v>-2.25</v>
      </c>
      <c r="C156" t="n">
        <v>79</v>
      </c>
      <c r="D156" t="n">
        <v>-0.75</v>
      </c>
      <c r="E156" t="n">
        <v>60</v>
      </c>
    </row>
    <row r="157">
      <c r="A157" t="s">
        <v>208</v>
      </c>
      <c r="B157" t="n">
        <v>-1.75</v>
      </c>
      <c r="C157" t="n">
        <v>91</v>
      </c>
      <c r="D157" t="n">
        <v>-0.25</v>
      </c>
      <c r="E157" t="n">
        <v>78</v>
      </c>
    </row>
    <row r="158">
      <c r="A158" t="s">
        <v>207</v>
      </c>
      <c r="B158" t="n">
        <v>-0.5</v>
      </c>
      <c r="C158" t="n">
        <v>91</v>
      </c>
      <c r="D158" t="n">
        <v>-0.25</v>
      </c>
      <c r="E158" t="n">
        <v>76</v>
      </c>
    </row>
    <row r="159">
      <c r="A159" t="s">
        <v>207</v>
      </c>
      <c r="B159" t="n">
        <v>-0.75</v>
      </c>
      <c r="C159" t="n">
        <v>168</v>
      </c>
      <c r="D159" t="n">
        <v>0</v>
      </c>
      <c r="E159" t="n">
        <v>137</v>
      </c>
    </row>
    <row r="160">
      <c r="A160" t="s">
        <v>208</v>
      </c>
      <c r="B160" t="n">
        <v>-0.75</v>
      </c>
      <c r="C160" t="n">
        <v>17</v>
      </c>
      <c r="D160" t="n">
        <v>0</v>
      </c>
      <c r="E160" t="n">
        <v>31</v>
      </c>
    </row>
    <row r="161">
      <c r="A161" t="s">
        <v>207</v>
      </c>
      <c r="B161" t="n">
        <v>-1</v>
      </c>
      <c r="C161" t="n">
        <v>180</v>
      </c>
      <c r="D161" t="n">
        <v>-0.5</v>
      </c>
      <c r="E161" t="n">
        <v>159</v>
      </c>
    </row>
    <row r="162">
      <c r="A162" t="s">
        <v>208</v>
      </c>
      <c r="B162" t="n">
        <v>-0.75</v>
      </c>
      <c r="C162" t="n">
        <v>176</v>
      </c>
      <c r="D162" t="n">
        <v>-0.25</v>
      </c>
      <c r="E162" t="n">
        <v>160</v>
      </c>
    </row>
    <row r="163">
      <c r="A163" t="s">
        <v>207</v>
      </c>
      <c r="B163" t="n">
        <v>-0.25</v>
      </c>
      <c r="C163" t="n">
        <v>129</v>
      </c>
      <c r="D163" t="n">
        <v>-0.25</v>
      </c>
      <c r="E163" t="n">
        <v>122</v>
      </c>
    </row>
    <row r="164">
      <c r="A164" t="s">
        <v>208</v>
      </c>
      <c r="B164" t="n">
        <v>-0.5</v>
      </c>
      <c r="C164" t="n">
        <v>60</v>
      </c>
      <c r="D164" t="n">
        <v>-0.25</v>
      </c>
      <c r="E164" t="n">
        <v>78</v>
      </c>
    </row>
    <row r="165">
      <c r="A165" t="s">
        <v>208</v>
      </c>
      <c r="B165" t="n">
        <v>-0.75</v>
      </c>
      <c r="C165" t="n">
        <v>167</v>
      </c>
      <c r="D165" t="n">
        <v>-0.5</v>
      </c>
      <c r="E165" t="n">
        <v>39</v>
      </c>
    </row>
    <row r="166">
      <c r="A166" t="s">
        <v>208</v>
      </c>
      <c r="B166" t="n">
        <v>-1.5</v>
      </c>
      <c r="C166" t="n">
        <v>8</v>
      </c>
      <c r="D166" t="n">
        <v>-0.25</v>
      </c>
      <c r="E166" t="n">
        <v>34</v>
      </c>
    </row>
    <row r="167">
      <c r="A167" t="s">
        <v>207</v>
      </c>
      <c r="B167" t="n">
        <v>-0.75</v>
      </c>
      <c r="C167" t="n">
        <v>171</v>
      </c>
      <c r="D167" t="n">
        <v>0</v>
      </c>
      <c r="E167" t="n">
        <v>138</v>
      </c>
    </row>
    <row r="168">
      <c r="A168" t="s">
        <v>208</v>
      </c>
      <c r="B168" t="n">
        <v>-0.5</v>
      </c>
      <c r="C168" t="n">
        <v>6</v>
      </c>
      <c r="D168" t="n">
        <v>-0.25</v>
      </c>
      <c r="E168" t="n">
        <v>31</v>
      </c>
    </row>
    <row r="169">
      <c r="A169" t="s">
        <v>207</v>
      </c>
      <c r="B169" t="n">
        <v>-0.75</v>
      </c>
      <c r="C169" t="n">
        <v>179</v>
      </c>
      <c r="D169" t="n">
        <v>-0.25</v>
      </c>
      <c r="E169" t="n">
        <v>138</v>
      </c>
    </row>
    <row r="170">
      <c r="A170" t="s">
        <v>207</v>
      </c>
      <c r="B170" t="n">
        <v>-1.5</v>
      </c>
      <c r="C170" t="n">
        <v>7</v>
      </c>
      <c r="D170" t="n">
        <v>-0.25</v>
      </c>
      <c r="E170" t="n">
        <v>123</v>
      </c>
    </row>
    <row r="171">
      <c r="A171" t="s">
        <v>208</v>
      </c>
      <c r="B171" t="n">
        <v>-1</v>
      </c>
      <c r="C171" t="n">
        <v>4</v>
      </c>
      <c r="D171" t="n">
        <v>0</v>
      </c>
      <c r="E171" t="n">
        <v>71</v>
      </c>
    </row>
    <row r="172">
      <c r="A172" t="s">
        <v>207</v>
      </c>
      <c r="B172" t="n">
        <v>-0.75</v>
      </c>
      <c r="C172" t="n">
        <v>152</v>
      </c>
      <c r="D172" t="n">
        <v>-0.25</v>
      </c>
      <c r="E172" t="n">
        <v>13</v>
      </c>
    </row>
    <row r="173">
      <c r="A173" t="s">
        <v>208</v>
      </c>
      <c r="B173" t="n">
        <v>-1</v>
      </c>
      <c r="C173" t="n">
        <v>29</v>
      </c>
      <c r="D173" t="n">
        <v>-0.25</v>
      </c>
      <c r="E173" t="n">
        <v>47</v>
      </c>
    </row>
    <row r="174">
      <c r="A174" t="s">
        <v>207</v>
      </c>
      <c r="B174" t="n">
        <v>-1.75</v>
      </c>
      <c r="C174" t="n">
        <v>71</v>
      </c>
      <c r="D174"/>
      <c r="E174"/>
    </row>
    <row r="175">
      <c r="A175" t="s">
        <v>208</v>
      </c>
      <c r="B175" t="n">
        <v>-0.75</v>
      </c>
      <c r="C175" t="n">
        <v>116</v>
      </c>
      <c r="D175"/>
      <c r="E175"/>
    </row>
    <row r="176">
      <c r="A176" t="s">
        <v>207</v>
      </c>
      <c r="B176" t="n">
        <v>-2.25</v>
      </c>
      <c r="C176" t="n">
        <v>6</v>
      </c>
      <c r="D176"/>
      <c r="E176"/>
    </row>
    <row r="177">
      <c r="A177" t="s">
        <v>207</v>
      </c>
      <c r="B177" t="n">
        <v>-0.25</v>
      </c>
      <c r="C177" t="n">
        <v>175</v>
      </c>
      <c r="D177" t="n">
        <v>0</v>
      </c>
      <c r="E177" t="n">
        <v>132</v>
      </c>
    </row>
    <row r="178">
      <c r="A178" t="s">
        <v>208</v>
      </c>
      <c r="B178" t="n">
        <v>-0.25</v>
      </c>
      <c r="C178" t="n">
        <v>1</v>
      </c>
      <c r="D178" t="n">
        <v>0</v>
      </c>
      <c r="E178" t="n">
        <v>1</v>
      </c>
    </row>
    <row r="179">
      <c r="A179" t="s">
        <v>208</v>
      </c>
      <c r="B179" t="n">
        <v>0</v>
      </c>
      <c r="C179" t="n">
        <v>64</v>
      </c>
      <c r="D179" t="n">
        <v>-0.25</v>
      </c>
      <c r="E179" t="n">
        <v>145</v>
      </c>
    </row>
    <row r="180">
      <c r="A180" t="s">
        <v>207</v>
      </c>
      <c r="B180" t="n">
        <v>-1</v>
      </c>
      <c r="C180" t="n">
        <v>88</v>
      </c>
      <c r="D180" t="n">
        <v>-0.25</v>
      </c>
      <c r="E180" t="n">
        <v>132</v>
      </c>
    </row>
    <row r="181">
      <c r="A181" t="s">
        <v>207</v>
      </c>
      <c r="B181" t="n">
        <v>-1</v>
      </c>
      <c r="C181" t="n">
        <v>164</v>
      </c>
      <c r="D181" t="n">
        <v>-0.75</v>
      </c>
      <c r="E181" t="n">
        <v>131</v>
      </c>
    </row>
    <row r="182">
      <c r="A182" t="s">
        <v>207</v>
      </c>
      <c r="B182" t="n">
        <v>-0.5</v>
      </c>
      <c r="C182" t="n">
        <v>163</v>
      </c>
      <c r="D182" t="n">
        <v>-0.5</v>
      </c>
      <c r="E182" t="n">
        <v>127</v>
      </c>
    </row>
    <row r="183">
      <c r="A183" t="s">
        <v>207</v>
      </c>
      <c r="B183" t="n">
        <v>-0.75</v>
      </c>
      <c r="C183" t="n">
        <v>26</v>
      </c>
      <c r="D183" t="n">
        <v>0</v>
      </c>
      <c r="E183" t="n">
        <v>66</v>
      </c>
    </row>
    <row r="184">
      <c r="A184" t="s">
        <v>208</v>
      </c>
      <c r="B184" t="n">
        <v>-1.75</v>
      </c>
      <c r="C184" t="n">
        <v>148</v>
      </c>
      <c r="D184" t="n">
        <v>-0.25</v>
      </c>
      <c r="E184" t="n">
        <v>112</v>
      </c>
    </row>
    <row r="185">
      <c r="A185" t="s">
        <v>207</v>
      </c>
      <c r="B185" t="n">
        <v>-0.75</v>
      </c>
      <c r="C185" t="n">
        <v>38</v>
      </c>
      <c r="D185" t="n">
        <v>-0.25</v>
      </c>
      <c r="E185" t="n">
        <v>156</v>
      </c>
    </row>
    <row r="186">
      <c r="A186" t="s">
        <v>208</v>
      </c>
      <c r="B186" t="n">
        <v>-0.25</v>
      </c>
      <c r="C186" t="n">
        <v>97</v>
      </c>
      <c r="D186" t="n">
        <v>0</v>
      </c>
      <c r="E186" t="n">
        <v>166</v>
      </c>
    </row>
    <row r="187">
      <c r="A187" t="s">
        <v>207</v>
      </c>
      <c r="B187" t="n">
        <v>-1.25</v>
      </c>
      <c r="C187" t="n">
        <v>3</v>
      </c>
      <c r="D187" t="n">
        <v>-0.5</v>
      </c>
      <c r="E187" t="n">
        <v>168</v>
      </c>
    </row>
    <row r="188">
      <c r="A188" t="s">
        <v>208</v>
      </c>
      <c r="B188" t="n">
        <v>-1.5</v>
      </c>
      <c r="C188" t="n">
        <v>16</v>
      </c>
      <c r="D188" t="n">
        <v>-0.5</v>
      </c>
      <c r="E188" t="n">
        <v>40</v>
      </c>
    </row>
    <row r="189">
      <c r="A189" t="s">
        <v>207</v>
      </c>
      <c r="B189" t="n">
        <v>-0.5</v>
      </c>
      <c r="C189" t="n">
        <v>42</v>
      </c>
      <c r="D189" t="n">
        <v>-0.5</v>
      </c>
      <c r="E189" t="n">
        <v>91</v>
      </c>
    </row>
    <row r="190">
      <c r="A190" t="s">
        <v>208</v>
      </c>
      <c r="B190" t="n">
        <v>-0.75</v>
      </c>
      <c r="C190" t="n">
        <v>139</v>
      </c>
      <c r="D190" t="n">
        <v>-0.25</v>
      </c>
      <c r="E190" t="n">
        <v>87</v>
      </c>
    </row>
    <row r="191">
      <c r="A191" t="s">
        <v>207</v>
      </c>
      <c r="B191" t="n">
        <v>-1</v>
      </c>
      <c r="C191" t="n">
        <v>129</v>
      </c>
      <c r="D191"/>
      <c r="E191"/>
    </row>
    <row r="192">
      <c r="A192" t="s">
        <v>208</v>
      </c>
      <c r="B192" t="n">
        <v>-0.75</v>
      </c>
      <c r="C192" t="n">
        <v>54</v>
      </c>
      <c r="D192"/>
      <c r="E192"/>
    </row>
    <row r="193">
      <c r="A193" t="s">
        <v>207</v>
      </c>
      <c r="B193" t="n">
        <v>-1.25</v>
      </c>
      <c r="C193" t="n">
        <v>180</v>
      </c>
      <c r="D193" t="n">
        <v>-0.75</v>
      </c>
      <c r="E193" t="n">
        <v>152</v>
      </c>
    </row>
    <row r="194">
      <c r="A194" t="s">
        <v>208</v>
      </c>
      <c r="B194" t="n">
        <v>-1.25</v>
      </c>
      <c r="C194" t="n">
        <v>171</v>
      </c>
      <c r="D194" t="n">
        <v>-0.75</v>
      </c>
      <c r="E194" t="n">
        <v>26</v>
      </c>
    </row>
    <row r="195">
      <c r="A195" t="s">
        <v>207</v>
      </c>
      <c r="B195" t="n">
        <v>-1</v>
      </c>
      <c r="C195" t="n">
        <v>18</v>
      </c>
      <c r="D195" t="n">
        <v>-0.25</v>
      </c>
      <c r="E195" t="n">
        <v>48</v>
      </c>
    </row>
    <row r="196">
      <c r="A196" t="s">
        <v>208</v>
      </c>
      <c r="B196" t="n">
        <v>-1.5</v>
      </c>
      <c r="C196" t="n">
        <v>157</v>
      </c>
      <c r="D196" t="n">
        <v>-0.5</v>
      </c>
      <c r="E196" t="n">
        <v>177</v>
      </c>
    </row>
    <row r="197">
      <c r="A197" t="s">
        <v>207</v>
      </c>
      <c r="B197" t="n">
        <v>-1.5</v>
      </c>
      <c r="C197" t="n">
        <v>165</v>
      </c>
      <c r="D197" t="n">
        <v>-0.25</v>
      </c>
      <c r="E197" t="n">
        <v>157</v>
      </c>
    </row>
    <row r="198">
      <c r="A198" t="s">
        <v>208</v>
      </c>
      <c r="B198" t="n">
        <v>-0.75</v>
      </c>
      <c r="C198" t="n">
        <v>15</v>
      </c>
      <c r="D198" t="n">
        <v>0</v>
      </c>
      <c r="E198" t="n">
        <v>110</v>
      </c>
    </row>
    <row r="199">
      <c r="A199" t="s">
        <v>207</v>
      </c>
      <c r="B199" t="n">
        <v>-0.5</v>
      </c>
      <c r="C199" t="n">
        <v>84</v>
      </c>
      <c r="D199" t="n">
        <v>-0.25</v>
      </c>
      <c r="E199" t="n">
        <v>54</v>
      </c>
    </row>
    <row r="200">
      <c r="A200" t="s">
        <v>208</v>
      </c>
      <c r="B200" t="n">
        <v>-0.25</v>
      </c>
      <c r="C200" t="n">
        <v>83</v>
      </c>
      <c r="D200" t="n">
        <v>-0.25</v>
      </c>
      <c r="E200" t="n">
        <v>154</v>
      </c>
    </row>
    <row r="201">
      <c r="A201" t="s">
        <v>207</v>
      </c>
      <c r="B201" t="n">
        <v>-0.75</v>
      </c>
      <c r="C201" t="n">
        <v>10</v>
      </c>
      <c r="D201" t="n">
        <v>-0.25</v>
      </c>
      <c r="E201" t="n">
        <v>68</v>
      </c>
    </row>
    <row r="202">
      <c r="A202" t="s">
        <v>208</v>
      </c>
      <c r="B202" t="n">
        <v>-1.25</v>
      </c>
      <c r="C202" t="n">
        <v>171</v>
      </c>
      <c r="D202" t="n">
        <v>-0.25</v>
      </c>
      <c r="E202" t="n">
        <v>41</v>
      </c>
    </row>
    <row r="203">
      <c r="A203" t="s">
        <v>207</v>
      </c>
      <c r="B203" t="n">
        <v>-0.25</v>
      </c>
      <c r="C203" t="n">
        <v>165</v>
      </c>
      <c r="D203" t="n">
        <v>-0.25</v>
      </c>
      <c r="E203" t="n">
        <v>117</v>
      </c>
    </row>
    <row r="204">
      <c r="A204" t="s">
        <v>207</v>
      </c>
      <c r="B204" t="n">
        <v>-0.5</v>
      </c>
      <c r="C204" t="n">
        <v>157</v>
      </c>
      <c r="D204" t="n">
        <v>0</v>
      </c>
      <c r="E204" t="n">
        <v>108</v>
      </c>
    </row>
    <row r="205">
      <c r="A205" t="s">
        <v>208</v>
      </c>
      <c r="B205" t="n">
        <v>-0.75</v>
      </c>
      <c r="C205" t="n">
        <v>28</v>
      </c>
      <c r="D205" t="n">
        <v>0</v>
      </c>
      <c r="E205" t="n">
        <v>97</v>
      </c>
    </row>
    <row r="206">
      <c r="A206" t="s">
        <v>207</v>
      </c>
      <c r="B206" t="n">
        <v>-0.5</v>
      </c>
      <c r="C206" t="n">
        <v>53</v>
      </c>
      <c r="D206" t="n">
        <v>-0.25</v>
      </c>
      <c r="E206" t="n">
        <v>72</v>
      </c>
    </row>
    <row r="207">
      <c r="A207" t="s">
        <v>208</v>
      </c>
      <c r="B207" t="n">
        <v>-0.25</v>
      </c>
      <c r="C207" t="n">
        <v>130</v>
      </c>
      <c r="D207" t="n">
        <v>0</v>
      </c>
      <c r="E207" t="n">
        <v>132</v>
      </c>
    </row>
    <row r="208">
      <c r="A208" t="s">
        <v>208</v>
      </c>
      <c r="B208" t="n">
        <v>-0.5</v>
      </c>
      <c r="C208" t="n">
        <v>126</v>
      </c>
      <c r="D208"/>
      <c r="E208"/>
    </row>
    <row r="209">
      <c r="A209" t="s">
        <v>207</v>
      </c>
      <c r="B209" t="n">
        <v>-0.25</v>
      </c>
      <c r="C209" t="n">
        <v>9</v>
      </c>
      <c r="D209" t="n">
        <v>0</v>
      </c>
      <c r="E209" t="n">
        <v>142</v>
      </c>
    </row>
    <row r="210">
      <c r="A210" t="s">
        <v>208</v>
      </c>
      <c r="B210" t="n">
        <v>-0.5</v>
      </c>
      <c r="C210" t="n">
        <v>165</v>
      </c>
      <c r="D210" t="n">
        <v>-0.25</v>
      </c>
      <c r="E210" t="n">
        <v>138</v>
      </c>
    </row>
    <row r="211">
      <c r="A211" t="s">
        <v>207</v>
      </c>
      <c r="B211" t="n">
        <v>-0.5</v>
      </c>
      <c r="C211" t="n">
        <v>4</v>
      </c>
      <c r="D211" t="n">
        <v>-0.25</v>
      </c>
      <c r="E211" t="n">
        <v>141</v>
      </c>
    </row>
    <row r="212">
      <c r="A212" t="s">
        <v>207</v>
      </c>
      <c r="B212" t="n">
        <v>-0.25</v>
      </c>
      <c r="C212" t="n">
        <v>10</v>
      </c>
      <c r="D212" t="n">
        <v>-0.25</v>
      </c>
      <c r="E212" t="n">
        <v>66</v>
      </c>
    </row>
    <row r="213">
      <c r="A213" t="s">
        <v>208</v>
      </c>
      <c r="B213" t="n">
        <v>-0.25</v>
      </c>
      <c r="C213" t="n">
        <v>174</v>
      </c>
      <c r="D213" t="n">
        <v>0</v>
      </c>
      <c r="E213" t="n">
        <v>31</v>
      </c>
    </row>
    <row r="214">
      <c r="A214" t="s">
        <v>207</v>
      </c>
      <c r="B214" t="n">
        <v>-0.5</v>
      </c>
      <c r="C214" t="n">
        <v>162</v>
      </c>
      <c r="D214" t="n">
        <v>-0.25</v>
      </c>
      <c r="E214" t="n">
        <v>96</v>
      </c>
    </row>
    <row r="215">
      <c r="A215" t="s">
        <v>207</v>
      </c>
      <c r="B215" t="n">
        <v>-0.25</v>
      </c>
      <c r="C215" t="n">
        <v>48</v>
      </c>
      <c r="D215" t="n">
        <v>0</v>
      </c>
      <c r="E215" t="n">
        <v>9</v>
      </c>
    </row>
    <row r="216">
      <c r="A216" t="s">
        <v>208</v>
      </c>
      <c r="B216" t="n">
        <v>-0.5</v>
      </c>
      <c r="C216" t="n">
        <v>141</v>
      </c>
      <c r="D216" t="n">
        <v>-0.25</v>
      </c>
      <c r="E216" t="n">
        <v>145</v>
      </c>
    </row>
    <row r="217">
      <c r="A217" t="s">
        <v>207</v>
      </c>
      <c r="B217" t="n">
        <v>-0.5</v>
      </c>
      <c r="C217" t="n">
        <v>3</v>
      </c>
      <c r="D217" t="n">
        <v>-0.25</v>
      </c>
      <c r="E217" t="n">
        <v>70</v>
      </c>
    </row>
    <row r="218">
      <c r="A218" t="s">
        <v>208</v>
      </c>
      <c r="B218" t="n">
        <v>-0.5</v>
      </c>
      <c r="C218" t="n">
        <v>177</v>
      </c>
      <c r="D218" t="n">
        <v>-0.25</v>
      </c>
      <c r="E218" t="n">
        <v>110</v>
      </c>
    </row>
    <row r="219">
      <c r="A219" t="s">
        <v>207</v>
      </c>
      <c r="B219" t="n">
        <v>-0.5</v>
      </c>
      <c r="C219" t="n">
        <v>12</v>
      </c>
      <c r="D219" t="n">
        <v>-0.25</v>
      </c>
      <c r="E219" t="n">
        <v>157</v>
      </c>
    </row>
    <row r="220">
      <c r="A220" t="s">
        <v>208</v>
      </c>
      <c r="B220" t="n">
        <v>-0.75</v>
      </c>
      <c r="C220" t="n">
        <v>171</v>
      </c>
      <c r="D220" t="n">
        <v>-0.25</v>
      </c>
      <c r="E220" t="n">
        <v>42</v>
      </c>
    </row>
    <row r="221">
      <c r="A221" t="s">
        <v>207</v>
      </c>
      <c r="B221" t="n">
        <v>-0.75</v>
      </c>
      <c r="C221" t="n">
        <v>131</v>
      </c>
      <c r="D221" t="n">
        <v>-0.25</v>
      </c>
      <c r="E221" t="n">
        <v>71</v>
      </c>
    </row>
    <row r="222">
      <c r="A222" t="s">
        <v>208</v>
      </c>
      <c r="B222" t="n">
        <v>-0.25</v>
      </c>
      <c r="C222" t="n">
        <v>53</v>
      </c>
      <c r="D222" t="n">
        <v>-0.25</v>
      </c>
      <c r="E222" t="n">
        <v>136</v>
      </c>
    </row>
    <row r="223">
      <c r="A223" t="s">
        <v>207</v>
      </c>
      <c r="B223" t="n">
        <v>-0.75</v>
      </c>
      <c r="C223" t="n">
        <v>173</v>
      </c>
      <c r="D223" t="n">
        <v>0</v>
      </c>
      <c r="E223" t="n">
        <v>80</v>
      </c>
    </row>
    <row r="224">
      <c r="A224" t="s">
        <v>208</v>
      </c>
      <c r="B224" t="n">
        <v>-0.5</v>
      </c>
      <c r="C224" t="n">
        <v>14</v>
      </c>
      <c r="D224" t="n">
        <v>-0.25</v>
      </c>
      <c r="E224" t="n">
        <v>165</v>
      </c>
    </row>
    <row r="225">
      <c r="A225" t="s">
        <v>207</v>
      </c>
      <c r="B225" t="n">
        <v>-0.5</v>
      </c>
      <c r="C225" t="n">
        <v>152</v>
      </c>
      <c r="D225" t="n">
        <v>-0.25</v>
      </c>
      <c r="E225" t="n">
        <v>1</v>
      </c>
    </row>
    <row r="226">
      <c r="A226" t="s">
        <v>208</v>
      </c>
      <c r="B226" t="n">
        <v>-0.75</v>
      </c>
      <c r="C226" t="n">
        <v>93</v>
      </c>
      <c r="D226" t="n">
        <v>-0.5</v>
      </c>
      <c r="E226" t="n">
        <v>64</v>
      </c>
    </row>
    <row r="227">
      <c r="A227" t="s">
        <v>207</v>
      </c>
      <c r="B227" t="n">
        <v>-1.5</v>
      </c>
      <c r="C227" t="n">
        <v>166</v>
      </c>
      <c r="D227" t="n">
        <v>-0.25</v>
      </c>
      <c r="E227" t="n">
        <v>5</v>
      </c>
    </row>
  </sheetData>
  <pageMargins left="0.7" right="0.7" top="0.75" bottom="0.75" header="0.3" footer="0.3"/>
  <pageSetup paperSize="9" orientation="portrait" horizontalDpi="300" verticalDpi="300" r:id="rId2"/>
  <tableParts count="1">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202</v>
      </c>
      <c r="B1" t="s">
        <v>203</v>
      </c>
      <c r="C1" t="s">
        <v>204</v>
      </c>
      <c r="D1" t="s">
        <v>205</v>
      </c>
      <c r="E1" t="s">
        <v>206</v>
      </c>
    </row>
    <row r="2">
      <c r="A2" t="s">
        <v>207</v>
      </c>
      <c r="B2" t="n">
        <v>-0.5</v>
      </c>
      <c r="C2" t="n">
        <v>5</v>
      </c>
      <c r="D2" t="n">
        <v>-0.25</v>
      </c>
      <c r="E2" t="n">
        <v>175</v>
      </c>
    </row>
    <row r="3">
      <c r="A3" t="s">
        <v>208</v>
      </c>
      <c r="B3" t="n">
        <v>-0.25</v>
      </c>
      <c r="C3" t="n">
        <v>172</v>
      </c>
      <c r="D3" t="n">
        <v>-0.25</v>
      </c>
      <c r="E3" t="n">
        <v>17</v>
      </c>
    </row>
    <row r="4">
      <c r="A4" t="s">
        <v>207</v>
      </c>
      <c r="B4" t="n">
        <v>-0.25</v>
      </c>
      <c r="C4" t="n">
        <v>9</v>
      </c>
      <c r="D4" t="n">
        <v>0</v>
      </c>
      <c r="E4" t="n">
        <v>10</v>
      </c>
    </row>
    <row r="5">
      <c r="A5" t="s">
        <v>207</v>
      </c>
      <c r="B5" t="n">
        <v>-0.75</v>
      </c>
      <c r="C5" t="n">
        <v>177</v>
      </c>
      <c r="D5" t="n">
        <v>-0.25</v>
      </c>
      <c r="E5" t="n">
        <v>136</v>
      </c>
    </row>
    <row r="6">
      <c r="A6" t="s">
        <v>208</v>
      </c>
      <c r="B6" t="n">
        <v>-0.25</v>
      </c>
      <c r="C6" t="n">
        <v>14</v>
      </c>
      <c r="D6" t="n">
        <v>-0.25</v>
      </c>
      <c r="E6" t="n">
        <v>48</v>
      </c>
    </row>
    <row r="7">
      <c r="A7" t="s">
        <v>207</v>
      </c>
      <c r="B7" t="n">
        <v>-0.5</v>
      </c>
      <c r="C7" t="n">
        <v>124</v>
      </c>
      <c r="D7" t="n">
        <v>-0.5</v>
      </c>
      <c r="E7" t="n">
        <v>1</v>
      </c>
    </row>
    <row r="8">
      <c r="A8" t="s">
        <v>208</v>
      </c>
      <c r="B8" t="n">
        <v>-0.25</v>
      </c>
      <c r="C8" t="n">
        <v>59</v>
      </c>
      <c r="D8" t="n">
        <v>-0.25</v>
      </c>
      <c r="E8" t="n">
        <v>166</v>
      </c>
    </row>
    <row r="9">
      <c r="A9" t="s">
        <v>207</v>
      </c>
      <c r="B9" t="n">
        <v>-0.75</v>
      </c>
      <c r="C9" t="n">
        <v>89</v>
      </c>
      <c r="D9" t="n">
        <v>-0.5</v>
      </c>
      <c r="E9" t="n">
        <v>93</v>
      </c>
    </row>
    <row r="10">
      <c r="A10" t="s">
        <v>208</v>
      </c>
      <c r="B10" t="n">
        <v>-1.5</v>
      </c>
      <c r="C10" t="n">
        <v>98</v>
      </c>
      <c r="D10" t="n">
        <v>-0.25</v>
      </c>
      <c r="E10" t="n">
        <v>97</v>
      </c>
    </row>
    <row r="11">
      <c r="A11" t="s">
        <v>208</v>
      </c>
      <c r="B11" t="n">
        <v>-1.5</v>
      </c>
      <c r="C11" t="n">
        <v>171</v>
      </c>
      <c r="D11" t="n">
        <v>-0.5</v>
      </c>
      <c r="E11" t="n">
        <v>4</v>
      </c>
    </row>
    <row r="12">
      <c r="A12" t="s">
        <v>207</v>
      </c>
      <c r="B12" t="n">
        <v>-1.75</v>
      </c>
      <c r="C12" t="n">
        <v>4</v>
      </c>
      <c r="D12" t="n">
        <v>-0.25</v>
      </c>
      <c r="E12" t="n">
        <v>87</v>
      </c>
    </row>
    <row r="13">
      <c r="A13" t="s">
        <v>208</v>
      </c>
      <c r="B13" t="n">
        <v>-1</v>
      </c>
      <c r="C13" t="n">
        <v>2</v>
      </c>
      <c r="D13" t="n">
        <v>-0.25</v>
      </c>
      <c r="E13" t="n">
        <v>91</v>
      </c>
    </row>
    <row r="14">
      <c r="A14" t="s">
        <v>207</v>
      </c>
      <c r="B14" t="n">
        <v>-1</v>
      </c>
      <c r="C14" t="n">
        <v>177</v>
      </c>
      <c r="D14"/>
      <c r="E14"/>
    </row>
    <row r="15">
      <c r="A15" t="s">
        <v>208</v>
      </c>
      <c r="B15" t="n">
        <v>-2.25</v>
      </c>
      <c r="C15" t="n">
        <v>7</v>
      </c>
      <c r="D15"/>
      <c r="E15"/>
    </row>
    <row r="16">
      <c r="A16" t="s">
        <v>207</v>
      </c>
      <c r="B16" t="n">
        <v>-0.75</v>
      </c>
      <c r="C16" t="n">
        <v>82</v>
      </c>
      <c r="D16" t="n">
        <v>-0.25</v>
      </c>
      <c r="E16" t="n">
        <v>121</v>
      </c>
    </row>
    <row r="17">
      <c r="A17" t="s">
        <v>207</v>
      </c>
      <c r="B17" t="n">
        <v>-1.5</v>
      </c>
      <c r="C17" t="n">
        <v>38</v>
      </c>
      <c r="D17" t="n">
        <v>-0.5</v>
      </c>
      <c r="E17" t="n">
        <v>70</v>
      </c>
    </row>
    <row r="18">
      <c r="A18" t="s">
        <v>208</v>
      </c>
      <c r="B18" t="n">
        <v>-1.5</v>
      </c>
      <c r="C18" t="n">
        <v>132</v>
      </c>
      <c r="D18" t="n">
        <v>-0.25</v>
      </c>
      <c r="E18" t="n">
        <v>136</v>
      </c>
    </row>
    <row r="19">
      <c r="A19" t="s">
        <v>207</v>
      </c>
      <c r="B19" t="n">
        <v>-0.5</v>
      </c>
      <c r="C19" t="n">
        <v>169</v>
      </c>
      <c r="D19" t="n">
        <v>-0.25</v>
      </c>
      <c r="E19" t="n">
        <v>176</v>
      </c>
    </row>
    <row r="20">
      <c r="A20" t="s">
        <v>208</v>
      </c>
      <c r="B20" t="n">
        <v>-0.5</v>
      </c>
      <c r="C20" t="n">
        <v>9</v>
      </c>
      <c r="D20" t="n">
        <v>-0.25</v>
      </c>
      <c r="E20" t="n">
        <v>150</v>
      </c>
    </row>
    <row r="21">
      <c r="A21" t="s">
        <v>208</v>
      </c>
      <c r="B21" t="n">
        <v>-1.5</v>
      </c>
      <c r="C21" t="n">
        <v>179</v>
      </c>
      <c r="D21" t="n">
        <v>-0.25</v>
      </c>
      <c r="E21" t="n">
        <v>48</v>
      </c>
    </row>
    <row r="22">
      <c r="A22" t="s">
        <v>208</v>
      </c>
      <c r="B22" t="n">
        <v>-0.25</v>
      </c>
      <c r="C22" t="n">
        <v>167</v>
      </c>
      <c r="D22" t="n">
        <v>-0.25</v>
      </c>
      <c r="E22" t="n">
        <v>49</v>
      </c>
    </row>
    <row r="23">
      <c r="A23" t="s">
        <v>207</v>
      </c>
      <c r="B23" t="n">
        <v>-0.5</v>
      </c>
      <c r="C23" t="n">
        <v>13</v>
      </c>
      <c r="D23" t="n">
        <v>-0.25</v>
      </c>
      <c r="E23" t="n">
        <v>163</v>
      </c>
    </row>
    <row r="24">
      <c r="A24" t="s">
        <v>208</v>
      </c>
      <c r="B24" t="n">
        <v>-0.5</v>
      </c>
      <c r="C24" t="n">
        <v>166</v>
      </c>
      <c r="D24" t="n">
        <v>0</v>
      </c>
      <c r="E24" t="n">
        <v>127</v>
      </c>
    </row>
    <row r="25">
      <c r="A25" t="s">
        <v>207</v>
      </c>
      <c r="B25" t="n">
        <v>-0.5</v>
      </c>
      <c r="C25" t="n">
        <v>128</v>
      </c>
      <c r="D25" t="n">
        <v>-0.25</v>
      </c>
      <c r="E25" t="n">
        <v>103</v>
      </c>
    </row>
    <row r="26">
      <c r="A26" t="s">
        <v>208</v>
      </c>
      <c r="B26" t="n">
        <v>-0.75</v>
      </c>
      <c r="C26" t="n">
        <v>49</v>
      </c>
      <c r="D26" t="n">
        <v>-0.25</v>
      </c>
      <c r="E26" t="n">
        <v>28</v>
      </c>
    </row>
    <row r="27">
      <c r="A27" t="s">
        <v>207</v>
      </c>
      <c r="B27" t="n">
        <v>-0.5</v>
      </c>
      <c r="C27" t="n">
        <v>151</v>
      </c>
      <c r="D27" t="n">
        <v>-0.25</v>
      </c>
      <c r="E27" t="n">
        <v>2</v>
      </c>
    </row>
    <row r="28">
      <c r="A28" t="s">
        <v>208</v>
      </c>
      <c r="B28" t="n">
        <v>-0.5</v>
      </c>
      <c r="C28" t="n">
        <v>6</v>
      </c>
      <c r="D28" t="n">
        <v>-0.25</v>
      </c>
      <c r="E28" t="n">
        <v>168</v>
      </c>
    </row>
    <row r="29">
      <c r="A29" t="s">
        <v>207</v>
      </c>
      <c r="B29" t="n">
        <v>-1</v>
      </c>
      <c r="C29" t="n">
        <v>1</v>
      </c>
      <c r="D29" t="n">
        <v>-0.25</v>
      </c>
      <c r="E29" t="n">
        <v>45</v>
      </c>
    </row>
    <row r="30">
      <c r="A30" t="s">
        <v>208</v>
      </c>
      <c r="B30" t="n">
        <v>-1</v>
      </c>
      <c r="C30" t="n">
        <v>166</v>
      </c>
      <c r="D30" t="n">
        <v>-0.25</v>
      </c>
      <c r="E30" t="n">
        <v>121</v>
      </c>
    </row>
    <row r="31">
      <c r="A31" t="s">
        <v>207</v>
      </c>
      <c r="B31" t="n">
        <v>-0.75</v>
      </c>
      <c r="C31" t="n">
        <v>166</v>
      </c>
      <c r="D31" t="n">
        <v>-0.25</v>
      </c>
      <c r="E31" t="n">
        <v>20</v>
      </c>
    </row>
    <row r="32">
      <c r="A32" t="s">
        <v>208</v>
      </c>
      <c r="B32" t="n">
        <v>-1</v>
      </c>
      <c r="C32" t="n">
        <v>14</v>
      </c>
      <c r="D32" t="n">
        <v>-0.25</v>
      </c>
      <c r="E32" t="n">
        <v>147</v>
      </c>
    </row>
    <row r="33">
      <c r="A33" t="s">
        <v>207</v>
      </c>
      <c r="B33" t="n">
        <v>-1.25</v>
      </c>
      <c r="C33" t="n">
        <v>157</v>
      </c>
      <c r="D33" t="n">
        <v>-0.5</v>
      </c>
      <c r="E33" t="n">
        <v>115</v>
      </c>
    </row>
    <row r="34">
      <c r="A34" t="s">
        <v>208</v>
      </c>
      <c r="B34" t="n">
        <v>-0.25</v>
      </c>
      <c r="C34" t="n">
        <v>13</v>
      </c>
      <c r="D34" t="n">
        <v>-0.25</v>
      </c>
      <c r="E34" t="n">
        <v>130</v>
      </c>
    </row>
    <row r="35">
      <c r="A35" t="s">
        <v>207</v>
      </c>
      <c r="B35" t="n">
        <v>-1.75</v>
      </c>
      <c r="C35" t="n">
        <v>7</v>
      </c>
      <c r="D35" t="n">
        <v>-0.25</v>
      </c>
      <c r="E35" t="n">
        <v>161</v>
      </c>
    </row>
    <row r="36">
      <c r="A36" t="s">
        <v>208</v>
      </c>
      <c r="B36" t="n">
        <v>-1</v>
      </c>
      <c r="C36" t="n">
        <v>180</v>
      </c>
      <c r="D36" t="n">
        <v>-0.25</v>
      </c>
      <c r="E36" t="n">
        <v>32</v>
      </c>
    </row>
    <row r="37">
      <c r="A37" t="s">
        <v>207</v>
      </c>
      <c r="B37" t="n">
        <v>-0.5</v>
      </c>
      <c r="C37" t="n">
        <v>17</v>
      </c>
      <c r="D37" t="n">
        <v>0</v>
      </c>
      <c r="E37" t="n">
        <v>144</v>
      </c>
    </row>
    <row r="38">
      <c r="A38" t="s">
        <v>207</v>
      </c>
      <c r="B38" t="n">
        <v>-0.25</v>
      </c>
      <c r="C38" t="n">
        <v>94</v>
      </c>
      <c r="D38" t="n">
        <v>-0.25</v>
      </c>
      <c r="E38" t="n">
        <v>39</v>
      </c>
    </row>
    <row r="39">
      <c r="A39" t="s">
        <v>208</v>
      </c>
      <c r="B39" t="n">
        <v>-0.25</v>
      </c>
      <c r="C39" t="n">
        <v>89</v>
      </c>
      <c r="D39" t="n">
        <v>-0.25</v>
      </c>
      <c r="E39" t="n">
        <v>162</v>
      </c>
    </row>
    <row r="40">
      <c r="A40" t="s">
        <v>207</v>
      </c>
      <c r="B40" t="n">
        <v>-0.75</v>
      </c>
      <c r="C40" t="n">
        <v>171</v>
      </c>
      <c r="D40"/>
      <c r="E40"/>
    </row>
    <row r="41">
      <c r="A41" t="s">
        <v>208</v>
      </c>
      <c r="B41" t="n">
        <v>-1</v>
      </c>
      <c r="C41" t="n">
        <v>178</v>
      </c>
      <c r="D41"/>
      <c r="E41"/>
    </row>
    <row r="42">
      <c r="A42" t="s">
        <v>207</v>
      </c>
      <c r="B42" t="n">
        <v>-0.5</v>
      </c>
      <c r="C42" t="n">
        <v>152</v>
      </c>
      <c r="D42" t="n">
        <v>-0.25</v>
      </c>
      <c r="E42" t="n">
        <v>114</v>
      </c>
    </row>
    <row r="43">
      <c r="A43" t="s">
        <v>208</v>
      </c>
      <c r="B43" t="n">
        <v>-0.5</v>
      </c>
      <c r="C43" t="n">
        <v>43</v>
      </c>
      <c r="D43" t="n">
        <v>0</v>
      </c>
      <c r="E43" t="n">
        <v>90</v>
      </c>
    </row>
    <row r="44">
      <c r="A44" t="s">
        <v>207</v>
      </c>
      <c r="B44" t="n">
        <v>-0.25</v>
      </c>
      <c r="C44" t="n">
        <v>4</v>
      </c>
      <c r="D44" t="n">
        <v>-0.25</v>
      </c>
      <c r="E44" t="n">
        <v>36</v>
      </c>
    </row>
    <row r="45">
      <c r="A45" t="s">
        <v>208</v>
      </c>
      <c r="B45" t="n">
        <v>-0.5</v>
      </c>
      <c r="C45" t="n">
        <v>141</v>
      </c>
      <c r="D45" t="n">
        <v>0</v>
      </c>
      <c r="E45" t="n">
        <v>8</v>
      </c>
    </row>
    <row r="46">
      <c r="A46" t="s">
        <v>208</v>
      </c>
      <c r="B46" t="n">
        <v>-0.75</v>
      </c>
      <c r="C46" t="n">
        <v>4</v>
      </c>
      <c r="D46" t="n">
        <v>-0.25</v>
      </c>
      <c r="E46" t="n">
        <v>7</v>
      </c>
    </row>
    <row r="47">
      <c r="A47" t="s">
        <v>207</v>
      </c>
      <c r="B47" t="n">
        <v>-0.5</v>
      </c>
      <c r="C47" t="n">
        <v>130</v>
      </c>
      <c r="D47"/>
      <c r="E47"/>
    </row>
    <row r="48">
      <c r="A48" t="s">
        <v>208</v>
      </c>
      <c r="B48" t="n">
        <v>-1</v>
      </c>
      <c r="C48" t="n">
        <v>44</v>
      </c>
      <c r="D48"/>
      <c r="E48"/>
    </row>
    <row r="49">
      <c r="A49" t="s">
        <v>207</v>
      </c>
      <c r="B49" t="n">
        <v>-0.25</v>
      </c>
      <c r="C49" t="n">
        <v>177</v>
      </c>
      <c r="D49" t="n">
        <v>0</v>
      </c>
      <c r="E49" t="n">
        <v>125</v>
      </c>
    </row>
    <row r="50">
      <c r="A50" t="s">
        <v>208</v>
      </c>
      <c r="B50" t="n">
        <v>-1</v>
      </c>
      <c r="C50" t="n">
        <v>6</v>
      </c>
      <c r="D50" t="n">
        <v>-0.25</v>
      </c>
      <c r="E50" t="n">
        <v>170</v>
      </c>
    </row>
    <row r="51">
      <c r="A51" t="s">
        <v>207</v>
      </c>
      <c r="B51" t="n">
        <v>-0.75</v>
      </c>
      <c r="C51" t="n">
        <v>178</v>
      </c>
      <c r="D51" t="n">
        <v>-0.25</v>
      </c>
      <c r="E51" t="n">
        <v>140</v>
      </c>
    </row>
    <row r="52">
      <c r="A52" t="s">
        <v>208</v>
      </c>
      <c r="B52" t="n">
        <v>-0.5</v>
      </c>
      <c r="C52" t="n">
        <v>5</v>
      </c>
      <c r="D52" t="n">
        <v>-0.25</v>
      </c>
      <c r="E52" t="n">
        <v>58</v>
      </c>
    </row>
    <row r="53">
      <c r="A53" t="s">
        <v>207</v>
      </c>
      <c r="B53" t="n">
        <v>-0.25</v>
      </c>
      <c r="C53" t="n">
        <v>175</v>
      </c>
      <c r="D53" t="n">
        <v>-0.25</v>
      </c>
      <c r="E53" t="n">
        <v>151</v>
      </c>
    </row>
    <row r="54">
      <c r="A54" t="s">
        <v>208</v>
      </c>
      <c r="B54" t="n">
        <v>-0.25</v>
      </c>
      <c r="C54" t="n">
        <v>15</v>
      </c>
      <c r="D54" t="n">
        <v>-0.25</v>
      </c>
      <c r="E54" t="n">
        <v>31</v>
      </c>
    </row>
    <row r="55">
      <c r="A55" t="s">
        <v>207</v>
      </c>
      <c r="B55" t="n">
        <v>-0.5</v>
      </c>
      <c r="C55" t="n">
        <v>82</v>
      </c>
      <c r="D55" t="n">
        <v>0</v>
      </c>
      <c r="E55" t="n">
        <v>129</v>
      </c>
    </row>
    <row r="56">
      <c r="A56" t="s">
        <v>207</v>
      </c>
      <c r="B56" t="n">
        <v>-0.75</v>
      </c>
      <c r="C56" t="n">
        <v>168</v>
      </c>
      <c r="D56" t="n">
        <v>-0.25</v>
      </c>
      <c r="E56" t="n">
        <v>54</v>
      </c>
    </row>
    <row r="57">
      <c r="A57" t="s">
        <v>208</v>
      </c>
      <c r="B57" t="n">
        <v>-0.75</v>
      </c>
      <c r="C57" t="n">
        <v>16</v>
      </c>
      <c r="D57" t="n">
        <v>-0.25</v>
      </c>
      <c r="E57" t="n">
        <v>137</v>
      </c>
    </row>
    <row r="58">
      <c r="A58" t="s">
        <v>207</v>
      </c>
      <c r="B58" t="n">
        <v>-0.75</v>
      </c>
      <c r="C58" t="n">
        <v>9</v>
      </c>
      <c r="D58" t="n">
        <v>-0.25</v>
      </c>
      <c r="E58" t="n">
        <v>16</v>
      </c>
    </row>
    <row r="59">
      <c r="A59" t="s">
        <v>208</v>
      </c>
      <c r="B59" t="n">
        <v>-0.5</v>
      </c>
      <c r="C59" t="n">
        <v>164</v>
      </c>
      <c r="D59" t="n">
        <v>0</v>
      </c>
      <c r="E59" t="n">
        <v>7</v>
      </c>
    </row>
    <row r="60">
      <c r="A60" t="s">
        <v>208</v>
      </c>
      <c r="B60" t="n">
        <v>-1.25</v>
      </c>
      <c r="C60" t="n">
        <v>158</v>
      </c>
      <c r="D60"/>
      <c r="E60"/>
    </row>
    <row r="61">
      <c r="A61" t="s">
        <v>207</v>
      </c>
      <c r="B61" t="n">
        <v>-0.5</v>
      </c>
      <c r="C61" t="n">
        <v>10</v>
      </c>
      <c r="D61" t="n">
        <v>-0.25</v>
      </c>
      <c r="E61" t="n">
        <v>155</v>
      </c>
    </row>
    <row r="62">
      <c r="A62" t="s">
        <v>208</v>
      </c>
      <c r="B62" t="n">
        <v>-0.5</v>
      </c>
      <c r="C62" t="n">
        <v>154</v>
      </c>
      <c r="D62" t="n">
        <v>-0.25</v>
      </c>
      <c r="E62" t="n">
        <v>30</v>
      </c>
    </row>
    <row r="63">
      <c r="A63" t="s">
        <v>207</v>
      </c>
      <c r="B63" t="n">
        <v>-0.75</v>
      </c>
      <c r="C63" t="n">
        <v>157</v>
      </c>
      <c r="D63"/>
      <c r="E63"/>
    </row>
    <row r="64">
      <c r="A64" t="s">
        <v>208</v>
      </c>
      <c r="B64" t="n">
        <v>-0.5</v>
      </c>
      <c r="C64" t="n">
        <v>20</v>
      </c>
      <c r="D64"/>
      <c r="E64"/>
    </row>
    <row r="65">
      <c r="A65" t="s">
        <v>207</v>
      </c>
      <c r="B65" t="n">
        <v>-0.75</v>
      </c>
      <c r="C65" t="n">
        <v>170</v>
      </c>
      <c r="D65" t="n">
        <v>-0.25</v>
      </c>
      <c r="E65" t="n">
        <v>129</v>
      </c>
    </row>
    <row r="66">
      <c r="A66" t="s">
        <v>208</v>
      </c>
      <c r="B66" t="n">
        <v>-0.75</v>
      </c>
      <c r="C66" t="n">
        <v>6</v>
      </c>
      <c r="D66" t="n">
        <v>0</v>
      </c>
      <c r="E66" t="n">
        <v>106</v>
      </c>
    </row>
    <row r="67">
      <c r="A67" t="s">
        <v>207</v>
      </c>
      <c r="B67" t="n">
        <v>-0.5</v>
      </c>
      <c r="C67" t="n">
        <v>8</v>
      </c>
      <c r="D67" t="n">
        <v>-0.25</v>
      </c>
      <c r="E67" t="n">
        <v>167</v>
      </c>
    </row>
    <row r="68">
      <c r="A68" t="s">
        <v>208</v>
      </c>
      <c r="B68" t="n">
        <v>-0.25</v>
      </c>
      <c r="C68" t="n">
        <v>175</v>
      </c>
      <c r="D68" t="n">
        <v>-0.25</v>
      </c>
      <c r="E68" t="n">
        <v>45</v>
      </c>
    </row>
    <row r="69">
      <c r="A69" t="s">
        <v>207</v>
      </c>
      <c r="B69" t="n">
        <v>-1.25</v>
      </c>
      <c r="C69" t="n">
        <v>6</v>
      </c>
      <c r="D69" t="n">
        <v>-0.75</v>
      </c>
      <c r="E69" t="n">
        <v>50</v>
      </c>
    </row>
    <row r="70">
      <c r="A70" t="s">
        <v>207</v>
      </c>
      <c r="B70" t="n">
        <v>-1.25</v>
      </c>
      <c r="C70" t="n">
        <v>78</v>
      </c>
      <c r="D70" t="n">
        <v>-0.5</v>
      </c>
      <c r="E70" t="n">
        <v>108</v>
      </c>
    </row>
    <row r="71">
      <c r="A71" t="s">
        <v>208</v>
      </c>
      <c r="B71" t="n">
        <v>-0.75</v>
      </c>
      <c r="C71" t="n">
        <v>93</v>
      </c>
      <c r="D71" t="n">
        <v>-0.25</v>
      </c>
      <c r="E71" t="n">
        <v>66</v>
      </c>
    </row>
    <row r="72">
      <c r="A72" t="s">
        <v>207</v>
      </c>
      <c r="B72" t="n">
        <v>-0.5</v>
      </c>
      <c r="C72" t="n">
        <v>170</v>
      </c>
      <c r="D72"/>
      <c r="E72"/>
    </row>
    <row r="73">
      <c r="A73" t="s">
        <v>208</v>
      </c>
      <c r="B73" t="n">
        <v>-0.25</v>
      </c>
      <c r="C73" t="n">
        <v>14</v>
      </c>
      <c r="D73"/>
      <c r="E73"/>
    </row>
    <row r="74">
      <c r="A74" t="s">
        <v>207</v>
      </c>
      <c r="B74" t="n">
        <v>-1.25</v>
      </c>
      <c r="C74" t="n">
        <v>98</v>
      </c>
      <c r="D74" t="n">
        <v>0</v>
      </c>
      <c r="E74" t="n">
        <v>63</v>
      </c>
    </row>
    <row r="75">
      <c r="A75" t="s">
        <v>208</v>
      </c>
      <c r="B75" t="n">
        <v>-0.5</v>
      </c>
      <c r="C75" t="n">
        <v>81</v>
      </c>
      <c r="D75" t="n">
        <v>-0.25</v>
      </c>
      <c r="E75" t="n">
        <v>47</v>
      </c>
    </row>
    <row r="76">
      <c r="A76" t="s">
        <v>207</v>
      </c>
      <c r="B76" t="n">
        <v>-0.5</v>
      </c>
      <c r="C76" t="n">
        <v>160</v>
      </c>
      <c r="D76" t="n">
        <v>-0.25</v>
      </c>
      <c r="E76" t="n">
        <v>73</v>
      </c>
    </row>
    <row r="77">
      <c r="A77" t="s">
        <v>208</v>
      </c>
      <c r="B77" t="n">
        <v>-1</v>
      </c>
      <c r="C77" t="n">
        <v>25</v>
      </c>
      <c r="D77" t="n">
        <v>-0.5</v>
      </c>
      <c r="E77" t="n">
        <v>117</v>
      </c>
    </row>
    <row r="78">
      <c r="A78" t="s">
        <v>207</v>
      </c>
      <c r="B78" t="n">
        <v>-0.75</v>
      </c>
      <c r="C78" t="n">
        <v>125</v>
      </c>
      <c r="D78" t="n">
        <v>-0.5</v>
      </c>
      <c r="E78" t="n">
        <v>96</v>
      </c>
    </row>
    <row r="79">
      <c r="A79" t="s">
        <v>208</v>
      </c>
      <c r="B79" t="n">
        <v>-0.5</v>
      </c>
      <c r="C79" t="n">
        <v>69</v>
      </c>
      <c r="D79" t="n">
        <v>0</v>
      </c>
      <c r="E79" t="n">
        <v>66</v>
      </c>
    </row>
    <row r="80">
      <c r="A80" t="s">
        <v>207</v>
      </c>
      <c r="B80" t="n">
        <v>-1.75</v>
      </c>
      <c r="C80" t="n">
        <v>6</v>
      </c>
      <c r="D80" t="n">
        <v>-0.25</v>
      </c>
      <c r="E80" t="n">
        <v>112</v>
      </c>
    </row>
    <row r="81">
      <c r="A81" t="s">
        <v>208</v>
      </c>
      <c r="B81" t="n">
        <v>-1.25</v>
      </c>
      <c r="C81" t="n">
        <v>8</v>
      </c>
      <c r="D81" t="n">
        <v>-0.5</v>
      </c>
      <c r="E81" t="n">
        <v>126</v>
      </c>
    </row>
    <row r="82">
      <c r="A82" t="s">
        <v>207</v>
      </c>
      <c r="B82" t="n">
        <v>-1</v>
      </c>
      <c r="C82" t="n">
        <v>73</v>
      </c>
      <c r="D82" t="n">
        <v>-0.25</v>
      </c>
      <c r="E82" t="n">
        <v>22</v>
      </c>
    </row>
    <row r="83">
      <c r="A83" t="s">
        <v>207</v>
      </c>
      <c r="B83" t="n">
        <v>-1.25</v>
      </c>
      <c r="C83" t="n">
        <v>168</v>
      </c>
      <c r="D83" t="n">
        <v>-0.25</v>
      </c>
      <c r="E83" t="n">
        <v>15</v>
      </c>
    </row>
    <row r="84">
      <c r="A84" t="s">
        <v>207</v>
      </c>
      <c r="B84" t="n">
        <v>-0.75</v>
      </c>
      <c r="C84" t="n">
        <v>50</v>
      </c>
      <c r="D84" t="n">
        <v>-0.5</v>
      </c>
      <c r="E84" t="n">
        <v>83</v>
      </c>
    </row>
    <row r="85">
      <c r="A85" t="s">
        <v>208</v>
      </c>
      <c r="B85" t="n">
        <v>-1.25</v>
      </c>
      <c r="C85" t="n">
        <v>132</v>
      </c>
      <c r="D85" t="n">
        <v>-0.25</v>
      </c>
      <c r="E85" t="n">
        <v>102</v>
      </c>
    </row>
    <row r="86">
      <c r="A86" t="s">
        <v>207</v>
      </c>
      <c r="B86" t="n">
        <v>-1.5</v>
      </c>
      <c r="C86" t="n">
        <v>177</v>
      </c>
      <c r="D86" t="n">
        <v>-0.25</v>
      </c>
      <c r="E86" t="n">
        <v>129</v>
      </c>
    </row>
    <row r="87">
      <c r="A87" t="s">
        <v>208</v>
      </c>
      <c r="B87" t="n">
        <v>-1.5</v>
      </c>
      <c r="C87" t="n">
        <v>153</v>
      </c>
      <c r="D87" t="n">
        <v>-0.25</v>
      </c>
      <c r="E87" t="n">
        <v>115</v>
      </c>
    </row>
    <row r="88">
      <c r="A88" t="s">
        <v>207</v>
      </c>
      <c r="B88" t="n">
        <v>-0.5</v>
      </c>
      <c r="C88" t="n">
        <v>140</v>
      </c>
      <c r="D88" t="n">
        <v>0</v>
      </c>
      <c r="E88" t="n">
        <v>150</v>
      </c>
    </row>
    <row r="89">
      <c r="A89" t="s">
        <v>208</v>
      </c>
      <c r="B89" t="n">
        <v>-0.75</v>
      </c>
      <c r="C89" t="n">
        <v>41</v>
      </c>
      <c r="D89" t="n">
        <v>0</v>
      </c>
      <c r="E89" t="n">
        <v>140</v>
      </c>
    </row>
    <row r="90">
      <c r="A90" t="s">
        <v>207</v>
      </c>
      <c r="B90" t="n">
        <v>-1.25</v>
      </c>
      <c r="C90" t="n">
        <v>2</v>
      </c>
      <c r="D90" t="n">
        <v>-0.25</v>
      </c>
      <c r="E90" t="n">
        <v>58</v>
      </c>
    </row>
    <row r="91">
      <c r="A91" t="s">
        <v>208</v>
      </c>
      <c r="B91" t="n">
        <v>-1.5</v>
      </c>
      <c r="C91" t="n">
        <v>165</v>
      </c>
      <c r="D91" t="n">
        <v>-0.25</v>
      </c>
      <c r="E91" t="n">
        <v>166</v>
      </c>
    </row>
    <row r="92">
      <c r="A92" t="s">
        <v>208</v>
      </c>
      <c r="B92" t="n">
        <v>-0.25</v>
      </c>
      <c r="C92" t="n">
        <v>90</v>
      </c>
      <c r="D92" t="n">
        <v>-0.25</v>
      </c>
      <c r="E92" t="n">
        <v>147</v>
      </c>
    </row>
    <row r="93">
      <c r="A93" t="s">
        <v>207</v>
      </c>
      <c r="B93" t="n">
        <v>-1</v>
      </c>
      <c r="C93" t="n">
        <v>82</v>
      </c>
      <c r="D93" t="n">
        <v>-0.25</v>
      </c>
      <c r="E93" t="n">
        <v>99</v>
      </c>
    </row>
    <row r="94">
      <c r="A94" t="s">
        <v>208</v>
      </c>
      <c r="B94" t="n">
        <v>-1</v>
      </c>
      <c r="C94" t="n">
        <v>80</v>
      </c>
      <c r="D94" t="n">
        <v>-0.5</v>
      </c>
      <c r="E94" t="n">
        <v>36</v>
      </c>
    </row>
    <row r="95">
      <c r="A95" t="s">
        <v>208</v>
      </c>
      <c r="B95" t="n">
        <v>-0.5</v>
      </c>
      <c r="C95" t="n">
        <v>165</v>
      </c>
      <c r="D95" t="n">
        <v>-0.25</v>
      </c>
      <c r="E95" t="n">
        <v>155</v>
      </c>
    </row>
    <row r="96">
      <c r="A96" t="s">
        <v>208</v>
      </c>
      <c r="B96" t="n">
        <v>-1.25</v>
      </c>
      <c r="C96" t="n">
        <v>5</v>
      </c>
      <c r="D96" t="n">
        <v>-0.25</v>
      </c>
      <c r="E96" t="n">
        <v>135</v>
      </c>
    </row>
    <row r="97">
      <c r="A97" t="s">
        <v>208</v>
      </c>
      <c r="B97" t="n">
        <v>-0.5</v>
      </c>
      <c r="C97" t="n">
        <v>14</v>
      </c>
      <c r="D97" t="n">
        <v>-0.25</v>
      </c>
      <c r="E97" t="n">
        <v>144</v>
      </c>
    </row>
    <row r="98">
      <c r="A98" t="s">
        <v>207</v>
      </c>
      <c r="B98" t="n">
        <v>-0.75</v>
      </c>
      <c r="C98" t="n">
        <v>160</v>
      </c>
      <c r="D98" t="n">
        <v>-0.25</v>
      </c>
      <c r="E98" t="n">
        <v>170</v>
      </c>
    </row>
    <row r="99">
      <c r="A99" t="s">
        <v>208</v>
      </c>
      <c r="B99" t="n">
        <v>-0.75</v>
      </c>
      <c r="C99" t="n">
        <v>21</v>
      </c>
      <c r="D99" t="n">
        <v>-0.25</v>
      </c>
      <c r="E99" t="n">
        <v>177</v>
      </c>
    </row>
    <row r="100">
      <c r="A100" t="s">
        <v>207</v>
      </c>
      <c r="B100" t="n">
        <v>-0.75</v>
      </c>
      <c r="C100" t="n">
        <v>21</v>
      </c>
      <c r="D100" t="n">
        <v>0</v>
      </c>
      <c r="E100" t="n">
        <v>180</v>
      </c>
    </row>
    <row r="101">
      <c r="A101" t="s">
        <v>208</v>
      </c>
      <c r="B101" t="n">
        <v>-0.5</v>
      </c>
      <c r="C101" t="n">
        <v>166</v>
      </c>
      <c r="D101" t="n">
        <v>-0.25</v>
      </c>
      <c r="E101" t="n">
        <v>26</v>
      </c>
    </row>
    <row r="102">
      <c r="A102" t="s">
        <v>207</v>
      </c>
      <c r="B102" t="n">
        <v>-0.75</v>
      </c>
      <c r="C102" t="n">
        <v>43</v>
      </c>
      <c r="D102" t="n">
        <v>-0.25</v>
      </c>
      <c r="E102" t="n">
        <v>180</v>
      </c>
    </row>
    <row r="103">
      <c r="A103" t="s">
        <v>208</v>
      </c>
      <c r="B103" t="n">
        <v>-0.5</v>
      </c>
      <c r="C103" t="n">
        <v>141</v>
      </c>
      <c r="D103" t="n">
        <v>0</v>
      </c>
      <c r="E103" t="n">
        <v>162</v>
      </c>
    </row>
    <row r="104">
      <c r="A104" t="s">
        <v>208</v>
      </c>
      <c r="B104" t="n">
        <v>0</v>
      </c>
      <c r="C104" t="n">
        <v>14</v>
      </c>
      <c r="D104" t="n">
        <v>-0.25</v>
      </c>
      <c r="E104" t="n">
        <v>29</v>
      </c>
    </row>
    <row r="105">
      <c r="A105" t="s">
        <v>208</v>
      </c>
      <c r="B105" t="n">
        <v>-0.25</v>
      </c>
      <c r="C105" t="n">
        <v>23</v>
      </c>
      <c r="D105" t="n">
        <v>-0.25</v>
      </c>
      <c r="E105" t="n">
        <v>43</v>
      </c>
    </row>
    <row r="106">
      <c r="A106" t="s">
        <v>207</v>
      </c>
      <c r="B106" t="n">
        <v>-0.75</v>
      </c>
      <c r="C106" t="n">
        <v>163</v>
      </c>
      <c r="D106" t="n">
        <v>-0.25</v>
      </c>
      <c r="E106" t="n">
        <v>153</v>
      </c>
    </row>
    <row r="107">
      <c r="A107" t="s">
        <v>208</v>
      </c>
      <c r="B107" t="n">
        <v>-0.75</v>
      </c>
      <c r="C107" t="n">
        <v>5</v>
      </c>
      <c r="D107" t="n">
        <v>-0.25</v>
      </c>
      <c r="E107" t="n">
        <v>162</v>
      </c>
    </row>
    <row r="108">
      <c r="A108" t="s">
        <v>207</v>
      </c>
      <c r="B108" t="n">
        <v>-1.5</v>
      </c>
      <c r="C108" t="n">
        <v>124</v>
      </c>
      <c r="D108" t="n">
        <v>-0.5</v>
      </c>
      <c r="E108" t="n">
        <v>105</v>
      </c>
    </row>
    <row r="109">
      <c r="A109" t="s">
        <v>208</v>
      </c>
      <c r="B109" t="n">
        <v>-1</v>
      </c>
      <c r="C109" t="n">
        <v>55</v>
      </c>
      <c r="D109" t="n">
        <v>-0.25</v>
      </c>
      <c r="E109" t="n">
        <v>58</v>
      </c>
    </row>
    <row r="110">
      <c r="A110" t="s">
        <v>207</v>
      </c>
      <c r="B110" t="n">
        <v>-0.25</v>
      </c>
      <c r="C110" t="n">
        <v>4</v>
      </c>
      <c r="D110" t="n">
        <v>0</v>
      </c>
      <c r="E110" t="n">
        <v>154</v>
      </c>
    </row>
    <row r="111">
      <c r="A111" t="s">
        <v>207</v>
      </c>
      <c r="B111" t="n">
        <v>-0.5</v>
      </c>
      <c r="C111" t="n">
        <v>95</v>
      </c>
      <c r="D111" t="n">
        <v>-0.25</v>
      </c>
      <c r="E111" t="n">
        <v>62</v>
      </c>
    </row>
    <row r="112">
      <c r="A112" t="s">
        <v>208</v>
      </c>
      <c r="B112" t="n">
        <v>-0.25</v>
      </c>
      <c r="C112" t="n">
        <v>85</v>
      </c>
      <c r="D112" t="n">
        <v>0</v>
      </c>
      <c r="E112" t="n">
        <v>142</v>
      </c>
    </row>
    <row r="113">
      <c r="A113" t="s">
        <v>207</v>
      </c>
      <c r="B113" t="n">
        <v>-0.75</v>
      </c>
      <c r="C113" t="n">
        <v>129</v>
      </c>
      <c r="D113" t="n">
        <v>-0.25</v>
      </c>
      <c r="E113" t="n">
        <v>99</v>
      </c>
    </row>
    <row r="114">
      <c r="A114" t="s">
        <v>208</v>
      </c>
      <c r="B114" t="n">
        <v>-0.75</v>
      </c>
      <c r="C114" t="n">
        <v>64</v>
      </c>
      <c r="D114" t="n">
        <v>-0.25</v>
      </c>
      <c r="E114" t="n">
        <v>67</v>
      </c>
    </row>
    <row r="115">
      <c r="A115" t="s">
        <v>207</v>
      </c>
      <c r="B115" t="n">
        <v>-0.5</v>
      </c>
      <c r="C115" t="n">
        <v>5</v>
      </c>
      <c r="D115" t="n">
        <v>0</v>
      </c>
      <c r="E115" t="n">
        <v>10</v>
      </c>
    </row>
    <row r="116">
      <c r="A116" t="s">
        <v>208</v>
      </c>
      <c r="B116" t="n">
        <v>-1.25</v>
      </c>
      <c r="C116" t="n">
        <v>6</v>
      </c>
      <c r="D116" t="n">
        <v>-0.25</v>
      </c>
      <c r="E116" t="n">
        <v>2</v>
      </c>
    </row>
    <row r="117">
      <c r="A117" t="s">
        <v>207</v>
      </c>
      <c r="B117" t="n">
        <v>-0.5</v>
      </c>
      <c r="C117" t="n">
        <v>101</v>
      </c>
      <c r="D117" t="n">
        <v>0</v>
      </c>
      <c r="E117" t="n">
        <v>166</v>
      </c>
    </row>
    <row r="118">
      <c r="A118" t="s">
        <v>208</v>
      </c>
      <c r="B118" t="n">
        <v>-0.5</v>
      </c>
      <c r="C118" t="n">
        <v>78</v>
      </c>
      <c r="D118" t="n">
        <v>-0.25</v>
      </c>
      <c r="E118" t="n">
        <v>51</v>
      </c>
    </row>
    <row r="119">
      <c r="A119" t="s">
        <v>207</v>
      </c>
      <c r="B119" t="n">
        <v>-1.5</v>
      </c>
      <c r="C119" t="n">
        <v>160</v>
      </c>
      <c r="D119" t="n">
        <v>-0.25</v>
      </c>
      <c r="E119" t="n">
        <v>2</v>
      </c>
    </row>
    <row r="120">
      <c r="A120" t="s">
        <v>208</v>
      </c>
      <c r="B120" t="n">
        <v>-0.5</v>
      </c>
      <c r="C120" t="n">
        <v>11</v>
      </c>
      <c r="D120" t="n">
        <v>-0.25</v>
      </c>
      <c r="E120" t="n">
        <v>64</v>
      </c>
    </row>
    <row r="121">
      <c r="A121" t="s">
        <v>208</v>
      </c>
      <c r="B121" t="n">
        <v>-0.25</v>
      </c>
      <c r="C121" t="n">
        <v>96</v>
      </c>
      <c r="D121" t="n">
        <v>0</v>
      </c>
      <c r="E121" t="n">
        <v>62</v>
      </c>
    </row>
    <row r="122">
      <c r="A122" t="s">
        <v>207</v>
      </c>
      <c r="B122" t="n">
        <v>-0.5</v>
      </c>
      <c r="C122" t="n">
        <v>72</v>
      </c>
      <c r="D122" t="n">
        <v>-0.25</v>
      </c>
      <c r="E122" t="n">
        <v>75</v>
      </c>
    </row>
    <row r="123">
      <c r="A123" t="s">
        <v>208</v>
      </c>
      <c r="B123" t="n">
        <v>-0.5</v>
      </c>
      <c r="C123" t="n">
        <v>111</v>
      </c>
      <c r="D123" t="n">
        <v>-0.25</v>
      </c>
      <c r="E123" t="n">
        <v>120</v>
      </c>
    </row>
    <row r="124">
      <c r="A124" t="s">
        <v>208</v>
      </c>
      <c r="B124" t="n">
        <v>-0.25</v>
      </c>
      <c r="C124" t="n">
        <v>1</v>
      </c>
      <c r="D124" t="n">
        <v>-0.25</v>
      </c>
      <c r="E124" t="n">
        <v>107</v>
      </c>
    </row>
    <row r="125">
      <c r="A125" t="s">
        <v>207</v>
      </c>
      <c r="B125" t="n">
        <v>-0.5</v>
      </c>
      <c r="C125" t="n">
        <v>175</v>
      </c>
      <c r="D125" t="n">
        <v>-0.25</v>
      </c>
      <c r="E125" t="n">
        <v>7</v>
      </c>
    </row>
    <row r="126">
      <c r="A126" t="s">
        <v>208</v>
      </c>
      <c r="B126" t="n">
        <v>-0.25</v>
      </c>
      <c r="C126" t="n">
        <v>2</v>
      </c>
      <c r="D126" t="n">
        <v>-0.25</v>
      </c>
      <c r="E126" t="n">
        <v>176</v>
      </c>
    </row>
    <row r="127">
      <c r="A127" t="s">
        <v>207</v>
      </c>
      <c r="B127" t="n">
        <v>-0.75</v>
      </c>
      <c r="C127" t="n">
        <v>94</v>
      </c>
      <c r="D127" t="n">
        <v>-0.25</v>
      </c>
      <c r="E127" t="n">
        <v>132</v>
      </c>
    </row>
    <row r="128">
      <c r="A128" t="s">
        <v>208</v>
      </c>
      <c r="B128" t="n">
        <v>-1</v>
      </c>
      <c r="C128" t="n">
        <v>75</v>
      </c>
      <c r="D128" t="n">
        <v>-0.25</v>
      </c>
      <c r="E128" t="n">
        <v>31</v>
      </c>
    </row>
    <row r="129">
      <c r="A129" t="s">
        <v>207</v>
      </c>
      <c r="B129" t="n">
        <v>-0.75</v>
      </c>
      <c r="C129" t="n">
        <v>93</v>
      </c>
      <c r="D129" t="n">
        <v>-0.25</v>
      </c>
      <c r="E129" t="n">
        <v>111</v>
      </c>
    </row>
    <row r="130">
      <c r="A130" t="s">
        <v>208</v>
      </c>
      <c r="B130" t="n">
        <v>-0.5</v>
      </c>
      <c r="C130" t="n">
        <v>80</v>
      </c>
      <c r="D130" t="n">
        <v>-0.25</v>
      </c>
      <c r="E130" t="n">
        <v>83</v>
      </c>
    </row>
    <row r="131">
      <c r="A131" t="s">
        <v>207</v>
      </c>
      <c r="B131" t="n">
        <v>-1.5</v>
      </c>
      <c r="C131" t="n">
        <v>173</v>
      </c>
      <c r="D131" t="n">
        <v>-0.75</v>
      </c>
      <c r="E131" t="n">
        <v>148</v>
      </c>
    </row>
    <row r="132">
      <c r="A132" t="s">
        <v>208</v>
      </c>
      <c r="B132" t="n">
        <v>-1</v>
      </c>
      <c r="C132" t="n">
        <v>19</v>
      </c>
      <c r="D132" t="n">
        <v>-0.25</v>
      </c>
      <c r="E132" t="n">
        <v>32</v>
      </c>
    </row>
    <row r="133">
      <c r="A133" t="s">
        <v>207</v>
      </c>
      <c r="B133" t="n">
        <v>-1</v>
      </c>
      <c r="C133" t="n">
        <v>168</v>
      </c>
      <c r="D133" t="n">
        <v>-0.25</v>
      </c>
      <c r="E133" t="n">
        <v>176</v>
      </c>
    </row>
    <row r="134">
      <c r="A134" t="s">
        <v>208</v>
      </c>
      <c r="B134" t="n">
        <v>-0.75</v>
      </c>
      <c r="C134" t="n">
        <v>8</v>
      </c>
      <c r="D134" t="n">
        <v>-0.25</v>
      </c>
      <c r="E134" t="n">
        <v>40</v>
      </c>
    </row>
    <row r="135">
      <c r="A135" t="s">
        <v>207</v>
      </c>
      <c r="B135" t="n">
        <v>-1.25</v>
      </c>
      <c r="C135" t="n">
        <v>6</v>
      </c>
      <c r="D135" t="n">
        <v>-0.25</v>
      </c>
      <c r="E135" t="n">
        <v>125</v>
      </c>
    </row>
    <row r="136">
      <c r="A136" t="s">
        <v>207</v>
      </c>
      <c r="B136" t="n">
        <v>-0.75</v>
      </c>
      <c r="C136" t="n">
        <v>178</v>
      </c>
      <c r="D136" t="n">
        <v>-0.5</v>
      </c>
      <c r="E136" t="n">
        <v>22</v>
      </c>
    </row>
    <row r="137">
      <c r="A137" t="s">
        <v>208</v>
      </c>
      <c r="B137" t="n">
        <v>-0.25</v>
      </c>
      <c r="C137" t="n">
        <v>180</v>
      </c>
      <c r="D137" t="n">
        <v>-0.25</v>
      </c>
      <c r="E137" t="n">
        <v>165</v>
      </c>
    </row>
    <row r="138">
      <c r="A138" t="s">
        <v>207</v>
      </c>
      <c r="B138" t="n">
        <v>-0.25</v>
      </c>
      <c r="C138" t="n">
        <v>64</v>
      </c>
      <c r="D138" t="n">
        <v>-0.25</v>
      </c>
      <c r="E138" t="n">
        <v>31</v>
      </c>
    </row>
    <row r="139">
      <c r="A139" t="s">
        <v>208</v>
      </c>
      <c r="B139" t="n">
        <v>-1</v>
      </c>
      <c r="C139" t="n">
        <v>127</v>
      </c>
      <c r="D139" t="n">
        <v>-0.5</v>
      </c>
      <c r="E139" t="n">
        <v>150</v>
      </c>
    </row>
    <row r="140">
      <c r="A140" t="s">
        <v>207</v>
      </c>
      <c r="B140" t="n">
        <v>-1.25</v>
      </c>
      <c r="C140" t="n">
        <v>2</v>
      </c>
      <c r="D140" t="n">
        <v>-0.25</v>
      </c>
      <c r="E140" t="n">
        <v>2</v>
      </c>
    </row>
    <row r="141">
      <c r="A141" t="s">
        <v>208</v>
      </c>
      <c r="B141" t="n">
        <v>-1.25</v>
      </c>
      <c r="C141" t="n">
        <v>163</v>
      </c>
      <c r="D141" t="n">
        <v>-0.25</v>
      </c>
      <c r="E141" t="n">
        <v>147</v>
      </c>
    </row>
    <row r="142">
      <c r="A142" t="s">
        <v>207</v>
      </c>
      <c r="B142" t="n">
        <v>-0.25</v>
      </c>
      <c r="C142" t="n">
        <v>172</v>
      </c>
      <c r="D142" t="n">
        <v>-0.25</v>
      </c>
      <c r="E142" t="n">
        <v>135</v>
      </c>
    </row>
    <row r="143">
      <c r="A143" t="s">
        <v>208</v>
      </c>
      <c r="B143" t="n">
        <v>-0.5</v>
      </c>
      <c r="C143" t="n">
        <v>3</v>
      </c>
      <c r="D143" t="n">
        <v>-0.25</v>
      </c>
      <c r="E143" t="n">
        <v>32</v>
      </c>
    </row>
    <row r="144">
      <c r="A144" t="s">
        <v>207</v>
      </c>
      <c r="B144" t="n">
        <v>-1</v>
      </c>
      <c r="C144" t="n">
        <v>14</v>
      </c>
      <c r="D144" t="n">
        <v>0</v>
      </c>
      <c r="E144" t="n">
        <v>171</v>
      </c>
    </row>
    <row r="145">
      <c r="A145" t="s">
        <v>207</v>
      </c>
      <c r="B145" t="n">
        <v>-0.75</v>
      </c>
      <c r="C145" t="n">
        <v>91</v>
      </c>
      <c r="D145" t="n">
        <v>-0.25</v>
      </c>
      <c r="E145" t="n">
        <v>49</v>
      </c>
    </row>
    <row r="146">
      <c r="A146" t="s">
        <v>207</v>
      </c>
      <c r="B146" t="n">
        <v>-0.25</v>
      </c>
      <c r="C146" t="n">
        <v>9</v>
      </c>
      <c r="D146" t="n">
        <v>0</v>
      </c>
      <c r="E146" t="n">
        <v>114</v>
      </c>
    </row>
    <row r="147">
      <c r="A147" t="s">
        <v>208</v>
      </c>
      <c r="B147" t="n">
        <v>-0.5</v>
      </c>
      <c r="C147" t="n">
        <v>3</v>
      </c>
      <c r="D147" t="n">
        <v>-0.25</v>
      </c>
      <c r="E147" t="n">
        <v>48</v>
      </c>
    </row>
    <row r="148">
      <c r="A148" t="s">
        <v>207</v>
      </c>
      <c r="B148" t="n">
        <v>-0.25</v>
      </c>
      <c r="C148" t="n">
        <v>21</v>
      </c>
      <c r="D148" t="n">
        <v>-0.25</v>
      </c>
      <c r="E148" t="n">
        <v>108</v>
      </c>
    </row>
    <row r="149">
      <c r="A149" t="s">
        <v>208</v>
      </c>
      <c r="B149" t="n">
        <v>-0.25</v>
      </c>
      <c r="C149" t="n">
        <v>146</v>
      </c>
      <c r="D149" t="n">
        <v>-0.25</v>
      </c>
      <c r="E149" t="n">
        <v>75</v>
      </c>
    </row>
    <row r="150">
      <c r="A150" t="s">
        <v>207</v>
      </c>
      <c r="B150" t="n">
        <v>-0.75</v>
      </c>
      <c r="C150" t="n">
        <v>89</v>
      </c>
      <c r="D150" t="n">
        <v>0</v>
      </c>
      <c r="E150" t="n">
        <v>23</v>
      </c>
    </row>
    <row r="151">
      <c r="A151" t="s">
        <v>208</v>
      </c>
      <c r="B151" t="n">
        <v>-0.5</v>
      </c>
      <c r="C151" t="n">
        <v>102</v>
      </c>
      <c r="D151" t="n">
        <v>-0.25</v>
      </c>
      <c r="E151" t="n">
        <v>51</v>
      </c>
    </row>
    <row r="152">
      <c r="A152" t="s">
        <v>207</v>
      </c>
      <c r="B152" t="n">
        <v>-0.25</v>
      </c>
      <c r="C152" t="n">
        <v>180</v>
      </c>
      <c r="D152" t="n">
        <v>0</v>
      </c>
      <c r="E152" t="n">
        <v>167</v>
      </c>
    </row>
    <row r="153">
      <c r="A153" t="s">
        <v>208</v>
      </c>
      <c r="B153" t="n">
        <v>-0.5</v>
      </c>
      <c r="C153" t="n">
        <v>19</v>
      </c>
      <c r="D153" t="n">
        <v>0</v>
      </c>
      <c r="E153" t="n">
        <v>163</v>
      </c>
    </row>
    <row r="154">
      <c r="A154" t="s">
        <v>207</v>
      </c>
      <c r="B154" t="n">
        <v>-2.75</v>
      </c>
      <c r="C154" t="n">
        <v>172</v>
      </c>
      <c r="D154"/>
      <c r="E154"/>
    </row>
    <row r="155">
      <c r="A155" t="s">
        <v>208</v>
      </c>
      <c r="B155" t="n">
        <v>-0.5</v>
      </c>
      <c r="C155" t="n">
        <v>85</v>
      </c>
      <c r="D155" t="n">
        <v>-0.25</v>
      </c>
      <c r="E155" t="n">
        <v>110</v>
      </c>
    </row>
    <row r="156">
      <c r="A156" t="s">
        <v>207</v>
      </c>
      <c r="B156" t="n">
        <v>-1</v>
      </c>
      <c r="C156" t="n">
        <v>95</v>
      </c>
      <c r="D156" t="n">
        <v>0</v>
      </c>
      <c r="E156" t="n">
        <v>32</v>
      </c>
    </row>
    <row r="157">
      <c r="A157" t="s">
        <v>207</v>
      </c>
      <c r="B157" t="n">
        <v>-0.75</v>
      </c>
      <c r="C157" t="n">
        <v>104</v>
      </c>
      <c r="D157" t="n">
        <v>-0.25</v>
      </c>
      <c r="E157" t="n">
        <v>84</v>
      </c>
    </row>
    <row r="158">
      <c r="A158" t="s">
        <v>208</v>
      </c>
      <c r="B158" t="n">
        <v>-0.5</v>
      </c>
      <c r="C158" t="n">
        <v>77</v>
      </c>
      <c r="D158" t="n">
        <v>-0.25</v>
      </c>
      <c r="E158" t="n">
        <v>48</v>
      </c>
    </row>
    <row r="159">
      <c r="A159" t="s">
        <v>207</v>
      </c>
      <c r="B159" t="n">
        <v>-1.75</v>
      </c>
      <c r="C159" t="n">
        <v>65</v>
      </c>
      <c r="D159" t="n">
        <v>-0.25</v>
      </c>
      <c r="E159" t="n">
        <v>9</v>
      </c>
    </row>
    <row r="160">
      <c r="A160" t="s">
        <v>208</v>
      </c>
      <c r="B160" t="n">
        <v>-1.25</v>
      </c>
      <c r="C160" t="n">
        <v>107</v>
      </c>
      <c r="D160" t="n">
        <v>-0.25</v>
      </c>
      <c r="E160" t="n">
        <v>134</v>
      </c>
    </row>
    <row r="161">
      <c r="A161" t="s">
        <v>207</v>
      </c>
      <c r="B161" t="n">
        <v>-0.75</v>
      </c>
      <c r="C161" t="n">
        <v>12</v>
      </c>
      <c r="D161"/>
      <c r="E161"/>
    </row>
    <row r="162">
      <c r="A162" t="s">
        <v>208</v>
      </c>
      <c r="B162" t="n">
        <v>-0.75</v>
      </c>
      <c r="C162" t="n">
        <v>5</v>
      </c>
      <c r="D162"/>
      <c r="E162"/>
    </row>
    <row r="163">
      <c r="A163" t="s">
        <v>207</v>
      </c>
      <c r="B163" t="n">
        <v>-1.25</v>
      </c>
      <c r="C163" t="n">
        <v>22</v>
      </c>
      <c r="D163" t="n">
        <v>-0.25</v>
      </c>
      <c r="E163" t="n">
        <v>156</v>
      </c>
    </row>
    <row r="164">
      <c r="A164" t="s">
        <v>208</v>
      </c>
      <c r="B164" t="n">
        <v>-1.5</v>
      </c>
      <c r="C164" t="n">
        <v>172</v>
      </c>
      <c r="D164" t="n">
        <v>-0.25</v>
      </c>
      <c r="E164" t="n">
        <v>137</v>
      </c>
    </row>
  </sheetData>
  <pageMargins left="0.7" right="0.7" top="0.75" bottom="0.75" header="0.3" footer="0.3"/>
  <pageSetup paperSize="9" orientation="portrait" horizontalDpi="300" verticalDpi="300" r:id="rId2"/>
  <tableParts count="1">
    <tablePart r:id="rId4"/>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209</v>
      </c>
    </row>
    <row r="3">
      <c r="A3" s="1" t="s">
        <v>210</v>
      </c>
    </row>
    <row r="4">
      <c r="A4" t="s">
        <v>211</v>
      </c>
      <c r="B4" t="s">
        <v>212</v>
      </c>
      <c r="C4" t="s">
        <v>213</v>
      </c>
      <c r="D4" t="s">
        <v>214</v>
      </c>
      <c r="E4" t="s">
        <v>215</v>
      </c>
      <c r="F4" t="s">
        <v>216</v>
      </c>
      <c r="G4" t="s">
        <v>217</v>
      </c>
      <c r="H4" t="s">
        <v>218</v>
      </c>
      <c r="I4" t="s">
        <v>219</v>
      </c>
      <c r="J4" t="s">
        <v>220</v>
      </c>
      <c r="K4" t="s">
        <v>221</v>
      </c>
      <c r="L4" t="s">
        <v>222</v>
      </c>
      <c r="M4" t="s">
        <v>223</v>
      </c>
      <c r="N4" t="s">
        <v>224</v>
      </c>
      <c r="O4" t="s">
        <v>225</v>
      </c>
      <c r="P4" t="s">
        <v>226</v>
      </c>
      <c r="Q4" t="s">
        <v>227</v>
      </c>
      <c r="R4" t="s">
        <v>228</v>
      </c>
      <c r="S4" t="s">
        <v>229</v>
      </c>
    </row>
    <row r="5">
      <c r="A5" t="s">
        <v>230</v>
      </c>
      <c r="B5" t="s">
        <v>30</v>
      </c>
      <c r="C5" t="n">
        <v>226</v>
      </c>
      <c r="D5" t="n">
        <v>136</v>
      </c>
      <c r="E5" s="10" t="n">
        <v>-0.449224166183878</v>
      </c>
      <c r="F5" s="10" t="n">
        <v>-0.00139627396401733</v>
      </c>
      <c r="G5" s="10" t="n">
        <v>0.449226336120872</v>
      </c>
      <c r="H5" s="11" t="n">
        <v>90.0890427915297</v>
      </c>
      <c r="I5" t="s">
        <v>231</v>
      </c>
      <c r="J5" s="10" t="n">
        <v>0.996436633420381</v>
      </c>
      <c r="K5" s="10" t="n">
        <v>0.918141592920354</v>
      </c>
      <c r="L5" s="10" t="n">
        <v>0.594364719563956</v>
      </c>
      <c r="M5" s="10" t="n">
        <v>0.75</v>
      </c>
      <c r="N5" s="10" t="n">
        <v>0</v>
      </c>
      <c r="O5" s="10" t="n">
        <v>3.5</v>
      </c>
      <c r="P5" s="10" t="n">
        <v>1.09301887700384</v>
      </c>
      <c r="Q5" t="s">
        <v>232</v>
      </c>
      <c r="R5" t="n">
        <v>218</v>
      </c>
      <c r="S5" t="s">
        <v>233</v>
      </c>
    </row>
    <row r="6">
      <c r="A6" t="s">
        <v>230</v>
      </c>
      <c r="B6" t="s">
        <v>31</v>
      </c>
      <c r="C6" t="n">
        <v>163</v>
      </c>
      <c r="D6" t="n">
        <v>97</v>
      </c>
      <c r="E6" s="10" t="n">
        <v>-0.302291995455342</v>
      </c>
      <c r="F6" s="10" t="n">
        <v>0.0122205256630781</v>
      </c>
      <c r="G6" s="10" t="n">
        <v>0.302538909503976</v>
      </c>
      <c r="H6" s="11" t="n">
        <v>88.8425041094594</v>
      </c>
      <c r="I6" t="s">
        <v>234</v>
      </c>
      <c r="J6" s="10" t="n">
        <v>0.838649015635462</v>
      </c>
      <c r="K6" s="10" t="n">
        <v>0.771472392638037</v>
      </c>
      <c r="L6" s="10" t="n">
        <v>0.448246560691101</v>
      </c>
      <c r="M6" s="10" t="n">
        <v>0.75</v>
      </c>
      <c r="N6" s="10" t="n">
        <v>0</v>
      </c>
      <c r="O6" s="10" t="n">
        <v>2.75</v>
      </c>
      <c r="P6" s="10" t="n">
        <v>0.891550314446798</v>
      </c>
      <c r="Q6" t="s">
        <v>235</v>
      </c>
      <c r="R6" t="n">
        <v>156</v>
      </c>
      <c r="S6" t="s">
        <v>236</v>
      </c>
    </row>
    <row r="7">
      <c r="A7" t="s">
        <v>237</v>
      </c>
      <c r="B7" t="s">
        <v>30</v>
      </c>
      <c r="C7" t="n">
        <v>204</v>
      </c>
      <c r="D7" t="n">
        <v>123</v>
      </c>
      <c r="E7" s="10" t="n">
        <v>0.439329629593848</v>
      </c>
      <c r="F7" s="10" t="n">
        <v>-0.00159470914336645</v>
      </c>
      <c r="G7" s="10" t="n">
        <v>0.43933252387721</v>
      </c>
      <c r="H7" s="11" t="n">
        <v>179.896012360631</v>
      </c>
      <c r="I7" t="s">
        <v>238</v>
      </c>
      <c r="J7" s="10" t="n">
        <v>0.97398799607166</v>
      </c>
      <c r="K7" s="10" t="n">
        <v>0.897482438171578</v>
      </c>
      <c r="L7" s="10" t="n">
        <v>0.581246134857121</v>
      </c>
      <c r="M7" s="10" t="n">
        <v>0.75</v>
      </c>
      <c r="N7" s="10" t="n">
        <v>0.0609346717025738</v>
      </c>
      <c r="O7" s="10" t="n">
        <v>3.44641962965875</v>
      </c>
      <c r="P7" s="10" t="n">
        <v>1.06848756802688</v>
      </c>
      <c r="Q7" t="s">
        <v>239</v>
      </c>
      <c r="R7" t="n">
        <v>197</v>
      </c>
      <c r="S7" t="s">
        <v>240</v>
      </c>
    </row>
    <row r="8">
      <c r="A8" t="s">
        <v>237</v>
      </c>
      <c r="B8" t="s">
        <v>31</v>
      </c>
      <c r="C8" t="n">
        <v>149</v>
      </c>
      <c r="D8" t="n">
        <v>89</v>
      </c>
      <c r="E8" s="10" t="n">
        <v>0.241862133419784</v>
      </c>
      <c r="F8" s="10" t="n">
        <v>-0.001219911993167</v>
      </c>
      <c r="G8" s="10" t="n">
        <v>0.241865209915855</v>
      </c>
      <c r="H8" s="11" t="n">
        <v>179.85550607926</v>
      </c>
      <c r="I8" t="s">
        <v>241</v>
      </c>
      <c r="J8" s="10" t="n">
        <v>0.790947993653801</v>
      </c>
      <c r="K8" s="10" t="n">
        <v>0.717779989217791</v>
      </c>
      <c r="L8" s="10" t="n">
        <v>0.412347596179954</v>
      </c>
      <c r="M8" s="10" t="n">
        <v>0.603720069820807</v>
      </c>
      <c r="N8" s="10" t="n">
        <v>0.0522642316338267</v>
      </c>
      <c r="O8" s="10" t="n">
        <v>1.99349160030623</v>
      </c>
      <c r="P8" s="10" t="n">
        <v>0.827101873068012</v>
      </c>
      <c r="Q8" t="s">
        <v>242</v>
      </c>
      <c r="R8" t="n">
        <v>149</v>
      </c>
      <c r="S8" t="s">
        <v>243</v>
      </c>
    </row>
    <row r="9">
      <c r="A9" t="s">
        <v>244</v>
      </c>
      <c r="B9" t="s">
        <v>30</v>
      </c>
      <c r="C9" t="n">
        <v>204</v>
      </c>
      <c r="D9" t="n">
        <v>123</v>
      </c>
      <c r="E9" s="10" t="n">
        <v>-0.0428617213177947</v>
      </c>
      <c r="F9" s="10" t="n">
        <v>-0.002357662303959</v>
      </c>
      <c r="G9" s="10" t="n">
        <v>0.0429265154172081</v>
      </c>
      <c r="H9" s="11" t="n">
        <v>91.574226389599</v>
      </c>
      <c r="I9" t="s">
        <v>245</v>
      </c>
      <c r="J9" s="10" t="n">
        <v>0.34521655686957</v>
      </c>
      <c r="K9" s="10" t="n">
        <v>0.27328431372549</v>
      </c>
      <c r="L9" s="10" t="n">
        <v>0.215780168989375</v>
      </c>
      <c r="M9" s="10" t="n">
        <v>0.25</v>
      </c>
      <c r="N9" s="10" t="n">
        <v>0</v>
      </c>
      <c r="O9" s="10" t="n">
        <v>1.5</v>
      </c>
      <c r="P9" s="10" t="n">
        <v>0.347875203000652</v>
      </c>
      <c r="Q9" t="s">
        <v>239</v>
      </c>
      <c r="R9" t="n">
        <v>197</v>
      </c>
      <c r="S9" t="s">
        <v>240</v>
      </c>
    </row>
    <row r="10">
      <c r="A10" t="s">
        <v>244</v>
      </c>
      <c r="B10" t="s">
        <v>31</v>
      </c>
      <c r="C10" t="n">
        <v>149</v>
      </c>
      <c r="D10" t="n">
        <v>89</v>
      </c>
      <c r="E10" s="10" t="n">
        <v>-0.0123389914401155</v>
      </c>
      <c r="F10" s="10" t="n">
        <v>0.00666209413777569</v>
      </c>
      <c r="G10" s="10" t="n">
        <v>0.0140226319947373</v>
      </c>
      <c r="H10" s="11" t="n">
        <v>75.8172048021437</v>
      </c>
      <c r="I10" t="s">
        <v>246</v>
      </c>
      <c r="J10" s="10" t="n">
        <v>0.275183910474225</v>
      </c>
      <c r="K10" s="10" t="n">
        <v>0.236577181208054</v>
      </c>
      <c r="L10" s="10" t="n">
        <v>0.141735249063653</v>
      </c>
      <c r="M10" s="10" t="n">
        <v>0.25</v>
      </c>
      <c r="N10" s="10" t="n">
        <v>0</v>
      </c>
      <c r="O10" s="10" t="n">
        <v>0.75</v>
      </c>
      <c r="P10" s="10" t="n">
        <v>0.275540956650634</v>
      </c>
      <c r="Q10" t="s">
        <v>242</v>
      </c>
      <c r="R10" t="n">
        <v>149</v>
      </c>
      <c r="S10" t="s">
        <v>243</v>
      </c>
    </row>
    <row r="12">
      <c r="A12" s="1" t="s">
        <v>247</v>
      </c>
    </row>
    <row r="13">
      <c r="A13" t="s">
        <v>211</v>
      </c>
      <c r="B13" t="s">
        <v>212</v>
      </c>
      <c r="C13" t="s">
        <v>213</v>
      </c>
      <c r="D13" t="s">
        <v>248</v>
      </c>
      <c r="E13" t="s">
        <v>249</v>
      </c>
      <c r="F13" t="s">
        <v>250</v>
      </c>
      <c r="G13" t="s">
        <v>251</v>
      </c>
      <c r="H13" t="s">
        <v>252</v>
      </c>
      <c r="I13" t="s">
        <v>253</v>
      </c>
      <c r="J13" t="s">
        <v>254</v>
      </c>
      <c r="K13" t="s">
        <v>255</v>
      </c>
      <c r="L13" t="s">
        <v>256</v>
      </c>
    </row>
    <row r="14">
      <c r="A14" t="s">
        <v>230</v>
      </c>
      <c r="B14" t="s">
        <v>30</v>
      </c>
      <c r="C14" t="n">
        <v>226</v>
      </c>
      <c r="D14" s="12" t="n">
        <v>12.8318584070796</v>
      </c>
      <c r="E14" s="12" t="n">
        <v>37.1681415929204</v>
      </c>
      <c r="F14" s="12" t="n">
        <v>59.2920353982301</v>
      </c>
      <c r="G14" s="12" t="n">
        <v>72.5663716814159</v>
      </c>
      <c r="H14" s="12" t="n">
        <v>81.858407079646</v>
      </c>
      <c r="I14" s="12" t="n">
        <v>88.0530973451327</v>
      </c>
      <c r="J14" s="12" t="n">
        <v>92.9203539823009</v>
      </c>
      <c r="K14" s="12" t="n">
        <v>95.1327433628319</v>
      </c>
      <c r="L14" s="12" t="n">
        <v>27.4336283185841</v>
      </c>
    </row>
    <row r="15">
      <c r="A15" t="s">
        <v>230</v>
      </c>
      <c r="B15" t="s">
        <v>31</v>
      </c>
      <c r="C15" t="n">
        <v>163</v>
      </c>
      <c r="D15" s="12" t="n">
        <v>17.7914110429448</v>
      </c>
      <c r="E15" s="12" t="n">
        <v>45.398773006135</v>
      </c>
      <c r="F15" s="12" t="n">
        <v>66.8711656441718</v>
      </c>
      <c r="G15" s="12" t="n">
        <v>79.1411042944785</v>
      </c>
      <c r="H15" s="12" t="n">
        <v>88.9570552147239</v>
      </c>
      <c r="I15" s="12" t="n">
        <v>96.319018404908</v>
      </c>
      <c r="J15" s="12" t="n">
        <v>98.7730061349693</v>
      </c>
      <c r="K15" s="12" t="n">
        <v>98.7730061349693</v>
      </c>
      <c r="L15" s="12" t="n">
        <v>20.8588957055215</v>
      </c>
    </row>
    <row r="16">
      <c r="A16" t="s">
        <v>237</v>
      </c>
      <c r="B16" t="s">
        <v>30</v>
      </c>
      <c r="C16" t="n">
        <v>204</v>
      </c>
      <c r="D16" s="12" t="n">
        <v>8.33333333333333</v>
      </c>
      <c r="E16" s="12" t="n">
        <v>28.921568627451</v>
      </c>
      <c r="F16" s="12" t="n">
        <v>51.9607843137255</v>
      </c>
      <c r="G16" s="12" t="n">
        <v>68.1372549019608</v>
      </c>
      <c r="H16" s="12" t="n">
        <v>80.3921568627451</v>
      </c>
      <c r="I16" s="12" t="n">
        <v>87.7450980392157</v>
      </c>
      <c r="J16" s="12" t="n">
        <v>92.156862745098</v>
      </c>
      <c r="K16" s="12" t="n">
        <v>94.1176470588235</v>
      </c>
      <c r="L16" s="12" t="n">
        <v>31.8627450980392</v>
      </c>
    </row>
    <row r="17">
      <c r="A17" t="s">
        <v>237</v>
      </c>
      <c r="B17" t="s">
        <v>31</v>
      </c>
      <c r="C17" t="n">
        <v>149</v>
      </c>
      <c r="D17" s="12" t="n">
        <v>9.39597315436242</v>
      </c>
      <c r="E17" s="12" t="n">
        <v>40.2684563758389</v>
      </c>
      <c r="F17" s="12" t="n">
        <v>63.758389261745</v>
      </c>
      <c r="G17" s="12" t="n">
        <v>74.496644295302</v>
      </c>
      <c r="H17" s="12" t="n">
        <v>85.9060402684564</v>
      </c>
      <c r="I17" s="12" t="n">
        <v>95.3020134228188</v>
      </c>
      <c r="J17" s="12" t="n">
        <v>97.9865771812081</v>
      </c>
      <c r="K17" s="12" t="n">
        <v>100</v>
      </c>
      <c r="L17" s="12" t="n">
        <v>25.503355704698</v>
      </c>
    </row>
    <row r="18">
      <c r="A18" t="s">
        <v>244</v>
      </c>
      <c r="B18" t="s">
        <v>30</v>
      </c>
      <c r="C18" t="n">
        <v>204</v>
      </c>
      <c r="D18" s="12" t="n">
        <v>77.4509803921569</v>
      </c>
      <c r="E18" s="12" t="n">
        <v>94.6078431372549</v>
      </c>
      <c r="F18" s="12" t="n">
        <v>98.5294117647059</v>
      </c>
      <c r="G18" s="12" t="n">
        <v>99.5098039215686</v>
      </c>
      <c r="H18" s="12" t="n">
        <v>99.5098039215686</v>
      </c>
      <c r="I18" s="12" t="n">
        <v>100</v>
      </c>
      <c r="J18" s="12" t="n">
        <v>100</v>
      </c>
      <c r="K18" s="12" t="n">
        <v>100</v>
      </c>
      <c r="L18" s="12" t="n">
        <v>0.490196078431373</v>
      </c>
    </row>
    <row r="19">
      <c r="A19" t="s">
        <v>244</v>
      </c>
      <c r="B19" t="s">
        <v>31</v>
      </c>
      <c r="C19" t="n">
        <v>149</v>
      </c>
      <c r="D19" s="12" t="n">
        <v>89.261744966443</v>
      </c>
      <c r="E19" s="12" t="n">
        <v>98.6577181208054</v>
      </c>
      <c r="F19" s="12" t="n">
        <v>100</v>
      </c>
      <c r="G19" s="12" t="n">
        <v>100</v>
      </c>
      <c r="H19" s="12" t="n">
        <v>100</v>
      </c>
      <c r="I19" s="12" t="n">
        <v>100</v>
      </c>
      <c r="J19" s="12" t="n">
        <v>100</v>
      </c>
      <c r="K19" s="12" t="n">
        <v>100</v>
      </c>
      <c r="L19" s="12" t="n">
        <v>0</v>
      </c>
    </row>
    <row r="21">
      <c r="A21" s="1" t="s">
        <v>257</v>
      </c>
    </row>
    <row r="22">
      <c r="A22" t="s">
        <v>211</v>
      </c>
      <c r="B22" t="s">
        <v>212</v>
      </c>
      <c r="C22" t="s">
        <v>213</v>
      </c>
      <c r="D22" t="s">
        <v>214</v>
      </c>
      <c r="E22" t="s">
        <v>40</v>
      </c>
      <c r="F22" t="s">
        <v>39</v>
      </c>
      <c r="G22" t="s">
        <v>258</v>
      </c>
      <c r="H22" t="s">
        <v>1</v>
      </c>
    </row>
    <row r="23">
      <c r="A23" t="s">
        <v>230</v>
      </c>
      <c r="B23" t="s">
        <v>30</v>
      </c>
      <c r="C23" t="n">
        <v>226</v>
      </c>
      <c r="D23" t="n">
        <v>136</v>
      </c>
      <c r="E23" t="s">
        <v>259</v>
      </c>
      <c r="F23" t="s">
        <v>260</v>
      </c>
      <c r="G23" t="s">
        <v>261</v>
      </c>
      <c r="H23" t="s">
        <v>262</v>
      </c>
    </row>
    <row r="24">
      <c r="A24" t="s">
        <v>230</v>
      </c>
      <c r="B24" t="s">
        <v>31</v>
      </c>
      <c r="C24" t="n">
        <v>163</v>
      </c>
      <c r="D24" t="n">
        <v>97</v>
      </c>
      <c r="E24" t="s">
        <v>259</v>
      </c>
      <c r="F24" t="s">
        <v>260</v>
      </c>
      <c r="G24" t="s">
        <v>261</v>
      </c>
      <c r="H24" t="s">
        <v>262</v>
      </c>
    </row>
    <row r="25">
      <c r="A25" t="s">
        <v>237</v>
      </c>
      <c r="B25" t="s">
        <v>30</v>
      </c>
      <c r="C25" t="n">
        <v>204</v>
      </c>
      <c r="D25" t="n">
        <v>123</v>
      </c>
      <c r="E25" t="s">
        <v>259</v>
      </c>
      <c r="F25" t="s">
        <v>260</v>
      </c>
      <c r="G25" t="s">
        <v>261</v>
      </c>
      <c r="H25" t="s">
        <v>262</v>
      </c>
    </row>
    <row r="26">
      <c r="A26" t="s">
        <v>237</v>
      </c>
      <c r="B26" t="s">
        <v>31</v>
      </c>
      <c r="C26" t="n">
        <v>149</v>
      </c>
      <c r="D26" t="n">
        <v>89</v>
      </c>
      <c r="E26" t="s">
        <v>259</v>
      </c>
      <c r="F26" t="s">
        <v>141</v>
      </c>
      <c r="G26" t="s">
        <v>141</v>
      </c>
      <c r="H26" t="s">
        <v>95</v>
      </c>
    </row>
    <row r="27">
      <c r="A27" t="s">
        <v>244</v>
      </c>
      <c r="B27" t="s">
        <v>30</v>
      </c>
      <c r="C27" t="n">
        <v>204</v>
      </c>
      <c r="D27" t="n">
        <v>123</v>
      </c>
      <c r="E27" t="s">
        <v>259</v>
      </c>
      <c r="F27" t="s">
        <v>263</v>
      </c>
      <c r="G27" t="s">
        <v>264</v>
      </c>
      <c r="H27" t="s">
        <v>95</v>
      </c>
    </row>
    <row r="28">
      <c r="A28" t="s">
        <v>244</v>
      </c>
      <c r="B28" t="s">
        <v>31</v>
      </c>
      <c r="C28" t="n">
        <v>149</v>
      </c>
      <c r="D28" t="n">
        <v>89</v>
      </c>
      <c r="E28" t="s">
        <v>259</v>
      </c>
      <c r="F28" t="s">
        <v>265</v>
      </c>
      <c r="G28" t="s">
        <v>265</v>
      </c>
      <c r="H28" t="s">
        <v>95</v>
      </c>
    </row>
    <row r="30">
      <c r="A30" s="1" t="s">
        <v>266</v>
      </c>
    </row>
    <row r="31">
      <c r="A31" t="s">
        <v>211</v>
      </c>
      <c r="B31" t="s">
        <v>267</v>
      </c>
      <c r="C31" t="s">
        <v>268</v>
      </c>
      <c r="D31" t="s">
        <v>269</v>
      </c>
      <c r="E31" t="s">
        <v>40</v>
      </c>
      <c r="F31" t="s">
        <v>39</v>
      </c>
      <c r="G31" t="s">
        <v>270</v>
      </c>
      <c r="H31" t="s">
        <v>271</v>
      </c>
      <c r="I31" t="s">
        <v>1</v>
      </c>
    </row>
    <row r="32">
      <c r="A32" t="s">
        <v>230</v>
      </c>
      <c r="B32" t="s">
        <v>272</v>
      </c>
      <c r="C32" t="s">
        <v>219</v>
      </c>
      <c r="D32" t="s">
        <v>273</v>
      </c>
      <c r="E32" t="s">
        <v>274</v>
      </c>
      <c r="F32" t="s">
        <v>83</v>
      </c>
      <c r="G32" t="s">
        <v>95</v>
      </c>
      <c r="H32" t="s">
        <v>275</v>
      </c>
      <c r="I32" t="s">
        <v>95</v>
      </c>
    </row>
    <row r="33">
      <c r="A33" t="s">
        <v>230</v>
      </c>
      <c r="B33" t="s">
        <v>272</v>
      </c>
      <c r="C33" t="s">
        <v>276</v>
      </c>
      <c r="D33" t="s">
        <v>277</v>
      </c>
      <c r="E33" t="s">
        <v>278</v>
      </c>
      <c r="F33" t="s">
        <v>279</v>
      </c>
      <c r="G33" t="s">
        <v>95</v>
      </c>
      <c r="H33" t="s">
        <v>275</v>
      </c>
      <c r="I33" t="s">
        <v>95</v>
      </c>
    </row>
    <row r="34">
      <c r="A34" t="s">
        <v>230</v>
      </c>
      <c r="B34" t="s">
        <v>272</v>
      </c>
      <c r="C34" t="s">
        <v>280</v>
      </c>
      <c r="D34" t="s">
        <v>281</v>
      </c>
      <c r="E34" t="s">
        <v>278</v>
      </c>
      <c r="F34" t="s">
        <v>83</v>
      </c>
      <c r="G34" t="s">
        <v>95</v>
      </c>
      <c r="H34" t="s">
        <v>275</v>
      </c>
      <c r="I34" t="s">
        <v>95</v>
      </c>
    </row>
    <row r="35">
      <c r="A35" t="s">
        <v>230</v>
      </c>
      <c r="B35" t="s">
        <v>272</v>
      </c>
      <c r="C35" t="s">
        <v>282</v>
      </c>
      <c r="D35" t="s">
        <v>283</v>
      </c>
      <c r="E35" t="s">
        <v>284</v>
      </c>
      <c r="F35" t="s">
        <v>285</v>
      </c>
      <c r="G35" t="s">
        <v>95</v>
      </c>
      <c r="H35" t="s">
        <v>275</v>
      </c>
      <c r="I35" t="s">
        <v>95</v>
      </c>
    </row>
    <row r="36">
      <c r="A36" t="s">
        <v>230</v>
      </c>
      <c r="B36" t="s">
        <v>272</v>
      </c>
      <c r="C36" t="s">
        <v>286</v>
      </c>
      <c r="D36" t="s">
        <v>287</v>
      </c>
      <c r="E36" t="s">
        <v>284</v>
      </c>
      <c r="F36" t="s">
        <v>288</v>
      </c>
      <c r="G36" t="s">
        <v>95</v>
      </c>
      <c r="H36" t="s">
        <v>275</v>
      </c>
      <c r="I36" t="s">
        <v>95</v>
      </c>
    </row>
    <row r="37">
      <c r="A37" t="s">
        <v>230</v>
      </c>
      <c r="B37" t="s">
        <v>272</v>
      </c>
      <c r="C37" t="s">
        <v>289</v>
      </c>
      <c r="D37" t="s">
        <v>290</v>
      </c>
      <c r="E37" t="s">
        <v>284</v>
      </c>
      <c r="F37" t="s">
        <v>291</v>
      </c>
      <c r="G37" t="s">
        <v>95</v>
      </c>
      <c r="H37" t="s">
        <v>275</v>
      </c>
      <c r="I37" t="s">
        <v>95</v>
      </c>
    </row>
    <row r="38">
      <c r="A38" t="s">
        <v>230</v>
      </c>
      <c r="B38" t="s">
        <v>272</v>
      </c>
      <c r="C38" t="s">
        <v>292</v>
      </c>
      <c r="D38" t="s">
        <v>293</v>
      </c>
      <c r="E38" t="s">
        <v>284</v>
      </c>
      <c r="F38" t="s">
        <v>294</v>
      </c>
      <c r="G38" t="s">
        <v>95</v>
      </c>
      <c r="H38" t="s">
        <v>275</v>
      </c>
      <c r="I38" t="s">
        <v>95</v>
      </c>
    </row>
    <row r="39">
      <c r="A39" t="s">
        <v>230</v>
      </c>
      <c r="B39" t="s">
        <v>272</v>
      </c>
      <c r="C39" t="s">
        <v>295</v>
      </c>
      <c r="D39" t="s">
        <v>296</v>
      </c>
      <c r="E39" t="s">
        <v>284</v>
      </c>
      <c r="F39" t="s">
        <v>120</v>
      </c>
      <c r="G39" t="s">
        <v>95</v>
      </c>
      <c r="H39" t="s">
        <v>297</v>
      </c>
      <c r="I39" t="s">
        <v>95</v>
      </c>
    </row>
    <row r="40">
      <c r="A40" t="s">
        <v>230</v>
      </c>
      <c r="B40" t="s">
        <v>272</v>
      </c>
      <c r="C40" t="s">
        <v>298</v>
      </c>
      <c r="D40" t="s">
        <v>299</v>
      </c>
      <c r="E40" t="s">
        <v>284</v>
      </c>
      <c r="F40" t="s">
        <v>300</v>
      </c>
      <c r="G40" t="s">
        <v>95</v>
      </c>
      <c r="H40" t="s">
        <v>83</v>
      </c>
      <c r="I40" t="s">
        <v>95</v>
      </c>
    </row>
    <row r="41">
      <c r="A41" t="s">
        <v>230</v>
      </c>
      <c r="B41" t="s">
        <v>272</v>
      </c>
      <c r="C41" t="s">
        <v>301</v>
      </c>
      <c r="D41" t="s">
        <v>302</v>
      </c>
      <c r="E41" t="s">
        <v>284</v>
      </c>
      <c r="F41" t="s">
        <v>58</v>
      </c>
      <c r="G41" t="s">
        <v>95</v>
      </c>
      <c r="H41" t="s">
        <v>303</v>
      </c>
      <c r="I41" t="s">
        <v>95</v>
      </c>
    </row>
    <row r="42">
      <c r="A42" t="s">
        <v>230</v>
      </c>
      <c r="B42" t="s">
        <v>272</v>
      </c>
      <c r="C42" t="s">
        <v>304</v>
      </c>
      <c r="D42" t="s">
        <v>305</v>
      </c>
      <c r="E42" t="s">
        <v>284</v>
      </c>
      <c r="F42" t="s">
        <v>83</v>
      </c>
      <c r="G42" t="s">
        <v>95</v>
      </c>
      <c r="H42" t="s">
        <v>275</v>
      </c>
      <c r="I42" t="s">
        <v>95</v>
      </c>
    </row>
    <row r="43">
      <c r="A43" t="s">
        <v>237</v>
      </c>
      <c r="B43" t="s">
        <v>272</v>
      </c>
      <c r="C43" t="s">
        <v>219</v>
      </c>
      <c r="D43" t="s">
        <v>306</v>
      </c>
      <c r="E43" t="s">
        <v>274</v>
      </c>
      <c r="F43" t="s">
        <v>58</v>
      </c>
      <c r="G43" t="s">
        <v>95</v>
      </c>
      <c r="H43" t="s">
        <v>307</v>
      </c>
      <c r="I43" t="s">
        <v>95</v>
      </c>
    </row>
    <row r="44">
      <c r="A44" t="s">
        <v>237</v>
      </c>
      <c r="B44" t="s">
        <v>272</v>
      </c>
      <c r="C44" t="s">
        <v>276</v>
      </c>
      <c r="D44" t="s">
        <v>308</v>
      </c>
      <c r="E44" t="s">
        <v>278</v>
      </c>
      <c r="F44" t="s">
        <v>309</v>
      </c>
      <c r="G44" t="s">
        <v>95</v>
      </c>
      <c r="H44" t="s">
        <v>310</v>
      </c>
      <c r="I44" t="s">
        <v>95</v>
      </c>
    </row>
    <row r="45">
      <c r="A45" t="s">
        <v>237</v>
      </c>
      <c r="B45" t="s">
        <v>272</v>
      </c>
      <c r="C45" t="s">
        <v>280</v>
      </c>
      <c r="D45" t="s">
        <v>311</v>
      </c>
      <c r="E45" t="s">
        <v>278</v>
      </c>
      <c r="F45" t="s">
        <v>58</v>
      </c>
      <c r="G45" t="s">
        <v>95</v>
      </c>
      <c r="H45" t="s">
        <v>307</v>
      </c>
      <c r="I45" t="s">
        <v>95</v>
      </c>
    </row>
    <row r="46">
      <c r="A46" t="s">
        <v>237</v>
      </c>
      <c r="B46" t="s">
        <v>272</v>
      </c>
      <c r="C46" t="s">
        <v>282</v>
      </c>
      <c r="D46" t="s">
        <v>312</v>
      </c>
      <c r="E46" t="s">
        <v>284</v>
      </c>
      <c r="F46" t="s">
        <v>265</v>
      </c>
      <c r="G46" t="s">
        <v>95</v>
      </c>
      <c r="H46" t="s">
        <v>310</v>
      </c>
      <c r="I46" t="s">
        <v>95</v>
      </c>
    </row>
    <row r="47">
      <c r="A47" t="s">
        <v>237</v>
      </c>
      <c r="B47" t="s">
        <v>272</v>
      </c>
      <c r="C47" t="s">
        <v>286</v>
      </c>
      <c r="D47" t="s">
        <v>313</v>
      </c>
      <c r="E47" t="s">
        <v>284</v>
      </c>
      <c r="F47" t="s">
        <v>314</v>
      </c>
      <c r="G47" t="s">
        <v>95</v>
      </c>
      <c r="H47" t="s">
        <v>307</v>
      </c>
      <c r="I47" t="s">
        <v>95</v>
      </c>
    </row>
    <row r="48">
      <c r="A48" t="s">
        <v>237</v>
      </c>
      <c r="B48" t="s">
        <v>272</v>
      </c>
      <c r="C48" t="s">
        <v>289</v>
      </c>
      <c r="D48" t="s">
        <v>315</v>
      </c>
      <c r="E48" t="s">
        <v>284</v>
      </c>
      <c r="F48" t="s">
        <v>263</v>
      </c>
      <c r="G48" t="s">
        <v>95</v>
      </c>
      <c r="H48" t="s">
        <v>316</v>
      </c>
      <c r="I48" t="s">
        <v>95</v>
      </c>
    </row>
    <row r="49">
      <c r="A49" t="s">
        <v>237</v>
      </c>
      <c r="B49" t="s">
        <v>272</v>
      </c>
      <c r="C49" t="s">
        <v>292</v>
      </c>
      <c r="D49" t="s">
        <v>317</v>
      </c>
      <c r="E49" t="s">
        <v>284</v>
      </c>
      <c r="F49" t="s">
        <v>318</v>
      </c>
      <c r="G49" t="s">
        <v>95</v>
      </c>
      <c r="H49" t="s">
        <v>310</v>
      </c>
      <c r="I49" t="s">
        <v>95</v>
      </c>
    </row>
    <row r="50">
      <c r="A50" t="s">
        <v>237</v>
      </c>
      <c r="B50" t="s">
        <v>272</v>
      </c>
      <c r="C50" t="s">
        <v>295</v>
      </c>
      <c r="D50" t="s">
        <v>319</v>
      </c>
      <c r="E50" t="s">
        <v>284</v>
      </c>
      <c r="F50" t="s">
        <v>320</v>
      </c>
      <c r="G50" t="s">
        <v>95</v>
      </c>
      <c r="H50" t="s">
        <v>310</v>
      </c>
      <c r="I50" t="s">
        <v>95</v>
      </c>
    </row>
    <row r="51">
      <c r="A51" t="s">
        <v>237</v>
      </c>
      <c r="B51" t="s">
        <v>272</v>
      </c>
      <c r="C51" t="s">
        <v>298</v>
      </c>
      <c r="D51" t="s">
        <v>321</v>
      </c>
      <c r="E51" t="s">
        <v>284</v>
      </c>
      <c r="F51" t="s">
        <v>78</v>
      </c>
      <c r="G51" t="s">
        <v>95</v>
      </c>
      <c r="H51" t="s">
        <v>316</v>
      </c>
      <c r="I51" t="s">
        <v>95</v>
      </c>
    </row>
    <row r="52">
      <c r="A52" t="s">
        <v>237</v>
      </c>
      <c r="B52" t="s">
        <v>272</v>
      </c>
      <c r="C52" t="s">
        <v>301</v>
      </c>
      <c r="D52" t="s">
        <v>322</v>
      </c>
      <c r="E52" t="s">
        <v>284</v>
      </c>
      <c r="F52" t="s">
        <v>58</v>
      </c>
      <c r="G52" t="s">
        <v>95</v>
      </c>
      <c r="H52" t="s">
        <v>307</v>
      </c>
      <c r="I52" t="s">
        <v>95</v>
      </c>
    </row>
    <row r="53">
      <c r="A53" t="s">
        <v>237</v>
      </c>
      <c r="B53" t="s">
        <v>272</v>
      </c>
      <c r="C53" t="s">
        <v>304</v>
      </c>
      <c r="D53" t="s">
        <v>323</v>
      </c>
      <c r="E53" t="s">
        <v>324</v>
      </c>
      <c r="F53" t="s">
        <v>300</v>
      </c>
      <c r="G53" t="s">
        <v>95</v>
      </c>
      <c r="H53" t="s">
        <v>325</v>
      </c>
      <c r="I53" t="s">
        <v>95</v>
      </c>
    </row>
    <row r="54">
      <c r="A54" t="s">
        <v>244</v>
      </c>
      <c r="B54" t="s">
        <v>272</v>
      </c>
      <c r="C54" t="s">
        <v>219</v>
      </c>
      <c r="D54" t="s">
        <v>326</v>
      </c>
      <c r="E54" t="s">
        <v>274</v>
      </c>
      <c r="F54" t="s">
        <v>327</v>
      </c>
      <c r="G54" t="s">
        <v>95</v>
      </c>
      <c r="H54" t="s">
        <v>310</v>
      </c>
      <c r="I54" t="s">
        <v>95</v>
      </c>
    </row>
    <row r="55">
      <c r="A55" t="s">
        <v>244</v>
      </c>
      <c r="B55" t="s">
        <v>272</v>
      </c>
      <c r="C55" t="s">
        <v>276</v>
      </c>
      <c r="D55" t="s">
        <v>328</v>
      </c>
      <c r="E55" t="s">
        <v>278</v>
      </c>
      <c r="F55" t="s">
        <v>329</v>
      </c>
      <c r="G55" t="s">
        <v>95</v>
      </c>
      <c r="H55" t="s">
        <v>310</v>
      </c>
      <c r="I55" t="s">
        <v>95</v>
      </c>
    </row>
    <row r="56">
      <c r="A56" t="s">
        <v>244</v>
      </c>
      <c r="B56" t="s">
        <v>272</v>
      </c>
      <c r="C56" t="s">
        <v>280</v>
      </c>
      <c r="D56" t="s">
        <v>330</v>
      </c>
      <c r="E56" t="s">
        <v>331</v>
      </c>
      <c r="F56" t="s">
        <v>332</v>
      </c>
      <c r="G56" t="s">
        <v>95</v>
      </c>
      <c r="H56" t="s">
        <v>333</v>
      </c>
      <c r="I56" t="s">
        <v>95</v>
      </c>
    </row>
    <row r="57">
      <c r="A57" t="s">
        <v>244</v>
      </c>
      <c r="B57" t="s">
        <v>272</v>
      </c>
      <c r="C57" t="s">
        <v>282</v>
      </c>
      <c r="D57" t="s">
        <v>334</v>
      </c>
      <c r="E57" t="s">
        <v>284</v>
      </c>
      <c r="F57" t="s">
        <v>335</v>
      </c>
      <c r="G57" t="s">
        <v>95</v>
      </c>
      <c r="H57" t="s">
        <v>314</v>
      </c>
      <c r="I57" t="s">
        <v>95</v>
      </c>
    </row>
    <row r="58">
      <c r="A58" t="s">
        <v>244</v>
      </c>
      <c r="B58" t="s">
        <v>272</v>
      </c>
      <c r="C58" t="s">
        <v>286</v>
      </c>
      <c r="D58" t="s">
        <v>336</v>
      </c>
      <c r="E58" t="s">
        <v>284</v>
      </c>
      <c r="F58" t="s">
        <v>337</v>
      </c>
      <c r="G58" t="s">
        <v>95</v>
      </c>
      <c r="H58" t="s">
        <v>333</v>
      </c>
      <c r="I58" t="s">
        <v>95</v>
      </c>
    </row>
    <row r="59">
      <c r="A59" t="s">
        <v>244</v>
      </c>
      <c r="B59" t="s">
        <v>272</v>
      </c>
      <c r="C59" t="s">
        <v>289</v>
      </c>
      <c r="D59" t="s">
        <v>338</v>
      </c>
      <c r="E59" t="s">
        <v>324</v>
      </c>
      <c r="F59" t="s">
        <v>285</v>
      </c>
      <c r="G59" t="s">
        <v>95</v>
      </c>
      <c r="H59" t="s">
        <v>339</v>
      </c>
      <c r="I59" t="s">
        <v>95</v>
      </c>
    </row>
    <row r="60">
      <c r="A60" t="s">
        <v>244</v>
      </c>
      <c r="B60" t="s">
        <v>272</v>
      </c>
      <c r="C60" t="s">
        <v>292</v>
      </c>
      <c r="D60" t="s">
        <v>340</v>
      </c>
      <c r="E60" t="s">
        <v>324</v>
      </c>
      <c r="F60" t="s">
        <v>341</v>
      </c>
      <c r="G60" t="s">
        <v>95</v>
      </c>
      <c r="H60" t="s">
        <v>310</v>
      </c>
      <c r="I60" t="s">
        <v>95</v>
      </c>
    </row>
    <row r="61">
      <c r="A61" t="s">
        <v>244</v>
      </c>
      <c r="B61" t="s">
        <v>272</v>
      </c>
      <c r="C61" t="s">
        <v>295</v>
      </c>
      <c r="D61" t="s">
        <v>340</v>
      </c>
      <c r="E61" t="s">
        <v>324</v>
      </c>
      <c r="F61" t="s">
        <v>341</v>
      </c>
      <c r="G61" t="s">
        <v>95</v>
      </c>
      <c r="H61" t="s">
        <v>310</v>
      </c>
      <c r="I61" t="s">
        <v>95</v>
      </c>
    </row>
    <row r="62">
      <c r="A62" t="s">
        <v>244</v>
      </c>
      <c r="B62" t="s">
        <v>272</v>
      </c>
      <c r="C62" t="s">
        <v>298</v>
      </c>
      <c r="D62" t="s">
        <v>342</v>
      </c>
      <c r="E62" t="s">
        <v>343</v>
      </c>
      <c r="F62" t="s">
        <v>95</v>
      </c>
      <c r="G62" t="s">
        <v>95</v>
      </c>
      <c r="H62" t="s">
        <v>95</v>
      </c>
      <c r="I62" t="s">
        <v>344</v>
      </c>
    </row>
    <row r="63">
      <c r="A63" t="s">
        <v>244</v>
      </c>
      <c r="B63" t="s">
        <v>272</v>
      </c>
      <c r="C63" t="s">
        <v>301</v>
      </c>
      <c r="D63" t="s">
        <v>342</v>
      </c>
      <c r="E63" t="s">
        <v>343</v>
      </c>
      <c r="F63" t="s">
        <v>95</v>
      </c>
      <c r="G63" t="s">
        <v>95</v>
      </c>
      <c r="H63" t="s">
        <v>95</v>
      </c>
      <c r="I63" t="s">
        <v>345</v>
      </c>
    </row>
    <row r="64">
      <c r="A64" t="s">
        <v>244</v>
      </c>
      <c r="B64" t="s">
        <v>272</v>
      </c>
      <c r="C64" t="s">
        <v>304</v>
      </c>
      <c r="D64" t="s">
        <v>342</v>
      </c>
      <c r="E64" t="s">
        <v>343</v>
      </c>
      <c r="F64" t="s">
        <v>95</v>
      </c>
      <c r="G64" t="s">
        <v>95</v>
      </c>
      <c r="H64" t="s">
        <v>95</v>
      </c>
      <c r="I64" t="s">
        <v>346</v>
      </c>
    </row>
    <row r="66">
      <c r="A66" s="1" t="s">
        <v>347</v>
      </c>
    </row>
    <row r="67">
      <c r="A67" t="s">
        <v>212</v>
      </c>
      <c r="B67" t="s">
        <v>348</v>
      </c>
      <c r="C67" t="s">
        <v>213</v>
      </c>
      <c r="D67" t="s">
        <v>214</v>
      </c>
      <c r="E67" t="s">
        <v>349</v>
      </c>
      <c r="F67" t="s">
        <v>350</v>
      </c>
      <c r="G67" t="s">
        <v>351</v>
      </c>
      <c r="H67" t="s">
        <v>352</v>
      </c>
      <c r="I67" t="s">
        <v>40</v>
      </c>
      <c r="J67" t="s">
        <v>353</v>
      </c>
      <c r="K67" t="s">
        <v>39</v>
      </c>
      <c r="L67" t="s">
        <v>354</v>
      </c>
      <c r="M67" t="s">
        <v>1</v>
      </c>
    </row>
    <row r="68">
      <c r="A68" t="s">
        <v>30</v>
      </c>
      <c r="B68" t="s">
        <v>282</v>
      </c>
      <c r="C68" t="n">
        <v>204</v>
      </c>
      <c r="D68" t="n">
        <v>123</v>
      </c>
      <c r="E68" s="12" t="n">
        <v>12.7450980392157</v>
      </c>
      <c r="F68" s="12" t="n">
        <v>77.4509803921569</v>
      </c>
      <c r="G68" t="n">
        <v>132</v>
      </c>
      <c r="H68" t="n">
        <v>0</v>
      </c>
      <c r="I68" t="s">
        <v>355</v>
      </c>
      <c r="J68" s="10" t="n">
        <v>82.9714285714286</v>
      </c>
      <c r="K68" t="s">
        <v>45</v>
      </c>
      <c r="L68" t="s">
        <v>45</v>
      </c>
      <c r="M68" t="s">
        <v>95</v>
      </c>
    </row>
    <row r="69">
      <c r="A69" t="s">
        <v>30</v>
      </c>
      <c r="B69" t="s">
        <v>286</v>
      </c>
      <c r="C69" t="n">
        <v>204</v>
      </c>
      <c r="D69" t="n">
        <v>123</v>
      </c>
      <c r="E69" s="12" t="n">
        <v>36.2745098039216</v>
      </c>
      <c r="F69" s="12" t="n">
        <v>94.6078431372549</v>
      </c>
      <c r="G69" t="n">
        <v>119</v>
      </c>
      <c r="H69" t="n">
        <v>0</v>
      </c>
      <c r="I69" t="s">
        <v>355</v>
      </c>
      <c r="J69" s="10" t="n">
        <v>74.1413612565445</v>
      </c>
      <c r="K69" t="s">
        <v>45</v>
      </c>
      <c r="L69" t="s">
        <v>45</v>
      </c>
      <c r="M69" t="s">
        <v>95</v>
      </c>
    </row>
    <row r="70">
      <c r="A70" t="s">
        <v>30</v>
      </c>
      <c r="B70" t="s">
        <v>289</v>
      </c>
      <c r="C70" t="n">
        <v>204</v>
      </c>
      <c r="D70" t="n">
        <v>123</v>
      </c>
      <c r="E70" s="12" t="n">
        <v>57.3529411764706</v>
      </c>
      <c r="F70" s="12" t="n">
        <v>98.5294117647059</v>
      </c>
      <c r="G70" t="n">
        <v>84</v>
      </c>
      <c r="H70" t="n">
        <v>0</v>
      </c>
      <c r="I70" t="s">
        <v>355</v>
      </c>
      <c r="J70" s="10" t="n">
        <v>53.4545454545455</v>
      </c>
      <c r="K70" t="s">
        <v>45</v>
      </c>
      <c r="L70" t="s">
        <v>45</v>
      </c>
      <c r="M70" t="s">
        <v>95</v>
      </c>
    </row>
    <row r="71">
      <c r="A71" t="s">
        <v>30</v>
      </c>
      <c r="B71" t="s">
        <v>292</v>
      </c>
      <c r="C71" t="n">
        <v>204</v>
      </c>
      <c r="D71" t="n">
        <v>123</v>
      </c>
      <c r="E71" s="12" t="n">
        <v>71.078431372549</v>
      </c>
      <c r="F71" s="12" t="n">
        <v>99.5098039215686</v>
      </c>
      <c r="G71" t="n">
        <v>58</v>
      </c>
      <c r="H71" t="n">
        <v>0</v>
      </c>
      <c r="I71" t="s">
        <v>355</v>
      </c>
      <c r="J71" s="10" t="n">
        <v>40.0476190476191</v>
      </c>
      <c r="K71" t="s">
        <v>45</v>
      </c>
      <c r="L71" t="s">
        <v>45</v>
      </c>
      <c r="M71" t="s">
        <v>95</v>
      </c>
    </row>
    <row r="72">
      <c r="A72" t="s">
        <v>30</v>
      </c>
      <c r="B72" t="s">
        <v>295</v>
      </c>
      <c r="C72" t="n">
        <v>204</v>
      </c>
      <c r="D72" t="n">
        <v>123</v>
      </c>
      <c r="E72" s="12" t="n">
        <v>80.8823529411765</v>
      </c>
      <c r="F72" s="12" t="n">
        <v>99.5098039215686</v>
      </c>
      <c r="G72" t="n">
        <v>38</v>
      </c>
      <c r="H72" t="n">
        <v>0</v>
      </c>
      <c r="I72" t="s">
        <v>355</v>
      </c>
      <c r="J72" s="10" t="n">
        <v>26.7407407407407</v>
      </c>
      <c r="K72" t="s">
        <v>45</v>
      </c>
      <c r="L72" t="s">
        <v>45</v>
      </c>
      <c r="M72" t="s">
        <v>95</v>
      </c>
    </row>
    <row r="73">
      <c r="A73" t="s">
        <v>30</v>
      </c>
      <c r="B73" t="s">
        <v>298</v>
      </c>
      <c r="C73" t="n">
        <v>204</v>
      </c>
      <c r="D73" t="n">
        <v>123</v>
      </c>
      <c r="E73" s="12" t="n">
        <v>87.7450980392157</v>
      </c>
      <c r="F73" s="12" t="n">
        <v>100</v>
      </c>
      <c r="G73" t="n">
        <v>25</v>
      </c>
      <c r="H73" t="n">
        <v>0</v>
      </c>
      <c r="I73" t="s">
        <v>355</v>
      </c>
      <c r="J73" s="10" t="n">
        <v>16.025641025641</v>
      </c>
      <c r="K73" t="s">
        <v>45</v>
      </c>
      <c r="L73" t="s">
        <v>45</v>
      </c>
      <c r="M73" t="s">
        <v>95</v>
      </c>
    </row>
    <row r="74">
      <c r="A74" t="s">
        <v>30</v>
      </c>
      <c r="B74" t="s">
        <v>301</v>
      </c>
      <c r="C74" t="n">
        <v>204</v>
      </c>
      <c r="D74" t="n">
        <v>123</v>
      </c>
      <c r="E74" s="12" t="n">
        <v>92.6470588235294</v>
      </c>
      <c r="F74" s="12" t="n">
        <v>100</v>
      </c>
      <c r="G74" t="n">
        <v>15</v>
      </c>
      <c r="H74" t="n">
        <v>0</v>
      </c>
      <c r="I74" t="s">
        <v>356</v>
      </c>
      <c r="J74" s="10"/>
      <c r="K74" t="s">
        <v>45</v>
      </c>
      <c r="L74" t="s">
        <v>45</v>
      </c>
      <c r="M74" t="s">
        <v>95</v>
      </c>
    </row>
    <row r="75">
      <c r="A75" t="s">
        <v>30</v>
      </c>
      <c r="B75" t="s">
        <v>304</v>
      </c>
      <c r="C75" t="n">
        <v>204</v>
      </c>
      <c r="D75" t="n">
        <v>123</v>
      </c>
      <c r="E75" s="12" t="n">
        <v>95.0980392156863</v>
      </c>
      <c r="F75" s="12" t="n">
        <v>100</v>
      </c>
      <c r="G75" t="n">
        <v>10</v>
      </c>
      <c r="H75" t="n">
        <v>0</v>
      </c>
      <c r="I75" t="s">
        <v>356</v>
      </c>
      <c r="J75" s="10"/>
      <c r="K75" t="s">
        <v>357</v>
      </c>
      <c r="L75" t="s">
        <v>357</v>
      </c>
      <c r="M75" t="s">
        <v>95</v>
      </c>
    </row>
    <row r="76">
      <c r="A76" t="s">
        <v>31</v>
      </c>
      <c r="B76" t="s">
        <v>282</v>
      </c>
      <c r="C76" t="n">
        <v>149</v>
      </c>
      <c r="D76" t="n">
        <v>89</v>
      </c>
      <c r="E76" s="12" t="n">
        <v>18.7919463087248</v>
      </c>
      <c r="F76" s="12" t="n">
        <v>89.261744966443</v>
      </c>
      <c r="G76" t="n">
        <v>105</v>
      </c>
      <c r="H76" t="n">
        <v>0</v>
      </c>
      <c r="I76" t="s">
        <v>355</v>
      </c>
      <c r="J76" s="10" t="n">
        <v>63</v>
      </c>
      <c r="K76" t="s">
        <v>45</v>
      </c>
      <c r="L76" t="s">
        <v>45</v>
      </c>
      <c r="M76" t="s">
        <v>95</v>
      </c>
    </row>
    <row r="77">
      <c r="A77" t="s">
        <v>31</v>
      </c>
      <c r="B77" t="s">
        <v>286</v>
      </c>
      <c r="C77" t="n">
        <v>149</v>
      </c>
      <c r="D77" t="n">
        <v>89</v>
      </c>
      <c r="E77" s="12" t="n">
        <v>46.9798657718121</v>
      </c>
      <c r="F77" s="12" t="n">
        <v>98.6577181208054</v>
      </c>
      <c r="G77" t="n">
        <v>77</v>
      </c>
      <c r="H77" t="n">
        <v>0</v>
      </c>
      <c r="I77" t="s">
        <v>355</v>
      </c>
      <c r="J77" s="10" t="n">
        <v>48.2032520325203</v>
      </c>
      <c r="K77" t="s">
        <v>45</v>
      </c>
      <c r="L77" t="s">
        <v>45</v>
      </c>
      <c r="M77" t="s">
        <v>95</v>
      </c>
    </row>
    <row r="78">
      <c r="A78" t="s">
        <v>31</v>
      </c>
      <c r="B78" t="s">
        <v>289</v>
      </c>
      <c r="C78" t="n">
        <v>149</v>
      </c>
      <c r="D78" t="n">
        <v>89</v>
      </c>
      <c r="E78" s="12" t="n">
        <v>67.7852348993289</v>
      </c>
      <c r="F78" s="12" t="n">
        <v>100</v>
      </c>
      <c r="G78" t="n">
        <v>48</v>
      </c>
      <c r="H78" t="n">
        <v>0</v>
      </c>
      <c r="I78" t="s">
        <v>355</v>
      </c>
      <c r="J78" s="10" t="n">
        <v>31.1351351351351</v>
      </c>
      <c r="K78" t="s">
        <v>45</v>
      </c>
      <c r="L78" t="s">
        <v>45</v>
      </c>
      <c r="M78" t="s">
        <v>95</v>
      </c>
    </row>
    <row r="79">
      <c r="A79" t="s">
        <v>31</v>
      </c>
      <c r="B79" t="s">
        <v>292</v>
      </c>
      <c r="C79" t="n">
        <v>149</v>
      </c>
      <c r="D79" t="n">
        <v>89</v>
      </c>
      <c r="E79" s="12" t="n">
        <v>79.1946308724832</v>
      </c>
      <c r="F79" s="12" t="n">
        <v>100</v>
      </c>
      <c r="G79" t="n">
        <v>31</v>
      </c>
      <c r="H79" t="n">
        <v>0</v>
      </c>
      <c r="I79" t="s">
        <v>355</v>
      </c>
      <c r="J79" s="10" t="n">
        <v>21.3555555555556</v>
      </c>
      <c r="K79" t="s">
        <v>45</v>
      </c>
      <c r="L79" t="s">
        <v>45</v>
      </c>
      <c r="M79" t="s">
        <v>95</v>
      </c>
    </row>
    <row r="80">
      <c r="A80" t="s">
        <v>31</v>
      </c>
      <c r="B80" t="s">
        <v>295</v>
      </c>
      <c r="C80" t="n">
        <v>149</v>
      </c>
      <c r="D80" t="n">
        <v>89</v>
      </c>
      <c r="E80" s="12" t="n">
        <v>89.261744966443</v>
      </c>
      <c r="F80" s="12" t="n">
        <v>100</v>
      </c>
      <c r="G80" t="n">
        <v>16</v>
      </c>
      <c r="H80" t="n">
        <v>0</v>
      </c>
      <c r="I80" t="s">
        <v>356</v>
      </c>
      <c r="J80" s="10"/>
      <c r="K80" t="s">
        <v>45</v>
      </c>
      <c r="L80" t="s">
        <v>45</v>
      </c>
      <c r="M80" t="s">
        <v>95</v>
      </c>
    </row>
    <row r="81">
      <c r="A81" t="s">
        <v>31</v>
      </c>
      <c r="B81" t="s">
        <v>298</v>
      </c>
      <c r="C81" t="n">
        <v>149</v>
      </c>
      <c r="D81" t="n">
        <v>89</v>
      </c>
      <c r="E81" s="12" t="n">
        <v>97.3154362416107</v>
      </c>
      <c r="F81" s="12" t="n">
        <v>100</v>
      </c>
      <c r="G81" t="n">
        <v>4</v>
      </c>
      <c r="H81" t="n">
        <v>0</v>
      </c>
      <c r="I81" t="s">
        <v>358</v>
      </c>
      <c r="J81" s="10"/>
      <c r="K81" t="s">
        <v>288</v>
      </c>
      <c r="L81" t="s">
        <v>288</v>
      </c>
      <c r="M81" t="s">
        <v>95</v>
      </c>
    </row>
    <row r="82">
      <c r="A82" t="s">
        <v>31</v>
      </c>
      <c r="B82" t="s">
        <v>301</v>
      </c>
      <c r="C82" t="n">
        <v>149</v>
      </c>
      <c r="D82" t="n">
        <v>89</v>
      </c>
      <c r="E82" s="12" t="n">
        <v>100</v>
      </c>
      <c r="F82" s="12" t="n">
        <v>100</v>
      </c>
      <c r="G82" t="n">
        <v>0</v>
      </c>
      <c r="H82" t="n">
        <v>0</v>
      </c>
      <c r="I82" t="s">
        <v>343</v>
      </c>
      <c r="J82" s="10"/>
      <c r="K82" t="s">
        <v>95</v>
      </c>
      <c r="L82" t="s">
        <v>95</v>
      </c>
      <c r="M82" t="s">
        <v>359</v>
      </c>
    </row>
    <row r="83">
      <c r="A83" t="s">
        <v>31</v>
      </c>
      <c r="B83" t="s">
        <v>304</v>
      </c>
      <c r="C83" t="n">
        <v>149</v>
      </c>
      <c r="D83" t="n">
        <v>89</v>
      </c>
      <c r="E83" s="12" t="n">
        <v>100</v>
      </c>
      <c r="F83" s="12" t="n">
        <v>100</v>
      </c>
      <c r="G83" t="n">
        <v>0</v>
      </c>
      <c r="H83" t="n">
        <v>0</v>
      </c>
      <c r="I83" t="s">
        <v>343</v>
      </c>
      <c r="J83" s="10"/>
      <c r="K83" t="s">
        <v>95</v>
      </c>
      <c r="L83" t="s">
        <v>95</v>
      </c>
      <c r="M83" t="s">
        <v>359</v>
      </c>
    </row>
    <row r="85">
      <c r="A85" s="1" t="s">
        <v>360</v>
      </c>
    </row>
    <row r="86">
      <c r="A86" t="s">
        <v>211</v>
      </c>
      <c r="B86" t="s">
        <v>212</v>
      </c>
      <c r="C86" t="s">
        <v>202</v>
      </c>
      <c r="D86" t="s">
        <v>213</v>
      </c>
      <c r="E86" t="s">
        <v>215</v>
      </c>
      <c r="F86" t="s">
        <v>216</v>
      </c>
      <c r="G86" t="s">
        <v>219</v>
      </c>
    </row>
    <row r="87">
      <c r="A87" t="s">
        <v>230</v>
      </c>
      <c r="B87" t="s">
        <v>30</v>
      </c>
      <c r="C87" t="s">
        <v>207</v>
      </c>
      <c r="D87" t="n">
        <v>113</v>
      </c>
      <c r="E87" s="10" t="n">
        <v>-0.444256449233809</v>
      </c>
      <c r="F87" s="10" t="n">
        <v>-0.00365628276718667</v>
      </c>
      <c r="G87" t="s">
        <v>361</v>
      </c>
    </row>
    <row r="88">
      <c r="A88" t="s">
        <v>230</v>
      </c>
      <c r="B88" t="s">
        <v>30</v>
      </c>
      <c r="C88" t="s">
        <v>208</v>
      </c>
      <c r="D88" t="n">
        <v>113</v>
      </c>
      <c r="E88" s="10" t="n">
        <v>-0.454191883133946</v>
      </c>
      <c r="F88" s="10" t="n">
        <v>0.000863734839152004</v>
      </c>
      <c r="G88" t="s">
        <v>231</v>
      </c>
    </row>
    <row r="89">
      <c r="A89" t="s">
        <v>230</v>
      </c>
      <c r="B89" t="s">
        <v>31</v>
      </c>
      <c r="C89" t="s">
        <v>207</v>
      </c>
      <c r="D89" t="n">
        <v>81</v>
      </c>
      <c r="E89" s="10" t="n">
        <v>-0.307314500999247</v>
      </c>
      <c r="F89" s="10" t="n">
        <v>0.0345902249954245</v>
      </c>
      <c r="G89" t="s">
        <v>362</v>
      </c>
    </row>
    <row r="90">
      <c r="A90" t="s">
        <v>230</v>
      </c>
      <c r="B90" t="s">
        <v>31</v>
      </c>
      <c r="C90" t="s">
        <v>208</v>
      </c>
      <c r="D90" t="n">
        <v>82</v>
      </c>
      <c r="E90" s="10" t="n">
        <v>-0.297330739979047</v>
      </c>
      <c r="F90" s="10" t="n">
        <v>-0.00987637245789813</v>
      </c>
      <c r="G90" t="s">
        <v>363</v>
      </c>
    </row>
    <row r="91">
      <c r="A91" t="s">
        <v>237</v>
      </c>
      <c r="B91" t="s">
        <v>30</v>
      </c>
      <c r="C91" t="s">
        <v>207</v>
      </c>
      <c r="D91" t="n">
        <v>103</v>
      </c>
      <c r="E91" s="10" t="n">
        <v>0.434836825637256</v>
      </c>
      <c r="F91" s="10" t="n">
        <v>0.0370495306077591</v>
      </c>
      <c r="G91" t="s">
        <v>364</v>
      </c>
    </row>
    <row r="92">
      <c r="A92" t="s">
        <v>237</v>
      </c>
      <c r="B92" t="s">
        <v>30</v>
      </c>
      <c r="C92" t="s">
        <v>208</v>
      </c>
      <c r="D92" t="n">
        <v>101</v>
      </c>
      <c r="E92" s="10" t="n">
        <v>0.443911399965421</v>
      </c>
      <c r="F92" s="10" t="n">
        <v>-0.0410041813648108</v>
      </c>
      <c r="G92" t="s">
        <v>365</v>
      </c>
    </row>
    <row r="93">
      <c r="A93" t="s">
        <v>237</v>
      </c>
      <c r="B93" t="s">
        <v>31</v>
      </c>
      <c r="C93" t="s">
        <v>207</v>
      </c>
      <c r="D93" t="n">
        <v>74</v>
      </c>
      <c r="E93" s="10" t="n">
        <v>0.258979828213572</v>
      </c>
      <c r="F93" s="10" t="n">
        <v>0.00915247267375806</v>
      </c>
      <c r="G93" t="s">
        <v>366</v>
      </c>
    </row>
    <row r="94">
      <c r="A94" t="s">
        <v>237</v>
      </c>
      <c r="B94" t="s">
        <v>31</v>
      </c>
      <c r="C94" t="s">
        <v>208</v>
      </c>
      <c r="D94" t="n">
        <v>75</v>
      </c>
      <c r="E94" s="10" t="n">
        <v>0.224972674556581</v>
      </c>
      <c r="F94" s="10" t="n">
        <v>-0.0114539981978664</v>
      </c>
      <c r="G94" t="s">
        <v>367</v>
      </c>
    </row>
    <row r="95">
      <c r="A95" t="s">
        <v>244</v>
      </c>
      <c r="B95" t="s">
        <v>30</v>
      </c>
      <c r="C95" t="s">
        <v>207</v>
      </c>
      <c r="D95" t="n">
        <v>103</v>
      </c>
      <c r="E95" s="10" t="n">
        <v>-0.0389435352411281</v>
      </c>
      <c r="F95" s="10" t="n">
        <v>0.0215893461821627</v>
      </c>
      <c r="G95" t="s">
        <v>368</v>
      </c>
    </row>
    <row r="96">
      <c r="A96" t="s">
        <v>244</v>
      </c>
      <c r="B96" t="s">
        <v>30</v>
      </c>
      <c r="C96" t="s">
        <v>208</v>
      </c>
      <c r="D96" t="n">
        <v>101</v>
      </c>
      <c r="E96" s="10" t="n">
        <v>-0.0468574952375635</v>
      </c>
      <c r="F96" s="10" t="n">
        <v>-0.0267788689779247</v>
      </c>
      <c r="G96" t="s">
        <v>369</v>
      </c>
    </row>
    <row r="97">
      <c r="A97" t="s">
        <v>244</v>
      </c>
      <c r="B97" t="s">
        <v>31</v>
      </c>
      <c r="C97" t="s">
        <v>207</v>
      </c>
      <c r="D97" t="n">
        <v>74</v>
      </c>
      <c r="E97" s="10" t="n">
        <v>0.00287151008001373</v>
      </c>
      <c r="F97" s="10" t="n">
        <v>0.0200936614706188</v>
      </c>
      <c r="G97" t="s">
        <v>370</v>
      </c>
    </row>
    <row r="98">
      <c r="A98" t="s">
        <v>244</v>
      </c>
      <c r="B98" t="s">
        <v>31</v>
      </c>
      <c r="C98" t="s">
        <v>208</v>
      </c>
      <c r="D98" t="n">
        <v>75</v>
      </c>
      <c r="E98" s="10" t="n">
        <v>-0.0273466862733097</v>
      </c>
      <c r="F98" s="10" t="n">
        <v>-0.00659038563062949</v>
      </c>
      <c r="G98" t="s">
        <v>371</v>
      </c>
    </row>
    <row r="100">
      <c r="A100" s="1" t="s">
        <v>372</v>
      </c>
    </row>
    <row r="101">
      <c r="A101" t="s">
        <v>211</v>
      </c>
      <c r="B101" t="s">
        <v>212</v>
      </c>
      <c r="C101" t="s">
        <v>373</v>
      </c>
      <c r="D101" t="s">
        <v>374</v>
      </c>
      <c r="E101" t="s">
        <v>375</v>
      </c>
      <c r="F101" t="s">
        <v>376</v>
      </c>
    </row>
    <row r="102">
      <c r="A102" t="s">
        <v>230</v>
      </c>
      <c r="B102" t="s">
        <v>30</v>
      </c>
      <c r="C102" t="s">
        <v>377</v>
      </c>
      <c r="D102" t="n">
        <v>1</v>
      </c>
      <c r="E102" s="10" t="n">
        <v>1.37901881881176</v>
      </c>
      <c r="F102" s="10" t="n">
        <v>-1.0774075818199</v>
      </c>
    </row>
    <row r="103">
      <c r="A103" t="s">
        <v>230</v>
      </c>
      <c r="B103" t="s">
        <v>30</v>
      </c>
      <c r="C103" t="s">
        <v>377</v>
      </c>
      <c r="D103" t="n">
        <v>2</v>
      </c>
      <c r="E103" s="10" t="n">
        <v>0.6101049646137</v>
      </c>
      <c r="F103" s="10" t="n">
        <v>-1.3703181864639</v>
      </c>
    </row>
    <row r="104">
      <c r="A104" t="s">
        <v>230</v>
      </c>
      <c r="B104" t="s">
        <v>30</v>
      </c>
      <c r="C104" t="s">
        <v>377</v>
      </c>
      <c r="D104" t="n">
        <v>3</v>
      </c>
      <c r="E104" s="10" t="n">
        <v>-1.32251681765806</v>
      </c>
      <c r="F104" s="10" t="n">
        <v>-1.82028823734363</v>
      </c>
    </row>
    <row r="105">
      <c r="A105" t="s">
        <v>230</v>
      </c>
      <c r="B105" t="s">
        <v>30</v>
      </c>
      <c r="C105" t="s">
        <v>377</v>
      </c>
      <c r="D105" t="n">
        <v>4</v>
      </c>
      <c r="E105" s="10" t="n">
        <v>-2.11430839676829</v>
      </c>
      <c r="F105" s="10" t="n">
        <v>-0.769545322482755</v>
      </c>
    </row>
    <row r="106">
      <c r="A106" t="s">
        <v>230</v>
      </c>
      <c r="B106" t="s">
        <v>30</v>
      </c>
      <c r="C106" t="s">
        <v>377</v>
      </c>
      <c r="D106" t="n">
        <v>5</v>
      </c>
      <c r="E106" s="10" t="n">
        <v>-2.20083210165106</v>
      </c>
      <c r="F106" s="10" t="n">
        <v>-0.467801304339958</v>
      </c>
    </row>
    <row r="107">
      <c r="A107" t="s">
        <v>230</v>
      </c>
      <c r="B107" t="s">
        <v>30</v>
      </c>
      <c r="C107" t="s">
        <v>377</v>
      </c>
      <c r="D107" t="n">
        <v>6</v>
      </c>
      <c r="E107" s="10" t="n">
        <v>-2.42573931568999</v>
      </c>
      <c r="F107" s="10" t="n">
        <v>0.604804738999169</v>
      </c>
    </row>
    <row r="108">
      <c r="A108" t="s">
        <v>230</v>
      </c>
      <c r="B108" t="s">
        <v>30</v>
      </c>
      <c r="C108" t="s">
        <v>377</v>
      </c>
      <c r="D108" t="n">
        <v>7</v>
      </c>
      <c r="E108" s="10" t="n">
        <v>-2.15801940101595</v>
      </c>
      <c r="F108" s="10" t="n">
        <v>2.08397511137699</v>
      </c>
    </row>
    <row r="109">
      <c r="A109" t="s">
        <v>230</v>
      </c>
      <c r="B109" t="s">
        <v>30</v>
      </c>
      <c r="C109" t="s">
        <v>377</v>
      </c>
      <c r="D109" t="n">
        <v>8</v>
      </c>
      <c r="E109" s="10" t="n">
        <v>-1.69306905714556</v>
      </c>
      <c r="F109" s="10" t="n">
        <v>2.16702957241849</v>
      </c>
    </row>
    <row r="110">
      <c r="A110" t="s">
        <v>230</v>
      </c>
      <c r="B110" t="s">
        <v>30</v>
      </c>
      <c r="C110" t="s">
        <v>377</v>
      </c>
      <c r="D110" t="n">
        <v>9</v>
      </c>
      <c r="E110" s="10" t="n">
        <v>0.698991129338433</v>
      </c>
      <c r="F110" s="10" t="n">
        <v>1.0362969656938</v>
      </c>
    </row>
    <row r="111">
      <c r="A111" t="s">
        <v>230</v>
      </c>
      <c r="B111" t="s">
        <v>30</v>
      </c>
      <c r="C111" t="s">
        <v>377</v>
      </c>
      <c r="D111" t="n">
        <v>10</v>
      </c>
      <c r="E111" s="10" t="n">
        <v>1.74893394728342</v>
      </c>
      <c r="F111" s="10" t="n">
        <v>0.0610741192293767</v>
      </c>
    </row>
    <row r="112">
      <c r="A112" t="s">
        <v>230</v>
      </c>
      <c r="B112" t="s">
        <v>30</v>
      </c>
      <c r="C112" t="s">
        <v>378</v>
      </c>
      <c r="D112" t="n">
        <v>1</v>
      </c>
      <c r="E112" s="10" t="n">
        <v>-0.292365297839814</v>
      </c>
      <c r="F112" s="10" t="n">
        <v>-0.0174568025275274</v>
      </c>
    </row>
    <row r="113">
      <c r="A113" t="s">
        <v>230</v>
      </c>
      <c r="B113" t="s">
        <v>30</v>
      </c>
      <c r="C113" t="s">
        <v>378</v>
      </c>
      <c r="D113" t="n">
        <v>2</v>
      </c>
      <c r="E113" s="10" t="n">
        <v>-0.300904039472577</v>
      </c>
      <c r="F113" s="10" t="n">
        <v>-0.0240596353018834</v>
      </c>
    </row>
    <row r="114">
      <c r="A114" t="s">
        <v>230</v>
      </c>
      <c r="B114" t="s">
        <v>30</v>
      </c>
      <c r="C114" t="s">
        <v>378</v>
      </c>
      <c r="D114" t="n">
        <v>3</v>
      </c>
      <c r="E114" s="10" t="n">
        <v>-0.354511844926312</v>
      </c>
      <c r="F114" s="10" t="n">
        <v>-0.0432797940126833</v>
      </c>
    </row>
    <row r="115">
      <c r="A115" t="s">
        <v>230</v>
      </c>
      <c r="B115" t="s">
        <v>30</v>
      </c>
      <c r="C115" t="s">
        <v>378</v>
      </c>
      <c r="D115" t="n">
        <v>4</v>
      </c>
      <c r="E115" s="10" t="n">
        <v>-0.361573520795799</v>
      </c>
      <c r="F115" s="10" t="n">
        <v>-0.0448171670285675</v>
      </c>
    </row>
    <row r="116">
      <c r="A116" t="s">
        <v>230</v>
      </c>
      <c r="B116" t="s">
        <v>30</v>
      </c>
      <c r="C116" t="s">
        <v>378</v>
      </c>
      <c r="D116" t="n">
        <v>5</v>
      </c>
      <c r="E116" s="10" t="n">
        <v>-0.444453507294405</v>
      </c>
      <c r="F116" s="10" t="n">
        <v>-0.0557814935087598</v>
      </c>
    </row>
    <row r="117">
      <c r="A117" t="s">
        <v>230</v>
      </c>
      <c r="B117" t="s">
        <v>30</v>
      </c>
      <c r="C117" t="s">
        <v>378</v>
      </c>
      <c r="D117" t="n">
        <v>6</v>
      </c>
      <c r="E117" s="10" t="n">
        <v>-0.522477496799273</v>
      </c>
      <c r="F117" s="10" t="n">
        <v>-0.0502081323527465</v>
      </c>
    </row>
    <row r="118">
      <c r="A118" t="s">
        <v>230</v>
      </c>
      <c r="B118" t="s">
        <v>30</v>
      </c>
      <c r="C118" t="s">
        <v>378</v>
      </c>
      <c r="D118" t="n">
        <v>7</v>
      </c>
      <c r="E118" s="10" t="n">
        <v>-0.552334421967581</v>
      </c>
      <c r="F118" s="10" t="n">
        <v>-0.0443999480328784</v>
      </c>
    </row>
    <row r="119">
      <c r="A119" t="s">
        <v>230</v>
      </c>
      <c r="B119" t="s">
        <v>30</v>
      </c>
      <c r="C119" t="s">
        <v>378</v>
      </c>
      <c r="D119" t="n">
        <v>8</v>
      </c>
      <c r="E119" s="10" t="n">
        <v>-0.579051947964459</v>
      </c>
      <c r="F119" s="10" t="n">
        <v>-0.0319568178008838</v>
      </c>
    </row>
    <row r="120">
      <c r="A120" t="s">
        <v>230</v>
      </c>
      <c r="B120" t="s">
        <v>30</v>
      </c>
      <c r="C120" t="s">
        <v>378</v>
      </c>
      <c r="D120" t="n">
        <v>9</v>
      </c>
      <c r="E120" s="10" t="n">
        <v>-0.598786561007579</v>
      </c>
      <c r="F120" s="10" t="n">
        <v>-0.0220066135315992</v>
      </c>
    </row>
    <row r="121">
      <c r="A121" t="s">
        <v>230</v>
      </c>
      <c r="B121" t="s">
        <v>30</v>
      </c>
      <c r="C121" t="s">
        <v>378</v>
      </c>
      <c r="D121" t="n">
        <v>10</v>
      </c>
      <c r="E121" s="10" t="n">
        <v>-0.606597631514917</v>
      </c>
      <c r="F121" s="10" t="n">
        <v>-0.00105917200900068</v>
      </c>
    </row>
    <row r="122">
      <c r="A122" t="s">
        <v>230</v>
      </c>
      <c r="B122" t="s">
        <v>30</v>
      </c>
      <c r="C122" t="s">
        <v>378</v>
      </c>
      <c r="D122" t="n">
        <v>11</v>
      </c>
      <c r="E122" s="10" t="n">
        <v>-0.604687998935773</v>
      </c>
      <c r="F122" s="10" t="n">
        <v>0.0166902563968511</v>
      </c>
    </row>
    <row r="123">
      <c r="A123" t="s">
        <v>230</v>
      </c>
      <c r="B123" t="s">
        <v>30</v>
      </c>
      <c r="C123" t="s">
        <v>378</v>
      </c>
      <c r="D123" t="n">
        <v>12</v>
      </c>
      <c r="E123" s="10" t="n">
        <v>-0.57310549672665</v>
      </c>
      <c r="F123" s="10" t="n">
        <v>0.0371909891767541</v>
      </c>
    </row>
    <row r="124">
      <c r="A124" t="s">
        <v>230</v>
      </c>
      <c r="B124" t="s">
        <v>30</v>
      </c>
      <c r="C124" t="s">
        <v>378</v>
      </c>
      <c r="D124" t="n">
        <v>13</v>
      </c>
      <c r="E124" s="10" t="n">
        <v>-0.554477491914064</v>
      </c>
      <c r="F124" s="10" t="n">
        <v>0.0424292450943286</v>
      </c>
    </row>
    <row r="125">
      <c r="A125" t="s">
        <v>230</v>
      </c>
      <c r="B125" t="s">
        <v>30</v>
      </c>
      <c r="C125" t="s">
        <v>378</v>
      </c>
      <c r="D125" t="n">
        <v>14</v>
      </c>
      <c r="E125" s="10" t="n">
        <v>-0.528665429412693</v>
      </c>
      <c r="F125" s="10" t="n">
        <v>0.0470751631588772</v>
      </c>
    </row>
    <row r="126">
      <c r="A126" t="s">
        <v>230</v>
      </c>
      <c r="B126" t="s">
        <v>30</v>
      </c>
      <c r="C126" t="s">
        <v>378</v>
      </c>
      <c r="D126" t="n">
        <v>15</v>
      </c>
      <c r="E126" s="10" t="n">
        <v>-0.503417849771487</v>
      </c>
      <c r="F126" s="10" t="n">
        <v>0.0502817358380057</v>
      </c>
    </row>
    <row r="127">
      <c r="A127" t="s">
        <v>230</v>
      </c>
      <c r="B127" t="s">
        <v>30</v>
      </c>
      <c r="C127" t="s">
        <v>378</v>
      </c>
      <c r="D127" t="n">
        <v>16</v>
      </c>
      <c r="E127" s="10" t="n">
        <v>-0.421030004127735</v>
      </c>
      <c r="F127" s="10" t="n">
        <v>0.0534752772198934</v>
      </c>
    </row>
    <row r="128">
      <c r="A128" t="s">
        <v>230</v>
      </c>
      <c r="B128" t="s">
        <v>30</v>
      </c>
      <c r="C128" t="s">
        <v>378</v>
      </c>
      <c r="D128" t="n">
        <v>17</v>
      </c>
      <c r="E128" s="10" t="n">
        <v>-0.370654284291307</v>
      </c>
      <c r="F128" s="10" t="n">
        <v>0.0464987211095194</v>
      </c>
    </row>
    <row r="129">
      <c r="A129" t="s">
        <v>230</v>
      </c>
      <c r="B129" t="s">
        <v>30</v>
      </c>
      <c r="C129" t="s">
        <v>378</v>
      </c>
      <c r="D129" t="n">
        <v>18</v>
      </c>
      <c r="E129" s="10" t="n">
        <v>-0.346961108244021</v>
      </c>
      <c r="F129" s="10" t="n">
        <v>0.0403064043917476</v>
      </c>
    </row>
    <row r="130">
      <c r="A130" t="s">
        <v>230</v>
      </c>
      <c r="B130" t="s">
        <v>30</v>
      </c>
      <c r="C130" t="s">
        <v>378</v>
      </c>
      <c r="D130" t="n">
        <v>19</v>
      </c>
      <c r="E130" s="10" t="n">
        <v>-0.333564233353733</v>
      </c>
      <c r="F130" s="10" t="n">
        <v>0.036330677866637</v>
      </c>
    </row>
    <row r="131">
      <c r="A131" t="s">
        <v>230</v>
      </c>
      <c r="B131" t="s">
        <v>30</v>
      </c>
      <c r="C131" t="s">
        <v>378</v>
      </c>
      <c r="D131" t="n">
        <v>20</v>
      </c>
      <c r="E131" s="10" t="n">
        <v>-0.308599943260453</v>
      </c>
      <c r="F131" s="10" t="n">
        <v>0.0254084835048061</v>
      </c>
    </row>
    <row r="132">
      <c r="A132" t="s">
        <v>230</v>
      </c>
      <c r="B132" t="s">
        <v>30</v>
      </c>
      <c r="C132" t="s">
        <v>378</v>
      </c>
      <c r="D132" t="n">
        <v>21</v>
      </c>
      <c r="E132" s="10" t="n">
        <v>-0.293101601195438</v>
      </c>
      <c r="F132" s="10" t="n">
        <v>0.0078110365233509</v>
      </c>
    </row>
    <row r="133">
      <c r="A133" t="s">
        <v>230</v>
      </c>
      <c r="B133" t="s">
        <v>31</v>
      </c>
      <c r="C133" t="s">
        <v>377</v>
      </c>
      <c r="D133" t="n">
        <v>1</v>
      </c>
      <c r="E133" s="10" t="n">
        <v>1.14193182205325</v>
      </c>
      <c r="F133" s="10" t="n">
        <v>-0.50842080384475</v>
      </c>
    </row>
    <row r="134">
      <c r="A134" t="s">
        <v>230</v>
      </c>
      <c r="B134" t="s">
        <v>31</v>
      </c>
      <c r="C134" t="s">
        <v>377</v>
      </c>
      <c r="D134" t="n">
        <v>2</v>
      </c>
      <c r="E134" s="10" t="n">
        <v>0.342020143325669</v>
      </c>
      <c r="F134" s="10" t="n">
        <v>-0.939692620785908</v>
      </c>
    </row>
    <row r="135">
      <c r="A135" t="s">
        <v>230</v>
      </c>
      <c r="B135" t="s">
        <v>31</v>
      </c>
      <c r="C135" t="s">
        <v>377</v>
      </c>
      <c r="D135" t="n">
        <v>3</v>
      </c>
      <c r="E135" s="10" t="n">
        <v>-0.0348994967025008</v>
      </c>
      <c r="F135" s="10" t="n">
        <v>-0.999390827019096</v>
      </c>
    </row>
    <row r="136">
      <c r="A136" t="s">
        <v>230</v>
      </c>
      <c r="B136" t="s">
        <v>31</v>
      </c>
      <c r="C136" t="s">
        <v>377</v>
      </c>
      <c r="D136" t="n">
        <v>4</v>
      </c>
      <c r="E136" s="10" t="n">
        <v>-0.899174750423314</v>
      </c>
      <c r="F136" s="10" t="n">
        <v>-0.868322963073747</v>
      </c>
    </row>
    <row r="137">
      <c r="A137" t="s">
        <v>230</v>
      </c>
      <c r="B137" t="s">
        <v>31</v>
      </c>
      <c r="C137" t="s">
        <v>377</v>
      </c>
      <c r="D137" t="n">
        <v>5</v>
      </c>
      <c r="E137" s="10" t="n">
        <v>-1.69801752098299</v>
      </c>
      <c r="F137" s="10" t="n">
        <v>-0.423363317299419</v>
      </c>
    </row>
    <row r="138">
      <c r="A138" t="s">
        <v>230</v>
      </c>
      <c r="B138" t="s">
        <v>31</v>
      </c>
      <c r="C138" t="s">
        <v>377</v>
      </c>
      <c r="D138" t="n">
        <v>6</v>
      </c>
      <c r="E138" s="10" t="n">
        <v>-1.71175830128416</v>
      </c>
      <c r="F138" s="10" t="n">
        <v>-0.363845458931079</v>
      </c>
    </row>
    <row r="139">
      <c r="A139" t="s">
        <v>230</v>
      </c>
      <c r="B139" t="s">
        <v>31</v>
      </c>
      <c r="C139" t="s">
        <v>377</v>
      </c>
      <c r="D139" t="n">
        <v>7</v>
      </c>
      <c r="E139" s="10" t="n">
        <v>-1.73296912029775</v>
      </c>
      <c r="F139" s="10" t="n">
        <v>-0.243552926680115</v>
      </c>
    </row>
    <row r="140">
      <c r="A140" t="s">
        <v>230</v>
      </c>
      <c r="B140" t="s">
        <v>31</v>
      </c>
      <c r="C140" t="s">
        <v>377</v>
      </c>
      <c r="D140" t="n">
        <v>8</v>
      </c>
      <c r="E140" s="10" t="n">
        <v>-1.42658477444273</v>
      </c>
      <c r="F140" s="10" t="n">
        <v>0.463525491562421</v>
      </c>
    </row>
    <row r="141">
      <c r="A141" t="s">
        <v>230</v>
      </c>
      <c r="B141" t="s">
        <v>31</v>
      </c>
      <c r="C141" t="s">
        <v>377</v>
      </c>
      <c r="D141" t="n">
        <v>9</v>
      </c>
      <c r="E141" s="10" t="n">
        <v>-1.29903810567666</v>
      </c>
      <c r="F141" s="10" t="n">
        <v>0.75</v>
      </c>
    </row>
    <row r="142">
      <c r="A142" t="s">
        <v>230</v>
      </c>
      <c r="B142" t="s">
        <v>31</v>
      </c>
      <c r="C142" t="s">
        <v>377</v>
      </c>
      <c r="D142" t="n">
        <v>10</v>
      </c>
      <c r="E142" s="10" t="n">
        <v>-1.14906666467847</v>
      </c>
      <c r="F142" s="10" t="n">
        <v>0.964181414529809</v>
      </c>
    </row>
    <row r="143">
      <c r="A143" t="s">
        <v>230</v>
      </c>
      <c r="B143" t="s">
        <v>31</v>
      </c>
      <c r="C143" t="s">
        <v>377</v>
      </c>
      <c r="D143" t="n">
        <v>11</v>
      </c>
      <c r="E143" s="10" t="n">
        <v>-0.88167787843871</v>
      </c>
      <c r="F143" s="10" t="n">
        <v>1.21352549156242</v>
      </c>
    </row>
    <row r="144">
      <c r="A144" t="s">
        <v>230</v>
      </c>
      <c r="B144" t="s">
        <v>31</v>
      </c>
      <c r="C144" t="s">
        <v>377</v>
      </c>
      <c r="D144" t="n">
        <v>12</v>
      </c>
      <c r="E144" s="10" t="n">
        <v>0.130660579084567</v>
      </c>
      <c r="F144" s="10" t="n">
        <v>1.24315236921034</v>
      </c>
    </row>
    <row r="145">
      <c r="A145" t="s">
        <v>230</v>
      </c>
      <c r="B145" t="s">
        <v>31</v>
      </c>
      <c r="C145" t="s">
        <v>377</v>
      </c>
      <c r="D145" t="n">
        <v>13</v>
      </c>
      <c r="E145" s="10" t="n">
        <v>1.0362969656938</v>
      </c>
      <c r="F145" s="10" t="n">
        <v>0.698991129338433</v>
      </c>
    </row>
    <row r="146">
      <c r="A146" t="s">
        <v>230</v>
      </c>
      <c r="B146" t="s">
        <v>31</v>
      </c>
      <c r="C146" t="s">
        <v>377</v>
      </c>
      <c r="D146" t="n">
        <v>14</v>
      </c>
      <c r="E146" s="10" t="n">
        <v>1.2015771199229</v>
      </c>
      <c r="F146" s="10" t="n">
        <v>0.344546694771249</v>
      </c>
    </row>
    <row r="147">
      <c r="A147" t="s">
        <v>230</v>
      </c>
      <c r="B147" t="s">
        <v>31</v>
      </c>
      <c r="C147" t="s">
        <v>378</v>
      </c>
      <c r="D147" t="n">
        <v>1</v>
      </c>
      <c r="E147" s="10" t="n">
        <v>-0.127345643133006</v>
      </c>
      <c r="F147" s="10" t="n">
        <v>0.0134767319708526</v>
      </c>
    </row>
    <row r="148">
      <c r="A148" t="s">
        <v>230</v>
      </c>
      <c r="B148" t="s">
        <v>31</v>
      </c>
      <c r="C148" t="s">
        <v>378</v>
      </c>
      <c r="D148" t="n">
        <v>2</v>
      </c>
      <c r="E148" s="10" t="n">
        <v>-0.127813360024352</v>
      </c>
      <c r="F148" s="10" t="n">
        <v>-0.000276469172351587</v>
      </c>
    </row>
    <row r="149">
      <c r="A149" t="s">
        <v>230</v>
      </c>
      <c r="B149" t="s">
        <v>31</v>
      </c>
      <c r="C149" t="s">
        <v>378</v>
      </c>
      <c r="D149" t="n">
        <v>3</v>
      </c>
      <c r="E149" s="10" t="n">
        <v>-0.132586521080826</v>
      </c>
      <c r="F149" s="10" t="n">
        <v>-0.00459317888040013</v>
      </c>
    </row>
    <row r="150">
      <c r="A150" t="s">
        <v>230</v>
      </c>
      <c r="B150" t="s">
        <v>31</v>
      </c>
      <c r="C150" t="s">
        <v>378</v>
      </c>
      <c r="D150" t="n">
        <v>4</v>
      </c>
      <c r="E150" s="10" t="n">
        <v>-0.165810862276121</v>
      </c>
      <c r="F150" s="10" t="n">
        <v>-0.0186625438306136</v>
      </c>
    </row>
    <row r="151">
      <c r="A151" t="s">
        <v>230</v>
      </c>
      <c r="B151" t="s">
        <v>31</v>
      </c>
      <c r="C151" t="s">
        <v>378</v>
      </c>
      <c r="D151" t="n">
        <v>5</v>
      </c>
      <c r="E151" s="10" t="n">
        <v>-0.205843193880991</v>
      </c>
      <c r="F151" s="10" t="n">
        <v>-0.033269962897946</v>
      </c>
    </row>
    <row r="152">
      <c r="A152" t="s">
        <v>230</v>
      </c>
      <c r="B152" t="s">
        <v>31</v>
      </c>
      <c r="C152" t="s">
        <v>378</v>
      </c>
      <c r="D152" t="n">
        <v>6</v>
      </c>
      <c r="E152" s="10" t="n">
        <v>-0.265449215390725</v>
      </c>
      <c r="F152" s="10" t="n">
        <v>-0.0411246175535686</v>
      </c>
    </row>
    <row r="153">
      <c r="A153" t="s">
        <v>230</v>
      </c>
      <c r="B153" t="s">
        <v>31</v>
      </c>
      <c r="C153" t="s">
        <v>378</v>
      </c>
      <c r="D153" t="n">
        <v>7</v>
      </c>
      <c r="E153" s="10" t="n">
        <v>-0.36575699194625</v>
      </c>
      <c r="F153" s="10" t="n">
        <v>-0.0339625693961572</v>
      </c>
    </row>
    <row r="154">
      <c r="A154" t="s">
        <v>230</v>
      </c>
      <c r="B154" t="s">
        <v>31</v>
      </c>
      <c r="C154" t="s">
        <v>378</v>
      </c>
      <c r="D154" t="n">
        <v>8</v>
      </c>
      <c r="E154" s="10" t="n">
        <v>-0.446078146931909</v>
      </c>
      <c r="F154" s="10" t="n">
        <v>-0.0145298560793724</v>
      </c>
    </row>
    <row r="155">
      <c r="A155" t="s">
        <v>230</v>
      </c>
      <c r="B155" t="s">
        <v>31</v>
      </c>
      <c r="C155" t="s">
        <v>378</v>
      </c>
      <c r="D155" t="n">
        <v>9</v>
      </c>
      <c r="E155" s="10" t="n">
        <v>-0.474284435290395</v>
      </c>
      <c r="F155" s="10" t="n">
        <v>0.00265415400330335</v>
      </c>
    </row>
    <row r="156">
      <c r="A156" t="s">
        <v>230</v>
      </c>
      <c r="B156" t="s">
        <v>31</v>
      </c>
      <c r="C156" t="s">
        <v>378</v>
      </c>
      <c r="D156" t="n">
        <v>10</v>
      </c>
      <c r="E156" s="10" t="n">
        <v>-0.477953549656011</v>
      </c>
      <c r="F156" s="10" t="n">
        <v>0.0226081991197779</v>
      </c>
    </row>
    <row r="157">
      <c r="A157" t="s">
        <v>230</v>
      </c>
      <c r="B157" t="s">
        <v>31</v>
      </c>
      <c r="C157" t="s">
        <v>378</v>
      </c>
      <c r="D157" t="n">
        <v>11</v>
      </c>
      <c r="E157" s="10" t="n">
        <v>-0.452546211448458</v>
      </c>
      <c r="F157" s="10" t="n">
        <v>0.0385912449316514</v>
      </c>
    </row>
    <row r="158">
      <c r="A158" t="s">
        <v>230</v>
      </c>
      <c r="B158" t="s">
        <v>31</v>
      </c>
      <c r="C158" t="s">
        <v>378</v>
      </c>
      <c r="D158" t="n">
        <v>12</v>
      </c>
      <c r="E158" s="10" t="n">
        <v>-0.419188855494258</v>
      </c>
      <c r="F158" s="10" t="n">
        <v>0.0485463060762582</v>
      </c>
    </row>
    <row r="159">
      <c r="A159" t="s">
        <v>230</v>
      </c>
      <c r="B159" t="s">
        <v>31</v>
      </c>
      <c r="C159" t="s">
        <v>378</v>
      </c>
      <c r="D159" t="n">
        <v>13</v>
      </c>
      <c r="E159" s="10" t="n">
        <v>-0.378645436891948</v>
      </c>
      <c r="F159" s="10" t="n">
        <v>0.0605441621132405</v>
      </c>
    </row>
    <row r="160">
      <c r="A160" t="s">
        <v>230</v>
      </c>
      <c r="B160" t="s">
        <v>31</v>
      </c>
      <c r="C160" t="s">
        <v>378</v>
      </c>
      <c r="D160" t="n">
        <v>14</v>
      </c>
      <c r="E160" s="10" t="n">
        <v>-0.348240526384114</v>
      </c>
      <c r="F160" s="10" t="n">
        <v>0.0661100937717609</v>
      </c>
    </row>
    <row r="161">
      <c r="A161" t="s">
        <v>230</v>
      </c>
      <c r="B161" t="s">
        <v>31</v>
      </c>
      <c r="C161" t="s">
        <v>378</v>
      </c>
      <c r="D161" t="n">
        <v>15</v>
      </c>
      <c r="E161" s="10" t="n">
        <v>-0.249337942927069</v>
      </c>
      <c r="F161" s="10" t="n">
        <v>0.0641495898252007</v>
      </c>
    </row>
    <row r="162">
      <c r="A162" t="s">
        <v>230</v>
      </c>
      <c r="B162" t="s">
        <v>31</v>
      </c>
      <c r="C162" t="s">
        <v>378</v>
      </c>
      <c r="D162" t="n">
        <v>16</v>
      </c>
      <c r="E162" s="10" t="n">
        <v>-0.164204875486641</v>
      </c>
      <c r="F162" s="10" t="n">
        <v>0.0422853477737112</v>
      </c>
    </row>
    <row r="163">
      <c r="A163" t="s">
        <v>230</v>
      </c>
      <c r="B163" t="s">
        <v>31</v>
      </c>
      <c r="C163" t="s">
        <v>378</v>
      </c>
      <c r="D163" t="n">
        <v>17</v>
      </c>
      <c r="E163" s="10" t="n">
        <v>-0.145398419044472</v>
      </c>
      <c r="F163" s="10" t="n">
        <v>0.0293459051633365</v>
      </c>
    </row>
    <row r="164">
      <c r="A164" t="s">
        <v>237</v>
      </c>
      <c r="B164" t="s">
        <v>30</v>
      </c>
      <c r="C164" t="s">
        <v>377</v>
      </c>
      <c r="D164" t="n">
        <v>1</v>
      </c>
      <c r="E164" s="10" t="n">
        <v>2.3772049744105</v>
      </c>
      <c r="F164" s="10" t="n">
        <v>-1.63457808822739</v>
      </c>
    </row>
    <row r="165">
      <c r="A165" t="s">
        <v>237</v>
      </c>
      <c r="B165" t="s">
        <v>30</v>
      </c>
      <c r="C165" t="s">
        <v>377</v>
      </c>
      <c r="D165" t="n">
        <v>2</v>
      </c>
      <c r="E165" s="10" t="n">
        <v>1.01786860882461</v>
      </c>
      <c r="F165" s="10" t="n">
        <v>-1.79642519929459</v>
      </c>
    </row>
    <row r="166">
      <c r="A166" t="s">
        <v>237</v>
      </c>
      <c r="B166" t="s">
        <v>30</v>
      </c>
      <c r="C166" t="s">
        <v>377</v>
      </c>
      <c r="D166" t="n">
        <v>3</v>
      </c>
      <c r="E166" s="10" t="n">
        <v>-1.52054758287277</v>
      </c>
      <c r="F166" s="10" t="n">
        <v>-0.162758279998327</v>
      </c>
    </row>
    <row r="167">
      <c r="A167" t="s">
        <v>237</v>
      </c>
      <c r="B167" t="s">
        <v>30</v>
      </c>
      <c r="C167" t="s">
        <v>377</v>
      </c>
      <c r="D167" t="n">
        <v>4</v>
      </c>
      <c r="E167" s="10" t="n">
        <v>-0.6101049646137</v>
      </c>
      <c r="F167" s="10" t="n">
        <v>1.3703181864639</v>
      </c>
    </row>
    <row r="168">
      <c r="A168" t="s">
        <v>237</v>
      </c>
      <c r="B168" t="s">
        <v>30</v>
      </c>
      <c r="C168" t="s">
        <v>377</v>
      </c>
      <c r="D168" t="n">
        <v>5</v>
      </c>
      <c r="E168" s="10" t="n">
        <v>0.852957143946371</v>
      </c>
      <c r="F168" s="10" t="n">
        <v>1.81660799675889</v>
      </c>
    </row>
    <row r="169">
      <c r="A169" t="s">
        <v>237</v>
      </c>
      <c r="B169" t="s">
        <v>30</v>
      </c>
      <c r="C169" t="s">
        <v>377</v>
      </c>
      <c r="D169" t="n">
        <v>6</v>
      </c>
      <c r="E169" s="10" t="n">
        <v>1.0731258050931</v>
      </c>
      <c r="F169" s="10" t="n">
        <v>1.83772735577966</v>
      </c>
    </row>
    <row r="170">
      <c r="A170" t="s">
        <v>237</v>
      </c>
      <c r="B170" t="s">
        <v>30</v>
      </c>
      <c r="C170" t="s">
        <v>377</v>
      </c>
      <c r="D170" t="n">
        <v>7</v>
      </c>
      <c r="E170" s="10" t="n">
        <v>2.56370541991787</v>
      </c>
      <c r="F170" s="10" t="n">
        <v>0.550359749088215</v>
      </c>
    </row>
    <row r="171">
      <c r="A171" t="s">
        <v>237</v>
      </c>
      <c r="B171" t="s">
        <v>30</v>
      </c>
      <c r="C171" t="s">
        <v>378</v>
      </c>
      <c r="D171" t="n">
        <v>1</v>
      </c>
      <c r="E171" s="10" t="n">
        <v>0.596139096141341</v>
      </c>
      <c r="F171" s="10" t="n">
        <v>-0.00255376684508054</v>
      </c>
    </row>
    <row r="172">
      <c r="A172" t="s">
        <v>237</v>
      </c>
      <c r="B172" t="s">
        <v>30</v>
      </c>
      <c r="C172" t="s">
        <v>378</v>
      </c>
      <c r="D172" t="n">
        <v>2</v>
      </c>
      <c r="E172" s="10" t="n">
        <v>0.594026614751978</v>
      </c>
      <c r="F172" s="10" t="n">
        <v>-0.0118423806610552</v>
      </c>
    </row>
    <row r="173">
      <c r="A173" t="s">
        <v>237</v>
      </c>
      <c r="B173" t="s">
        <v>30</v>
      </c>
      <c r="C173" t="s">
        <v>378</v>
      </c>
      <c r="D173" t="n">
        <v>3</v>
      </c>
      <c r="E173" s="10" t="n">
        <v>0.58471213199589</v>
      </c>
      <c r="F173" s="10" t="n">
        <v>-0.0234025732536541</v>
      </c>
    </row>
    <row r="174">
      <c r="A174" t="s">
        <v>237</v>
      </c>
      <c r="B174" t="s">
        <v>30</v>
      </c>
      <c r="C174" t="s">
        <v>378</v>
      </c>
      <c r="D174" t="n">
        <v>4</v>
      </c>
      <c r="E174" s="10" t="n">
        <v>0.542790979997448</v>
      </c>
      <c r="F174" s="10" t="n">
        <v>-0.0400005874018896</v>
      </c>
    </row>
    <row r="175">
      <c r="A175" t="s">
        <v>237</v>
      </c>
      <c r="B175" t="s">
        <v>30</v>
      </c>
      <c r="C175" t="s">
        <v>378</v>
      </c>
      <c r="D175" t="n">
        <v>5</v>
      </c>
      <c r="E175" s="10" t="n">
        <v>0.506982982269256</v>
      </c>
      <c r="F175" s="10" t="n">
        <v>-0.046467775810933</v>
      </c>
    </row>
    <row r="176">
      <c r="A176" t="s">
        <v>237</v>
      </c>
      <c r="B176" t="s">
        <v>30</v>
      </c>
      <c r="C176" t="s">
        <v>378</v>
      </c>
      <c r="D176" t="n">
        <v>6</v>
      </c>
      <c r="E176" s="10" t="n">
        <v>0.455878996545624</v>
      </c>
      <c r="F176" s="10" t="n">
        <v>-0.0520407775409432</v>
      </c>
    </row>
    <row r="177">
      <c r="A177" t="s">
        <v>237</v>
      </c>
      <c r="B177" t="s">
        <v>30</v>
      </c>
      <c r="C177" t="s">
        <v>378</v>
      </c>
      <c r="D177" t="n">
        <v>7</v>
      </c>
      <c r="E177" s="10" t="n">
        <v>0.441790276380598</v>
      </c>
      <c r="F177" s="10" t="n">
        <v>-0.0513336894276964</v>
      </c>
    </row>
    <row r="178">
      <c r="A178" t="s">
        <v>237</v>
      </c>
      <c r="B178" t="s">
        <v>30</v>
      </c>
      <c r="C178" t="s">
        <v>378</v>
      </c>
      <c r="D178" t="n">
        <v>8</v>
      </c>
      <c r="E178" s="10" t="n">
        <v>0.393666561866038</v>
      </c>
      <c r="F178" s="10" t="n">
        <v>-0.048262282179047</v>
      </c>
    </row>
    <row r="179">
      <c r="A179" t="s">
        <v>237</v>
      </c>
      <c r="B179" t="s">
        <v>30</v>
      </c>
      <c r="C179" t="s">
        <v>378</v>
      </c>
      <c r="D179" t="n">
        <v>9</v>
      </c>
      <c r="E179" s="10" t="n">
        <v>0.368361952374526</v>
      </c>
      <c r="F179" s="10" t="n">
        <v>-0.0459742264632843</v>
      </c>
    </row>
    <row r="180">
      <c r="A180" t="s">
        <v>237</v>
      </c>
      <c r="B180" t="s">
        <v>30</v>
      </c>
      <c r="C180" t="s">
        <v>378</v>
      </c>
      <c r="D180" t="n">
        <v>10</v>
      </c>
      <c r="E180" s="10" t="n">
        <v>0.311571011896158</v>
      </c>
      <c r="F180" s="10" t="n">
        <v>-0.0315864005267635</v>
      </c>
    </row>
    <row r="181">
      <c r="A181" t="s">
        <v>237</v>
      </c>
      <c r="B181" t="s">
        <v>30</v>
      </c>
      <c r="C181" t="s">
        <v>378</v>
      </c>
      <c r="D181" t="n">
        <v>11</v>
      </c>
      <c r="E181" s="10" t="n">
        <v>0.301673388003631</v>
      </c>
      <c r="F181" s="10" t="n">
        <v>-0.025168952514427</v>
      </c>
    </row>
    <row r="182">
      <c r="A182" t="s">
        <v>237</v>
      </c>
      <c r="B182" t="s">
        <v>30</v>
      </c>
      <c r="C182" t="s">
        <v>378</v>
      </c>
      <c r="D182" t="n">
        <v>12</v>
      </c>
      <c r="E182" s="10" t="n">
        <v>0.296344042671111</v>
      </c>
      <c r="F182" s="10" t="n">
        <v>-0.0111507821680223</v>
      </c>
    </row>
    <row r="183">
      <c r="A183" t="s">
        <v>237</v>
      </c>
      <c r="B183" t="s">
        <v>30</v>
      </c>
      <c r="C183" t="s">
        <v>378</v>
      </c>
      <c r="D183" t="n">
        <v>13</v>
      </c>
      <c r="E183" s="10" t="n">
        <v>0.288878436930208</v>
      </c>
      <c r="F183" s="10" t="n">
        <v>0.0125047048435183</v>
      </c>
    </row>
    <row r="184">
      <c r="A184" t="s">
        <v>237</v>
      </c>
      <c r="B184" t="s">
        <v>30</v>
      </c>
      <c r="C184" t="s">
        <v>378</v>
      </c>
      <c r="D184" t="n">
        <v>14</v>
      </c>
      <c r="E184" s="10" t="n">
        <v>0.291200412401176</v>
      </c>
      <c r="F184" s="10" t="n">
        <v>0.0188330489718344</v>
      </c>
    </row>
    <row r="185">
      <c r="A185" t="s">
        <v>237</v>
      </c>
      <c r="B185" t="s">
        <v>30</v>
      </c>
      <c r="C185" t="s">
        <v>378</v>
      </c>
      <c r="D185" t="n">
        <v>15</v>
      </c>
      <c r="E185" s="10" t="n">
        <v>0.315541313022305</v>
      </c>
      <c r="F185" s="10" t="n">
        <v>0.0300066335181202</v>
      </c>
    </row>
    <row r="186">
      <c r="A186" t="s">
        <v>237</v>
      </c>
      <c r="B186" t="s">
        <v>30</v>
      </c>
      <c r="C186" t="s">
        <v>378</v>
      </c>
      <c r="D186" t="n">
        <v>16</v>
      </c>
      <c r="E186" s="10" t="n">
        <v>0.330463469854972</v>
      </c>
      <c r="F186" s="10" t="n">
        <v>0.0367898903243626</v>
      </c>
    </row>
    <row r="187">
      <c r="A187" t="s">
        <v>237</v>
      </c>
      <c r="B187" t="s">
        <v>30</v>
      </c>
      <c r="C187" t="s">
        <v>378</v>
      </c>
      <c r="D187" t="n">
        <v>17</v>
      </c>
      <c r="E187" s="10" t="n">
        <v>0.378874214009144</v>
      </c>
      <c r="F187" s="10" t="n">
        <v>0.0482048756531655</v>
      </c>
    </row>
    <row r="188">
      <c r="A188" t="s">
        <v>237</v>
      </c>
      <c r="B188" t="s">
        <v>30</v>
      </c>
      <c r="C188" t="s">
        <v>378</v>
      </c>
      <c r="D188" t="n">
        <v>18</v>
      </c>
      <c r="E188" s="10" t="n">
        <v>0.416749192307261</v>
      </c>
      <c r="F188" s="10" t="n">
        <v>0.0502385762129744</v>
      </c>
    </row>
    <row r="189">
      <c r="A189" t="s">
        <v>237</v>
      </c>
      <c r="B189" t="s">
        <v>30</v>
      </c>
      <c r="C189" t="s">
        <v>378</v>
      </c>
      <c r="D189" t="n">
        <v>19</v>
      </c>
      <c r="E189" s="10" t="n">
        <v>0.470994004984305</v>
      </c>
      <c r="F189" s="10" t="n">
        <v>0.0488653708471729</v>
      </c>
    </row>
    <row r="190">
      <c r="A190" t="s">
        <v>237</v>
      </c>
      <c r="B190" t="s">
        <v>30</v>
      </c>
      <c r="C190" t="s">
        <v>378</v>
      </c>
      <c r="D190" t="n">
        <v>20</v>
      </c>
      <c r="E190" s="10" t="n">
        <v>0.489826748123329</v>
      </c>
      <c r="F190" s="10" t="n">
        <v>0.046866152184477</v>
      </c>
    </row>
    <row r="191">
      <c r="A191" t="s">
        <v>237</v>
      </c>
      <c r="B191" t="s">
        <v>30</v>
      </c>
      <c r="C191" t="s">
        <v>378</v>
      </c>
      <c r="D191" t="n">
        <v>21</v>
      </c>
      <c r="E191" s="10" t="n">
        <v>0.535256033502817</v>
      </c>
      <c r="F191" s="10" t="n">
        <v>0.037043764646092</v>
      </c>
    </row>
    <row r="192">
      <c r="A192" t="s">
        <v>237</v>
      </c>
      <c r="B192" t="s">
        <v>30</v>
      </c>
      <c r="C192" t="s">
        <v>378</v>
      </c>
      <c r="D192" t="n">
        <v>22</v>
      </c>
      <c r="E192" s="10" t="n">
        <v>0.563596820778586</v>
      </c>
      <c r="F192" s="10" t="n">
        <v>0.0255921431098286</v>
      </c>
    </row>
    <row r="193">
      <c r="A193" t="s">
        <v>237</v>
      </c>
      <c r="B193" t="s">
        <v>31</v>
      </c>
      <c r="C193" t="s">
        <v>377</v>
      </c>
      <c r="D193" t="n">
        <v>1</v>
      </c>
      <c r="E193" s="10" t="n">
        <v>1.04237478086035</v>
      </c>
      <c r="F193" s="10" t="n">
        <v>-1.02201438078267</v>
      </c>
    </row>
    <row r="194">
      <c r="A194" t="s">
        <v>237</v>
      </c>
      <c r="B194" t="s">
        <v>31</v>
      </c>
      <c r="C194" t="s">
        <v>377</v>
      </c>
      <c r="D194" t="n">
        <v>2</v>
      </c>
      <c r="E194" s="10" t="n">
        <v>-0.165517569077118</v>
      </c>
      <c r="F194" s="10" t="n">
        <v>-1.24193513629763</v>
      </c>
    </row>
    <row r="195">
      <c r="A195" t="s">
        <v>237</v>
      </c>
      <c r="B195" t="s">
        <v>31</v>
      </c>
      <c r="C195" t="s">
        <v>377</v>
      </c>
      <c r="D195" t="n">
        <v>3</v>
      </c>
      <c r="E195" s="10" t="n">
        <v>-1.19931861233848</v>
      </c>
      <c r="F195" s="10" t="n">
        <v>-0.352975559825579</v>
      </c>
    </row>
    <row r="196">
      <c r="A196" t="s">
        <v>237</v>
      </c>
      <c r="B196" t="s">
        <v>31</v>
      </c>
      <c r="C196" t="s">
        <v>377</v>
      </c>
      <c r="D196" t="n">
        <v>4</v>
      </c>
      <c r="E196" s="10" t="n">
        <v>-1.2015771199229</v>
      </c>
      <c r="F196" s="10" t="n">
        <v>-0.344546694771249</v>
      </c>
    </row>
    <row r="197">
      <c r="A197" t="s">
        <v>237</v>
      </c>
      <c r="B197" t="s">
        <v>31</v>
      </c>
      <c r="C197" t="s">
        <v>377</v>
      </c>
      <c r="D197" t="n">
        <v>5</v>
      </c>
      <c r="E197" s="10" t="n">
        <v>-1.36264244602523</v>
      </c>
      <c r="F197" s="10" t="n">
        <v>1.26332352686447</v>
      </c>
    </row>
    <row r="198">
      <c r="A198" t="s">
        <v>237</v>
      </c>
      <c r="B198" t="s">
        <v>31</v>
      </c>
      <c r="C198" t="s">
        <v>377</v>
      </c>
      <c r="D198" t="n">
        <v>6</v>
      </c>
      <c r="E198" s="10" t="n">
        <v>0.936680235832775</v>
      </c>
      <c r="F198" s="10" t="n">
        <v>1.17055294030645</v>
      </c>
    </row>
    <row r="199">
      <c r="A199" t="s">
        <v>237</v>
      </c>
      <c r="B199" t="s">
        <v>31</v>
      </c>
      <c r="C199" t="s">
        <v>377</v>
      </c>
      <c r="D199" t="n">
        <v>7</v>
      </c>
      <c r="E199" s="10" t="n">
        <v>1.89159325136882</v>
      </c>
      <c r="F199" s="10" t="n">
        <v>0.537510051545829</v>
      </c>
    </row>
    <row r="200">
      <c r="A200" t="s">
        <v>237</v>
      </c>
      <c r="B200" t="s">
        <v>31</v>
      </c>
      <c r="C200" t="s">
        <v>377</v>
      </c>
      <c r="D200" t="n">
        <v>8</v>
      </c>
      <c r="E200" s="10" t="n">
        <v>1.98159959413982</v>
      </c>
      <c r="F200" s="10" t="n">
        <v>0.217420810863202</v>
      </c>
    </row>
    <row r="201">
      <c r="A201" t="s">
        <v>237</v>
      </c>
      <c r="B201" t="s">
        <v>31</v>
      </c>
      <c r="C201" t="s">
        <v>378</v>
      </c>
      <c r="D201" t="n">
        <v>1</v>
      </c>
      <c r="E201" s="10" t="n">
        <v>0.405276739050097</v>
      </c>
      <c r="F201" s="10" t="n">
        <v>-0.00835673652270155</v>
      </c>
    </row>
    <row r="202">
      <c r="A202" t="s">
        <v>237</v>
      </c>
      <c r="B202" t="s">
        <v>31</v>
      </c>
      <c r="C202" t="s">
        <v>378</v>
      </c>
      <c r="D202" t="n">
        <v>2</v>
      </c>
      <c r="E202" s="10" t="n">
        <v>0.405049288273427</v>
      </c>
      <c r="F202" s="10" t="n">
        <v>-0.012448713773771</v>
      </c>
    </row>
    <row r="203">
      <c r="A203" t="s">
        <v>237</v>
      </c>
      <c r="B203" t="s">
        <v>31</v>
      </c>
      <c r="C203" t="s">
        <v>378</v>
      </c>
      <c r="D203" t="n">
        <v>3</v>
      </c>
      <c r="E203" s="10" t="n">
        <v>0.341455819179964</v>
      </c>
      <c r="F203" s="10" t="n">
        <v>-0.0433078896159248</v>
      </c>
    </row>
    <row r="204">
      <c r="A204" t="s">
        <v>237</v>
      </c>
      <c r="B204" t="s">
        <v>31</v>
      </c>
      <c r="C204" t="s">
        <v>378</v>
      </c>
      <c r="D204" t="n">
        <v>4</v>
      </c>
      <c r="E204" s="10" t="n">
        <v>0.330195662532415</v>
      </c>
      <c r="F204" s="10" t="n">
        <v>-0.0478826092326527</v>
      </c>
    </row>
    <row r="205">
      <c r="A205" t="s">
        <v>237</v>
      </c>
      <c r="B205" t="s">
        <v>31</v>
      </c>
      <c r="C205" t="s">
        <v>378</v>
      </c>
      <c r="D205" t="n">
        <v>5</v>
      </c>
      <c r="E205" s="10" t="n">
        <v>0.308707365525541</v>
      </c>
      <c r="F205" s="10" t="n">
        <v>-0.052488449635247</v>
      </c>
    </row>
    <row r="206">
      <c r="A206" t="s">
        <v>237</v>
      </c>
      <c r="B206" t="s">
        <v>31</v>
      </c>
      <c r="C206" t="s">
        <v>378</v>
      </c>
      <c r="D206" t="n">
        <v>6</v>
      </c>
      <c r="E206" s="10" t="n">
        <v>0.28031151802316</v>
      </c>
      <c r="F206" s="10" t="n">
        <v>-0.0581585460999736</v>
      </c>
    </row>
    <row r="207">
      <c r="A207" t="s">
        <v>237</v>
      </c>
      <c r="B207" t="s">
        <v>31</v>
      </c>
      <c r="C207" t="s">
        <v>378</v>
      </c>
      <c r="D207" t="n">
        <v>7</v>
      </c>
      <c r="E207" s="10" t="n">
        <v>0.240338969693806</v>
      </c>
      <c r="F207" s="10" t="n">
        <v>-0.0600116771861176</v>
      </c>
    </row>
    <row r="208">
      <c r="A208" t="s">
        <v>237</v>
      </c>
      <c r="B208" t="s">
        <v>31</v>
      </c>
      <c r="C208" t="s">
        <v>378</v>
      </c>
      <c r="D208" t="n">
        <v>8</v>
      </c>
      <c r="E208" s="10" t="n">
        <v>0.143537529185118</v>
      </c>
      <c r="F208" s="10" t="n">
        <v>-0.0481253668184539</v>
      </c>
    </row>
    <row r="209">
      <c r="A209" t="s">
        <v>237</v>
      </c>
      <c r="B209" t="s">
        <v>31</v>
      </c>
      <c r="C209" t="s">
        <v>378</v>
      </c>
      <c r="D209" t="n">
        <v>9</v>
      </c>
      <c r="E209" s="10" t="n">
        <v>0.136442234007311</v>
      </c>
      <c r="F209" s="10" t="n">
        <v>-0.0452162960080912</v>
      </c>
    </row>
    <row r="210">
      <c r="A210" t="s">
        <v>237</v>
      </c>
      <c r="B210" t="s">
        <v>31</v>
      </c>
      <c r="C210" t="s">
        <v>378</v>
      </c>
      <c r="D210" t="n">
        <v>10</v>
      </c>
      <c r="E210" s="10" t="n">
        <v>0.100651243459558</v>
      </c>
      <c r="F210" s="10" t="n">
        <v>-0.0299035165366168</v>
      </c>
    </row>
    <row r="211">
      <c r="A211" t="s">
        <v>237</v>
      </c>
      <c r="B211" t="s">
        <v>31</v>
      </c>
      <c r="C211" t="s">
        <v>378</v>
      </c>
      <c r="D211" t="n">
        <v>11</v>
      </c>
      <c r="E211" s="10" t="n">
        <v>0.0856476937437729</v>
      </c>
      <c r="F211" s="10" t="n">
        <v>-0.0193556205781524</v>
      </c>
    </row>
    <row r="212">
      <c r="A212" t="s">
        <v>237</v>
      </c>
      <c r="B212" t="s">
        <v>31</v>
      </c>
      <c r="C212" t="s">
        <v>378</v>
      </c>
      <c r="D212" t="n">
        <v>12</v>
      </c>
      <c r="E212" s="10" t="n">
        <v>0.0711084940954346</v>
      </c>
      <c r="F212" s="10" t="n">
        <v>0.0017684342238902</v>
      </c>
    </row>
    <row r="213">
      <c r="A213" t="s">
        <v>237</v>
      </c>
      <c r="B213" t="s">
        <v>31</v>
      </c>
      <c r="C213" t="s">
        <v>378</v>
      </c>
      <c r="D213" t="n">
        <v>13</v>
      </c>
      <c r="E213" s="10" t="n">
        <v>0.0887318592443701</v>
      </c>
      <c r="F213" s="10" t="n">
        <v>0.0207069715035603</v>
      </c>
    </row>
    <row r="214">
      <c r="A214" t="s">
        <v>237</v>
      </c>
      <c r="B214" t="s">
        <v>31</v>
      </c>
      <c r="C214" t="s">
        <v>378</v>
      </c>
      <c r="D214" t="n">
        <v>14</v>
      </c>
      <c r="E214" s="10" t="n">
        <v>0.138125703331086</v>
      </c>
      <c r="F214" s="10" t="n">
        <v>0.0432225961051071</v>
      </c>
    </row>
    <row r="215">
      <c r="A215" t="s">
        <v>237</v>
      </c>
      <c r="B215" t="s">
        <v>31</v>
      </c>
      <c r="C215" t="s">
        <v>378</v>
      </c>
      <c r="D215" t="n">
        <v>15</v>
      </c>
      <c r="E215" s="10" t="n">
        <v>0.198697380078059</v>
      </c>
      <c r="F215" s="10" t="n">
        <v>0.0585935777303038</v>
      </c>
    </row>
    <row r="216">
      <c r="A216" t="s">
        <v>237</v>
      </c>
      <c r="B216" t="s">
        <v>31</v>
      </c>
      <c r="C216" t="s">
        <v>378</v>
      </c>
      <c r="D216" t="n">
        <v>16</v>
      </c>
      <c r="E216" s="10" t="n">
        <v>0.259289353030893</v>
      </c>
      <c r="F216" s="10" t="n">
        <v>0.0584819612391503</v>
      </c>
    </row>
    <row r="217">
      <c r="A217" t="s">
        <v>237</v>
      </c>
      <c r="B217" t="s">
        <v>31</v>
      </c>
      <c r="C217" t="s">
        <v>378</v>
      </c>
      <c r="D217" t="n">
        <v>17</v>
      </c>
      <c r="E217" s="10" t="n">
        <v>0.308810453909739</v>
      </c>
      <c r="F217" s="10" t="n">
        <v>0.0502750587981572</v>
      </c>
    </row>
    <row r="218">
      <c r="A218" t="s">
        <v>237</v>
      </c>
      <c r="B218" t="s">
        <v>31</v>
      </c>
      <c r="C218" t="s">
        <v>378</v>
      </c>
      <c r="D218" t="n">
        <v>18</v>
      </c>
      <c r="E218" s="10" t="n">
        <v>0.330312503155611</v>
      </c>
      <c r="F218" s="10" t="n">
        <v>0.046579091255422</v>
      </c>
    </row>
    <row r="219">
      <c r="A219" t="s">
        <v>237</v>
      </c>
      <c r="B219" t="s">
        <v>31</v>
      </c>
      <c r="C219" t="s">
        <v>378</v>
      </c>
      <c r="D219" t="n">
        <v>19</v>
      </c>
      <c r="E219" s="10" t="n">
        <v>0.36624076094113</v>
      </c>
      <c r="F219" s="10" t="n">
        <v>0.0346535072362741</v>
      </c>
    </row>
    <row r="220">
      <c r="A220" t="s">
        <v>237</v>
      </c>
      <c r="B220" t="s">
        <v>31</v>
      </c>
      <c r="C220" t="s">
        <v>378</v>
      </c>
      <c r="D220" t="n">
        <v>20</v>
      </c>
      <c r="E220" s="10" t="n">
        <v>0.401472914052099</v>
      </c>
      <c r="F220" s="10" t="n">
        <v>0.015816485819273</v>
      </c>
    </row>
    <row r="221">
      <c r="A221" t="s">
        <v>237</v>
      </c>
      <c r="B221" t="s">
        <v>31</v>
      </c>
      <c r="C221" t="s">
        <v>378</v>
      </c>
      <c r="D221" t="n">
        <v>21</v>
      </c>
      <c r="E221" s="10" t="n">
        <v>0.405604085628625</v>
      </c>
      <c r="F221" s="10" t="n">
        <v>-0.000757423549077257</v>
      </c>
    </row>
    <row r="222">
      <c r="A222" t="s">
        <v>244</v>
      </c>
      <c r="B222" t="s">
        <v>30</v>
      </c>
      <c r="C222" t="s">
        <v>377</v>
      </c>
      <c r="D222" t="n">
        <v>1</v>
      </c>
      <c r="E222" s="10" t="n">
        <v>0.4567727288213</v>
      </c>
      <c r="F222" s="10" t="n">
        <v>-0.2033683215379</v>
      </c>
    </row>
    <row r="223">
      <c r="A223" t="s">
        <v>244</v>
      </c>
      <c r="B223" t="s">
        <v>30</v>
      </c>
      <c r="C223" t="s">
        <v>377</v>
      </c>
      <c r="D223" t="n">
        <v>2</v>
      </c>
      <c r="E223" s="10" t="n">
        <v>0.375</v>
      </c>
      <c r="F223" s="10" t="n">
        <v>-0.649519052838329</v>
      </c>
    </row>
    <row r="224">
      <c r="A224" t="s">
        <v>244</v>
      </c>
      <c r="B224" t="s">
        <v>30</v>
      </c>
      <c r="C224" t="s">
        <v>377</v>
      </c>
      <c r="D224" t="n">
        <v>3</v>
      </c>
      <c r="E224" s="10" t="n">
        <v>-0.0783963474507407</v>
      </c>
      <c r="F224" s="10" t="n">
        <v>-0.745891421526205</v>
      </c>
    </row>
    <row r="225">
      <c r="A225" t="s">
        <v>244</v>
      </c>
      <c r="B225" t="s">
        <v>30</v>
      </c>
      <c r="C225" t="s">
        <v>377</v>
      </c>
      <c r="D225" t="n">
        <v>4</v>
      </c>
      <c r="E225" s="10" t="n">
        <v>-0.749543120264322</v>
      </c>
      <c r="F225" s="10" t="n">
        <v>-0.0261746225268759</v>
      </c>
    </row>
    <row r="226">
      <c r="A226" t="s">
        <v>244</v>
      </c>
      <c r="B226" t="s">
        <v>30</v>
      </c>
      <c r="C226" t="s">
        <v>377</v>
      </c>
      <c r="D226" t="n">
        <v>5</v>
      </c>
      <c r="E226" s="10" t="n">
        <v>-0.334565303179429</v>
      </c>
      <c r="F226" s="10" t="n">
        <v>0.371572412738697</v>
      </c>
    </row>
    <row r="227">
      <c r="A227" t="s">
        <v>244</v>
      </c>
      <c r="B227" t="s">
        <v>30</v>
      </c>
      <c r="C227" t="s">
        <v>377</v>
      </c>
      <c r="D227" t="n">
        <v>6</v>
      </c>
      <c r="E227" s="10" t="n">
        <v>0.104379825720049</v>
      </c>
      <c r="F227" s="10" t="n">
        <v>0.742701051556178</v>
      </c>
    </row>
    <row r="228">
      <c r="A228" t="s">
        <v>244</v>
      </c>
      <c r="B228" t="s">
        <v>30</v>
      </c>
      <c r="C228" t="s">
        <v>377</v>
      </c>
      <c r="D228" t="n">
        <v>7</v>
      </c>
      <c r="E228" s="10" t="n">
        <v>0.424024048078213</v>
      </c>
      <c r="F228" s="10" t="n">
        <v>0.264959632116602</v>
      </c>
    </row>
    <row r="229">
      <c r="A229" t="s">
        <v>244</v>
      </c>
      <c r="B229" t="s">
        <v>30</v>
      </c>
      <c r="C229" t="s">
        <v>378</v>
      </c>
      <c r="D229" t="n">
        <v>1</v>
      </c>
      <c r="E229" s="10" t="n">
        <v>0.00133128185154727</v>
      </c>
      <c r="F229" s="10" t="n">
        <v>-0.0106907892300813</v>
      </c>
    </row>
    <row r="230">
      <c r="A230" t="s">
        <v>244</v>
      </c>
      <c r="B230" t="s">
        <v>30</v>
      </c>
      <c r="C230" t="s">
        <v>378</v>
      </c>
      <c r="D230" t="n">
        <v>2</v>
      </c>
      <c r="E230" s="10" t="n">
        <v>-0.0028360209110584</v>
      </c>
      <c r="F230" s="10" t="n">
        <v>-0.0272384348408229</v>
      </c>
    </row>
    <row r="231">
      <c r="A231" t="s">
        <v>244</v>
      </c>
      <c r="B231" t="s">
        <v>30</v>
      </c>
      <c r="C231" t="s">
        <v>378</v>
      </c>
      <c r="D231" t="n">
        <v>3</v>
      </c>
      <c r="E231" s="10" t="n">
        <v>-0.0285259607389226</v>
      </c>
      <c r="F231" s="10" t="n">
        <v>-0.038104046767682</v>
      </c>
    </row>
    <row r="232">
      <c r="A232" t="s">
        <v>244</v>
      </c>
      <c r="B232" t="s">
        <v>30</v>
      </c>
      <c r="C232" t="s">
        <v>378</v>
      </c>
      <c r="D232" t="n">
        <v>4</v>
      </c>
      <c r="E232" s="10" t="n">
        <v>-0.0448412386755281</v>
      </c>
      <c r="F232" s="10" t="n">
        <v>-0.038547567477403</v>
      </c>
    </row>
    <row r="233">
      <c r="A233" t="s">
        <v>244</v>
      </c>
      <c r="B233" t="s">
        <v>30</v>
      </c>
      <c r="C233" t="s">
        <v>378</v>
      </c>
      <c r="D233" t="n">
        <v>5</v>
      </c>
      <c r="E233" s="10" t="n">
        <v>-0.0587101243293627</v>
      </c>
      <c r="F233" s="10" t="n">
        <v>-0.0324434261548483</v>
      </c>
    </row>
    <row r="234">
      <c r="A234" t="s">
        <v>244</v>
      </c>
      <c r="B234" t="s">
        <v>30</v>
      </c>
      <c r="C234" t="s">
        <v>378</v>
      </c>
      <c r="D234" t="n">
        <v>6</v>
      </c>
      <c r="E234" s="10" t="n">
        <v>-0.0764756314402544</v>
      </c>
      <c r="F234" s="10" t="n">
        <v>-0.023264126137415</v>
      </c>
    </row>
    <row r="235">
      <c r="A235" t="s">
        <v>244</v>
      </c>
      <c r="B235" t="s">
        <v>30</v>
      </c>
      <c r="C235" t="s">
        <v>378</v>
      </c>
      <c r="D235" t="n">
        <v>7</v>
      </c>
      <c r="E235" s="10" t="n">
        <v>-0.0875183452266993</v>
      </c>
      <c r="F235" s="10" t="n">
        <v>-0.006472179309915</v>
      </c>
    </row>
    <row r="236">
      <c r="A236" t="s">
        <v>244</v>
      </c>
      <c r="B236" t="s">
        <v>30</v>
      </c>
      <c r="C236" t="s">
        <v>378</v>
      </c>
      <c r="D236" t="n">
        <v>8</v>
      </c>
      <c r="E236" s="10" t="n">
        <v>-0.0897327833283827</v>
      </c>
      <c r="F236" s="10" t="n">
        <v>0.00561602071819871</v>
      </c>
    </row>
    <row r="237">
      <c r="A237" t="s">
        <v>244</v>
      </c>
      <c r="B237" t="s">
        <v>30</v>
      </c>
      <c r="C237" t="s">
        <v>378</v>
      </c>
      <c r="D237" t="n">
        <v>9</v>
      </c>
      <c r="E237" s="10" t="n">
        <v>-0.0866378517358374</v>
      </c>
      <c r="F237" s="10" t="n">
        <v>0.0167362353298749</v>
      </c>
    </row>
    <row r="238">
      <c r="A238" t="s">
        <v>244</v>
      </c>
      <c r="B238" t="s">
        <v>30</v>
      </c>
      <c r="C238" t="s">
        <v>378</v>
      </c>
      <c r="D238" t="n">
        <v>10</v>
      </c>
      <c r="E238" s="10" t="n">
        <v>-0.0860283806112462</v>
      </c>
      <c r="F238" s="10" t="n">
        <v>0.01816725273044</v>
      </c>
    </row>
    <row r="239">
      <c r="A239" t="s">
        <v>244</v>
      </c>
      <c r="B239" t="s">
        <v>30</v>
      </c>
      <c r="C239" t="s">
        <v>378</v>
      </c>
      <c r="D239" t="n">
        <v>11</v>
      </c>
      <c r="E239" s="10" t="n">
        <v>-0.0773007067257197</v>
      </c>
      <c r="F239" s="10" t="n">
        <v>0.0257069825903956</v>
      </c>
    </row>
    <row r="240">
      <c r="A240" t="s">
        <v>244</v>
      </c>
      <c r="B240" t="s">
        <v>30</v>
      </c>
      <c r="C240" t="s">
        <v>378</v>
      </c>
      <c r="D240" t="n">
        <v>12</v>
      </c>
      <c r="E240" s="10" t="n">
        <v>-0.0730503249947598</v>
      </c>
      <c r="F240" s="10" t="n">
        <v>0.0281343930301848</v>
      </c>
    </row>
    <row r="241">
      <c r="A241" t="s">
        <v>244</v>
      </c>
      <c r="B241" t="s">
        <v>30</v>
      </c>
      <c r="C241" t="s">
        <v>378</v>
      </c>
      <c r="D241" t="n">
        <v>13</v>
      </c>
      <c r="E241" s="10" t="n">
        <v>-0.0570739863943631</v>
      </c>
      <c r="F241" s="10" t="n">
        <v>0.0338005259717659</v>
      </c>
    </row>
    <row r="242">
      <c r="A242" t="s">
        <v>244</v>
      </c>
      <c r="B242" t="s">
        <v>30</v>
      </c>
      <c r="C242" t="s">
        <v>378</v>
      </c>
      <c r="D242" t="n">
        <v>14</v>
      </c>
      <c r="E242" s="10" t="n">
        <v>-0.0409186715036151</v>
      </c>
      <c r="F242" s="10" t="n">
        <v>0.0352107575464934</v>
      </c>
    </row>
    <row r="243">
      <c r="A243" t="s">
        <v>244</v>
      </c>
      <c r="B243" t="s">
        <v>30</v>
      </c>
      <c r="C243" t="s">
        <v>378</v>
      </c>
      <c r="D243" t="n">
        <v>15</v>
      </c>
      <c r="E243" s="10" t="n">
        <v>-0.0150960283317239</v>
      </c>
      <c r="F243" s="10" t="n">
        <v>0.0245568947775629</v>
      </c>
    </row>
    <row r="244">
      <c r="A244" t="s">
        <v>244</v>
      </c>
      <c r="B244" t="s">
        <v>30</v>
      </c>
      <c r="C244" t="s">
        <v>378</v>
      </c>
      <c r="D244" t="n">
        <v>16</v>
      </c>
      <c r="E244" s="10" t="n">
        <v>-0.00223045373403414</v>
      </c>
      <c r="F244" s="10" t="n">
        <v>0.00884198138923288</v>
      </c>
    </row>
    <row r="245">
      <c r="A245" t="s">
        <v>244</v>
      </c>
      <c r="B245" t="s">
        <v>30</v>
      </c>
      <c r="C245" t="s">
        <v>378</v>
      </c>
      <c r="D245" t="n">
        <v>17</v>
      </c>
      <c r="E245" s="10" t="n">
        <v>-0.00129498618230387</v>
      </c>
      <c r="F245" s="10" t="n">
        <v>0.00733333907958013</v>
      </c>
    </row>
    <row r="246">
      <c r="A246" t="s">
        <v>244</v>
      </c>
      <c r="B246" t="s">
        <v>30</v>
      </c>
      <c r="C246" t="s">
        <v>378</v>
      </c>
      <c r="D246" t="n">
        <v>18</v>
      </c>
      <c r="E246" s="10" t="n">
        <v>-0.000303770901091031</v>
      </c>
      <c r="F246" s="10" t="n">
        <v>0.00318987198895566</v>
      </c>
    </row>
    <row r="247">
      <c r="A247" t="s">
        <v>244</v>
      </c>
      <c r="B247" t="s">
        <v>31</v>
      </c>
      <c r="C247" t="s">
        <v>377</v>
      </c>
      <c r="D247" t="n">
        <v>1</v>
      </c>
      <c r="E247" s="10" t="n">
        <v>0.497260947684137</v>
      </c>
      <c r="F247" s="10" t="n">
        <v>0.0522642316338267</v>
      </c>
    </row>
    <row r="248">
      <c r="A248" t="s">
        <v>244</v>
      </c>
      <c r="B248" t="s">
        <v>31</v>
      </c>
      <c r="C248" t="s">
        <v>377</v>
      </c>
      <c r="D248" t="n">
        <v>2</v>
      </c>
      <c r="E248" s="10" t="n">
        <v>0.485147863137998</v>
      </c>
      <c r="F248" s="10" t="n">
        <v>-0.120960947799834</v>
      </c>
    </row>
    <row r="249">
      <c r="A249" t="s">
        <v>244</v>
      </c>
      <c r="B249" t="s">
        <v>31</v>
      </c>
      <c r="C249" t="s">
        <v>377</v>
      </c>
      <c r="D249" t="n">
        <v>3</v>
      </c>
      <c r="E249" s="10" t="n">
        <v>0.383022221559489</v>
      </c>
      <c r="F249" s="10" t="n">
        <v>-0.32139380484327</v>
      </c>
    </row>
    <row r="250">
      <c r="A250" t="s">
        <v>244</v>
      </c>
      <c r="B250" t="s">
        <v>31</v>
      </c>
      <c r="C250" t="s">
        <v>377</v>
      </c>
      <c r="D250" t="n">
        <v>4</v>
      </c>
      <c r="E250" s="10" t="n">
        <v>0.130236133250197</v>
      </c>
      <c r="F250" s="10" t="n">
        <v>-0.738605814759156</v>
      </c>
    </row>
    <row r="251">
      <c r="A251" t="s">
        <v>244</v>
      </c>
      <c r="B251" t="s">
        <v>31</v>
      </c>
      <c r="C251" t="s">
        <v>377</v>
      </c>
      <c r="D251" t="n">
        <v>5</v>
      </c>
      <c r="E251" s="10" t="n">
        <v>-0.359669900169326</v>
      </c>
      <c r="F251" s="10" t="n">
        <v>-0.347329185229499</v>
      </c>
    </row>
    <row r="252">
      <c r="A252" t="s">
        <v>244</v>
      </c>
      <c r="B252" t="s">
        <v>31</v>
      </c>
      <c r="C252" t="s">
        <v>377</v>
      </c>
      <c r="D252" t="n">
        <v>6</v>
      </c>
      <c r="E252" s="10" t="n">
        <v>-0.495134034370785</v>
      </c>
      <c r="F252" s="10" t="n">
        <v>-0.0695865504800329</v>
      </c>
    </row>
    <row r="253">
      <c r="A253" t="s">
        <v>244</v>
      </c>
      <c r="B253" t="s">
        <v>31</v>
      </c>
      <c r="C253" t="s">
        <v>377</v>
      </c>
      <c r="D253" t="n">
        <v>7</v>
      </c>
      <c r="E253" s="10" t="n">
        <v>-0.499695413509548</v>
      </c>
      <c r="F253" s="10" t="n">
        <v>-0.0174497483512506</v>
      </c>
    </row>
    <row r="254">
      <c r="A254" t="s">
        <v>244</v>
      </c>
      <c r="B254" t="s">
        <v>31</v>
      </c>
      <c r="C254" t="s">
        <v>377</v>
      </c>
      <c r="D254" t="n">
        <v>8</v>
      </c>
      <c r="E254" s="10" t="n">
        <v>-0.328778360091808</v>
      </c>
      <c r="F254" s="10" t="n">
        <v>0.674095534724375</v>
      </c>
    </row>
    <row r="255">
      <c r="A255" t="s">
        <v>244</v>
      </c>
      <c r="B255" t="s">
        <v>31</v>
      </c>
      <c r="C255" t="s">
        <v>377</v>
      </c>
      <c r="D255" t="n">
        <v>9</v>
      </c>
      <c r="E255" s="10" t="n">
        <v>0.154508497187474</v>
      </c>
      <c r="F255" s="10" t="n">
        <v>0.475528258147577</v>
      </c>
    </row>
    <row r="256">
      <c r="A256" t="s">
        <v>244</v>
      </c>
      <c r="B256" t="s">
        <v>31</v>
      </c>
      <c r="C256" t="s">
        <v>377</v>
      </c>
      <c r="D256" t="n">
        <v>10</v>
      </c>
      <c r="E256" s="10" t="n">
        <v>0.293892626146237</v>
      </c>
      <c r="F256" s="10" t="n">
        <v>0.404508497187474</v>
      </c>
    </row>
    <row r="257">
      <c r="A257" t="s">
        <v>244</v>
      </c>
      <c r="B257" t="s">
        <v>31</v>
      </c>
      <c r="C257" t="s">
        <v>377</v>
      </c>
      <c r="D257" t="n">
        <v>11</v>
      </c>
      <c r="E257" s="10" t="n">
        <v>0.32139380484327</v>
      </c>
      <c r="F257" s="10" t="n">
        <v>0.383022221559489</v>
      </c>
    </row>
    <row r="258">
      <c r="A258" t="s">
        <v>244</v>
      </c>
      <c r="B258" t="s">
        <v>31</v>
      </c>
      <c r="C258" t="s">
        <v>377</v>
      </c>
      <c r="D258" t="n">
        <v>12</v>
      </c>
      <c r="E258" s="10" t="n">
        <v>0.404508497187474</v>
      </c>
      <c r="F258" s="10" t="n">
        <v>0.293892626146237</v>
      </c>
    </row>
    <row r="259">
      <c r="A259" t="s">
        <v>244</v>
      </c>
      <c r="B259" t="s">
        <v>31</v>
      </c>
      <c r="C259" t="s">
        <v>377</v>
      </c>
      <c r="D259" t="n">
        <v>13</v>
      </c>
      <c r="E259" s="10" t="n">
        <v>0.433012701892219</v>
      </c>
      <c r="F259" s="10" t="n">
        <v>0.25</v>
      </c>
    </row>
    <row r="260">
      <c r="A260" t="s">
        <v>244</v>
      </c>
      <c r="B260" t="s">
        <v>31</v>
      </c>
      <c r="C260" t="s">
        <v>377</v>
      </c>
      <c r="D260" t="n">
        <v>14</v>
      </c>
      <c r="E260" s="10" t="n">
        <v>0.489073800366903</v>
      </c>
      <c r="F260" s="10" t="n">
        <v>0.10395584540888</v>
      </c>
    </row>
    <row r="261">
      <c r="A261" t="s">
        <v>244</v>
      </c>
      <c r="B261" t="s">
        <v>31</v>
      </c>
      <c r="C261" t="s">
        <v>378</v>
      </c>
      <c r="D261" t="n">
        <v>1</v>
      </c>
      <c r="E261" s="10" t="n">
        <v>0.0313730654259066</v>
      </c>
      <c r="F261" s="10" t="n">
        <v>0.00287219743044553</v>
      </c>
    </row>
    <row r="262">
      <c r="A262" t="s">
        <v>244</v>
      </c>
      <c r="B262" t="s">
        <v>31</v>
      </c>
      <c r="C262" t="s">
        <v>378</v>
      </c>
      <c r="D262" t="n">
        <v>2</v>
      </c>
      <c r="E262" s="10" t="n">
        <v>0.0297348222193588</v>
      </c>
      <c r="F262" s="10" t="n">
        <v>-0.0086253675744833</v>
      </c>
    </row>
    <row r="263">
      <c r="A263" t="s">
        <v>244</v>
      </c>
      <c r="B263" t="s">
        <v>31</v>
      </c>
      <c r="C263" t="s">
        <v>378</v>
      </c>
      <c r="D263" t="n">
        <v>3</v>
      </c>
      <c r="E263" s="10" t="n">
        <v>0.0289735740050667</v>
      </c>
      <c r="F263" s="10" t="n">
        <v>-0.00976360234329222</v>
      </c>
    </row>
    <row r="264">
      <c r="A264" t="s">
        <v>244</v>
      </c>
      <c r="B264" t="s">
        <v>31</v>
      </c>
      <c r="C264" t="s">
        <v>378</v>
      </c>
      <c r="D264" t="n">
        <v>4</v>
      </c>
      <c r="E264" s="10" t="n">
        <v>0.0242299954389606</v>
      </c>
      <c r="F264" s="10" t="n">
        <v>-0.0141198811506552</v>
      </c>
    </row>
    <row r="265">
      <c r="A265" t="s">
        <v>244</v>
      </c>
      <c r="B265" t="s">
        <v>31</v>
      </c>
      <c r="C265" t="s">
        <v>378</v>
      </c>
      <c r="D265" t="n">
        <v>5</v>
      </c>
      <c r="E265" s="10" t="n">
        <v>0.017246256694301</v>
      </c>
      <c r="F265" s="10" t="n">
        <v>-0.0197555365771301</v>
      </c>
    </row>
    <row r="266">
      <c r="A266" t="s">
        <v>244</v>
      </c>
      <c r="B266" t="s">
        <v>31</v>
      </c>
      <c r="C266" t="s">
        <v>378</v>
      </c>
      <c r="D266" t="n">
        <v>6</v>
      </c>
      <c r="E266" s="10" t="n">
        <v>0.0099239557242571</v>
      </c>
      <c r="F266" s="10" t="n">
        <v>-0.0237198905228147</v>
      </c>
    </row>
    <row r="267">
      <c r="A267" t="s">
        <v>244</v>
      </c>
      <c r="B267" t="s">
        <v>31</v>
      </c>
      <c r="C267" t="s">
        <v>378</v>
      </c>
      <c r="D267" t="n">
        <v>7</v>
      </c>
      <c r="E267" s="10" t="n">
        <v>-0.0263699971263872</v>
      </c>
      <c r="F267" s="10" t="n">
        <v>-0.024029057983142</v>
      </c>
    </row>
    <row r="268">
      <c r="A268" t="s">
        <v>244</v>
      </c>
      <c r="B268" t="s">
        <v>31</v>
      </c>
      <c r="C268" t="s">
        <v>378</v>
      </c>
      <c r="D268" t="n">
        <v>8</v>
      </c>
      <c r="E268" s="10" t="n">
        <v>-0.0375674051170462</v>
      </c>
      <c r="F268" s="10" t="n">
        <v>-0.0232808168777934</v>
      </c>
    </row>
    <row r="269">
      <c r="A269" t="s">
        <v>244</v>
      </c>
      <c r="B269" t="s">
        <v>31</v>
      </c>
      <c r="C269" t="s">
        <v>378</v>
      </c>
      <c r="D269" t="n">
        <v>9</v>
      </c>
      <c r="E269" s="10" t="n">
        <v>-0.0451869633056577</v>
      </c>
      <c r="F269" s="10" t="n">
        <v>-0.0189614521921375</v>
      </c>
    </row>
    <row r="270">
      <c r="A270" t="s">
        <v>244</v>
      </c>
      <c r="B270" t="s">
        <v>31</v>
      </c>
      <c r="C270" t="s">
        <v>378</v>
      </c>
      <c r="D270" t="n">
        <v>10</v>
      </c>
      <c r="E270" s="10" t="n">
        <v>-0.0561780457469185</v>
      </c>
      <c r="F270" s="10" t="n">
        <v>-0.00330819058807103</v>
      </c>
    </row>
    <row r="271">
      <c r="A271" t="s">
        <v>244</v>
      </c>
      <c r="B271" t="s">
        <v>31</v>
      </c>
      <c r="C271" t="s">
        <v>378</v>
      </c>
      <c r="D271" t="n">
        <v>11</v>
      </c>
      <c r="E271" s="10" t="n">
        <v>-0.0564586795733858</v>
      </c>
      <c r="F271" s="10" t="n">
        <v>0.000714682528275192</v>
      </c>
    </row>
    <row r="272">
      <c r="A272" t="s">
        <v>244</v>
      </c>
      <c r="B272" t="s">
        <v>31</v>
      </c>
      <c r="C272" t="s">
        <v>378</v>
      </c>
      <c r="D272" t="n">
        <v>12</v>
      </c>
      <c r="E272" s="10" t="n">
        <v>-0.0558579305052573</v>
      </c>
      <c r="F272" s="10" t="n">
        <v>0.00464810410474828</v>
      </c>
    </row>
    <row r="273">
      <c r="A273" t="s">
        <v>244</v>
      </c>
      <c r="B273" t="s">
        <v>31</v>
      </c>
      <c r="C273" t="s">
        <v>378</v>
      </c>
      <c r="D273" t="n">
        <v>13</v>
      </c>
      <c r="E273" s="10" t="n">
        <v>-0.0540245558855757</v>
      </c>
      <c r="F273" s="10" t="n">
        <v>0.0147400966660714</v>
      </c>
    </row>
    <row r="274">
      <c r="A274" t="s">
        <v>244</v>
      </c>
      <c r="B274" t="s">
        <v>31</v>
      </c>
      <c r="C274" t="s">
        <v>378</v>
      </c>
      <c r="D274" t="n">
        <v>14</v>
      </c>
      <c r="E274" s="10" t="n">
        <v>-0.0536301348749997</v>
      </c>
      <c r="F274" s="10" t="n">
        <v>0.0167907962570801</v>
      </c>
    </row>
    <row r="275">
      <c r="A275" t="s">
        <v>244</v>
      </c>
      <c r="B275" t="s">
        <v>31</v>
      </c>
      <c r="C275" t="s">
        <v>378</v>
      </c>
      <c r="D275" t="n">
        <v>15</v>
      </c>
      <c r="E275" s="10" t="n">
        <v>-0.0510698597636886</v>
      </c>
      <c r="F275" s="10" t="n">
        <v>0.0247501830560885</v>
      </c>
    </row>
    <row r="276">
      <c r="A276" t="s">
        <v>244</v>
      </c>
      <c r="B276" t="s">
        <v>31</v>
      </c>
      <c r="C276" t="s">
        <v>378</v>
      </c>
      <c r="D276" t="n">
        <v>16</v>
      </c>
      <c r="E276" s="10" t="n">
        <v>-0.0375135328949301</v>
      </c>
      <c r="F276" s="10" t="n">
        <v>0.0348977435461198</v>
      </c>
    </row>
    <row r="277">
      <c r="A277" t="s">
        <v>244</v>
      </c>
      <c r="B277" t="s">
        <v>31</v>
      </c>
      <c r="C277" t="s">
        <v>378</v>
      </c>
      <c r="D277" t="n">
        <v>17</v>
      </c>
      <c r="E277" s="10" t="n">
        <v>-0.0185078920329193</v>
      </c>
      <c r="F277" s="10" t="n">
        <v>0.038800846778215</v>
      </c>
    </row>
    <row r="278">
      <c r="A278" t="s">
        <v>244</v>
      </c>
      <c r="B278" t="s">
        <v>31</v>
      </c>
      <c r="C278" t="s">
        <v>378</v>
      </c>
      <c r="D278" t="n">
        <v>18</v>
      </c>
      <c r="E278" s="10" t="n">
        <v>-0.00124076668087707</v>
      </c>
      <c r="F278" s="10" t="n">
        <v>0.0399969660473699</v>
      </c>
    </row>
    <row r="279">
      <c r="A279" t="s">
        <v>244</v>
      </c>
      <c r="B279" t="s">
        <v>31</v>
      </c>
      <c r="C279" t="s">
        <v>378</v>
      </c>
      <c r="D279" t="n">
        <v>19</v>
      </c>
      <c r="E279" s="10" t="n">
        <v>0.00730390576130494</v>
      </c>
      <c r="F279" s="10" t="n">
        <v>0.0374957590961125</v>
      </c>
    </row>
    <row r="280">
      <c r="A280" t="s">
        <v>244</v>
      </c>
      <c r="B280" t="s">
        <v>31</v>
      </c>
      <c r="C280" t="s">
        <v>378</v>
      </c>
      <c r="D280" t="n">
        <v>20</v>
      </c>
      <c r="E280" s="10" t="n">
        <v>0.0194289373207106</v>
      </c>
      <c r="F280" s="10" t="n">
        <v>0.0319973683915302</v>
      </c>
    </row>
    <row r="281">
      <c r="A281" t="s">
        <v>244</v>
      </c>
      <c r="B281" t="s">
        <v>31</v>
      </c>
      <c r="C281" t="s">
        <v>378</v>
      </c>
      <c r="D281" t="n">
        <v>21</v>
      </c>
      <c r="E281" s="10" t="n">
        <v>0.0315779742223028</v>
      </c>
      <c r="F281" s="10" t="n">
        <v>0.0144546010946609</v>
      </c>
    </row>
    <row r="283">
      <c r="A283" s="1" t="s">
        <v>379</v>
      </c>
    </row>
    <row r="284">
      <c r="A284" t="s">
        <v>1</v>
      </c>
    </row>
    <row r="285">
      <c r="A285" t="s">
        <v>380</v>
      </c>
    </row>
    <row r="286">
      <c r="A286" t="s">
        <v>381</v>
      </c>
    </row>
    <row r="287">
      <c r="A287" t="s">
        <v>382</v>
      </c>
    </row>
    <row r="288">
      <c r="A288" t="s">
        <v>383</v>
      </c>
    </row>
    <row r="289">
      <c r="A289" t="s">
        <v>384</v>
      </c>
    </row>
    <row r="290">
      <c r="A290" t="s">
        <v>385</v>
      </c>
    </row>
    <row r="291">
      <c r="A291" t="s">
        <v>386</v>
      </c>
    </row>
    <row r="292">
      <c r="A292" t="s">
        <v>387</v>
      </c>
    </row>
    <row r="293">
      <c r="A293" t="s">
        <v>388</v>
      </c>
    </row>
    <row r="294">
      <c r="A294" t="s">
        <v>389</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29</v>
      </c>
      <c r="B1" t="s">
        <v>390</v>
      </c>
      <c r="C1" t="s">
        <v>391</v>
      </c>
      <c r="D1" t="s">
        <v>211</v>
      </c>
      <c r="E1" t="s">
        <v>392</v>
      </c>
      <c r="F1" t="s">
        <v>393</v>
      </c>
      <c r="G1" t="s">
        <v>375</v>
      </c>
      <c r="H1" t="s">
        <v>376</v>
      </c>
    </row>
    <row r="2">
      <c r="A2" t="s">
        <v>30</v>
      </c>
      <c r="B2" t="s">
        <v>394</v>
      </c>
      <c r="C2" t="s">
        <v>395</v>
      </c>
      <c r="D2" t="s">
        <v>396</v>
      </c>
      <c r="E2" s="13" t="n">
        <v>0.25</v>
      </c>
      <c r="F2" s="16" t="n">
        <v>117</v>
      </c>
      <c r="G2" s="14" t="n">
        <v>-0.146946313073118</v>
      </c>
      <c r="H2" s="15" t="n">
        <v>-0.202254248593737</v>
      </c>
    </row>
    <row r="3">
      <c r="A3" t="s">
        <v>30</v>
      </c>
      <c r="B3" t="s">
        <v>394</v>
      </c>
      <c r="C3" t="s">
        <v>397</v>
      </c>
      <c r="D3" t="s">
        <v>396</v>
      </c>
      <c r="E3" s="13" t="n">
        <v>0.25</v>
      </c>
      <c r="F3" s="16" t="n">
        <v>165</v>
      </c>
      <c r="G3" s="14" t="n">
        <v>0.21650635094611</v>
      </c>
      <c r="H3" s="15" t="n">
        <v>-0.125</v>
      </c>
    </row>
    <row r="4">
      <c r="A4" t="s">
        <v>30</v>
      </c>
      <c r="B4" t="s">
        <v>398</v>
      </c>
      <c r="C4" t="s">
        <v>399</v>
      </c>
      <c r="D4" t="s">
        <v>396</v>
      </c>
      <c r="E4" s="13" t="n">
        <v>0.5</v>
      </c>
      <c r="F4" s="16" t="n">
        <v>168</v>
      </c>
      <c r="G4" s="14" t="n">
        <v>0.4567727288213</v>
      </c>
      <c r="H4" s="15" t="n">
        <v>-0.2033683215379</v>
      </c>
    </row>
    <row r="5">
      <c r="A5" t="s">
        <v>31</v>
      </c>
      <c r="B5" t="s">
        <v>400</v>
      </c>
      <c r="C5" t="s">
        <v>401</v>
      </c>
      <c r="D5" t="s">
        <v>396</v>
      </c>
      <c r="E5" s="13" t="n">
        <v>0.25</v>
      </c>
      <c r="F5" s="16" t="n">
        <v>85</v>
      </c>
      <c r="G5" s="14" t="n">
        <v>-0.246201938253052</v>
      </c>
      <c r="H5" s="15" t="n">
        <v>0.0434120444167327</v>
      </c>
    </row>
    <row r="6">
      <c r="A6" t="s">
        <v>31</v>
      </c>
      <c r="B6" t="s">
        <v>400</v>
      </c>
      <c r="C6" t="s">
        <v>402</v>
      </c>
      <c r="D6" t="s">
        <v>396</v>
      </c>
      <c r="E6" s="13" t="n">
        <v>0.25</v>
      </c>
      <c r="F6" s="16" t="n">
        <v>107</v>
      </c>
      <c r="G6" s="14" t="n">
        <v>-0.20725939313876</v>
      </c>
      <c r="H6" s="15" t="n">
        <v>-0.139798225867687</v>
      </c>
    </row>
    <row r="7">
      <c r="A7" t="s">
        <v>30</v>
      </c>
      <c r="B7" t="s">
        <v>403</v>
      </c>
      <c r="C7" t="s">
        <v>404</v>
      </c>
      <c r="D7" t="s">
        <v>396</v>
      </c>
      <c r="E7" s="13" t="n">
        <v>0.25</v>
      </c>
      <c r="F7" s="16" t="n">
        <v>156</v>
      </c>
      <c r="G7" s="14" t="n">
        <v>0.167282651589715</v>
      </c>
      <c r="H7" s="15" t="n">
        <v>-0.185786206369349</v>
      </c>
    </row>
    <row r="8">
      <c r="A8" t="s">
        <v>30</v>
      </c>
      <c r="B8" t="s">
        <v>403</v>
      </c>
      <c r="C8" t="s">
        <v>405</v>
      </c>
      <c r="D8" t="s">
        <v>396</v>
      </c>
      <c r="E8" s="13" t="n">
        <v>0.75</v>
      </c>
      <c r="F8" s="16" t="n">
        <v>41</v>
      </c>
      <c r="G8" s="14" t="n">
        <v>0.104379825720049</v>
      </c>
      <c r="H8" s="15" t="n">
        <v>0.742701051556178</v>
      </c>
    </row>
    <row r="9">
      <c r="A9" t="s">
        <v>31</v>
      </c>
      <c r="B9" t="s">
        <v>406</v>
      </c>
      <c r="C9" t="s">
        <v>407</v>
      </c>
      <c r="D9" t="s">
        <v>396</v>
      </c>
      <c r="E9" s="13" t="n">
        <v>0</v>
      </c>
      <c r="F9" s="16" t="n">
        <v>10</v>
      </c>
      <c r="G9" s="14" t="n">
        <v>0</v>
      </c>
      <c r="H9" s="15" t="n">
        <v>0</v>
      </c>
    </row>
    <row r="10">
      <c r="A10" t="s">
        <v>30</v>
      </c>
      <c r="B10" t="s">
        <v>408</v>
      </c>
      <c r="C10" t="s">
        <v>409</v>
      </c>
      <c r="D10" t="s">
        <v>396</v>
      </c>
      <c r="E10" s="13" t="n">
        <v>0.25</v>
      </c>
      <c r="F10" s="16" t="n">
        <v>2</v>
      </c>
      <c r="G10" s="14" t="n">
        <v>0.249391012564956</v>
      </c>
      <c r="H10" s="15" t="n">
        <v>0.0174391184360313</v>
      </c>
    </row>
    <row r="11">
      <c r="A11" t="s">
        <v>30</v>
      </c>
      <c r="B11" t="s">
        <v>408</v>
      </c>
      <c r="C11" t="s">
        <v>410</v>
      </c>
      <c r="D11" t="s">
        <v>396</v>
      </c>
      <c r="E11" s="13" t="n">
        <v>0.25</v>
      </c>
      <c r="F11" s="16" t="n">
        <v>33</v>
      </c>
      <c r="G11" s="14" t="n">
        <v>0.10168416076895</v>
      </c>
      <c r="H11" s="15" t="n">
        <v>0.22838636441065</v>
      </c>
    </row>
    <row r="12">
      <c r="A12" t="s">
        <v>30</v>
      </c>
      <c r="B12" t="s">
        <v>411</v>
      </c>
      <c r="C12" t="s">
        <v>412</v>
      </c>
      <c r="D12" t="s">
        <v>396</v>
      </c>
      <c r="E12" s="13" t="n">
        <v>0.25</v>
      </c>
      <c r="F12" s="16" t="n">
        <v>66</v>
      </c>
      <c r="G12" s="14" t="n">
        <v>-0.167282651589714</v>
      </c>
      <c r="H12" s="15" t="n">
        <v>0.185786206369349</v>
      </c>
    </row>
    <row r="13">
      <c r="A13" t="s">
        <v>30</v>
      </c>
      <c r="B13" t="s">
        <v>413</v>
      </c>
      <c r="C13" t="s">
        <v>414</v>
      </c>
      <c r="D13" t="s">
        <v>396</v>
      </c>
      <c r="E13" s="13" t="n">
        <v>0.25</v>
      </c>
      <c r="F13" s="16" t="n">
        <v>156</v>
      </c>
      <c r="G13" s="14" t="n">
        <v>0.167282651589715</v>
      </c>
      <c r="H13" s="15" t="n">
        <v>-0.185786206369349</v>
      </c>
    </row>
    <row r="14">
      <c r="A14" t="s">
        <v>30</v>
      </c>
      <c r="B14" t="s">
        <v>413</v>
      </c>
      <c r="C14" t="s">
        <v>415</v>
      </c>
      <c r="D14" t="s">
        <v>396</v>
      </c>
      <c r="E14" s="13" t="n">
        <v>0.25</v>
      </c>
      <c r="F14" s="16" t="n">
        <v>127</v>
      </c>
      <c r="G14" s="14" t="n">
        <v>-0.0689093389542497</v>
      </c>
      <c r="H14" s="15" t="n">
        <v>-0.24031542398458</v>
      </c>
    </row>
    <row r="15">
      <c r="A15" t="s">
        <v>30</v>
      </c>
      <c r="B15" t="s">
        <v>416</v>
      </c>
      <c r="C15" t="s">
        <v>417</v>
      </c>
      <c r="D15" t="s">
        <v>396</v>
      </c>
      <c r="E15" s="13" t="n">
        <v>0.25</v>
      </c>
      <c r="F15" s="16" t="n">
        <v>72</v>
      </c>
      <c r="G15" s="14" t="n">
        <v>-0.202254248593737</v>
      </c>
      <c r="H15" s="15" t="n">
        <v>0.146946313073118</v>
      </c>
    </row>
    <row r="16">
      <c r="A16" t="s">
        <v>30</v>
      </c>
      <c r="B16" t="s">
        <v>416</v>
      </c>
      <c r="C16" t="s">
        <v>418</v>
      </c>
      <c r="D16" t="s">
        <v>396</v>
      </c>
      <c r="E16" s="13" t="n">
        <v>0.25</v>
      </c>
      <c r="F16" s="16" t="n">
        <v>138</v>
      </c>
      <c r="G16" s="14" t="n">
        <v>0.0261321158169135</v>
      </c>
      <c r="H16" s="15" t="n">
        <v>-0.248630473842068</v>
      </c>
    </row>
    <row r="17">
      <c r="A17" t="s">
        <v>30</v>
      </c>
      <c r="B17" t="s">
        <v>419</v>
      </c>
      <c r="C17" t="s">
        <v>420</v>
      </c>
      <c r="D17" t="s">
        <v>396</v>
      </c>
      <c r="E17" s="13" t="n">
        <v>0</v>
      </c>
      <c r="F17" s="16" t="n">
        <v>114</v>
      </c>
      <c r="G17" s="14" t="n">
        <v>0</v>
      </c>
      <c r="H17" s="15" t="n">
        <v>0</v>
      </c>
    </row>
    <row r="18">
      <c r="A18" t="s">
        <v>31</v>
      </c>
      <c r="B18" t="s">
        <v>421</v>
      </c>
      <c r="C18" t="s">
        <v>422</v>
      </c>
      <c r="D18" t="s">
        <v>396</v>
      </c>
      <c r="E18" s="13" t="n">
        <v>0.25</v>
      </c>
      <c r="F18" s="16" t="n">
        <v>46</v>
      </c>
      <c r="G18" s="14" t="n">
        <v>-0.00872487417562518</v>
      </c>
      <c r="H18" s="15" t="n">
        <v>0.249847706754774</v>
      </c>
    </row>
    <row r="19">
      <c r="A19" t="s">
        <v>31</v>
      </c>
      <c r="B19" t="s">
        <v>421</v>
      </c>
      <c r="C19" t="s">
        <v>423</v>
      </c>
      <c r="D19" t="s">
        <v>396</v>
      </c>
      <c r="E19" s="13" t="n">
        <v>0.25</v>
      </c>
      <c r="F19" s="16" t="n">
        <v>138</v>
      </c>
      <c r="G19" s="14" t="n">
        <v>0.0261321158169135</v>
      </c>
      <c r="H19" s="15" t="n">
        <v>-0.248630473842068</v>
      </c>
    </row>
    <row r="20">
      <c r="A20" t="s">
        <v>31</v>
      </c>
      <c r="B20" t="s">
        <v>424</v>
      </c>
      <c r="C20" t="s">
        <v>425</v>
      </c>
      <c r="D20" t="s">
        <v>396</v>
      </c>
      <c r="E20" s="13" t="n">
        <v>0.5</v>
      </c>
      <c r="F20" s="16" t="n">
        <v>91</v>
      </c>
      <c r="G20" s="14" t="n">
        <v>-0.499695413509548</v>
      </c>
      <c r="H20" s="15" t="n">
        <v>-0.0174497483512506</v>
      </c>
    </row>
    <row r="21">
      <c r="A21" t="s">
        <v>31</v>
      </c>
      <c r="B21" t="s">
        <v>424</v>
      </c>
      <c r="C21" t="s">
        <v>426</v>
      </c>
      <c r="D21" t="s">
        <v>396</v>
      </c>
      <c r="E21" s="13" t="n">
        <v>0.25</v>
      </c>
      <c r="F21" s="16" t="n">
        <v>76</v>
      </c>
      <c r="G21" s="14" t="n">
        <v>-0.220736898214732</v>
      </c>
      <c r="H21" s="15" t="n">
        <v>0.117367890696473</v>
      </c>
    </row>
    <row r="22">
      <c r="A22" t="s">
        <v>30</v>
      </c>
      <c r="B22" t="s">
        <v>427</v>
      </c>
      <c r="C22" t="s">
        <v>428</v>
      </c>
      <c r="D22" t="s">
        <v>396</v>
      </c>
      <c r="E22" s="13" t="n">
        <v>0.5</v>
      </c>
      <c r="F22" s="16" t="n">
        <v>121</v>
      </c>
      <c r="G22" s="14" t="n">
        <v>-0.234735781392945</v>
      </c>
      <c r="H22" s="15" t="n">
        <v>-0.441473796429464</v>
      </c>
    </row>
    <row r="23">
      <c r="A23" t="s">
        <v>30</v>
      </c>
      <c r="B23" t="s">
        <v>429</v>
      </c>
      <c r="C23" t="s">
        <v>430</v>
      </c>
      <c r="D23" t="s">
        <v>396</v>
      </c>
      <c r="E23" s="13" t="n">
        <v>0</v>
      </c>
      <c r="F23" s="16" t="n">
        <v>131</v>
      </c>
      <c r="G23" s="14" t="n">
        <v>0</v>
      </c>
      <c r="H23" s="15" t="n">
        <v>0</v>
      </c>
    </row>
    <row r="24">
      <c r="A24" t="s">
        <v>31</v>
      </c>
      <c r="B24" t="s">
        <v>431</v>
      </c>
      <c r="C24" t="s">
        <v>432</v>
      </c>
      <c r="D24" t="s">
        <v>396</v>
      </c>
      <c r="E24" s="13" t="n">
        <v>0.5</v>
      </c>
      <c r="F24" s="16" t="n">
        <v>3</v>
      </c>
      <c r="G24" s="14" t="n">
        <v>0.497260947684137</v>
      </c>
      <c r="H24" s="15" t="n">
        <v>0.0522642316338267</v>
      </c>
    </row>
    <row r="25">
      <c r="A25" t="s">
        <v>31</v>
      </c>
      <c r="B25" t="s">
        <v>431</v>
      </c>
      <c r="C25" t="s">
        <v>433</v>
      </c>
      <c r="D25" t="s">
        <v>396</v>
      </c>
      <c r="E25" s="13" t="n">
        <v>0.25</v>
      </c>
      <c r="F25" s="16" t="n">
        <v>7</v>
      </c>
      <c r="G25" s="14" t="n">
        <v>0.242573931568999</v>
      </c>
      <c r="H25" s="15" t="n">
        <v>0.0604804738999169</v>
      </c>
    </row>
    <row r="26">
      <c r="A26" t="s">
        <v>30</v>
      </c>
      <c r="B26" t="s">
        <v>434</v>
      </c>
      <c r="C26" t="s">
        <v>435</v>
      </c>
      <c r="D26" t="s">
        <v>396</v>
      </c>
      <c r="E26" s="13" t="n">
        <v>0</v>
      </c>
      <c r="F26" s="16" t="n">
        <v>84</v>
      </c>
      <c r="G26" s="14" t="n">
        <v>0</v>
      </c>
      <c r="H26" s="15" t="n">
        <v>0</v>
      </c>
    </row>
    <row r="27">
      <c r="A27" t="s">
        <v>30</v>
      </c>
      <c r="B27" t="s">
        <v>434</v>
      </c>
      <c r="C27" t="s">
        <v>436</v>
      </c>
      <c r="D27" t="s">
        <v>396</v>
      </c>
      <c r="E27" s="13" t="n">
        <v>0</v>
      </c>
      <c r="F27" s="16" t="n">
        <v>42</v>
      </c>
      <c r="G27" s="14" t="n">
        <v>0</v>
      </c>
      <c r="H27" s="15" t="n">
        <v>0</v>
      </c>
    </row>
    <row r="28">
      <c r="A28" t="s">
        <v>30</v>
      </c>
      <c r="B28" t="s">
        <v>437</v>
      </c>
      <c r="C28" t="s">
        <v>438</v>
      </c>
      <c r="D28" t="s">
        <v>396</v>
      </c>
      <c r="E28" s="13" t="n">
        <v>0.5</v>
      </c>
      <c r="F28" s="16" t="n">
        <v>127</v>
      </c>
      <c r="G28" s="14" t="n">
        <v>-0.137818677908499</v>
      </c>
      <c r="H28" s="15" t="n">
        <v>-0.48063084796916</v>
      </c>
    </row>
    <row r="29">
      <c r="A29" t="s">
        <v>30</v>
      </c>
      <c r="B29" t="s">
        <v>437</v>
      </c>
      <c r="C29" t="s">
        <v>439</v>
      </c>
      <c r="D29" t="s">
        <v>396</v>
      </c>
      <c r="E29" s="13" t="n">
        <v>0.25</v>
      </c>
      <c r="F29" s="16" t="n">
        <v>74</v>
      </c>
      <c r="G29" s="14" t="n">
        <v>-0.212012024039106</v>
      </c>
      <c r="H29" s="15" t="n">
        <v>0.132479816058301</v>
      </c>
    </row>
    <row r="30">
      <c r="A30" t="s">
        <v>30</v>
      </c>
      <c r="B30" t="s">
        <v>440</v>
      </c>
      <c r="C30" t="s">
        <v>441</v>
      </c>
      <c r="D30" t="s">
        <v>396</v>
      </c>
      <c r="E30" s="13" t="n">
        <v>0.5</v>
      </c>
      <c r="F30" s="16" t="n">
        <v>82</v>
      </c>
      <c r="G30" s="14" t="n">
        <v>-0.480630847969159</v>
      </c>
      <c r="H30" s="15" t="n">
        <v>0.1378186779085</v>
      </c>
    </row>
    <row r="31">
      <c r="A31" t="s">
        <v>30</v>
      </c>
      <c r="B31" t="s">
        <v>440</v>
      </c>
      <c r="C31" t="s">
        <v>442</v>
      </c>
      <c r="D31" t="s">
        <v>396</v>
      </c>
      <c r="E31" s="13" t="n">
        <v>0.25</v>
      </c>
      <c r="F31" s="16" t="n">
        <v>27</v>
      </c>
      <c r="G31" s="14" t="n">
        <v>0.146946313073118</v>
      </c>
      <c r="H31" s="15" t="n">
        <v>0.202254248593737</v>
      </c>
    </row>
    <row r="32">
      <c r="A32" t="s">
        <v>30</v>
      </c>
      <c r="B32" t="s">
        <v>443</v>
      </c>
      <c r="C32" t="s">
        <v>444</v>
      </c>
      <c r="D32" t="s">
        <v>396</v>
      </c>
      <c r="E32" s="13" t="n">
        <v>0.25</v>
      </c>
      <c r="F32" s="16" t="n">
        <v>105</v>
      </c>
      <c r="G32" s="14" t="n">
        <v>-0.21650635094611</v>
      </c>
      <c r="H32" s="15" t="n">
        <v>-0.125</v>
      </c>
    </row>
    <row r="33">
      <c r="A33" t="s">
        <v>30</v>
      </c>
      <c r="B33" t="s">
        <v>443</v>
      </c>
      <c r="C33" t="s">
        <v>445</v>
      </c>
      <c r="D33" t="s">
        <v>396</v>
      </c>
      <c r="E33" s="13" t="n">
        <v>0.25</v>
      </c>
      <c r="F33" s="16" t="n">
        <v>71</v>
      </c>
      <c r="G33" s="14" t="n">
        <v>-0.19700268840168</v>
      </c>
      <c r="H33" s="15" t="n">
        <v>0.153915368831415</v>
      </c>
    </row>
    <row r="34">
      <c r="A34" t="s">
        <v>31</v>
      </c>
      <c r="B34" t="s">
        <v>446</v>
      </c>
      <c r="C34" t="s">
        <v>447</v>
      </c>
      <c r="D34" t="s">
        <v>396</v>
      </c>
      <c r="E34" s="13" t="n">
        <v>0.5</v>
      </c>
      <c r="F34" s="16" t="n">
        <v>94</v>
      </c>
      <c r="G34" s="14" t="n">
        <v>-0.495134034370785</v>
      </c>
      <c r="H34" s="15" t="n">
        <v>-0.0695865504800329</v>
      </c>
    </row>
    <row r="35">
      <c r="A35" t="s">
        <v>30</v>
      </c>
      <c r="B35" t="s">
        <v>448</v>
      </c>
      <c r="C35" t="s">
        <v>449</v>
      </c>
      <c r="D35" t="s">
        <v>396</v>
      </c>
      <c r="E35" s="13" t="n">
        <v>0</v>
      </c>
      <c r="F35" s="16" t="n">
        <v>159</v>
      </c>
      <c r="G35" s="14" t="n">
        <v>0</v>
      </c>
      <c r="H35" s="15" t="n">
        <v>0</v>
      </c>
    </row>
    <row r="36">
      <c r="A36" t="s">
        <v>31</v>
      </c>
      <c r="B36" t="s">
        <v>450</v>
      </c>
      <c r="C36" t="s">
        <v>451</v>
      </c>
      <c r="D36" t="s">
        <v>396</v>
      </c>
      <c r="E36" s="13" t="n">
        <v>0.25</v>
      </c>
      <c r="F36" s="16" t="n">
        <v>177</v>
      </c>
      <c r="G36" s="14" t="n">
        <v>0.248630473842068</v>
      </c>
      <c r="H36" s="15" t="n">
        <v>-0.0261321158169134</v>
      </c>
    </row>
    <row r="37">
      <c r="A37" t="s">
        <v>31</v>
      </c>
      <c r="B37" t="s">
        <v>450</v>
      </c>
      <c r="C37" t="s">
        <v>452</v>
      </c>
      <c r="D37" t="s">
        <v>396</v>
      </c>
      <c r="E37" s="13" t="n">
        <v>0.25</v>
      </c>
      <c r="F37" s="16" t="n">
        <v>1</v>
      </c>
      <c r="G37" s="14" t="n">
        <v>0.249847706754774</v>
      </c>
      <c r="H37" s="15" t="n">
        <v>0.00872487417562524</v>
      </c>
    </row>
    <row r="38">
      <c r="A38" t="s">
        <v>30</v>
      </c>
      <c r="B38" t="s">
        <v>453</v>
      </c>
      <c r="C38" t="s">
        <v>454</v>
      </c>
      <c r="D38" t="s">
        <v>396</v>
      </c>
      <c r="E38" s="13" t="n">
        <v>0.25</v>
      </c>
      <c r="F38" s="16" t="n">
        <v>174</v>
      </c>
      <c r="G38" s="14" t="n">
        <v>0.244536900183451</v>
      </c>
      <c r="H38" s="15" t="n">
        <v>-0.0519779227044398</v>
      </c>
    </row>
    <row r="39">
      <c r="A39" t="s">
        <v>30</v>
      </c>
      <c r="B39" t="s">
        <v>455</v>
      </c>
      <c r="C39" t="s">
        <v>456</v>
      </c>
      <c r="D39" t="s">
        <v>396</v>
      </c>
      <c r="E39" s="13" t="n">
        <v>0.25</v>
      </c>
      <c r="F39" s="16" t="n">
        <v>67</v>
      </c>
      <c r="G39" s="14" t="n">
        <v>-0.173664592614749</v>
      </c>
      <c r="H39" s="15" t="n">
        <v>0.179834950084663</v>
      </c>
    </row>
    <row r="40">
      <c r="A40" t="s">
        <v>31</v>
      </c>
      <c r="B40" t="s">
        <v>457</v>
      </c>
      <c r="C40" t="s">
        <v>458</v>
      </c>
      <c r="D40" t="s">
        <v>396</v>
      </c>
      <c r="E40" s="13" t="n">
        <v>0.25</v>
      </c>
      <c r="F40" s="16" t="n">
        <v>31</v>
      </c>
      <c r="G40" s="14" t="n">
        <v>0.117367890696473</v>
      </c>
      <c r="H40" s="15" t="n">
        <v>0.220736898214732</v>
      </c>
    </row>
    <row r="41">
      <c r="A41" t="s">
        <v>31</v>
      </c>
      <c r="B41" t="s">
        <v>459</v>
      </c>
      <c r="C41" t="s">
        <v>460</v>
      </c>
      <c r="D41" t="s">
        <v>396</v>
      </c>
      <c r="E41" s="13" t="n">
        <v>0.5</v>
      </c>
      <c r="F41" s="16" t="n">
        <v>160</v>
      </c>
      <c r="G41" s="14" t="n">
        <v>0.383022221559489</v>
      </c>
      <c r="H41" s="15" t="n">
        <v>-0.32139380484327</v>
      </c>
    </row>
    <row r="42">
      <c r="A42" t="s">
        <v>31</v>
      </c>
      <c r="B42" t="s">
        <v>459</v>
      </c>
      <c r="C42" t="s">
        <v>461</v>
      </c>
      <c r="D42" t="s">
        <v>396</v>
      </c>
      <c r="E42" s="13" t="n">
        <v>0.25</v>
      </c>
      <c r="F42" s="16" t="n">
        <v>46</v>
      </c>
      <c r="G42" s="14" t="n">
        <v>-0.00872487417562518</v>
      </c>
      <c r="H42" s="15" t="n">
        <v>0.249847706754774</v>
      </c>
    </row>
    <row r="43">
      <c r="A43" t="s">
        <v>31</v>
      </c>
      <c r="B43" t="s">
        <v>462</v>
      </c>
      <c r="C43" t="s">
        <v>463</v>
      </c>
      <c r="D43" t="s">
        <v>396</v>
      </c>
      <c r="E43" s="13" t="n">
        <v>0.25</v>
      </c>
      <c r="F43" s="16" t="n">
        <v>86</v>
      </c>
      <c r="G43" s="14" t="n">
        <v>-0.247567017185393</v>
      </c>
      <c r="H43" s="15" t="n">
        <v>0.0347932752400163</v>
      </c>
    </row>
    <row r="44">
      <c r="A44" t="s">
        <v>31</v>
      </c>
      <c r="B44" t="s">
        <v>462</v>
      </c>
      <c r="C44" t="s">
        <v>464</v>
      </c>
      <c r="D44" t="s">
        <v>396</v>
      </c>
      <c r="E44" s="13" t="n">
        <v>0.25</v>
      </c>
      <c r="F44" s="16" t="n">
        <v>60</v>
      </c>
      <c r="G44" s="14" t="n">
        <v>-0.125</v>
      </c>
      <c r="H44" s="15" t="n">
        <v>0.21650635094611</v>
      </c>
    </row>
    <row r="45">
      <c r="A45" t="s">
        <v>30</v>
      </c>
      <c r="B45" t="s">
        <v>465</v>
      </c>
      <c r="C45" t="s">
        <v>466</v>
      </c>
      <c r="D45" t="s">
        <v>396</v>
      </c>
      <c r="E45" s="13" t="n">
        <v>0.25</v>
      </c>
      <c r="F45" s="16" t="n">
        <v>110</v>
      </c>
      <c r="G45" s="14" t="n">
        <v>-0.191511110779745</v>
      </c>
      <c r="H45" s="15" t="n">
        <v>-0.160696902421635</v>
      </c>
    </row>
    <row r="46">
      <c r="A46" t="s">
        <v>30</v>
      </c>
      <c r="B46" t="s">
        <v>465</v>
      </c>
      <c r="C46" t="s">
        <v>467</v>
      </c>
      <c r="D46" t="s">
        <v>396</v>
      </c>
      <c r="E46" s="13" t="n">
        <v>0.25</v>
      </c>
      <c r="F46" s="16" t="n">
        <v>142</v>
      </c>
      <c r="G46" s="14" t="n">
        <v>0.0604804738999169</v>
      </c>
      <c r="H46" s="15" t="n">
        <v>-0.242573931568999</v>
      </c>
    </row>
    <row r="47">
      <c r="A47" t="s">
        <v>30</v>
      </c>
      <c r="B47" t="s">
        <v>468</v>
      </c>
      <c r="C47" t="s">
        <v>469</v>
      </c>
      <c r="D47" t="s">
        <v>396</v>
      </c>
      <c r="E47" s="13" t="n">
        <v>0.25</v>
      </c>
      <c r="F47" s="16" t="n">
        <v>52</v>
      </c>
      <c r="G47" s="14" t="n">
        <v>-0.0604804738999169</v>
      </c>
      <c r="H47" s="15" t="n">
        <v>0.242573931568999</v>
      </c>
    </row>
    <row r="48">
      <c r="A48" t="s">
        <v>31</v>
      </c>
      <c r="B48" t="s">
        <v>470</v>
      </c>
      <c r="C48" t="s">
        <v>471</v>
      </c>
      <c r="D48" t="s">
        <v>396</v>
      </c>
      <c r="E48" s="13" t="n">
        <v>0.25</v>
      </c>
      <c r="F48" s="16" t="n">
        <v>138</v>
      </c>
      <c r="G48" s="14" t="n">
        <v>0.0261321158169135</v>
      </c>
      <c r="H48" s="15" t="n">
        <v>-0.248630473842068</v>
      </c>
    </row>
    <row r="49">
      <c r="A49" t="s">
        <v>31</v>
      </c>
      <c r="B49" t="s">
        <v>472</v>
      </c>
      <c r="C49" t="s">
        <v>473</v>
      </c>
      <c r="D49" t="s">
        <v>396</v>
      </c>
      <c r="E49" s="13" t="n">
        <v>0.25</v>
      </c>
      <c r="F49" s="16" t="n">
        <v>139</v>
      </c>
      <c r="G49" s="14" t="n">
        <v>0.0347932752400164</v>
      </c>
      <c r="H49" s="15" t="n">
        <v>-0.247567017185393</v>
      </c>
    </row>
    <row r="50">
      <c r="A50" t="s">
        <v>30</v>
      </c>
      <c r="B50" t="s">
        <v>474</v>
      </c>
      <c r="C50" t="s">
        <v>475</v>
      </c>
      <c r="D50" t="s">
        <v>396</v>
      </c>
      <c r="E50" s="13" t="n">
        <v>0</v>
      </c>
      <c r="F50" s="16" t="n">
        <v>58</v>
      </c>
      <c r="G50" s="14" t="n">
        <v>0</v>
      </c>
      <c r="H50" s="15" t="n">
        <v>0</v>
      </c>
    </row>
    <row r="51">
      <c r="A51" t="s">
        <v>30</v>
      </c>
      <c r="B51" t="s">
        <v>474</v>
      </c>
      <c r="C51" t="s">
        <v>476</v>
      </c>
      <c r="D51" t="s">
        <v>396</v>
      </c>
      <c r="E51" s="13" t="n">
        <v>0.25</v>
      </c>
      <c r="F51" s="16" t="n">
        <v>75</v>
      </c>
      <c r="G51" s="14" t="n">
        <v>-0.21650635094611</v>
      </c>
      <c r="H51" s="15" t="n">
        <v>0.125</v>
      </c>
    </row>
    <row r="52">
      <c r="A52" t="s">
        <v>30</v>
      </c>
      <c r="B52" t="s">
        <v>477</v>
      </c>
      <c r="C52" t="s">
        <v>478</v>
      </c>
      <c r="D52" t="s">
        <v>396</v>
      </c>
      <c r="E52" s="13" t="n">
        <v>0.25</v>
      </c>
      <c r="F52" s="16" t="n">
        <v>160</v>
      </c>
      <c r="G52" s="14" t="n">
        <v>0.191511110779744</v>
      </c>
      <c r="H52" s="15" t="n">
        <v>-0.160696902421635</v>
      </c>
    </row>
    <row r="53">
      <c r="A53" t="s">
        <v>30</v>
      </c>
      <c r="B53" t="s">
        <v>477</v>
      </c>
      <c r="C53" t="s">
        <v>479</v>
      </c>
      <c r="D53" t="s">
        <v>396</v>
      </c>
      <c r="E53" s="13" t="n">
        <v>0.25</v>
      </c>
      <c r="F53" s="16" t="n">
        <v>18</v>
      </c>
      <c r="G53" s="14" t="n">
        <v>0.202254248593737</v>
      </c>
      <c r="H53" s="15" t="n">
        <v>0.146946313073118</v>
      </c>
    </row>
    <row r="54">
      <c r="A54" t="s">
        <v>30</v>
      </c>
      <c r="B54" t="s">
        <v>480</v>
      </c>
      <c r="C54" t="s">
        <v>481</v>
      </c>
      <c r="D54" t="s">
        <v>396</v>
      </c>
      <c r="E54" s="13" t="n">
        <v>0.5</v>
      </c>
      <c r="F54" s="16" t="n">
        <v>16</v>
      </c>
      <c r="G54" s="14" t="n">
        <v>0.424024048078213</v>
      </c>
      <c r="H54" s="15" t="n">
        <v>0.264959632116602</v>
      </c>
    </row>
    <row r="55">
      <c r="A55" t="s">
        <v>30</v>
      </c>
      <c r="B55" t="s">
        <v>480</v>
      </c>
      <c r="C55" t="s">
        <v>482</v>
      </c>
      <c r="D55" t="s">
        <v>396</v>
      </c>
      <c r="E55" s="13" t="n">
        <v>0</v>
      </c>
      <c r="F55" s="16" t="n">
        <v>111</v>
      </c>
      <c r="G55" s="14" t="n">
        <v>0</v>
      </c>
      <c r="H55" s="15" t="n">
        <v>0</v>
      </c>
    </row>
    <row r="56">
      <c r="A56" t="s">
        <v>30</v>
      </c>
      <c r="B56" t="s">
        <v>483</v>
      </c>
      <c r="C56" t="s">
        <v>484</v>
      </c>
      <c r="D56" t="s">
        <v>396</v>
      </c>
      <c r="E56" s="13" t="n">
        <v>0.5</v>
      </c>
      <c r="F56" s="16" t="n">
        <v>133</v>
      </c>
      <c r="G56" s="14" t="n">
        <v>-0.0348782368720628</v>
      </c>
      <c r="H56" s="15" t="n">
        <v>-0.498782025129912</v>
      </c>
    </row>
    <row r="57">
      <c r="A57" t="s">
        <v>30</v>
      </c>
      <c r="B57" t="s">
        <v>483</v>
      </c>
      <c r="C57" t="s">
        <v>485</v>
      </c>
      <c r="D57" t="s">
        <v>396</v>
      </c>
      <c r="E57" s="13" t="n">
        <v>0.25</v>
      </c>
      <c r="F57" s="16" t="n">
        <v>58</v>
      </c>
      <c r="G57" s="14" t="n">
        <v>-0.109592786697269</v>
      </c>
      <c r="H57" s="15" t="n">
        <v>0.224698511574792</v>
      </c>
    </row>
    <row r="58">
      <c r="A58" t="s">
        <v>30</v>
      </c>
      <c r="B58" t="s">
        <v>486</v>
      </c>
      <c r="C58" t="s">
        <v>487</v>
      </c>
      <c r="D58" t="s">
        <v>396</v>
      </c>
      <c r="E58" s="13" t="n">
        <v>0.25</v>
      </c>
      <c r="F58" s="16" t="n">
        <v>66</v>
      </c>
      <c r="G58" s="14" t="n">
        <v>-0.167282651589714</v>
      </c>
      <c r="H58" s="15" t="n">
        <v>0.185786206369349</v>
      </c>
    </row>
    <row r="59">
      <c r="A59" t="s">
        <v>30</v>
      </c>
      <c r="B59" t="s">
        <v>486</v>
      </c>
      <c r="C59" t="s">
        <v>488</v>
      </c>
      <c r="D59" t="s">
        <v>396</v>
      </c>
      <c r="E59" s="13" t="n">
        <v>0</v>
      </c>
      <c r="F59" s="16" t="n">
        <v>178</v>
      </c>
      <c r="G59" s="14" t="n">
        <v>0</v>
      </c>
      <c r="H59" s="15" t="n">
        <v>0</v>
      </c>
    </row>
    <row r="60">
      <c r="A60" t="s">
        <v>30</v>
      </c>
      <c r="B60" t="s">
        <v>489</v>
      </c>
      <c r="C60" t="s">
        <v>490</v>
      </c>
      <c r="D60" t="s">
        <v>396</v>
      </c>
      <c r="E60" s="13" t="n">
        <v>0.5</v>
      </c>
      <c r="F60" s="16" t="n">
        <v>94</v>
      </c>
      <c r="G60" s="14" t="n">
        <v>-0.495134034370785</v>
      </c>
      <c r="H60" s="15" t="n">
        <v>-0.0695865504800329</v>
      </c>
    </row>
    <row r="61">
      <c r="A61" t="s">
        <v>30</v>
      </c>
      <c r="B61" t="s">
        <v>489</v>
      </c>
      <c r="C61" t="s">
        <v>491</v>
      </c>
      <c r="D61" t="s">
        <v>396</v>
      </c>
      <c r="E61" s="13" t="n">
        <v>0.25</v>
      </c>
      <c r="F61" s="16" t="n">
        <v>85</v>
      </c>
      <c r="G61" s="14" t="n">
        <v>-0.246201938253052</v>
      </c>
      <c r="H61" s="15" t="n">
        <v>0.0434120444167327</v>
      </c>
    </row>
    <row r="62">
      <c r="A62" t="s">
        <v>31</v>
      </c>
      <c r="B62" t="s">
        <v>492</v>
      </c>
      <c r="C62" t="s">
        <v>493</v>
      </c>
      <c r="D62" t="s">
        <v>396</v>
      </c>
      <c r="E62" s="13" t="n">
        <v>0.25</v>
      </c>
      <c r="F62" s="16" t="n">
        <v>73</v>
      </c>
      <c r="G62" s="14" t="n">
        <v>-0.20725939313876</v>
      </c>
      <c r="H62" s="15" t="n">
        <v>0.139798225867687</v>
      </c>
    </row>
    <row r="63">
      <c r="A63" t="s">
        <v>31</v>
      </c>
      <c r="B63" t="s">
        <v>492</v>
      </c>
      <c r="C63" t="s">
        <v>494</v>
      </c>
      <c r="D63" t="s">
        <v>396</v>
      </c>
      <c r="E63" s="13" t="n">
        <v>0</v>
      </c>
      <c r="F63" s="16" t="n">
        <v>127</v>
      </c>
      <c r="G63" s="14" t="n">
        <v>0</v>
      </c>
      <c r="H63" s="15" t="n">
        <v>0</v>
      </c>
    </row>
    <row r="64">
      <c r="A64" t="s">
        <v>30</v>
      </c>
      <c r="B64" t="s">
        <v>495</v>
      </c>
      <c r="C64" t="s">
        <v>496</v>
      </c>
      <c r="D64" t="s">
        <v>396</v>
      </c>
      <c r="E64" s="13" t="n">
        <v>0.25</v>
      </c>
      <c r="F64" s="16" t="n">
        <v>175</v>
      </c>
      <c r="G64" s="14" t="n">
        <v>0.246201938253052</v>
      </c>
      <c r="H64" s="15" t="n">
        <v>-0.0434120444167326</v>
      </c>
    </row>
    <row r="65">
      <c r="A65" t="s">
        <v>30</v>
      </c>
      <c r="B65" t="s">
        <v>497</v>
      </c>
      <c r="C65" t="s">
        <v>498</v>
      </c>
      <c r="D65" t="s">
        <v>396</v>
      </c>
      <c r="E65" s="13" t="n">
        <v>0.25</v>
      </c>
      <c r="F65" s="16" t="n">
        <v>30</v>
      </c>
      <c r="G65" s="14" t="n">
        <v>0.125</v>
      </c>
      <c r="H65" s="15" t="n">
        <v>0.21650635094611</v>
      </c>
    </row>
    <row r="66">
      <c r="A66" t="s">
        <v>30</v>
      </c>
      <c r="B66" t="s">
        <v>497</v>
      </c>
      <c r="C66" t="s">
        <v>499</v>
      </c>
      <c r="D66" t="s">
        <v>396</v>
      </c>
      <c r="E66" s="13" t="n">
        <v>0.25</v>
      </c>
      <c r="F66" s="16" t="n">
        <v>177</v>
      </c>
      <c r="G66" s="14" t="n">
        <v>0.248630473842068</v>
      </c>
      <c r="H66" s="15" t="n">
        <v>-0.0261321158169134</v>
      </c>
    </row>
    <row r="67">
      <c r="A67" t="s">
        <v>30</v>
      </c>
      <c r="B67" t="s">
        <v>500</v>
      </c>
      <c r="C67" t="s">
        <v>501</v>
      </c>
      <c r="D67" t="s">
        <v>396</v>
      </c>
      <c r="E67" s="13" t="n">
        <v>0.25</v>
      </c>
      <c r="F67" s="16" t="n">
        <v>88</v>
      </c>
      <c r="G67" s="14" t="n">
        <v>-0.249391012564956</v>
      </c>
      <c r="H67" s="15" t="n">
        <v>0.0174391184360314</v>
      </c>
    </row>
    <row r="68">
      <c r="A68" t="s">
        <v>30</v>
      </c>
      <c r="B68" t="s">
        <v>500</v>
      </c>
      <c r="C68" t="s">
        <v>502</v>
      </c>
      <c r="D68" t="s">
        <v>396</v>
      </c>
      <c r="E68" s="13" t="n">
        <v>0.25</v>
      </c>
      <c r="F68" s="16" t="n">
        <v>82</v>
      </c>
      <c r="G68" s="14" t="n">
        <v>-0.24031542398458</v>
      </c>
      <c r="H68" s="15" t="n">
        <v>0.0689093389542498</v>
      </c>
    </row>
    <row r="69">
      <c r="A69" t="s">
        <v>31</v>
      </c>
      <c r="B69" t="s">
        <v>503</v>
      </c>
      <c r="C69" t="s">
        <v>504</v>
      </c>
      <c r="D69" t="s">
        <v>396</v>
      </c>
      <c r="E69" s="13" t="n">
        <v>0.25</v>
      </c>
      <c r="F69" s="16" t="n">
        <v>13</v>
      </c>
      <c r="G69" s="14" t="n">
        <v>0.224698511574792</v>
      </c>
      <c r="H69" s="15" t="n">
        <v>0.109592786697269</v>
      </c>
    </row>
    <row r="70">
      <c r="A70" t="s">
        <v>31</v>
      </c>
      <c r="B70" t="s">
        <v>503</v>
      </c>
      <c r="C70" t="s">
        <v>505</v>
      </c>
      <c r="D70" t="s">
        <v>396</v>
      </c>
      <c r="E70" s="13" t="n">
        <v>0.25</v>
      </c>
      <c r="F70" s="16" t="n">
        <v>118</v>
      </c>
      <c r="G70" s="14" t="n">
        <v>-0.139798225867687</v>
      </c>
      <c r="H70" s="15" t="n">
        <v>-0.20725939313876</v>
      </c>
    </row>
    <row r="71">
      <c r="A71" t="s">
        <v>30</v>
      </c>
      <c r="B71" t="s">
        <v>506</v>
      </c>
      <c r="C71" t="s">
        <v>507</v>
      </c>
      <c r="D71" t="s">
        <v>396</v>
      </c>
      <c r="E71" s="13" t="n">
        <v>0.25</v>
      </c>
      <c r="F71" s="16" t="n">
        <v>43</v>
      </c>
      <c r="G71" s="14" t="n">
        <v>0.0174391184360313</v>
      </c>
      <c r="H71" s="15" t="n">
        <v>0.249391012564956</v>
      </c>
    </row>
    <row r="72">
      <c r="A72" t="s">
        <v>30</v>
      </c>
      <c r="B72" t="s">
        <v>506</v>
      </c>
      <c r="C72" t="s">
        <v>508</v>
      </c>
      <c r="D72" t="s">
        <v>396</v>
      </c>
      <c r="E72" s="13" t="n">
        <v>0.5</v>
      </c>
      <c r="F72" s="16" t="n">
        <v>114</v>
      </c>
      <c r="G72" s="14" t="n">
        <v>-0.334565303179429</v>
      </c>
      <c r="H72" s="15" t="n">
        <v>-0.371572412738697</v>
      </c>
    </row>
    <row r="73">
      <c r="A73" t="s">
        <v>31</v>
      </c>
      <c r="B73" t="s">
        <v>509</v>
      </c>
      <c r="C73" t="s">
        <v>510</v>
      </c>
      <c r="D73" t="s">
        <v>396</v>
      </c>
      <c r="E73" s="13" t="n">
        <v>0.25</v>
      </c>
      <c r="F73" s="16" t="n">
        <v>92</v>
      </c>
      <c r="G73" s="14" t="n">
        <v>-0.249391012564956</v>
      </c>
      <c r="H73" s="15" t="n">
        <v>-0.0174391184360313</v>
      </c>
    </row>
    <row r="74">
      <c r="A74" t="s">
        <v>31</v>
      </c>
      <c r="B74" t="s">
        <v>509</v>
      </c>
      <c r="C74" t="s">
        <v>511</v>
      </c>
      <c r="D74" t="s">
        <v>396</v>
      </c>
      <c r="E74" s="13" t="n">
        <v>0.25</v>
      </c>
      <c r="F74" s="16" t="n">
        <v>78</v>
      </c>
      <c r="G74" s="14" t="n">
        <v>-0.22838636441065</v>
      </c>
      <c r="H74" s="15" t="n">
        <v>0.10168416076895</v>
      </c>
    </row>
    <row r="75">
      <c r="A75" t="s">
        <v>30</v>
      </c>
      <c r="B75" t="s">
        <v>512</v>
      </c>
      <c r="C75" t="s">
        <v>513</v>
      </c>
      <c r="D75" t="s">
        <v>396</v>
      </c>
      <c r="E75" s="13" t="n">
        <v>0.5</v>
      </c>
      <c r="F75" s="16" t="n">
        <v>66</v>
      </c>
      <c r="G75" s="14" t="n">
        <v>-0.334565303179429</v>
      </c>
      <c r="H75" s="15" t="n">
        <v>0.371572412738697</v>
      </c>
    </row>
    <row r="76">
      <c r="A76" t="s">
        <v>30</v>
      </c>
      <c r="B76" t="s">
        <v>512</v>
      </c>
      <c r="C76" t="s">
        <v>514</v>
      </c>
      <c r="D76" t="s">
        <v>396</v>
      </c>
      <c r="E76" s="13" t="n">
        <v>0.5</v>
      </c>
      <c r="F76" s="16" t="n">
        <v>114</v>
      </c>
      <c r="G76" s="14" t="n">
        <v>-0.334565303179429</v>
      </c>
      <c r="H76" s="15" t="n">
        <v>-0.371572412738697</v>
      </c>
    </row>
    <row r="77">
      <c r="A77" t="s">
        <v>30</v>
      </c>
      <c r="B77" t="s">
        <v>515</v>
      </c>
      <c r="C77" t="s">
        <v>516</v>
      </c>
      <c r="D77" t="s">
        <v>396</v>
      </c>
      <c r="E77" s="13" t="n">
        <v>0</v>
      </c>
      <c r="F77" s="16" t="n">
        <v>51</v>
      </c>
      <c r="G77" s="14" t="n">
        <v>0</v>
      </c>
      <c r="H77" s="15" t="n">
        <v>0</v>
      </c>
    </row>
    <row r="78">
      <c r="A78" t="s">
        <v>30</v>
      </c>
      <c r="B78" t="s">
        <v>515</v>
      </c>
      <c r="C78" t="s">
        <v>517</v>
      </c>
      <c r="D78" t="s">
        <v>396</v>
      </c>
      <c r="E78" s="13" t="n">
        <v>0</v>
      </c>
      <c r="F78" s="16" t="n">
        <v>99</v>
      </c>
      <c r="G78" s="14" t="n">
        <v>0</v>
      </c>
      <c r="H78" s="15" t="n">
        <v>0</v>
      </c>
    </row>
    <row r="79">
      <c r="A79" t="s">
        <v>30</v>
      </c>
      <c r="B79" t="s">
        <v>518</v>
      </c>
      <c r="C79" t="s">
        <v>519</v>
      </c>
      <c r="D79" t="s">
        <v>396</v>
      </c>
      <c r="E79" s="13" t="n">
        <v>0.25</v>
      </c>
      <c r="F79" s="16" t="n">
        <v>127</v>
      </c>
      <c r="G79" s="14" t="n">
        <v>-0.0689093389542497</v>
      </c>
      <c r="H79" s="15" t="n">
        <v>-0.24031542398458</v>
      </c>
    </row>
    <row r="80">
      <c r="A80" t="s">
        <v>30</v>
      </c>
      <c r="B80" t="s">
        <v>518</v>
      </c>
      <c r="C80" t="s">
        <v>520</v>
      </c>
      <c r="D80" t="s">
        <v>396</v>
      </c>
      <c r="E80" s="13" t="n">
        <v>0.25</v>
      </c>
      <c r="F80" s="16" t="n">
        <v>92</v>
      </c>
      <c r="G80" s="14" t="n">
        <v>-0.249391012564956</v>
      </c>
      <c r="H80" s="15" t="n">
        <v>-0.0174391184360313</v>
      </c>
    </row>
    <row r="81">
      <c r="A81" t="s">
        <v>31</v>
      </c>
      <c r="B81" t="s">
        <v>521</v>
      </c>
      <c r="C81" t="s">
        <v>522</v>
      </c>
      <c r="D81" t="s">
        <v>396</v>
      </c>
      <c r="E81" s="13" t="n">
        <v>0.25</v>
      </c>
      <c r="F81" s="16" t="n">
        <v>135</v>
      </c>
      <c r="G81" s="14" t="n">
        <v>0</v>
      </c>
      <c r="H81" s="15" t="n">
        <v>-0.25</v>
      </c>
    </row>
    <row r="82">
      <c r="A82" t="s">
        <v>31</v>
      </c>
      <c r="B82" t="s">
        <v>521</v>
      </c>
      <c r="C82" t="s">
        <v>523</v>
      </c>
      <c r="D82" t="s">
        <v>396</v>
      </c>
      <c r="E82" s="13" t="n">
        <v>0.25</v>
      </c>
      <c r="F82" s="16" t="n">
        <v>31</v>
      </c>
      <c r="G82" s="14" t="n">
        <v>0.117367890696473</v>
      </c>
      <c r="H82" s="15" t="n">
        <v>0.220736898214732</v>
      </c>
    </row>
    <row r="83">
      <c r="A83" t="s">
        <v>31</v>
      </c>
      <c r="B83" t="s">
        <v>524</v>
      </c>
      <c r="C83" t="s">
        <v>525</v>
      </c>
      <c r="D83" t="s">
        <v>396</v>
      </c>
      <c r="E83" s="13" t="n">
        <v>0.25</v>
      </c>
      <c r="F83" s="16" t="n">
        <v>110</v>
      </c>
      <c r="G83" s="14" t="n">
        <v>-0.191511110779745</v>
      </c>
      <c r="H83" s="15" t="n">
        <v>-0.160696902421635</v>
      </c>
    </row>
    <row r="84">
      <c r="A84" t="s">
        <v>31</v>
      </c>
      <c r="B84" t="s">
        <v>524</v>
      </c>
      <c r="C84" t="s">
        <v>526</v>
      </c>
      <c r="D84" t="s">
        <v>396</v>
      </c>
      <c r="E84" s="13" t="n">
        <v>0.25</v>
      </c>
      <c r="F84" s="16" t="n">
        <v>57</v>
      </c>
      <c r="G84" s="14" t="n">
        <v>-0.10168416076895</v>
      </c>
      <c r="H84" s="15" t="n">
        <v>0.22838636441065</v>
      </c>
    </row>
    <row r="85">
      <c r="A85" t="s">
        <v>31</v>
      </c>
      <c r="B85" t="s">
        <v>527</v>
      </c>
      <c r="C85" t="s">
        <v>528</v>
      </c>
      <c r="D85" t="s">
        <v>396</v>
      </c>
      <c r="E85" s="13" t="n">
        <v>0.5</v>
      </c>
      <c r="F85" s="16" t="n">
        <v>25</v>
      </c>
      <c r="G85" s="14" t="n">
        <v>0.32139380484327</v>
      </c>
      <c r="H85" s="15" t="n">
        <v>0.383022221559489</v>
      </c>
    </row>
    <row r="86">
      <c r="A86" t="s">
        <v>31</v>
      </c>
      <c r="B86" t="s">
        <v>527</v>
      </c>
      <c r="C86" t="s">
        <v>529</v>
      </c>
      <c r="D86" t="s">
        <v>396</v>
      </c>
      <c r="E86" s="13" t="n">
        <v>0.25</v>
      </c>
      <c r="F86" s="16" t="n">
        <v>40</v>
      </c>
      <c r="G86" s="14" t="n">
        <v>0.0434120444167326</v>
      </c>
      <c r="H86" s="15" t="n">
        <v>0.246201938253052</v>
      </c>
    </row>
    <row r="87">
      <c r="A87" t="s">
        <v>31</v>
      </c>
      <c r="B87" t="s">
        <v>530</v>
      </c>
      <c r="C87" t="s">
        <v>531</v>
      </c>
      <c r="D87" t="s">
        <v>396</v>
      </c>
      <c r="E87" s="13" t="n">
        <v>0.25</v>
      </c>
      <c r="F87" s="16" t="n">
        <v>71</v>
      </c>
      <c r="G87" s="14" t="n">
        <v>-0.19700268840168</v>
      </c>
      <c r="H87" s="15" t="n">
        <v>0.153915368831415</v>
      </c>
    </row>
    <row r="88">
      <c r="A88" t="s">
        <v>31</v>
      </c>
      <c r="B88" t="s">
        <v>530</v>
      </c>
      <c r="C88" t="s">
        <v>532</v>
      </c>
      <c r="D88" t="s">
        <v>396</v>
      </c>
      <c r="E88" s="13" t="n">
        <v>0.25</v>
      </c>
      <c r="F88" s="16" t="n">
        <v>122</v>
      </c>
      <c r="G88" s="14" t="n">
        <v>-0.109592786697269</v>
      </c>
      <c r="H88" s="15" t="n">
        <v>-0.224698511574792</v>
      </c>
    </row>
    <row r="89">
      <c r="A89" t="s">
        <v>31</v>
      </c>
      <c r="B89" t="s">
        <v>533</v>
      </c>
      <c r="C89" t="s">
        <v>534</v>
      </c>
      <c r="D89" t="s">
        <v>396</v>
      </c>
      <c r="E89" s="13" t="n">
        <v>0</v>
      </c>
      <c r="F89" s="16" t="n">
        <v>144</v>
      </c>
      <c r="G89" s="14" t="n">
        <v>0</v>
      </c>
      <c r="H89" s="15" t="n">
        <v>0</v>
      </c>
    </row>
    <row r="90">
      <c r="A90" t="s">
        <v>31</v>
      </c>
      <c r="B90" t="s">
        <v>535</v>
      </c>
      <c r="C90" t="s">
        <v>536</v>
      </c>
      <c r="D90" t="s">
        <v>396</v>
      </c>
      <c r="E90" s="13" t="n">
        <v>0.25</v>
      </c>
      <c r="F90" s="16" t="n">
        <v>129</v>
      </c>
      <c r="G90" s="14" t="n">
        <v>-0.0519779227044399</v>
      </c>
      <c r="H90" s="15" t="n">
        <v>-0.244536900183451</v>
      </c>
    </row>
    <row r="91">
      <c r="A91" t="s">
        <v>31</v>
      </c>
      <c r="B91" t="s">
        <v>535</v>
      </c>
      <c r="C91" t="s">
        <v>537</v>
      </c>
      <c r="D91" t="s">
        <v>396</v>
      </c>
      <c r="E91" s="13" t="n">
        <v>0.25</v>
      </c>
      <c r="F91" s="16" t="n">
        <v>72</v>
      </c>
      <c r="G91" s="14" t="n">
        <v>-0.202254248593737</v>
      </c>
      <c r="H91" s="15" t="n">
        <v>0.146946313073118</v>
      </c>
    </row>
    <row r="92">
      <c r="A92" t="s">
        <v>30</v>
      </c>
      <c r="B92" t="s">
        <v>538</v>
      </c>
      <c r="C92" t="s">
        <v>539</v>
      </c>
      <c r="D92" t="s">
        <v>396</v>
      </c>
      <c r="E92" s="13" t="n">
        <v>0.5</v>
      </c>
      <c r="F92" s="16" t="n">
        <v>36</v>
      </c>
      <c r="G92" s="14" t="n">
        <v>0.154508497187474</v>
      </c>
      <c r="H92" s="15" t="n">
        <v>0.475528258147577</v>
      </c>
    </row>
    <row r="93">
      <c r="A93" t="s">
        <v>30</v>
      </c>
      <c r="B93" t="s">
        <v>538</v>
      </c>
      <c r="C93" t="s">
        <v>540</v>
      </c>
      <c r="D93" t="s">
        <v>396</v>
      </c>
      <c r="E93" s="13" t="n">
        <v>0.25</v>
      </c>
      <c r="F93" s="16" t="n">
        <v>125</v>
      </c>
      <c r="G93" s="14" t="n">
        <v>-0.0855050358314173</v>
      </c>
      <c r="H93" s="15" t="n">
        <v>-0.234923155196477</v>
      </c>
    </row>
    <row r="94">
      <c r="A94" t="s">
        <v>30</v>
      </c>
      <c r="B94" t="s">
        <v>541</v>
      </c>
      <c r="C94" t="s">
        <v>542</v>
      </c>
      <c r="D94" t="s">
        <v>396</v>
      </c>
      <c r="E94" s="13" t="n">
        <v>0.25</v>
      </c>
      <c r="F94" s="16" t="n">
        <v>54</v>
      </c>
      <c r="G94" s="14" t="n">
        <v>-0.0772542485937368</v>
      </c>
      <c r="H94" s="15" t="n">
        <v>0.237764129073788</v>
      </c>
    </row>
    <row r="95">
      <c r="A95" t="s">
        <v>30</v>
      </c>
      <c r="B95" t="s">
        <v>541</v>
      </c>
      <c r="C95" t="s">
        <v>543</v>
      </c>
      <c r="D95" t="s">
        <v>396</v>
      </c>
      <c r="E95" s="13" t="n">
        <v>0.25</v>
      </c>
      <c r="F95" s="16" t="n">
        <v>109</v>
      </c>
      <c r="G95" s="14" t="n">
        <v>-0.197002688401681</v>
      </c>
      <c r="H95" s="15" t="n">
        <v>-0.153915368831415</v>
      </c>
    </row>
    <row r="96">
      <c r="A96" t="s">
        <v>31</v>
      </c>
      <c r="B96" t="s">
        <v>544</v>
      </c>
      <c r="C96" t="s">
        <v>545</v>
      </c>
      <c r="D96" t="s">
        <v>396</v>
      </c>
      <c r="E96" s="13" t="n">
        <v>0.25</v>
      </c>
      <c r="F96" s="16" t="n">
        <v>24</v>
      </c>
      <c r="G96" s="14" t="n">
        <v>0.167282651589715</v>
      </c>
      <c r="H96" s="15" t="n">
        <v>0.185786206369349</v>
      </c>
    </row>
    <row r="97">
      <c r="A97" t="s">
        <v>31</v>
      </c>
      <c r="B97" t="s">
        <v>544</v>
      </c>
      <c r="C97" t="s">
        <v>546</v>
      </c>
      <c r="D97" t="s">
        <v>396</v>
      </c>
      <c r="E97" s="13" t="n">
        <v>0</v>
      </c>
      <c r="F97" s="16" t="n">
        <v>90</v>
      </c>
      <c r="G97" s="14" t="n">
        <v>0</v>
      </c>
      <c r="H97" s="15" t="n">
        <v>0</v>
      </c>
    </row>
    <row r="98">
      <c r="A98" t="s">
        <v>30</v>
      </c>
      <c r="B98" t="s">
        <v>547</v>
      </c>
      <c r="C98" t="s">
        <v>548</v>
      </c>
      <c r="D98" t="s">
        <v>396</v>
      </c>
      <c r="E98" s="13" t="n">
        <v>0.25</v>
      </c>
      <c r="F98" s="16" t="n">
        <v>33</v>
      </c>
      <c r="G98" s="14" t="n">
        <v>0.10168416076895</v>
      </c>
      <c r="H98" s="15" t="n">
        <v>0.22838636441065</v>
      </c>
    </row>
    <row r="99">
      <c r="A99" t="s">
        <v>30</v>
      </c>
      <c r="B99" t="s">
        <v>547</v>
      </c>
      <c r="C99" t="s">
        <v>549</v>
      </c>
      <c r="D99" t="s">
        <v>396</v>
      </c>
      <c r="E99" s="13" t="n">
        <v>0.25</v>
      </c>
      <c r="F99" s="16" t="n">
        <v>151</v>
      </c>
      <c r="G99" s="14" t="n">
        <v>0.132479816058301</v>
      </c>
      <c r="H99" s="15" t="n">
        <v>-0.212012024039106</v>
      </c>
    </row>
    <row r="100">
      <c r="A100" t="s">
        <v>31</v>
      </c>
      <c r="B100" t="s">
        <v>550</v>
      </c>
      <c r="C100" t="s">
        <v>551</v>
      </c>
      <c r="D100" t="s">
        <v>396</v>
      </c>
      <c r="E100" s="13" t="n">
        <v>0.25</v>
      </c>
      <c r="F100" s="16" t="n">
        <v>126</v>
      </c>
      <c r="G100" s="14" t="n">
        <v>-0.0772542485937369</v>
      </c>
      <c r="H100" s="15" t="n">
        <v>-0.237764129073788</v>
      </c>
    </row>
    <row r="101">
      <c r="A101" t="s">
        <v>31</v>
      </c>
      <c r="B101" t="s">
        <v>552</v>
      </c>
      <c r="C101" t="s">
        <v>553</v>
      </c>
      <c r="D101" t="s">
        <v>396</v>
      </c>
      <c r="E101" s="13" t="n">
        <v>0</v>
      </c>
      <c r="F101" s="16" t="n">
        <v>8</v>
      </c>
      <c r="G101" s="14" t="n">
        <v>0</v>
      </c>
      <c r="H101" s="15" t="n">
        <v>0</v>
      </c>
    </row>
    <row r="102">
      <c r="A102" t="s">
        <v>30</v>
      </c>
      <c r="B102" t="s">
        <v>554</v>
      </c>
      <c r="C102" t="s">
        <v>555</v>
      </c>
      <c r="D102" t="s">
        <v>396</v>
      </c>
      <c r="E102" s="13" t="n">
        <v>0.25</v>
      </c>
      <c r="F102" s="16" t="n">
        <v>71</v>
      </c>
      <c r="G102" s="14" t="n">
        <v>-0.19700268840168</v>
      </c>
      <c r="H102" s="15" t="n">
        <v>0.153915368831415</v>
      </c>
    </row>
    <row r="103">
      <c r="A103" t="s">
        <v>30</v>
      </c>
      <c r="B103" t="s">
        <v>554</v>
      </c>
      <c r="C103" t="s">
        <v>556</v>
      </c>
      <c r="D103" t="s">
        <v>396</v>
      </c>
      <c r="E103" s="13" t="n">
        <v>0</v>
      </c>
      <c r="F103" s="16" t="n">
        <v>52</v>
      </c>
      <c r="G103" s="14" t="n">
        <v>0</v>
      </c>
      <c r="H103" s="15" t="n">
        <v>0</v>
      </c>
    </row>
    <row r="104">
      <c r="A104" t="s">
        <v>30</v>
      </c>
      <c r="B104" t="s">
        <v>557</v>
      </c>
      <c r="C104" t="s">
        <v>558</v>
      </c>
      <c r="D104" t="s">
        <v>396</v>
      </c>
      <c r="E104" s="13" t="n">
        <v>0.5</v>
      </c>
      <c r="F104" s="16" t="n">
        <v>32</v>
      </c>
      <c r="G104" s="14" t="n">
        <v>0.219185573394539</v>
      </c>
      <c r="H104" s="15" t="n">
        <v>0.449397023149584</v>
      </c>
    </row>
    <row r="105">
      <c r="A105" t="s">
        <v>30</v>
      </c>
      <c r="B105" t="s">
        <v>557</v>
      </c>
      <c r="C105" t="s">
        <v>559</v>
      </c>
      <c r="D105" t="s">
        <v>396</v>
      </c>
      <c r="E105" s="13" t="n">
        <v>0.25</v>
      </c>
      <c r="F105" s="16" t="n">
        <v>142</v>
      </c>
      <c r="G105" s="14" t="n">
        <v>0.0604804738999169</v>
      </c>
      <c r="H105" s="15" t="n">
        <v>-0.242573931568999</v>
      </c>
    </row>
    <row r="106">
      <c r="A106" t="s">
        <v>30</v>
      </c>
      <c r="B106" t="s">
        <v>560</v>
      </c>
      <c r="C106" t="s">
        <v>561</v>
      </c>
      <c r="D106" t="s">
        <v>396</v>
      </c>
      <c r="E106" s="13" t="n">
        <v>0.25</v>
      </c>
      <c r="F106" s="16" t="n">
        <v>106</v>
      </c>
      <c r="G106" s="14" t="n">
        <v>-0.212012024039107</v>
      </c>
      <c r="H106" s="15" t="n">
        <v>-0.132479816058301</v>
      </c>
    </row>
    <row r="107">
      <c r="A107" t="s">
        <v>31</v>
      </c>
      <c r="B107" t="s">
        <v>562</v>
      </c>
      <c r="C107" t="s">
        <v>563</v>
      </c>
      <c r="D107" t="s">
        <v>396</v>
      </c>
      <c r="E107" s="13" t="n">
        <v>0.25</v>
      </c>
      <c r="F107" s="16" t="n">
        <v>97</v>
      </c>
      <c r="G107" s="14" t="n">
        <v>-0.242573931568999</v>
      </c>
      <c r="H107" s="15" t="n">
        <v>-0.0604804738999169</v>
      </c>
    </row>
    <row r="108">
      <c r="A108" t="s">
        <v>30</v>
      </c>
      <c r="B108" t="s">
        <v>564</v>
      </c>
      <c r="C108" t="s">
        <v>565</v>
      </c>
      <c r="D108" t="s">
        <v>396</v>
      </c>
      <c r="E108" s="13" t="n">
        <v>0.25</v>
      </c>
      <c r="F108" s="16" t="n">
        <v>51</v>
      </c>
      <c r="G108" s="14" t="n">
        <v>-0.0519779227044398</v>
      </c>
      <c r="H108" s="15" t="n">
        <v>0.244536900183451</v>
      </c>
    </row>
    <row r="109">
      <c r="A109" t="s">
        <v>30</v>
      </c>
      <c r="B109" t="s">
        <v>564</v>
      </c>
      <c r="C109" t="s">
        <v>566</v>
      </c>
      <c r="D109" t="s">
        <v>396</v>
      </c>
      <c r="E109" s="13" t="n">
        <v>0</v>
      </c>
      <c r="F109" s="16" t="n">
        <v>45</v>
      </c>
      <c r="G109" s="14" t="n">
        <v>0</v>
      </c>
      <c r="H109" s="15" t="n">
        <v>0</v>
      </c>
    </row>
    <row r="110">
      <c r="A110" t="s">
        <v>31</v>
      </c>
      <c r="B110" t="s">
        <v>567</v>
      </c>
      <c r="C110" t="s">
        <v>568</v>
      </c>
      <c r="D110" t="s">
        <v>396</v>
      </c>
      <c r="E110" s="13" t="n">
        <v>0</v>
      </c>
      <c r="F110" s="16" t="n">
        <v>125</v>
      </c>
      <c r="G110" s="14" t="n">
        <v>0</v>
      </c>
      <c r="H110" s="15" t="n">
        <v>0</v>
      </c>
    </row>
    <row r="111">
      <c r="A111" t="s">
        <v>31</v>
      </c>
      <c r="B111" t="s">
        <v>567</v>
      </c>
      <c r="C111" t="s">
        <v>569</v>
      </c>
      <c r="D111" t="s">
        <v>396</v>
      </c>
      <c r="E111" s="13" t="n">
        <v>0.25</v>
      </c>
      <c r="F111" s="16" t="n">
        <v>80</v>
      </c>
      <c r="G111" s="14" t="n">
        <v>-0.234923155196477</v>
      </c>
      <c r="H111" s="15" t="n">
        <v>0.0855050358314172</v>
      </c>
    </row>
    <row r="112">
      <c r="A112" t="s">
        <v>31</v>
      </c>
      <c r="B112" t="s">
        <v>570</v>
      </c>
      <c r="C112" t="s">
        <v>571</v>
      </c>
      <c r="D112" t="s">
        <v>396</v>
      </c>
      <c r="E112" s="13" t="n">
        <v>0.25</v>
      </c>
      <c r="F112" s="16" t="n">
        <v>50</v>
      </c>
      <c r="G112" s="14" t="n">
        <v>-0.0434120444167326</v>
      </c>
      <c r="H112" s="15" t="n">
        <v>0.246201938253052</v>
      </c>
    </row>
    <row r="113">
      <c r="A113" t="s">
        <v>31</v>
      </c>
      <c r="B113" t="s">
        <v>570</v>
      </c>
      <c r="C113" t="s">
        <v>572</v>
      </c>
      <c r="D113" t="s">
        <v>396</v>
      </c>
      <c r="E113" s="13" t="n">
        <v>0.25</v>
      </c>
      <c r="F113" s="16" t="n">
        <v>148</v>
      </c>
      <c r="G113" s="14" t="n">
        <v>0.109592786697269</v>
      </c>
      <c r="H113" s="15" t="n">
        <v>-0.224698511574792</v>
      </c>
    </row>
    <row r="114">
      <c r="A114" t="s">
        <v>30</v>
      </c>
      <c r="B114" t="s">
        <v>573</v>
      </c>
      <c r="C114" t="s">
        <v>574</v>
      </c>
      <c r="D114" t="s">
        <v>396</v>
      </c>
      <c r="E114" s="13" t="n">
        <v>0.5</v>
      </c>
      <c r="F114" s="16" t="n">
        <v>37</v>
      </c>
      <c r="G114" s="14" t="n">
        <v>0.1378186779085</v>
      </c>
      <c r="H114" s="15" t="n">
        <v>0.480630847969159</v>
      </c>
    </row>
    <row r="115">
      <c r="A115" t="s">
        <v>30</v>
      </c>
      <c r="B115" t="s">
        <v>573</v>
      </c>
      <c r="C115" t="s">
        <v>575</v>
      </c>
      <c r="D115" t="s">
        <v>396</v>
      </c>
      <c r="E115" s="13" t="n">
        <v>0.25</v>
      </c>
      <c r="F115" s="16" t="n">
        <v>161</v>
      </c>
      <c r="G115" s="14" t="n">
        <v>0.197002688401681</v>
      </c>
      <c r="H115" s="15" t="n">
        <v>-0.153915368831415</v>
      </c>
    </row>
    <row r="116">
      <c r="A116" t="s">
        <v>30</v>
      </c>
      <c r="B116" t="s">
        <v>576</v>
      </c>
      <c r="C116" t="s">
        <v>577</v>
      </c>
      <c r="D116" t="s">
        <v>396</v>
      </c>
      <c r="E116" s="13" t="n">
        <v>0.25</v>
      </c>
      <c r="F116" s="16" t="n">
        <v>121</v>
      </c>
      <c r="G116" s="14" t="n">
        <v>-0.117367890696473</v>
      </c>
      <c r="H116" s="15" t="n">
        <v>-0.220736898214732</v>
      </c>
    </row>
    <row r="117">
      <c r="A117" t="s">
        <v>30</v>
      </c>
      <c r="B117" t="s">
        <v>576</v>
      </c>
      <c r="C117" t="s">
        <v>578</v>
      </c>
      <c r="D117" t="s">
        <v>396</v>
      </c>
      <c r="E117" s="13" t="n">
        <v>0.25</v>
      </c>
      <c r="F117" s="16" t="n">
        <v>37</v>
      </c>
      <c r="G117" s="14" t="n">
        <v>0.0689093389542498</v>
      </c>
      <c r="H117" s="15" t="n">
        <v>0.24031542398458</v>
      </c>
    </row>
    <row r="118">
      <c r="A118" t="s">
        <v>31</v>
      </c>
      <c r="B118" t="s">
        <v>579</v>
      </c>
      <c r="C118" t="s">
        <v>580</v>
      </c>
      <c r="D118" t="s">
        <v>396</v>
      </c>
      <c r="E118" s="13" t="n">
        <v>0.25</v>
      </c>
      <c r="F118" s="16" t="n">
        <v>61</v>
      </c>
      <c r="G118" s="14" t="n">
        <v>-0.132479816058301</v>
      </c>
      <c r="H118" s="15" t="n">
        <v>0.212012024039107</v>
      </c>
    </row>
    <row r="119">
      <c r="A119" t="s">
        <v>31</v>
      </c>
      <c r="B119" t="s">
        <v>579</v>
      </c>
      <c r="C119" t="s">
        <v>581</v>
      </c>
      <c r="D119" t="s">
        <v>396</v>
      </c>
      <c r="E119" s="13" t="n">
        <v>0.25</v>
      </c>
      <c r="F119" s="16" t="n">
        <v>121</v>
      </c>
      <c r="G119" s="14" t="n">
        <v>-0.117367890696473</v>
      </c>
      <c r="H119" s="15" t="n">
        <v>-0.220736898214732</v>
      </c>
    </row>
    <row r="120">
      <c r="A120" t="s">
        <v>30</v>
      </c>
      <c r="B120" t="s">
        <v>582</v>
      </c>
      <c r="C120" t="s">
        <v>583</v>
      </c>
      <c r="D120" t="s">
        <v>396</v>
      </c>
      <c r="E120" s="13" t="n">
        <v>0.5</v>
      </c>
      <c r="F120" s="16" t="n">
        <v>40</v>
      </c>
      <c r="G120" s="14" t="n">
        <v>0.0868240888334652</v>
      </c>
      <c r="H120" s="15" t="n">
        <v>0.492403876506104</v>
      </c>
    </row>
    <row r="121">
      <c r="A121" t="s">
        <v>31</v>
      </c>
      <c r="B121" t="s">
        <v>584</v>
      </c>
      <c r="C121" t="s">
        <v>585</v>
      </c>
      <c r="D121" t="s">
        <v>396</v>
      </c>
      <c r="E121" s="13" t="n">
        <v>0</v>
      </c>
      <c r="F121" s="16" t="n">
        <v>129</v>
      </c>
      <c r="G121" s="14" t="n">
        <v>0</v>
      </c>
      <c r="H121" s="15" t="n">
        <v>0</v>
      </c>
    </row>
    <row r="122">
      <c r="A122" t="s">
        <v>31</v>
      </c>
      <c r="B122" t="s">
        <v>586</v>
      </c>
      <c r="C122" t="s">
        <v>587</v>
      </c>
      <c r="D122" t="s">
        <v>396</v>
      </c>
      <c r="E122" s="13" t="n">
        <v>0.25</v>
      </c>
      <c r="F122" s="16" t="n">
        <v>144</v>
      </c>
      <c r="G122" s="14" t="n">
        <v>0.0772542485937368</v>
      </c>
      <c r="H122" s="15" t="n">
        <v>-0.237764129073788</v>
      </c>
    </row>
    <row r="123">
      <c r="A123" t="s">
        <v>31</v>
      </c>
      <c r="B123" t="s">
        <v>586</v>
      </c>
      <c r="C123" t="s">
        <v>588</v>
      </c>
      <c r="D123" t="s">
        <v>396</v>
      </c>
      <c r="E123" s="13" t="n">
        <v>0.25</v>
      </c>
      <c r="F123" s="16" t="n">
        <v>47</v>
      </c>
      <c r="G123" s="14" t="n">
        <v>-0.0174391184360313</v>
      </c>
      <c r="H123" s="15" t="n">
        <v>0.249391012564956</v>
      </c>
    </row>
    <row r="124">
      <c r="A124" t="s">
        <v>31</v>
      </c>
      <c r="B124" t="s">
        <v>589</v>
      </c>
      <c r="C124" t="s">
        <v>590</v>
      </c>
      <c r="D124" t="s">
        <v>396</v>
      </c>
      <c r="E124" s="13" t="n">
        <v>0.25</v>
      </c>
      <c r="F124" s="16" t="n">
        <v>106</v>
      </c>
      <c r="G124" s="14" t="n">
        <v>-0.212012024039107</v>
      </c>
      <c r="H124" s="15" t="n">
        <v>-0.132479816058301</v>
      </c>
    </row>
    <row r="125">
      <c r="A125" t="s">
        <v>31</v>
      </c>
      <c r="B125" t="s">
        <v>589</v>
      </c>
      <c r="C125" t="s">
        <v>591</v>
      </c>
      <c r="D125" t="s">
        <v>396</v>
      </c>
      <c r="E125" s="13" t="n">
        <v>0</v>
      </c>
      <c r="F125" s="16" t="n">
        <v>7</v>
      </c>
      <c r="G125" s="14" t="n">
        <v>0</v>
      </c>
      <c r="H125" s="15" t="n">
        <v>0</v>
      </c>
    </row>
    <row r="126">
      <c r="A126" t="s">
        <v>30</v>
      </c>
      <c r="B126" t="s">
        <v>592</v>
      </c>
      <c r="C126" t="s">
        <v>593</v>
      </c>
      <c r="D126" t="s">
        <v>396</v>
      </c>
      <c r="E126" s="13" t="n">
        <v>0.25</v>
      </c>
      <c r="F126" s="16" t="n">
        <v>167</v>
      </c>
      <c r="G126" s="14" t="n">
        <v>0.224698511574792</v>
      </c>
      <c r="H126" s="15" t="n">
        <v>-0.109592786697269</v>
      </c>
    </row>
    <row r="127">
      <c r="A127" t="s">
        <v>30</v>
      </c>
      <c r="B127" t="s">
        <v>592</v>
      </c>
      <c r="C127" t="s">
        <v>594</v>
      </c>
      <c r="D127" t="s">
        <v>396</v>
      </c>
      <c r="E127" s="13" t="n">
        <v>0.25</v>
      </c>
      <c r="F127" s="16" t="n">
        <v>174</v>
      </c>
      <c r="G127" s="14" t="n">
        <v>0.244536900183451</v>
      </c>
      <c r="H127" s="15" t="n">
        <v>-0.0519779227044398</v>
      </c>
    </row>
    <row r="128">
      <c r="A128" t="s">
        <v>30</v>
      </c>
      <c r="B128" t="s">
        <v>595</v>
      </c>
      <c r="C128" t="s">
        <v>596</v>
      </c>
      <c r="D128" t="s">
        <v>396</v>
      </c>
      <c r="E128" s="13" t="n">
        <v>1</v>
      </c>
      <c r="F128" s="16" t="n">
        <v>93</v>
      </c>
      <c r="G128" s="14" t="n">
        <v>-0.994521895368273</v>
      </c>
      <c r="H128" s="15" t="n">
        <v>-0.104528463267654</v>
      </c>
    </row>
    <row r="129">
      <c r="A129" t="s">
        <v>30</v>
      </c>
      <c r="B129" t="s">
        <v>595</v>
      </c>
      <c r="C129" t="s">
        <v>597</v>
      </c>
      <c r="D129" t="s">
        <v>396</v>
      </c>
      <c r="E129" s="13" t="n">
        <v>0.75</v>
      </c>
      <c r="F129" s="16" t="n">
        <v>76</v>
      </c>
      <c r="G129" s="14" t="n">
        <v>-0.662210694644195</v>
      </c>
      <c r="H129" s="15" t="n">
        <v>0.352103672089418</v>
      </c>
    </row>
    <row r="130">
      <c r="A130" t="s">
        <v>31</v>
      </c>
      <c r="B130" t="s">
        <v>598</v>
      </c>
      <c r="C130" t="s">
        <v>599</v>
      </c>
      <c r="D130" t="s">
        <v>396</v>
      </c>
      <c r="E130" s="13" t="n">
        <v>0.25</v>
      </c>
      <c r="F130" s="16" t="n">
        <v>65</v>
      </c>
      <c r="G130" s="14" t="n">
        <v>-0.160696902421635</v>
      </c>
      <c r="H130" s="15" t="n">
        <v>0.191511110779745</v>
      </c>
    </row>
    <row r="131">
      <c r="A131" t="s">
        <v>31</v>
      </c>
      <c r="B131" t="s">
        <v>598</v>
      </c>
      <c r="C131" t="s">
        <v>600</v>
      </c>
      <c r="D131" t="s">
        <v>396</v>
      </c>
      <c r="E131" s="13" t="n">
        <v>0.25</v>
      </c>
      <c r="F131" s="16" t="n">
        <v>120</v>
      </c>
      <c r="G131" s="14" t="n">
        <v>-0.125</v>
      </c>
      <c r="H131" s="15" t="n">
        <v>-0.21650635094611</v>
      </c>
    </row>
    <row r="132">
      <c r="A132" t="s">
        <v>30</v>
      </c>
      <c r="B132" t="s">
        <v>601</v>
      </c>
      <c r="C132" t="s">
        <v>602</v>
      </c>
      <c r="D132" t="s">
        <v>396</v>
      </c>
      <c r="E132" s="13" t="n">
        <v>0.25</v>
      </c>
      <c r="F132" s="16" t="n">
        <v>120</v>
      </c>
      <c r="G132" s="14" t="n">
        <v>-0.125</v>
      </c>
      <c r="H132" s="15" t="n">
        <v>-0.21650635094611</v>
      </c>
    </row>
    <row r="133">
      <c r="A133" t="s">
        <v>30</v>
      </c>
      <c r="B133" t="s">
        <v>601</v>
      </c>
      <c r="C133" t="s">
        <v>603</v>
      </c>
      <c r="D133" t="s">
        <v>396</v>
      </c>
      <c r="E133" s="13" t="n">
        <v>0.25</v>
      </c>
      <c r="F133" s="16" t="n">
        <v>53</v>
      </c>
      <c r="G133" s="14" t="n">
        <v>-0.0689093389542498</v>
      </c>
      <c r="H133" s="15" t="n">
        <v>0.24031542398458</v>
      </c>
    </row>
    <row r="134">
      <c r="A134" t="s">
        <v>31</v>
      </c>
      <c r="B134" t="s">
        <v>604</v>
      </c>
      <c r="C134" t="s">
        <v>605</v>
      </c>
      <c r="D134" t="s">
        <v>396</v>
      </c>
      <c r="E134" s="13" t="n">
        <v>0.25</v>
      </c>
      <c r="F134" s="16" t="n">
        <v>39</v>
      </c>
      <c r="G134" s="14" t="n">
        <v>0.0519779227044398</v>
      </c>
      <c r="H134" s="15" t="n">
        <v>0.244536900183451</v>
      </c>
    </row>
    <row r="135">
      <c r="A135" t="s">
        <v>31</v>
      </c>
      <c r="B135" t="s">
        <v>604</v>
      </c>
      <c r="C135" t="s">
        <v>606</v>
      </c>
      <c r="D135" t="s">
        <v>396</v>
      </c>
      <c r="E135" s="13" t="n">
        <v>0</v>
      </c>
      <c r="F135" s="16" t="n">
        <v>106</v>
      </c>
      <c r="G135" s="14" t="n">
        <v>0</v>
      </c>
      <c r="H135" s="15" t="n">
        <v>0</v>
      </c>
    </row>
    <row r="136">
      <c r="A136" t="s">
        <v>30</v>
      </c>
      <c r="B136" t="s">
        <v>607</v>
      </c>
      <c r="C136" t="s">
        <v>608</v>
      </c>
      <c r="D136" t="s">
        <v>396</v>
      </c>
      <c r="E136" s="13" t="n">
        <v>0</v>
      </c>
      <c r="F136" s="16" t="n">
        <v>82</v>
      </c>
      <c r="G136" s="14" t="n">
        <v>0</v>
      </c>
      <c r="H136" s="15" t="n">
        <v>0</v>
      </c>
    </row>
    <row r="137">
      <c r="A137" t="s">
        <v>30</v>
      </c>
      <c r="B137" t="s">
        <v>609</v>
      </c>
      <c r="C137" t="s">
        <v>610</v>
      </c>
      <c r="D137" t="s">
        <v>396</v>
      </c>
      <c r="E137" s="13" t="n">
        <v>0</v>
      </c>
      <c r="F137" s="16" t="n">
        <v>166</v>
      </c>
      <c r="G137" s="14" t="n">
        <v>0</v>
      </c>
      <c r="H137" s="15" t="n">
        <v>0</v>
      </c>
    </row>
    <row r="138">
      <c r="A138" t="s">
        <v>30</v>
      </c>
      <c r="B138" t="s">
        <v>609</v>
      </c>
      <c r="C138" t="s">
        <v>611</v>
      </c>
      <c r="D138" t="s">
        <v>396</v>
      </c>
      <c r="E138" s="13" t="n">
        <v>0</v>
      </c>
      <c r="F138" s="16" t="n">
        <v>6</v>
      </c>
      <c r="G138" s="14" t="n">
        <v>0</v>
      </c>
      <c r="H138" s="15" t="n">
        <v>0</v>
      </c>
    </row>
    <row r="139">
      <c r="A139" t="s">
        <v>30</v>
      </c>
      <c r="B139" t="s">
        <v>612</v>
      </c>
      <c r="C139" t="s">
        <v>613</v>
      </c>
      <c r="D139" t="s">
        <v>396</v>
      </c>
      <c r="E139" s="13" t="n">
        <v>0</v>
      </c>
      <c r="F139" s="16" t="n">
        <v>166</v>
      </c>
      <c r="G139" s="14" t="n">
        <v>0</v>
      </c>
      <c r="H139" s="15" t="n">
        <v>0</v>
      </c>
    </row>
    <row r="140">
      <c r="A140" t="s">
        <v>30</v>
      </c>
      <c r="B140" t="s">
        <v>612</v>
      </c>
      <c r="C140" t="s">
        <v>614</v>
      </c>
      <c r="D140" t="s">
        <v>396</v>
      </c>
      <c r="E140" s="13" t="n">
        <v>0.25</v>
      </c>
      <c r="F140" s="16" t="n">
        <v>90</v>
      </c>
      <c r="G140" s="14" t="n">
        <v>-0.25</v>
      </c>
      <c r="H140" s="15" t="n">
        <v>0</v>
      </c>
    </row>
    <row r="141">
      <c r="A141" t="s">
        <v>30</v>
      </c>
      <c r="B141" t="s">
        <v>615</v>
      </c>
      <c r="C141" t="s">
        <v>616</v>
      </c>
      <c r="D141" t="s">
        <v>396</v>
      </c>
      <c r="E141" s="13" t="n">
        <v>0.75</v>
      </c>
      <c r="F141" s="16" t="n">
        <v>132</v>
      </c>
      <c r="G141" s="14" t="n">
        <v>-0.0783963474507407</v>
      </c>
      <c r="H141" s="15" t="n">
        <v>-0.745891421526205</v>
      </c>
    </row>
    <row r="142">
      <c r="A142" t="s">
        <v>30</v>
      </c>
      <c r="B142" t="s">
        <v>617</v>
      </c>
      <c r="C142" t="s">
        <v>618</v>
      </c>
      <c r="D142" t="s">
        <v>396</v>
      </c>
      <c r="E142" s="13" t="n">
        <v>0.25</v>
      </c>
      <c r="F142" s="16" t="n">
        <v>167</v>
      </c>
      <c r="G142" s="14" t="n">
        <v>0.224698511574792</v>
      </c>
      <c r="H142" s="15" t="n">
        <v>-0.109592786697269</v>
      </c>
    </row>
    <row r="143">
      <c r="A143" t="s">
        <v>30</v>
      </c>
      <c r="B143" t="s">
        <v>617</v>
      </c>
      <c r="C143" t="s">
        <v>619</v>
      </c>
      <c r="D143" t="s">
        <v>396</v>
      </c>
      <c r="E143" s="13" t="n">
        <v>0.25</v>
      </c>
      <c r="F143" s="16" t="n">
        <v>2</v>
      </c>
      <c r="G143" s="14" t="n">
        <v>0.249391012564956</v>
      </c>
      <c r="H143" s="15" t="n">
        <v>0.0174391184360313</v>
      </c>
    </row>
    <row r="144">
      <c r="A144" t="s">
        <v>30</v>
      </c>
      <c r="B144" t="s">
        <v>620</v>
      </c>
      <c r="C144" t="s">
        <v>621</v>
      </c>
      <c r="D144" t="s">
        <v>396</v>
      </c>
      <c r="E144" s="13" t="n">
        <v>0</v>
      </c>
      <c r="F144" s="16" t="n">
        <v>130</v>
      </c>
      <c r="G144" s="14" t="n">
        <v>0</v>
      </c>
      <c r="H144" s="15" t="n">
        <v>0</v>
      </c>
    </row>
    <row r="145">
      <c r="A145" t="s">
        <v>30</v>
      </c>
      <c r="B145" t="s">
        <v>620</v>
      </c>
      <c r="C145" t="s">
        <v>622</v>
      </c>
      <c r="D145" t="s">
        <v>396</v>
      </c>
      <c r="E145" s="13" t="n">
        <v>0.5</v>
      </c>
      <c r="F145" s="16" t="n">
        <v>127</v>
      </c>
      <c r="G145" s="14" t="n">
        <v>-0.137818677908499</v>
      </c>
      <c r="H145" s="15" t="n">
        <v>-0.48063084796916</v>
      </c>
    </row>
    <row r="146">
      <c r="A146" t="s">
        <v>30</v>
      </c>
      <c r="B146" t="s">
        <v>623</v>
      </c>
      <c r="C146" t="s">
        <v>624</v>
      </c>
      <c r="D146" t="s">
        <v>396</v>
      </c>
      <c r="E146" s="13" t="n">
        <v>0</v>
      </c>
      <c r="F146" s="16" t="n">
        <v>71</v>
      </c>
      <c r="G146" s="14" t="n">
        <v>0</v>
      </c>
      <c r="H146" s="15" t="n">
        <v>0</v>
      </c>
    </row>
    <row r="147">
      <c r="A147" t="s">
        <v>30</v>
      </c>
      <c r="B147" t="s">
        <v>625</v>
      </c>
      <c r="C147" t="s">
        <v>626</v>
      </c>
      <c r="D147" t="s">
        <v>396</v>
      </c>
      <c r="E147" s="13" t="n">
        <v>0.25</v>
      </c>
      <c r="F147" s="16" t="n">
        <v>114</v>
      </c>
      <c r="G147" s="14" t="n">
        <v>-0.167282651589715</v>
      </c>
      <c r="H147" s="15" t="n">
        <v>-0.185786206369349</v>
      </c>
    </row>
    <row r="148">
      <c r="A148" t="s">
        <v>30</v>
      </c>
      <c r="B148" t="s">
        <v>625</v>
      </c>
      <c r="C148" t="s">
        <v>627</v>
      </c>
      <c r="D148" t="s">
        <v>396</v>
      </c>
      <c r="E148" s="13" t="n">
        <v>0.25</v>
      </c>
      <c r="F148" s="16" t="n">
        <v>111</v>
      </c>
      <c r="G148" s="14" t="n">
        <v>-0.185786206369349</v>
      </c>
      <c r="H148" s="15" t="n">
        <v>-0.167282651589715</v>
      </c>
    </row>
    <row r="149">
      <c r="A149" t="s">
        <v>30</v>
      </c>
      <c r="B149" t="s">
        <v>628</v>
      </c>
      <c r="C149" t="s">
        <v>629</v>
      </c>
      <c r="D149" t="s">
        <v>396</v>
      </c>
      <c r="E149" s="13" t="n">
        <v>0.25</v>
      </c>
      <c r="F149" s="16" t="n">
        <v>2</v>
      </c>
      <c r="G149" s="14" t="n">
        <v>0.249391012564956</v>
      </c>
      <c r="H149" s="15" t="n">
        <v>0.0174391184360313</v>
      </c>
    </row>
    <row r="150">
      <c r="A150" t="s">
        <v>30</v>
      </c>
      <c r="B150" t="s">
        <v>628</v>
      </c>
      <c r="C150" t="s">
        <v>630</v>
      </c>
      <c r="D150" t="s">
        <v>396</v>
      </c>
      <c r="E150" s="13" t="n">
        <v>0.25</v>
      </c>
      <c r="F150" s="16" t="n">
        <v>170</v>
      </c>
      <c r="G150" s="14" t="n">
        <v>0.234923155196477</v>
      </c>
      <c r="H150" s="15" t="n">
        <v>-0.0855050358314172</v>
      </c>
    </row>
    <row r="151">
      <c r="A151" t="s">
        <v>31</v>
      </c>
      <c r="B151" t="s">
        <v>631</v>
      </c>
      <c r="C151" t="s">
        <v>632</v>
      </c>
      <c r="D151" t="s">
        <v>396</v>
      </c>
      <c r="E151" s="13" t="n">
        <v>0.25</v>
      </c>
      <c r="F151" s="16" t="n">
        <v>77</v>
      </c>
      <c r="G151" s="14" t="n">
        <v>-0.224698511574792</v>
      </c>
      <c r="H151" s="15" t="n">
        <v>0.109592786697269</v>
      </c>
    </row>
    <row r="152">
      <c r="A152" t="s">
        <v>31</v>
      </c>
      <c r="B152" t="s">
        <v>633</v>
      </c>
      <c r="C152" t="s">
        <v>634</v>
      </c>
      <c r="D152" t="s">
        <v>396</v>
      </c>
      <c r="E152" s="13" t="n">
        <v>0.25</v>
      </c>
      <c r="F152" s="16" t="n">
        <v>135</v>
      </c>
      <c r="G152" s="14" t="n">
        <v>0</v>
      </c>
      <c r="H152" s="15" t="n">
        <v>-0.25</v>
      </c>
    </row>
    <row r="153">
      <c r="A153" t="s">
        <v>31</v>
      </c>
      <c r="B153" t="s">
        <v>635</v>
      </c>
      <c r="C153" t="s">
        <v>636</v>
      </c>
      <c r="D153" t="s">
        <v>396</v>
      </c>
      <c r="E153" s="13" t="n">
        <v>0.75</v>
      </c>
      <c r="F153" s="16" t="n">
        <v>140</v>
      </c>
      <c r="G153" s="14" t="n">
        <v>0.130236133250197</v>
      </c>
      <c r="H153" s="15" t="n">
        <v>-0.738605814759156</v>
      </c>
    </row>
    <row r="154">
      <c r="A154" t="s">
        <v>30</v>
      </c>
      <c r="B154" t="s">
        <v>637</v>
      </c>
      <c r="C154" t="s">
        <v>638</v>
      </c>
      <c r="D154" t="s">
        <v>396</v>
      </c>
      <c r="E154" s="13" t="n">
        <v>0.25</v>
      </c>
      <c r="F154" s="16" t="n">
        <v>97</v>
      </c>
      <c r="G154" s="14" t="n">
        <v>-0.242573931568999</v>
      </c>
      <c r="H154" s="15" t="n">
        <v>-0.0604804738999169</v>
      </c>
    </row>
    <row r="155">
      <c r="A155" t="s">
        <v>30</v>
      </c>
      <c r="B155" t="s">
        <v>637</v>
      </c>
      <c r="C155" t="s">
        <v>639</v>
      </c>
      <c r="D155" t="s">
        <v>396</v>
      </c>
      <c r="E155" s="13" t="n">
        <v>0.25</v>
      </c>
      <c r="F155" s="16" t="n">
        <v>123</v>
      </c>
      <c r="G155" s="14" t="n">
        <v>-0.10168416076895</v>
      </c>
      <c r="H155" s="15" t="n">
        <v>-0.22838636441065</v>
      </c>
    </row>
    <row r="156">
      <c r="A156" t="s">
        <v>30</v>
      </c>
      <c r="B156" t="s">
        <v>640</v>
      </c>
      <c r="C156" t="s">
        <v>641</v>
      </c>
      <c r="D156" t="s">
        <v>396</v>
      </c>
      <c r="E156" s="13" t="n">
        <v>0.25</v>
      </c>
      <c r="F156" s="16" t="n">
        <v>36</v>
      </c>
      <c r="G156" s="14" t="n">
        <v>0.0772542485937369</v>
      </c>
      <c r="H156" s="15" t="n">
        <v>0.237764129073788</v>
      </c>
    </row>
    <row r="157">
      <c r="A157" t="s">
        <v>31</v>
      </c>
      <c r="B157" t="s">
        <v>642</v>
      </c>
      <c r="C157" t="s">
        <v>643</v>
      </c>
      <c r="D157" t="s">
        <v>396</v>
      </c>
      <c r="E157" s="13" t="n">
        <v>0.5</v>
      </c>
      <c r="F157" s="16" t="n">
        <v>18</v>
      </c>
      <c r="G157" s="14" t="n">
        <v>0.404508497187474</v>
      </c>
      <c r="H157" s="15" t="n">
        <v>0.293892626146237</v>
      </c>
    </row>
    <row r="158">
      <c r="A158" t="s">
        <v>31</v>
      </c>
      <c r="B158" t="s">
        <v>642</v>
      </c>
      <c r="C158" t="s">
        <v>644</v>
      </c>
      <c r="D158" t="s">
        <v>396</v>
      </c>
      <c r="E158" s="13" t="n">
        <v>0.25</v>
      </c>
      <c r="F158" s="16" t="n">
        <v>156</v>
      </c>
      <c r="G158" s="14" t="n">
        <v>0.167282651589715</v>
      </c>
      <c r="H158" s="15" t="n">
        <v>-0.185786206369349</v>
      </c>
    </row>
    <row r="159">
      <c r="A159" t="s">
        <v>30</v>
      </c>
      <c r="B159" t="s">
        <v>645</v>
      </c>
      <c r="C159" t="s">
        <v>646</v>
      </c>
      <c r="D159" t="s">
        <v>396</v>
      </c>
      <c r="E159" s="13" t="n">
        <v>0.5</v>
      </c>
      <c r="F159" s="16" t="n">
        <v>130</v>
      </c>
      <c r="G159" s="14" t="n">
        <v>-0.0868240888334652</v>
      </c>
      <c r="H159" s="15" t="n">
        <v>-0.492403876506104</v>
      </c>
    </row>
    <row r="160">
      <c r="A160" t="s">
        <v>30</v>
      </c>
      <c r="B160" t="s">
        <v>647</v>
      </c>
      <c r="C160" t="s">
        <v>648</v>
      </c>
      <c r="D160" t="s">
        <v>396</v>
      </c>
      <c r="E160" s="13" t="n">
        <v>0.25</v>
      </c>
      <c r="F160" s="16" t="n">
        <v>40</v>
      </c>
      <c r="G160" s="14" t="n">
        <v>0.0434120444167326</v>
      </c>
      <c r="H160" s="15" t="n">
        <v>0.246201938253052</v>
      </c>
    </row>
    <row r="161">
      <c r="A161" t="s">
        <v>30</v>
      </c>
      <c r="B161" t="s">
        <v>647</v>
      </c>
      <c r="C161" t="s">
        <v>649</v>
      </c>
      <c r="D161" t="s">
        <v>396</v>
      </c>
      <c r="E161" s="13" t="n">
        <v>0</v>
      </c>
      <c r="F161" s="16" t="n">
        <v>102</v>
      </c>
      <c r="G161" s="14" t="n">
        <v>0</v>
      </c>
      <c r="H161" s="15" t="n">
        <v>0</v>
      </c>
    </row>
    <row r="162">
      <c r="A162" t="s">
        <v>31</v>
      </c>
      <c r="B162" t="s">
        <v>650</v>
      </c>
      <c r="C162" t="s">
        <v>651</v>
      </c>
      <c r="D162" t="s">
        <v>396</v>
      </c>
      <c r="E162" s="13" t="n">
        <v>0</v>
      </c>
      <c r="F162" s="16" t="n">
        <v>63</v>
      </c>
      <c r="G162" s="14" t="n">
        <v>0</v>
      </c>
      <c r="H162" s="15" t="n">
        <v>0</v>
      </c>
    </row>
    <row r="163">
      <c r="A163" t="s">
        <v>31</v>
      </c>
      <c r="B163" t="s">
        <v>650</v>
      </c>
      <c r="C163" t="s">
        <v>652</v>
      </c>
      <c r="D163" t="s">
        <v>396</v>
      </c>
      <c r="E163" s="13" t="n">
        <v>0.25</v>
      </c>
      <c r="F163" s="16" t="n">
        <v>137</v>
      </c>
      <c r="G163" s="14" t="n">
        <v>0.0174391184360313</v>
      </c>
      <c r="H163" s="15" t="n">
        <v>-0.249391012564956</v>
      </c>
    </row>
    <row r="164">
      <c r="A164" t="s">
        <v>31</v>
      </c>
      <c r="B164" t="s">
        <v>653</v>
      </c>
      <c r="C164" t="s">
        <v>654</v>
      </c>
      <c r="D164" t="s">
        <v>396</v>
      </c>
      <c r="E164" s="13" t="n">
        <v>0.25</v>
      </c>
      <c r="F164" s="16" t="n">
        <v>163</v>
      </c>
      <c r="G164" s="14" t="n">
        <v>0.20725939313876</v>
      </c>
      <c r="H164" s="15" t="n">
        <v>-0.139798225867687</v>
      </c>
    </row>
    <row r="165">
      <c r="A165" t="s">
        <v>31</v>
      </c>
      <c r="B165" t="s">
        <v>653</v>
      </c>
      <c r="C165" t="s">
        <v>655</v>
      </c>
      <c r="D165" t="s">
        <v>396</v>
      </c>
      <c r="E165" s="13" t="n">
        <v>0.5</v>
      </c>
      <c r="F165" s="16" t="n">
        <v>27</v>
      </c>
      <c r="G165" s="14" t="n">
        <v>0.293892626146237</v>
      </c>
      <c r="H165" s="15" t="n">
        <v>0.404508497187474</v>
      </c>
    </row>
    <row r="166">
      <c r="A166" t="s">
        <v>30</v>
      </c>
      <c r="B166" t="s">
        <v>656</v>
      </c>
      <c r="C166" t="s">
        <v>657</v>
      </c>
      <c r="D166" t="s">
        <v>396</v>
      </c>
      <c r="E166" s="13" t="n">
        <v>0</v>
      </c>
      <c r="F166" s="16" t="n">
        <v>58</v>
      </c>
      <c r="G166" s="14" t="n">
        <v>0</v>
      </c>
      <c r="H166" s="15" t="n">
        <v>0</v>
      </c>
    </row>
    <row r="167">
      <c r="A167" t="s">
        <v>30</v>
      </c>
      <c r="B167" t="s">
        <v>656</v>
      </c>
      <c r="C167" t="s">
        <v>658</v>
      </c>
      <c r="D167" t="s">
        <v>396</v>
      </c>
      <c r="E167" s="13" t="n">
        <v>0.25</v>
      </c>
      <c r="F167" s="16" t="n">
        <v>45</v>
      </c>
      <c r="G167" s="14" t="n">
        <v>0</v>
      </c>
      <c r="H167" s="15" t="n">
        <v>0.25</v>
      </c>
    </row>
    <row r="168">
      <c r="A168" t="s">
        <v>30</v>
      </c>
      <c r="B168" t="s">
        <v>659</v>
      </c>
      <c r="C168" t="s">
        <v>660</v>
      </c>
      <c r="D168" t="s">
        <v>396</v>
      </c>
      <c r="E168" s="13" t="n">
        <v>0.5</v>
      </c>
      <c r="F168" s="16" t="n">
        <v>107</v>
      </c>
      <c r="G168" s="14" t="n">
        <v>-0.414518786277521</v>
      </c>
      <c r="H168" s="15" t="n">
        <v>-0.279596451735373</v>
      </c>
    </row>
    <row r="169">
      <c r="A169" t="s">
        <v>31</v>
      </c>
      <c r="B169" t="s">
        <v>661</v>
      </c>
      <c r="C169" t="s">
        <v>662</v>
      </c>
      <c r="D169" t="s">
        <v>396</v>
      </c>
      <c r="E169" s="13" t="n">
        <v>0.5</v>
      </c>
      <c r="F169" s="16" t="n">
        <v>6</v>
      </c>
      <c r="G169" s="14" t="n">
        <v>0.489073800366903</v>
      </c>
      <c r="H169" s="15" t="n">
        <v>0.10395584540888</v>
      </c>
    </row>
    <row r="170">
      <c r="A170" t="s">
        <v>31</v>
      </c>
      <c r="B170" t="s">
        <v>661</v>
      </c>
      <c r="C170" t="s">
        <v>663</v>
      </c>
      <c r="D170" t="s">
        <v>396</v>
      </c>
      <c r="E170" s="13" t="n">
        <v>0</v>
      </c>
      <c r="F170" s="16" t="n">
        <v>66</v>
      </c>
      <c r="G170" s="14" t="n">
        <v>0</v>
      </c>
      <c r="H170" s="15" t="n">
        <v>0</v>
      </c>
    </row>
    <row r="171">
      <c r="A171" t="s">
        <v>30</v>
      </c>
      <c r="B171" t="s">
        <v>664</v>
      </c>
      <c r="C171" t="s">
        <v>665</v>
      </c>
      <c r="D171" t="s">
        <v>396</v>
      </c>
      <c r="E171" s="13" t="n">
        <v>0.25</v>
      </c>
      <c r="F171" s="16" t="n">
        <v>98</v>
      </c>
      <c r="G171" s="14" t="n">
        <v>-0.24031542398458</v>
      </c>
      <c r="H171" s="15" t="n">
        <v>-0.0689093389542497</v>
      </c>
    </row>
    <row r="172">
      <c r="A172" t="s">
        <v>30</v>
      </c>
      <c r="B172" t="s">
        <v>664</v>
      </c>
      <c r="C172" t="s">
        <v>666</v>
      </c>
      <c r="D172" t="s">
        <v>396</v>
      </c>
      <c r="E172" s="13" t="n">
        <v>0.5</v>
      </c>
      <c r="F172" s="16" t="n">
        <v>97</v>
      </c>
      <c r="G172" s="14" t="n">
        <v>-0.485147863137998</v>
      </c>
      <c r="H172" s="15" t="n">
        <v>-0.120960947799834</v>
      </c>
    </row>
    <row r="173">
      <c r="A173" t="s">
        <v>30</v>
      </c>
      <c r="B173" t="s">
        <v>667</v>
      </c>
      <c r="C173" t="s">
        <v>668</v>
      </c>
      <c r="D173" t="s">
        <v>396</v>
      </c>
      <c r="E173" s="13" t="n">
        <v>0.5</v>
      </c>
      <c r="F173" s="16" t="n">
        <v>63</v>
      </c>
      <c r="G173" s="14" t="n">
        <v>-0.293892626146237</v>
      </c>
      <c r="H173" s="15" t="n">
        <v>0.404508497187474</v>
      </c>
    </row>
    <row r="174">
      <c r="A174" t="s">
        <v>30</v>
      </c>
      <c r="B174" t="s">
        <v>669</v>
      </c>
      <c r="C174" t="s">
        <v>670</v>
      </c>
      <c r="D174" t="s">
        <v>396</v>
      </c>
      <c r="E174" s="13" t="n">
        <v>0.25</v>
      </c>
      <c r="F174" s="16" t="n">
        <v>91</v>
      </c>
      <c r="G174" s="14" t="n">
        <v>-0.249847706754774</v>
      </c>
      <c r="H174" s="15" t="n">
        <v>-0.00872487417562529</v>
      </c>
    </row>
    <row r="175">
      <c r="A175" t="s">
        <v>30</v>
      </c>
      <c r="B175" t="s">
        <v>669</v>
      </c>
      <c r="C175" t="s">
        <v>671</v>
      </c>
      <c r="D175" t="s">
        <v>396</v>
      </c>
      <c r="E175" s="13" t="n">
        <v>0.25</v>
      </c>
      <c r="F175" s="16" t="n">
        <v>83</v>
      </c>
      <c r="G175" s="14" t="n">
        <v>-0.242573931568999</v>
      </c>
      <c r="H175" s="15" t="n">
        <v>0.0604804738999169</v>
      </c>
    </row>
    <row r="176">
      <c r="A176" t="s">
        <v>31</v>
      </c>
      <c r="B176" t="s">
        <v>672</v>
      </c>
      <c r="C176" t="s">
        <v>673</v>
      </c>
      <c r="D176" t="s">
        <v>396</v>
      </c>
      <c r="E176" s="13" t="n">
        <v>0.25</v>
      </c>
      <c r="F176" s="16" t="n">
        <v>22</v>
      </c>
      <c r="G176" s="14" t="n">
        <v>0.179834950084663</v>
      </c>
      <c r="H176" s="15" t="n">
        <v>0.173664592614749</v>
      </c>
    </row>
    <row r="177">
      <c r="A177" t="s">
        <v>31</v>
      </c>
      <c r="B177" t="s">
        <v>672</v>
      </c>
      <c r="C177" t="s">
        <v>674</v>
      </c>
      <c r="D177" t="s">
        <v>396</v>
      </c>
      <c r="E177" s="13" t="n">
        <v>0.5</v>
      </c>
      <c r="F177" s="16" t="n">
        <v>36</v>
      </c>
      <c r="G177" s="14" t="n">
        <v>0.154508497187474</v>
      </c>
      <c r="H177" s="15" t="n">
        <v>0.475528258147577</v>
      </c>
    </row>
    <row r="178">
      <c r="A178" t="s">
        <v>31</v>
      </c>
      <c r="B178" t="s">
        <v>675</v>
      </c>
      <c r="C178" t="s">
        <v>676</v>
      </c>
      <c r="D178" t="s">
        <v>396</v>
      </c>
      <c r="E178" s="13" t="n">
        <v>0.25</v>
      </c>
      <c r="F178" s="16" t="n">
        <v>112</v>
      </c>
      <c r="G178" s="14" t="n">
        <v>-0.179834950084663</v>
      </c>
      <c r="H178" s="15" t="n">
        <v>-0.173664592614749</v>
      </c>
    </row>
    <row r="179">
      <c r="A179" t="s">
        <v>31</v>
      </c>
      <c r="B179" t="s">
        <v>677</v>
      </c>
      <c r="C179" t="s">
        <v>678</v>
      </c>
      <c r="D179" t="s">
        <v>396</v>
      </c>
      <c r="E179" s="13" t="n">
        <v>0.25</v>
      </c>
      <c r="F179" s="16" t="n">
        <v>105</v>
      </c>
      <c r="G179" s="14" t="n">
        <v>-0.21650635094611</v>
      </c>
      <c r="H179" s="15" t="n">
        <v>-0.125</v>
      </c>
    </row>
    <row r="180">
      <c r="A180" t="s">
        <v>31</v>
      </c>
      <c r="B180" t="s">
        <v>679</v>
      </c>
      <c r="C180" t="s">
        <v>680</v>
      </c>
      <c r="D180" t="s">
        <v>396</v>
      </c>
      <c r="E180" s="13" t="n">
        <v>0.5</v>
      </c>
      <c r="F180" s="16" t="n">
        <v>173</v>
      </c>
      <c r="G180" s="14" t="n">
        <v>0.485147863137998</v>
      </c>
      <c r="H180" s="15" t="n">
        <v>-0.120960947799834</v>
      </c>
    </row>
    <row r="181">
      <c r="A181" t="s">
        <v>31</v>
      </c>
      <c r="B181" t="s">
        <v>679</v>
      </c>
      <c r="C181" t="s">
        <v>681</v>
      </c>
      <c r="D181" t="s">
        <v>396</v>
      </c>
      <c r="E181" s="13" t="n">
        <v>0.25</v>
      </c>
      <c r="F181" s="16" t="n">
        <v>12</v>
      </c>
      <c r="G181" s="14" t="n">
        <v>0.22838636441065</v>
      </c>
      <c r="H181" s="15" t="n">
        <v>0.10168416076895</v>
      </c>
    </row>
    <row r="182">
      <c r="A182" t="s">
        <v>31</v>
      </c>
      <c r="B182" t="s">
        <v>682</v>
      </c>
      <c r="C182" t="s">
        <v>683</v>
      </c>
      <c r="D182" t="s">
        <v>396</v>
      </c>
      <c r="E182" s="13" t="n">
        <v>0.25</v>
      </c>
      <c r="F182" s="16" t="n">
        <v>39</v>
      </c>
      <c r="G182" s="14" t="n">
        <v>0.0519779227044398</v>
      </c>
      <c r="H182" s="15" t="n">
        <v>0.244536900183451</v>
      </c>
    </row>
    <row r="183">
      <c r="A183" t="s">
        <v>31</v>
      </c>
      <c r="B183" t="s">
        <v>682</v>
      </c>
      <c r="C183" t="s">
        <v>684</v>
      </c>
      <c r="D183" t="s">
        <v>396</v>
      </c>
      <c r="E183" s="13" t="n">
        <v>0.25</v>
      </c>
      <c r="F183" s="16" t="n">
        <v>25</v>
      </c>
      <c r="G183" s="14" t="n">
        <v>0.160696902421635</v>
      </c>
      <c r="H183" s="15" t="n">
        <v>0.191511110779745</v>
      </c>
    </row>
    <row r="184">
      <c r="A184" t="s">
        <v>30</v>
      </c>
      <c r="B184" t="s">
        <v>685</v>
      </c>
      <c r="C184" t="s">
        <v>686</v>
      </c>
      <c r="D184" t="s">
        <v>396</v>
      </c>
      <c r="E184" s="13" t="n">
        <v>0.25</v>
      </c>
      <c r="F184" s="16" t="n">
        <v>111</v>
      </c>
      <c r="G184" s="14" t="n">
        <v>-0.185786206369349</v>
      </c>
      <c r="H184" s="15" t="n">
        <v>-0.167282651589715</v>
      </c>
    </row>
    <row r="185">
      <c r="A185" t="s">
        <v>30</v>
      </c>
      <c r="B185" t="s">
        <v>685</v>
      </c>
      <c r="C185" t="s">
        <v>687</v>
      </c>
      <c r="D185" t="s">
        <v>396</v>
      </c>
      <c r="E185" s="13" t="n">
        <v>0.5</v>
      </c>
      <c r="F185" s="16" t="n">
        <v>68</v>
      </c>
      <c r="G185" s="14" t="n">
        <v>-0.359669900169325</v>
      </c>
      <c r="H185" s="15" t="n">
        <v>0.347329185229499</v>
      </c>
    </row>
    <row r="186">
      <c r="A186" t="s">
        <v>31</v>
      </c>
      <c r="B186" t="s">
        <v>688</v>
      </c>
      <c r="C186" t="s">
        <v>689</v>
      </c>
      <c r="D186" t="s">
        <v>396</v>
      </c>
      <c r="E186" s="13" t="n">
        <v>0</v>
      </c>
      <c r="F186" s="16" t="n">
        <v>150</v>
      </c>
      <c r="G186" s="14" t="n">
        <v>0</v>
      </c>
      <c r="H186" s="15" t="n">
        <v>0</v>
      </c>
    </row>
    <row r="187">
      <c r="A187" t="s">
        <v>31</v>
      </c>
      <c r="B187" t="s">
        <v>688</v>
      </c>
      <c r="C187" t="s">
        <v>690</v>
      </c>
      <c r="D187" t="s">
        <v>396</v>
      </c>
      <c r="E187" s="13" t="n">
        <v>0</v>
      </c>
      <c r="F187" s="16" t="n">
        <v>140</v>
      </c>
      <c r="G187" s="14" t="n">
        <v>0</v>
      </c>
      <c r="H187" s="15" t="n">
        <v>0</v>
      </c>
    </row>
    <row r="188">
      <c r="A188" t="s">
        <v>31</v>
      </c>
      <c r="B188" t="s">
        <v>691</v>
      </c>
      <c r="C188" t="s">
        <v>692</v>
      </c>
      <c r="D188" t="s">
        <v>396</v>
      </c>
      <c r="E188" s="13" t="n">
        <v>0.25</v>
      </c>
      <c r="F188" s="16" t="n">
        <v>148</v>
      </c>
      <c r="G188" s="14" t="n">
        <v>0.109592786697269</v>
      </c>
      <c r="H188" s="15" t="n">
        <v>-0.224698511574792</v>
      </c>
    </row>
    <row r="189">
      <c r="A189" t="s">
        <v>31</v>
      </c>
      <c r="B189" t="s">
        <v>691</v>
      </c>
      <c r="C189" t="s">
        <v>693</v>
      </c>
      <c r="D189" t="s">
        <v>396</v>
      </c>
      <c r="E189" s="13" t="n">
        <v>0.25</v>
      </c>
      <c r="F189" s="16" t="n">
        <v>76</v>
      </c>
      <c r="G189" s="14" t="n">
        <v>-0.220736898214732</v>
      </c>
      <c r="H189" s="15" t="n">
        <v>0.117367890696473</v>
      </c>
    </row>
    <row r="190">
      <c r="A190" t="s">
        <v>31</v>
      </c>
      <c r="B190" t="s">
        <v>694</v>
      </c>
      <c r="C190" t="s">
        <v>695</v>
      </c>
      <c r="D190" t="s">
        <v>396</v>
      </c>
      <c r="E190" s="13" t="n">
        <v>0.25</v>
      </c>
      <c r="F190" s="16" t="n">
        <v>57</v>
      </c>
      <c r="G190" s="14" t="n">
        <v>-0.10168416076895</v>
      </c>
      <c r="H190" s="15" t="n">
        <v>0.22838636441065</v>
      </c>
    </row>
    <row r="191">
      <c r="A191" t="s">
        <v>31</v>
      </c>
      <c r="B191" t="s">
        <v>696</v>
      </c>
      <c r="C191" t="s">
        <v>697</v>
      </c>
      <c r="D191" t="s">
        <v>396</v>
      </c>
      <c r="E191" s="13" t="n">
        <v>0.25</v>
      </c>
      <c r="F191" s="16" t="n">
        <v>9</v>
      </c>
      <c r="G191" s="14" t="n">
        <v>0.237764129073788</v>
      </c>
      <c r="H191" s="15" t="n">
        <v>0.0772542485937368</v>
      </c>
    </row>
    <row r="192">
      <c r="A192" t="s">
        <v>31</v>
      </c>
      <c r="B192" t="s">
        <v>696</v>
      </c>
      <c r="C192" t="s">
        <v>698</v>
      </c>
      <c r="D192" t="s">
        <v>396</v>
      </c>
      <c r="E192" s="13" t="n">
        <v>0.5</v>
      </c>
      <c r="F192" s="16" t="n">
        <v>126</v>
      </c>
      <c r="G192" s="14" t="n">
        <v>-0.154508497187474</v>
      </c>
      <c r="H192" s="15" t="n">
        <v>-0.475528258147577</v>
      </c>
    </row>
    <row r="193">
      <c r="A193" t="s">
        <v>30</v>
      </c>
      <c r="B193" t="s">
        <v>699</v>
      </c>
      <c r="C193" t="s">
        <v>700</v>
      </c>
      <c r="D193" t="s">
        <v>396</v>
      </c>
      <c r="E193" s="13" t="n">
        <v>0.5</v>
      </c>
      <c r="F193" s="16" t="n">
        <v>119</v>
      </c>
      <c r="G193" s="14" t="n">
        <v>-0.264959632116603</v>
      </c>
      <c r="H193" s="15" t="n">
        <v>-0.424024048078213</v>
      </c>
    </row>
    <row r="194">
      <c r="A194" t="s">
        <v>30</v>
      </c>
      <c r="B194" t="s">
        <v>699</v>
      </c>
      <c r="C194" t="s">
        <v>701</v>
      </c>
      <c r="D194" t="s">
        <v>396</v>
      </c>
      <c r="E194" s="13" t="n">
        <v>0.5</v>
      </c>
      <c r="F194" s="16" t="n">
        <v>72</v>
      </c>
      <c r="G194" s="14" t="n">
        <v>-0.404508497187474</v>
      </c>
      <c r="H194" s="15" t="n">
        <v>0.293892626146237</v>
      </c>
    </row>
    <row r="195">
      <c r="A195" t="s">
        <v>31</v>
      </c>
      <c r="B195" t="s">
        <v>702</v>
      </c>
      <c r="C195" t="s">
        <v>703</v>
      </c>
      <c r="D195" t="s">
        <v>396</v>
      </c>
      <c r="E195" s="13" t="n">
        <v>0.25</v>
      </c>
      <c r="F195" s="16" t="n">
        <v>65</v>
      </c>
      <c r="G195" s="14" t="n">
        <v>-0.160696902421635</v>
      </c>
      <c r="H195" s="15" t="n">
        <v>0.191511110779745</v>
      </c>
    </row>
    <row r="196">
      <c r="A196" t="s">
        <v>30</v>
      </c>
      <c r="B196" t="s">
        <v>704</v>
      </c>
      <c r="C196" t="s">
        <v>705</v>
      </c>
      <c r="D196" t="s">
        <v>396</v>
      </c>
      <c r="E196" s="13" t="n">
        <v>0</v>
      </c>
      <c r="F196" s="16" t="n">
        <v>139</v>
      </c>
      <c r="G196" s="14" t="n">
        <v>0</v>
      </c>
      <c r="H196" s="15" t="n">
        <v>0</v>
      </c>
    </row>
    <row r="197">
      <c r="A197" t="s">
        <v>30</v>
      </c>
      <c r="B197" t="s">
        <v>706</v>
      </c>
      <c r="C197" t="s">
        <v>707</v>
      </c>
      <c r="D197" t="s">
        <v>396</v>
      </c>
      <c r="E197" s="13" t="n">
        <v>0.25</v>
      </c>
      <c r="F197" s="16" t="n">
        <v>170</v>
      </c>
      <c r="G197" s="14" t="n">
        <v>0.234923155196477</v>
      </c>
      <c r="H197" s="15" t="n">
        <v>-0.0855050358314172</v>
      </c>
    </row>
    <row r="198">
      <c r="A198" t="s">
        <v>30</v>
      </c>
      <c r="B198" t="s">
        <v>708</v>
      </c>
      <c r="C198" t="s">
        <v>709</v>
      </c>
      <c r="D198" t="s">
        <v>396</v>
      </c>
      <c r="E198" s="13" t="n">
        <v>0.25</v>
      </c>
      <c r="F198" s="16" t="n">
        <v>80</v>
      </c>
      <c r="G198" s="14" t="n">
        <v>-0.234923155196477</v>
      </c>
      <c r="H198" s="15" t="n">
        <v>0.0855050358314172</v>
      </c>
    </row>
    <row r="199">
      <c r="A199" t="s">
        <v>30</v>
      </c>
      <c r="B199" t="s">
        <v>708</v>
      </c>
      <c r="C199" t="s">
        <v>710</v>
      </c>
      <c r="D199" t="s">
        <v>396</v>
      </c>
      <c r="E199" s="13" t="n">
        <v>0.25</v>
      </c>
      <c r="F199" s="16" t="n">
        <v>109</v>
      </c>
      <c r="G199" s="14" t="n">
        <v>-0.197002688401681</v>
      </c>
      <c r="H199" s="15" t="n">
        <v>-0.153915368831415</v>
      </c>
    </row>
    <row r="200">
      <c r="A200" t="s">
        <v>31</v>
      </c>
      <c r="B200" t="s">
        <v>711</v>
      </c>
      <c r="C200" t="s">
        <v>712</v>
      </c>
      <c r="D200" t="s">
        <v>396</v>
      </c>
      <c r="E200" s="13" t="n">
        <v>0.25</v>
      </c>
      <c r="F200" s="16" t="n">
        <v>45</v>
      </c>
      <c r="G200" s="14" t="n">
        <v>0</v>
      </c>
      <c r="H200" s="15" t="n">
        <v>0.25</v>
      </c>
    </row>
    <row r="201">
      <c r="A201" t="s">
        <v>30</v>
      </c>
      <c r="B201" t="s">
        <v>713</v>
      </c>
      <c r="C201" t="s">
        <v>714</v>
      </c>
      <c r="D201" t="s">
        <v>396</v>
      </c>
      <c r="E201" s="13" t="n">
        <v>0</v>
      </c>
      <c r="F201" s="16" t="n">
        <v>20</v>
      </c>
      <c r="G201" s="14" t="n">
        <v>0</v>
      </c>
      <c r="H201" s="15" t="n">
        <v>0</v>
      </c>
    </row>
    <row r="202">
      <c r="A202" t="s">
        <v>30</v>
      </c>
      <c r="B202" t="s">
        <v>715</v>
      </c>
      <c r="C202" t="s">
        <v>716</v>
      </c>
      <c r="D202" t="s">
        <v>396</v>
      </c>
      <c r="E202" s="13" t="n">
        <v>0</v>
      </c>
      <c r="F202" s="16" t="n">
        <v>82</v>
      </c>
      <c r="G202" s="14" t="n">
        <v>0</v>
      </c>
      <c r="H202" s="15" t="n">
        <v>0</v>
      </c>
    </row>
    <row r="203">
      <c r="A203" t="s">
        <v>31</v>
      </c>
      <c r="B203" t="s">
        <v>717</v>
      </c>
      <c r="C203" t="s">
        <v>718</v>
      </c>
      <c r="D203" t="s">
        <v>396</v>
      </c>
      <c r="E203" s="13" t="n">
        <v>0.25</v>
      </c>
      <c r="F203" s="16" t="n">
        <v>54</v>
      </c>
      <c r="G203" s="14" t="n">
        <v>-0.0772542485937368</v>
      </c>
      <c r="H203" s="15" t="n">
        <v>0.237764129073788</v>
      </c>
    </row>
    <row r="204">
      <c r="A204" t="s">
        <v>30</v>
      </c>
      <c r="B204" t="s">
        <v>719</v>
      </c>
      <c r="C204" t="s">
        <v>720</v>
      </c>
      <c r="D204" t="s">
        <v>396</v>
      </c>
      <c r="E204" s="13" t="n">
        <v>0.25</v>
      </c>
      <c r="F204" s="16" t="n">
        <v>65</v>
      </c>
      <c r="G204" s="14" t="n">
        <v>-0.160696902421635</v>
      </c>
      <c r="H204" s="15" t="n">
        <v>0.191511110779745</v>
      </c>
    </row>
    <row r="205">
      <c r="A205" t="s">
        <v>30</v>
      </c>
      <c r="B205" t="s">
        <v>719</v>
      </c>
      <c r="C205" t="s">
        <v>721</v>
      </c>
      <c r="D205" t="s">
        <v>396</v>
      </c>
      <c r="E205" s="13" t="n">
        <v>0.5</v>
      </c>
      <c r="F205" s="16" t="n">
        <v>110</v>
      </c>
      <c r="G205" s="14" t="n">
        <v>-0.383022221559489</v>
      </c>
      <c r="H205" s="15" t="n">
        <v>-0.32139380484327</v>
      </c>
    </row>
    <row r="206">
      <c r="A206" t="s">
        <v>30</v>
      </c>
      <c r="B206" t="s">
        <v>722</v>
      </c>
      <c r="C206" t="s">
        <v>723</v>
      </c>
      <c r="D206" t="s">
        <v>396</v>
      </c>
      <c r="E206" s="13" t="n">
        <v>0.25</v>
      </c>
      <c r="F206" s="16" t="n">
        <v>59</v>
      </c>
      <c r="G206" s="14" t="n">
        <v>-0.117367890696473</v>
      </c>
      <c r="H206" s="15" t="n">
        <v>0.220736898214732</v>
      </c>
    </row>
    <row r="207">
      <c r="A207" t="s">
        <v>30</v>
      </c>
      <c r="B207" t="s">
        <v>722</v>
      </c>
      <c r="C207" t="s">
        <v>724</v>
      </c>
      <c r="D207" t="s">
        <v>396</v>
      </c>
      <c r="E207" s="13" t="n">
        <v>0.25</v>
      </c>
      <c r="F207" s="16" t="n">
        <v>118</v>
      </c>
      <c r="G207" s="14" t="n">
        <v>-0.139798225867687</v>
      </c>
      <c r="H207" s="15" t="n">
        <v>-0.20725939313876</v>
      </c>
    </row>
    <row r="208">
      <c r="A208" t="s">
        <v>30</v>
      </c>
      <c r="B208" t="s">
        <v>725</v>
      </c>
      <c r="C208" t="s">
        <v>726</v>
      </c>
      <c r="D208" t="s">
        <v>396</v>
      </c>
      <c r="E208" s="13" t="n">
        <v>0</v>
      </c>
      <c r="F208" s="16" t="n">
        <v>20</v>
      </c>
      <c r="G208" s="14" t="n">
        <v>0</v>
      </c>
      <c r="H208" s="15" t="n">
        <v>0</v>
      </c>
    </row>
    <row r="209">
      <c r="A209" t="s">
        <v>30</v>
      </c>
      <c r="B209" t="s">
        <v>725</v>
      </c>
      <c r="C209" t="s">
        <v>727</v>
      </c>
      <c r="D209" t="s">
        <v>396</v>
      </c>
      <c r="E209" s="13" t="n">
        <v>0</v>
      </c>
      <c r="F209" s="16" t="n">
        <v>29</v>
      </c>
      <c r="G209" s="14" t="n">
        <v>0</v>
      </c>
      <c r="H209" s="15" t="n">
        <v>0</v>
      </c>
    </row>
    <row r="210">
      <c r="A210" t="s">
        <v>31</v>
      </c>
      <c r="B210" t="s">
        <v>728</v>
      </c>
      <c r="C210" t="s">
        <v>729</v>
      </c>
      <c r="D210" t="s">
        <v>396</v>
      </c>
      <c r="E210" s="13" t="n">
        <v>0.25</v>
      </c>
      <c r="F210" s="16" t="n">
        <v>80</v>
      </c>
      <c r="G210" s="14" t="n">
        <v>-0.234923155196477</v>
      </c>
      <c r="H210" s="15" t="n">
        <v>0.0855050358314172</v>
      </c>
    </row>
    <row r="211">
      <c r="A211" t="s">
        <v>31</v>
      </c>
      <c r="B211" t="s">
        <v>728</v>
      </c>
      <c r="C211" t="s">
        <v>730</v>
      </c>
      <c r="D211" t="s">
        <v>396</v>
      </c>
      <c r="E211" s="13" t="n">
        <v>0.25</v>
      </c>
      <c r="F211" s="16" t="n">
        <v>87</v>
      </c>
      <c r="G211" s="14" t="n">
        <v>-0.248630473842068</v>
      </c>
      <c r="H211" s="15" t="n">
        <v>0.0261321158169134</v>
      </c>
    </row>
    <row r="212">
      <c r="A212" t="s">
        <v>30</v>
      </c>
      <c r="B212" t="s">
        <v>731</v>
      </c>
      <c r="C212" t="s">
        <v>732</v>
      </c>
      <c r="D212" t="s">
        <v>396</v>
      </c>
      <c r="E212" s="13" t="n">
        <v>0</v>
      </c>
      <c r="F212" s="16" t="n">
        <v>141</v>
      </c>
      <c r="G212" s="14" t="n">
        <v>0</v>
      </c>
      <c r="H212" s="15" t="n">
        <v>0</v>
      </c>
    </row>
    <row r="213">
      <c r="A213" t="s">
        <v>30</v>
      </c>
      <c r="B213" t="s">
        <v>731</v>
      </c>
      <c r="C213" t="s">
        <v>733</v>
      </c>
      <c r="D213" t="s">
        <v>396</v>
      </c>
      <c r="E213" s="13" t="n">
        <v>0.25</v>
      </c>
      <c r="F213" s="16" t="n">
        <v>65</v>
      </c>
      <c r="G213" s="14" t="n">
        <v>-0.160696902421635</v>
      </c>
      <c r="H213" s="15" t="n">
        <v>0.191511110779745</v>
      </c>
    </row>
    <row r="214">
      <c r="A214" t="s">
        <v>30</v>
      </c>
      <c r="B214" t="s">
        <v>734</v>
      </c>
      <c r="C214" t="s">
        <v>735</v>
      </c>
      <c r="D214" t="s">
        <v>396</v>
      </c>
      <c r="E214" s="13" t="n">
        <v>0.25</v>
      </c>
      <c r="F214" s="16" t="n">
        <v>20</v>
      </c>
      <c r="G214" s="14" t="n">
        <v>0.191511110779745</v>
      </c>
      <c r="H214" s="15" t="n">
        <v>0.160696902421635</v>
      </c>
    </row>
    <row r="215">
      <c r="A215" t="s">
        <v>30</v>
      </c>
      <c r="B215" t="s">
        <v>734</v>
      </c>
      <c r="C215" t="s">
        <v>736</v>
      </c>
      <c r="D215" t="s">
        <v>396</v>
      </c>
      <c r="E215" s="13" t="n">
        <v>0.25</v>
      </c>
      <c r="F215" s="16" t="n">
        <v>159</v>
      </c>
      <c r="G215" s="14" t="n">
        <v>0.185786206369348</v>
      </c>
      <c r="H215" s="15" t="n">
        <v>-0.167282651589715</v>
      </c>
    </row>
    <row r="216">
      <c r="A216" t="s">
        <v>30</v>
      </c>
      <c r="B216" t="s">
        <v>737</v>
      </c>
      <c r="C216" t="s">
        <v>738</v>
      </c>
      <c r="D216" t="s">
        <v>396</v>
      </c>
      <c r="E216" s="13" t="n">
        <v>0.25</v>
      </c>
      <c r="F216" s="16" t="n">
        <v>96</v>
      </c>
      <c r="G216" s="14" t="n">
        <v>-0.244536900183451</v>
      </c>
      <c r="H216" s="15" t="n">
        <v>-0.0519779227044398</v>
      </c>
    </row>
    <row r="217">
      <c r="A217" t="s">
        <v>30</v>
      </c>
      <c r="B217" t="s">
        <v>737</v>
      </c>
      <c r="C217" t="s">
        <v>739</v>
      </c>
      <c r="D217" t="s">
        <v>396</v>
      </c>
      <c r="E217" s="13" t="n">
        <v>0.25</v>
      </c>
      <c r="F217" s="16" t="n">
        <v>169</v>
      </c>
      <c r="G217" s="14" t="n">
        <v>0.231795963641697</v>
      </c>
      <c r="H217" s="15" t="n">
        <v>-0.093651648353978</v>
      </c>
    </row>
    <row r="218">
      <c r="A218" t="s">
        <v>31</v>
      </c>
      <c r="B218" t="s">
        <v>740</v>
      </c>
      <c r="C218" t="s">
        <v>741</v>
      </c>
      <c r="D218" t="s">
        <v>396</v>
      </c>
      <c r="E218" s="13" t="n">
        <v>0</v>
      </c>
      <c r="F218" s="16" t="n">
        <v>0</v>
      </c>
      <c r="G218" s="14" t="n">
        <v>0</v>
      </c>
      <c r="H218" s="15" t="n">
        <v>0</v>
      </c>
    </row>
    <row r="219">
      <c r="A219" t="s">
        <v>31</v>
      </c>
      <c r="B219" t="s">
        <v>740</v>
      </c>
      <c r="C219" t="s">
        <v>742</v>
      </c>
      <c r="D219" t="s">
        <v>396</v>
      </c>
      <c r="E219" s="13" t="n">
        <v>0.25</v>
      </c>
      <c r="F219" s="16" t="n">
        <v>116</v>
      </c>
      <c r="G219" s="14" t="n">
        <v>-0.153915368831415</v>
      </c>
      <c r="H219" s="15" t="n">
        <v>-0.197002688401681</v>
      </c>
    </row>
    <row r="220">
      <c r="A220" t="s">
        <v>30</v>
      </c>
      <c r="B220" t="s">
        <v>743</v>
      </c>
      <c r="C220" t="s">
        <v>744</v>
      </c>
      <c r="D220" t="s">
        <v>396</v>
      </c>
      <c r="E220" s="13" t="n">
        <v>0.5</v>
      </c>
      <c r="F220" s="16" t="n">
        <v>98</v>
      </c>
      <c r="G220" s="14" t="n">
        <v>-0.48063084796916</v>
      </c>
      <c r="H220" s="15" t="n">
        <v>-0.137818677908499</v>
      </c>
    </row>
    <row r="221">
      <c r="A221" t="s">
        <v>30</v>
      </c>
      <c r="B221" t="s">
        <v>743</v>
      </c>
      <c r="C221" t="s">
        <v>745</v>
      </c>
      <c r="D221" t="s">
        <v>396</v>
      </c>
      <c r="E221" s="13" t="n">
        <v>0.25</v>
      </c>
      <c r="F221" s="16" t="n">
        <v>87</v>
      </c>
      <c r="G221" s="14" t="n">
        <v>-0.248630473842068</v>
      </c>
      <c r="H221" s="15" t="n">
        <v>0.0261321158169134</v>
      </c>
    </row>
    <row r="222">
      <c r="A222" t="s">
        <v>30</v>
      </c>
      <c r="B222" t="s">
        <v>746</v>
      </c>
      <c r="C222" t="s">
        <v>747</v>
      </c>
      <c r="D222" t="s">
        <v>396</v>
      </c>
      <c r="E222" s="13" t="n">
        <v>1</v>
      </c>
      <c r="F222" s="16" t="n">
        <v>32</v>
      </c>
      <c r="G222" s="14" t="n">
        <v>0.438371146789077</v>
      </c>
      <c r="H222" s="15" t="n">
        <v>0.898794046299167</v>
      </c>
    </row>
    <row r="223">
      <c r="A223" t="s">
        <v>31</v>
      </c>
      <c r="B223" t="s">
        <v>748</v>
      </c>
      <c r="C223" t="s">
        <v>749</v>
      </c>
      <c r="D223" t="s">
        <v>396</v>
      </c>
      <c r="E223" s="13" t="n">
        <v>0.25</v>
      </c>
      <c r="F223" s="16" t="n">
        <v>90</v>
      </c>
      <c r="G223" s="14" t="n">
        <v>-0.25</v>
      </c>
      <c r="H223" s="15" t="n">
        <v>0</v>
      </c>
    </row>
    <row r="224">
      <c r="A224" t="s">
        <v>31</v>
      </c>
      <c r="B224" t="s">
        <v>748</v>
      </c>
      <c r="C224" t="s">
        <v>750</v>
      </c>
      <c r="D224" t="s">
        <v>396</v>
      </c>
      <c r="E224" s="13" t="n">
        <v>0</v>
      </c>
      <c r="F224" s="16" t="n">
        <v>162</v>
      </c>
      <c r="G224" s="14" t="n">
        <v>0</v>
      </c>
      <c r="H224" s="15" t="n">
        <v>0</v>
      </c>
    </row>
    <row r="225">
      <c r="A225" t="s">
        <v>30</v>
      </c>
      <c r="B225" t="s">
        <v>751</v>
      </c>
      <c r="C225" t="s">
        <v>752</v>
      </c>
      <c r="D225" t="s">
        <v>396</v>
      </c>
      <c r="E225" s="13" t="n">
        <v>0</v>
      </c>
      <c r="F225" s="16" t="n">
        <v>14</v>
      </c>
      <c r="G225" s="14" t="n">
        <v>0</v>
      </c>
      <c r="H225" s="15" t="n">
        <v>0</v>
      </c>
    </row>
    <row r="226">
      <c r="A226" t="s">
        <v>30</v>
      </c>
      <c r="B226" t="s">
        <v>753</v>
      </c>
      <c r="C226" t="s">
        <v>754</v>
      </c>
      <c r="D226" t="s">
        <v>396</v>
      </c>
      <c r="E226" s="13" t="n">
        <v>0.5</v>
      </c>
      <c r="F226" s="16" t="n">
        <v>84</v>
      </c>
      <c r="G226" s="14" t="n">
        <v>-0.489073800366903</v>
      </c>
      <c r="H226" s="15" t="n">
        <v>0.10395584540888</v>
      </c>
    </row>
    <row r="227">
      <c r="A227" t="s">
        <v>30</v>
      </c>
      <c r="B227" t="s">
        <v>753</v>
      </c>
      <c r="C227" t="s">
        <v>755</v>
      </c>
      <c r="D227" t="s">
        <v>396</v>
      </c>
      <c r="E227" s="13" t="n">
        <v>0.75</v>
      </c>
      <c r="F227" s="16" t="n">
        <v>91</v>
      </c>
      <c r="G227" s="14" t="n">
        <v>-0.749543120264322</v>
      </c>
      <c r="H227" s="15" t="n">
        <v>-0.0261746225268759</v>
      </c>
    </row>
    <row r="228">
      <c r="A228" t="s">
        <v>30</v>
      </c>
      <c r="B228" t="s">
        <v>756</v>
      </c>
      <c r="C228" t="s">
        <v>757</v>
      </c>
      <c r="D228" t="s">
        <v>396</v>
      </c>
      <c r="E228" s="13" t="n">
        <v>0.5</v>
      </c>
      <c r="F228" s="16" t="n">
        <v>71</v>
      </c>
      <c r="G228" s="14" t="n">
        <v>-0.394005376803361</v>
      </c>
      <c r="H228" s="15" t="n">
        <v>0.307830737662829</v>
      </c>
    </row>
    <row r="229">
      <c r="A229" t="s">
        <v>31</v>
      </c>
      <c r="B229" t="s">
        <v>758</v>
      </c>
      <c r="C229" t="s">
        <v>759</v>
      </c>
      <c r="D229" t="s">
        <v>396</v>
      </c>
      <c r="E229" s="13" t="n">
        <v>0.25</v>
      </c>
      <c r="F229" s="16" t="n">
        <v>119</v>
      </c>
      <c r="G229" s="14" t="n">
        <v>-0.132479816058301</v>
      </c>
      <c r="H229" s="15" t="n">
        <v>-0.212012024039107</v>
      </c>
    </row>
    <row r="230">
      <c r="A230" t="s">
        <v>30</v>
      </c>
      <c r="B230" t="s">
        <v>760</v>
      </c>
      <c r="C230" t="s">
        <v>761</v>
      </c>
      <c r="D230" t="s">
        <v>396</v>
      </c>
      <c r="E230" s="13" t="n">
        <v>1.5</v>
      </c>
      <c r="F230" s="16" t="n">
        <v>145</v>
      </c>
      <c r="G230" s="14" t="n">
        <v>0.513030214988504</v>
      </c>
      <c r="H230" s="15" t="n">
        <v>-1.40953893117886</v>
      </c>
    </row>
    <row r="231">
      <c r="A231" t="s">
        <v>30</v>
      </c>
      <c r="B231" t="s">
        <v>760</v>
      </c>
      <c r="C231" t="s">
        <v>762</v>
      </c>
      <c r="D231" t="s">
        <v>396</v>
      </c>
      <c r="E231" s="13" t="n">
        <v>0.5</v>
      </c>
      <c r="F231" s="16" t="n">
        <v>167</v>
      </c>
      <c r="G231" s="14" t="n">
        <v>0.449397023149583</v>
      </c>
      <c r="H231" s="15" t="n">
        <v>-0.219185573394539</v>
      </c>
    </row>
    <row r="232">
      <c r="A232" t="s">
        <v>31</v>
      </c>
      <c r="B232" t="s">
        <v>763</v>
      </c>
      <c r="C232" t="s">
        <v>764</v>
      </c>
      <c r="D232" t="s">
        <v>396</v>
      </c>
      <c r="E232" s="13" t="n">
        <v>0.25</v>
      </c>
      <c r="F232" s="16" t="n">
        <v>133</v>
      </c>
      <c r="G232" s="14" t="n">
        <v>-0.0174391184360314</v>
      </c>
      <c r="H232" s="15" t="n">
        <v>-0.249391012564956</v>
      </c>
    </row>
    <row r="233">
      <c r="A233" t="s">
        <v>31</v>
      </c>
      <c r="B233" t="s">
        <v>765</v>
      </c>
      <c r="C233" t="s">
        <v>766</v>
      </c>
      <c r="D233" t="s">
        <v>396</v>
      </c>
      <c r="E233" s="13" t="n">
        <v>0.25</v>
      </c>
      <c r="F233" s="16" t="n">
        <v>63</v>
      </c>
      <c r="G233" s="14" t="n">
        <v>-0.146946313073118</v>
      </c>
      <c r="H233" s="15" t="n">
        <v>0.202254248593737</v>
      </c>
    </row>
    <row r="234">
      <c r="A234" t="s">
        <v>31</v>
      </c>
      <c r="B234" t="s">
        <v>765</v>
      </c>
      <c r="C234" t="s">
        <v>767</v>
      </c>
      <c r="D234" t="s">
        <v>396</v>
      </c>
      <c r="E234" s="13" t="n">
        <v>0.25</v>
      </c>
      <c r="F234" s="16" t="n">
        <v>72</v>
      </c>
      <c r="G234" s="14" t="n">
        <v>-0.202254248593737</v>
      </c>
      <c r="H234" s="15" t="n">
        <v>0.146946313073118</v>
      </c>
    </row>
    <row r="235">
      <c r="A235" t="s">
        <v>31</v>
      </c>
      <c r="B235" t="s">
        <v>768</v>
      </c>
      <c r="C235" t="s">
        <v>769</v>
      </c>
      <c r="D235" t="s">
        <v>396</v>
      </c>
      <c r="E235" s="13" t="n">
        <v>0.5</v>
      </c>
      <c r="F235" s="16" t="n">
        <v>15</v>
      </c>
      <c r="G235" s="14" t="n">
        <v>0.433012701892219</v>
      </c>
      <c r="H235" s="15" t="n">
        <v>0.25</v>
      </c>
    </row>
    <row r="236">
      <c r="A236" t="s">
        <v>31</v>
      </c>
      <c r="B236" t="s">
        <v>768</v>
      </c>
      <c r="C236" t="s">
        <v>770</v>
      </c>
      <c r="D236" t="s">
        <v>396</v>
      </c>
      <c r="E236" s="13" t="n">
        <v>0.25</v>
      </c>
      <c r="F236" s="16" t="n">
        <v>148</v>
      </c>
      <c r="G236" s="14" t="n">
        <v>0.109592786697269</v>
      </c>
      <c r="H236" s="15" t="n">
        <v>-0.224698511574792</v>
      </c>
    </row>
    <row r="237">
      <c r="A237" t="s">
        <v>30</v>
      </c>
      <c r="B237" t="s">
        <v>771</v>
      </c>
      <c r="C237" t="s">
        <v>772</v>
      </c>
      <c r="D237" t="s">
        <v>396</v>
      </c>
      <c r="E237" s="13" t="n">
        <v>0.75</v>
      </c>
      <c r="F237" s="16" t="n">
        <v>150</v>
      </c>
      <c r="G237" s="14" t="n">
        <v>0.375</v>
      </c>
      <c r="H237" s="15" t="n">
        <v>-0.649519052838329</v>
      </c>
    </row>
    <row r="238">
      <c r="A238" t="s">
        <v>30</v>
      </c>
      <c r="B238" t="s">
        <v>771</v>
      </c>
      <c r="C238" t="s">
        <v>773</v>
      </c>
      <c r="D238" t="s">
        <v>396</v>
      </c>
      <c r="E238" s="13" t="n">
        <v>0.25</v>
      </c>
      <c r="F238" s="16" t="n">
        <v>168</v>
      </c>
      <c r="G238" s="14" t="n">
        <v>0.22838636441065</v>
      </c>
      <c r="H238" s="15" t="n">
        <v>-0.10168416076895</v>
      </c>
    </row>
    <row r="239">
      <c r="A239" t="s">
        <v>30</v>
      </c>
      <c r="B239" t="s">
        <v>774</v>
      </c>
      <c r="C239" t="s">
        <v>775</v>
      </c>
      <c r="D239" t="s">
        <v>396</v>
      </c>
      <c r="E239" s="13" t="n">
        <v>0.25</v>
      </c>
      <c r="F239" s="16" t="n">
        <v>166</v>
      </c>
      <c r="G239" s="14" t="n">
        <v>0.220736898214732</v>
      </c>
      <c r="H239" s="15" t="n">
        <v>-0.117367890696473</v>
      </c>
    </row>
    <row r="240">
      <c r="A240" t="s">
        <v>31</v>
      </c>
      <c r="B240" t="s">
        <v>776</v>
      </c>
      <c r="C240" t="s">
        <v>777</v>
      </c>
      <c r="D240" t="s">
        <v>396</v>
      </c>
      <c r="E240" s="13" t="n">
        <v>0</v>
      </c>
      <c r="F240" s="16" t="n">
        <v>154</v>
      </c>
      <c r="G240" s="14" t="n">
        <v>0</v>
      </c>
      <c r="H240" s="15" t="n">
        <v>0</v>
      </c>
    </row>
    <row r="241">
      <c r="A241" t="s">
        <v>30</v>
      </c>
      <c r="B241" t="s">
        <v>778</v>
      </c>
      <c r="C241" t="s">
        <v>779</v>
      </c>
      <c r="D241" t="s">
        <v>396</v>
      </c>
      <c r="E241" s="13" t="n">
        <v>0</v>
      </c>
      <c r="F241" s="16" t="n">
        <v>137</v>
      </c>
      <c r="G241" s="14" t="n">
        <v>0</v>
      </c>
      <c r="H241" s="15" t="n">
        <v>0</v>
      </c>
    </row>
    <row r="242">
      <c r="A242" t="s">
        <v>30</v>
      </c>
      <c r="B242" t="s">
        <v>778</v>
      </c>
      <c r="C242" t="s">
        <v>780</v>
      </c>
      <c r="D242" t="s">
        <v>396</v>
      </c>
      <c r="E242" s="13" t="n">
        <v>0</v>
      </c>
      <c r="F242" s="16" t="n">
        <v>31</v>
      </c>
      <c r="G242" s="14" t="n">
        <v>0</v>
      </c>
      <c r="H242" s="15" t="n">
        <v>0</v>
      </c>
    </row>
    <row r="243">
      <c r="A243" t="s">
        <v>31</v>
      </c>
      <c r="B243" t="s">
        <v>781</v>
      </c>
      <c r="C243" t="s">
        <v>782</v>
      </c>
      <c r="D243" t="s">
        <v>396</v>
      </c>
      <c r="E243" s="13" t="n">
        <v>0.25</v>
      </c>
      <c r="F243" s="16" t="n">
        <v>152</v>
      </c>
      <c r="G243" s="14" t="n">
        <v>0.139798225867687</v>
      </c>
      <c r="H243" s="15" t="n">
        <v>-0.20725939313876</v>
      </c>
    </row>
    <row r="244">
      <c r="A244" t="s">
        <v>31</v>
      </c>
      <c r="B244" t="s">
        <v>781</v>
      </c>
      <c r="C244" t="s">
        <v>783</v>
      </c>
      <c r="D244" t="s">
        <v>396</v>
      </c>
      <c r="E244" s="13" t="n">
        <v>0</v>
      </c>
      <c r="F244" s="16" t="n">
        <v>142</v>
      </c>
      <c r="G244" s="14" t="n">
        <v>0</v>
      </c>
      <c r="H244" s="15" t="n">
        <v>0</v>
      </c>
    </row>
    <row r="245">
      <c r="A245" t="s">
        <v>31</v>
      </c>
      <c r="B245" t="s">
        <v>784</v>
      </c>
      <c r="C245" t="s">
        <v>785</v>
      </c>
      <c r="D245" t="s">
        <v>396</v>
      </c>
      <c r="E245" s="13" t="n">
        <v>0.25</v>
      </c>
      <c r="F245" s="16" t="n">
        <v>9</v>
      </c>
      <c r="G245" s="14" t="n">
        <v>0.237764129073788</v>
      </c>
      <c r="H245" s="15" t="n">
        <v>0.0772542485937368</v>
      </c>
    </row>
    <row r="246">
      <c r="A246" t="s">
        <v>31</v>
      </c>
      <c r="B246" t="s">
        <v>784</v>
      </c>
      <c r="C246" t="s">
        <v>786</v>
      </c>
      <c r="D246" t="s">
        <v>396</v>
      </c>
      <c r="E246" s="13" t="n">
        <v>0.25</v>
      </c>
      <c r="F246" s="16" t="n">
        <v>157</v>
      </c>
      <c r="G246" s="14" t="n">
        <v>0.173664592614749</v>
      </c>
      <c r="H246" s="15" t="n">
        <v>-0.179834950084663</v>
      </c>
    </row>
    <row r="247">
      <c r="A247" t="s">
        <v>31</v>
      </c>
      <c r="B247" t="s">
        <v>787</v>
      </c>
      <c r="C247" t="s">
        <v>788</v>
      </c>
      <c r="D247" t="s">
        <v>396</v>
      </c>
      <c r="E247" s="13" t="n">
        <v>0</v>
      </c>
      <c r="F247" s="16" t="n">
        <v>10</v>
      </c>
      <c r="G247" s="14" t="n">
        <v>0</v>
      </c>
      <c r="H247" s="15" t="n">
        <v>0</v>
      </c>
    </row>
    <row r="248">
      <c r="A248" t="s">
        <v>31</v>
      </c>
      <c r="B248" t="s">
        <v>787</v>
      </c>
      <c r="C248" t="s">
        <v>789</v>
      </c>
      <c r="D248" t="s">
        <v>396</v>
      </c>
      <c r="E248" s="13" t="n">
        <v>0.25</v>
      </c>
      <c r="F248" s="16" t="n">
        <v>92</v>
      </c>
      <c r="G248" s="14" t="n">
        <v>-0.249391012564956</v>
      </c>
      <c r="H248" s="15" t="n">
        <v>-0.0174391184360313</v>
      </c>
    </row>
    <row r="249">
      <c r="A249" t="s">
        <v>31</v>
      </c>
      <c r="B249" t="s">
        <v>790</v>
      </c>
      <c r="C249" t="s">
        <v>791</v>
      </c>
      <c r="D249" t="s">
        <v>396</v>
      </c>
      <c r="E249" s="13" t="n">
        <v>0</v>
      </c>
      <c r="F249" s="16" t="n">
        <v>166</v>
      </c>
      <c r="G249" s="14" t="n">
        <v>0</v>
      </c>
      <c r="H249" s="15" t="n">
        <v>0</v>
      </c>
    </row>
    <row r="250">
      <c r="A250" t="s">
        <v>31</v>
      </c>
      <c r="B250" t="s">
        <v>790</v>
      </c>
      <c r="C250" t="s">
        <v>792</v>
      </c>
      <c r="D250" t="s">
        <v>396</v>
      </c>
      <c r="E250" s="13" t="n">
        <v>0.25</v>
      </c>
      <c r="F250" s="16" t="n">
        <v>141</v>
      </c>
      <c r="G250" s="14" t="n">
        <v>0.0519779227044399</v>
      </c>
      <c r="H250" s="15" t="n">
        <v>-0.244536900183451</v>
      </c>
    </row>
    <row r="251">
      <c r="A251" t="s">
        <v>31</v>
      </c>
      <c r="B251" t="s">
        <v>793</v>
      </c>
      <c r="C251" t="s">
        <v>794</v>
      </c>
      <c r="D251" t="s">
        <v>396</v>
      </c>
      <c r="E251" s="13" t="n">
        <v>0.25</v>
      </c>
      <c r="F251" s="16" t="n">
        <v>92</v>
      </c>
      <c r="G251" s="14" t="n">
        <v>-0.249391012564956</v>
      </c>
      <c r="H251" s="15" t="n">
        <v>-0.0174391184360313</v>
      </c>
    </row>
    <row r="252">
      <c r="A252" t="s">
        <v>31</v>
      </c>
      <c r="B252" t="s">
        <v>793</v>
      </c>
      <c r="C252" t="s">
        <v>795</v>
      </c>
      <c r="D252" t="s">
        <v>396</v>
      </c>
      <c r="E252" s="13" t="n">
        <v>0.25</v>
      </c>
      <c r="F252" s="16" t="n">
        <v>154</v>
      </c>
      <c r="G252" s="14" t="n">
        <v>0.153915368831414</v>
      </c>
      <c r="H252" s="15" t="n">
        <v>-0.197002688401681</v>
      </c>
    </row>
    <row r="253">
      <c r="A253" t="s">
        <v>30</v>
      </c>
      <c r="B253" t="s">
        <v>796</v>
      </c>
      <c r="C253" t="s">
        <v>797</v>
      </c>
      <c r="D253" t="s">
        <v>396</v>
      </c>
      <c r="E253" s="13" t="n">
        <v>0.5</v>
      </c>
      <c r="F253" s="16" t="n">
        <v>69</v>
      </c>
      <c r="G253" s="14" t="n">
        <v>-0.371572412738697</v>
      </c>
      <c r="H253" s="15" t="n">
        <v>0.334565303179429</v>
      </c>
    </row>
    <row r="254">
      <c r="A254" t="s">
        <v>30</v>
      </c>
      <c r="B254" t="s">
        <v>796</v>
      </c>
      <c r="C254" t="s">
        <v>798</v>
      </c>
      <c r="D254" t="s">
        <v>396</v>
      </c>
      <c r="E254" s="13" t="n">
        <v>0.25</v>
      </c>
      <c r="F254" s="16" t="n">
        <v>70</v>
      </c>
      <c r="G254" s="14" t="n">
        <v>-0.191511110779744</v>
      </c>
      <c r="H254" s="15" t="n">
        <v>0.160696902421635</v>
      </c>
    </row>
    <row r="255">
      <c r="A255" t="s">
        <v>31</v>
      </c>
      <c r="B255" t="s">
        <v>799</v>
      </c>
      <c r="C255" t="s">
        <v>800</v>
      </c>
      <c r="D255" t="s">
        <v>396</v>
      </c>
      <c r="E255" s="13" t="n">
        <v>0</v>
      </c>
      <c r="F255" s="16" t="n">
        <v>62</v>
      </c>
      <c r="G255" s="14" t="n">
        <v>0</v>
      </c>
      <c r="H255" s="15" t="n">
        <v>0</v>
      </c>
    </row>
    <row r="256">
      <c r="A256" t="s">
        <v>30</v>
      </c>
      <c r="B256" t="s">
        <v>801</v>
      </c>
      <c r="C256" t="s">
        <v>802</v>
      </c>
      <c r="D256" t="s">
        <v>396</v>
      </c>
      <c r="E256" s="13" t="n">
        <v>0.25</v>
      </c>
      <c r="F256" s="16" t="n">
        <v>32</v>
      </c>
      <c r="G256" s="14" t="n">
        <v>0.109592786697269</v>
      </c>
      <c r="H256" s="15" t="n">
        <v>0.224698511574792</v>
      </c>
    </row>
    <row r="257">
      <c r="A257" t="s">
        <v>30</v>
      </c>
      <c r="B257" t="s">
        <v>801</v>
      </c>
      <c r="C257" t="s">
        <v>803</v>
      </c>
      <c r="D257" t="s">
        <v>396</v>
      </c>
      <c r="E257" s="13" t="n">
        <v>0.25</v>
      </c>
      <c r="F257" s="16" t="n">
        <v>168</v>
      </c>
      <c r="G257" s="14" t="n">
        <v>0.22838636441065</v>
      </c>
      <c r="H257" s="15" t="n">
        <v>-0.10168416076895</v>
      </c>
    </row>
    <row r="258">
      <c r="A258" t="s">
        <v>30</v>
      </c>
      <c r="B258" t="s">
        <v>804</v>
      </c>
      <c r="C258" t="s">
        <v>805</v>
      </c>
      <c r="D258" t="s">
        <v>396</v>
      </c>
      <c r="E258" s="13" t="n">
        <v>0.5</v>
      </c>
      <c r="F258" s="16" t="n">
        <v>129</v>
      </c>
      <c r="G258" s="14" t="n">
        <v>-0.10395584540888</v>
      </c>
      <c r="H258" s="15" t="n">
        <v>-0.489073800366903</v>
      </c>
    </row>
    <row r="259">
      <c r="A259" t="s">
        <v>31</v>
      </c>
      <c r="B259" t="s">
        <v>806</v>
      </c>
      <c r="C259" t="s">
        <v>807</v>
      </c>
      <c r="D259" t="s">
        <v>396</v>
      </c>
      <c r="E259" s="13" t="n">
        <v>0.25</v>
      </c>
      <c r="F259" s="16" t="n">
        <v>165</v>
      </c>
      <c r="G259" s="14" t="n">
        <v>0.21650635094611</v>
      </c>
      <c r="H259" s="15" t="n">
        <v>-0.125</v>
      </c>
    </row>
    <row r="260">
      <c r="A260" t="s">
        <v>31</v>
      </c>
      <c r="B260" t="s">
        <v>806</v>
      </c>
      <c r="C260" t="s">
        <v>808</v>
      </c>
      <c r="D260" t="s">
        <v>396</v>
      </c>
      <c r="E260" s="13" t="n">
        <v>0.25</v>
      </c>
      <c r="F260" s="16" t="n">
        <v>30</v>
      </c>
      <c r="G260" s="14" t="n">
        <v>0.125</v>
      </c>
      <c r="H260" s="15" t="n">
        <v>0.21650635094611</v>
      </c>
    </row>
    <row r="261">
      <c r="A261" t="s">
        <v>30</v>
      </c>
      <c r="B261" t="s">
        <v>809</v>
      </c>
      <c r="C261" t="s">
        <v>810</v>
      </c>
      <c r="D261" t="s">
        <v>396</v>
      </c>
      <c r="E261" s="13" t="n">
        <v>0.25</v>
      </c>
      <c r="F261" s="16" t="n">
        <v>124</v>
      </c>
      <c r="G261" s="14" t="n">
        <v>-0.0936516483539781</v>
      </c>
      <c r="H261" s="15" t="n">
        <v>-0.231795963641697</v>
      </c>
    </row>
    <row r="262">
      <c r="A262" t="s">
        <v>31</v>
      </c>
      <c r="B262" t="s">
        <v>811</v>
      </c>
      <c r="C262" t="s">
        <v>812</v>
      </c>
      <c r="D262" t="s">
        <v>396</v>
      </c>
      <c r="E262" s="13" t="n">
        <v>0.25</v>
      </c>
      <c r="F262" s="16" t="n">
        <v>17</v>
      </c>
      <c r="G262" s="14" t="n">
        <v>0.20725939313876</v>
      </c>
      <c r="H262" s="15" t="n">
        <v>0.139798225867687</v>
      </c>
    </row>
    <row r="263">
      <c r="A263" t="s">
        <v>30</v>
      </c>
      <c r="B263" t="s">
        <v>813</v>
      </c>
      <c r="C263" t="s">
        <v>814</v>
      </c>
      <c r="D263" t="s">
        <v>396</v>
      </c>
      <c r="E263" s="13" t="n">
        <v>0</v>
      </c>
      <c r="F263" s="16" t="n">
        <v>138</v>
      </c>
      <c r="G263" s="14" t="n">
        <v>0</v>
      </c>
      <c r="H263" s="15" t="n">
        <v>0</v>
      </c>
    </row>
    <row r="264">
      <c r="A264" t="s">
        <v>30</v>
      </c>
      <c r="B264" t="s">
        <v>813</v>
      </c>
      <c r="C264" t="s">
        <v>815</v>
      </c>
      <c r="D264" t="s">
        <v>396</v>
      </c>
      <c r="E264" s="13" t="n">
        <v>0.25</v>
      </c>
      <c r="F264" s="16" t="n">
        <v>121</v>
      </c>
      <c r="G264" s="14" t="n">
        <v>-0.117367890696473</v>
      </c>
      <c r="H264" s="15" t="n">
        <v>-0.220736898214732</v>
      </c>
    </row>
    <row r="265">
      <c r="A265" t="s">
        <v>31</v>
      </c>
      <c r="B265" t="s">
        <v>816</v>
      </c>
      <c r="C265" t="s">
        <v>817</v>
      </c>
      <c r="D265" t="s">
        <v>396</v>
      </c>
      <c r="E265" s="13" t="n">
        <v>0.25</v>
      </c>
      <c r="F265" s="16" t="n">
        <v>97</v>
      </c>
      <c r="G265" s="14" t="n">
        <v>-0.242573931568999</v>
      </c>
      <c r="H265" s="15" t="n">
        <v>-0.0604804738999169</v>
      </c>
    </row>
    <row r="266">
      <c r="A266" t="s">
        <v>31</v>
      </c>
      <c r="B266" t="s">
        <v>816</v>
      </c>
      <c r="C266" t="s">
        <v>818</v>
      </c>
      <c r="D266" t="s">
        <v>396</v>
      </c>
      <c r="E266" s="13" t="n">
        <v>0.25</v>
      </c>
      <c r="F266" s="16" t="n">
        <v>86</v>
      </c>
      <c r="G266" s="14" t="n">
        <v>-0.247567017185393</v>
      </c>
      <c r="H266" s="15" t="n">
        <v>0.0347932752400163</v>
      </c>
    </row>
    <row r="267">
      <c r="A267" t="s">
        <v>31</v>
      </c>
      <c r="B267" t="s">
        <v>819</v>
      </c>
      <c r="C267" t="s">
        <v>820</v>
      </c>
      <c r="D267" t="s">
        <v>396</v>
      </c>
      <c r="E267" s="13" t="n">
        <v>0.25</v>
      </c>
      <c r="F267" s="16" t="n">
        <v>42</v>
      </c>
      <c r="G267" s="14" t="n">
        <v>0.0261321158169134</v>
      </c>
      <c r="H267" s="15" t="n">
        <v>0.248630473842068</v>
      </c>
    </row>
    <row r="268">
      <c r="A268" t="s">
        <v>31</v>
      </c>
      <c r="B268" t="s">
        <v>819</v>
      </c>
      <c r="C268" t="s">
        <v>821</v>
      </c>
      <c r="D268" t="s">
        <v>396</v>
      </c>
      <c r="E268" s="13" t="n">
        <v>0.25</v>
      </c>
      <c r="F268" s="16" t="n">
        <v>121</v>
      </c>
      <c r="G268" s="14" t="n">
        <v>-0.117367890696473</v>
      </c>
      <c r="H268" s="15" t="n">
        <v>-0.220736898214732</v>
      </c>
    </row>
    <row r="269">
      <c r="A269" t="s">
        <v>31</v>
      </c>
      <c r="B269" t="s">
        <v>822</v>
      </c>
      <c r="C269" t="s">
        <v>823</v>
      </c>
      <c r="D269" t="s">
        <v>396</v>
      </c>
      <c r="E269" s="13" t="n">
        <v>0.25</v>
      </c>
      <c r="F269" s="16" t="n">
        <v>21</v>
      </c>
      <c r="G269" s="14" t="n">
        <v>0.185786206369349</v>
      </c>
      <c r="H269" s="15" t="n">
        <v>0.167282651589715</v>
      </c>
    </row>
    <row r="270">
      <c r="A270" t="s">
        <v>31</v>
      </c>
      <c r="B270" t="s">
        <v>822</v>
      </c>
      <c r="C270" t="s">
        <v>824</v>
      </c>
      <c r="D270" t="s">
        <v>396</v>
      </c>
      <c r="E270" s="13" t="n">
        <v>0.25</v>
      </c>
      <c r="F270" s="16" t="n">
        <v>173</v>
      </c>
      <c r="G270" s="14" t="n">
        <v>0.242573931568999</v>
      </c>
      <c r="H270" s="15" t="n">
        <v>-0.0604804738999169</v>
      </c>
    </row>
    <row r="271">
      <c r="A271" t="s">
        <v>31</v>
      </c>
      <c r="B271" t="s">
        <v>825</v>
      </c>
      <c r="C271" t="s">
        <v>826</v>
      </c>
      <c r="D271" t="s">
        <v>396</v>
      </c>
      <c r="E271" s="13" t="n">
        <v>0.75</v>
      </c>
      <c r="F271" s="16" t="n">
        <v>58</v>
      </c>
      <c r="G271" s="14" t="n">
        <v>-0.328778360091808</v>
      </c>
      <c r="H271" s="15" t="n">
        <v>0.674095534724375</v>
      </c>
    </row>
    <row r="272">
      <c r="A272" t="s">
        <v>31</v>
      </c>
      <c r="B272" t="s">
        <v>825</v>
      </c>
      <c r="C272" t="s">
        <v>827</v>
      </c>
      <c r="D272" t="s">
        <v>396</v>
      </c>
      <c r="E272" s="13" t="n">
        <v>0.25</v>
      </c>
      <c r="F272" s="16" t="n">
        <v>122</v>
      </c>
      <c r="G272" s="14" t="n">
        <v>-0.109592786697269</v>
      </c>
      <c r="H272" s="15" t="n">
        <v>-0.224698511574792</v>
      </c>
    </row>
    <row r="273">
      <c r="A273" t="s">
        <v>30</v>
      </c>
      <c r="B273" t="s">
        <v>828</v>
      </c>
      <c r="C273" t="s">
        <v>829</v>
      </c>
      <c r="D273" t="s">
        <v>396</v>
      </c>
      <c r="E273" s="13" t="n">
        <v>0.25</v>
      </c>
      <c r="F273" s="16" t="n">
        <v>48</v>
      </c>
      <c r="G273" s="14" t="n">
        <v>-0.0261321158169133</v>
      </c>
      <c r="H273" s="15" t="n">
        <v>0.248630473842068</v>
      </c>
    </row>
    <row r="274">
      <c r="A274" t="s">
        <v>30</v>
      </c>
      <c r="B274" t="s">
        <v>830</v>
      </c>
      <c r="C274" t="s">
        <v>831</v>
      </c>
      <c r="D274" t="s">
        <v>396</v>
      </c>
      <c r="E274" s="13" t="n">
        <v>0.25</v>
      </c>
      <c r="F274" s="16" t="n">
        <v>33</v>
      </c>
      <c r="G274" s="14" t="n">
        <v>0.10168416076895</v>
      </c>
      <c r="H274" s="15" t="n">
        <v>0.22838636441065</v>
      </c>
    </row>
    <row r="275">
      <c r="A275" t="s">
        <v>30</v>
      </c>
      <c r="B275" t="s">
        <v>830</v>
      </c>
      <c r="C275" t="s">
        <v>832</v>
      </c>
      <c r="D275" t="s">
        <v>396</v>
      </c>
      <c r="E275" s="13" t="n">
        <v>0</v>
      </c>
      <c r="F275" s="16" t="n">
        <v>71</v>
      </c>
      <c r="G275" s="14" t="n">
        <v>0</v>
      </c>
      <c r="H275" s="15" t="n">
        <v>0</v>
      </c>
    </row>
    <row r="276">
      <c r="A276" t="s">
        <v>30</v>
      </c>
      <c r="B276" t="s">
        <v>833</v>
      </c>
      <c r="C276" t="s">
        <v>834</v>
      </c>
      <c r="D276" t="s">
        <v>396</v>
      </c>
      <c r="E276" s="13" t="n">
        <v>0.25</v>
      </c>
      <c r="F276" s="16" t="n">
        <v>103</v>
      </c>
      <c r="G276" s="14" t="n">
        <v>-0.224698511574792</v>
      </c>
      <c r="H276" s="15" t="n">
        <v>-0.109592786697269</v>
      </c>
    </row>
    <row r="277">
      <c r="A277" t="s">
        <v>30</v>
      </c>
      <c r="B277" t="s">
        <v>833</v>
      </c>
      <c r="C277" t="s">
        <v>835</v>
      </c>
      <c r="D277" t="s">
        <v>396</v>
      </c>
      <c r="E277" s="13" t="n">
        <v>0.25</v>
      </c>
      <c r="F277" s="16" t="n">
        <v>137</v>
      </c>
      <c r="G277" s="14" t="n">
        <v>0.0174391184360313</v>
      </c>
      <c r="H277" s="15" t="n">
        <v>-0.249391012564956</v>
      </c>
    </row>
    <row r="278">
      <c r="A278" t="s">
        <v>31</v>
      </c>
      <c r="B278" t="s">
        <v>836</v>
      </c>
      <c r="C278" t="s">
        <v>837</v>
      </c>
      <c r="D278" t="s">
        <v>396</v>
      </c>
      <c r="E278" s="13" t="n">
        <v>0.25</v>
      </c>
      <c r="F278" s="16" t="n">
        <v>86</v>
      </c>
      <c r="G278" s="14" t="n">
        <v>-0.247567017185393</v>
      </c>
      <c r="H278" s="15" t="n">
        <v>0.0347932752400163</v>
      </c>
    </row>
    <row r="279">
      <c r="A279" t="s">
        <v>31</v>
      </c>
      <c r="B279" t="s">
        <v>836</v>
      </c>
      <c r="C279" t="s">
        <v>838</v>
      </c>
      <c r="D279" t="s">
        <v>396</v>
      </c>
      <c r="E279" s="13" t="n">
        <v>0.25</v>
      </c>
      <c r="F279" s="16" t="n">
        <v>130</v>
      </c>
      <c r="G279" s="14" t="n">
        <v>-0.0434120444167326</v>
      </c>
      <c r="H279" s="15" t="n">
        <v>-0.246201938253052</v>
      </c>
    </row>
    <row r="280">
      <c r="A280" t="s">
        <v>31</v>
      </c>
      <c r="B280" t="s">
        <v>839</v>
      </c>
      <c r="C280" t="s">
        <v>840</v>
      </c>
      <c r="D280" t="s">
        <v>396</v>
      </c>
      <c r="E280" s="13" t="n">
        <v>0.25</v>
      </c>
      <c r="F280" s="16" t="n">
        <v>35</v>
      </c>
      <c r="G280" s="14" t="n">
        <v>0.0855050358314172</v>
      </c>
      <c r="H280" s="15" t="n">
        <v>0.234923155196477</v>
      </c>
    </row>
    <row r="281">
      <c r="A281" t="s">
        <v>30</v>
      </c>
      <c r="B281" t="s">
        <v>841</v>
      </c>
      <c r="C281" t="s">
        <v>842</v>
      </c>
      <c r="D281" t="s">
        <v>396</v>
      </c>
      <c r="E281" s="13" t="n">
        <v>0</v>
      </c>
      <c r="F281" s="16" t="n">
        <v>132</v>
      </c>
      <c r="G281" s="14" t="n">
        <v>0</v>
      </c>
      <c r="H281" s="15" t="n">
        <v>0</v>
      </c>
    </row>
    <row r="282">
      <c r="A282" t="s">
        <v>30</v>
      </c>
      <c r="B282" t="s">
        <v>841</v>
      </c>
      <c r="C282" t="s">
        <v>843</v>
      </c>
      <c r="D282" t="s">
        <v>396</v>
      </c>
      <c r="E282" s="13" t="n">
        <v>0</v>
      </c>
      <c r="F282" s="16" t="n">
        <v>1</v>
      </c>
      <c r="G282" s="14" t="n">
        <v>0</v>
      </c>
      <c r="H282" s="15" t="n">
        <v>0</v>
      </c>
    </row>
    <row r="283">
      <c r="A283" t="s">
        <v>30</v>
      </c>
      <c r="B283" t="s">
        <v>844</v>
      </c>
      <c r="C283" t="s">
        <v>845</v>
      </c>
      <c r="D283" t="s">
        <v>396</v>
      </c>
      <c r="E283" s="13" t="n">
        <v>0.25</v>
      </c>
      <c r="F283" s="16" t="n">
        <v>55</v>
      </c>
      <c r="G283" s="14" t="n">
        <v>-0.0855050358314172</v>
      </c>
      <c r="H283" s="15" t="n">
        <v>0.234923155196477</v>
      </c>
    </row>
    <row r="284">
      <c r="A284" t="s">
        <v>30</v>
      </c>
      <c r="B284" t="s">
        <v>846</v>
      </c>
      <c r="C284" t="s">
        <v>847</v>
      </c>
      <c r="D284" t="s">
        <v>396</v>
      </c>
      <c r="E284" s="13" t="n">
        <v>0.25</v>
      </c>
      <c r="F284" s="16" t="n">
        <v>42</v>
      </c>
      <c r="G284" s="14" t="n">
        <v>0.0261321158169134</v>
      </c>
      <c r="H284" s="15" t="n">
        <v>0.248630473842068</v>
      </c>
    </row>
    <row r="285">
      <c r="A285" t="s">
        <v>31</v>
      </c>
      <c r="B285" t="s">
        <v>848</v>
      </c>
      <c r="C285" t="s">
        <v>849</v>
      </c>
      <c r="D285" t="s">
        <v>396</v>
      </c>
      <c r="E285" s="13" t="n">
        <v>0.5</v>
      </c>
      <c r="F285" s="16" t="n">
        <v>112</v>
      </c>
      <c r="G285" s="14" t="n">
        <v>-0.359669900169326</v>
      </c>
      <c r="H285" s="15" t="n">
        <v>-0.347329185229499</v>
      </c>
    </row>
    <row r="286">
      <c r="A286" t="s">
        <v>31</v>
      </c>
      <c r="B286" t="s">
        <v>848</v>
      </c>
      <c r="C286" t="s">
        <v>850</v>
      </c>
      <c r="D286" t="s">
        <v>396</v>
      </c>
      <c r="E286" s="13" t="n">
        <v>0.25</v>
      </c>
      <c r="F286" s="16" t="n">
        <v>75</v>
      </c>
      <c r="G286" s="14" t="n">
        <v>-0.21650635094611</v>
      </c>
      <c r="H286" s="15" t="n">
        <v>0.125</v>
      </c>
    </row>
    <row r="287">
      <c r="A287" t="s">
        <v>31</v>
      </c>
      <c r="B287" t="s">
        <v>851</v>
      </c>
      <c r="C287" t="s">
        <v>852</v>
      </c>
      <c r="D287" t="s">
        <v>396</v>
      </c>
      <c r="E287" s="13" t="n">
        <v>0.25</v>
      </c>
      <c r="F287" s="16" t="n">
        <v>121</v>
      </c>
      <c r="G287" s="14" t="n">
        <v>-0.117367890696473</v>
      </c>
      <c r="H287" s="15" t="n">
        <v>-0.220736898214732</v>
      </c>
    </row>
    <row r="288">
      <c r="A288" t="s">
        <v>31</v>
      </c>
      <c r="B288" t="s">
        <v>851</v>
      </c>
      <c r="C288" t="s">
        <v>853</v>
      </c>
      <c r="D288" t="s">
        <v>396</v>
      </c>
      <c r="E288" s="13" t="n">
        <v>0.5</v>
      </c>
      <c r="F288" s="16" t="n">
        <v>60</v>
      </c>
      <c r="G288" s="14" t="n">
        <v>-0.25</v>
      </c>
      <c r="H288" s="15" t="n">
        <v>0.433012701892219</v>
      </c>
    </row>
    <row r="289">
      <c r="A289" t="s">
        <v>30</v>
      </c>
      <c r="B289" t="s">
        <v>854</v>
      </c>
      <c r="C289" t="s">
        <v>855</v>
      </c>
      <c r="D289" t="s">
        <v>396</v>
      </c>
      <c r="E289" s="13" t="n">
        <v>0.75</v>
      </c>
      <c r="F289" s="16" t="n">
        <v>41</v>
      </c>
      <c r="G289" s="14" t="n">
        <v>0.104379825720049</v>
      </c>
      <c r="H289" s="15" t="n">
        <v>0.742701051556178</v>
      </c>
    </row>
    <row r="290">
      <c r="A290" t="s">
        <v>31</v>
      </c>
      <c r="B290" t="s">
        <v>856</v>
      </c>
      <c r="C290" t="s">
        <v>857</v>
      </c>
      <c r="D290" t="s">
        <v>396</v>
      </c>
      <c r="E290" s="13" t="n">
        <v>0.25</v>
      </c>
      <c r="F290" s="16" t="n">
        <v>92</v>
      </c>
      <c r="G290" s="14" t="n">
        <v>-0.249391012564956</v>
      </c>
      <c r="H290" s="15" t="n">
        <v>-0.0174391184360313</v>
      </c>
    </row>
    <row r="291">
      <c r="A291" t="s">
        <v>31</v>
      </c>
      <c r="B291" t="s">
        <v>856</v>
      </c>
      <c r="C291" t="s">
        <v>858</v>
      </c>
      <c r="D291" t="s">
        <v>396</v>
      </c>
      <c r="E291" s="13" t="n">
        <v>0.25</v>
      </c>
      <c r="F291" s="16" t="n">
        <v>57</v>
      </c>
      <c r="G291" s="14" t="n">
        <v>-0.10168416076895</v>
      </c>
      <c r="H291" s="15" t="n">
        <v>0.22838636441065</v>
      </c>
    </row>
    <row r="292">
      <c r="A292" t="s">
        <v>31</v>
      </c>
      <c r="B292" t="s">
        <v>859</v>
      </c>
      <c r="C292" t="s">
        <v>860</v>
      </c>
      <c r="D292" t="s">
        <v>396</v>
      </c>
      <c r="E292" s="13" t="n">
        <v>0.25</v>
      </c>
      <c r="F292" s="16" t="n">
        <v>45</v>
      </c>
      <c r="G292" s="14" t="n">
        <v>0</v>
      </c>
      <c r="H292" s="15" t="n">
        <v>0.25</v>
      </c>
    </row>
    <row r="293">
      <c r="A293" t="s">
        <v>31</v>
      </c>
      <c r="B293" t="s">
        <v>859</v>
      </c>
      <c r="C293" t="s">
        <v>861</v>
      </c>
      <c r="D293" t="s">
        <v>396</v>
      </c>
      <c r="E293" s="13" t="n">
        <v>0.25</v>
      </c>
      <c r="F293" s="16" t="n">
        <v>122</v>
      </c>
      <c r="G293" s="14" t="n">
        <v>-0.109592786697269</v>
      </c>
      <c r="H293" s="15" t="n">
        <v>-0.224698511574792</v>
      </c>
    </row>
    <row r="294">
      <c r="A294" t="s">
        <v>30</v>
      </c>
      <c r="B294" t="s">
        <v>862</v>
      </c>
      <c r="C294" t="s">
        <v>863</v>
      </c>
      <c r="D294" t="s">
        <v>396</v>
      </c>
      <c r="E294" s="13" t="n">
        <v>0.5</v>
      </c>
      <c r="F294" s="16" t="n">
        <v>37</v>
      </c>
      <c r="G294" s="14" t="n">
        <v>0.1378186779085</v>
      </c>
      <c r="H294" s="15" t="n">
        <v>0.480630847969159</v>
      </c>
    </row>
    <row r="295">
      <c r="A295" t="s">
        <v>30</v>
      </c>
      <c r="B295" t="s">
        <v>864</v>
      </c>
      <c r="C295" t="s">
        <v>865</v>
      </c>
      <c r="D295" t="s">
        <v>396</v>
      </c>
      <c r="E295" s="13" t="n">
        <v>0</v>
      </c>
      <c r="F295" s="16" t="n">
        <v>66</v>
      </c>
      <c r="G295" s="14" t="n">
        <v>0</v>
      </c>
      <c r="H295" s="15" t="n">
        <v>0</v>
      </c>
    </row>
    <row r="296">
      <c r="A296" t="s">
        <v>30</v>
      </c>
      <c r="B296" t="s">
        <v>864</v>
      </c>
      <c r="C296" t="s">
        <v>866</v>
      </c>
      <c r="D296" t="s">
        <v>396</v>
      </c>
      <c r="E296" s="13" t="n">
        <v>0.25</v>
      </c>
      <c r="F296" s="16" t="n">
        <v>22</v>
      </c>
      <c r="G296" s="14" t="n">
        <v>0.179834950084663</v>
      </c>
      <c r="H296" s="15" t="n">
        <v>0.173664592614749</v>
      </c>
    </row>
    <row r="297">
      <c r="A297" t="s">
        <v>30</v>
      </c>
      <c r="B297" t="s">
        <v>867</v>
      </c>
      <c r="C297" t="s">
        <v>868</v>
      </c>
      <c r="D297" t="s">
        <v>396</v>
      </c>
      <c r="E297" s="13" t="n">
        <v>0.25</v>
      </c>
      <c r="F297" s="16" t="n">
        <v>66</v>
      </c>
      <c r="G297" s="14" t="n">
        <v>-0.167282651589714</v>
      </c>
      <c r="H297" s="15" t="n">
        <v>0.185786206369349</v>
      </c>
    </row>
    <row r="298">
      <c r="A298" t="s">
        <v>30</v>
      </c>
      <c r="B298" t="s">
        <v>869</v>
      </c>
      <c r="C298" t="s">
        <v>870</v>
      </c>
      <c r="D298" t="s">
        <v>396</v>
      </c>
      <c r="E298" s="13" t="n">
        <v>0</v>
      </c>
      <c r="F298" s="16" t="n">
        <v>166</v>
      </c>
      <c r="G298" s="14" t="n">
        <v>0</v>
      </c>
      <c r="H298" s="15" t="n">
        <v>0</v>
      </c>
    </row>
    <row r="299">
      <c r="A299" t="s">
        <v>30</v>
      </c>
      <c r="B299" t="s">
        <v>871</v>
      </c>
      <c r="C299" t="s">
        <v>872</v>
      </c>
      <c r="D299" t="s">
        <v>396</v>
      </c>
      <c r="E299" s="13" t="n">
        <v>0.5</v>
      </c>
      <c r="F299" s="16" t="n">
        <v>78</v>
      </c>
      <c r="G299" s="14" t="n">
        <v>-0.4567727288213</v>
      </c>
      <c r="H299" s="15" t="n">
        <v>0.2033683215379</v>
      </c>
    </row>
    <row r="300">
      <c r="A300" t="s">
        <v>30</v>
      </c>
      <c r="B300" t="s">
        <v>871</v>
      </c>
      <c r="C300" t="s">
        <v>873</v>
      </c>
      <c r="D300" t="s">
        <v>396</v>
      </c>
      <c r="E300" s="13" t="n">
        <v>0.5</v>
      </c>
      <c r="F300" s="16" t="n">
        <v>130</v>
      </c>
      <c r="G300" s="14" t="n">
        <v>-0.0868240888334652</v>
      </c>
      <c r="H300" s="15" t="n">
        <v>-0.492403876506104</v>
      </c>
    </row>
    <row r="301">
      <c r="A301" t="s">
        <v>31</v>
      </c>
      <c r="B301" t="s">
        <v>874</v>
      </c>
      <c r="C301" t="s">
        <v>875</v>
      </c>
      <c r="D301" t="s">
        <v>396</v>
      </c>
      <c r="E301" s="13" t="n">
        <v>0</v>
      </c>
      <c r="F301" s="16" t="n">
        <v>171</v>
      </c>
      <c r="G301" s="14" t="n">
        <v>0</v>
      </c>
      <c r="H301" s="15" t="n">
        <v>0</v>
      </c>
    </row>
    <row r="302">
      <c r="A302" t="s">
        <v>31</v>
      </c>
      <c r="B302" t="s">
        <v>876</v>
      </c>
      <c r="C302" t="s">
        <v>877</v>
      </c>
      <c r="D302" t="s">
        <v>396</v>
      </c>
      <c r="E302" s="13" t="n">
        <v>0.25</v>
      </c>
      <c r="F302" s="16" t="n">
        <v>139</v>
      </c>
      <c r="G302" s="14" t="n">
        <v>0.0347932752400164</v>
      </c>
      <c r="H302" s="15" t="n">
        <v>-0.247567017185393</v>
      </c>
    </row>
    <row r="303">
      <c r="A303" t="s">
        <v>30</v>
      </c>
      <c r="B303" t="s">
        <v>878</v>
      </c>
      <c r="C303" t="s">
        <v>879</v>
      </c>
      <c r="D303" t="s">
        <v>396</v>
      </c>
      <c r="E303" s="13" t="n">
        <v>0.5</v>
      </c>
      <c r="F303" s="16" t="n">
        <v>1</v>
      </c>
      <c r="G303" s="14" t="n">
        <v>0.499695413509548</v>
      </c>
      <c r="H303" s="15" t="n">
        <v>0.0174497483512505</v>
      </c>
    </row>
    <row r="304">
      <c r="A304" t="s">
        <v>30</v>
      </c>
      <c r="B304" t="s">
        <v>878</v>
      </c>
      <c r="C304" t="s">
        <v>880</v>
      </c>
      <c r="D304" t="s">
        <v>396</v>
      </c>
      <c r="E304" s="13" t="n">
        <v>0.25</v>
      </c>
      <c r="F304" s="16" t="n">
        <v>177</v>
      </c>
      <c r="G304" s="14" t="n">
        <v>0.248630473842068</v>
      </c>
      <c r="H304" s="15" t="n">
        <v>-0.0261321158169134</v>
      </c>
    </row>
    <row r="305">
      <c r="A305" t="s">
        <v>31</v>
      </c>
      <c r="B305" t="s">
        <v>881</v>
      </c>
      <c r="C305" t="s">
        <v>882</v>
      </c>
      <c r="D305" t="s">
        <v>396</v>
      </c>
      <c r="E305" s="13" t="n">
        <v>0</v>
      </c>
      <c r="F305" s="16" t="n">
        <v>114</v>
      </c>
      <c r="G305" s="14" t="n">
        <v>0</v>
      </c>
      <c r="H305" s="15" t="n">
        <v>0</v>
      </c>
    </row>
    <row r="306">
      <c r="A306" t="s">
        <v>31</v>
      </c>
      <c r="B306" t="s">
        <v>881</v>
      </c>
      <c r="C306" t="s">
        <v>883</v>
      </c>
      <c r="D306" t="s">
        <v>396</v>
      </c>
      <c r="E306" s="13" t="n">
        <v>0.25</v>
      </c>
      <c r="F306" s="16" t="n">
        <v>138</v>
      </c>
      <c r="G306" s="14" t="n">
        <v>0.0261321158169135</v>
      </c>
      <c r="H306" s="15" t="n">
        <v>-0.248630473842068</v>
      </c>
    </row>
    <row r="307">
      <c r="A307" t="s">
        <v>30</v>
      </c>
      <c r="B307" t="s">
        <v>884</v>
      </c>
      <c r="C307" t="s">
        <v>885</v>
      </c>
      <c r="D307" t="s">
        <v>396</v>
      </c>
      <c r="E307" s="13" t="n">
        <v>0.75</v>
      </c>
      <c r="F307" s="16" t="n">
        <v>62</v>
      </c>
      <c r="G307" s="14" t="n">
        <v>-0.41939467760306</v>
      </c>
      <c r="H307" s="15" t="n">
        <v>0.621778179416281</v>
      </c>
    </row>
    <row r="308">
      <c r="A308" t="s">
        <v>30</v>
      </c>
      <c r="B308" t="s">
        <v>884</v>
      </c>
      <c r="C308" t="s">
        <v>886</v>
      </c>
      <c r="D308" t="s">
        <v>396</v>
      </c>
      <c r="E308" s="13" t="n">
        <v>0.75</v>
      </c>
      <c r="F308" s="16" t="n">
        <v>116</v>
      </c>
      <c r="G308" s="14" t="n">
        <v>-0.461746106494244</v>
      </c>
      <c r="H308" s="15" t="n">
        <v>-0.591008065205042</v>
      </c>
    </row>
    <row r="309">
      <c r="A309" t="s">
        <v>30</v>
      </c>
      <c r="B309" t="s">
        <v>887</v>
      </c>
      <c r="C309" t="s">
        <v>888</v>
      </c>
      <c r="D309" t="s">
        <v>396</v>
      </c>
      <c r="E309" s="13" t="n">
        <v>0.25</v>
      </c>
      <c r="F309" s="16" t="n">
        <v>138</v>
      </c>
      <c r="G309" s="14" t="n">
        <v>0.0261321158169135</v>
      </c>
      <c r="H309" s="15" t="n">
        <v>-0.248630473842068</v>
      </c>
    </row>
    <row r="310">
      <c r="A310" t="s">
        <v>30</v>
      </c>
      <c r="B310" t="s">
        <v>887</v>
      </c>
      <c r="C310" t="s">
        <v>889</v>
      </c>
      <c r="D310" t="s">
        <v>396</v>
      </c>
      <c r="E310" s="13" t="n">
        <v>0.5</v>
      </c>
      <c r="F310" s="16" t="n">
        <v>87</v>
      </c>
      <c r="G310" s="14" t="n">
        <v>-0.497260947684137</v>
      </c>
      <c r="H310" s="15" t="n">
        <v>0.0522642316338269</v>
      </c>
    </row>
    <row r="311">
      <c r="A311" t="s">
        <v>30</v>
      </c>
      <c r="B311" t="s">
        <v>890</v>
      </c>
      <c r="C311" t="s">
        <v>891</v>
      </c>
      <c r="D311" t="s">
        <v>396</v>
      </c>
      <c r="E311" s="13" t="n">
        <v>0.25</v>
      </c>
      <c r="F311" s="16" t="n">
        <v>67</v>
      </c>
      <c r="G311" s="14" t="n">
        <v>-0.173664592614749</v>
      </c>
      <c r="H311" s="15" t="n">
        <v>0.179834950084663</v>
      </c>
    </row>
    <row r="312">
      <c r="A312" t="s">
        <v>30</v>
      </c>
      <c r="B312" t="s">
        <v>890</v>
      </c>
      <c r="C312" t="s">
        <v>892</v>
      </c>
      <c r="D312" t="s">
        <v>396</v>
      </c>
      <c r="E312" s="13" t="n">
        <v>0</v>
      </c>
      <c r="F312" s="16" t="n">
        <v>110</v>
      </c>
      <c r="G312" s="14" t="n">
        <v>0</v>
      </c>
      <c r="H312" s="15" t="n">
        <v>0</v>
      </c>
    </row>
    <row r="313">
      <c r="A313" t="s">
        <v>30</v>
      </c>
      <c r="B313" t="s">
        <v>893</v>
      </c>
      <c r="C313" t="s">
        <v>894</v>
      </c>
      <c r="D313" t="s">
        <v>396</v>
      </c>
      <c r="E313" s="13" t="n">
        <v>0.25</v>
      </c>
      <c r="F313" s="16" t="n">
        <v>144</v>
      </c>
      <c r="G313" s="14" t="n">
        <v>0.0772542485937368</v>
      </c>
      <c r="H313" s="15" t="n">
        <v>-0.237764129073788</v>
      </c>
    </row>
    <row r="314">
      <c r="A314" t="s">
        <v>30</v>
      </c>
      <c r="B314" t="s">
        <v>893</v>
      </c>
      <c r="C314" t="s">
        <v>895</v>
      </c>
      <c r="D314" t="s">
        <v>396</v>
      </c>
      <c r="E314" s="13" t="n">
        <v>0.25</v>
      </c>
      <c r="F314" s="16" t="n">
        <v>64</v>
      </c>
      <c r="G314" s="14" t="n">
        <v>-0.153915368831415</v>
      </c>
      <c r="H314" s="15" t="n">
        <v>0.197002688401681</v>
      </c>
    </row>
    <row r="315">
      <c r="A315" t="s">
        <v>31</v>
      </c>
      <c r="B315" t="s">
        <v>896</v>
      </c>
      <c r="C315" t="s">
        <v>897</v>
      </c>
      <c r="D315" t="s">
        <v>396</v>
      </c>
      <c r="E315" s="13" t="n">
        <v>0.25</v>
      </c>
      <c r="F315" s="16" t="n">
        <v>18</v>
      </c>
      <c r="G315" s="14" t="n">
        <v>0.202254248593737</v>
      </c>
      <c r="H315" s="15" t="n">
        <v>0.146946313073118</v>
      </c>
    </row>
    <row r="316">
      <c r="A316" t="s">
        <v>31</v>
      </c>
      <c r="B316" t="s">
        <v>896</v>
      </c>
      <c r="C316" t="s">
        <v>898</v>
      </c>
      <c r="D316" t="s">
        <v>396</v>
      </c>
      <c r="E316" s="13" t="n">
        <v>0.25</v>
      </c>
      <c r="F316" s="16" t="n">
        <v>165</v>
      </c>
      <c r="G316" s="14" t="n">
        <v>0.21650635094611</v>
      </c>
      <c r="H316" s="15" t="n">
        <v>-0.125</v>
      </c>
    </row>
    <row r="317">
      <c r="A317" t="s">
        <v>30</v>
      </c>
      <c r="B317" t="s">
        <v>899</v>
      </c>
      <c r="C317" t="s">
        <v>900</v>
      </c>
      <c r="D317" t="s">
        <v>396</v>
      </c>
      <c r="E317" s="13" t="n">
        <v>0.25</v>
      </c>
      <c r="F317" s="16" t="n">
        <v>158</v>
      </c>
      <c r="G317" s="14" t="n">
        <v>0.179834950084663</v>
      </c>
      <c r="H317" s="15" t="n">
        <v>-0.173664592614749</v>
      </c>
    </row>
    <row r="318">
      <c r="A318" t="s">
        <v>30</v>
      </c>
      <c r="B318" t="s">
        <v>899</v>
      </c>
      <c r="C318" t="s">
        <v>901</v>
      </c>
      <c r="D318" t="s">
        <v>396</v>
      </c>
      <c r="E318" s="13" t="n">
        <v>0.25</v>
      </c>
      <c r="F318" s="16" t="n">
        <v>131</v>
      </c>
      <c r="G318" s="14" t="n">
        <v>-0.0347932752400165</v>
      </c>
      <c r="H318" s="15" t="n">
        <v>-0.247567017185393</v>
      </c>
    </row>
    <row r="319">
      <c r="A319" t="s">
        <v>30</v>
      </c>
      <c r="B319" t="s">
        <v>902</v>
      </c>
      <c r="C319" t="s">
        <v>903</v>
      </c>
      <c r="D319" t="s">
        <v>396</v>
      </c>
      <c r="E319" s="13" t="n">
        <v>0.25</v>
      </c>
      <c r="F319" s="16" t="n">
        <v>27</v>
      </c>
      <c r="G319" s="14" t="n">
        <v>0.146946313073118</v>
      </c>
      <c r="H319" s="15" t="n">
        <v>0.202254248593737</v>
      </c>
    </row>
    <row r="320">
      <c r="A320" t="s">
        <v>31</v>
      </c>
      <c r="B320" t="s">
        <v>904</v>
      </c>
      <c r="C320" t="s">
        <v>905</v>
      </c>
      <c r="D320" t="s">
        <v>396</v>
      </c>
      <c r="E320" s="13" t="n">
        <v>0</v>
      </c>
      <c r="F320" s="16" t="n">
        <v>23</v>
      </c>
      <c r="G320" s="14" t="n">
        <v>0</v>
      </c>
      <c r="H320" s="15" t="n">
        <v>0</v>
      </c>
    </row>
    <row r="321">
      <c r="A321" t="s">
        <v>31</v>
      </c>
      <c r="B321" t="s">
        <v>904</v>
      </c>
      <c r="C321" t="s">
        <v>906</v>
      </c>
      <c r="D321" t="s">
        <v>396</v>
      </c>
      <c r="E321" s="13" t="n">
        <v>0.25</v>
      </c>
      <c r="F321" s="16" t="n">
        <v>141</v>
      </c>
      <c r="G321" s="14" t="n">
        <v>0.0519779227044399</v>
      </c>
      <c r="H321" s="15" t="n">
        <v>-0.244536900183451</v>
      </c>
    </row>
    <row r="322">
      <c r="A322" t="s">
        <v>30</v>
      </c>
      <c r="B322" t="s">
        <v>907</v>
      </c>
      <c r="C322" t="s">
        <v>908</v>
      </c>
      <c r="D322" t="s">
        <v>396</v>
      </c>
      <c r="E322" s="13" t="n">
        <v>0</v>
      </c>
      <c r="F322" s="16" t="n">
        <v>108</v>
      </c>
      <c r="G322" s="14" t="n">
        <v>0</v>
      </c>
      <c r="H322" s="15" t="n">
        <v>0</v>
      </c>
    </row>
    <row r="323">
      <c r="A323" t="s">
        <v>30</v>
      </c>
      <c r="B323" t="s">
        <v>907</v>
      </c>
      <c r="C323" t="s">
        <v>909</v>
      </c>
      <c r="D323" t="s">
        <v>396</v>
      </c>
      <c r="E323" s="13" t="n">
        <v>0</v>
      </c>
      <c r="F323" s="16" t="n">
        <v>97</v>
      </c>
      <c r="G323" s="14" t="n">
        <v>0</v>
      </c>
      <c r="H323" s="15" t="n">
        <v>0</v>
      </c>
    </row>
    <row r="324">
      <c r="A324" t="s">
        <v>31</v>
      </c>
      <c r="B324" t="s">
        <v>910</v>
      </c>
      <c r="C324" t="s">
        <v>911</v>
      </c>
      <c r="D324" t="s">
        <v>396</v>
      </c>
      <c r="E324" s="13" t="n">
        <v>0</v>
      </c>
      <c r="F324" s="16" t="n">
        <v>167</v>
      </c>
      <c r="G324" s="14" t="n">
        <v>0</v>
      </c>
      <c r="H324" s="15" t="n">
        <v>0</v>
      </c>
    </row>
    <row r="325">
      <c r="A325" t="s">
        <v>31</v>
      </c>
      <c r="B325" t="s">
        <v>910</v>
      </c>
      <c r="C325" t="s">
        <v>912</v>
      </c>
      <c r="D325" t="s">
        <v>396</v>
      </c>
      <c r="E325" s="13" t="n">
        <v>0</v>
      </c>
      <c r="F325" s="16" t="n">
        <v>163</v>
      </c>
      <c r="G325" s="14" t="n">
        <v>0</v>
      </c>
      <c r="H325" s="15" t="n">
        <v>0</v>
      </c>
    </row>
    <row r="326">
      <c r="A326" t="s">
        <v>30</v>
      </c>
      <c r="B326" t="s">
        <v>913</v>
      </c>
      <c r="C326" t="s">
        <v>914</v>
      </c>
      <c r="D326" t="s">
        <v>396</v>
      </c>
      <c r="E326" s="13" t="n">
        <v>0.25</v>
      </c>
      <c r="F326" s="16" t="n">
        <v>162</v>
      </c>
      <c r="G326" s="14" t="n">
        <v>0.202254248593737</v>
      </c>
      <c r="H326" s="15" t="n">
        <v>-0.146946313073118</v>
      </c>
    </row>
    <row r="327">
      <c r="A327" t="s">
        <v>30</v>
      </c>
      <c r="B327" t="s">
        <v>913</v>
      </c>
      <c r="C327" t="s">
        <v>915</v>
      </c>
      <c r="D327" t="s">
        <v>396</v>
      </c>
      <c r="E327" s="13" t="n">
        <v>0</v>
      </c>
      <c r="F327" s="16" t="n">
        <v>132</v>
      </c>
      <c r="G327" s="14" t="n">
        <v>0</v>
      </c>
      <c r="H327" s="15" t="n">
        <v>0</v>
      </c>
    </row>
    <row r="328">
      <c r="A328" t="s">
        <v>31</v>
      </c>
      <c r="B328" t="s">
        <v>916</v>
      </c>
      <c r="C328" t="s">
        <v>917</v>
      </c>
      <c r="D328" t="s">
        <v>396</v>
      </c>
      <c r="E328" s="13" t="n">
        <v>0.25</v>
      </c>
      <c r="F328" s="16" t="n">
        <v>20</v>
      </c>
      <c r="G328" s="14" t="n">
        <v>0.191511110779745</v>
      </c>
      <c r="H328" s="15" t="n">
        <v>0.160696902421635</v>
      </c>
    </row>
    <row r="329">
      <c r="A329" t="s">
        <v>30</v>
      </c>
      <c r="B329" t="s">
        <v>918</v>
      </c>
      <c r="C329" t="s">
        <v>919</v>
      </c>
      <c r="D329" t="s">
        <v>396</v>
      </c>
      <c r="E329" s="13" t="n">
        <v>0</v>
      </c>
      <c r="F329" s="16" t="n">
        <v>142</v>
      </c>
      <c r="G329" s="14" t="n">
        <v>0</v>
      </c>
      <c r="H329" s="15" t="n">
        <v>0</v>
      </c>
    </row>
    <row r="330">
      <c r="A330" t="s">
        <v>30</v>
      </c>
      <c r="B330" t="s">
        <v>918</v>
      </c>
      <c r="C330" t="s">
        <v>920</v>
      </c>
      <c r="D330" t="s">
        <v>396</v>
      </c>
      <c r="E330" s="13" t="n">
        <v>0.25</v>
      </c>
      <c r="F330" s="16" t="n">
        <v>48</v>
      </c>
      <c r="G330" s="14" t="n">
        <v>-0.0261321158169133</v>
      </c>
      <c r="H330" s="15" t="n">
        <v>0.248630473842068</v>
      </c>
    </row>
    <row r="331">
      <c r="A331" t="s">
        <v>30</v>
      </c>
      <c r="B331" t="s">
        <v>921</v>
      </c>
      <c r="C331" t="s">
        <v>922</v>
      </c>
      <c r="D331" t="s">
        <v>396</v>
      </c>
      <c r="E331" s="13" t="n">
        <v>0.25</v>
      </c>
      <c r="F331" s="16" t="n">
        <v>51</v>
      </c>
      <c r="G331" s="14" t="n">
        <v>-0.0519779227044398</v>
      </c>
      <c r="H331" s="15" t="n">
        <v>0.244536900183451</v>
      </c>
    </row>
    <row r="332">
      <c r="A332" t="s">
        <v>30</v>
      </c>
      <c r="B332" t="s">
        <v>923</v>
      </c>
      <c r="C332" t="s">
        <v>924</v>
      </c>
      <c r="D332" t="s">
        <v>396</v>
      </c>
      <c r="E332" s="13" t="n">
        <v>0.25</v>
      </c>
      <c r="F332" s="16" t="n">
        <v>156</v>
      </c>
      <c r="G332" s="14" t="n">
        <v>0.167282651589715</v>
      </c>
      <c r="H332" s="15" t="n">
        <v>-0.185786206369349</v>
      </c>
    </row>
    <row r="333">
      <c r="A333" t="s">
        <v>30</v>
      </c>
      <c r="B333" t="s">
        <v>923</v>
      </c>
      <c r="C333" t="s">
        <v>925</v>
      </c>
      <c r="D333" t="s">
        <v>396</v>
      </c>
      <c r="E333" s="13" t="n">
        <v>0</v>
      </c>
      <c r="F333" s="16" t="n">
        <v>31</v>
      </c>
      <c r="G333" s="14" t="n">
        <v>0</v>
      </c>
      <c r="H333" s="15" t="n">
        <v>0</v>
      </c>
    </row>
    <row r="334">
      <c r="A334" t="s">
        <v>30</v>
      </c>
      <c r="B334" t="s">
        <v>926</v>
      </c>
      <c r="C334" t="s">
        <v>927</v>
      </c>
      <c r="D334" t="s">
        <v>396</v>
      </c>
      <c r="E334" s="13" t="n">
        <v>0.25</v>
      </c>
      <c r="F334" s="16" t="n">
        <v>6</v>
      </c>
      <c r="G334" s="14" t="n">
        <v>0.244536900183451</v>
      </c>
      <c r="H334" s="15" t="n">
        <v>0.0519779227044398</v>
      </c>
    </row>
    <row r="335">
      <c r="A335" t="s">
        <v>30</v>
      </c>
      <c r="B335" t="s">
        <v>928</v>
      </c>
      <c r="C335" t="s">
        <v>929</v>
      </c>
      <c r="D335" t="s">
        <v>396</v>
      </c>
      <c r="E335" s="13" t="n">
        <v>0</v>
      </c>
      <c r="F335" s="16" t="n">
        <v>9</v>
      </c>
      <c r="G335" s="14" t="n">
        <v>0</v>
      </c>
      <c r="H335" s="15" t="n">
        <v>0</v>
      </c>
    </row>
    <row r="336">
      <c r="A336" t="s">
        <v>30</v>
      </c>
      <c r="B336" t="s">
        <v>928</v>
      </c>
      <c r="C336" t="s">
        <v>930</v>
      </c>
      <c r="D336" t="s">
        <v>396</v>
      </c>
      <c r="E336" s="13" t="n">
        <v>0.25</v>
      </c>
      <c r="F336" s="16" t="n">
        <v>55</v>
      </c>
      <c r="G336" s="14" t="n">
        <v>-0.0855050358314172</v>
      </c>
      <c r="H336" s="15" t="n">
        <v>0.234923155196477</v>
      </c>
    </row>
    <row r="337">
      <c r="A337" t="s">
        <v>30</v>
      </c>
      <c r="B337" t="s">
        <v>931</v>
      </c>
      <c r="C337" t="s">
        <v>932</v>
      </c>
      <c r="D337" t="s">
        <v>396</v>
      </c>
      <c r="E337" s="13" t="n">
        <v>0.25</v>
      </c>
      <c r="F337" s="16" t="n">
        <v>160</v>
      </c>
      <c r="G337" s="14" t="n">
        <v>0.191511110779744</v>
      </c>
      <c r="H337" s="15" t="n">
        <v>-0.160696902421635</v>
      </c>
    </row>
    <row r="338">
      <c r="A338" t="s">
        <v>30</v>
      </c>
      <c r="B338" t="s">
        <v>931</v>
      </c>
      <c r="C338" t="s">
        <v>933</v>
      </c>
      <c r="D338" t="s">
        <v>396</v>
      </c>
      <c r="E338" s="13" t="n">
        <v>0.25</v>
      </c>
      <c r="F338" s="16" t="n">
        <v>20</v>
      </c>
      <c r="G338" s="14" t="n">
        <v>0.191511110779745</v>
      </c>
      <c r="H338" s="15" t="n">
        <v>0.160696902421635</v>
      </c>
    </row>
    <row r="339">
      <c r="A339" t="s">
        <v>31</v>
      </c>
      <c r="B339" t="s">
        <v>934</v>
      </c>
      <c r="C339" t="s">
        <v>935</v>
      </c>
      <c r="D339" t="s">
        <v>396</v>
      </c>
      <c r="E339" s="13" t="n">
        <v>0</v>
      </c>
      <c r="F339" s="16" t="n">
        <v>32</v>
      </c>
      <c r="G339" s="14" t="n">
        <v>0</v>
      </c>
      <c r="H339" s="15" t="n">
        <v>0</v>
      </c>
    </row>
    <row r="340">
      <c r="A340" t="s">
        <v>30</v>
      </c>
      <c r="B340" t="s">
        <v>936</v>
      </c>
      <c r="C340" t="s">
        <v>937</v>
      </c>
      <c r="D340" t="s">
        <v>396</v>
      </c>
      <c r="E340" s="13" t="n">
        <v>0.25</v>
      </c>
      <c r="F340" s="16" t="n">
        <v>67</v>
      </c>
      <c r="G340" s="14" t="n">
        <v>-0.173664592614749</v>
      </c>
      <c r="H340" s="15" t="n">
        <v>0.179834950084663</v>
      </c>
    </row>
    <row r="341">
      <c r="A341" t="s">
        <v>30</v>
      </c>
      <c r="B341" t="s">
        <v>936</v>
      </c>
      <c r="C341" t="s">
        <v>938</v>
      </c>
      <c r="D341" t="s">
        <v>396</v>
      </c>
      <c r="E341" s="13" t="n">
        <v>0.25</v>
      </c>
      <c r="F341" s="16" t="n">
        <v>132</v>
      </c>
      <c r="G341" s="14" t="n">
        <v>-0.0261321158169136</v>
      </c>
      <c r="H341" s="15" t="n">
        <v>-0.248630473842068</v>
      </c>
    </row>
    <row r="342">
      <c r="A342" t="s">
        <v>31</v>
      </c>
      <c r="B342" t="s">
        <v>939</v>
      </c>
      <c r="C342" t="s">
        <v>940</v>
      </c>
      <c r="D342" t="s">
        <v>396</v>
      </c>
      <c r="E342" s="13" t="n">
        <v>0.25</v>
      </c>
      <c r="F342" s="16" t="n">
        <v>174</v>
      </c>
      <c r="G342" s="14" t="n">
        <v>0.244536900183451</v>
      </c>
      <c r="H342" s="15" t="n">
        <v>-0.0519779227044398</v>
      </c>
    </row>
    <row r="343">
      <c r="A343" t="s">
        <v>31</v>
      </c>
      <c r="B343" t="s">
        <v>939</v>
      </c>
      <c r="C343" t="s">
        <v>941</v>
      </c>
      <c r="D343" t="s">
        <v>396</v>
      </c>
      <c r="E343" s="13" t="n">
        <v>0.25</v>
      </c>
      <c r="F343" s="16" t="n">
        <v>138</v>
      </c>
      <c r="G343" s="14" t="n">
        <v>0.0261321158169135</v>
      </c>
      <c r="H343" s="15" t="n">
        <v>-0.248630473842068</v>
      </c>
    </row>
    <row r="344">
      <c r="A344" t="s">
        <v>31</v>
      </c>
      <c r="B344" t="s">
        <v>942</v>
      </c>
      <c r="C344" t="s">
        <v>943</v>
      </c>
      <c r="D344" t="s">
        <v>396</v>
      </c>
      <c r="E344" s="13" t="n">
        <v>0.25</v>
      </c>
      <c r="F344" s="16" t="n">
        <v>99</v>
      </c>
      <c r="G344" s="14" t="n">
        <v>-0.237764129073788</v>
      </c>
      <c r="H344" s="15" t="n">
        <v>-0.077254248593737</v>
      </c>
    </row>
    <row r="345">
      <c r="A345" t="s">
        <v>31</v>
      </c>
      <c r="B345" t="s">
        <v>942</v>
      </c>
      <c r="C345" t="s">
        <v>944</v>
      </c>
      <c r="D345" t="s">
        <v>396</v>
      </c>
      <c r="E345" s="13" t="n">
        <v>0.25</v>
      </c>
      <c r="F345" s="16" t="n">
        <v>44</v>
      </c>
      <c r="G345" s="14" t="n">
        <v>0.00872487417562527</v>
      </c>
      <c r="H345" s="15" t="n">
        <v>0.249847706754774</v>
      </c>
    </row>
    <row r="346">
      <c r="A346" t="s">
        <v>30</v>
      </c>
      <c r="B346" t="s">
        <v>945</v>
      </c>
      <c r="C346" t="s">
        <v>946</v>
      </c>
      <c r="D346" t="s">
        <v>396</v>
      </c>
      <c r="E346" s="13" t="n">
        <v>0.25</v>
      </c>
      <c r="F346" s="16" t="n">
        <v>161</v>
      </c>
      <c r="G346" s="14" t="n">
        <v>0.197002688401681</v>
      </c>
      <c r="H346" s="15" t="n">
        <v>-0.153915368831415</v>
      </c>
    </row>
    <row r="347">
      <c r="A347" t="s">
        <v>30</v>
      </c>
      <c r="B347" t="s">
        <v>945</v>
      </c>
      <c r="C347" t="s">
        <v>947</v>
      </c>
      <c r="D347" t="s">
        <v>396</v>
      </c>
      <c r="E347" s="13" t="n">
        <v>0.25</v>
      </c>
      <c r="F347" s="16" t="n">
        <v>46</v>
      </c>
      <c r="G347" s="14" t="n">
        <v>-0.00872487417562518</v>
      </c>
      <c r="H347" s="15" t="n">
        <v>0.249847706754774</v>
      </c>
    </row>
    <row r="348">
      <c r="A348" t="s">
        <v>30</v>
      </c>
      <c r="B348" t="s">
        <v>948</v>
      </c>
      <c r="C348" t="s">
        <v>949</v>
      </c>
      <c r="D348" t="s">
        <v>396</v>
      </c>
      <c r="E348" s="13" t="n">
        <v>0</v>
      </c>
      <c r="F348" s="16" t="n">
        <v>80</v>
      </c>
      <c r="G348" s="14" t="n">
        <v>0</v>
      </c>
      <c r="H348" s="15" t="n">
        <v>0</v>
      </c>
    </row>
    <row r="349">
      <c r="A349" t="s">
        <v>30</v>
      </c>
      <c r="B349" t="s">
        <v>948</v>
      </c>
      <c r="C349" t="s">
        <v>950</v>
      </c>
      <c r="D349" t="s">
        <v>396</v>
      </c>
      <c r="E349" s="13" t="n">
        <v>0.25</v>
      </c>
      <c r="F349" s="16" t="n">
        <v>75</v>
      </c>
      <c r="G349" s="14" t="n">
        <v>-0.21650635094611</v>
      </c>
      <c r="H349" s="15" t="n">
        <v>0.125</v>
      </c>
    </row>
    <row r="350">
      <c r="A350" t="s">
        <v>30</v>
      </c>
      <c r="B350" t="s">
        <v>951</v>
      </c>
      <c r="C350" t="s">
        <v>952</v>
      </c>
      <c r="D350" t="s">
        <v>396</v>
      </c>
      <c r="E350" s="13" t="n">
        <v>0.25</v>
      </c>
      <c r="F350" s="16" t="n">
        <v>91</v>
      </c>
      <c r="G350" s="14" t="n">
        <v>-0.249847706754774</v>
      </c>
      <c r="H350" s="15" t="n">
        <v>-0.00872487417562529</v>
      </c>
    </row>
    <row r="351">
      <c r="A351" t="s">
        <v>31</v>
      </c>
      <c r="B351" t="s">
        <v>953</v>
      </c>
      <c r="C351" t="s">
        <v>954</v>
      </c>
      <c r="D351" t="s">
        <v>396</v>
      </c>
      <c r="E351" s="13" t="n">
        <v>0.25</v>
      </c>
      <c r="F351" s="16" t="n">
        <v>66</v>
      </c>
      <c r="G351" s="14" t="n">
        <v>-0.167282651589714</v>
      </c>
      <c r="H351" s="15" t="n">
        <v>0.185786206369349</v>
      </c>
    </row>
    <row r="352">
      <c r="A352" t="s">
        <v>31</v>
      </c>
      <c r="B352" t="s">
        <v>953</v>
      </c>
      <c r="C352" t="s">
        <v>955</v>
      </c>
      <c r="D352" t="s">
        <v>396</v>
      </c>
      <c r="E352" s="13" t="n">
        <v>0.25</v>
      </c>
      <c r="F352" s="16" t="n">
        <v>47</v>
      </c>
      <c r="G352" s="14" t="n">
        <v>-0.0174391184360313</v>
      </c>
      <c r="H352" s="15" t="n">
        <v>0.249391012564956</v>
      </c>
    </row>
    <row r="353">
      <c r="A353" t="s">
        <v>30</v>
      </c>
      <c r="B353" t="s">
        <v>956</v>
      </c>
      <c r="C353" t="s">
        <v>957</v>
      </c>
      <c r="D353" t="s">
        <v>396</v>
      </c>
      <c r="E353" s="13" t="n">
        <v>0.5</v>
      </c>
      <c r="F353" s="16" t="n">
        <v>154</v>
      </c>
      <c r="G353" s="14" t="n">
        <v>0.307830737662829</v>
      </c>
      <c r="H353" s="15" t="n">
        <v>-0.394005376803361</v>
      </c>
    </row>
    <row r="354">
      <c r="A354" t="s">
        <v>30</v>
      </c>
      <c r="B354" t="s">
        <v>958</v>
      </c>
      <c r="C354" t="s">
        <v>959</v>
      </c>
      <c r="D354" t="s">
        <v>396</v>
      </c>
      <c r="E354" s="13" t="n">
        <v>0.25</v>
      </c>
      <c r="F354" s="16" t="n">
        <v>95</v>
      </c>
      <c r="G354" s="14" t="n">
        <v>-0.246201938253052</v>
      </c>
      <c r="H354" s="15" t="n">
        <v>-0.0434120444167327</v>
      </c>
    </row>
    <row r="355">
      <c r="A355" t="s">
        <v>30</v>
      </c>
      <c r="B355" t="s">
        <v>394</v>
      </c>
      <c r="C355" t="s">
        <v>395</v>
      </c>
      <c r="D355" t="s">
        <v>960</v>
      </c>
      <c r="E355" s="13" t="n">
        <v>0.701665839331418</v>
      </c>
      <c r="F355" s="16" t="n">
        <v>131.835091072272</v>
      </c>
      <c r="G355" s="14" t="n">
        <v>-0.0773597625930865</v>
      </c>
      <c r="H355" s="15" t="n">
        <v>-0.697388282964522</v>
      </c>
    </row>
    <row r="356">
      <c r="A356" t="s">
        <v>30</v>
      </c>
      <c r="B356" t="s">
        <v>394</v>
      </c>
      <c r="C356" t="s">
        <v>397</v>
      </c>
      <c r="D356" t="s">
        <v>960</v>
      </c>
      <c r="E356" s="13" t="n">
        <v>0.696076524147333</v>
      </c>
      <c r="F356" s="16" t="n">
        <v>31.2744093150821</v>
      </c>
      <c r="G356" s="14" t="n">
        <v>0.320886176666159</v>
      </c>
      <c r="H356" s="15" t="n">
        <v>0.617701051556178</v>
      </c>
    </row>
    <row r="357">
      <c r="A357" t="s">
        <v>30</v>
      </c>
      <c r="B357" t="s">
        <v>398</v>
      </c>
      <c r="C357" t="s">
        <v>399</v>
      </c>
      <c r="D357" t="s">
        <v>960</v>
      </c>
      <c r="E357" s="13" t="n">
        <v>0.302578465932824</v>
      </c>
      <c r="F357" s="16" t="n">
        <v>56.4520633993617</v>
      </c>
      <c r="G357" s="14" t="n">
        <v>-0.117760603517933</v>
      </c>
      <c r="H357" s="15" t="n">
        <v>0.278722385727005</v>
      </c>
    </row>
    <row r="358">
      <c r="A358" t="s">
        <v>31</v>
      </c>
      <c r="B358" t="s">
        <v>400</v>
      </c>
      <c r="C358" t="s">
        <v>401</v>
      </c>
      <c r="D358" t="s">
        <v>960</v>
      </c>
      <c r="E358" s="13" t="n">
        <v>0.278526201287281</v>
      </c>
      <c r="F358" s="16" t="n">
        <v>13.9389935721666</v>
      </c>
      <c r="G358" s="14" t="n">
        <v>0.246201938253052</v>
      </c>
      <c r="H358" s="15" t="n">
        <v>0.130236133250198</v>
      </c>
    </row>
    <row r="359">
      <c r="A359" t="s">
        <v>31</v>
      </c>
      <c r="B359" t="s">
        <v>400</v>
      </c>
      <c r="C359" t="s">
        <v>402</v>
      </c>
      <c r="D359" t="s">
        <v>960</v>
      </c>
      <c r="E359" s="13" t="n">
        <v>0.21130913087035</v>
      </c>
      <c r="F359" s="16" t="n">
        <v>139.5</v>
      </c>
      <c r="G359" s="14" t="n">
        <v>0.0330560308458193</v>
      </c>
      <c r="H359" s="15" t="n">
        <v>-0.208707564821937</v>
      </c>
    </row>
    <row r="360">
      <c r="A360" t="s">
        <v>30</v>
      </c>
      <c r="B360" t="s">
        <v>403</v>
      </c>
      <c r="C360" t="s">
        <v>404</v>
      </c>
      <c r="D360" t="s">
        <v>960</v>
      </c>
      <c r="E360" s="13" t="n">
        <v>0.697255041297479</v>
      </c>
      <c r="F360" s="16" t="n">
        <v>171.526706498309</v>
      </c>
      <c r="G360" s="14" t="n">
        <v>0.666978065099262</v>
      </c>
      <c r="H360" s="15" t="n">
        <v>-0.203235954720599</v>
      </c>
    </row>
    <row r="361">
      <c r="A361" t="s">
        <v>30</v>
      </c>
      <c r="B361" t="s">
        <v>403</v>
      </c>
      <c r="C361" t="s">
        <v>405</v>
      </c>
      <c r="D361" t="s">
        <v>960</v>
      </c>
      <c r="E361" s="13" t="n">
        <v>1.11831679937903</v>
      </c>
      <c r="F361" s="16" t="n">
        <v>10.4975856353608</v>
      </c>
      <c r="G361" s="14" t="n">
        <v>1.04407244650596</v>
      </c>
      <c r="H361" s="15" t="n">
        <v>0.400680908230509</v>
      </c>
    </row>
    <row r="362">
      <c r="A362" t="s">
        <v>31</v>
      </c>
      <c r="B362" t="s">
        <v>406</v>
      </c>
      <c r="C362" t="s">
        <v>407</v>
      </c>
      <c r="D362" t="s">
        <v>960</v>
      </c>
      <c r="E362" s="13" t="n">
        <v>0.25</v>
      </c>
      <c r="F362" s="16" t="n">
        <v>9.00000000000001</v>
      </c>
      <c r="G362" s="14" t="n">
        <v>0.237764129073788</v>
      </c>
      <c r="H362" s="15" t="n">
        <v>0.077254248593737</v>
      </c>
    </row>
    <row r="363">
      <c r="A363" t="s">
        <v>30</v>
      </c>
      <c r="B363" t="s">
        <v>408</v>
      </c>
      <c r="C363" t="s">
        <v>409</v>
      </c>
      <c r="D363" t="s">
        <v>960</v>
      </c>
      <c r="E363" s="13" t="n">
        <v>0.502050086382721</v>
      </c>
      <c r="F363" s="16" t="n">
        <v>96.4918201359158</v>
      </c>
      <c r="G363" s="14" t="n">
        <v>-0.4892148021942</v>
      </c>
      <c r="H363" s="15" t="n">
        <v>-0.112797014814166</v>
      </c>
    </row>
    <row r="364">
      <c r="A364" t="s">
        <v>30</v>
      </c>
      <c r="B364" t="s">
        <v>408</v>
      </c>
      <c r="C364" t="s">
        <v>410</v>
      </c>
      <c r="D364" t="s">
        <v>960</v>
      </c>
      <c r="E364" s="13" t="n">
        <v>0.324408086923306</v>
      </c>
      <c r="F364" s="16" t="n">
        <v>93.2365999646575</v>
      </c>
      <c r="G364" s="14" t="n">
        <v>-0.322339887309263</v>
      </c>
      <c r="H364" s="15" t="n">
        <v>-0.0365732677059522</v>
      </c>
    </row>
    <row r="365">
      <c r="A365" t="s">
        <v>30</v>
      </c>
      <c r="B365" t="s">
        <v>411</v>
      </c>
      <c r="C365" t="s">
        <v>412</v>
      </c>
      <c r="D365" t="s">
        <v>960</v>
      </c>
      <c r="E365" s="13" t="n">
        <v>0.644439804169847</v>
      </c>
      <c r="F365" s="16" t="n">
        <v>13.3802114236752</v>
      </c>
      <c r="G365" s="14" t="n">
        <v>0.575418399966463</v>
      </c>
      <c r="H365" s="15" t="n">
        <v>0.290166032089398</v>
      </c>
    </row>
    <row r="366">
      <c r="A366" t="s">
        <v>30</v>
      </c>
      <c r="B366" t="s">
        <v>413</v>
      </c>
      <c r="C366" t="s">
        <v>414</v>
      </c>
      <c r="D366" t="s">
        <v>960</v>
      </c>
      <c r="E366" s="13" t="n">
        <v>1.75041797450606</v>
      </c>
      <c r="F366" s="16" t="n">
        <v>18.9044518775901</v>
      </c>
      <c r="G366" s="14" t="n">
        <v>1.38293479989296</v>
      </c>
      <c r="H366" s="15" t="n">
        <v>1.07305844422329</v>
      </c>
    </row>
    <row r="367">
      <c r="A367" t="s">
        <v>30</v>
      </c>
      <c r="B367" t="s">
        <v>413</v>
      </c>
      <c r="C367" t="s">
        <v>415</v>
      </c>
      <c r="D367" t="s">
        <v>960</v>
      </c>
      <c r="E367" s="13" t="n">
        <v>1.52069063257456</v>
      </c>
      <c r="F367" s="16" t="n">
        <v>167.268838895987</v>
      </c>
      <c r="G367" s="14" t="n">
        <v>1.37298320495323</v>
      </c>
      <c r="H367" s="15" t="n">
        <v>-0.653771457710079</v>
      </c>
    </row>
    <row r="368">
      <c r="A368" t="s">
        <v>30</v>
      </c>
      <c r="B368" t="s">
        <v>416</v>
      </c>
      <c r="C368" t="s">
        <v>417</v>
      </c>
      <c r="D368" t="s">
        <v>960</v>
      </c>
      <c r="E368" s="13" t="n">
        <v>1.01517962810309</v>
      </c>
      <c r="F368" s="16" t="n">
        <v>173.182188084866</v>
      </c>
      <c r="G368" s="14" t="n">
        <v>0.986566396775205</v>
      </c>
      <c r="H368" s="15" t="n">
        <v>-0.239324929895566</v>
      </c>
    </row>
    <row r="369">
      <c r="A369" t="s">
        <v>30</v>
      </c>
      <c r="B369" t="s">
        <v>416</v>
      </c>
      <c r="C369" t="s">
        <v>418</v>
      </c>
      <c r="D369" t="s">
        <v>960</v>
      </c>
      <c r="E369" s="13" t="n">
        <v>0.398226858924138</v>
      </c>
      <c r="F369" s="16" t="n">
        <v>7.17502650940258</v>
      </c>
      <c r="G369" s="14" t="n">
        <v>0.385802015986239</v>
      </c>
      <c r="H369" s="15" t="n">
        <v>0.0986987113874304</v>
      </c>
    </row>
    <row r="370">
      <c r="A370" t="s">
        <v>30</v>
      </c>
      <c r="B370" t="s">
        <v>419</v>
      </c>
      <c r="C370" t="s">
        <v>420</v>
      </c>
      <c r="D370" t="s">
        <v>960</v>
      </c>
      <c r="E370" s="13" t="n">
        <v>0.25</v>
      </c>
      <c r="F370" s="16" t="n">
        <v>165</v>
      </c>
      <c r="G370" s="14" t="n">
        <v>0.21650635094611</v>
      </c>
      <c r="H370" s="15" t="n">
        <v>-0.125</v>
      </c>
    </row>
    <row r="371">
      <c r="A371" t="s">
        <v>31</v>
      </c>
      <c r="B371" t="s">
        <v>421</v>
      </c>
      <c r="C371" t="s">
        <v>422</v>
      </c>
      <c r="D371" t="s">
        <v>960</v>
      </c>
      <c r="E371" s="13" t="n">
        <v>0.756842181131559</v>
      </c>
      <c r="F371" s="16" t="n">
        <v>6.54658355721604</v>
      </c>
      <c r="G371" s="14" t="n">
        <v>0.73716654735058</v>
      </c>
      <c r="H371" s="15" t="n">
        <v>0.171451359304034</v>
      </c>
    </row>
    <row r="372">
      <c r="A372" t="s">
        <v>31</v>
      </c>
      <c r="B372" t="s">
        <v>421</v>
      </c>
      <c r="C372" t="s">
        <v>423</v>
      </c>
      <c r="D372" t="s">
        <v>960</v>
      </c>
      <c r="E372" s="13" t="n">
        <v>0.279596451735374</v>
      </c>
      <c r="F372" s="16" t="n">
        <v>166</v>
      </c>
      <c r="G372" s="14" t="n">
        <v>0.246869014031645</v>
      </c>
      <c r="H372" s="15" t="n">
        <v>-0.131262583145596</v>
      </c>
    </row>
    <row r="373">
      <c r="A373" t="s">
        <v>31</v>
      </c>
      <c r="B373" t="s">
        <v>424</v>
      </c>
      <c r="C373" t="s">
        <v>425</v>
      </c>
      <c r="D373" t="s">
        <v>960</v>
      </c>
      <c r="E373" s="13" t="n">
        <v>0.838670567945424</v>
      </c>
      <c r="F373" s="16" t="n">
        <v>107.5</v>
      </c>
      <c r="G373" s="14" t="n">
        <v>-0.686998710217504</v>
      </c>
      <c r="H373" s="15" t="n">
        <v>-0.481041675634644</v>
      </c>
    </row>
    <row r="374">
      <c r="A374" t="s">
        <v>31</v>
      </c>
      <c r="B374" t="s">
        <v>424</v>
      </c>
      <c r="C374" t="s">
        <v>426</v>
      </c>
      <c r="D374" t="s">
        <v>960</v>
      </c>
      <c r="E374" s="13" t="n">
        <v>0.478152377981518</v>
      </c>
      <c r="F374" s="16" t="n">
        <v>67.5</v>
      </c>
      <c r="G374" s="14" t="n">
        <v>-0.338104788911204</v>
      </c>
      <c r="H374" s="15" t="n">
        <v>0.338104788911204</v>
      </c>
    </row>
    <row r="375">
      <c r="A375" t="s">
        <v>30</v>
      </c>
      <c r="B375" t="s">
        <v>427</v>
      </c>
      <c r="C375" t="s">
        <v>428</v>
      </c>
      <c r="D375" t="s">
        <v>960</v>
      </c>
      <c r="E375" s="13" t="n">
        <v>0.470629296575296</v>
      </c>
      <c r="F375" s="16" t="n">
        <v>70.4250866319866</v>
      </c>
      <c r="G375" s="14" t="n">
        <v>-0.364971914643143</v>
      </c>
      <c r="H375" s="15" t="n">
        <v>0.297132018329692</v>
      </c>
    </row>
    <row r="376">
      <c r="A376" t="s">
        <v>30</v>
      </c>
      <c r="B376" t="s">
        <v>429</v>
      </c>
      <c r="C376" t="s">
        <v>430</v>
      </c>
      <c r="D376" t="s">
        <v>960</v>
      </c>
      <c r="E376" s="13" t="n">
        <v>0.5</v>
      </c>
      <c r="F376" s="16" t="n">
        <v>85</v>
      </c>
      <c r="G376" s="14" t="n">
        <v>-0.492403876506104</v>
      </c>
      <c r="H376" s="15" t="n">
        <v>0.0868240888334653</v>
      </c>
    </row>
    <row r="377">
      <c r="A377" t="s">
        <v>31</v>
      </c>
      <c r="B377" t="s">
        <v>431</v>
      </c>
      <c r="C377" t="s">
        <v>432</v>
      </c>
      <c r="D377" t="s">
        <v>960</v>
      </c>
      <c r="E377" s="13" t="n">
        <v>0.264194906165547</v>
      </c>
      <c r="F377" s="16" t="n">
        <v>81.3643173027078</v>
      </c>
      <c r="G377" s="14" t="n">
        <v>-0.252282172580185</v>
      </c>
      <c r="H377" s="15" t="n">
        <v>0.0784388541607024</v>
      </c>
    </row>
    <row r="378">
      <c r="A378" t="s">
        <v>31</v>
      </c>
      <c r="B378" t="s">
        <v>431</v>
      </c>
      <c r="C378" t="s">
        <v>433</v>
      </c>
      <c r="D378" t="s">
        <v>960</v>
      </c>
      <c r="E378" s="13" t="n">
        <v>1.25018273853692</v>
      </c>
      <c r="F378" s="16" t="n">
        <v>98.199931781823</v>
      </c>
      <c r="G378" s="14" t="n">
        <v>-1.19931861233848</v>
      </c>
      <c r="H378" s="15" t="n">
        <v>-0.352975559825581</v>
      </c>
    </row>
    <row r="379">
      <c r="A379" t="s">
        <v>30</v>
      </c>
      <c r="B379" t="s">
        <v>434</v>
      </c>
      <c r="C379" t="s">
        <v>435</v>
      </c>
      <c r="D379" t="s">
        <v>960</v>
      </c>
      <c r="E379" s="13" t="n">
        <v>1.5</v>
      </c>
      <c r="F379" s="16" t="n">
        <v>57</v>
      </c>
      <c r="G379" s="14" t="n">
        <v>-0.610104964613699</v>
      </c>
      <c r="H379" s="15" t="n">
        <v>1.3703181864639</v>
      </c>
    </row>
    <row r="380">
      <c r="A380" t="s">
        <v>30</v>
      </c>
      <c r="B380" t="s">
        <v>434</v>
      </c>
      <c r="C380" t="s">
        <v>436</v>
      </c>
      <c r="D380" t="s">
        <v>960</v>
      </c>
      <c r="E380" s="13" t="n">
        <v>1</v>
      </c>
      <c r="F380" s="16" t="n">
        <v>128</v>
      </c>
      <c r="G380" s="14" t="n">
        <v>-0.241921895599668</v>
      </c>
      <c r="H380" s="15" t="n">
        <v>-0.970295726275996</v>
      </c>
    </row>
    <row r="381">
      <c r="A381" t="s">
        <v>30</v>
      </c>
      <c r="B381" t="s">
        <v>437</v>
      </c>
      <c r="C381" t="s">
        <v>438</v>
      </c>
      <c r="D381" t="s">
        <v>960</v>
      </c>
      <c r="E381" s="13" t="n">
        <v>0.955680516478539</v>
      </c>
      <c r="F381" s="16" t="n">
        <v>4.34430295936188</v>
      </c>
      <c r="G381" s="14" t="n">
        <v>0.944713076822049</v>
      </c>
      <c r="H381" s="15" t="n">
        <v>0.144369152030841</v>
      </c>
    </row>
    <row r="382">
      <c r="A382" t="s">
        <v>30</v>
      </c>
      <c r="B382" t="s">
        <v>437</v>
      </c>
      <c r="C382" t="s">
        <v>439</v>
      </c>
      <c r="D382" t="s">
        <v>960</v>
      </c>
      <c r="E382" s="13" t="n">
        <v>0.364232137400501</v>
      </c>
      <c r="F382" s="16" t="n">
        <v>20.2381908710744</v>
      </c>
      <c r="G382" s="14" t="n">
        <v>0.277061776327796</v>
      </c>
      <c r="H382" s="15" t="n">
        <v>0.236435661467181</v>
      </c>
    </row>
    <row r="383">
      <c r="A383" t="s">
        <v>30</v>
      </c>
      <c r="B383" t="s">
        <v>440</v>
      </c>
      <c r="C383" t="s">
        <v>441</v>
      </c>
      <c r="D383" t="s">
        <v>960</v>
      </c>
      <c r="E383" s="13" t="n">
        <v>1.5782663796472</v>
      </c>
      <c r="F383" s="16" t="n">
        <v>31.1217683389765</v>
      </c>
      <c r="G383" s="14" t="n">
        <v>0.735021300334086</v>
      </c>
      <c r="H383" s="15" t="n">
        <v>1.39666332850114</v>
      </c>
    </row>
    <row r="384">
      <c r="A384" t="s">
        <v>30</v>
      </c>
      <c r="B384" t="s">
        <v>440</v>
      </c>
      <c r="C384" t="s">
        <v>442</v>
      </c>
      <c r="D384" t="s">
        <v>960</v>
      </c>
      <c r="E384" s="13" t="n">
        <v>0.678683151370428</v>
      </c>
      <c r="F384" s="16" t="n">
        <v>158.667174296987</v>
      </c>
      <c r="G384" s="14" t="n">
        <v>0.499049985162536</v>
      </c>
      <c r="H384" s="15" t="n">
        <v>-0.459956446050458</v>
      </c>
    </row>
    <row r="385">
      <c r="A385" t="s">
        <v>30</v>
      </c>
      <c r="B385" t="s">
        <v>443</v>
      </c>
      <c r="C385" t="s">
        <v>444</v>
      </c>
      <c r="D385" t="s">
        <v>960</v>
      </c>
      <c r="E385" s="13" t="n">
        <v>1.99880130539462</v>
      </c>
      <c r="F385" s="16" t="n">
        <v>107.625449863648</v>
      </c>
      <c r="G385" s="14" t="n">
        <v>-1.63228609110227</v>
      </c>
      <c r="H385" s="15" t="n">
        <v>-1.15362419151183</v>
      </c>
    </row>
    <row r="386">
      <c r="A386" t="s">
        <v>30</v>
      </c>
      <c r="B386" t="s">
        <v>443</v>
      </c>
      <c r="C386" t="s">
        <v>445</v>
      </c>
      <c r="D386" t="s">
        <v>960</v>
      </c>
      <c r="E386" s="13" t="n">
        <v>1.24805209601634</v>
      </c>
      <c r="F386" s="16" t="n">
        <v>67.7987511677608</v>
      </c>
      <c r="G386" s="14" t="n">
        <v>-0.891661058860678</v>
      </c>
      <c r="H386" s="15" t="n">
        <v>0.873255169170066</v>
      </c>
    </row>
    <row r="387">
      <c r="A387" t="s">
        <v>31</v>
      </c>
      <c r="B387" t="s">
        <v>446</v>
      </c>
      <c r="C387" t="s">
        <v>447</v>
      </c>
      <c r="D387" t="s">
        <v>960</v>
      </c>
      <c r="E387" s="13" t="n">
        <v>1.07322361628472</v>
      </c>
      <c r="F387" s="16" t="n">
        <v>165.107755766053</v>
      </c>
      <c r="G387" s="14" t="n">
        <v>0.931450740071945</v>
      </c>
      <c r="H387" s="15" t="n">
        <v>-0.533112042042454</v>
      </c>
    </row>
    <row r="388">
      <c r="A388" t="s">
        <v>30</v>
      </c>
      <c r="B388" t="s">
        <v>448</v>
      </c>
      <c r="C388" t="s">
        <v>449</v>
      </c>
      <c r="D388" t="s">
        <v>960</v>
      </c>
      <c r="E388" s="13" t="n">
        <v>1</v>
      </c>
      <c r="F388" s="16" t="n">
        <v>109</v>
      </c>
      <c r="G388" s="14" t="n">
        <v>-0.788010753606722</v>
      </c>
      <c r="H388" s="15" t="n">
        <v>-0.615661475325658</v>
      </c>
    </row>
    <row r="389">
      <c r="A389" t="s">
        <v>31</v>
      </c>
      <c r="B389" t="s">
        <v>450</v>
      </c>
      <c r="C389" t="s">
        <v>451</v>
      </c>
      <c r="D389" t="s">
        <v>960</v>
      </c>
      <c r="E389" s="13" t="n">
        <v>1.99349160030623</v>
      </c>
      <c r="F389" s="16" t="n">
        <v>3.13071925634203</v>
      </c>
      <c r="G389" s="14" t="n">
        <v>1.98159959413982</v>
      </c>
      <c r="H389" s="15" t="n">
        <v>0.217420810863202</v>
      </c>
    </row>
    <row r="390">
      <c r="A390" t="s">
        <v>31</v>
      </c>
      <c r="B390" t="s">
        <v>450</v>
      </c>
      <c r="C390" t="s">
        <v>452</v>
      </c>
      <c r="D390" t="s">
        <v>960</v>
      </c>
      <c r="E390" s="13" t="n">
        <v>1.24987815946577</v>
      </c>
      <c r="F390" s="16" t="n">
        <v>1.8000194966076</v>
      </c>
      <c r="G390" s="14" t="n">
        <v>1.2474117570146</v>
      </c>
      <c r="H390" s="15" t="n">
        <v>0.0784813479197503</v>
      </c>
    </row>
    <row r="391">
      <c r="A391" t="s">
        <v>30</v>
      </c>
      <c r="B391" t="s">
        <v>453</v>
      </c>
      <c r="C391" t="s">
        <v>454</v>
      </c>
      <c r="D391" t="s">
        <v>960</v>
      </c>
      <c r="E391" s="13" t="n">
        <v>0.469846310392954</v>
      </c>
      <c r="F391" s="16" t="n">
        <v>4</v>
      </c>
      <c r="G391" s="14" t="n">
        <v>0.465273798398183</v>
      </c>
      <c r="H391" s="15" t="n">
        <v>0.0653899679920329</v>
      </c>
    </row>
    <row r="392">
      <c r="A392" t="s">
        <v>30</v>
      </c>
      <c r="B392" t="s">
        <v>455</v>
      </c>
      <c r="C392" t="s">
        <v>456</v>
      </c>
      <c r="D392" t="s">
        <v>960</v>
      </c>
      <c r="E392" s="13" t="n">
        <v>1.10600982994995</v>
      </c>
      <c r="F392" s="16" t="n">
        <v>6.98565361760673</v>
      </c>
      <c r="G392" s="14" t="n">
        <v>1.07329047021003</v>
      </c>
      <c r="H392" s="15" t="n">
        <v>0.267030542264819</v>
      </c>
    </row>
    <row r="393">
      <c r="A393" t="s">
        <v>31</v>
      </c>
      <c r="B393" t="s">
        <v>457</v>
      </c>
      <c r="C393" t="s">
        <v>458</v>
      </c>
      <c r="D393" t="s">
        <v>960</v>
      </c>
      <c r="E393" s="13" t="n">
        <v>0.739616871051046</v>
      </c>
      <c r="F393" s="16" t="n">
        <v>72.3465985817567</v>
      </c>
      <c r="G393" s="14" t="n">
        <v>-0.603578381257266</v>
      </c>
      <c r="H393" s="15" t="n">
        <v>0.427464915077481</v>
      </c>
    </row>
    <row r="394">
      <c r="A394" t="s">
        <v>31</v>
      </c>
      <c r="B394" t="s">
        <v>459</v>
      </c>
      <c r="C394" t="s">
        <v>460</v>
      </c>
      <c r="D394" t="s">
        <v>960</v>
      </c>
      <c r="E394" s="13" t="n">
        <v>1.35736630274086</v>
      </c>
      <c r="F394" s="16" t="n">
        <v>28.3328257030126</v>
      </c>
      <c r="G394" s="14" t="n">
        <v>0.745905064958991</v>
      </c>
      <c r="H394" s="15" t="n">
        <v>1.13404978457072</v>
      </c>
    </row>
    <row r="395">
      <c r="A395" t="s">
        <v>31</v>
      </c>
      <c r="B395" t="s">
        <v>459</v>
      </c>
      <c r="C395" t="s">
        <v>461</v>
      </c>
      <c r="D395" t="s">
        <v>960</v>
      </c>
      <c r="E395" s="13" t="n">
        <v>1.25291617774048</v>
      </c>
      <c r="F395" s="16" t="n">
        <v>131.204350549853</v>
      </c>
      <c r="G395" s="14" t="n">
        <v>-0.165517569077105</v>
      </c>
      <c r="H395" s="15" t="n">
        <v>-1.24193513629764</v>
      </c>
    </row>
    <row r="396">
      <c r="A396" t="s">
        <v>31</v>
      </c>
      <c r="B396" t="s">
        <v>462</v>
      </c>
      <c r="C396" t="s">
        <v>463</v>
      </c>
      <c r="D396" t="s">
        <v>960</v>
      </c>
      <c r="E396" s="13" t="n">
        <v>0.264435376663186</v>
      </c>
      <c r="F396" s="16" t="n">
        <v>162.389269668407</v>
      </c>
      <c r="G396" s="14" t="n">
        <v>0.216024910098001</v>
      </c>
      <c r="H396" s="15" t="n">
        <v>-0.15251002146794</v>
      </c>
    </row>
    <row r="397">
      <c r="A397" t="s">
        <v>31</v>
      </c>
      <c r="B397" t="s">
        <v>462</v>
      </c>
      <c r="C397" t="s">
        <v>464</v>
      </c>
      <c r="D397" t="s">
        <v>960</v>
      </c>
      <c r="E397" s="13" t="n">
        <v>0.510413633532217</v>
      </c>
      <c r="F397" s="16" t="n">
        <v>23.3131737851372</v>
      </c>
      <c r="G397" s="14" t="n">
        <v>0.350528258147577</v>
      </c>
      <c r="H397" s="15" t="n">
        <v>0.371014848133584</v>
      </c>
    </row>
    <row r="398">
      <c r="A398" t="s">
        <v>30</v>
      </c>
      <c r="B398" t="s">
        <v>465</v>
      </c>
      <c r="C398" t="s">
        <v>466</v>
      </c>
      <c r="D398" t="s">
        <v>960</v>
      </c>
      <c r="E398" s="13" t="n">
        <v>1.34560471358823</v>
      </c>
      <c r="F398" s="16" t="n">
        <v>172.031940467281</v>
      </c>
      <c r="G398" s="14" t="n">
        <v>1.29389099233261</v>
      </c>
      <c r="H398" s="15" t="n">
        <v>-0.369456553861733</v>
      </c>
    </row>
    <row r="399">
      <c r="A399" t="s">
        <v>30</v>
      </c>
      <c r="B399" t="s">
        <v>465</v>
      </c>
      <c r="C399" t="s">
        <v>467</v>
      </c>
      <c r="D399" t="s">
        <v>960</v>
      </c>
      <c r="E399" s="13" t="n">
        <v>0.909815486022883</v>
      </c>
      <c r="F399" s="16" t="n">
        <v>13.9794689621658</v>
      </c>
      <c r="G399" s="14" t="n">
        <v>0.803625299377311</v>
      </c>
      <c r="H399" s="15" t="n">
        <v>0.426556674789859</v>
      </c>
    </row>
    <row r="400">
      <c r="A400" t="s">
        <v>30</v>
      </c>
      <c r="B400" t="s">
        <v>468</v>
      </c>
      <c r="C400" t="s">
        <v>469</v>
      </c>
      <c r="D400" t="s">
        <v>960</v>
      </c>
      <c r="E400" s="13" t="n">
        <v>0.860875249473889</v>
      </c>
      <c r="F400" s="16" t="n">
        <v>173.426808321276</v>
      </c>
      <c r="G400" s="14" t="n">
        <v>0.83831357239925</v>
      </c>
      <c r="H400" s="15" t="n">
        <v>-0.195797215220079</v>
      </c>
    </row>
    <row r="401">
      <c r="A401" t="s">
        <v>31</v>
      </c>
      <c r="B401" t="s">
        <v>470</v>
      </c>
      <c r="C401" t="s">
        <v>471</v>
      </c>
      <c r="D401" t="s">
        <v>960</v>
      </c>
      <c r="E401" s="13" t="n">
        <v>1.55463173315099</v>
      </c>
      <c r="F401" s="16" t="n">
        <v>174.418467820298</v>
      </c>
      <c r="G401" s="14" t="n">
        <v>1.52521835634556</v>
      </c>
      <c r="H401" s="15" t="n">
        <v>-0.30097971889582</v>
      </c>
    </row>
    <row r="402">
      <c r="A402" t="s">
        <v>31</v>
      </c>
      <c r="B402" t="s">
        <v>472</v>
      </c>
      <c r="C402" t="s">
        <v>473</v>
      </c>
      <c r="D402" t="s">
        <v>960</v>
      </c>
      <c r="E402" s="13" t="n">
        <v>0.441473796429463</v>
      </c>
      <c r="F402" s="16" t="n">
        <v>153</v>
      </c>
      <c r="G402" s="14" t="n">
        <v>0.259491786814808</v>
      </c>
      <c r="H402" s="15" t="n">
        <v>-0.357159803882662</v>
      </c>
    </row>
    <row r="403">
      <c r="A403" t="s">
        <v>30</v>
      </c>
      <c r="B403" t="s">
        <v>474</v>
      </c>
      <c r="C403" t="s">
        <v>475</v>
      </c>
      <c r="D403" t="s">
        <v>960</v>
      </c>
      <c r="E403" s="13" t="n">
        <v>1</v>
      </c>
      <c r="F403" s="16" t="n">
        <v>101</v>
      </c>
      <c r="G403" s="14" t="n">
        <v>-0.927183854566788</v>
      </c>
      <c r="H403" s="15" t="n">
        <v>-0.374606593415911</v>
      </c>
    </row>
    <row r="404">
      <c r="A404" t="s">
        <v>30</v>
      </c>
      <c r="B404" t="s">
        <v>474</v>
      </c>
      <c r="C404" t="s">
        <v>476</v>
      </c>
      <c r="D404" t="s">
        <v>960</v>
      </c>
      <c r="E404" s="13" t="n">
        <v>1.24222817870517</v>
      </c>
      <c r="F404" s="16" t="n">
        <v>81.4100175536772</v>
      </c>
      <c r="G404" s="14" t="n">
        <v>-1.18680207722211</v>
      </c>
      <c r="H404" s="15" t="n">
        <v>0.366921895599668</v>
      </c>
    </row>
    <row r="405">
      <c r="A405" t="s">
        <v>30</v>
      </c>
      <c r="B405" t="s">
        <v>477</v>
      </c>
      <c r="C405" t="s">
        <v>478</v>
      </c>
      <c r="D405" t="s">
        <v>960</v>
      </c>
      <c r="E405" s="13" t="n">
        <v>1.23787976410997</v>
      </c>
      <c r="F405" s="16" t="n">
        <v>168.019604994497</v>
      </c>
      <c r="G405" s="14" t="n">
        <v>1.13120373156565</v>
      </c>
      <c r="H405" s="15" t="n">
        <v>-0.502717045747304</v>
      </c>
    </row>
    <row r="406">
      <c r="A406" t="s">
        <v>30</v>
      </c>
      <c r="B406" t="s">
        <v>477</v>
      </c>
      <c r="C406" t="s">
        <v>479</v>
      </c>
      <c r="D406" t="s">
        <v>960</v>
      </c>
      <c r="E406" s="13" t="n">
        <v>1.40516745075782</v>
      </c>
      <c r="F406" s="16" t="n">
        <v>174.240979952073</v>
      </c>
      <c r="G406" s="14" t="n">
        <v>1.37687002457612</v>
      </c>
      <c r="H406" s="15" t="n">
        <v>-0.280578866083969</v>
      </c>
    </row>
    <row r="407">
      <c r="A407" t="s">
        <v>30</v>
      </c>
      <c r="B407" t="s">
        <v>480</v>
      </c>
      <c r="C407" t="s">
        <v>481</v>
      </c>
      <c r="D407" t="s">
        <v>960</v>
      </c>
      <c r="E407" s="13" t="n">
        <v>1.72148932368529</v>
      </c>
      <c r="F407" s="16" t="n">
        <v>168.017685628057</v>
      </c>
      <c r="G407" s="14" t="n">
        <v>1.57309071275668</v>
      </c>
      <c r="H407" s="15" t="n">
        <v>-0.699221782413206</v>
      </c>
    </row>
    <row r="408">
      <c r="A408" t="s">
        <v>30</v>
      </c>
      <c r="B408" t="s">
        <v>480</v>
      </c>
      <c r="C408" t="s">
        <v>482</v>
      </c>
      <c r="D408" t="s">
        <v>960</v>
      </c>
      <c r="E408" s="13" t="n">
        <v>0.5</v>
      </c>
      <c r="F408" s="16" t="n">
        <v>11</v>
      </c>
      <c r="G408" s="14" t="n">
        <v>0.463591927283394</v>
      </c>
      <c r="H408" s="15" t="n">
        <v>0.187303296707956</v>
      </c>
    </row>
    <row r="409">
      <c r="A409" t="s">
        <v>30</v>
      </c>
      <c r="B409" t="s">
        <v>483</v>
      </c>
      <c r="C409" t="s">
        <v>484</v>
      </c>
      <c r="D409" t="s">
        <v>960</v>
      </c>
      <c r="E409" s="13" t="n">
        <v>0.557361682600137</v>
      </c>
      <c r="F409" s="16" t="n">
        <v>178.09498338897</v>
      </c>
      <c r="G409" s="14" t="n">
        <v>0.556129828332979</v>
      </c>
      <c r="H409" s="15" t="n">
        <v>-0.0370359186356688</v>
      </c>
    </row>
    <row r="410">
      <c r="A410" t="s">
        <v>30</v>
      </c>
      <c r="B410" t="s">
        <v>483</v>
      </c>
      <c r="C410" t="s">
        <v>485</v>
      </c>
      <c r="D410" t="s">
        <v>960</v>
      </c>
      <c r="E410" s="13" t="n">
        <v>0.251215022311652</v>
      </c>
      <c r="F410" s="16" t="n">
        <v>151.990311202362</v>
      </c>
      <c r="G410" s="14" t="n">
        <v>0.14040721330273</v>
      </c>
      <c r="H410" s="15" t="n">
        <v>-0.208314190317428</v>
      </c>
    </row>
    <row r="411">
      <c r="A411" t="s">
        <v>30</v>
      </c>
      <c r="B411" t="s">
        <v>486</v>
      </c>
      <c r="C411" t="s">
        <v>487</v>
      </c>
      <c r="D411" t="s">
        <v>960</v>
      </c>
      <c r="E411" s="13" t="n">
        <v>2.29699870141587</v>
      </c>
      <c r="F411" s="16" t="n">
        <v>174.744624725092</v>
      </c>
      <c r="G411" s="14" t="n">
        <v>2.25845666410028</v>
      </c>
      <c r="H411" s="15" t="n">
        <v>-0.419018532629819</v>
      </c>
    </row>
    <row r="412">
      <c r="A412" t="s">
        <v>30</v>
      </c>
      <c r="B412" t="s">
        <v>486</v>
      </c>
      <c r="C412" t="s">
        <v>488</v>
      </c>
      <c r="D412" t="s">
        <v>960</v>
      </c>
      <c r="E412" s="13" t="n">
        <v>1.5</v>
      </c>
      <c r="F412" s="16" t="n">
        <v>4.00000000000001</v>
      </c>
      <c r="G412" s="14" t="n">
        <v>1.48540210311236</v>
      </c>
      <c r="H412" s="15" t="n">
        <v>0.208759651440099</v>
      </c>
    </row>
    <row r="413">
      <c r="A413" t="s">
        <v>30</v>
      </c>
      <c r="B413" t="s">
        <v>489</v>
      </c>
      <c r="C413" t="s">
        <v>490</v>
      </c>
      <c r="D413" t="s">
        <v>960</v>
      </c>
      <c r="E413" s="13" t="n">
        <v>1.26310719177603</v>
      </c>
      <c r="F413" s="16" t="n">
        <v>55.4721284357144</v>
      </c>
      <c r="G413" s="14" t="n">
        <v>-0.45150966349266</v>
      </c>
      <c r="H413" s="15" t="n">
        <v>1.17965198329384</v>
      </c>
    </row>
    <row r="414">
      <c r="A414" t="s">
        <v>30</v>
      </c>
      <c r="B414" t="s">
        <v>489</v>
      </c>
      <c r="C414" t="s">
        <v>491</v>
      </c>
      <c r="D414" t="s">
        <v>960</v>
      </c>
      <c r="E414" s="13" t="n">
        <v>0.45914686019949</v>
      </c>
      <c r="F414" s="16" t="n">
        <v>127.085449985547</v>
      </c>
      <c r="G414" s="14" t="n">
        <v>-0.125240990453218</v>
      </c>
      <c r="H414" s="15" t="n">
        <v>-0.441735818721266</v>
      </c>
    </row>
    <row r="415">
      <c r="A415" t="s">
        <v>31</v>
      </c>
      <c r="B415" t="s">
        <v>492</v>
      </c>
      <c r="C415" t="s">
        <v>493</v>
      </c>
      <c r="D415" t="s">
        <v>960</v>
      </c>
      <c r="E415" s="13" t="n">
        <v>0.433012701892219</v>
      </c>
      <c r="F415" s="16" t="n">
        <v>28</v>
      </c>
      <c r="G415" s="14" t="n">
        <v>0.242137630010823</v>
      </c>
      <c r="H415" s="15" t="n">
        <v>0.358983799262225</v>
      </c>
    </row>
    <row r="416">
      <c r="A416" t="s">
        <v>31</v>
      </c>
      <c r="B416" t="s">
        <v>492</v>
      </c>
      <c r="C416" t="s">
        <v>494</v>
      </c>
      <c r="D416" t="s">
        <v>960</v>
      </c>
      <c r="E416" s="13" t="n">
        <v>0.5</v>
      </c>
      <c r="F416" s="16" t="n">
        <v>166</v>
      </c>
      <c r="G416" s="14" t="n">
        <v>0.441473796429463</v>
      </c>
      <c r="H416" s="15" t="n">
        <v>-0.234735781392945</v>
      </c>
    </row>
    <row r="417">
      <c r="A417" t="s">
        <v>30</v>
      </c>
      <c r="B417" t="s">
        <v>495</v>
      </c>
      <c r="C417" t="s">
        <v>496</v>
      </c>
      <c r="D417" t="s">
        <v>960</v>
      </c>
      <c r="E417" s="13" t="n">
        <v>0.493549046241354</v>
      </c>
      <c r="F417" s="16" t="n">
        <v>136.568940069373</v>
      </c>
      <c r="G417" s="14" t="n">
        <v>0.027016364858513</v>
      </c>
      <c r="H417" s="15" t="n">
        <v>-0.492809067566316</v>
      </c>
    </row>
    <row r="418">
      <c r="A418" t="s">
        <v>30</v>
      </c>
      <c r="B418" t="s">
        <v>497</v>
      </c>
      <c r="C418" t="s">
        <v>498</v>
      </c>
      <c r="D418" t="s">
        <v>960</v>
      </c>
      <c r="E418" s="13" t="n">
        <v>0.713794570168253</v>
      </c>
      <c r="F418" s="16" t="n">
        <v>17.2262389739372</v>
      </c>
      <c r="G418" s="14" t="n">
        <v>0.588591927283394</v>
      </c>
      <c r="H418" s="15" t="n">
        <v>0.403809647654066</v>
      </c>
    </row>
    <row r="419">
      <c r="A419" t="s">
        <v>30</v>
      </c>
      <c r="B419" t="s">
        <v>497</v>
      </c>
      <c r="C419" t="s">
        <v>499</v>
      </c>
      <c r="D419" t="s">
        <v>960</v>
      </c>
      <c r="E419" s="13" t="n">
        <v>0.935908103065986</v>
      </c>
      <c r="F419" s="16" t="n">
        <v>158.724892243503</v>
      </c>
      <c r="G419" s="14" t="n">
        <v>0.689469413061423</v>
      </c>
      <c r="H419" s="15" t="n">
        <v>-0.632894861598124</v>
      </c>
    </row>
    <row r="420">
      <c r="A420" t="s">
        <v>30</v>
      </c>
      <c r="B420" t="s">
        <v>500</v>
      </c>
      <c r="C420" t="s">
        <v>501</v>
      </c>
      <c r="D420" t="s">
        <v>960</v>
      </c>
      <c r="E420" s="13" t="n">
        <v>2.12810733463743</v>
      </c>
      <c r="F420" s="16" t="n">
        <v>29.8587793099162</v>
      </c>
      <c r="G420" s="14" t="n">
        <v>1.07312580509311</v>
      </c>
      <c r="H420" s="15" t="n">
        <v>1.83772735577966</v>
      </c>
    </row>
    <row r="421">
      <c r="A421" t="s">
        <v>30</v>
      </c>
      <c r="B421" t="s">
        <v>500</v>
      </c>
      <c r="C421" t="s">
        <v>502</v>
      </c>
      <c r="D421" t="s">
        <v>960</v>
      </c>
      <c r="E421" s="13" t="n">
        <v>2.06475180142582</v>
      </c>
      <c r="F421" s="16" t="n">
        <v>149.76811554301</v>
      </c>
      <c r="G421" s="14" t="n">
        <v>1.0178686088246</v>
      </c>
      <c r="H421" s="15" t="n">
        <v>-1.79642519929459</v>
      </c>
    </row>
    <row r="422">
      <c r="A422" t="s">
        <v>31</v>
      </c>
      <c r="B422" t="s">
        <v>503</v>
      </c>
      <c r="C422" t="s">
        <v>504</v>
      </c>
      <c r="D422" t="s">
        <v>960</v>
      </c>
      <c r="E422" s="13" t="n">
        <v>0.389619169931826</v>
      </c>
      <c r="F422" s="16" t="n">
        <v>142.720731971294</v>
      </c>
      <c r="G422" s="14" t="n">
        <v>0.103737563774958</v>
      </c>
      <c r="H422" s="15" t="n">
        <v>-0.375555076440729</v>
      </c>
    </row>
    <row r="423">
      <c r="A423" t="s">
        <v>31</v>
      </c>
      <c r="B423" t="s">
        <v>503</v>
      </c>
      <c r="C423" t="s">
        <v>505</v>
      </c>
      <c r="D423" t="s">
        <v>960</v>
      </c>
      <c r="E423" s="13" t="n">
        <v>0.588490178716669</v>
      </c>
      <c r="F423" s="16" t="n">
        <v>57.2572306125401</v>
      </c>
      <c r="G423" s="14" t="n">
        <v>-0.244178051587736</v>
      </c>
      <c r="H423" s="15" t="n">
        <v>0.535441658417417</v>
      </c>
    </row>
    <row r="424">
      <c r="A424" t="s">
        <v>30</v>
      </c>
      <c r="B424" t="s">
        <v>506</v>
      </c>
      <c r="C424" t="s">
        <v>507</v>
      </c>
      <c r="D424" t="s">
        <v>960</v>
      </c>
      <c r="E424" s="13" t="n">
        <v>0.678683151370429</v>
      </c>
      <c r="F424" s="16" t="n">
        <v>174.667174296987</v>
      </c>
      <c r="G424" s="14" t="n">
        <v>0.66695817127436</v>
      </c>
      <c r="H424" s="15" t="n">
        <v>-0.125608987435044</v>
      </c>
    </row>
    <row r="425">
      <c r="A425" t="s">
        <v>30</v>
      </c>
      <c r="B425" t="s">
        <v>506</v>
      </c>
      <c r="C425" t="s">
        <v>508</v>
      </c>
      <c r="D425" t="s">
        <v>960</v>
      </c>
      <c r="E425" s="13" t="n">
        <v>1.5</v>
      </c>
      <c r="F425" s="16" t="n">
        <v>24</v>
      </c>
      <c r="G425" s="14" t="n">
        <v>1.00369590953829</v>
      </c>
      <c r="H425" s="15" t="n">
        <v>1.11471723821609</v>
      </c>
    </row>
    <row r="426">
      <c r="A426" t="s">
        <v>31</v>
      </c>
      <c r="B426" t="s">
        <v>509</v>
      </c>
      <c r="C426" t="s">
        <v>510</v>
      </c>
      <c r="D426" t="s">
        <v>960</v>
      </c>
      <c r="E426" s="13" t="n">
        <v>0.441737602320119</v>
      </c>
      <c r="F426" s="16" t="n">
        <v>136.009876633013</v>
      </c>
      <c r="G426" s="14" t="n">
        <v>0.0155686195516463</v>
      </c>
      <c r="H426" s="15" t="n">
        <v>-0.441463166514244</v>
      </c>
    </row>
    <row r="427">
      <c r="A427" t="s">
        <v>31</v>
      </c>
      <c r="B427" t="s">
        <v>509</v>
      </c>
      <c r="C427" t="s">
        <v>511</v>
      </c>
      <c r="D427" t="s">
        <v>960</v>
      </c>
      <c r="E427" s="13" t="n">
        <v>0.332032756526014</v>
      </c>
      <c r="F427" s="16" t="n">
        <v>19.133849276149</v>
      </c>
      <c r="G427" s="14" t="n">
        <v>0.260687435956253</v>
      </c>
      <c r="H427" s="15" t="n">
        <v>0.20564000617783</v>
      </c>
    </row>
    <row r="428">
      <c r="A428" t="s">
        <v>30</v>
      </c>
      <c r="B428" t="s">
        <v>512</v>
      </c>
      <c r="C428" t="s">
        <v>513</v>
      </c>
      <c r="D428" t="s">
        <v>960</v>
      </c>
      <c r="E428" s="13" t="n">
        <v>1.1180339887499</v>
      </c>
      <c r="F428" s="16" t="n">
        <v>34.282525588539</v>
      </c>
      <c r="G428" s="14" t="n">
        <v>0.408579522297965</v>
      </c>
      <c r="H428" s="15" t="n">
        <v>1.04070301909756</v>
      </c>
    </row>
    <row r="429">
      <c r="A429" t="s">
        <v>30</v>
      </c>
      <c r="B429" t="s">
        <v>512</v>
      </c>
      <c r="C429" t="s">
        <v>514</v>
      </c>
      <c r="D429" t="s">
        <v>960</v>
      </c>
      <c r="E429" s="13" t="n">
        <v>1.73453615963544</v>
      </c>
      <c r="F429" s="16" t="n">
        <v>155.753979164169</v>
      </c>
      <c r="G429" s="14" t="n">
        <v>1.14951886509432</v>
      </c>
      <c r="H429" s="15" t="n">
        <v>-1.29893112514681</v>
      </c>
    </row>
    <row r="430">
      <c r="A430" t="s">
        <v>30</v>
      </c>
      <c r="B430" t="s">
        <v>515</v>
      </c>
      <c r="C430" t="s">
        <v>516</v>
      </c>
      <c r="D430" t="s">
        <v>960</v>
      </c>
      <c r="E430" s="13" t="n">
        <v>0.5</v>
      </c>
      <c r="F430" s="16" t="n">
        <v>174</v>
      </c>
      <c r="G430" s="14" t="n">
        <v>0.489073800366903</v>
      </c>
      <c r="H430" s="15" t="n">
        <v>-0.10395584540888</v>
      </c>
    </row>
    <row r="431">
      <c r="A431" t="s">
        <v>30</v>
      </c>
      <c r="B431" t="s">
        <v>515</v>
      </c>
      <c r="C431" t="s">
        <v>517</v>
      </c>
      <c r="D431" t="s">
        <v>960</v>
      </c>
      <c r="E431" s="13" t="n">
        <v>0.5</v>
      </c>
      <c r="F431" s="16" t="n">
        <v>1.99999999999999</v>
      </c>
      <c r="G431" s="14" t="n">
        <v>0.498782025129912</v>
      </c>
      <c r="H431" s="15" t="n">
        <v>0.0348782368720625</v>
      </c>
    </row>
    <row r="432">
      <c r="A432" t="s">
        <v>30</v>
      </c>
      <c r="B432" t="s">
        <v>518</v>
      </c>
      <c r="C432" t="s">
        <v>519</v>
      </c>
      <c r="D432" t="s">
        <v>960</v>
      </c>
      <c r="E432" s="13" t="n">
        <v>0.339848954093314</v>
      </c>
      <c r="F432" s="16" t="n">
        <v>4.53526126615687</v>
      </c>
      <c r="G432" s="14" t="n">
        <v>0.335599158233224</v>
      </c>
      <c r="H432" s="15" t="n">
        <v>0.0535772021616569</v>
      </c>
    </row>
    <row r="433">
      <c r="A433" t="s">
        <v>30</v>
      </c>
      <c r="B433" t="s">
        <v>518</v>
      </c>
      <c r="C433" t="s">
        <v>520</v>
      </c>
      <c r="D433" t="s">
        <v>960</v>
      </c>
      <c r="E433" s="13" t="n">
        <v>0.526598570580527</v>
      </c>
      <c r="F433" s="16" t="n">
        <v>165.877939334051</v>
      </c>
      <c r="G433" s="14" t="n">
        <v>0.463901374656409</v>
      </c>
      <c r="H433" s="15" t="n">
        <v>-0.249201864217242</v>
      </c>
    </row>
    <row r="434">
      <c r="A434" t="s">
        <v>31</v>
      </c>
      <c r="B434" t="s">
        <v>521</v>
      </c>
      <c r="C434" t="s">
        <v>522</v>
      </c>
      <c r="D434" t="s">
        <v>960</v>
      </c>
      <c r="E434" s="13" t="n">
        <v>1.02227699360239</v>
      </c>
      <c r="F434" s="16" t="n">
        <v>173.926718056654</v>
      </c>
      <c r="G434" s="14" t="n">
        <v>0.999390827019096</v>
      </c>
      <c r="H434" s="15" t="n">
        <v>-0.215100503297498</v>
      </c>
    </row>
    <row r="435">
      <c r="A435" t="s">
        <v>31</v>
      </c>
      <c r="B435" t="s">
        <v>521</v>
      </c>
      <c r="C435" t="s">
        <v>523</v>
      </c>
      <c r="D435" t="s">
        <v>960</v>
      </c>
      <c r="E435" s="13" t="n">
        <v>1.03077640640442</v>
      </c>
      <c r="F435" s="16" t="n">
        <v>173.018121733963</v>
      </c>
      <c r="G435" s="14" t="n">
        <v>1.0003154835554</v>
      </c>
      <c r="H435" s="15" t="n">
        <v>-0.248734664571159</v>
      </c>
    </row>
    <row r="436">
      <c r="A436" t="s">
        <v>31</v>
      </c>
      <c r="B436" t="s">
        <v>524</v>
      </c>
      <c r="C436" t="s">
        <v>525</v>
      </c>
      <c r="D436" t="s">
        <v>960</v>
      </c>
      <c r="E436" s="13" t="n">
        <v>0.696076524147333</v>
      </c>
      <c r="F436" s="16" t="n">
        <v>156.274409315082</v>
      </c>
      <c r="G436" s="14" t="n">
        <v>0.470699583864451</v>
      </c>
      <c r="H436" s="15" t="n">
        <v>-0.512800574511053</v>
      </c>
    </row>
    <row r="437">
      <c r="A437" t="s">
        <v>31</v>
      </c>
      <c r="B437" t="s">
        <v>524</v>
      </c>
      <c r="C437" t="s">
        <v>526</v>
      </c>
      <c r="D437" t="s">
        <v>960</v>
      </c>
      <c r="E437" s="13" t="n">
        <v>1.04755822600563</v>
      </c>
      <c r="F437" s="16" t="n">
        <v>20.8862960102464</v>
      </c>
      <c r="G437" s="14" t="n">
        <v>0.781263432089977</v>
      </c>
      <c r="H437" s="15" t="n">
        <v>0.697857927196541</v>
      </c>
    </row>
    <row r="438">
      <c r="A438" t="s">
        <v>31</v>
      </c>
      <c r="B438" t="s">
        <v>527</v>
      </c>
      <c r="C438" t="s">
        <v>528</v>
      </c>
      <c r="D438" t="s">
        <v>960</v>
      </c>
      <c r="E438" s="13" t="n">
        <v>1.2968575175845</v>
      </c>
      <c r="F438" s="16" t="n">
        <v>168.273317948053</v>
      </c>
      <c r="G438" s="14" t="n">
        <v>1.18971676791702</v>
      </c>
      <c r="H438" s="15" t="n">
        <v>-0.516152528863826</v>
      </c>
    </row>
    <row r="439">
      <c r="A439" t="s">
        <v>31</v>
      </c>
      <c r="B439" t="s">
        <v>527</v>
      </c>
      <c r="C439" t="s">
        <v>529</v>
      </c>
      <c r="D439" t="s">
        <v>960</v>
      </c>
      <c r="E439" s="13" t="n">
        <v>0.445503262094184</v>
      </c>
      <c r="F439" s="16" t="n">
        <v>26.5</v>
      </c>
      <c r="G439" s="14" t="n">
        <v>0.268110555991524</v>
      </c>
      <c r="H439" s="15" t="n">
        <v>0.355794724950321</v>
      </c>
    </row>
    <row r="440">
      <c r="A440" t="s">
        <v>31</v>
      </c>
      <c r="B440" t="s">
        <v>530</v>
      </c>
      <c r="C440" t="s">
        <v>531</v>
      </c>
      <c r="D440" t="s">
        <v>960</v>
      </c>
      <c r="E440" s="13" t="n">
        <v>1.60819657041359</v>
      </c>
      <c r="F440" s="16" t="n">
        <v>10.5181783964435</v>
      </c>
      <c r="G440" s="14" t="n">
        <v>1.50101483258131</v>
      </c>
      <c r="H440" s="15" t="n">
        <v>0.577278686130833</v>
      </c>
    </row>
    <row r="441">
      <c r="A441" t="s">
        <v>31</v>
      </c>
      <c r="B441" t="s">
        <v>530</v>
      </c>
      <c r="C441" t="s">
        <v>532</v>
      </c>
      <c r="D441" t="s">
        <v>960</v>
      </c>
      <c r="E441" s="13" t="n">
        <v>0.918321526811531</v>
      </c>
      <c r="F441" s="16" t="n">
        <v>172.918422402082</v>
      </c>
      <c r="G441" s="14" t="n">
        <v>0.89040721330273</v>
      </c>
      <c r="H441" s="15" t="n">
        <v>-0.224698511574792</v>
      </c>
    </row>
    <row r="442">
      <c r="A442" t="s">
        <v>31</v>
      </c>
      <c r="B442" t="s">
        <v>533</v>
      </c>
      <c r="C442" t="s">
        <v>534</v>
      </c>
      <c r="D442" t="s">
        <v>960</v>
      </c>
      <c r="E442" s="13" t="n">
        <v>0.5</v>
      </c>
      <c r="F442" s="16" t="n">
        <v>17</v>
      </c>
      <c r="G442" s="14" t="n">
        <v>0.414518786277521</v>
      </c>
      <c r="H442" s="15" t="n">
        <v>0.279596451735373</v>
      </c>
    </row>
    <row r="443">
      <c r="A443" t="s">
        <v>31</v>
      </c>
      <c r="B443" t="s">
        <v>535</v>
      </c>
      <c r="C443" t="s">
        <v>536</v>
      </c>
      <c r="D443" t="s">
        <v>960</v>
      </c>
      <c r="E443" s="13" t="n">
        <v>0.409576022144496</v>
      </c>
      <c r="F443" s="16" t="n">
        <v>111.5</v>
      </c>
      <c r="G443" s="14" t="n">
        <v>-0.299544939889833</v>
      </c>
      <c r="H443" s="15" t="n">
        <v>-0.279330175423468</v>
      </c>
    </row>
    <row r="444">
      <c r="A444" t="s">
        <v>31</v>
      </c>
      <c r="B444" t="s">
        <v>535</v>
      </c>
      <c r="C444" t="s">
        <v>537</v>
      </c>
      <c r="D444" t="s">
        <v>960</v>
      </c>
      <c r="E444" s="13" t="n">
        <v>0.478152377981518</v>
      </c>
      <c r="F444" s="16" t="n">
        <v>80.5</v>
      </c>
      <c r="G444" s="14" t="n">
        <v>-0.452101955348511</v>
      </c>
      <c r="H444" s="15" t="n">
        <v>0.155671187248743</v>
      </c>
    </row>
    <row r="445">
      <c r="A445" t="s">
        <v>30</v>
      </c>
      <c r="B445" t="s">
        <v>538</v>
      </c>
      <c r="C445" t="s">
        <v>539</v>
      </c>
      <c r="D445" t="s">
        <v>960</v>
      </c>
      <c r="E445" s="13" t="n">
        <v>0.866025403784438</v>
      </c>
      <c r="F445" s="16" t="n">
        <v>171</v>
      </c>
      <c r="G445" s="14" t="n">
        <v>0.823639103546332</v>
      </c>
      <c r="H445" s="15" t="n">
        <v>-0.267616567329818</v>
      </c>
    </row>
    <row r="446">
      <c r="A446" t="s">
        <v>30</v>
      </c>
      <c r="B446" t="s">
        <v>538</v>
      </c>
      <c r="C446" t="s">
        <v>540</v>
      </c>
      <c r="D446" t="s">
        <v>960</v>
      </c>
      <c r="E446" s="13" t="n">
        <v>1.1293823246938</v>
      </c>
      <c r="F446" s="16" t="n">
        <v>1.71269648131404</v>
      </c>
      <c r="G446" s="14" t="n">
        <v>1.12736462201358</v>
      </c>
      <c r="H446" s="15" t="n">
        <v>0.0674792143031076</v>
      </c>
    </row>
    <row r="447">
      <c r="A447" t="s">
        <v>30</v>
      </c>
      <c r="B447" t="s">
        <v>541</v>
      </c>
      <c r="C447" t="s">
        <v>542</v>
      </c>
      <c r="D447" t="s">
        <v>960</v>
      </c>
      <c r="E447" s="13" t="n">
        <v>0.499695413509548</v>
      </c>
      <c r="F447" s="16" t="n">
        <v>53</v>
      </c>
      <c r="G447" s="14" t="n">
        <v>-0.137734722493654</v>
      </c>
      <c r="H447" s="15" t="n">
        <v>0.480338060642788</v>
      </c>
    </row>
    <row r="448">
      <c r="A448" t="s">
        <v>30</v>
      </c>
      <c r="B448" t="s">
        <v>541</v>
      </c>
      <c r="C448" t="s">
        <v>543</v>
      </c>
      <c r="D448" t="s">
        <v>960</v>
      </c>
      <c r="E448" s="13" t="n">
        <v>0.4567727288213</v>
      </c>
      <c r="F448" s="16" t="n">
        <v>121</v>
      </c>
      <c r="G448" s="14" t="n">
        <v>-0.214441806837712</v>
      </c>
      <c r="H448" s="15" t="n">
        <v>-0.403306381396371</v>
      </c>
    </row>
    <row r="449">
      <c r="A449" t="s">
        <v>31</v>
      </c>
      <c r="B449" t="s">
        <v>544</v>
      </c>
      <c r="C449" t="s">
        <v>545</v>
      </c>
      <c r="D449" t="s">
        <v>960</v>
      </c>
      <c r="E449" s="13" t="n">
        <v>0.502015464004928</v>
      </c>
      <c r="F449" s="16" t="n">
        <v>166.447308105937</v>
      </c>
      <c r="G449" s="14" t="n">
        <v>0.446879103325088</v>
      </c>
      <c r="H449" s="15" t="n">
        <v>-0.228732579908172</v>
      </c>
    </row>
    <row r="450">
      <c r="A450" t="s">
        <v>31</v>
      </c>
      <c r="B450" t="s">
        <v>544</v>
      </c>
      <c r="C450" t="s">
        <v>546</v>
      </c>
      <c r="D450" t="s">
        <v>960</v>
      </c>
      <c r="E450" s="13" t="n">
        <v>0.5</v>
      </c>
      <c r="F450" s="16" t="n">
        <v>43</v>
      </c>
      <c r="G450" s="14" t="n">
        <v>0.0348782368720628</v>
      </c>
      <c r="H450" s="15" t="n">
        <v>0.498782025129912</v>
      </c>
    </row>
    <row r="451">
      <c r="A451" t="s">
        <v>30</v>
      </c>
      <c r="B451" t="s">
        <v>547</v>
      </c>
      <c r="C451" t="s">
        <v>548</v>
      </c>
      <c r="D451" t="s">
        <v>960</v>
      </c>
      <c r="E451" s="13" t="n">
        <v>0.617583467196338</v>
      </c>
      <c r="F451" s="16" t="n">
        <v>7.44994489500481</v>
      </c>
      <c r="G451" s="14" t="n">
        <v>0.596818195139735</v>
      </c>
      <c r="H451" s="15" t="n">
        <v>0.158799813930618</v>
      </c>
    </row>
    <row r="452">
      <c r="A452" t="s">
        <v>30</v>
      </c>
      <c r="B452" t="s">
        <v>547</v>
      </c>
      <c r="C452" t="s">
        <v>549</v>
      </c>
      <c r="D452" t="s">
        <v>960</v>
      </c>
      <c r="E452" s="13" t="n">
        <v>0.596583644107624</v>
      </c>
      <c r="F452" s="16" t="n">
        <v>178.813149787631</v>
      </c>
      <c r="G452" s="14" t="n">
        <v>0.596071743341695</v>
      </c>
      <c r="H452" s="15" t="n">
        <v>-0.0247087273311504</v>
      </c>
    </row>
    <row r="453">
      <c r="A453" t="s">
        <v>31</v>
      </c>
      <c r="B453" t="s">
        <v>550</v>
      </c>
      <c r="C453" t="s">
        <v>551</v>
      </c>
      <c r="D453" t="s">
        <v>960</v>
      </c>
      <c r="E453" s="13" t="n">
        <v>0.264959632116602</v>
      </c>
      <c r="F453" s="16" t="n">
        <v>155</v>
      </c>
      <c r="G453" s="14" t="n">
        <v>0.170312768591656</v>
      </c>
      <c r="H453" s="15" t="n">
        <v>-0.202970853833772</v>
      </c>
    </row>
    <row r="454">
      <c r="A454" t="s">
        <v>31</v>
      </c>
      <c r="B454" t="s">
        <v>552</v>
      </c>
      <c r="C454" t="s">
        <v>553</v>
      </c>
      <c r="D454" t="s">
        <v>960</v>
      </c>
      <c r="E454" s="13" t="n">
        <v>0.5</v>
      </c>
      <c r="F454" s="16" t="n">
        <v>141</v>
      </c>
      <c r="G454" s="14" t="n">
        <v>0.10395584540888</v>
      </c>
      <c r="H454" s="15" t="n">
        <v>-0.489073800366903</v>
      </c>
    </row>
    <row r="455">
      <c r="A455" t="s">
        <v>30</v>
      </c>
      <c r="B455" t="s">
        <v>554</v>
      </c>
      <c r="C455" t="s">
        <v>555</v>
      </c>
      <c r="D455" t="s">
        <v>960</v>
      </c>
      <c r="E455" s="13" t="n">
        <v>1.15215434387785</v>
      </c>
      <c r="F455" s="16" t="n">
        <v>94.6981868422649</v>
      </c>
      <c r="G455" s="14" t="n">
        <v>-1.13669530918759</v>
      </c>
      <c r="H455" s="15" t="n">
        <v>-0.188104774494254</v>
      </c>
    </row>
    <row r="456">
      <c r="A456" t="s">
        <v>30</v>
      </c>
      <c r="B456" t="s">
        <v>554</v>
      </c>
      <c r="C456" t="s">
        <v>556</v>
      </c>
      <c r="D456" t="s">
        <v>960</v>
      </c>
      <c r="E456" s="13" t="n">
        <v>0.75</v>
      </c>
      <c r="F456" s="16" t="n">
        <v>86</v>
      </c>
      <c r="G456" s="14" t="n">
        <v>-0.742701051556178</v>
      </c>
      <c r="H456" s="15" t="n">
        <v>0.104379825720049</v>
      </c>
    </row>
    <row r="457">
      <c r="A457" t="s">
        <v>30</v>
      </c>
      <c r="B457" t="s">
        <v>557</v>
      </c>
      <c r="C457" t="s">
        <v>558</v>
      </c>
      <c r="D457" t="s">
        <v>960</v>
      </c>
      <c r="E457" s="13" t="n">
        <v>2.88495216890595</v>
      </c>
      <c r="F457" s="16" t="n">
        <v>162.743695513692</v>
      </c>
      <c r="G457" s="14" t="n">
        <v>2.37720497441049</v>
      </c>
      <c r="H457" s="15" t="n">
        <v>-1.63457808822741</v>
      </c>
    </row>
    <row r="458">
      <c r="A458" t="s">
        <v>30</v>
      </c>
      <c r="B458" t="s">
        <v>557</v>
      </c>
      <c r="C458" t="s">
        <v>559</v>
      </c>
      <c r="D458" t="s">
        <v>960</v>
      </c>
      <c r="E458" s="13" t="n">
        <v>1.62348582053035</v>
      </c>
      <c r="F458" s="16" t="n">
        <v>20.3327108503701</v>
      </c>
      <c r="G458" s="14" t="n">
        <v>1.23145903502792</v>
      </c>
      <c r="H458" s="15" t="n">
        <v>1.05792951301644</v>
      </c>
    </row>
    <row r="459">
      <c r="A459" t="s">
        <v>30</v>
      </c>
      <c r="B459" t="s">
        <v>560</v>
      </c>
      <c r="C459" t="s">
        <v>561</v>
      </c>
      <c r="D459" t="s">
        <v>960</v>
      </c>
      <c r="E459" s="13" t="n">
        <v>1.0520701103791</v>
      </c>
      <c r="F459" s="16" t="n">
        <v>175.181999176586</v>
      </c>
      <c r="G459" s="14" t="n">
        <v>1.03722650973476</v>
      </c>
      <c r="H459" s="15" t="n">
        <v>-0.176104186936428</v>
      </c>
    </row>
    <row r="460">
      <c r="A460" t="s">
        <v>31</v>
      </c>
      <c r="B460" t="s">
        <v>562</v>
      </c>
      <c r="C460" t="s">
        <v>563</v>
      </c>
      <c r="D460" t="s">
        <v>960</v>
      </c>
      <c r="E460" s="13" t="n">
        <v>0.502050086382721</v>
      </c>
      <c r="F460" s="16" t="n">
        <v>2.50817986408419</v>
      </c>
      <c r="G460" s="14" t="n">
        <v>0.500127119987179</v>
      </c>
      <c r="H460" s="15" t="n">
        <v>0.0438993518201324</v>
      </c>
    </row>
    <row r="461">
      <c r="A461" t="s">
        <v>30</v>
      </c>
      <c r="B461" t="s">
        <v>564</v>
      </c>
      <c r="C461" t="s">
        <v>565</v>
      </c>
      <c r="D461" t="s">
        <v>960</v>
      </c>
      <c r="E461" s="13" t="n">
        <v>0.643571410776574</v>
      </c>
      <c r="F461" s="16" t="n">
        <v>28.3928422911528</v>
      </c>
      <c r="G461" s="14" t="n">
        <v>0.352530574483034</v>
      </c>
      <c r="H461" s="15" t="n">
        <v>0.538429526329688</v>
      </c>
    </row>
    <row r="462">
      <c r="A462" t="s">
        <v>30</v>
      </c>
      <c r="B462" t="s">
        <v>564</v>
      </c>
      <c r="C462" t="s">
        <v>566</v>
      </c>
      <c r="D462" t="s">
        <v>960</v>
      </c>
      <c r="E462" s="13" t="n">
        <v>1</v>
      </c>
      <c r="F462" s="16" t="n">
        <v>162</v>
      </c>
      <c r="G462" s="14" t="n">
        <v>0.809016994374947</v>
      </c>
      <c r="H462" s="15" t="n">
        <v>-0.587785252292473</v>
      </c>
    </row>
    <row r="463">
      <c r="A463" t="s">
        <v>31</v>
      </c>
      <c r="B463" t="s">
        <v>567</v>
      </c>
      <c r="C463" t="s">
        <v>568</v>
      </c>
      <c r="D463" t="s">
        <v>960</v>
      </c>
      <c r="E463" s="13" t="n">
        <v>0.25</v>
      </c>
      <c r="F463" s="16" t="n">
        <v>177</v>
      </c>
      <c r="G463" s="14" t="n">
        <v>0.248630473842068</v>
      </c>
      <c r="H463" s="15" t="n">
        <v>-0.0261321158169134</v>
      </c>
    </row>
    <row r="464">
      <c r="A464" t="s">
        <v>31</v>
      </c>
      <c r="B464" t="s">
        <v>567</v>
      </c>
      <c r="C464" t="s">
        <v>569</v>
      </c>
      <c r="D464" t="s">
        <v>960</v>
      </c>
      <c r="E464" s="13" t="n">
        <v>0.799046902203986</v>
      </c>
      <c r="F464" s="16" t="n">
        <v>10.7717770787794</v>
      </c>
      <c r="G464" s="14" t="n">
        <v>0.743224445537329</v>
      </c>
      <c r="H464" s="15" t="n">
        <v>0.293416726649176</v>
      </c>
    </row>
    <row r="465">
      <c r="A465" t="s">
        <v>31</v>
      </c>
      <c r="B465" t="s">
        <v>570</v>
      </c>
      <c r="C465" t="s">
        <v>571</v>
      </c>
      <c r="D465" t="s">
        <v>960</v>
      </c>
      <c r="E465" s="13" t="n">
        <v>0.730944108089069</v>
      </c>
      <c r="F465" s="16" t="n">
        <v>7.6909715889262</v>
      </c>
      <c r="G465" s="14" t="n">
        <v>0.704760993278136</v>
      </c>
      <c r="H465" s="15" t="n">
        <v>0.193884582944958</v>
      </c>
    </row>
    <row r="466">
      <c r="A466" t="s">
        <v>31</v>
      </c>
      <c r="B466" t="s">
        <v>570</v>
      </c>
      <c r="C466" t="s">
        <v>572</v>
      </c>
      <c r="D466" t="s">
        <v>960</v>
      </c>
      <c r="E466" s="13" t="n">
        <v>0.617583467196337</v>
      </c>
      <c r="F466" s="16" t="n">
        <v>173.550055104995</v>
      </c>
      <c r="G466" s="14" t="n">
        <v>0.601996663203373</v>
      </c>
      <c r="H466" s="15" t="n">
        <v>-0.137874422741326</v>
      </c>
    </row>
    <row r="467">
      <c r="A467" t="s">
        <v>30</v>
      </c>
      <c r="B467" t="s">
        <v>573</v>
      </c>
      <c r="C467" t="s">
        <v>574</v>
      </c>
      <c r="D467" t="s">
        <v>960</v>
      </c>
      <c r="E467" s="13" t="n">
        <v>1.93283815082883</v>
      </c>
      <c r="F467" s="16" t="n">
        <v>6.26843147800758</v>
      </c>
      <c r="G467" s="14" t="n">
        <v>1.88675262519192</v>
      </c>
      <c r="H467" s="15" t="n">
        <v>0.419556728739782</v>
      </c>
    </row>
    <row r="468">
      <c r="A468" t="s">
        <v>30</v>
      </c>
      <c r="B468" t="s">
        <v>573</v>
      </c>
      <c r="C468" t="s">
        <v>575</v>
      </c>
      <c r="D468" t="s">
        <v>960</v>
      </c>
      <c r="E468" s="13" t="n">
        <v>2.19739492197442</v>
      </c>
      <c r="F468" s="16" t="n">
        <v>178.903089498472</v>
      </c>
      <c r="G468" s="14" t="n">
        <v>2.19578434243987</v>
      </c>
      <c r="H468" s="15" t="n">
        <v>-0.084116375426412</v>
      </c>
    </row>
    <row r="469">
      <c r="A469" t="s">
        <v>30</v>
      </c>
      <c r="B469" t="s">
        <v>576</v>
      </c>
      <c r="C469" t="s">
        <v>577</v>
      </c>
      <c r="D469" t="s">
        <v>960</v>
      </c>
      <c r="E469" s="13" t="n">
        <v>0.817615204846778</v>
      </c>
      <c r="F469" s="16" t="n">
        <v>6.57468784803882</v>
      </c>
      <c r="G469" s="14" t="n">
        <v>0.796177566946128</v>
      </c>
      <c r="H469" s="15" t="n">
        <v>0.185999744861068</v>
      </c>
    </row>
    <row r="470">
      <c r="A470" t="s">
        <v>30</v>
      </c>
      <c r="B470" t="s">
        <v>576</v>
      </c>
      <c r="C470" t="s">
        <v>578</v>
      </c>
      <c r="D470" t="s">
        <v>960</v>
      </c>
      <c r="E470" s="13" t="n">
        <v>1.04755822600563</v>
      </c>
      <c r="F470" s="16" t="n">
        <v>0.886296010246427</v>
      </c>
      <c r="G470" s="14" t="n">
        <v>1.04705693968806</v>
      </c>
      <c r="H470" s="15" t="n">
        <v>0.0324037331668204</v>
      </c>
    </row>
    <row r="471">
      <c r="A471" t="s">
        <v>31</v>
      </c>
      <c r="B471" t="s">
        <v>579</v>
      </c>
      <c r="C471" t="s">
        <v>580</v>
      </c>
      <c r="D471" t="s">
        <v>960</v>
      </c>
      <c r="E471" s="13" t="n">
        <v>0.2033683215379</v>
      </c>
      <c r="F471" s="16" t="n">
        <v>28</v>
      </c>
      <c r="G471" s="14" t="n">
        <v>0.113722122194751</v>
      </c>
      <c r="H471" s="15" t="n">
        <v>0.168599979622374</v>
      </c>
    </row>
    <row r="472">
      <c r="A472" t="s">
        <v>31</v>
      </c>
      <c r="B472" t="s">
        <v>579</v>
      </c>
      <c r="C472" t="s">
        <v>581</v>
      </c>
      <c r="D472" t="s">
        <v>960</v>
      </c>
      <c r="E472" s="13" t="n">
        <v>0.1378186779085</v>
      </c>
      <c r="F472" s="16" t="n">
        <v>158</v>
      </c>
      <c r="G472" s="14" t="n">
        <v>0.0991384602496369</v>
      </c>
      <c r="H472" s="15" t="n">
        <v>-0.0957368982147317</v>
      </c>
    </row>
    <row r="473">
      <c r="A473" t="s">
        <v>30</v>
      </c>
      <c r="B473" t="s">
        <v>582</v>
      </c>
      <c r="C473" t="s">
        <v>583</v>
      </c>
      <c r="D473" t="s">
        <v>960</v>
      </c>
      <c r="E473" s="13" t="n">
        <v>1.10231597253124</v>
      </c>
      <c r="F473" s="16" t="n">
        <v>7.47825759066065</v>
      </c>
      <c r="G473" s="14" t="n">
        <v>1.06497168956727</v>
      </c>
      <c r="H473" s="15" t="n">
        <v>0.284492185688345</v>
      </c>
    </row>
    <row r="474">
      <c r="A474" t="s">
        <v>31</v>
      </c>
      <c r="B474" t="s">
        <v>584</v>
      </c>
      <c r="C474" t="s">
        <v>585</v>
      </c>
      <c r="D474" t="s">
        <v>960</v>
      </c>
      <c r="E474" s="13" t="n">
        <v>0.5</v>
      </c>
      <c r="F474" s="16" t="n">
        <v>82</v>
      </c>
      <c r="G474" s="14" t="n">
        <v>-0.48063084796916</v>
      </c>
      <c r="H474" s="15" t="n">
        <v>0.137818677908499</v>
      </c>
    </row>
    <row r="475">
      <c r="A475" t="s">
        <v>31</v>
      </c>
      <c r="B475" t="s">
        <v>586</v>
      </c>
      <c r="C475" t="s">
        <v>587</v>
      </c>
      <c r="D475" t="s">
        <v>960</v>
      </c>
      <c r="E475" s="13" t="n">
        <v>0.935908103065986</v>
      </c>
      <c r="F475" s="16" t="n">
        <v>162.275107756497</v>
      </c>
      <c r="G475" s="14" t="n">
        <v>0.762413341825688</v>
      </c>
      <c r="H475" s="15" t="n">
        <v>-0.542816611380638</v>
      </c>
    </row>
    <row r="476">
      <c r="A476" t="s">
        <v>31</v>
      </c>
      <c r="B476" t="s">
        <v>586</v>
      </c>
      <c r="C476" t="s">
        <v>588</v>
      </c>
      <c r="D476" t="s">
        <v>960</v>
      </c>
      <c r="E476" s="13" t="n">
        <v>0.895014992078182</v>
      </c>
      <c r="F476" s="16" t="n">
        <v>23.1390696269879</v>
      </c>
      <c r="G476" s="14" t="n">
        <v>0.618596953681288</v>
      </c>
      <c r="H476" s="15" t="n">
        <v>0.64683046073986</v>
      </c>
    </row>
    <row r="477">
      <c r="A477" t="s">
        <v>31</v>
      </c>
      <c r="B477" t="s">
        <v>589</v>
      </c>
      <c r="C477" t="s">
        <v>590</v>
      </c>
      <c r="D477" t="s">
        <v>960</v>
      </c>
      <c r="E477" s="13" t="n">
        <v>0.511017712654367</v>
      </c>
      <c r="F477" s="16" t="n">
        <v>5.601470781454</v>
      </c>
      <c r="G477" s="14" t="n">
        <v>0.501280363182259</v>
      </c>
      <c r="H477" s="15" t="n">
        <v>0.0992829297229098</v>
      </c>
    </row>
    <row r="478">
      <c r="A478" t="s">
        <v>31</v>
      </c>
      <c r="B478" t="s">
        <v>589</v>
      </c>
      <c r="C478" t="s">
        <v>591</v>
      </c>
      <c r="D478" t="s">
        <v>960</v>
      </c>
      <c r="E478" s="13" t="n">
        <v>0.5</v>
      </c>
      <c r="F478" s="16" t="n">
        <v>164</v>
      </c>
      <c r="G478" s="14" t="n">
        <v>0.424024048078213</v>
      </c>
      <c r="H478" s="15" t="n">
        <v>-0.264959632116603</v>
      </c>
    </row>
    <row r="479">
      <c r="A479" t="s">
        <v>30</v>
      </c>
      <c r="B479" t="s">
        <v>592</v>
      </c>
      <c r="C479" t="s">
        <v>593</v>
      </c>
      <c r="D479" t="s">
        <v>960</v>
      </c>
      <c r="E479" s="13" t="n">
        <v>1.4176700681324</v>
      </c>
      <c r="F479" s="16" t="n">
        <v>9.00609836036083</v>
      </c>
      <c r="G479" s="14" t="n">
        <v>1.34819106944875</v>
      </c>
      <c r="H479" s="15" t="n">
        <v>0.438371146789077</v>
      </c>
    </row>
    <row r="480">
      <c r="A480" t="s">
        <v>30</v>
      </c>
      <c r="B480" t="s">
        <v>592</v>
      </c>
      <c r="C480" t="s">
        <v>594</v>
      </c>
      <c r="D480" t="s">
        <v>960</v>
      </c>
      <c r="E480" s="13" t="n">
        <v>1.24805209601634</v>
      </c>
      <c r="F480" s="16" t="n">
        <v>177.201248832239</v>
      </c>
      <c r="G480" s="14" t="n">
        <v>1.24210095044328</v>
      </c>
      <c r="H480" s="15" t="n">
        <v>-0.121734396448566</v>
      </c>
    </row>
    <row r="481">
      <c r="A481" t="s">
        <v>30</v>
      </c>
      <c r="B481" t="s">
        <v>595</v>
      </c>
      <c r="C481" t="s">
        <v>596</v>
      </c>
      <c r="D481" t="s">
        <v>960</v>
      </c>
      <c r="E481" s="13" t="n">
        <v>3.0224995010674</v>
      </c>
      <c r="F481" s="16" t="n">
        <v>148.237319356473</v>
      </c>
      <c r="G481" s="14" t="n">
        <v>1.34743522688773</v>
      </c>
      <c r="H481" s="15" t="n">
        <v>-2.70553535243854</v>
      </c>
    </row>
    <row r="482">
      <c r="A482" t="s">
        <v>30</v>
      </c>
      <c r="B482" t="s">
        <v>595</v>
      </c>
      <c r="C482" t="s">
        <v>597</v>
      </c>
      <c r="D482" t="s">
        <v>960</v>
      </c>
      <c r="E482" s="13" t="n">
        <v>2.7806806911544</v>
      </c>
      <c r="F482" s="16" t="n">
        <v>26.1322855510381</v>
      </c>
      <c r="G482" s="14" t="n">
        <v>1.70182156617597</v>
      </c>
      <c r="H482" s="15" t="n">
        <v>2.19908809806639</v>
      </c>
    </row>
    <row r="483">
      <c r="A483" t="s">
        <v>31</v>
      </c>
      <c r="B483" t="s">
        <v>598</v>
      </c>
      <c r="C483" t="s">
        <v>599</v>
      </c>
      <c r="D483" t="s">
        <v>960</v>
      </c>
      <c r="E483" s="13" t="n">
        <v>0.476439885157176</v>
      </c>
      <c r="F483" s="16" t="n">
        <v>24.7716236401297</v>
      </c>
      <c r="G483" s="14" t="n">
        <v>0.309149407971319</v>
      </c>
      <c r="H483" s="15" t="n">
        <v>0.362521182442579</v>
      </c>
    </row>
    <row r="484">
      <c r="A484" t="s">
        <v>31</v>
      </c>
      <c r="B484" t="s">
        <v>598</v>
      </c>
      <c r="C484" t="s">
        <v>600</v>
      </c>
      <c r="D484" t="s">
        <v>960</v>
      </c>
      <c r="E484" s="13" t="n">
        <v>0.637300281150085</v>
      </c>
      <c r="F484" s="16" t="n">
        <v>143.335724421154</v>
      </c>
      <c r="G484" s="14" t="n">
        <v>0.182830737662829</v>
      </c>
      <c r="H484" s="15" t="n">
        <v>-0.610511727749471</v>
      </c>
    </row>
    <row r="485">
      <c r="A485" t="s">
        <v>30</v>
      </c>
      <c r="B485" t="s">
        <v>601</v>
      </c>
      <c r="C485" t="s">
        <v>602</v>
      </c>
      <c r="D485" t="s">
        <v>960</v>
      </c>
      <c r="E485" s="13" t="n">
        <v>0.624303010239208</v>
      </c>
      <c r="F485" s="16" t="n">
        <v>144.806911220402</v>
      </c>
      <c r="G485" s="14" t="n">
        <v>0.209565303179429</v>
      </c>
      <c r="H485" s="15" t="n">
        <v>-0.588078763684807</v>
      </c>
    </row>
    <row r="486">
      <c r="A486" t="s">
        <v>30</v>
      </c>
      <c r="B486" t="s">
        <v>601</v>
      </c>
      <c r="C486" t="s">
        <v>603</v>
      </c>
      <c r="D486" t="s">
        <v>960</v>
      </c>
      <c r="E486" s="13" t="n">
        <v>0.581921056344341</v>
      </c>
      <c r="F486" s="16" t="n">
        <v>23.6468382538312</v>
      </c>
      <c r="G486" s="14" t="n">
        <v>0.394682588329144</v>
      </c>
      <c r="H486" s="15" t="n">
        <v>0.427618720692536</v>
      </c>
    </row>
    <row r="487">
      <c r="A487" t="s">
        <v>31</v>
      </c>
      <c r="B487" t="s">
        <v>604</v>
      </c>
      <c r="C487" t="s">
        <v>605</v>
      </c>
      <c r="D487" t="s">
        <v>960</v>
      </c>
      <c r="E487" s="13" t="n">
        <v>0.756842181131559</v>
      </c>
      <c r="F487" s="16" t="n">
        <v>179.546583557216</v>
      </c>
      <c r="G487" s="14" t="n">
        <v>0.756747388293871</v>
      </c>
      <c r="H487" s="15" t="n">
        <v>-0.0119782073108001</v>
      </c>
    </row>
    <row r="488">
      <c r="A488" t="s">
        <v>31</v>
      </c>
      <c r="B488" t="s">
        <v>604</v>
      </c>
      <c r="C488" t="s">
        <v>606</v>
      </c>
      <c r="D488" t="s">
        <v>960</v>
      </c>
      <c r="E488" s="13" t="n">
        <v>0.75</v>
      </c>
      <c r="F488" s="16" t="n">
        <v>6</v>
      </c>
      <c r="G488" s="14" t="n">
        <v>0.733610700550354</v>
      </c>
      <c r="H488" s="15" t="n">
        <v>0.155933768113319</v>
      </c>
    </row>
    <row r="489">
      <c r="A489" t="s">
        <v>30</v>
      </c>
      <c r="B489" t="s">
        <v>607</v>
      </c>
      <c r="C489" t="s">
        <v>608</v>
      </c>
      <c r="D489" t="s">
        <v>960</v>
      </c>
      <c r="E489" s="13" t="n">
        <v>0.5</v>
      </c>
      <c r="F489" s="16" t="n">
        <v>41</v>
      </c>
      <c r="G489" s="14" t="n">
        <v>0.0695865504800331</v>
      </c>
      <c r="H489" s="15" t="n">
        <v>0.495134034370785</v>
      </c>
    </row>
    <row r="490">
      <c r="A490" t="s">
        <v>30</v>
      </c>
      <c r="B490" t="s">
        <v>609</v>
      </c>
      <c r="C490" t="s">
        <v>610</v>
      </c>
      <c r="D490" t="s">
        <v>960</v>
      </c>
      <c r="E490" s="13" t="n">
        <v>0.75</v>
      </c>
      <c r="F490" s="16" t="n">
        <v>100</v>
      </c>
      <c r="G490" s="14" t="n">
        <v>-0.704769465589431</v>
      </c>
      <c r="H490" s="15" t="n">
        <v>-0.256515107494252</v>
      </c>
    </row>
    <row r="491">
      <c r="A491" t="s">
        <v>30</v>
      </c>
      <c r="B491" t="s">
        <v>609</v>
      </c>
      <c r="C491" t="s">
        <v>611</v>
      </c>
      <c r="D491" t="s">
        <v>960</v>
      </c>
      <c r="E491" s="13" t="n">
        <v>0.5</v>
      </c>
      <c r="F491" s="16" t="n">
        <v>96</v>
      </c>
      <c r="G491" s="14" t="n">
        <v>-0.489073800366903</v>
      </c>
      <c r="H491" s="15" t="n">
        <v>-0.10395584540888</v>
      </c>
    </row>
    <row r="492">
      <c r="A492" t="s">
        <v>30</v>
      </c>
      <c r="B492" t="s">
        <v>612</v>
      </c>
      <c r="C492" t="s">
        <v>613</v>
      </c>
      <c r="D492" t="s">
        <v>960</v>
      </c>
      <c r="E492" s="13" t="n">
        <v>0.75</v>
      </c>
      <c r="F492" s="16" t="n">
        <v>31</v>
      </c>
      <c r="G492" s="14" t="n">
        <v>0.352103672089418</v>
      </c>
      <c r="H492" s="15" t="n">
        <v>0.662210694644195</v>
      </c>
    </row>
    <row r="493">
      <c r="A493" t="s">
        <v>30</v>
      </c>
      <c r="B493" t="s">
        <v>612</v>
      </c>
      <c r="C493" t="s">
        <v>614</v>
      </c>
      <c r="D493" t="s">
        <v>960</v>
      </c>
      <c r="E493" s="13" t="n">
        <v>0.2033683215379</v>
      </c>
      <c r="F493" s="16" t="n">
        <v>123</v>
      </c>
      <c r="G493" s="14" t="n">
        <v>-0.0827173484102856</v>
      </c>
      <c r="H493" s="15" t="n">
        <v>-0.185786206369349</v>
      </c>
    </row>
    <row r="494">
      <c r="A494" t="s">
        <v>30</v>
      </c>
      <c r="B494" t="s">
        <v>615</v>
      </c>
      <c r="C494" t="s">
        <v>616</v>
      </c>
      <c r="D494" t="s">
        <v>960</v>
      </c>
      <c r="E494" s="13" t="n">
        <v>1.48272308243307</v>
      </c>
      <c r="F494" s="16" t="n">
        <v>13.9276579175797</v>
      </c>
      <c r="G494" s="14" t="n">
        <v>1.31092039346725</v>
      </c>
      <c r="H494" s="15" t="n">
        <v>0.692788179151097</v>
      </c>
    </row>
    <row r="495">
      <c r="A495" t="s">
        <v>30</v>
      </c>
      <c r="B495" t="s">
        <v>617</v>
      </c>
      <c r="C495" t="s">
        <v>618</v>
      </c>
      <c r="D495" t="s">
        <v>960</v>
      </c>
      <c r="E495" s="13" t="n">
        <v>0.677824691991313</v>
      </c>
      <c r="F495" s="16" t="n">
        <v>148.68038179518</v>
      </c>
      <c r="G495" s="14" t="n">
        <v>0.311522600408257</v>
      </c>
      <c r="H495" s="15" t="n">
        <v>-0.601996663203373</v>
      </c>
    </row>
    <row r="496">
      <c r="A496" t="s">
        <v>30</v>
      </c>
      <c r="B496" t="s">
        <v>617</v>
      </c>
      <c r="C496" t="s">
        <v>619</v>
      </c>
      <c r="D496" t="s">
        <v>960</v>
      </c>
      <c r="E496" s="13" t="n">
        <v>0.383022221559489</v>
      </c>
      <c r="F496" s="16" t="n">
        <v>22</v>
      </c>
      <c r="G496" s="14" t="n">
        <v>0.27552312838187</v>
      </c>
      <c r="H496" s="15" t="n">
        <v>0.2660695922781</v>
      </c>
    </row>
    <row r="497">
      <c r="A497" t="s">
        <v>30</v>
      </c>
      <c r="B497" t="s">
        <v>620</v>
      </c>
      <c r="C497" t="s">
        <v>621</v>
      </c>
      <c r="D497" t="s">
        <v>960</v>
      </c>
      <c r="E497" s="13" t="n">
        <v>0.75</v>
      </c>
      <c r="F497" s="16" t="n">
        <v>4.00000000000001</v>
      </c>
      <c r="G497" s="14" t="n">
        <v>0.742701051556178</v>
      </c>
      <c r="H497" s="15" t="n">
        <v>0.104379825720049</v>
      </c>
    </row>
    <row r="498">
      <c r="A498" t="s">
        <v>30</v>
      </c>
      <c r="B498" t="s">
        <v>620</v>
      </c>
      <c r="C498" t="s">
        <v>622</v>
      </c>
      <c r="D498" t="s">
        <v>960</v>
      </c>
      <c r="E498" s="13" t="n">
        <v>1.17684953194659</v>
      </c>
      <c r="F498" s="16" t="n">
        <v>170.23463811627</v>
      </c>
      <c r="G498" s="14" t="n">
        <v>1.10913638491628</v>
      </c>
      <c r="H498" s="15" t="n">
        <v>-0.393435255789003</v>
      </c>
    </row>
    <row r="499">
      <c r="A499" t="s">
        <v>30</v>
      </c>
      <c r="B499" t="s">
        <v>623</v>
      </c>
      <c r="C499" t="s">
        <v>624</v>
      </c>
      <c r="D499" t="s">
        <v>960</v>
      </c>
      <c r="E499" s="13" t="n">
        <v>0.5</v>
      </c>
      <c r="F499" s="16" t="n">
        <v>107</v>
      </c>
      <c r="G499" s="14" t="n">
        <v>-0.414518786277521</v>
      </c>
      <c r="H499" s="15" t="n">
        <v>-0.279596451735373</v>
      </c>
    </row>
    <row r="500">
      <c r="A500" t="s">
        <v>30</v>
      </c>
      <c r="B500" t="s">
        <v>625</v>
      </c>
      <c r="C500" t="s">
        <v>626</v>
      </c>
      <c r="D500" t="s">
        <v>960</v>
      </c>
      <c r="E500" s="13" t="n">
        <v>0.279596451735373</v>
      </c>
      <c r="F500" s="16" t="n">
        <v>142</v>
      </c>
      <c r="G500" s="14" t="n">
        <v>0.0676405036067625</v>
      </c>
      <c r="H500" s="15" t="n">
        <v>-0.271291242200766</v>
      </c>
    </row>
    <row r="501">
      <c r="A501" t="s">
        <v>30</v>
      </c>
      <c r="B501" t="s">
        <v>625</v>
      </c>
      <c r="C501" t="s">
        <v>627</v>
      </c>
      <c r="D501" t="s">
        <v>960</v>
      </c>
      <c r="E501" s="13" t="n">
        <v>0.187303296707956</v>
      </c>
      <c r="F501" s="16" t="n">
        <v>145</v>
      </c>
      <c r="G501" s="14" t="n">
        <v>0.0640615003854254</v>
      </c>
      <c r="H501" s="15" t="n">
        <v>-0.17600752576534</v>
      </c>
    </row>
    <row r="502">
      <c r="A502" t="s">
        <v>30</v>
      </c>
      <c r="B502" t="s">
        <v>628</v>
      </c>
      <c r="C502" t="s">
        <v>629</v>
      </c>
      <c r="D502" t="s">
        <v>960</v>
      </c>
      <c r="E502" s="13" t="n">
        <v>1.4176700681324</v>
      </c>
      <c r="F502" s="16" t="n">
        <v>159.993901639639</v>
      </c>
      <c r="G502" s="14" t="n">
        <v>1.08580427051353</v>
      </c>
      <c r="H502" s="15" t="n">
        <v>-0.911491913410712</v>
      </c>
    </row>
    <row r="503">
      <c r="A503" t="s">
        <v>30</v>
      </c>
      <c r="B503" t="s">
        <v>628</v>
      </c>
      <c r="C503" t="s">
        <v>630</v>
      </c>
      <c r="D503" t="s">
        <v>960</v>
      </c>
      <c r="E503" s="13" t="n">
        <v>2.0068882637799</v>
      </c>
      <c r="F503" s="16" t="n">
        <v>32.4242010017015</v>
      </c>
      <c r="G503" s="14" t="n">
        <v>0.852957143946372</v>
      </c>
      <c r="H503" s="15" t="n">
        <v>1.81660799675889</v>
      </c>
    </row>
    <row r="504">
      <c r="A504" t="s">
        <v>31</v>
      </c>
      <c r="B504" t="s">
        <v>631</v>
      </c>
      <c r="C504" t="s">
        <v>632</v>
      </c>
      <c r="D504" t="s">
        <v>960</v>
      </c>
      <c r="E504" s="13" t="n">
        <v>0.355968809912682</v>
      </c>
      <c r="F504" s="16" t="n">
        <v>22.0150795917093</v>
      </c>
      <c r="G504" s="14" t="n">
        <v>0.255932336394368</v>
      </c>
      <c r="H504" s="15" t="n">
        <v>0.247411464605769</v>
      </c>
    </row>
    <row r="505">
      <c r="A505" t="s">
        <v>31</v>
      </c>
      <c r="B505" t="s">
        <v>633</v>
      </c>
      <c r="C505" t="s">
        <v>634</v>
      </c>
      <c r="D505" t="s">
        <v>960</v>
      </c>
      <c r="E505" s="13" t="n">
        <v>0.383022221559489</v>
      </c>
      <c r="F505" s="16" t="n">
        <v>155</v>
      </c>
      <c r="G505" s="14" t="n">
        <v>0.246201938253052</v>
      </c>
      <c r="H505" s="15" t="n">
        <v>-0.293412044416733</v>
      </c>
    </row>
    <row r="506">
      <c r="A506" t="s">
        <v>31</v>
      </c>
      <c r="B506" t="s">
        <v>635</v>
      </c>
      <c r="C506" t="s">
        <v>636</v>
      </c>
      <c r="D506" t="s">
        <v>960</v>
      </c>
      <c r="E506" s="13" t="n">
        <v>1.43511791978318</v>
      </c>
      <c r="F506" s="16" t="n">
        <v>170.257115150736</v>
      </c>
      <c r="G506" s="14" t="n">
        <v>1.35292063416745</v>
      </c>
      <c r="H506" s="15" t="n">
        <v>-0.478716201236958</v>
      </c>
    </row>
    <row r="507">
      <c r="A507" t="s">
        <v>30</v>
      </c>
      <c r="B507" t="s">
        <v>637</v>
      </c>
      <c r="C507" t="s">
        <v>638</v>
      </c>
      <c r="D507" t="s">
        <v>960</v>
      </c>
      <c r="E507" s="13" t="n">
        <v>0.644439804169846</v>
      </c>
      <c r="F507" s="16" t="n">
        <v>44.3802114236752</v>
      </c>
      <c r="G507" s="14" t="n">
        <v>0.0139411759252527</v>
      </c>
      <c r="H507" s="15" t="n">
        <v>0.644288991689514</v>
      </c>
    </row>
    <row r="508">
      <c r="A508" t="s">
        <v>30</v>
      </c>
      <c r="B508" t="s">
        <v>637</v>
      </c>
      <c r="C508" t="s">
        <v>639</v>
      </c>
      <c r="D508" t="s">
        <v>960</v>
      </c>
      <c r="E508" s="13" t="n">
        <v>0.709937399197806</v>
      </c>
      <c r="F508" s="16" t="n">
        <v>136.458755582983</v>
      </c>
      <c r="G508" s="14" t="n">
        <v>0.0361345171395495</v>
      </c>
      <c r="H508" s="15" t="n">
        <v>-0.70901721237981</v>
      </c>
    </row>
    <row r="509">
      <c r="A509" t="s">
        <v>30</v>
      </c>
      <c r="B509" t="s">
        <v>640</v>
      </c>
      <c r="C509" t="s">
        <v>641</v>
      </c>
      <c r="D509" t="s">
        <v>960</v>
      </c>
      <c r="E509" s="13" t="n">
        <v>0.649686683484639</v>
      </c>
      <c r="F509" s="16" t="n">
        <v>57.8829487549767</v>
      </c>
      <c r="G509" s="14" t="n">
        <v>-0.282415651575588</v>
      </c>
      <c r="H509" s="15" t="n">
        <v>0.585093314303287</v>
      </c>
    </row>
    <row r="510">
      <c r="A510" t="s">
        <v>31</v>
      </c>
      <c r="B510" t="s">
        <v>642</v>
      </c>
      <c r="C510" t="s">
        <v>643</v>
      </c>
      <c r="D510" t="s">
        <v>960</v>
      </c>
      <c r="E510" s="13" t="n">
        <v>1.08972473588517</v>
      </c>
      <c r="F510" s="16" t="n">
        <v>66.2933877768147</v>
      </c>
      <c r="G510" s="14" t="n">
        <v>-0.737423324865778</v>
      </c>
      <c r="H510" s="15" t="n">
        <v>0.802313429990987</v>
      </c>
    </row>
    <row r="511">
      <c r="A511" t="s">
        <v>31</v>
      </c>
      <c r="B511" t="s">
        <v>642</v>
      </c>
      <c r="C511" t="s">
        <v>644</v>
      </c>
      <c r="D511" t="s">
        <v>960</v>
      </c>
      <c r="E511" s="13" t="n">
        <v>0.636066451237858</v>
      </c>
      <c r="F511" s="16" t="n">
        <v>102.270301188819</v>
      </c>
      <c r="G511" s="14" t="n">
        <v>-0.57860876993649</v>
      </c>
      <c r="H511" s="15" t="n">
        <v>-0.264182553820089</v>
      </c>
    </row>
    <row r="512">
      <c r="A512" t="s">
        <v>30</v>
      </c>
      <c r="B512" t="s">
        <v>645</v>
      </c>
      <c r="C512" t="s">
        <v>646</v>
      </c>
      <c r="D512" t="s">
        <v>960</v>
      </c>
      <c r="E512" s="13" t="n">
        <v>1.24603787521801</v>
      </c>
      <c r="F512" s="16" t="n">
        <v>90.5551715512159</v>
      </c>
      <c r="G512" s="14" t="n">
        <v>-1.24580390704195</v>
      </c>
      <c r="H512" s="15" t="n">
        <v>-0.0241456347362147</v>
      </c>
    </row>
    <row r="513">
      <c r="A513" t="s">
        <v>30</v>
      </c>
      <c r="B513" t="s">
        <v>647</v>
      </c>
      <c r="C513" t="s">
        <v>648</v>
      </c>
      <c r="D513" t="s">
        <v>960</v>
      </c>
      <c r="E513" s="13" t="n">
        <v>0.822915495576566</v>
      </c>
      <c r="F513" s="16" t="n">
        <v>72.2459279105828</v>
      </c>
      <c r="G513" s="14" t="n">
        <v>-0.669880342804633</v>
      </c>
      <c r="H513" s="15" t="n">
        <v>0.477964684034262</v>
      </c>
    </row>
    <row r="514">
      <c r="A514" t="s">
        <v>30</v>
      </c>
      <c r="B514" t="s">
        <v>647</v>
      </c>
      <c r="C514" t="s">
        <v>649</v>
      </c>
      <c r="D514" t="s">
        <v>960</v>
      </c>
      <c r="E514" s="13" t="n">
        <v>0.75</v>
      </c>
      <c r="F514" s="16" t="n">
        <v>93</v>
      </c>
      <c r="G514" s="14" t="n">
        <v>-0.745891421526205</v>
      </c>
      <c r="H514" s="15" t="n">
        <v>-0.07839634745074</v>
      </c>
    </row>
    <row r="515">
      <c r="A515" t="s">
        <v>31</v>
      </c>
      <c r="B515" t="s">
        <v>650</v>
      </c>
      <c r="C515" t="s">
        <v>651</v>
      </c>
      <c r="D515" t="s">
        <v>960</v>
      </c>
      <c r="E515" s="13" t="n">
        <v>1.25</v>
      </c>
      <c r="F515" s="16" t="n">
        <v>98</v>
      </c>
      <c r="G515" s="14" t="n">
        <v>-1.2015771199229</v>
      </c>
      <c r="H515" s="15" t="n">
        <v>-0.344546694771249</v>
      </c>
    </row>
    <row r="516">
      <c r="A516" t="s">
        <v>31</v>
      </c>
      <c r="B516" t="s">
        <v>650</v>
      </c>
      <c r="C516" t="s">
        <v>652</v>
      </c>
      <c r="D516" t="s">
        <v>960</v>
      </c>
      <c r="E516" s="13" t="n">
        <v>0.467812303863443</v>
      </c>
      <c r="F516" s="16" t="n">
        <v>95.8510083272988</v>
      </c>
      <c r="G516" s="14" t="n">
        <v>-0.458089139711545</v>
      </c>
      <c r="H516" s="15" t="n">
        <v>-0.0948825153774825</v>
      </c>
    </row>
    <row r="517">
      <c r="A517" t="s">
        <v>31</v>
      </c>
      <c r="B517" t="s">
        <v>653</v>
      </c>
      <c r="C517" t="s">
        <v>654</v>
      </c>
      <c r="D517" t="s">
        <v>960</v>
      </c>
      <c r="E517" s="13" t="n">
        <v>0.749086426149926</v>
      </c>
      <c r="F517" s="16" t="n">
        <v>160.999593471956</v>
      </c>
      <c r="G517" s="14" t="n">
        <v>0.590281614698249</v>
      </c>
      <c r="H517" s="15" t="n">
        <v>-0.461192030710957</v>
      </c>
    </row>
    <row r="518">
      <c r="A518" t="s">
        <v>31</v>
      </c>
      <c r="B518" t="s">
        <v>653</v>
      </c>
      <c r="C518" t="s">
        <v>655</v>
      </c>
      <c r="D518" t="s">
        <v>960</v>
      </c>
      <c r="E518" s="13" t="n">
        <v>1.49918779686196</v>
      </c>
      <c r="F518" s="16" t="n">
        <v>25.6665462750858</v>
      </c>
      <c r="G518" s="14" t="n">
        <v>0.936680235832776</v>
      </c>
      <c r="H518" s="15" t="n">
        <v>1.17055294030645</v>
      </c>
    </row>
    <row r="519">
      <c r="A519" t="s">
        <v>30</v>
      </c>
      <c r="B519" t="s">
        <v>656</v>
      </c>
      <c r="C519" t="s">
        <v>657</v>
      </c>
      <c r="D519" t="s">
        <v>960</v>
      </c>
      <c r="E519" s="13" t="n">
        <v>0.25</v>
      </c>
      <c r="F519" s="16" t="n">
        <v>13</v>
      </c>
      <c r="G519" s="14" t="n">
        <v>0.224698511574792</v>
      </c>
      <c r="H519" s="15" t="n">
        <v>0.109592786697269</v>
      </c>
    </row>
    <row r="520">
      <c r="A520" t="s">
        <v>30</v>
      </c>
      <c r="B520" t="s">
        <v>656</v>
      </c>
      <c r="C520" t="s">
        <v>658</v>
      </c>
      <c r="D520" t="s">
        <v>960</v>
      </c>
      <c r="E520" s="13" t="n">
        <v>1.03077640640442</v>
      </c>
      <c r="F520" s="16" t="n">
        <v>7.01812173396324</v>
      </c>
      <c r="G520" s="14" t="n">
        <v>1</v>
      </c>
      <c r="H520" s="15" t="n">
        <v>0.25</v>
      </c>
    </row>
    <row r="521">
      <c r="A521" t="s">
        <v>30</v>
      </c>
      <c r="B521" t="s">
        <v>659</v>
      </c>
      <c r="C521" t="s">
        <v>660</v>
      </c>
      <c r="D521" t="s">
        <v>960</v>
      </c>
      <c r="E521" s="13" t="n">
        <v>0.592626318771646</v>
      </c>
      <c r="F521" s="16" t="n">
        <v>173.146674642264</v>
      </c>
      <c r="G521" s="14" t="n">
        <v>0.575749282464049</v>
      </c>
      <c r="H521" s="15" t="n">
        <v>-0.140423350775308</v>
      </c>
    </row>
    <row r="522">
      <c r="A522" t="s">
        <v>31</v>
      </c>
      <c r="B522" t="s">
        <v>661</v>
      </c>
      <c r="C522" t="s">
        <v>662</v>
      </c>
      <c r="D522" t="s">
        <v>960</v>
      </c>
      <c r="E522" s="13" t="n">
        <v>0.64425193195294</v>
      </c>
      <c r="F522" s="16" t="n">
        <v>145.580036023002</v>
      </c>
      <c r="G522" s="14" t="n">
        <v>0.232558692872651</v>
      </c>
      <c r="H522" s="15" t="n">
        <v>-0.600813620180552</v>
      </c>
    </row>
    <row r="523">
      <c r="A523" t="s">
        <v>31</v>
      </c>
      <c r="B523" t="s">
        <v>661</v>
      </c>
      <c r="C523" t="s">
        <v>663</v>
      </c>
      <c r="D523" t="s">
        <v>960</v>
      </c>
      <c r="E523" s="13" t="n">
        <v>0.5</v>
      </c>
      <c r="F523" s="16" t="n">
        <v>69</v>
      </c>
      <c r="G523" s="14" t="n">
        <v>-0.371572412738697</v>
      </c>
      <c r="H523" s="15" t="n">
        <v>0.334565303179429</v>
      </c>
    </row>
    <row r="524">
      <c r="A524" t="s">
        <v>30</v>
      </c>
      <c r="B524" t="s">
        <v>664</v>
      </c>
      <c r="C524" t="s">
        <v>665</v>
      </c>
      <c r="D524" t="s">
        <v>960</v>
      </c>
      <c r="E524" s="13" t="n">
        <v>0.5</v>
      </c>
      <c r="F524" s="16" t="n">
        <v>7.99999999999999</v>
      </c>
      <c r="G524" s="14" t="n">
        <v>0.48063084796916</v>
      </c>
      <c r="H524" s="15" t="n">
        <v>0.137818677908499</v>
      </c>
    </row>
    <row r="525">
      <c r="A525" t="s">
        <v>30</v>
      </c>
      <c r="B525" t="s">
        <v>664</v>
      </c>
      <c r="C525" t="s">
        <v>666</v>
      </c>
      <c r="D525" t="s">
        <v>960</v>
      </c>
      <c r="E525" s="13" t="n">
        <v>1.39049673900669</v>
      </c>
      <c r="F525" s="16" t="n">
        <v>161.604895730498</v>
      </c>
      <c r="G525" s="14" t="n">
        <v>1.11355668773655</v>
      </c>
      <c r="H525" s="15" t="n">
        <v>-0.832750073182484</v>
      </c>
    </row>
    <row r="526">
      <c r="A526" t="s">
        <v>30</v>
      </c>
      <c r="B526" t="s">
        <v>667</v>
      </c>
      <c r="C526" t="s">
        <v>668</v>
      </c>
      <c r="D526" t="s">
        <v>960</v>
      </c>
      <c r="E526" s="13" t="n">
        <v>1.26310719177603</v>
      </c>
      <c r="F526" s="16" t="n">
        <v>24.4721284357144</v>
      </c>
      <c r="G526" s="14" t="n">
        <v>0.829599931727723</v>
      </c>
      <c r="H526" s="15" t="n">
        <v>0.95247243067382</v>
      </c>
    </row>
    <row r="527">
      <c r="A527" t="s">
        <v>30</v>
      </c>
      <c r="B527" t="s">
        <v>669</v>
      </c>
      <c r="C527" t="s">
        <v>670</v>
      </c>
      <c r="D527" t="s">
        <v>960</v>
      </c>
      <c r="E527" s="13" t="n">
        <v>0.500228387706894</v>
      </c>
      <c r="F527" s="16" t="n">
        <v>2.49969556803006</v>
      </c>
      <c r="G527" s="14" t="n">
        <v>0.498325330940094</v>
      </c>
      <c r="H527" s="15" t="n">
        <v>0.0435924811324685</v>
      </c>
    </row>
    <row r="528">
      <c r="A528" t="s">
        <v>30</v>
      </c>
      <c r="B528" t="s">
        <v>669</v>
      </c>
      <c r="C528" t="s">
        <v>671</v>
      </c>
      <c r="D528" t="s">
        <v>960</v>
      </c>
      <c r="E528" s="13" t="n">
        <v>0.511017712654367</v>
      </c>
      <c r="F528" s="16" t="n">
        <v>3.39852921854602</v>
      </c>
      <c r="G528" s="14" t="n">
        <v>0.507426068431001</v>
      </c>
      <c r="H528" s="15" t="n">
        <v>0.0604804738999169</v>
      </c>
    </row>
    <row r="529">
      <c r="A529" t="s">
        <v>31</v>
      </c>
      <c r="B529" t="s">
        <v>672</v>
      </c>
      <c r="C529" t="s">
        <v>673</v>
      </c>
      <c r="D529" t="s">
        <v>960</v>
      </c>
      <c r="E529" s="13" t="n">
        <v>1.96647961701536</v>
      </c>
      <c r="F529" s="16" t="n">
        <v>7.93144331081421</v>
      </c>
      <c r="G529" s="14" t="n">
        <v>1.89159325136882</v>
      </c>
      <c r="H529" s="15" t="n">
        <v>0.537510051545828</v>
      </c>
    </row>
    <row r="530">
      <c r="A530" t="s">
        <v>31</v>
      </c>
      <c r="B530" t="s">
        <v>672</v>
      </c>
      <c r="C530" t="s">
        <v>674</v>
      </c>
      <c r="D530" t="s">
        <v>960</v>
      </c>
      <c r="E530" s="13" t="n">
        <v>1.58476847815018</v>
      </c>
      <c r="F530" s="16" t="n">
        <v>15.5814498805939</v>
      </c>
      <c r="G530" s="14" t="n">
        <v>1.35608561711037</v>
      </c>
      <c r="H530" s="15" t="n">
        <v>0.820074952918825</v>
      </c>
    </row>
    <row r="531">
      <c r="A531" t="s">
        <v>31</v>
      </c>
      <c r="B531" t="s">
        <v>675</v>
      </c>
      <c r="C531" t="s">
        <v>676</v>
      </c>
      <c r="D531" t="s">
        <v>960</v>
      </c>
      <c r="E531" s="13" t="n">
        <v>1.0800258540465</v>
      </c>
      <c r="F531" s="16" t="n">
        <v>79.543127119678</v>
      </c>
      <c r="G531" s="14" t="n">
        <v>-1.0088725226397</v>
      </c>
      <c r="H531" s="15" t="n">
        <v>0.385528310855997</v>
      </c>
    </row>
    <row r="532">
      <c r="A532" t="s">
        <v>31</v>
      </c>
      <c r="B532" t="s">
        <v>677</v>
      </c>
      <c r="C532" t="s">
        <v>678</v>
      </c>
      <c r="D532" t="s">
        <v>960</v>
      </c>
      <c r="E532" s="13" t="n">
        <v>1.12144291754739</v>
      </c>
      <c r="F532" s="16" t="n">
        <v>162.80487409231</v>
      </c>
      <c r="G532" s="14" t="n">
        <v>0.925425471107142</v>
      </c>
      <c r="H532" s="15" t="n">
        <v>-0.63342080384475</v>
      </c>
    </row>
    <row r="533">
      <c r="A533" t="s">
        <v>31</v>
      </c>
      <c r="B533" t="s">
        <v>679</v>
      </c>
      <c r="C533" t="s">
        <v>680</v>
      </c>
      <c r="D533" t="s">
        <v>960</v>
      </c>
      <c r="E533" s="13" t="n">
        <v>0.712353506128207</v>
      </c>
      <c r="F533" s="16" t="n">
        <v>30.0587094989762</v>
      </c>
      <c r="G533" s="14" t="n">
        <v>0.354911729887801</v>
      </c>
      <c r="H533" s="15" t="n">
        <v>0.617644866959322</v>
      </c>
    </row>
    <row r="534">
      <c r="A534" t="s">
        <v>31</v>
      </c>
      <c r="B534" t="s">
        <v>679</v>
      </c>
      <c r="C534" t="s">
        <v>681</v>
      </c>
      <c r="D534" t="s">
        <v>960</v>
      </c>
      <c r="E534" s="13" t="n">
        <v>1.14564392373896</v>
      </c>
      <c r="F534" s="16" t="n">
        <v>137.446697324565</v>
      </c>
      <c r="G534" s="14" t="n">
        <v>0.0977257853260819</v>
      </c>
      <c r="H534" s="15" t="n">
        <v>-1.14146820844139</v>
      </c>
    </row>
    <row r="535">
      <c r="A535" t="s">
        <v>31</v>
      </c>
      <c r="B535" t="s">
        <v>682</v>
      </c>
      <c r="C535" t="s">
        <v>683</v>
      </c>
      <c r="D535" t="s">
        <v>960</v>
      </c>
      <c r="E535" s="13" t="n">
        <v>1.54625235568155</v>
      </c>
      <c r="F535" s="16" t="n">
        <v>1.62653744308195</v>
      </c>
      <c r="G535" s="14" t="n">
        <v>1.54376076575685</v>
      </c>
      <c r="H535" s="15" t="n">
        <v>0.0877442052819708</v>
      </c>
    </row>
    <row r="536">
      <c r="A536" t="s">
        <v>31</v>
      </c>
      <c r="B536" t="s">
        <v>682</v>
      </c>
      <c r="C536" t="s">
        <v>684</v>
      </c>
      <c r="D536" t="s">
        <v>960</v>
      </c>
      <c r="E536" s="13" t="n">
        <v>1.45981456983421</v>
      </c>
      <c r="F536" s="16" t="n">
        <v>157.782535675125</v>
      </c>
      <c r="G536" s="14" t="n">
        <v>1.04237478086034</v>
      </c>
      <c r="H536" s="15" t="n">
        <v>-1.02201438078268</v>
      </c>
    </row>
    <row r="537">
      <c r="A537" t="s">
        <v>30</v>
      </c>
      <c r="B537" t="s">
        <v>685</v>
      </c>
      <c r="C537" t="s">
        <v>686</v>
      </c>
      <c r="D537" t="s">
        <v>960</v>
      </c>
      <c r="E537" s="13" t="n">
        <v>0.372606236374609</v>
      </c>
      <c r="F537" s="16" t="n">
        <v>58.429007742695</v>
      </c>
      <c r="G537" s="14" t="n">
        <v>-0.168336458018098</v>
      </c>
      <c r="H537" s="15" t="n">
        <v>0.332412761919833</v>
      </c>
    </row>
    <row r="538">
      <c r="A538" t="s">
        <v>30</v>
      </c>
      <c r="B538" t="s">
        <v>685</v>
      </c>
      <c r="C538" t="s">
        <v>687</v>
      </c>
      <c r="D538" t="s">
        <v>960</v>
      </c>
      <c r="E538" s="13" t="n">
        <v>0.544639035015027</v>
      </c>
      <c r="F538" s="16" t="n">
        <v>96.5</v>
      </c>
      <c r="G538" s="14" t="n">
        <v>-0.53067997183216</v>
      </c>
      <c r="H538" s="15" t="n">
        <v>-0.122517125163456</v>
      </c>
    </row>
    <row r="539">
      <c r="A539" t="s">
        <v>31</v>
      </c>
      <c r="B539" t="s">
        <v>688</v>
      </c>
      <c r="C539" t="s">
        <v>689</v>
      </c>
      <c r="D539" t="s">
        <v>960</v>
      </c>
      <c r="E539" s="13" t="n">
        <v>0.5</v>
      </c>
      <c r="F539" s="16" t="n">
        <v>140</v>
      </c>
      <c r="G539" s="14" t="n">
        <v>0.086824088833465</v>
      </c>
      <c r="H539" s="15" t="n">
        <v>-0.492403876506104</v>
      </c>
    </row>
    <row r="540">
      <c r="A540" t="s">
        <v>31</v>
      </c>
      <c r="B540" t="s">
        <v>688</v>
      </c>
      <c r="C540" t="s">
        <v>690</v>
      </c>
      <c r="D540" t="s">
        <v>960</v>
      </c>
      <c r="E540" s="13" t="n">
        <v>0.75</v>
      </c>
      <c r="F540" s="16" t="n">
        <v>41</v>
      </c>
      <c r="G540" s="14" t="n">
        <v>0.10437982572005</v>
      </c>
      <c r="H540" s="15" t="n">
        <v>0.742701051556178</v>
      </c>
    </row>
    <row r="541">
      <c r="A541" t="s">
        <v>31</v>
      </c>
      <c r="B541" t="s">
        <v>691</v>
      </c>
      <c r="C541" t="s">
        <v>692</v>
      </c>
      <c r="D541" t="s">
        <v>960</v>
      </c>
      <c r="E541" s="13" t="n">
        <v>1.36349885254258</v>
      </c>
      <c r="F541" s="16" t="n">
        <v>177.106065766893</v>
      </c>
      <c r="G541" s="14" t="n">
        <v>1.35654784952205</v>
      </c>
      <c r="H541" s="15" t="n">
        <v>-0.137502919394635</v>
      </c>
    </row>
    <row r="542">
      <c r="A542" t="s">
        <v>31</v>
      </c>
      <c r="B542" t="s">
        <v>691</v>
      </c>
      <c r="C542" t="s">
        <v>693</v>
      </c>
      <c r="D542" t="s">
        <v>960</v>
      </c>
      <c r="E542" s="13" t="n">
        <v>1.25018273853692</v>
      </c>
      <c r="F542" s="16" t="n">
        <v>164.800068218177</v>
      </c>
      <c r="G542" s="14" t="n">
        <v>1.07830120746193</v>
      </c>
      <c r="H542" s="15" t="n">
        <v>-0.632632109303527</v>
      </c>
    </row>
    <row r="543">
      <c r="A543" t="s">
        <v>31</v>
      </c>
      <c r="B543" t="s">
        <v>694</v>
      </c>
      <c r="C543" t="s">
        <v>695</v>
      </c>
      <c r="D543" t="s">
        <v>960</v>
      </c>
      <c r="E543" s="13" t="n">
        <v>0.419335283972712</v>
      </c>
      <c r="F543" s="16" t="n">
        <v>73.5</v>
      </c>
      <c r="G543" s="14" t="n">
        <v>-0.35168416076895</v>
      </c>
      <c r="H543" s="15" t="n">
        <v>0.22838636441065</v>
      </c>
    </row>
    <row r="544">
      <c r="A544" t="s">
        <v>31</v>
      </c>
      <c r="B544" t="s">
        <v>696</v>
      </c>
      <c r="C544" t="s">
        <v>697</v>
      </c>
      <c r="D544" t="s">
        <v>960</v>
      </c>
      <c r="E544" s="13" t="n">
        <v>0.804972803094911</v>
      </c>
      <c r="F544" s="16" t="n">
        <v>76.9994158142813</v>
      </c>
      <c r="G544" s="14" t="n">
        <v>-0.72349756686453</v>
      </c>
      <c r="H544" s="15" t="n">
        <v>0.352891604410736</v>
      </c>
    </row>
    <row r="545">
      <c r="A545" t="s">
        <v>31</v>
      </c>
      <c r="B545" t="s">
        <v>696</v>
      </c>
      <c r="C545" t="s">
        <v>698</v>
      </c>
      <c r="D545" t="s">
        <v>960</v>
      </c>
      <c r="E545" s="13" t="n">
        <v>1.10231597253124</v>
      </c>
      <c r="F545" s="16" t="n">
        <v>93.4782575906606</v>
      </c>
      <c r="G545" s="14" t="n">
        <v>-1.09420111797338</v>
      </c>
      <c r="H545" s="15" t="n">
        <v>-0.133508114821908</v>
      </c>
    </row>
    <row r="546">
      <c r="A546" t="s">
        <v>30</v>
      </c>
      <c r="B546" t="s">
        <v>699</v>
      </c>
      <c r="C546" t="s">
        <v>700</v>
      </c>
      <c r="D546" t="s">
        <v>960</v>
      </c>
      <c r="E546" s="13" t="n">
        <v>0.830064721648885</v>
      </c>
      <c r="F546" s="16" t="n">
        <v>8.3444944593654</v>
      </c>
      <c r="G546" s="14" t="n">
        <v>0.79510048807893</v>
      </c>
      <c r="H546" s="15" t="n">
        <v>0.238375032213293</v>
      </c>
    </row>
    <row r="547">
      <c r="A547" t="s">
        <v>30</v>
      </c>
      <c r="B547" t="s">
        <v>699</v>
      </c>
      <c r="C547" t="s">
        <v>701</v>
      </c>
      <c r="D547" t="s">
        <v>960</v>
      </c>
      <c r="E547" s="13" t="n">
        <v>1.00727250378815</v>
      </c>
      <c r="F547" s="16" t="n">
        <v>167.98069235781</v>
      </c>
      <c r="G547" s="14" t="n">
        <v>0.919912892100916</v>
      </c>
      <c r="H547" s="15" t="n">
        <v>-0.4103147180326</v>
      </c>
    </row>
    <row r="548">
      <c r="A548" t="s">
        <v>31</v>
      </c>
      <c r="B548" t="s">
        <v>702</v>
      </c>
      <c r="C548" t="s">
        <v>703</v>
      </c>
      <c r="D548" t="s">
        <v>960</v>
      </c>
      <c r="E548" s="13" t="n">
        <v>0.278526201287281</v>
      </c>
      <c r="F548" s="16" t="n">
        <v>173.938993572167</v>
      </c>
      <c r="G548" s="14" t="n">
        <v>0.272315799470584</v>
      </c>
      <c r="H548" s="15" t="n">
        <v>-0.0584888892202552</v>
      </c>
    </row>
    <row r="549">
      <c r="A549" t="s">
        <v>30</v>
      </c>
      <c r="B549" t="s">
        <v>704</v>
      </c>
      <c r="C549" t="s">
        <v>705</v>
      </c>
      <c r="D549" t="s">
        <v>960</v>
      </c>
      <c r="E549" s="13" t="n">
        <v>0.75</v>
      </c>
      <c r="F549" s="16" t="n">
        <v>7</v>
      </c>
      <c r="G549" s="14" t="n">
        <v>0.727721794706997</v>
      </c>
      <c r="H549" s="15" t="n">
        <v>0.181441421699751</v>
      </c>
    </row>
    <row r="550">
      <c r="A550" t="s">
        <v>30</v>
      </c>
      <c r="B550" t="s">
        <v>706</v>
      </c>
      <c r="C550" t="s">
        <v>707</v>
      </c>
      <c r="D550" t="s">
        <v>960</v>
      </c>
      <c r="E550" s="13" t="n">
        <v>0.518028769847117</v>
      </c>
      <c r="F550" s="16" t="n">
        <v>93.2882906523541</v>
      </c>
      <c r="G550" s="14" t="n">
        <v>-0.514619965067845</v>
      </c>
      <c r="H550" s="15" t="n">
        <v>-0.0593304133045416</v>
      </c>
    </row>
    <row r="551">
      <c r="A551" t="s">
        <v>30</v>
      </c>
      <c r="B551" t="s">
        <v>708</v>
      </c>
      <c r="C551" t="s">
        <v>709</v>
      </c>
      <c r="D551" t="s">
        <v>960</v>
      </c>
      <c r="E551" s="13" t="n">
        <v>0.257484099988617</v>
      </c>
      <c r="F551" s="16" t="n">
        <v>160.146759548539</v>
      </c>
      <c r="G551" s="14" t="n">
        <v>0.198089546695742</v>
      </c>
      <c r="H551" s="15" t="n">
        <v>-0.164494964168583</v>
      </c>
    </row>
    <row r="552">
      <c r="A552" t="s">
        <v>30</v>
      </c>
      <c r="B552" t="s">
        <v>708</v>
      </c>
      <c r="C552" t="s">
        <v>710</v>
      </c>
      <c r="D552" t="s">
        <v>960</v>
      </c>
      <c r="E552" s="13" t="n">
        <v>0.251215022311652</v>
      </c>
      <c r="F552" s="16" t="n">
        <v>22.990311202362</v>
      </c>
      <c r="G552" s="14" t="n">
        <v>0.174569724337017</v>
      </c>
      <c r="H552" s="15" t="n">
        <v>0.180649934348015</v>
      </c>
    </row>
    <row r="553">
      <c r="A553" t="s">
        <v>31</v>
      </c>
      <c r="B553" t="s">
        <v>711</v>
      </c>
      <c r="C553" t="s">
        <v>712</v>
      </c>
      <c r="D553" t="s">
        <v>960</v>
      </c>
      <c r="E553" s="13" t="n">
        <v>1.31663590678738</v>
      </c>
      <c r="F553" s="16" t="n">
        <v>10.3886807553051</v>
      </c>
      <c r="G553" s="14" t="n">
        <v>1.23100969126526</v>
      </c>
      <c r="H553" s="15" t="n">
        <v>0.467060222083663</v>
      </c>
    </row>
    <row r="554">
      <c r="A554" t="s">
        <v>30</v>
      </c>
      <c r="B554" t="s">
        <v>713</v>
      </c>
      <c r="C554" t="s">
        <v>714</v>
      </c>
      <c r="D554" t="s">
        <v>960</v>
      </c>
      <c r="E554" s="13" t="n">
        <v>1</v>
      </c>
      <c r="F554" s="16" t="n">
        <v>167</v>
      </c>
      <c r="G554" s="14" t="n">
        <v>0.898794046299167</v>
      </c>
      <c r="H554" s="15" t="n">
        <v>-0.438371146789077</v>
      </c>
    </row>
    <row r="555">
      <c r="A555" t="s">
        <v>30</v>
      </c>
      <c r="B555" t="s">
        <v>715</v>
      </c>
      <c r="C555" t="s">
        <v>716</v>
      </c>
      <c r="D555" t="s">
        <v>960</v>
      </c>
      <c r="E555" s="13" t="n">
        <v>0.5</v>
      </c>
      <c r="F555" s="16" t="n">
        <v>10</v>
      </c>
      <c r="G555" s="14" t="n">
        <v>0.469846310392954</v>
      </c>
      <c r="H555" s="15" t="n">
        <v>0.171010071662834</v>
      </c>
    </row>
    <row r="556">
      <c r="A556" t="s">
        <v>31</v>
      </c>
      <c r="B556" t="s">
        <v>717</v>
      </c>
      <c r="C556" t="s">
        <v>718</v>
      </c>
      <c r="D556" t="s">
        <v>960</v>
      </c>
      <c r="E556" s="13" t="n">
        <v>0.596583644107624</v>
      </c>
      <c r="F556" s="16" t="n">
        <v>26.1868502123693</v>
      </c>
      <c r="G556" s="14" t="n">
        <v>0.364219547835727</v>
      </c>
      <c r="H556" s="15" t="n">
        <v>0.472499910466734</v>
      </c>
    </row>
    <row r="557">
      <c r="A557" t="s">
        <v>30</v>
      </c>
      <c r="B557" t="s">
        <v>719</v>
      </c>
      <c r="C557" t="s">
        <v>720</v>
      </c>
      <c r="D557" t="s">
        <v>960</v>
      </c>
      <c r="E557" s="13" t="n">
        <v>0.522125719731641</v>
      </c>
      <c r="F557" s="16" t="n">
        <v>140.287299929659</v>
      </c>
      <c r="G557" s="14" t="n">
        <v>0.0958182050726165</v>
      </c>
      <c r="H557" s="15" t="n">
        <v>-0.513258354809687</v>
      </c>
    </row>
    <row r="558">
      <c r="A558" t="s">
        <v>30</v>
      </c>
      <c r="B558" t="s">
        <v>719</v>
      </c>
      <c r="C558" t="s">
        <v>721</v>
      </c>
      <c r="D558" t="s">
        <v>960</v>
      </c>
      <c r="E558" s="13" t="n">
        <v>0.808405951110898</v>
      </c>
      <c r="F558" s="16" t="n">
        <v>37.6984303596416</v>
      </c>
      <c r="G558" s="14" t="n">
        <v>0.203817231922874</v>
      </c>
      <c r="H558" s="15" t="n">
        <v>0.782290686230389</v>
      </c>
    </row>
    <row r="559">
      <c r="A559" t="s">
        <v>30</v>
      </c>
      <c r="B559" t="s">
        <v>722</v>
      </c>
      <c r="C559" t="s">
        <v>723</v>
      </c>
      <c r="D559" t="s">
        <v>960</v>
      </c>
      <c r="E559" s="13" t="n">
        <v>0.324408086923307</v>
      </c>
      <c r="F559" s="16" t="n">
        <v>178.763400035343</v>
      </c>
      <c r="G559" s="14" t="n">
        <v>0.324105905732991</v>
      </c>
      <c r="H559" s="15" t="n">
        <v>-0.0139988831782137</v>
      </c>
    </row>
    <row r="560">
      <c r="A560" t="s">
        <v>30</v>
      </c>
      <c r="B560" t="s">
        <v>722</v>
      </c>
      <c r="C560" t="s">
        <v>724</v>
      </c>
      <c r="D560" t="s">
        <v>960</v>
      </c>
      <c r="E560" s="13" t="n">
        <v>0.1378186779085</v>
      </c>
      <c r="F560" s="16" t="n">
        <v>155</v>
      </c>
      <c r="G560" s="14" t="n">
        <v>0.0885881385429635</v>
      </c>
      <c r="H560" s="15" t="n">
        <v>-0.10557523236981</v>
      </c>
    </row>
    <row r="561">
      <c r="A561" t="s">
        <v>30</v>
      </c>
      <c r="B561" t="s">
        <v>725</v>
      </c>
      <c r="C561" t="s">
        <v>726</v>
      </c>
      <c r="D561" t="s">
        <v>960</v>
      </c>
      <c r="E561" s="13" t="n">
        <v>0.25</v>
      </c>
      <c r="F561" s="16" t="n">
        <v>35</v>
      </c>
      <c r="G561" s="14" t="n">
        <v>0.0855050358314173</v>
      </c>
      <c r="H561" s="15" t="n">
        <v>0.234923155196477</v>
      </c>
    </row>
    <row r="562">
      <c r="A562" t="s">
        <v>30</v>
      </c>
      <c r="B562" t="s">
        <v>725</v>
      </c>
      <c r="C562" t="s">
        <v>727</v>
      </c>
      <c r="D562" t="s">
        <v>960</v>
      </c>
      <c r="E562" s="13" t="n">
        <v>0.25</v>
      </c>
      <c r="F562" s="16" t="n">
        <v>147</v>
      </c>
      <c r="G562" s="14" t="n">
        <v>0.10168416076895</v>
      </c>
      <c r="H562" s="15" t="n">
        <v>-0.22838636441065</v>
      </c>
    </row>
    <row r="563">
      <c r="A563" t="s">
        <v>31</v>
      </c>
      <c r="B563" t="s">
        <v>728</v>
      </c>
      <c r="C563" t="s">
        <v>729</v>
      </c>
      <c r="D563" t="s">
        <v>960</v>
      </c>
      <c r="E563" s="13" t="n">
        <v>0.522125719731641</v>
      </c>
      <c r="F563" s="16" t="n">
        <v>155.287299929659</v>
      </c>
      <c r="G563" s="14" t="n">
        <v>0.339610177142756</v>
      </c>
      <c r="H563" s="15" t="n">
        <v>-0.396585671433487</v>
      </c>
    </row>
    <row r="564">
      <c r="A564" t="s">
        <v>31</v>
      </c>
      <c r="B564" t="s">
        <v>728</v>
      </c>
      <c r="C564" t="s">
        <v>730</v>
      </c>
      <c r="D564" t="s">
        <v>960</v>
      </c>
      <c r="E564" s="13" t="n">
        <v>0.611617546033</v>
      </c>
      <c r="F564" s="16" t="n">
        <v>29.8418510175161</v>
      </c>
      <c r="G564" s="14" t="n">
        <v>0.308728145265977</v>
      </c>
      <c r="H564" s="15" t="n">
        <v>0.527980070586057</v>
      </c>
    </row>
    <row r="565">
      <c r="A565" t="s">
        <v>30</v>
      </c>
      <c r="B565" t="s">
        <v>731</v>
      </c>
      <c r="C565" t="s">
        <v>732</v>
      </c>
      <c r="D565" t="s">
        <v>960</v>
      </c>
      <c r="E565" s="13" t="n">
        <v>0.25</v>
      </c>
      <c r="F565" s="16" t="n">
        <v>97</v>
      </c>
      <c r="G565" s="14" t="n">
        <v>-0.242573931568999</v>
      </c>
      <c r="H565" s="15" t="n">
        <v>-0.0604804738999169</v>
      </c>
    </row>
    <row r="566">
      <c r="A566" t="s">
        <v>30</v>
      </c>
      <c r="B566" t="s">
        <v>731</v>
      </c>
      <c r="C566" t="s">
        <v>733</v>
      </c>
      <c r="D566" t="s">
        <v>960</v>
      </c>
      <c r="E566" s="13" t="n">
        <v>0.91361772027557</v>
      </c>
      <c r="F566" s="16" t="n">
        <v>86.4439878018167</v>
      </c>
      <c r="G566" s="14" t="n">
        <v>-0.90658832394784</v>
      </c>
      <c r="H566" s="15" t="n">
        <v>0.113114763329004</v>
      </c>
    </row>
    <row r="567">
      <c r="A567" t="s">
        <v>30</v>
      </c>
      <c r="B567" t="s">
        <v>734</v>
      </c>
      <c r="C567" t="s">
        <v>735</v>
      </c>
      <c r="D567" t="s">
        <v>960</v>
      </c>
      <c r="E567" s="13" t="n">
        <v>0.874915694527745</v>
      </c>
      <c r="F567" s="16" t="n">
        <v>173.681551174417</v>
      </c>
      <c r="G567" s="14" t="n">
        <v>0.85372180542394</v>
      </c>
      <c r="H567" s="15" t="n">
        <v>-0.191406769667783</v>
      </c>
    </row>
    <row r="568">
      <c r="A568" t="s">
        <v>30</v>
      </c>
      <c r="B568" t="s">
        <v>734</v>
      </c>
      <c r="C568" t="s">
        <v>736</v>
      </c>
      <c r="D568" t="s">
        <v>960</v>
      </c>
      <c r="E568" s="13" t="n">
        <v>1.19752762504199</v>
      </c>
      <c r="F568" s="16" t="n">
        <v>175.985045430371</v>
      </c>
      <c r="G568" s="14" t="n">
        <v>1.18578620636935</v>
      </c>
      <c r="H568" s="15" t="n">
        <v>-0.167282651589714</v>
      </c>
    </row>
    <row r="569">
      <c r="A569" t="s">
        <v>30</v>
      </c>
      <c r="B569" t="s">
        <v>737</v>
      </c>
      <c r="C569" t="s">
        <v>738</v>
      </c>
      <c r="D569" t="s">
        <v>960</v>
      </c>
      <c r="E569" s="13" t="n">
        <v>1.85047767492882</v>
      </c>
      <c r="F569" s="16" t="n">
        <v>64.6467681618509</v>
      </c>
      <c r="G569" s="14" t="n">
        <v>-1.17189561259156</v>
      </c>
      <c r="H569" s="15" t="n">
        <v>1.43210624556931</v>
      </c>
    </row>
    <row r="570">
      <c r="A570" t="s">
        <v>30</v>
      </c>
      <c r="B570" t="s">
        <v>737</v>
      </c>
      <c r="C570" t="s">
        <v>739</v>
      </c>
      <c r="D570" t="s">
        <v>960</v>
      </c>
      <c r="E570" s="13" t="n">
        <v>2.09869486665539</v>
      </c>
      <c r="F570" s="16" t="n">
        <v>137.213514865593</v>
      </c>
      <c r="G570" s="14" t="n">
        <v>0.161996970236694</v>
      </c>
      <c r="H570" s="15" t="n">
        <v>-2.09243330239217</v>
      </c>
    </row>
    <row r="571">
      <c r="A571" t="s">
        <v>31</v>
      </c>
      <c r="B571" t="s">
        <v>740</v>
      </c>
      <c r="C571" t="s">
        <v>741</v>
      </c>
      <c r="D571" t="s">
        <v>960</v>
      </c>
      <c r="E571" s="13" t="n">
        <v>0.75</v>
      </c>
      <c r="F571" s="16" t="n">
        <v>21</v>
      </c>
      <c r="G571" s="14" t="n">
        <v>0.557358619108046</v>
      </c>
      <c r="H571" s="15" t="n">
        <v>0.501847954769144</v>
      </c>
    </row>
    <row r="572">
      <c r="A572" t="s">
        <v>31</v>
      </c>
      <c r="B572" t="s">
        <v>740</v>
      </c>
      <c r="C572" t="s">
        <v>742</v>
      </c>
      <c r="D572" t="s">
        <v>960</v>
      </c>
      <c r="E572" s="13" t="n">
        <v>0.518736884733742</v>
      </c>
      <c r="F572" s="16" t="n">
        <v>151.832754782128</v>
      </c>
      <c r="G572" s="14" t="n">
        <v>0.287558427598049</v>
      </c>
      <c r="H572" s="15" t="n">
        <v>-0.431738469794626</v>
      </c>
    </row>
    <row r="573">
      <c r="A573" t="s">
        <v>30</v>
      </c>
      <c r="B573" t="s">
        <v>743</v>
      </c>
      <c r="C573" t="s">
        <v>744</v>
      </c>
      <c r="D573" t="s">
        <v>960</v>
      </c>
      <c r="E573" s="13" t="n">
        <v>1.12091196851824</v>
      </c>
      <c r="F573" s="16" t="n">
        <v>163.777912695263</v>
      </c>
      <c r="G573" s="14" t="n">
        <v>0.945953926473571</v>
      </c>
      <c r="H573" s="15" t="n">
        <v>-0.601344169470921</v>
      </c>
    </row>
    <row r="574">
      <c r="A574" t="s">
        <v>30</v>
      </c>
      <c r="B574" t="s">
        <v>743</v>
      </c>
      <c r="C574" t="s">
        <v>745</v>
      </c>
      <c r="D574" t="s">
        <v>960</v>
      </c>
      <c r="E574" s="13" t="n">
        <v>0.811166754010867</v>
      </c>
      <c r="F574" s="16" t="n">
        <v>20.2184997002135</v>
      </c>
      <c r="G574" s="14" t="n">
        <v>0.61739492994237</v>
      </c>
      <c r="H574" s="15" t="n">
        <v>0.526132115816914</v>
      </c>
    </row>
    <row r="575">
      <c r="A575" t="s">
        <v>30</v>
      </c>
      <c r="B575" t="s">
        <v>746</v>
      </c>
      <c r="C575" t="s">
        <v>747</v>
      </c>
      <c r="D575" t="s">
        <v>960</v>
      </c>
      <c r="E575" s="13" t="n">
        <v>2.48021343691628</v>
      </c>
      <c r="F575" s="16" t="n">
        <v>164.623393282966</v>
      </c>
      <c r="G575" s="14" t="n">
        <v>2.13144020393464</v>
      </c>
      <c r="H575" s="15" t="n">
        <v>-1.26823552611932</v>
      </c>
    </row>
    <row r="576">
      <c r="A576" t="s">
        <v>31</v>
      </c>
      <c r="B576" t="s">
        <v>748</v>
      </c>
      <c r="C576" t="s">
        <v>749</v>
      </c>
      <c r="D576" t="s">
        <v>960</v>
      </c>
      <c r="E576" s="13" t="n">
        <v>0.773848384598658</v>
      </c>
      <c r="F576" s="16" t="n">
        <v>52.4002434336508</v>
      </c>
      <c r="G576" s="14" t="n">
        <v>-0.197682644691906</v>
      </c>
      <c r="H576" s="15" t="n">
        <v>0.748173037694868</v>
      </c>
    </row>
    <row r="577">
      <c r="A577" t="s">
        <v>31</v>
      </c>
      <c r="B577" t="s">
        <v>748</v>
      </c>
      <c r="C577" t="s">
        <v>750</v>
      </c>
      <c r="D577" t="s">
        <v>960</v>
      </c>
      <c r="E577" s="13" t="n">
        <v>0.5</v>
      </c>
      <c r="F577" s="16" t="n">
        <v>141</v>
      </c>
      <c r="G577" s="14" t="n">
        <v>0.10395584540888</v>
      </c>
      <c r="H577" s="15" t="n">
        <v>-0.489073800366903</v>
      </c>
    </row>
    <row r="578">
      <c r="A578" t="s">
        <v>30</v>
      </c>
      <c r="B578" t="s">
        <v>751</v>
      </c>
      <c r="C578" t="s">
        <v>752</v>
      </c>
      <c r="D578" t="s">
        <v>960</v>
      </c>
      <c r="E578" s="13" t="n">
        <v>0.75</v>
      </c>
      <c r="F578" s="16" t="n">
        <v>14</v>
      </c>
      <c r="G578" s="14" t="n">
        <v>0.662210694644195</v>
      </c>
      <c r="H578" s="15" t="n">
        <v>0.352103672089418</v>
      </c>
    </row>
    <row r="579">
      <c r="A579" t="s">
        <v>30</v>
      </c>
      <c r="B579" t="s">
        <v>753</v>
      </c>
      <c r="C579" t="s">
        <v>754</v>
      </c>
      <c r="D579" t="s">
        <v>960</v>
      </c>
      <c r="E579" s="13" t="n">
        <v>0.955680516478539</v>
      </c>
      <c r="F579" s="16" t="n">
        <v>26.6556970406381</v>
      </c>
      <c r="G579" s="14" t="n">
        <v>0.57098631982863</v>
      </c>
      <c r="H579" s="15" t="n">
        <v>0.766354925700386</v>
      </c>
    </row>
    <row r="580">
      <c r="A580" t="s">
        <v>30</v>
      </c>
      <c r="B580" t="s">
        <v>753</v>
      </c>
      <c r="C580" t="s">
        <v>755</v>
      </c>
      <c r="D580" t="s">
        <v>960</v>
      </c>
      <c r="E580" s="13" t="n">
        <v>1.16885750979548</v>
      </c>
      <c r="F580" s="16" t="n">
        <v>141.279268028706</v>
      </c>
      <c r="G580" s="14" t="n">
        <v>0.254152789273964</v>
      </c>
      <c r="H580" s="15" t="n">
        <v>-1.14089186074297</v>
      </c>
    </row>
    <row r="581">
      <c r="A581" t="s">
        <v>30</v>
      </c>
      <c r="B581" t="s">
        <v>756</v>
      </c>
      <c r="C581" t="s">
        <v>757</v>
      </c>
      <c r="D581" t="s">
        <v>960</v>
      </c>
      <c r="E581" s="13" t="n">
        <v>0.97168772603458</v>
      </c>
      <c r="F581" s="16" t="n">
        <v>14.8624243435202</v>
      </c>
      <c r="G581" s="14" t="n">
        <v>0.843829709123602</v>
      </c>
      <c r="H581" s="15" t="n">
        <v>0.481797113862911</v>
      </c>
    </row>
    <row r="582">
      <c r="A582" t="s">
        <v>31</v>
      </c>
      <c r="B582" t="s">
        <v>758</v>
      </c>
      <c r="C582" t="s">
        <v>759</v>
      </c>
      <c r="D582" t="s">
        <v>960</v>
      </c>
      <c r="E582" s="13" t="n">
        <v>0.25</v>
      </c>
      <c r="F582" s="16" t="n">
        <v>119</v>
      </c>
      <c r="G582" s="14" t="n">
        <v>-0.132479816058301</v>
      </c>
      <c r="H582" s="15" t="n">
        <v>-0.212012024039107</v>
      </c>
    </row>
    <row r="583">
      <c r="A583" t="s">
        <v>30</v>
      </c>
      <c r="B583" t="s">
        <v>760</v>
      </c>
      <c r="C583" t="s">
        <v>761</v>
      </c>
      <c r="D583" t="s">
        <v>960</v>
      </c>
      <c r="E583" s="13" t="n">
        <v>3.44641962965875</v>
      </c>
      <c r="F583" s="16" t="n">
        <v>175.133624495969</v>
      </c>
      <c r="G583" s="14" t="n">
        <v>3.39681530280346</v>
      </c>
      <c r="H583" s="15" t="n">
        <v>-0.582626863727867</v>
      </c>
    </row>
    <row r="584">
      <c r="A584" t="s">
        <v>30</v>
      </c>
      <c r="B584" t="s">
        <v>760</v>
      </c>
      <c r="C584" t="s">
        <v>762</v>
      </c>
      <c r="D584" t="s">
        <v>960</v>
      </c>
      <c r="E584" s="13" t="n">
        <v>2.62211390552217</v>
      </c>
      <c r="F584" s="16" t="n">
        <v>6.05800064117907</v>
      </c>
      <c r="G584" s="14" t="n">
        <v>2.56370541991788</v>
      </c>
      <c r="H584" s="15" t="n">
        <v>0.550359749088216</v>
      </c>
    </row>
    <row r="585">
      <c r="A585" t="s">
        <v>31</v>
      </c>
      <c r="B585" t="s">
        <v>763</v>
      </c>
      <c r="C585" t="s">
        <v>764</v>
      </c>
      <c r="D585" t="s">
        <v>960</v>
      </c>
      <c r="E585" s="13" t="n">
        <v>0.171010071662834</v>
      </c>
      <c r="F585" s="16" t="n">
        <v>168</v>
      </c>
      <c r="G585" s="14" t="n">
        <v>0.156225474178718</v>
      </c>
      <c r="H585" s="15" t="n">
        <v>-0.0695560624802933</v>
      </c>
    </row>
    <row r="586">
      <c r="A586" t="s">
        <v>31</v>
      </c>
      <c r="B586" t="s">
        <v>765</v>
      </c>
      <c r="C586" t="s">
        <v>766</v>
      </c>
      <c r="D586" t="s">
        <v>960</v>
      </c>
      <c r="E586" s="13" t="n">
        <v>0.522125719731641</v>
      </c>
      <c r="F586" s="16" t="n">
        <v>167.712700070341</v>
      </c>
      <c r="G586" s="14" t="n">
        <v>0.474831866343163</v>
      </c>
      <c r="H586" s="15" t="n">
        <v>-0.217140429009323</v>
      </c>
    </row>
    <row r="587">
      <c r="A587" t="s">
        <v>31</v>
      </c>
      <c r="B587" t="s">
        <v>765</v>
      </c>
      <c r="C587" t="s">
        <v>767</v>
      </c>
      <c r="D587" t="s">
        <v>960</v>
      </c>
      <c r="E587" s="13" t="n">
        <v>0.603740930431155</v>
      </c>
      <c r="F587" s="16" t="n">
        <v>13.6647899609804</v>
      </c>
      <c r="G587" s="14" t="n">
        <v>0.536351566165419</v>
      </c>
      <c r="H587" s="15" t="n">
        <v>0.277182446323316</v>
      </c>
    </row>
    <row r="588">
      <c r="A588" t="s">
        <v>31</v>
      </c>
      <c r="B588" t="s">
        <v>768</v>
      </c>
      <c r="C588" t="s">
        <v>769</v>
      </c>
      <c r="D588" t="s">
        <v>960</v>
      </c>
      <c r="E588" s="13" t="n">
        <v>1.14803478587973</v>
      </c>
      <c r="F588" s="16" t="n">
        <v>131.776722239967</v>
      </c>
      <c r="G588" s="14" t="n">
        <v>-0.128897188231649</v>
      </c>
      <c r="H588" s="15" t="n">
        <v>-1.14077578185018</v>
      </c>
    </row>
    <row r="589">
      <c r="A589" t="s">
        <v>31</v>
      </c>
      <c r="B589" t="s">
        <v>768</v>
      </c>
      <c r="C589" t="s">
        <v>770</v>
      </c>
      <c r="D589" t="s">
        <v>960</v>
      </c>
      <c r="E589" s="13" t="n">
        <v>0.751823817337455</v>
      </c>
      <c r="F589" s="16" t="n">
        <v>54.0040475184305</v>
      </c>
      <c r="G589" s="14" t="n">
        <v>-0.2324273566284</v>
      </c>
      <c r="H589" s="15" t="n">
        <v>0.714994109211116</v>
      </c>
    </row>
    <row r="590">
      <c r="A590" t="s">
        <v>30</v>
      </c>
      <c r="B590" t="s">
        <v>771</v>
      </c>
      <c r="C590" t="s">
        <v>772</v>
      </c>
      <c r="D590" t="s">
        <v>960</v>
      </c>
      <c r="E590" s="13" t="n">
        <v>1.72205217881959</v>
      </c>
      <c r="F590" s="16" t="n">
        <v>86.7767222399672</v>
      </c>
      <c r="G590" s="14" t="n">
        <v>-1.71116367277527</v>
      </c>
      <c r="H590" s="15" t="n">
        <v>0.193345782347473</v>
      </c>
    </row>
    <row r="591">
      <c r="A591" t="s">
        <v>30</v>
      </c>
      <c r="B591" t="s">
        <v>771</v>
      </c>
      <c r="C591" t="s">
        <v>773</v>
      </c>
      <c r="D591" t="s">
        <v>960</v>
      </c>
      <c r="E591" s="13" t="n">
        <v>1.52923353660853</v>
      </c>
      <c r="F591" s="16" t="n">
        <v>93.0548174440788</v>
      </c>
      <c r="G591" s="14" t="n">
        <v>-1.52054758287277</v>
      </c>
      <c r="H591" s="15" t="n">
        <v>-0.162758279998327</v>
      </c>
    </row>
    <row r="592">
      <c r="A592" t="s">
        <v>30</v>
      </c>
      <c r="B592" t="s">
        <v>774</v>
      </c>
      <c r="C592" t="s">
        <v>775</v>
      </c>
      <c r="D592" t="s">
        <v>960</v>
      </c>
      <c r="E592" s="13" t="n">
        <v>0.309828418731869</v>
      </c>
      <c r="F592" s="16" t="n">
        <v>102.896988443498</v>
      </c>
      <c r="G592" s="14" t="n">
        <v>-0.278958515294816</v>
      </c>
      <c r="H592" s="15" t="n">
        <v>-0.134817639047723</v>
      </c>
    </row>
    <row r="593">
      <c r="A593" t="s">
        <v>31</v>
      </c>
      <c r="B593" t="s">
        <v>776</v>
      </c>
      <c r="C593" t="s">
        <v>777</v>
      </c>
      <c r="D593" t="s">
        <v>960</v>
      </c>
      <c r="E593" s="13" t="n">
        <v>0.25</v>
      </c>
      <c r="F593" s="16" t="n">
        <v>4.00000000000001</v>
      </c>
      <c r="G593" s="14" t="n">
        <v>0.247567017185393</v>
      </c>
      <c r="H593" s="15" t="n">
        <v>0.0347932752400164</v>
      </c>
    </row>
    <row r="594">
      <c r="A594" t="s">
        <v>30</v>
      </c>
      <c r="B594" t="s">
        <v>778</v>
      </c>
      <c r="C594" t="s">
        <v>779</v>
      </c>
      <c r="D594" t="s">
        <v>960</v>
      </c>
      <c r="E594" s="13" t="n">
        <v>0.75</v>
      </c>
      <c r="F594" s="16" t="n">
        <v>168</v>
      </c>
      <c r="G594" s="14" t="n">
        <v>0.685159093231951</v>
      </c>
      <c r="H594" s="15" t="n">
        <v>-0.30505248230685</v>
      </c>
    </row>
    <row r="595">
      <c r="A595" t="s">
        <v>30</v>
      </c>
      <c r="B595" t="s">
        <v>778</v>
      </c>
      <c r="C595" t="s">
        <v>780</v>
      </c>
      <c r="D595" t="s">
        <v>960</v>
      </c>
      <c r="E595" s="13" t="n">
        <v>0.75</v>
      </c>
      <c r="F595" s="16" t="n">
        <v>17</v>
      </c>
      <c r="G595" s="14" t="n">
        <v>0.621778179416281</v>
      </c>
      <c r="H595" s="15" t="n">
        <v>0.41939467760306</v>
      </c>
    </row>
    <row r="596">
      <c r="A596" t="s">
        <v>31</v>
      </c>
      <c r="B596" t="s">
        <v>781</v>
      </c>
      <c r="C596" t="s">
        <v>782</v>
      </c>
      <c r="D596" t="s">
        <v>960</v>
      </c>
      <c r="E596" s="13" t="n">
        <v>0.45914686019949</v>
      </c>
      <c r="F596" s="16" t="n">
        <v>109.914550014453</v>
      </c>
      <c r="G596" s="14" t="n">
        <v>-0.352605650638417</v>
      </c>
      <c r="H596" s="15" t="n">
        <v>-0.294083481972226</v>
      </c>
    </row>
    <row r="597">
      <c r="A597" t="s">
        <v>31</v>
      </c>
      <c r="B597" t="s">
        <v>781</v>
      </c>
      <c r="C597" t="s">
        <v>783</v>
      </c>
      <c r="D597" t="s">
        <v>960</v>
      </c>
      <c r="E597" s="13" t="n">
        <v>0.25</v>
      </c>
      <c r="F597" s="16" t="n">
        <v>85</v>
      </c>
      <c r="G597" s="14" t="n">
        <v>-0.246201938253052</v>
      </c>
      <c r="H597" s="15" t="n">
        <v>0.0434120444167327</v>
      </c>
    </row>
    <row r="598">
      <c r="A598" t="s">
        <v>31</v>
      </c>
      <c r="B598" t="s">
        <v>784</v>
      </c>
      <c r="C598" t="s">
        <v>785</v>
      </c>
      <c r="D598" t="s">
        <v>960</v>
      </c>
      <c r="E598" s="13" t="n">
        <v>0.661437827766148</v>
      </c>
      <c r="F598" s="16" t="n">
        <v>138.553302675435</v>
      </c>
      <c r="G598" s="14" t="n">
        <v>0.0818303609604691</v>
      </c>
      <c r="H598" s="15" t="n">
        <v>-0.656356451956617</v>
      </c>
    </row>
    <row r="599">
      <c r="A599" t="s">
        <v>31</v>
      </c>
      <c r="B599" t="s">
        <v>784</v>
      </c>
      <c r="C599" t="s">
        <v>786</v>
      </c>
      <c r="D599" t="s">
        <v>960</v>
      </c>
      <c r="E599" s="13" t="n">
        <v>0.502050086382721</v>
      </c>
      <c r="F599" s="16" t="n">
        <v>62.5081798640842</v>
      </c>
      <c r="G599" s="14" t="n">
        <v>-0.288081513879494</v>
      </c>
      <c r="H599" s="15" t="n">
        <v>0.411173115120379</v>
      </c>
    </row>
    <row r="600">
      <c r="A600" t="s">
        <v>31</v>
      </c>
      <c r="B600" t="s">
        <v>787</v>
      </c>
      <c r="C600" t="s">
        <v>788</v>
      </c>
      <c r="D600" t="s">
        <v>960</v>
      </c>
      <c r="E600" s="13" t="n">
        <v>0.5</v>
      </c>
      <c r="F600" s="16" t="n">
        <v>5.00000000000001</v>
      </c>
      <c r="G600" s="14" t="n">
        <v>0.492403876506104</v>
      </c>
      <c r="H600" s="15" t="n">
        <v>0.0868240888334653</v>
      </c>
    </row>
    <row r="601">
      <c r="A601" t="s">
        <v>31</v>
      </c>
      <c r="B601" t="s">
        <v>787</v>
      </c>
      <c r="C601" t="s">
        <v>789</v>
      </c>
      <c r="D601" t="s">
        <v>960</v>
      </c>
      <c r="E601" s="13" t="n">
        <v>1.00303661799384</v>
      </c>
      <c r="F601" s="16" t="n">
        <v>6.99393570982883</v>
      </c>
      <c r="G601" s="14" t="n">
        <v>0.973293488352301</v>
      </c>
      <c r="H601" s="15" t="n">
        <v>0.242450495086168</v>
      </c>
    </row>
    <row r="602">
      <c r="A602" t="s">
        <v>31</v>
      </c>
      <c r="B602" t="s">
        <v>790</v>
      </c>
      <c r="C602" t="s">
        <v>791</v>
      </c>
      <c r="D602" t="s">
        <v>960</v>
      </c>
      <c r="E602" s="13" t="n">
        <v>0.5</v>
      </c>
      <c r="F602" s="16" t="n">
        <v>101</v>
      </c>
      <c r="G602" s="14" t="n">
        <v>-0.463591927283394</v>
      </c>
      <c r="H602" s="15" t="n">
        <v>-0.187303296707956</v>
      </c>
    </row>
    <row r="603">
      <c r="A603" t="s">
        <v>31</v>
      </c>
      <c r="B603" t="s">
        <v>790</v>
      </c>
      <c r="C603" t="s">
        <v>792</v>
      </c>
      <c r="D603" t="s">
        <v>960</v>
      </c>
      <c r="E603" s="13" t="n">
        <v>0.406882890924258</v>
      </c>
      <c r="F603" s="16" t="n">
        <v>92.903573953713</v>
      </c>
      <c r="G603" s="14" t="n">
        <v>-0.404794806116861</v>
      </c>
      <c r="H603" s="15" t="n">
        <v>-0.0411685786455515</v>
      </c>
    </row>
    <row r="604">
      <c r="A604" t="s">
        <v>31</v>
      </c>
      <c r="B604" t="s">
        <v>793</v>
      </c>
      <c r="C604" t="s">
        <v>794</v>
      </c>
      <c r="D604" t="s">
        <v>960</v>
      </c>
      <c r="E604" s="13" t="n">
        <v>1.33153863997483</v>
      </c>
      <c r="F604" s="16" t="n">
        <v>156.252952897844</v>
      </c>
      <c r="G604" s="14" t="n">
        <v>0.899675652113511</v>
      </c>
      <c r="H604" s="15" t="n">
        <v>-0.981620532965841</v>
      </c>
    </row>
    <row r="605">
      <c r="A605" t="s">
        <v>31</v>
      </c>
      <c r="B605" t="s">
        <v>793</v>
      </c>
      <c r="C605" t="s">
        <v>795</v>
      </c>
      <c r="D605" t="s">
        <v>960</v>
      </c>
      <c r="E605" s="13" t="n">
        <v>0.617583467196337</v>
      </c>
      <c r="F605" s="16" t="n">
        <v>179.550055104995</v>
      </c>
      <c r="G605" s="14" t="n">
        <v>0.617507296114808</v>
      </c>
      <c r="H605" s="15" t="n">
        <v>-0.00969939169372478</v>
      </c>
    </row>
    <row r="606">
      <c r="A606" t="s">
        <v>30</v>
      </c>
      <c r="B606" t="s">
        <v>796</v>
      </c>
      <c r="C606" t="s">
        <v>797</v>
      </c>
      <c r="D606" t="s">
        <v>960</v>
      </c>
      <c r="E606" s="13" t="n">
        <v>0.711937619825365</v>
      </c>
      <c r="F606" s="16" t="n">
        <v>14.0150795917093</v>
      </c>
      <c r="G606" s="14" t="n">
        <v>0.628427587261303</v>
      </c>
      <c r="H606" s="15" t="n">
        <v>0.334565303179429</v>
      </c>
    </row>
    <row r="607">
      <c r="A607" t="s">
        <v>30</v>
      </c>
      <c r="B607" t="s">
        <v>796</v>
      </c>
      <c r="C607" t="s">
        <v>798</v>
      </c>
      <c r="D607" t="s">
        <v>960</v>
      </c>
      <c r="E607" s="13" t="n">
        <v>0.55405953104458</v>
      </c>
      <c r="F607" s="16" t="n">
        <v>2.91693656794804</v>
      </c>
      <c r="G607" s="14" t="n">
        <v>0.551189940776433</v>
      </c>
      <c r="H607" s="15" t="n">
        <v>0.0563170767015859</v>
      </c>
    </row>
    <row r="608">
      <c r="A608" t="s">
        <v>31</v>
      </c>
      <c r="B608" t="s">
        <v>799</v>
      </c>
      <c r="C608" t="s">
        <v>800</v>
      </c>
      <c r="D608" t="s">
        <v>960</v>
      </c>
      <c r="E608" s="13" t="n">
        <v>0.25</v>
      </c>
      <c r="F608" s="16" t="n">
        <v>96</v>
      </c>
      <c r="G608" s="14" t="n">
        <v>-0.244536900183451</v>
      </c>
      <c r="H608" s="15" t="n">
        <v>-0.0519779227044398</v>
      </c>
    </row>
    <row r="609">
      <c r="A609" t="s">
        <v>30</v>
      </c>
      <c r="B609" t="s">
        <v>801</v>
      </c>
      <c r="C609" t="s">
        <v>802</v>
      </c>
      <c r="D609" t="s">
        <v>960</v>
      </c>
      <c r="E609" s="13" t="n">
        <v>0.0609346717025738</v>
      </c>
      <c r="F609" s="16" t="n">
        <v>170.5</v>
      </c>
      <c r="G609" s="14" t="n">
        <v>0.0576148639928296</v>
      </c>
      <c r="H609" s="15" t="n">
        <v>-0.0198383886086597</v>
      </c>
    </row>
    <row r="610">
      <c r="A610" t="s">
        <v>30</v>
      </c>
      <c r="B610" t="s">
        <v>801</v>
      </c>
      <c r="C610" t="s">
        <v>803</v>
      </c>
      <c r="D610" t="s">
        <v>960</v>
      </c>
      <c r="E610" s="13" t="n">
        <v>0.332032756526014</v>
      </c>
      <c r="F610" s="16" t="n">
        <v>46.866150723851</v>
      </c>
      <c r="G610" s="14" t="n">
        <v>-0.0216136355893497</v>
      </c>
      <c r="H610" s="15" t="n">
        <v>0.331328541123269</v>
      </c>
    </row>
    <row r="611">
      <c r="A611" t="s">
        <v>30</v>
      </c>
      <c r="B611" t="s">
        <v>804</v>
      </c>
      <c r="C611" t="s">
        <v>805</v>
      </c>
      <c r="D611" t="s">
        <v>960</v>
      </c>
      <c r="E611" s="13" t="n">
        <v>0.996966108601366</v>
      </c>
      <c r="F611" s="16" t="n">
        <v>152.440528835142</v>
      </c>
      <c r="G611" s="14" t="n">
        <v>0.570139689315495</v>
      </c>
      <c r="H611" s="15" t="n">
        <v>-0.817852160458711</v>
      </c>
    </row>
    <row r="612">
      <c r="A612" t="s">
        <v>31</v>
      </c>
      <c r="B612" t="s">
        <v>806</v>
      </c>
      <c r="C612" t="s">
        <v>807</v>
      </c>
      <c r="D612" t="s">
        <v>960</v>
      </c>
      <c r="E612" s="13" t="n">
        <v>0.252724209679112</v>
      </c>
      <c r="F612" s="16" t="n">
        <v>69.0324549373814</v>
      </c>
      <c r="G612" s="14" t="n">
        <v>-0.188002146241364</v>
      </c>
      <c r="H612" s="15" t="n">
        <v>0.168892626146236</v>
      </c>
    </row>
    <row r="613">
      <c r="A613" t="s">
        <v>31</v>
      </c>
      <c r="B613" t="s">
        <v>806</v>
      </c>
      <c r="C613" t="s">
        <v>808</v>
      </c>
      <c r="D613" t="s">
        <v>960</v>
      </c>
      <c r="E613" s="13" t="n">
        <v>0.273378621926096</v>
      </c>
      <c r="F613" s="16" t="n">
        <v>102.792557417655</v>
      </c>
      <c r="G613" s="14" t="n">
        <v>-0.246572412738697</v>
      </c>
      <c r="H613" s="15" t="n">
        <v>-0.118058952233319</v>
      </c>
    </row>
    <row r="614">
      <c r="A614" t="s">
        <v>30</v>
      </c>
      <c r="B614" t="s">
        <v>809</v>
      </c>
      <c r="C614" t="s">
        <v>810</v>
      </c>
      <c r="D614" t="s">
        <v>960</v>
      </c>
      <c r="E614" s="13" t="n">
        <v>1.36042415940976</v>
      </c>
      <c r="F614" s="16" t="n">
        <v>3.83686867713337</v>
      </c>
      <c r="G614" s="14" t="n">
        <v>1.3482408955535</v>
      </c>
      <c r="H614" s="15" t="n">
        <v>0.181660070083801</v>
      </c>
    </row>
    <row r="615">
      <c r="A615" t="s">
        <v>31</v>
      </c>
      <c r="B615" t="s">
        <v>811</v>
      </c>
      <c r="C615" t="s">
        <v>812</v>
      </c>
      <c r="D615" t="s">
        <v>960</v>
      </c>
      <c r="E615" s="13" t="n">
        <v>0.480630847969159</v>
      </c>
      <c r="F615" s="16" t="n">
        <v>9</v>
      </c>
      <c r="G615" s="14" t="n">
        <v>0.457107099893534</v>
      </c>
      <c r="H615" s="15" t="n">
        <v>0.148523100043312</v>
      </c>
    </row>
    <row r="616">
      <c r="A616" t="s">
        <v>30</v>
      </c>
      <c r="B616" t="s">
        <v>813</v>
      </c>
      <c r="C616" t="s">
        <v>814</v>
      </c>
      <c r="D616" t="s">
        <v>960</v>
      </c>
      <c r="E616" s="13" t="n">
        <v>0.75</v>
      </c>
      <c r="F616" s="16" t="n">
        <v>171</v>
      </c>
      <c r="G616" s="14" t="n">
        <v>0.713292387221365</v>
      </c>
      <c r="H616" s="15" t="n">
        <v>-0.231762745781211</v>
      </c>
    </row>
    <row r="617">
      <c r="A617" t="s">
        <v>30</v>
      </c>
      <c r="B617" t="s">
        <v>813</v>
      </c>
      <c r="C617" t="s">
        <v>815</v>
      </c>
      <c r="D617" t="s">
        <v>960</v>
      </c>
      <c r="E617" s="13" t="n">
        <v>0.389619169931826</v>
      </c>
      <c r="F617" s="16" t="n">
        <v>171.279268028706</v>
      </c>
      <c r="G617" s="14" t="n">
        <v>0.37170590967043</v>
      </c>
      <c r="H617" s="15" t="n">
        <v>-0.116781052805852</v>
      </c>
    </row>
    <row r="618">
      <c r="A618" t="s">
        <v>31</v>
      </c>
      <c r="B618" t="s">
        <v>816</v>
      </c>
      <c r="C618" t="s">
        <v>817</v>
      </c>
      <c r="D618" t="s">
        <v>960</v>
      </c>
      <c r="E618" s="13" t="n">
        <v>0.290023508683951</v>
      </c>
      <c r="F618" s="16" t="n">
        <v>164.737788547731</v>
      </c>
      <c r="G618" s="14" t="n">
        <v>0.249829944937105</v>
      </c>
      <c r="H618" s="15" t="n">
        <v>-0.147304562733382</v>
      </c>
    </row>
    <row r="619">
      <c r="A619" t="s">
        <v>31</v>
      </c>
      <c r="B619" t="s">
        <v>816</v>
      </c>
      <c r="C619" t="s">
        <v>818</v>
      </c>
      <c r="D619" t="s">
        <v>960</v>
      </c>
      <c r="E619" s="13" t="n">
        <v>0.0522642316338267</v>
      </c>
      <c r="F619" s="16" t="n">
        <v>44</v>
      </c>
      <c r="G619" s="14" t="n">
        <v>0.0018239953795635</v>
      </c>
      <c r="H619" s="15" t="n">
        <v>0.0522323936760476</v>
      </c>
    </row>
    <row r="620">
      <c r="A620" t="s">
        <v>31</v>
      </c>
      <c r="B620" t="s">
        <v>819</v>
      </c>
      <c r="C620" t="s">
        <v>820</v>
      </c>
      <c r="D620" t="s">
        <v>960</v>
      </c>
      <c r="E620" s="13" t="n">
        <v>0.730944108089069</v>
      </c>
      <c r="F620" s="16" t="n">
        <v>84.3090284110738</v>
      </c>
      <c r="G620" s="14" t="n">
        <v>-0.716568935739265</v>
      </c>
      <c r="H620" s="15" t="n">
        <v>0.144250648122019</v>
      </c>
    </row>
    <row r="621">
      <c r="A621" t="s">
        <v>31</v>
      </c>
      <c r="B621" t="s">
        <v>819</v>
      </c>
      <c r="C621" t="s">
        <v>821</v>
      </c>
      <c r="D621" t="s">
        <v>960</v>
      </c>
      <c r="E621" s="13" t="n">
        <v>1.02227699360239</v>
      </c>
      <c r="F621" s="16" t="n">
        <v>82.0732819433461</v>
      </c>
      <c r="G621" s="14" t="n">
        <v>-0.983393294480911</v>
      </c>
      <c r="H621" s="15" t="n">
        <v>0.279263101785269</v>
      </c>
    </row>
    <row r="622">
      <c r="A622" t="s">
        <v>31</v>
      </c>
      <c r="B622" t="s">
        <v>822</v>
      </c>
      <c r="C622" t="s">
        <v>823</v>
      </c>
      <c r="D622" t="s">
        <v>960</v>
      </c>
      <c r="E622" s="13" t="n">
        <v>0.567114298099946</v>
      </c>
      <c r="F622" s="16" t="n">
        <v>85.49130095293</v>
      </c>
      <c r="G622" s="14" t="n">
        <v>-0.560105215156857</v>
      </c>
      <c r="H622" s="15" t="n">
        <v>0.0888863041389746</v>
      </c>
    </row>
    <row r="623">
      <c r="A623" t="s">
        <v>31</v>
      </c>
      <c r="B623" t="s">
        <v>822</v>
      </c>
      <c r="C623" t="s">
        <v>824</v>
      </c>
      <c r="D623" t="s">
        <v>960</v>
      </c>
      <c r="E623" s="13" t="n">
        <v>0.252724209679112</v>
      </c>
      <c r="F623" s="16" t="n">
        <v>77.0324549373813</v>
      </c>
      <c r="G623" s="14" t="n">
        <v>-0.227272378823955</v>
      </c>
      <c r="H623" s="15" t="n">
        <v>0.110529597762918</v>
      </c>
    </row>
    <row r="624">
      <c r="A624" t="s">
        <v>31</v>
      </c>
      <c r="B624" t="s">
        <v>825</v>
      </c>
      <c r="C624" t="s">
        <v>826</v>
      </c>
      <c r="D624" t="s">
        <v>960</v>
      </c>
      <c r="E624" s="13" t="n">
        <v>1.16885750979548</v>
      </c>
      <c r="F624" s="16" t="n">
        <v>7.72073197129393</v>
      </c>
      <c r="G624" s="14" t="n">
        <v>1.12666522932219</v>
      </c>
      <c r="H624" s="15" t="n">
        <v>0.311212691324874</v>
      </c>
    </row>
    <row r="625">
      <c r="A625" t="s">
        <v>31</v>
      </c>
      <c r="B625" t="s">
        <v>825</v>
      </c>
      <c r="C625" t="s">
        <v>827</v>
      </c>
      <c r="D625" t="s">
        <v>960</v>
      </c>
      <c r="E625" s="13" t="n">
        <v>0.78300892514097</v>
      </c>
      <c r="F625" s="16" t="n">
        <v>14.9771285987107</v>
      </c>
      <c r="G625" s="14" t="n">
        <v>0.678417966909453</v>
      </c>
      <c r="H625" s="15" t="n">
        <v>0.390962963750866</v>
      </c>
    </row>
    <row r="626">
      <c r="A626" t="s">
        <v>30</v>
      </c>
      <c r="B626" t="s">
        <v>828</v>
      </c>
      <c r="C626" t="s">
        <v>829</v>
      </c>
      <c r="D626" t="s">
        <v>960</v>
      </c>
      <c r="E626" s="13" t="n">
        <v>0.756842181131559</v>
      </c>
      <c r="F626" s="16" t="n">
        <v>8.54658355721605</v>
      </c>
      <c r="G626" s="14" t="n">
        <v>0.723411004447409</v>
      </c>
      <c r="H626" s="15" t="n">
        <v>0.222455851315192</v>
      </c>
    </row>
    <row r="627">
      <c r="A627" t="s">
        <v>30</v>
      </c>
      <c r="B627" t="s">
        <v>830</v>
      </c>
      <c r="C627" t="s">
        <v>831</v>
      </c>
      <c r="D627" t="s">
        <v>960</v>
      </c>
      <c r="E627" s="13" t="n">
        <v>1.6656068283044</v>
      </c>
      <c r="F627" s="16" t="n">
        <v>10.3963318549169</v>
      </c>
      <c r="G627" s="14" t="n">
        <v>1.55712775018295</v>
      </c>
      <c r="H627" s="15" t="n">
        <v>0.591269207810152</v>
      </c>
    </row>
    <row r="628">
      <c r="A628" t="s">
        <v>30</v>
      </c>
      <c r="B628" t="s">
        <v>830</v>
      </c>
      <c r="C628" t="s">
        <v>832</v>
      </c>
      <c r="D628" t="s">
        <v>960</v>
      </c>
      <c r="E628" s="13" t="n">
        <v>1</v>
      </c>
      <c r="F628" s="16" t="n">
        <v>4.00000000000001</v>
      </c>
      <c r="G628" s="14" t="n">
        <v>0.99026806874157</v>
      </c>
      <c r="H628" s="15" t="n">
        <v>0.139173100960066</v>
      </c>
    </row>
    <row r="629">
      <c r="A629" t="s">
        <v>30</v>
      </c>
      <c r="B629" t="s">
        <v>833</v>
      </c>
      <c r="C629" t="s">
        <v>834</v>
      </c>
      <c r="D629" t="s">
        <v>960</v>
      </c>
      <c r="E629" s="13" t="n">
        <v>0.756842181131559</v>
      </c>
      <c r="F629" s="16" t="n">
        <v>142.453416442784</v>
      </c>
      <c r="G629" s="14" t="n">
        <v>0.194696166028268</v>
      </c>
      <c r="H629" s="15" t="n">
        <v>-0.731370966113551</v>
      </c>
    </row>
    <row r="630">
      <c r="A630" t="s">
        <v>30</v>
      </c>
      <c r="B630" t="s">
        <v>833</v>
      </c>
      <c r="C630" t="s">
        <v>835</v>
      </c>
      <c r="D630" t="s">
        <v>960</v>
      </c>
      <c r="E630" s="13" t="n">
        <v>0.811166754010867</v>
      </c>
      <c r="F630" s="16" t="n">
        <v>23.7815002997865</v>
      </c>
      <c r="G630" s="14" t="n">
        <v>0.547358382669236</v>
      </c>
      <c r="H630" s="15" t="n">
        <v>0.59865708359147</v>
      </c>
    </row>
    <row r="631">
      <c r="A631" t="s">
        <v>31</v>
      </c>
      <c r="B631" t="s">
        <v>836</v>
      </c>
      <c r="C631" t="s">
        <v>837</v>
      </c>
      <c r="D631" t="s">
        <v>960</v>
      </c>
      <c r="E631" s="13" t="n">
        <v>0.762803481921026</v>
      </c>
      <c r="F631" s="16" t="n">
        <v>165.408504106056</v>
      </c>
      <c r="G631" s="14" t="n">
        <v>0.665978440457208</v>
      </c>
      <c r="H631" s="15" t="n">
        <v>-0.371943367835784</v>
      </c>
    </row>
    <row r="632">
      <c r="A632" t="s">
        <v>31</v>
      </c>
      <c r="B632" t="s">
        <v>836</v>
      </c>
      <c r="C632" t="s">
        <v>838</v>
      </c>
      <c r="D632" t="s">
        <v>960</v>
      </c>
      <c r="E632" s="13" t="n">
        <v>0.678683151370429</v>
      </c>
      <c r="F632" s="16" t="n">
        <v>178.332825703013</v>
      </c>
      <c r="G632" s="14" t="n">
        <v>0.677534227537007</v>
      </c>
      <c r="H632" s="15" t="n">
        <v>-0.0394739213903027</v>
      </c>
    </row>
    <row r="633">
      <c r="A633" t="s">
        <v>31</v>
      </c>
      <c r="B633" t="s">
        <v>839</v>
      </c>
      <c r="C633" t="s">
        <v>840</v>
      </c>
      <c r="D633" t="s">
        <v>960</v>
      </c>
      <c r="E633" s="13" t="n">
        <v>1.39864203431248</v>
      </c>
      <c r="F633" s="16" t="n">
        <v>10.3593720138992</v>
      </c>
      <c r="G633" s="14" t="n">
        <v>1.30818953674867</v>
      </c>
      <c r="H633" s="15" t="n">
        <v>0.494812768718676</v>
      </c>
    </row>
    <row r="634">
      <c r="A634" t="s">
        <v>30</v>
      </c>
      <c r="B634" t="s">
        <v>841</v>
      </c>
      <c r="C634" t="s">
        <v>842</v>
      </c>
      <c r="D634" t="s">
        <v>960</v>
      </c>
      <c r="E634" s="13" t="n">
        <v>0.25</v>
      </c>
      <c r="F634" s="16" t="n">
        <v>175</v>
      </c>
      <c r="G634" s="14" t="n">
        <v>0.246201938253052</v>
      </c>
      <c r="H634" s="15" t="n">
        <v>-0.0434120444167326</v>
      </c>
    </row>
    <row r="635">
      <c r="A635" t="s">
        <v>30</v>
      </c>
      <c r="B635" t="s">
        <v>841</v>
      </c>
      <c r="C635" t="s">
        <v>843</v>
      </c>
      <c r="D635" t="s">
        <v>960</v>
      </c>
      <c r="E635" s="13" t="n">
        <v>0.25</v>
      </c>
      <c r="F635" s="16" t="n">
        <v>1</v>
      </c>
      <c r="G635" s="14" t="n">
        <v>0.249847706754774</v>
      </c>
      <c r="H635" s="15" t="n">
        <v>0.00872487417562528</v>
      </c>
    </row>
    <row r="636">
      <c r="A636" t="s">
        <v>30</v>
      </c>
      <c r="B636" t="s">
        <v>844</v>
      </c>
      <c r="C636" t="s">
        <v>845</v>
      </c>
      <c r="D636" t="s">
        <v>960</v>
      </c>
      <c r="E636" s="13" t="n">
        <v>0.25</v>
      </c>
      <c r="F636" s="16" t="n">
        <v>55</v>
      </c>
      <c r="G636" s="14" t="n">
        <v>-0.0855050358314172</v>
      </c>
      <c r="H636" s="15" t="n">
        <v>0.234923155196477</v>
      </c>
    </row>
    <row r="637">
      <c r="A637" t="s">
        <v>30</v>
      </c>
      <c r="B637" t="s">
        <v>846</v>
      </c>
      <c r="C637" t="s">
        <v>847</v>
      </c>
      <c r="D637" t="s">
        <v>960</v>
      </c>
      <c r="E637" s="13" t="n">
        <v>1.02227699360239</v>
      </c>
      <c r="F637" s="16" t="n">
        <v>80.9267180566539</v>
      </c>
      <c r="G637" s="14" t="n">
        <v>-0.971431934442911</v>
      </c>
      <c r="H637" s="15" t="n">
        <v>0.318386947586194</v>
      </c>
    </row>
    <row r="638">
      <c r="A638" t="s">
        <v>31</v>
      </c>
      <c r="B638" t="s">
        <v>848</v>
      </c>
      <c r="C638" t="s">
        <v>849</v>
      </c>
      <c r="D638" t="s">
        <v>960</v>
      </c>
      <c r="E638" s="13" t="n">
        <v>0.557361682600138</v>
      </c>
      <c r="F638" s="16" t="n">
        <v>157.09498338897</v>
      </c>
      <c r="G638" s="14" t="n">
        <v>0.388503137525542</v>
      </c>
      <c r="H638" s="15" t="n">
        <v>-0.399646540537593</v>
      </c>
    </row>
    <row r="639">
      <c r="A639" t="s">
        <v>31</v>
      </c>
      <c r="B639" t="s">
        <v>848</v>
      </c>
      <c r="C639" t="s">
        <v>850</v>
      </c>
      <c r="D639" t="s">
        <v>960</v>
      </c>
      <c r="E639" s="13" t="n">
        <v>0.12940952255126</v>
      </c>
      <c r="F639" s="16" t="n">
        <v>37.5</v>
      </c>
      <c r="G639" s="14" t="n">
        <v>0.0334936490538903</v>
      </c>
      <c r="H639" s="15" t="n">
        <v>0.125</v>
      </c>
    </row>
    <row r="640">
      <c r="A640" t="s">
        <v>31</v>
      </c>
      <c r="B640" t="s">
        <v>851</v>
      </c>
      <c r="C640" t="s">
        <v>852</v>
      </c>
      <c r="D640" t="s">
        <v>960</v>
      </c>
      <c r="E640" s="13" t="n">
        <v>0.272319517507513</v>
      </c>
      <c r="F640" s="16" t="n">
        <v>92.5</v>
      </c>
      <c r="G640" s="14" t="n">
        <v>-0.271283259527887</v>
      </c>
      <c r="H640" s="15" t="n">
        <v>-0.0237342098130512</v>
      </c>
    </row>
    <row r="641">
      <c r="A641" t="s">
        <v>31</v>
      </c>
      <c r="B641" t="s">
        <v>851</v>
      </c>
      <c r="C641" t="s">
        <v>853</v>
      </c>
      <c r="D641" t="s">
        <v>960</v>
      </c>
      <c r="E641" s="13" t="n">
        <v>0.745212472749217</v>
      </c>
      <c r="F641" s="16" t="n">
        <v>112.570992257305</v>
      </c>
      <c r="G641" s="14" t="n">
        <v>-0.525637355816999</v>
      </c>
      <c r="H641" s="15" t="n">
        <v>-0.528248994046099</v>
      </c>
    </row>
    <row r="642">
      <c r="A642" t="s">
        <v>30</v>
      </c>
      <c r="B642" t="s">
        <v>854</v>
      </c>
      <c r="C642" t="s">
        <v>855</v>
      </c>
      <c r="D642" t="s">
        <v>960</v>
      </c>
      <c r="E642" s="13" t="n">
        <v>0.975907288314981</v>
      </c>
      <c r="F642" s="16" t="n">
        <v>6.29681786844829</v>
      </c>
      <c r="G642" s="14" t="n">
        <v>0.952427921876475</v>
      </c>
      <c r="H642" s="15" t="n">
        <v>0.212781787322973</v>
      </c>
    </row>
    <row r="643">
      <c r="A643" t="s">
        <v>31</v>
      </c>
      <c r="B643" t="s">
        <v>856</v>
      </c>
      <c r="C643" t="s">
        <v>857</v>
      </c>
      <c r="D643" t="s">
        <v>960</v>
      </c>
      <c r="E643" s="13" t="n">
        <v>1</v>
      </c>
      <c r="F643" s="16" t="n">
        <v>1.99999999999999</v>
      </c>
      <c r="G643" s="14" t="n">
        <v>0.997564050259824</v>
      </c>
      <c r="H643" s="15" t="n">
        <v>0.0697564737441251</v>
      </c>
    </row>
    <row r="644">
      <c r="A644" t="s">
        <v>31</v>
      </c>
      <c r="B644" t="s">
        <v>856</v>
      </c>
      <c r="C644" t="s">
        <v>858</v>
      </c>
      <c r="D644" t="s">
        <v>960</v>
      </c>
      <c r="E644" s="13" t="n">
        <v>1.04640811345394</v>
      </c>
      <c r="F644" s="16" t="n">
        <v>166.636707125979</v>
      </c>
      <c r="G644" s="14" t="n">
        <v>0.934612804924852</v>
      </c>
      <c r="H644" s="15" t="n">
        <v>-0.470604764927784</v>
      </c>
    </row>
    <row r="645">
      <c r="A645" t="s">
        <v>31</v>
      </c>
      <c r="B645" t="s">
        <v>859</v>
      </c>
      <c r="C645" t="s">
        <v>860</v>
      </c>
      <c r="D645" t="s">
        <v>960</v>
      </c>
      <c r="E645" s="13" t="n">
        <v>0.300907511576024</v>
      </c>
      <c r="F645" s="16" t="n">
        <v>18.5</v>
      </c>
      <c r="G645" s="14" t="n">
        <v>0.24031542398458</v>
      </c>
      <c r="H645" s="15" t="n">
        <v>0.18109066104575</v>
      </c>
    </row>
    <row r="646">
      <c r="A646" t="s">
        <v>31</v>
      </c>
      <c r="B646" t="s">
        <v>859</v>
      </c>
      <c r="C646" t="s">
        <v>861</v>
      </c>
      <c r="D646" t="s">
        <v>960</v>
      </c>
      <c r="E646" s="13" t="n">
        <v>0.424287855048549</v>
      </c>
      <c r="F646" s="16" t="n">
        <v>168.010282830728</v>
      </c>
      <c r="G646" s="14" t="n">
        <v>0.387668160986867</v>
      </c>
      <c r="H646" s="15" t="n">
        <v>-0.172434279940965</v>
      </c>
    </row>
    <row r="647">
      <c r="A647" t="s">
        <v>30</v>
      </c>
      <c r="B647" t="s">
        <v>862</v>
      </c>
      <c r="C647" t="s">
        <v>863</v>
      </c>
      <c r="D647" t="s">
        <v>960</v>
      </c>
      <c r="E647" s="13" t="n">
        <v>0.587785252292473</v>
      </c>
      <c r="F647" s="16" t="n">
        <v>10</v>
      </c>
      <c r="G647" s="14" t="n">
        <v>0.55233746418602</v>
      </c>
      <c r="H647" s="15" t="n">
        <v>0.201034396233786</v>
      </c>
    </row>
    <row r="648">
      <c r="A648" t="s">
        <v>30</v>
      </c>
      <c r="B648" t="s">
        <v>864</v>
      </c>
      <c r="C648" t="s">
        <v>865</v>
      </c>
      <c r="D648" t="s">
        <v>960</v>
      </c>
      <c r="E648" s="13" t="n">
        <v>0.75</v>
      </c>
      <c r="F648" s="16" t="n">
        <v>26</v>
      </c>
      <c r="G648" s="14" t="n">
        <v>0.461746106494244</v>
      </c>
      <c r="H648" s="15" t="n">
        <v>0.591008065205042</v>
      </c>
    </row>
    <row r="649">
      <c r="A649" t="s">
        <v>30</v>
      </c>
      <c r="B649" t="s">
        <v>864</v>
      </c>
      <c r="C649" t="s">
        <v>866</v>
      </c>
      <c r="D649" t="s">
        <v>960</v>
      </c>
      <c r="E649" s="13" t="n">
        <v>1.68955915253711</v>
      </c>
      <c r="F649" s="16" t="n">
        <v>152.044916227102</v>
      </c>
      <c r="G649" s="14" t="n">
        <v>0.946984456965548</v>
      </c>
      <c r="H649" s="15" t="n">
        <v>-1.39922498840879</v>
      </c>
    </row>
    <row r="650">
      <c r="A650" t="s">
        <v>30</v>
      </c>
      <c r="B650" t="s">
        <v>867</v>
      </c>
      <c r="C650" t="s">
        <v>868</v>
      </c>
      <c r="D650" t="s">
        <v>960</v>
      </c>
      <c r="E650" s="13" t="n">
        <v>0.91361772027557</v>
      </c>
      <c r="F650" s="16" t="n">
        <v>44.5560121981833</v>
      </c>
      <c r="G650" s="14" t="n">
        <v>0.0141587701100361</v>
      </c>
      <c r="H650" s="15" t="n">
        <v>0.913508001076346</v>
      </c>
    </row>
    <row r="651">
      <c r="A651" t="s">
        <v>30</v>
      </c>
      <c r="B651" t="s">
        <v>869</v>
      </c>
      <c r="C651" t="s">
        <v>870</v>
      </c>
      <c r="D651" t="s">
        <v>960</v>
      </c>
      <c r="E651" s="13" t="n">
        <v>0.25</v>
      </c>
      <c r="F651" s="16" t="n">
        <v>97</v>
      </c>
      <c r="G651" s="14" t="n">
        <v>-0.242573931568999</v>
      </c>
      <c r="H651" s="15" t="n">
        <v>-0.0604804738999169</v>
      </c>
    </row>
    <row r="652">
      <c r="A652" t="s">
        <v>30</v>
      </c>
      <c r="B652" t="s">
        <v>871</v>
      </c>
      <c r="C652" t="s">
        <v>872</v>
      </c>
      <c r="D652" t="s">
        <v>960</v>
      </c>
      <c r="E652" s="13" t="n">
        <v>0.854381791279198</v>
      </c>
      <c r="F652" s="16" t="n">
        <v>11.5071158498467</v>
      </c>
      <c r="G652" s="14" t="n">
        <v>0.786379640389041</v>
      </c>
      <c r="H652" s="15" t="n">
        <v>0.334028900622467</v>
      </c>
    </row>
    <row r="653">
      <c r="A653" t="s">
        <v>30</v>
      </c>
      <c r="B653" t="s">
        <v>871</v>
      </c>
      <c r="C653" t="s">
        <v>873</v>
      </c>
      <c r="D653" t="s">
        <v>960</v>
      </c>
      <c r="E653" s="13" t="n">
        <v>1.223235092066</v>
      </c>
      <c r="F653" s="16" t="n">
        <v>7.15814898248389</v>
      </c>
      <c r="G653" s="14" t="n">
        <v>1.18524805540117</v>
      </c>
      <c r="H653" s="15" t="n">
        <v>0.302475019843703</v>
      </c>
    </row>
    <row r="654">
      <c r="A654" t="s">
        <v>31</v>
      </c>
      <c r="B654" t="s">
        <v>874</v>
      </c>
      <c r="C654" t="s">
        <v>875</v>
      </c>
      <c r="D654" t="s">
        <v>960</v>
      </c>
      <c r="E654" s="13" t="n">
        <v>1</v>
      </c>
      <c r="F654" s="16" t="n">
        <v>14</v>
      </c>
      <c r="G654" s="14" t="n">
        <v>0.882947592858927</v>
      </c>
      <c r="H654" s="15" t="n">
        <v>0.469471562785891</v>
      </c>
    </row>
    <row r="655">
      <c r="A655" t="s">
        <v>31</v>
      </c>
      <c r="B655" t="s">
        <v>876</v>
      </c>
      <c r="C655" t="s">
        <v>877</v>
      </c>
      <c r="D655" t="s">
        <v>960</v>
      </c>
      <c r="E655" s="13" t="n">
        <v>0.765376917782755</v>
      </c>
      <c r="F655" s="16" t="n">
        <v>100.478155991423</v>
      </c>
      <c r="G655" s="14" t="n">
        <v>-0.714749845024305</v>
      </c>
      <c r="H655" s="15" t="n">
        <v>-0.273741639712269</v>
      </c>
    </row>
    <row r="656">
      <c r="A656" t="s">
        <v>30</v>
      </c>
      <c r="B656" t="s">
        <v>878</v>
      </c>
      <c r="C656" t="s">
        <v>879</v>
      </c>
      <c r="D656" t="s">
        <v>960</v>
      </c>
      <c r="E656" s="13" t="n">
        <v>0.754709580222772</v>
      </c>
      <c r="F656" s="16" t="n">
        <v>21.5</v>
      </c>
      <c r="G656" s="14" t="n">
        <v>0.551959645143375</v>
      </c>
      <c r="H656" s="15" t="n">
        <v>0.514710696035387</v>
      </c>
    </row>
    <row r="657">
      <c r="A657" t="s">
        <v>30</v>
      </c>
      <c r="B657" t="s">
        <v>878</v>
      </c>
      <c r="C657" t="s">
        <v>880</v>
      </c>
      <c r="D657" t="s">
        <v>960</v>
      </c>
      <c r="E657" s="13" t="n">
        <v>0.846002784185652</v>
      </c>
      <c r="F657" s="16" t="n">
        <v>147.331127603447</v>
      </c>
      <c r="G657" s="14" t="n">
        <v>0.353010299562117</v>
      </c>
      <c r="H657" s="15" t="n">
        <v>-0.768833167373091</v>
      </c>
    </row>
    <row r="658">
      <c r="A658" t="s">
        <v>31</v>
      </c>
      <c r="B658" t="s">
        <v>881</v>
      </c>
      <c r="C658" t="s">
        <v>882</v>
      </c>
      <c r="D658" t="s">
        <v>960</v>
      </c>
      <c r="E658" s="13" t="n">
        <v>0.25</v>
      </c>
      <c r="F658" s="16" t="n">
        <v>9.00000000000001</v>
      </c>
      <c r="G658" s="14" t="n">
        <v>0.237764129073788</v>
      </c>
      <c r="H658" s="15" t="n">
        <v>0.077254248593737</v>
      </c>
    </row>
    <row r="659">
      <c r="A659" t="s">
        <v>31</v>
      </c>
      <c r="B659" t="s">
        <v>881</v>
      </c>
      <c r="C659" t="s">
        <v>883</v>
      </c>
      <c r="D659" t="s">
        <v>960</v>
      </c>
      <c r="E659" s="13" t="n">
        <v>0.559016994374947</v>
      </c>
      <c r="F659" s="16" t="n">
        <v>169.717474411461</v>
      </c>
      <c r="G659" s="14" t="n">
        <v>0.52339306350105</v>
      </c>
      <c r="H659" s="15" t="n">
        <v>-0.196366242208241</v>
      </c>
    </row>
    <row r="660">
      <c r="A660" t="s">
        <v>30</v>
      </c>
      <c r="B660" t="s">
        <v>884</v>
      </c>
      <c r="C660" t="s">
        <v>885</v>
      </c>
      <c r="D660" t="s">
        <v>960</v>
      </c>
      <c r="E660" s="13" t="n">
        <v>1.03755159196656</v>
      </c>
      <c r="F660" s="16" t="n">
        <v>18.4089764870092</v>
      </c>
      <c r="G660" s="14" t="n">
        <v>0.83060532239694</v>
      </c>
      <c r="H660" s="15" t="n">
        <v>0.621778179416282</v>
      </c>
    </row>
    <row r="661">
      <c r="A661" t="s">
        <v>30</v>
      </c>
      <c r="B661" t="s">
        <v>884</v>
      </c>
      <c r="C661" t="s">
        <v>886</v>
      </c>
      <c r="D661" t="s">
        <v>960</v>
      </c>
      <c r="E661" s="13" t="n">
        <v>1.21807726818309</v>
      </c>
      <c r="F661" s="16" t="n">
        <v>153.324222450383</v>
      </c>
      <c r="G661" s="14" t="n">
        <v>0.727074538874699</v>
      </c>
      <c r="H661" s="15" t="n">
        <v>-0.977279308173726</v>
      </c>
    </row>
    <row r="662">
      <c r="A662" t="s">
        <v>30</v>
      </c>
      <c r="B662" t="s">
        <v>887</v>
      </c>
      <c r="C662" t="s">
        <v>888</v>
      </c>
      <c r="D662" t="s">
        <v>960</v>
      </c>
      <c r="E662" s="13" t="n">
        <v>0.901387818865998</v>
      </c>
      <c r="F662" s="16" t="n">
        <v>11.051056875993</v>
      </c>
      <c r="G662" s="14" t="n">
        <v>0.835149110191861</v>
      </c>
      <c r="H662" s="15" t="n">
        <v>0.339154778450405</v>
      </c>
    </row>
    <row r="663">
      <c r="A663" t="s">
        <v>30</v>
      </c>
      <c r="B663" t="s">
        <v>887</v>
      </c>
      <c r="C663" t="s">
        <v>889</v>
      </c>
      <c r="D663" t="s">
        <v>960</v>
      </c>
      <c r="E663" s="13" t="n">
        <v>1.16229657803916</v>
      </c>
      <c r="F663" s="16" t="n">
        <v>148.973805633806</v>
      </c>
      <c r="G663" s="14" t="n">
        <v>0.544726608004359</v>
      </c>
      <c r="H663" s="15" t="n">
        <v>-1.02674546887415</v>
      </c>
    </row>
    <row r="664">
      <c r="A664" t="s">
        <v>30</v>
      </c>
      <c r="B664" t="s">
        <v>890</v>
      </c>
      <c r="C664" t="s">
        <v>891</v>
      </c>
      <c r="D664" t="s">
        <v>960</v>
      </c>
      <c r="E664" s="13" t="n">
        <v>1.26156796410113</v>
      </c>
      <c r="F664" s="16" t="n">
        <v>166.565583596588</v>
      </c>
      <c r="G664" s="14" t="n">
        <v>1.12537351306191</v>
      </c>
      <c r="H664" s="15" t="n">
        <v>-0.570165049915337</v>
      </c>
    </row>
    <row r="665">
      <c r="A665" t="s">
        <v>30</v>
      </c>
      <c r="B665" t="s">
        <v>890</v>
      </c>
      <c r="C665" t="s">
        <v>892</v>
      </c>
      <c r="D665" t="s">
        <v>960</v>
      </c>
      <c r="E665" s="13" t="n">
        <v>0.75</v>
      </c>
      <c r="F665" s="16" t="n">
        <v>15</v>
      </c>
      <c r="G665" s="14" t="n">
        <v>0.649519052838329</v>
      </c>
      <c r="H665" s="15" t="n">
        <v>0.375</v>
      </c>
    </row>
    <row r="666">
      <c r="A666" t="s">
        <v>30</v>
      </c>
      <c r="B666" t="s">
        <v>893</v>
      </c>
      <c r="C666" t="s">
        <v>894</v>
      </c>
      <c r="D666" t="s">
        <v>960</v>
      </c>
      <c r="E666" s="13" t="n">
        <v>0.433012701892219</v>
      </c>
      <c r="F666" s="16" t="n">
        <v>99</v>
      </c>
      <c r="G666" s="14" t="n">
        <v>-0.411819551773166</v>
      </c>
      <c r="H666" s="15" t="n">
        <v>-0.133808283664909</v>
      </c>
    </row>
    <row r="667">
      <c r="A667" t="s">
        <v>30</v>
      </c>
      <c r="B667" t="s">
        <v>893</v>
      </c>
      <c r="C667" t="s">
        <v>895</v>
      </c>
      <c r="D667" t="s">
        <v>960</v>
      </c>
      <c r="E667" s="13" t="n">
        <v>0.472759287799658</v>
      </c>
      <c r="F667" s="16" t="n">
        <v>73.5</v>
      </c>
      <c r="G667" s="14" t="n">
        <v>-0.396489300400414</v>
      </c>
      <c r="H667" s="15" t="n">
        <v>0.257483162301598</v>
      </c>
    </row>
    <row r="668">
      <c r="A668" t="s">
        <v>31</v>
      </c>
      <c r="B668" t="s">
        <v>896</v>
      </c>
      <c r="C668" t="s">
        <v>897</v>
      </c>
      <c r="D668" t="s">
        <v>960</v>
      </c>
      <c r="E668" s="13" t="n">
        <v>0.499314767377287</v>
      </c>
      <c r="F668" s="16" t="n">
        <v>19.5</v>
      </c>
      <c r="G668" s="14" t="n">
        <v>0.388040454963085</v>
      </c>
      <c r="H668" s="15" t="n">
        <v>0.314228964662833</v>
      </c>
    </row>
    <row r="669">
      <c r="A669" t="s">
        <v>31</v>
      </c>
      <c r="B669" t="s">
        <v>896</v>
      </c>
      <c r="C669" t="s">
        <v>898</v>
      </c>
      <c r="D669" t="s">
        <v>960</v>
      </c>
      <c r="E669" s="13" t="n">
        <v>0.472759287799658</v>
      </c>
      <c r="F669" s="16" t="n">
        <v>155.5</v>
      </c>
      <c r="G669" s="14" t="n">
        <v>0.310157999300088</v>
      </c>
      <c r="H669" s="15" t="n">
        <v>-0.356795963641697</v>
      </c>
    </row>
    <row r="670">
      <c r="A670" t="s">
        <v>30</v>
      </c>
      <c r="B670" t="s">
        <v>899</v>
      </c>
      <c r="C670" t="s">
        <v>900</v>
      </c>
      <c r="D670" t="s">
        <v>960</v>
      </c>
      <c r="E670" s="13" t="n">
        <v>0.888475762216339</v>
      </c>
      <c r="F670" s="16" t="n">
        <v>2.67530738468621</v>
      </c>
      <c r="G670" s="14" t="n">
        <v>0.884604415674094</v>
      </c>
      <c r="H670" s="15" t="n">
        <v>0.0828505148795023</v>
      </c>
    </row>
    <row r="671">
      <c r="A671" t="s">
        <v>30</v>
      </c>
      <c r="B671" t="s">
        <v>899</v>
      </c>
      <c r="C671" t="s">
        <v>901</v>
      </c>
      <c r="D671" t="s">
        <v>960</v>
      </c>
      <c r="E671" s="13" t="n">
        <v>1.31663590678738</v>
      </c>
      <c r="F671" s="16" t="n">
        <v>165.611319244695</v>
      </c>
      <c r="G671" s="14" t="n">
        <v>1.15402737012893</v>
      </c>
      <c r="H671" s="15" t="n">
        <v>-0.633838260154077</v>
      </c>
    </row>
    <row r="672">
      <c r="A672" t="s">
        <v>30</v>
      </c>
      <c r="B672" t="s">
        <v>902</v>
      </c>
      <c r="C672" t="s">
        <v>903</v>
      </c>
      <c r="D672" t="s">
        <v>960</v>
      </c>
      <c r="E672" s="13" t="n">
        <v>0.371572412738697</v>
      </c>
      <c r="F672" s="16" t="n">
        <v>6</v>
      </c>
      <c r="G672" s="14" t="n">
        <v>0.363452664019228</v>
      </c>
      <c r="H672" s="15" t="n">
        <v>0.0772542485937369</v>
      </c>
    </row>
    <row r="673">
      <c r="A673" t="s">
        <v>31</v>
      </c>
      <c r="B673" t="s">
        <v>904</v>
      </c>
      <c r="C673" t="s">
        <v>905</v>
      </c>
      <c r="D673" t="s">
        <v>960</v>
      </c>
      <c r="E673" s="13" t="n">
        <v>0.75</v>
      </c>
      <c r="F673" s="16" t="n">
        <v>89</v>
      </c>
      <c r="G673" s="14" t="n">
        <v>-0.749543120264322</v>
      </c>
      <c r="H673" s="15" t="n">
        <v>0.0261746225268759</v>
      </c>
    </row>
    <row r="674">
      <c r="A674" t="s">
        <v>31</v>
      </c>
      <c r="B674" t="s">
        <v>904</v>
      </c>
      <c r="C674" t="s">
        <v>906</v>
      </c>
      <c r="D674" t="s">
        <v>960</v>
      </c>
      <c r="E674" s="13" t="n">
        <v>0.603720069820807</v>
      </c>
      <c r="F674" s="16" t="n">
        <v>113.947134676161</v>
      </c>
      <c r="G674" s="14" t="n">
        <v>-0.404794806116861</v>
      </c>
      <c r="H674" s="15" t="n">
        <v>-0.447905221721351</v>
      </c>
    </row>
    <row r="675">
      <c r="A675" t="s">
        <v>30</v>
      </c>
      <c r="B675" t="s">
        <v>907</v>
      </c>
      <c r="C675" t="s">
        <v>908</v>
      </c>
      <c r="D675" t="s">
        <v>960</v>
      </c>
      <c r="E675" s="13" t="n">
        <v>0.5</v>
      </c>
      <c r="F675" s="16" t="n">
        <v>157</v>
      </c>
      <c r="G675" s="14" t="n">
        <v>0.347329185229499</v>
      </c>
      <c r="H675" s="15" t="n">
        <v>-0.359669900169326</v>
      </c>
    </row>
    <row r="676">
      <c r="A676" t="s">
        <v>30</v>
      </c>
      <c r="B676" t="s">
        <v>907</v>
      </c>
      <c r="C676" t="s">
        <v>909</v>
      </c>
      <c r="D676" t="s">
        <v>960</v>
      </c>
      <c r="E676" s="13" t="n">
        <v>0.75</v>
      </c>
      <c r="F676" s="16" t="n">
        <v>28</v>
      </c>
      <c r="G676" s="14" t="n">
        <v>0.41939467760306</v>
      </c>
      <c r="H676" s="15" t="n">
        <v>0.621778179416281</v>
      </c>
    </row>
    <row r="677">
      <c r="A677" t="s">
        <v>31</v>
      </c>
      <c r="B677" t="s">
        <v>910</v>
      </c>
      <c r="C677" t="s">
        <v>911</v>
      </c>
      <c r="D677" t="s">
        <v>960</v>
      </c>
      <c r="E677" s="13" t="n">
        <v>0.25</v>
      </c>
      <c r="F677" s="16" t="n">
        <v>0</v>
      </c>
      <c r="G677" s="14" t="n">
        <v>0.25</v>
      </c>
      <c r="H677" s="15" t="n">
        <v>0</v>
      </c>
    </row>
    <row r="678">
      <c r="A678" t="s">
        <v>31</v>
      </c>
      <c r="B678" t="s">
        <v>910</v>
      </c>
      <c r="C678" t="s">
        <v>912</v>
      </c>
      <c r="D678" t="s">
        <v>960</v>
      </c>
      <c r="E678" s="13" t="n">
        <v>0.5</v>
      </c>
      <c r="F678" s="16" t="n">
        <v>19</v>
      </c>
      <c r="G678" s="14" t="n">
        <v>0.394005376803361</v>
      </c>
      <c r="H678" s="15" t="n">
        <v>0.307830737662829</v>
      </c>
    </row>
    <row r="679">
      <c r="A679" t="s">
        <v>30</v>
      </c>
      <c r="B679" t="s">
        <v>913</v>
      </c>
      <c r="C679" t="s">
        <v>914</v>
      </c>
      <c r="D679" t="s">
        <v>960</v>
      </c>
      <c r="E679" s="13" t="n">
        <v>0.339848954093314</v>
      </c>
      <c r="F679" s="16" t="n">
        <v>39.5352612661568</v>
      </c>
      <c r="G679" s="14" t="n">
        <v>0.0644355706852377</v>
      </c>
      <c r="H679" s="15" t="n">
        <v>0.333684534896041</v>
      </c>
    </row>
    <row r="680">
      <c r="A680" t="s">
        <v>30</v>
      </c>
      <c r="B680" t="s">
        <v>913</v>
      </c>
      <c r="C680" t="s">
        <v>915</v>
      </c>
      <c r="D680" t="s">
        <v>960</v>
      </c>
      <c r="E680" s="13" t="n">
        <v>0.25</v>
      </c>
      <c r="F680" s="16" t="n">
        <v>130</v>
      </c>
      <c r="G680" s="14" t="n">
        <v>-0.0434120444167326</v>
      </c>
      <c r="H680" s="15" t="n">
        <v>-0.246201938253052</v>
      </c>
    </row>
    <row r="681">
      <c r="A681" t="s">
        <v>31</v>
      </c>
      <c r="B681" t="s">
        <v>916</v>
      </c>
      <c r="C681" t="s">
        <v>917</v>
      </c>
      <c r="D681" t="s">
        <v>960</v>
      </c>
      <c r="E681" s="13" t="n">
        <v>0.389619169931826</v>
      </c>
      <c r="F681" s="16" t="n">
        <v>70.2792680287061</v>
      </c>
      <c r="G681" s="14" t="n">
        <v>-0.300892765726359</v>
      </c>
      <c r="H681" s="15" t="n">
        <v>0.2475209912551</v>
      </c>
    </row>
    <row r="682">
      <c r="A682" t="s">
        <v>30</v>
      </c>
      <c r="B682" t="s">
        <v>918</v>
      </c>
      <c r="C682" t="s">
        <v>919</v>
      </c>
      <c r="D682" t="s">
        <v>960</v>
      </c>
      <c r="E682" s="13" t="n">
        <v>0.25</v>
      </c>
      <c r="F682" s="16" t="n">
        <v>9.00000000000001</v>
      </c>
      <c r="G682" s="14" t="n">
        <v>0.237764129073788</v>
      </c>
      <c r="H682" s="15" t="n">
        <v>0.077254248593737</v>
      </c>
    </row>
    <row r="683">
      <c r="A683" t="s">
        <v>30</v>
      </c>
      <c r="B683" t="s">
        <v>918</v>
      </c>
      <c r="C683" t="s">
        <v>920</v>
      </c>
      <c r="D683" t="s">
        <v>960</v>
      </c>
      <c r="E683" s="13" t="n">
        <v>0.406882890924258</v>
      </c>
      <c r="F683" s="16" t="n">
        <v>179.903573953713</v>
      </c>
      <c r="G683" s="14" t="n">
        <v>0.406880586075306</v>
      </c>
      <c r="H683" s="15" t="n">
        <v>-0.0013695261579316</v>
      </c>
    </row>
    <row r="684">
      <c r="A684" t="s">
        <v>30</v>
      </c>
      <c r="B684" t="s">
        <v>921</v>
      </c>
      <c r="C684" t="s">
        <v>922</v>
      </c>
      <c r="D684" t="s">
        <v>960</v>
      </c>
      <c r="E684" s="13" t="n">
        <v>0.543195067691128</v>
      </c>
      <c r="F684" s="16" t="n">
        <v>17.6651266717918</v>
      </c>
      <c r="G684" s="14" t="n">
        <v>0.443156111666345</v>
      </c>
      <c r="H684" s="15" t="n">
        <v>0.314123450663484</v>
      </c>
    </row>
    <row r="685">
      <c r="A685" t="s">
        <v>30</v>
      </c>
      <c r="B685" t="s">
        <v>923</v>
      </c>
      <c r="C685" t="s">
        <v>924</v>
      </c>
      <c r="D685" t="s">
        <v>960</v>
      </c>
      <c r="E685" s="13" t="n">
        <v>0.414518786277521</v>
      </c>
      <c r="F685" s="16" t="n">
        <v>173</v>
      </c>
      <c r="G685" s="14" t="n">
        <v>0.402205806786192</v>
      </c>
      <c r="H685" s="15" t="n">
        <v>-0.100281170537931</v>
      </c>
    </row>
    <row r="686">
      <c r="A686" t="s">
        <v>30</v>
      </c>
      <c r="B686" t="s">
        <v>923</v>
      </c>
      <c r="C686" t="s">
        <v>925</v>
      </c>
      <c r="D686" t="s">
        <v>960</v>
      </c>
      <c r="E686" s="13" t="n">
        <v>0.25</v>
      </c>
      <c r="F686" s="16" t="n">
        <v>174</v>
      </c>
      <c r="G686" s="14" t="n">
        <v>0.244536900183451</v>
      </c>
      <c r="H686" s="15" t="n">
        <v>-0.0519779227044398</v>
      </c>
    </row>
    <row r="687">
      <c r="A687" t="s">
        <v>30</v>
      </c>
      <c r="B687" t="s">
        <v>926</v>
      </c>
      <c r="C687" t="s">
        <v>927</v>
      </c>
      <c r="D687" t="s">
        <v>960</v>
      </c>
      <c r="E687" s="13" t="n">
        <v>0.692663447562894</v>
      </c>
      <c r="F687" s="16" t="n">
        <v>169.779187654991</v>
      </c>
      <c r="G687" s="14" t="n">
        <v>0.649045397370925</v>
      </c>
      <c r="H687" s="15" t="n">
        <v>-0.241914703441797</v>
      </c>
    </row>
    <row r="688">
      <c r="A688" t="s">
        <v>30</v>
      </c>
      <c r="B688" t="s">
        <v>928</v>
      </c>
      <c r="C688" t="s">
        <v>929</v>
      </c>
      <c r="D688" t="s">
        <v>960</v>
      </c>
      <c r="E688" s="13" t="n">
        <v>0.25</v>
      </c>
      <c r="F688" s="16" t="n">
        <v>48</v>
      </c>
      <c r="G688" s="14" t="n">
        <v>-0.0261321158169134</v>
      </c>
      <c r="H688" s="15" t="n">
        <v>0.248630473842068</v>
      </c>
    </row>
    <row r="689">
      <c r="A689" t="s">
        <v>30</v>
      </c>
      <c r="B689" t="s">
        <v>928</v>
      </c>
      <c r="C689" t="s">
        <v>930</v>
      </c>
      <c r="D689" t="s">
        <v>960</v>
      </c>
      <c r="E689" s="13" t="n">
        <v>0.254819510270716</v>
      </c>
      <c r="F689" s="16" t="n">
        <v>137.076135080667</v>
      </c>
      <c r="G689" s="14" t="n">
        <v>0.0184508095774622</v>
      </c>
      <c r="H689" s="15" t="n">
        <v>-0.254150645170426</v>
      </c>
    </row>
    <row r="690">
      <c r="A690" t="s">
        <v>30</v>
      </c>
      <c r="B690" t="s">
        <v>931</v>
      </c>
      <c r="C690" t="s">
        <v>932</v>
      </c>
      <c r="D690" t="s">
        <v>960</v>
      </c>
      <c r="E690" s="13" t="n">
        <v>0.697255041297479</v>
      </c>
      <c r="F690" s="16" t="n">
        <v>175.526706498309</v>
      </c>
      <c r="G690" s="14" t="n">
        <v>0.688772058463881</v>
      </c>
      <c r="H690" s="15" t="n">
        <v>-0.108432670787808</v>
      </c>
    </row>
    <row r="691">
      <c r="A691" t="s">
        <v>30</v>
      </c>
      <c r="B691" t="s">
        <v>931</v>
      </c>
      <c r="C691" t="s">
        <v>933</v>
      </c>
      <c r="D691" t="s">
        <v>960</v>
      </c>
      <c r="E691" s="13" t="n">
        <v>0.697255041297479</v>
      </c>
      <c r="F691" s="16" t="n">
        <v>4.47329350169124</v>
      </c>
      <c r="G691" s="14" t="n">
        <v>0.688772058463881</v>
      </c>
      <c r="H691" s="15" t="n">
        <v>0.108432670787808</v>
      </c>
    </row>
    <row r="692">
      <c r="A692" t="s">
        <v>31</v>
      </c>
      <c r="B692" t="s">
        <v>934</v>
      </c>
      <c r="C692" t="s">
        <v>935</v>
      </c>
      <c r="D692" t="s">
        <v>960</v>
      </c>
      <c r="E692" s="13" t="n">
        <v>1</v>
      </c>
      <c r="F692" s="16" t="n">
        <v>95</v>
      </c>
      <c r="G692" s="14" t="n">
        <v>-0.984807753012208</v>
      </c>
      <c r="H692" s="15" t="n">
        <v>-0.173648177666931</v>
      </c>
    </row>
    <row r="693">
      <c r="A693" t="s">
        <v>30</v>
      </c>
      <c r="B693" t="s">
        <v>936</v>
      </c>
      <c r="C693" t="s">
        <v>937</v>
      </c>
      <c r="D693" t="s">
        <v>960</v>
      </c>
      <c r="E693" s="13" t="n">
        <v>0.476439885157176</v>
      </c>
      <c r="F693" s="16" t="n">
        <v>26.7716236401297</v>
      </c>
      <c r="G693" s="14" t="n">
        <v>0.283108136206551</v>
      </c>
      <c r="H693" s="15" t="n">
        <v>0.383203271622563</v>
      </c>
    </row>
    <row r="694">
      <c r="A694" t="s">
        <v>30</v>
      </c>
      <c r="B694" t="s">
        <v>936</v>
      </c>
      <c r="C694" t="s">
        <v>938</v>
      </c>
      <c r="D694" t="s">
        <v>960</v>
      </c>
      <c r="E694" s="13" t="n">
        <v>0.838431204128675</v>
      </c>
      <c r="F694" s="16" t="n">
        <v>162.521316045879</v>
      </c>
      <c r="G694" s="14" t="n">
        <v>0.687160271404451</v>
      </c>
      <c r="H694" s="15" t="n">
        <v>-0.480393219623279</v>
      </c>
    </row>
    <row r="695">
      <c r="A695" t="s">
        <v>31</v>
      </c>
      <c r="B695" t="s">
        <v>939</v>
      </c>
      <c r="C695" t="s">
        <v>940</v>
      </c>
      <c r="D695" t="s">
        <v>960</v>
      </c>
      <c r="E695" s="13" t="n">
        <v>0.581148289019578</v>
      </c>
      <c r="F695" s="16" t="n">
        <v>112.026194366194</v>
      </c>
      <c r="G695" s="14" t="n">
        <v>-0.417673794460744</v>
      </c>
      <c r="H695" s="15" t="n">
        <v>-0.404081594793858</v>
      </c>
    </row>
    <row r="696">
      <c r="A696" t="s">
        <v>31</v>
      </c>
      <c r="B696" t="s">
        <v>939</v>
      </c>
      <c r="C696" t="s">
        <v>941</v>
      </c>
      <c r="D696" t="s">
        <v>960</v>
      </c>
      <c r="E696" s="13" t="n">
        <v>0.424287855048549</v>
      </c>
      <c r="F696" s="16" t="n">
        <v>91.9897171692716</v>
      </c>
      <c r="G696" s="14" t="n">
        <v>-0.42326490733267</v>
      </c>
      <c r="H696" s="15" t="n">
        <v>-0.0294449004475297</v>
      </c>
    </row>
    <row r="697">
      <c r="A697" t="s">
        <v>31</v>
      </c>
      <c r="B697" t="s">
        <v>942</v>
      </c>
      <c r="C697" t="s">
        <v>943</v>
      </c>
      <c r="D697" t="s">
        <v>960</v>
      </c>
      <c r="E697" s="13" t="n">
        <v>1.85816596923927</v>
      </c>
      <c r="F697" s="16" t="n">
        <v>68.5830002836537</v>
      </c>
      <c r="G697" s="14" t="n">
        <v>-1.36264244602523</v>
      </c>
      <c r="H697" s="15" t="n">
        <v>1.26332352686447</v>
      </c>
    </row>
    <row r="698">
      <c r="A698" t="s">
        <v>31</v>
      </c>
      <c r="B698" t="s">
        <v>942</v>
      </c>
      <c r="C698" t="s">
        <v>944</v>
      </c>
      <c r="D698" t="s">
        <v>960</v>
      </c>
      <c r="E698" s="13" t="n">
        <v>1.12144291754739</v>
      </c>
      <c r="F698" s="16" t="n">
        <v>101.80487409231</v>
      </c>
      <c r="G698" s="14" t="n">
        <v>-1.02757209151818</v>
      </c>
      <c r="H698" s="15" t="n">
        <v>-0.449143422583659</v>
      </c>
    </row>
    <row r="699">
      <c r="A699" t="s">
        <v>30</v>
      </c>
      <c r="B699" t="s">
        <v>945</v>
      </c>
      <c r="C699" t="s">
        <v>946</v>
      </c>
      <c r="D699" t="s">
        <v>960</v>
      </c>
      <c r="E699" s="13" t="n">
        <v>0.901387818865997</v>
      </c>
      <c r="F699" s="16" t="n">
        <v>137.948943124007</v>
      </c>
      <c r="G699" s="14" t="n">
        <v>0.0926228626816312</v>
      </c>
      <c r="H699" s="15" t="n">
        <v>-0.896616420387592</v>
      </c>
    </row>
    <row r="700">
      <c r="A700" t="s">
        <v>30</v>
      </c>
      <c r="B700" t="s">
        <v>945</v>
      </c>
      <c r="C700" t="s">
        <v>947</v>
      </c>
      <c r="D700" t="s">
        <v>960</v>
      </c>
      <c r="E700" s="13" t="n">
        <v>0.496273075820661</v>
      </c>
      <c r="F700" s="16" t="n">
        <v>49.5</v>
      </c>
      <c r="G700" s="14" t="n">
        <v>-0.0776342131298747</v>
      </c>
      <c r="H700" s="15" t="n">
        <v>0.490163130739354</v>
      </c>
    </row>
    <row r="701">
      <c r="A701" t="s">
        <v>30</v>
      </c>
      <c r="B701" t="s">
        <v>948</v>
      </c>
      <c r="C701" t="s">
        <v>949</v>
      </c>
      <c r="D701" t="s">
        <v>960</v>
      </c>
      <c r="E701" s="13" t="n">
        <v>0.75</v>
      </c>
      <c r="F701" s="16" t="n">
        <v>173</v>
      </c>
      <c r="G701" s="14" t="n">
        <v>0.727721794706997</v>
      </c>
      <c r="H701" s="15" t="n">
        <v>-0.181441421699751</v>
      </c>
    </row>
    <row r="702">
      <c r="A702" t="s">
        <v>30</v>
      </c>
      <c r="B702" t="s">
        <v>948</v>
      </c>
      <c r="C702" t="s">
        <v>950</v>
      </c>
      <c r="D702" t="s">
        <v>960</v>
      </c>
      <c r="E702" s="13" t="n">
        <v>0.424287855048549</v>
      </c>
      <c r="F702" s="16" t="n">
        <v>28.9897171692716</v>
      </c>
      <c r="G702" s="14" t="n">
        <v>0.224967445483354</v>
      </c>
      <c r="H702" s="15" t="n">
        <v>0.359735781392945</v>
      </c>
    </row>
    <row r="703">
      <c r="A703" t="s">
        <v>30</v>
      </c>
      <c r="B703" t="s">
        <v>951</v>
      </c>
      <c r="C703" t="s">
        <v>952</v>
      </c>
      <c r="D703" t="s">
        <v>960</v>
      </c>
      <c r="E703" s="13" t="n">
        <v>0.424287855048549</v>
      </c>
      <c r="F703" s="16" t="n">
        <v>137.010282830728</v>
      </c>
      <c r="G703" s="14" t="n">
        <v>0.029748744980599</v>
      </c>
      <c r="H703" s="15" t="n">
        <v>-0.423243660453146</v>
      </c>
    </row>
    <row r="704">
      <c r="A704" t="s">
        <v>31</v>
      </c>
      <c r="B704" t="s">
        <v>953</v>
      </c>
      <c r="C704" t="s">
        <v>954</v>
      </c>
      <c r="D704" t="s">
        <v>960</v>
      </c>
      <c r="E704" s="13" t="n">
        <v>1.28328180281615</v>
      </c>
      <c r="F704" s="16" t="n">
        <v>27.6134342429242</v>
      </c>
      <c r="G704" s="14" t="n">
        <v>0.731892098833599</v>
      </c>
      <c r="H704" s="15" t="n">
        <v>1.0541091694431</v>
      </c>
    </row>
    <row r="705">
      <c r="A705" t="s">
        <v>31</v>
      </c>
      <c r="B705" t="s">
        <v>953</v>
      </c>
      <c r="C705" t="s">
        <v>955</v>
      </c>
      <c r="D705" t="s">
        <v>960</v>
      </c>
      <c r="E705" s="13" t="n">
        <v>1.433870598243</v>
      </c>
      <c r="F705" s="16" t="n">
        <v>176.714882542419</v>
      </c>
      <c r="G705" s="14" t="n">
        <v>1.42445342547145</v>
      </c>
      <c r="H705" s="15" t="n">
        <v>-0.164065021160544</v>
      </c>
    </row>
    <row r="706">
      <c r="A706" t="s">
        <v>30</v>
      </c>
      <c r="B706" t="s">
        <v>956</v>
      </c>
      <c r="C706" t="s">
        <v>957</v>
      </c>
      <c r="D706" t="s">
        <v>960</v>
      </c>
      <c r="E706" s="13" t="n">
        <v>0.644251931952941</v>
      </c>
      <c r="F706" s="16" t="n">
        <v>113.580036023002</v>
      </c>
      <c r="G706" s="14" t="n">
        <v>-0.438060683863376</v>
      </c>
      <c r="H706" s="15" t="n">
        <v>-0.472401724254101</v>
      </c>
    </row>
    <row r="707">
      <c r="A707" t="s">
        <v>30</v>
      </c>
      <c r="B707" t="s">
        <v>958</v>
      </c>
      <c r="C707" t="s">
        <v>959</v>
      </c>
      <c r="D707" t="s">
        <v>960</v>
      </c>
      <c r="E707" s="13" t="n">
        <v>1.3120563763783</v>
      </c>
      <c r="F707" s="16" t="n">
        <v>162.63160303467</v>
      </c>
      <c r="G707" s="14" t="n">
        <v>1.07821945103534</v>
      </c>
      <c r="H707" s="15" t="n">
        <v>-0.747619388595569</v>
      </c>
    </row>
    <row r="708">
      <c r="A708" t="s">
        <v>30</v>
      </c>
      <c r="B708" t="s">
        <v>394</v>
      </c>
      <c r="C708" t="s">
        <v>395</v>
      </c>
      <c r="D708" t="s">
        <v>961</v>
      </c>
      <c r="E708" s="13" t="n">
        <v>0.5</v>
      </c>
      <c r="F708" s="16" t="n">
        <v>49</v>
      </c>
      <c r="G708" s="14" t="n">
        <v>-0.0695865504800326</v>
      </c>
      <c r="H708" s="15" t="n">
        <v>0.495134034370785</v>
      </c>
    </row>
    <row r="709">
      <c r="A709" t="s">
        <v>30</v>
      </c>
      <c r="B709" t="s">
        <v>394</v>
      </c>
      <c r="C709" t="s">
        <v>397</v>
      </c>
      <c r="D709" t="s">
        <v>961</v>
      </c>
      <c r="E709" s="13" t="n">
        <v>0.75</v>
      </c>
      <c r="F709" s="16" t="n">
        <v>131</v>
      </c>
      <c r="G709" s="14" t="n">
        <v>-0.104379825720049</v>
      </c>
      <c r="H709" s="15" t="n">
        <v>-0.742701051556178</v>
      </c>
    </row>
    <row r="710">
      <c r="A710" t="s">
        <v>30</v>
      </c>
      <c r="B710" t="s">
        <v>398</v>
      </c>
      <c r="C710" t="s">
        <v>399</v>
      </c>
      <c r="D710" t="s">
        <v>961</v>
      </c>
      <c r="E710" s="13" t="n">
        <v>0.75</v>
      </c>
      <c r="F710" s="16" t="n">
        <v>160</v>
      </c>
      <c r="G710" s="14" t="n">
        <v>0.574533332339233</v>
      </c>
      <c r="H710" s="15" t="n">
        <v>-0.482090707264905</v>
      </c>
    </row>
    <row r="711">
      <c r="A711" t="s">
        <v>31</v>
      </c>
      <c r="B711" t="s">
        <v>400</v>
      </c>
      <c r="C711" t="s">
        <v>401</v>
      </c>
      <c r="D711" t="s">
        <v>961</v>
      </c>
      <c r="E711" s="13" t="n">
        <v>0.5</v>
      </c>
      <c r="F711" s="16" t="n">
        <v>95</v>
      </c>
      <c r="G711" s="14" t="n">
        <v>-0.492403876506104</v>
      </c>
      <c r="H711" s="15" t="n">
        <v>-0.0868240888334653</v>
      </c>
    </row>
    <row r="712">
      <c r="A712" t="s">
        <v>31</v>
      </c>
      <c r="B712" t="s">
        <v>400</v>
      </c>
      <c r="C712" t="s">
        <v>402</v>
      </c>
      <c r="D712" t="s">
        <v>961</v>
      </c>
      <c r="E712" s="13" t="n">
        <v>0.25</v>
      </c>
      <c r="F712" s="16" t="n">
        <v>82</v>
      </c>
      <c r="G712" s="14" t="n">
        <v>-0.24031542398458</v>
      </c>
      <c r="H712" s="15" t="n">
        <v>0.0689093389542498</v>
      </c>
    </row>
    <row r="713">
      <c r="A713" t="s">
        <v>30</v>
      </c>
      <c r="B713" t="s">
        <v>403</v>
      </c>
      <c r="C713" t="s">
        <v>404</v>
      </c>
      <c r="D713" t="s">
        <v>961</v>
      </c>
      <c r="E713" s="13" t="n">
        <v>0.5</v>
      </c>
      <c r="F713" s="16" t="n">
        <v>89</v>
      </c>
      <c r="G713" s="14" t="n">
        <v>-0.499695413509548</v>
      </c>
      <c r="H713" s="15" t="n">
        <v>0.0174497483512506</v>
      </c>
    </row>
    <row r="714">
      <c r="A714" t="s">
        <v>30</v>
      </c>
      <c r="B714" t="s">
        <v>403</v>
      </c>
      <c r="C714" t="s">
        <v>405</v>
      </c>
      <c r="D714" t="s">
        <v>961</v>
      </c>
      <c r="E714" s="13" t="n">
        <v>1</v>
      </c>
      <c r="F714" s="16" t="n">
        <v>80</v>
      </c>
      <c r="G714" s="14" t="n">
        <v>-0.939692620785908</v>
      </c>
      <c r="H714" s="15" t="n">
        <v>0.342020143325669</v>
      </c>
    </row>
    <row r="715">
      <c r="A715" t="s">
        <v>31</v>
      </c>
      <c r="B715" t="s">
        <v>406</v>
      </c>
      <c r="C715" t="s">
        <v>407</v>
      </c>
      <c r="D715" t="s">
        <v>961</v>
      </c>
      <c r="E715" s="13" t="n">
        <v>0.25</v>
      </c>
      <c r="F715" s="16" t="n">
        <v>99</v>
      </c>
      <c r="G715" s="14" t="n">
        <v>-0.237764129073788</v>
      </c>
      <c r="H715" s="15" t="n">
        <v>-0.077254248593737</v>
      </c>
    </row>
    <row r="716">
      <c r="A716" t="s">
        <v>30</v>
      </c>
      <c r="B716" t="s">
        <v>408</v>
      </c>
      <c r="C716" t="s">
        <v>409</v>
      </c>
      <c r="D716" t="s">
        <v>961</v>
      </c>
      <c r="E716" s="13" t="n">
        <v>0.75</v>
      </c>
      <c r="F716" s="16" t="n">
        <v>5</v>
      </c>
      <c r="G716" s="14" t="n">
        <v>0.738605814759156</v>
      </c>
      <c r="H716" s="15" t="n">
        <v>0.130236133250198</v>
      </c>
    </row>
    <row r="717">
      <c r="A717" t="s">
        <v>30</v>
      </c>
      <c r="B717" t="s">
        <v>408</v>
      </c>
      <c r="C717" t="s">
        <v>410</v>
      </c>
      <c r="D717" t="s">
        <v>961</v>
      </c>
      <c r="E717" s="13" t="n">
        <v>0.5</v>
      </c>
      <c r="F717" s="16" t="n">
        <v>16</v>
      </c>
      <c r="G717" s="14" t="n">
        <v>0.424024048078213</v>
      </c>
      <c r="H717" s="15" t="n">
        <v>0.264959632116602</v>
      </c>
    </row>
    <row r="718">
      <c r="A718" t="s">
        <v>30</v>
      </c>
      <c r="B718" t="s">
        <v>411</v>
      </c>
      <c r="C718" t="s">
        <v>412</v>
      </c>
      <c r="D718" t="s">
        <v>961</v>
      </c>
      <c r="E718" s="13" t="n">
        <v>0.75</v>
      </c>
      <c r="F718" s="16" t="n">
        <v>94</v>
      </c>
      <c r="G718" s="14" t="n">
        <v>-0.742701051556178</v>
      </c>
      <c r="H718" s="15" t="n">
        <v>-0.104379825720049</v>
      </c>
    </row>
    <row r="719">
      <c r="A719" t="s">
        <v>30</v>
      </c>
      <c r="B719" t="s">
        <v>413</v>
      </c>
      <c r="C719" t="s">
        <v>414</v>
      </c>
      <c r="D719" t="s">
        <v>961</v>
      </c>
      <c r="E719" s="13" t="n">
        <v>1.75</v>
      </c>
      <c r="F719" s="16" t="n">
        <v>113</v>
      </c>
      <c r="G719" s="14" t="n">
        <v>-1.21565214830325</v>
      </c>
      <c r="H719" s="15" t="n">
        <v>-1.25884465059264</v>
      </c>
    </row>
    <row r="720">
      <c r="A720" t="s">
        <v>30</v>
      </c>
      <c r="B720" t="s">
        <v>413</v>
      </c>
      <c r="C720" t="s">
        <v>415</v>
      </c>
      <c r="D720" t="s">
        <v>961</v>
      </c>
      <c r="E720" s="13" t="n">
        <v>1.5</v>
      </c>
      <c r="F720" s="16" t="n">
        <v>82</v>
      </c>
      <c r="G720" s="14" t="n">
        <v>-1.44189254390748</v>
      </c>
      <c r="H720" s="15" t="n">
        <v>0.413456033725499</v>
      </c>
    </row>
    <row r="721">
      <c r="A721" t="s">
        <v>30</v>
      </c>
      <c r="B721" t="s">
        <v>416</v>
      </c>
      <c r="C721" t="s">
        <v>417</v>
      </c>
      <c r="D721" t="s">
        <v>961</v>
      </c>
      <c r="E721" s="13" t="n">
        <v>1.25</v>
      </c>
      <c r="F721" s="16" t="n">
        <v>81</v>
      </c>
      <c r="G721" s="14" t="n">
        <v>-1.18882064536894</v>
      </c>
      <c r="H721" s="15" t="n">
        <v>0.386271242968684</v>
      </c>
    </row>
    <row r="722">
      <c r="A722" t="s">
        <v>30</v>
      </c>
      <c r="B722" t="s">
        <v>416</v>
      </c>
      <c r="C722" t="s">
        <v>418</v>
      </c>
      <c r="D722" t="s">
        <v>961</v>
      </c>
      <c r="E722" s="13" t="n">
        <v>0.5</v>
      </c>
      <c r="F722" s="16" t="n">
        <v>112</v>
      </c>
      <c r="G722" s="14" t="n">
        <v>-0.359669900169326</v>
      </c>
      <c r="H722" s="15" t="n">
        <v>-0.347329185229499</v>
      </c>
    </row>
    <row r="723">
      <c r="A723" t="s">
        <v>30</v>
      </c>
      <c r="B723" t="s">
        <v>419</v>
      </c>
      <c r="C723" t="s">
        <v>420</v>
      </c>
      <c r="D723" t="s">
        <v>961</v>
      </c>
      <c r="E723" s="13" t="n">
        <v>0.25</v>
      </c>
      <c r="F723" s="16" t="n">
        <v>75</v>
      </c>
      <c r="G723" s="14" t="n">
        <v>-0.21650635094611</v>
      </c>
      <c r="H723" s="15" t="n">
        <v>0.125</v>
      </c>
    </row>
    <row r="724">
      <c r="A724" t="s">
        <v>31</v>
      </c>
      <c r="B724" t="s">
        <v>421</v>
      </c>
      <c r="C724" t="s">
        <v>422</v>
      </c>
      <c r="D724" t="s">
        <v>961</v>
      </c>
      <c r="E724" s="13" t="n">
        <v>0.75</v>
      </c>
      <c r="F724" s="16" t="n">
        <v>87</v>
      </c>
      <c r="G724" s="14" t="n">
        <v>-0.745891421526205</v>
      </c>
      <c r="H724" s="15" t="n">
        <v>0.0783963474507403</v>
      </c>
    </row>
    <row r="725">
      <c r="A725" t="s">
        <v>31</v>
      </c>
      <c r="B725" t="s">
        <v>421</v>
      </c>
      <c r="C725" t="s">
        <v>423</v>
      </c>
      <c r="D725" t="s">
        <v>961</v>
      </c>
      <c r="E725" s="13" t="n">
        <v>0.25</v>
      </c>
      <c r="F725" s="16" t="n">
        <v>104</v>
      </c>
      <c r="G725" s="14" t="n">
        <v>-0.220736898214732</v>
      </c>
      <c r="H725" s="15" t="n">
        <v>-0.117367890696473</v>
      </c>
    </row>
    <row r="726">
      <c r="A726" t="s">
        <v>31</v>
      </c>
      <c r="B726" t="s">
        <v>424</v>
      </c>
      <c r="C726" t="s">
        <v>425</v>
      </c>
      <c r="D726" t="s">
        <v>961</v>
      </c>
      <c r="E726" s="13" t="n">
        <v>0.5</v>
      </c>
      <c r="F726" s="16" t="n">
        <v>34</v>
      </c>
      <c r="G726" s="14" t="n">
        <v>0.187303296707956</v>
      </c>
      <c r="H726" s="15" t="n">
        <v>0.463591927283394</v>
      </c>
    </row>
    <row r="727">
      <c r="A727" t="s">
        <v>31</v>
      </c>
      <c r="B727" t="s">
        <v>424</v>
      </c>
      <c r="C727" t="s">
        <v>426</v>
      </c>
      <c r="D727" t="s">
        <v>961</v>
      </c>
      <c r="E727" s="13" t="n">
        <v>0.25</v>
      </c>
      <c r="F727" s="16" t="n">
        <v>149</v>
      </c>
      <c r="G727" s="14" t="n">
        <v>0.117367890696473</v>
      </c>
      <c r="H727" s="15" t="n">
        <v>-0.220736898214732</v>
      </c>
    </row>
    <row r="728">
      <c r="A728" t="s">
        <v>30</v>
      </c>
      <c r="B728" t="s">
        <v>427</v>
      </c>
      <c r="C728" t="s">
        <v>428</v>
      </c>
      <c r="D728" t="s">
        <v>961</v>
      </c>
      <c r="E728" s="13" t="n">
        <v>0.75</v>
      </c>
      <c r="F728" s="16" t="n">
        <v>140</v>
      </c>
      <c r="G728" s="14" t="n">
        <v>0.130236133250197</v>
      </c>
      <c r="H728" s="15" t="n">
        <v>-0.738605814759156</v>
      </c>
    </row>
    <row r="729">
      <c r="A729" t="s">
        <v>30</v>
      </c>
      <c r="B729" t="s">
        <v>429</v>
      </c>
      <c r="C729" t="s">
        <v>430</v>
      </c>
      <c r="D729" t="s">
        <v>961</v>
      </c>
      <c r="E729" s="13" t="n">
        <v>0.5</v>
      </c>
      <c r="F729" s="16" t="n">
        <v>175</v>
      </c>
      <c r="G729" s="14" t="n">
        <v>0.492403876506104</v>
      </c>
      <c r="H729" s="15" t="n">
        <v>-0.0868240888334652</v>
      </c>
    </row>
    <row r="730">
      <c r="A730" t="s">
        <v>31</v>
      </c>
      <c r="B730" t="s">
        <v>431</v>
      </c>
      <c r="C730" t="s">
        <v>432</v>
      </c>
      <c r="D730" t="s">
        <v>961</v>
      </c>
      <c r="E730" s="13" t="n">
        <v>0.75</v>
      </c>
      <c r="F730" s="16" t="n">
        <v>179</v>
      </c>
      <c r="G730" s="14" t="n">
        <v>0.749543120264322</v>
      </c>
      <c r="H730" s="15" t="n">
        <v>-0.0261746225268756</v>
      </c>
    </row>
    <row r="731">
      <c r="A731" t="s">
        <v>31</v>
      </c>
      <c r="B731" t="s">
        <v>431</v>
      </c>
      <c r="C731" t="s">
        <v>433</v>
      </c>
      <c r="D731" t="s">
        <v>961</v>
      </c>
      <c r="E731" s="13" t="n">
        <v>1.5</v>
      </c>
      <c r="F731" s="16" t="n">
        <v>8</v>
      </c>
      <c r="G731" s="14" t="n">
        <v>1.44189254390748</v>
      </c>
      <c r="H731" s="15" t="n">
        <v>0.413456033725499</v>
      </c>
    </row>
    <row r="732">
      <c r="A732" t="s">
        <v>30</v>
      </c>
      <c r="B732" t="s">
        <v>434</v>
      </c>
      <c r="C732" t="s">
        <v>435</v>
      </c>
      <c r="D732" t="s">
        <v>961</v>
      </c>
      <c r="E732" s="13" t="n">
        <v>1.5</v>
      </c>
      <c r="F732" s="16" t="n">
        <v>147</v>
      </c>
      <c r="G732" s="14" t="n">
        <v>0.6101049646137</v>
      </c>
      <c r="H732" s="15" t="n">
        <v>-1.3703181864639</v>
      </c>
    </row>
    <row r="733">
      <c r="A733" t="s">
        <v>30</v>
      </c>
      <c r="B733" t="s">
        <v>434</v>
      </c>
      <c r="C733" t="s">
        <v>436</v>
      </c>
      <c r="D733" t="s">
        <v>961</v>
      </c>
      <c r="E733" s="13" t="n">
        <v>1</v>
      </c>
      <c r="F733" s="16" t="n">
        <v>38</v>
      </c>
      <c r="G733" s="14" t="n">
        <v>0.241921895599668</v>
      </c>
      <c r="H733" s="15" t="n">
        <v>0.970295726275996</v>
      </c>
    </row>
    <row r="734">
      <c r="A734" t="s">
        <v>30</v>
      </c>
      <c r="B734" t="s">
        <v>437</v>
      </c>
      <c r="C734" t="s">
        <v>438</v>
      </c>
      <c r="D734" t="s">
        <v>961</v>
      </c>
      <c r="E734" s="13" t="n">
        <v>1.25</v>
      </c>
      <c r="F734" s="16" t="n">
        <v>105</v>
      </c>
      <c r="G734" s="14" t="n">
        <v>-1.08253175473055</v>
      </c>
      <c r="H734" s="15" t="n">
        <v>-0.625</v>
      </c>
    </row>
    <row r="735">
      <c r="A735" t="s">
        <v>30</v>
      </c>
      <c r="B735" t="s">
        <v>437</v>
      </c>
      <c r="C735" t="s">
        <v>439</v>
      </c>
      <c r="D735" t="s">
        <v>961</v>
      </c>
      <c r="E735" s="13" t="n">
        <v>0.5</v>
      </c>
      <c r="F735" s="16" t="n">
        <v>96</v>
      </c>
      <c r="G735" s="14" t="n">
        <v>-0.489073800366903</v>
      </c>
      <c r="H735" s="15" t="n">
        <v>-0.10395584540888</v>
      </c>
    </row>
    <row r="736">
      <c r="A736" t="s">
        <v>30</v>
      </c>
      <c r="B736" t="s">
        <v>440</v>
      </c>
      <c r="C736" t="s">
        <v>441</v>
      </c>
      <c r="D736" t="s">
        <v>961</v>
      </c>
      <c r="E736" s="13" t="n">
        <v>1.75</v>
      </c>
      <c r="F736" s="16" t="n">
        <v>113</v>
      </c>
      <c r="G736" s="14" t="n">
        <v>-1.21565214830325</v>
      </c>
      <c r="H736" s="15" t="n">
        <v>-1.25884465059264</v>
      </c>
    </row>
    <row r="737">
      <c r="A737" t="s">
        <v>30</v>
      </c>
      <c r="B737" t="s">
        <v>440</v>
      </c>
      <c r="C737" t="s">
        <v>442</v>
      </c>
      <c r="D737" t="s">
        <v>961</v>
      </c>
      <c r="E737" s="13" t="n">
        <v>0.75</v>
      </c>
      <c r="F737" s="16" t="n">
        <v>59</v>
      </c>
      <c r="G737" s="14" t="n">
        <v>-0.352103672089418</v>
      </c>
      <c r="H737" s="15" t="n">
        <v>0.662210694644195</v>
      </c>
    </row>
    <row r="738">
      <c r="A738" t="s">
        <v>30</v>
      </c>
      <c r="B738" t="s">
        <v>443</v>
      </c>
      <c r="C738" t="s">
        <v>444</v>
      </c>
      <c r="D738" t="s">
        <v>961</v>
      </c>
      <c r="E738" s="13" t="n">
        <v>1.75</v>
      </c>
      <c r="F738" s="16" t="n">
        <v>18</v>
      </c>
      <c r="G738" s="14" t="n">
        <v>1.41577974015616</v>
      </c>
      <c r="H738" s="15" t="n">
        <v>1.02862419151183</v>
      </c>
    </row>
    <row r="739">
      <c r="A739" t="s">
        <v>30</v>
      </c>
      <c r="B739" t="s">
        <v>443</v>
      </c>
      <c r="C739" t="s">
        <v>445</v>
      </c>
      <c r="D739" t="s">
        <v>961</v>
      </c>
      <c r="E739" s="13" t="n">
        <v>1</v>
      </c>
      <c r="F739" s="16" t="n">
        <v>157</v>
      </c>
      <c r="G739" s="14" t="n">
        <v>0.694658370458997</v>
      </c>
      <c r="H739" s="15" t="n">
        <v>-0.719339800338651</v>
      </c>
    </row>
    <row r="740">
      <c r="A740" t="s">
        <v>31</v>
      </c>
      <c r="B740" t="s">
        <v>446</v>
      </c>
      <c r="C740" t="s">
        <v>447</v>
      </c>
      <c r="D740" t="s">
        <v>961</v>
      </c>
      <c r="E740" s="13" t="n">
        <v>1.5</v>
      </c>
      <c r="F740" s="16" t="n">
        <v>81</v>
      </c>
      <c r="G740" s="14" t="n">
        <v>-1.42658477444273</v>
      </c>
      <c r="H740" s="15" t="n">
        <v>0.463525491562421</v>
      </c>
    </row>
    <row r="741">
      <c r="A741" t="s">
        <v>30</v>
      </c>
      <c r="B741" t="s">
        <v>448</v>
      </c>
      <c r="C741" t="s">
        <v>449</v>
      </c>
      <c r="D741" t="s">
        <v>961</v>
      </c>
      <c r="E741" s="13" t="n">
        <v>1</v>
      </c>
      <c r="F741" s="16" t="n">
        <v>19</v>
      </c>
      <c r="G741" s="14" t="n">
        <v>0.788010753606722</v>
      </c>
      <c r="H741" s="15" t="n">
        <v>0.615661475325658</v>
      </c>
    </row>
    <row r="742">
      <c r="A742" t="s">
        <v>31</v>
      </c>
      <c r="B742" t="s">
        <v>450</v>
      </c>
      <c r="C742" t="s">
        <v>451</v>
      </c>
      <c r="D742" t="s">
        <v>961</v>
      </c>
      <c r="E742" s="13" t="n">
        <v>1.75</v>
      </c>
      <c r="F742" s="16" t="n">
        <v>94</v>
      </c>
      <c r="G742" s="14" t="n">
        <v>-1.73296912029775</v>
      </c>
      <c r="H742" s="15" t="n">
        <v>-0.243552926680115</v>
      </c>
    </row>
    <row r="743">
      <c r="A743" t="s">
        <v>31</v>
      </c>
      <c r="B743" t="s">
        <v>450</v>
      </c>
      <c r="C743" t="s">
        <v>452</v>
      </c>
      <c r="D743" t="s">
        <v>961</v>
      </c>
      <c r="E743" s="13" t="n">
        <v>1</v>
      </c>
      <c r="F743" s="16" t="n">
        <v>92</v>
      </c>
      <c r="G743" s="14" t="n">
        <v>-0.997564050259824</v>
      </c>
      <c r="H743" s="15" t="n">
        <v>-0.0697564737441251</v>
      </c>
    </row>
    <row r="744">
      <c r="A744" t="s">
        <v>31</v>
      </c>
      <c r="B744" t="s">
        <v>962</v>
      </c>
      <c r="C744" t="s">
        <v>963</v>
      </c>
      <c r="D744" t="s">
        <v>961</v>
      </c>
      <c r="E744" s="13" t="n">
        <v>1</v>
      </c>
      <c r="F744" s="16" t="n">
        <v>87</v>
      </c>
      <c r="G744" s="14" t="n">
        <v>-0.994521895368273</v>
      </c>
      <c r="H744" s="15" t="n">
        <v>0.104528463267654</v>
      </c>
    </row>
    <row r="745">
      <c r="A745" t="s">
        <v>31</v>
      </c>
      <c r="B745" t="s">
        <v>962</v>
      </c>
      <c r="C745" t="s">
        <v>964</v>
      </c>
      <c r="D745" t="s">
        <v>961</v>
      </c>
      <c r="E745" s="13" t="n">
        <v>2.25</v>
      </c>
      <c r="F745" s="16" t="n">
        <v>97</v>
      </c>
      <c r="G745" s="14" t="n">
        <v>-2.18316538412099</v>
      </c>
      <c r="H745" s="15" t="n">
        <v>-0.544324265099252</v>
      </c>
    </row>
    <row r="746">
      <c r="A746" t="s">
        <v>30</v>
      </c>
      <c r="B746" t="s">
        <v>453</v>
      </c>
      <c r="C746" t="s">
        <v>454</v>
      </c>
      <c r="D746" t="s">
        <v>961</v>
      </c>
      <c r="E746" s="13" t="n">
        <v>0.25</v>
      </c>
      <c r="F746" s="16" t="n">
        <v>104</v>
      </c>
      <c r="G746" s="14" t="n">
        <v>-0.220736898214732</v>
      </c>
      <c r="H746" s="15" t="n">
        <v>-0.117367890696473</v>
      </c>
    </row>
    <row r="747">
      <c r="A747" t="s">
        <v>30</v>
      </c>
      <c r="B747" t="s">
        <v>965</v>
      </c>
      <c r="C747" t="s">
        <v>966</v>
      </c>
      <c r="D747" t="s">
        <v>961</v>
      </c>
      <c r="E747" s="13" t="n">
        <v>0.5</v>
      </c>
      <c r="F747" s="16" t="n">
        <v>89</v>
      </c>
      <c r="G747" s="14" t="n">
        <v>-0.499695413509548</v>
      </c>
      <c r="H747" s="15" t="n">
        <v>0.0174497483512506</v>
      </c>
    </row>
    <row r="748">
      <c r="A748" t="s">
        <v>30</v>
      </c>
      <c r="B748" t="s">
        <v>965</v>
      </c>
      <c r="C748" t="s">
        <v>967</v>
      </c>
      <c r="D748" t="s">
        <v>961</v>
      </c>
      <c r="E748" s="13" t="n">
        <v>0.5</v>
      </c>
      <c r="F748" s="16" t="n">
        <v>86</v>
      </c>
      <c r="G748" s="14" t="n">
        <v>-0.495134034370785</v>
      </c>
      <c r="H748" s="15" t="n">
        <v>0.0695865504800327</v>
      </c>
    </row>
    <row r="749">
      <c r="A749" t="s">
        <v>30</v>
      </c>
      <c r="B749" t="s">
        <v>455</v>
      </c>
      <c r="C749" t="s">
        <v>456</v>
      </c>
      <c r="D749" t="s">
        <v>961</v>
      </c>
      <c r="E749" s="13" t="n">
        <v>1.25</v>
      </c>
      <c r="F749" s="16" t="n">
        <v>92</v>
      </c>
      <c r="G749" s="14" t="n">
        <v>-1.24695506282478</v>
      </c>
      <c r="H749" s="15" t="n">
        <v>-0.0871955921801564</v>
      </c>
    </row>
    <row r="750">
      <c r="A750" t="s">
        <v>31</v>
      </c>
      <c r="B750" t="s">
        <v>457</v>
      </c>
      <c r="C750" t="s">
        <v>458</v>
      </c>
      <c r="D750" t="s">
        <v>961</v>
      </c>
      <c r="E750" s="13" t="n">
        <v>0.75</v>
      </c>
      <c r="F750" s="16" t="n">
        <v>172</v>
      </c>
      <c r="G750" s="14" t="n">
        <v>0.720946271953739</v>
      </c>
      <c r="H750" s="15" t="n">
        <v>-0.206728016862749</v>
      </c>
    </row>
    <row r="751">
      <c r="A751" t="s">
        <v>31</v>
      </c>
      <c r="B751" t="s">
        <v>459</v>
      </c>
      <c r="C751" t="s">
        <v>460</v>
      </c>
      <c r="D751" t="s">
        <v>961</v>
      </c>
      <c r="E751" s="13" t="n">
        <v>1.5</v>
      </c>
      <c r="F751" s="16" t="n">
        <v>128</v>
      </c>
      <c r="G751" s="14" t="n">
        <v>-0.362882843399502</v>
      </c>
      <c r="H751" s="15" t="n">
        <v>-1.45544358941399</v>
      </c>
    </row>
    <row r="752">
      <c r="A752" t="s">
        <v>31</v>
      </c>
      <c r="B752" t="s">
        <v>459</v>
      </c>
      <c r="C752" t="s">
        <v>461</v>
      </c>
      <c r="D752" t="s">
        <v>961</v>
      </c>
      <c r="E752" s="13" t="n">
        <v>1.5</v>
      </c>
      <c r="F752" s="16" t="n">
        <v>42</v>
      </c>
      <c r="G752" s="14" t="n">
        <v>0.15679269490148</v>
      </c>
      <c r="H752" s="15" t="n">
        <v>1.49178284305241</v>
      </c>
    </row>
    <row r="753">
      <c r="A753" t="s">
        <v>31</v>
      </c>
      <c r="B753" t="s">
        <v>462</v>
      </c>
      <c r="C753" t="s">
        <v>463</v>
      </c>
      <c r="D753" t="s">
        <v>961</v>
      </c>
      <c r="E753" s="13" t="n">
        <v>0.5</v>
      </c>
      <c r="F753" s="16" t="n">
        <v>79</v>
      </c>
      <c r="G753" s="14" t="n">
        <v>-0.463591927283394</v>
      </c>
      <c r="H753" s="15" t="n">
        <v>0.187303296707956</v>
      </c>
    </row>
    <row r="754">
      <c r="A754" t="s">
        <v>31</v>
      </c>
      <c r="B754" t="s">
        <v>462</v>
      </c>
      <c r="C754" t="s">
        <v>464</v>
      </c>
      <c r="D754" t="s">
        <v>961</v>
      </c>
      <c r="E754" s="13" t="n">
        <v>0.5</v>
      </c>
      <c r="F754" s="16" t="n">
        <v>99</v>
      </c>
      <c r="G754" s="14" t="n">
        <v>-0.475528258147577</v>
      </c>
      <c r="H754" s="15" t="n">
        <v>-0.154508497187474</v>
      </c>
    </row>
    <row r="755">
      <c r="A755" t="s">
        <v>30</v>
      </c>
      <c r="B755" t="s">
        <v>465</v>
      </c>
      <c r="C755" t="s">
        <v>466</v>
      </c>
      <c r="D755" t="s">
        <v>961</v>
      </c>
      <c r="E755" s="13" t="n">
        <v>1.5</v>
      </c>
      <c r="F755" s="16" t="n">
        <v>86</v>
      </c>
      <c r="G755" s="14" t="n">
        <v>-1.48540210311236</v>
      </c>
      <c r="H755" s="15" t="n">
        <v>0.208759651440098</v>
      </c>
    </row>
    <row r="756">
      <c r="A756" t="s">
        <v>30</v>
      </c>
      <c r="B756" t="s">
        <v>465</v>
      </c>
      <c r="C756" t="s">
        <v>467</v>
      </c>
      <c r="D756" t="s">
        <v>961</v>
      </c>
      <c r="E756" s="13" t="n">
        <v>1</v>
      </c>
      <c r="F756" s="16" t="n">
        <v>111</v>
      </c>
      <c r="G756" s="14" t="n">
        <v>-0.743144825477394</v>
      </c>
      <c r="H756" s="15" t="n">
        <v>-0.669130606358858</v>
      </c>
    </row>
    <row r="757">
      <c r="A757" t="s">
        <v>30</v>
      </c>
      <c r="B757" t="s">
        <v>468</v>
      </c>
      <c r="C757" t="s">
        <v>469</v>
      </c>
      <c r="D757" t="s">
        <v>961</v>
      </c>
      <c r="E757" s="13" t="n">
        <v>1</v>
      </c>
      <c r="F757" s="16" t="n">
        <v>77</v>
      </c>
      <c r="G757" s="14" t="n">
        <v>-0.898794046299167</v>
      </c>
      <c r="H757" s="15" t="n">
        <v>0.438371146789078</v>
      </c>
    </row>
    <row r="758">
      <c r="A758" t="s">
        <v>31</v>
      </c>
      <c r="B758" t="s">
        <v>470</v>
      </c>
      <c r="C758" t="s">
        <v>471</v>
      </c>
      <c r="D758" t="s">
        <v>961</v>
      </c>
      <c r="E758" s="13" t="n">
        <v>1.5</v>
      </c>
      <c r="F758" s="16" t="n">
        <v>89</v>
      </c>
      <c r="G758" s="14" t="n">
        <v>-1.49908624052864</v>
      </c>
      <c r="H758" s="15" t="n">
        <v>0.0523492450537517</v>
      </c>
    </row>
    <row r="759">
      <c r="A759" t="s">
        <v>30</v>
      </c>
      <c r="B759" t="s">
        <v>968</v>
      </c>
      <c r="C759" t="s">
        <v>969</v>
      </c>
      <c r="D759" t="s">
        <v>961</v>
      </c>
      <c r="E759" s="13" t="n">
        <v>0.75</v>
      </c>
      <c r="F759" s="16" t="n">
        <v>26</v>
      </c>
      <c r="G759" s="14" t="n">
        <v>0.461746106494244</v>
      </c>
      <c r="H759" s="15" t="n">
        <v>0.591008065205041</v>
      </c>
    </row>
    <row r="760">
      <c r="A760" t="s">
        <v>30</v>
      </c>
      <c r="B760" t="s">
        <v>968</v>
      </c>
      <c r="C760" t="s">
        <v>970</v>
      </c>
      <c r="D760" t="s">
        <v>961</v>
      </c>
      <c r="E760" s="13" t="n">
        <v>1</v>
      </c>
      <c r="F760" s="16" t="n">
        <v>149</v>
      </c>
      <c r="G760" s="14" t="n">
        <v>0.46947156278589</v>
      </c>
      <c r="H760" s="15" t="n">
        <v>-0.882947592858927</v>
      </c>
    </row>
    <row r="761">
      <c r="A761" t="s">
        <v>31</v>
      </c>
      <c r="B761" t="s">
        <v>472</v>
      </c>
      <c r="C761" t="s">
        <v>473</v>
      </c>
      <c r="D761" t="s">
        <v>961</v>
      </c>
      <c r="E761" s="13" t="n">
        <v>0.25</v>
      </c>
      <c r="F761" s="16" t="n">
        <v>77</v>
      </c>
      <c r="G761" s="14" t="n">
        <v>-0.224698511574792</v>
      </c>
      <c r="H761" s="15" t="n">
        <v>0.109592786697269</v>
      </c>
    </row>
    <row r="762">
      <c r="A762" t="s">
        <v>30</v>
      </c>
      <c r="B762" t="s">
        <v>474</v>
      </c>
      <c r="C762" t="s">
        <v>475</v>
      </c>
      <c r="D762" t="s">
        <v>961</v>
      </c>
      <c r="E762" s="13" t="n">
        <v>1</v>
      </c>
      <c r="F762" s="16" t="n">
        <v>11</v>
      </c>
      <c r="G762" s="14" t="n">
        <v>0.927183854566787</v>
      </c>
      <c r="H762" s="15" t="n">
        <v>0.374606593415912</v>
      </c>
    </row>
    <row r="763">
      <c r="A763" t="s">
        <v>30</v>
      </c>
      <c r="B763" t="s">
        <v>474</v>
      </c>
      <c r="C763" t="s">
        <v>476</v>
      </c>
      <c r="D763" t="s">
        <v>961</v>
      </c>
      <c r="E763" s="13" t="n">
        <v>1</v>
      </c>
      <c r="F763" s="16" t="n">
        <v>173</v>
      </c>
      <c r="G763" s="14" t="n">
        <v>0.970295726275996</v>
      </c>
      <c r="H763" s="15" t="n">
        <v>-0.241921895599668</v>
      </c>
    </row>
    <row r="764">
      <c r="A764" t="s">
        <v>30</v>
      </c>
      <c r="B764" t="s">
        <v>477</v>
      </c>
      <c r="C764" t="s">
        <v>478</v>
      </c>
      <c r="D764" t="s">
        <v>961</v>
      </c>
      <c r="E764" s="13" t="n">
        <v>1</v>
      </c>
      <c r="F764" s="16" t="n">
        <v>80</v>
      </c>
      <c r="G764" s="14" t="n">
        <v>-0.939692620785908</v>
      </c>
      <c r="H764" s="15" t="n">
        <v>0.342020143325669</v>
      </c>
    </row>
    <row r="765">
      <c r="A765" t="s">
        <v>30</v>
      </c>
      <c r="B765" t="s">
        <v>477</v>
      </c>
      <c r="C765" t="s">
        <v>479</v>
      </c>
      <c r="D765" t="s">
        <v>961</v>
      </c>
      <c r="E765" s="13" t="n">
        <v>1.25</v>
      </c>
      <c r="F765" s="16" t="n">
        <v>80</v>
      </c>
      <c r="G765" s="14" t="n">
        <v>-1.17461577598239</v>
      </c>
      <c r="H765" s="15" t="n">
        <v>0.427525179157086</v>
      </c>
    </row>
    <row r="766">
      <c r="A766" t="s">
        <v>30</v>
      </c>
      <c r="B766" t="s">
        <v>480</v>
      </c>
      <c r="C766" t="s">
        <v>481</v>
      </c>
      <c r="D766" t="s">
        <v>961</v>
      </c>
      <c r="E766" s="13" t="n">
        <v>1.5</v>
      </c>
      <c r="F766" s="16" t="n">
        <v>70</v>
      </c>
      <c r="G766" s="14" t="n">
        <v>-1.14906666467847</v>
      </c>
      <c r="H766" s="15" t="n">
        <v>0.964181414529809</v>
      </c>
    </row>
    <row r="767">
      <c r="A767" t="s">
        <v>30</v>
      </c>
      <c r="B767" t="s">
        <v>480</v>
      </c>
      <c r="C767" t="s">
        <v>482</v>
      </c>
      <c r="D767" t="s">
        <v>961</v>
      </c>
      <c r="E767" s="13" t="n">
        <v>0.5</v>
      </c>
      <c r="F767" s="16" t="n">
        <v>101</v>
      </c>
      <c r="G767" s="14" t="n">
        <v>-0.463591927283394</v>
      </c>
      <c r="H767" s="15" t="n">
        <v>-0.187303296707956</v>
      </c>
    </row>
    <row r="768">
      <c r="A768" t="s">
        <v>30</v>
      </c>
      <c r="B768" t="s">
        <v>483</v>
      </c>
      <c r="C768" t="s">
        <v>484</v>
      </c>
      <c r="D768" t="s">
        <v>961</v>
      </c>
      <c r="E768" s="13" t="n">
        <v>0.75</v>
      </c>
      <c r="F768" s="16" t="n">
        <v>109</v>
      </c>
      <c r="G768" s="14" t="n">
        <v>-0.591008065205042</v>
      </c>
      <c r="H768" s="15" t="n">
        <v>-0.461746106494244</v>
      </c>
    </row>
    <row r="769">
      <c r="A769" t="s">
        <v>30</v>
      </c>
      <c r="B769" t="s">
        <v>483</v>
      </c>
      <c r="C769" t="s">
        <v>485</v>
      </c>
      <c r="D769" t="s">
        <v>961</v>
      </c>
      <c r="E769" s="13" t="n">
        <v>0.5</v>
      </c>
      <c r="F769" s="16" t="n">
        <v>60</v>
      </c>
      <c r="G769" s="14" t="n">
        <v>-0.25</v>
      </c>
      <c r="H769" s="15" t="n">
        <v>0.433012701892219</v>
      </c>
    </row>
    <row r="770">
      <c r="A770" t="s">
        <v>30</v>
      </c>
      <c r="B770" t="s">
        <v>486</v>
      </c>
      <c r="C770" t="s">
        <v>487</v>
      </c>
      <c r="D770" t="s">
        <v>961</v>
      </c>
      <c r="E770" s="13" t="n">
        <v>2.5</v>
      </c>
      <c r="F770" s="16" t="n">
        <v>83</v>
      </c>
      <c r="G770" s="14" t="n">
        <v>-2.42573931568999</v>
      </c>
      <c r="H770" s="15" t="n">
        <v>0.604804738999169</v>
      </c>
    </row>
    <row r="771">
      <c r="A771" t="s">
        <v>30</v>
      </c>
      <c r="B771" t="s">
        <v>486</v>
      </c>
      <c r="C771" t="s">
        <v>488</v>
      </c>
      <c r="D771" t="s">
        <v>961</v>
      </c>
      <c r="E771" s="13" t="n">
        <v>1.5</v>
      </c>
      <c r="F771" s="16" t="n">
        <v>94</v>
      </c>
      <c r="G771" s="14" t="n">
        <v>-1.48540210311236</v>
      </c>
      <c r="H771" s="15" t="n">
        <v>-0.208759651440099</v>
      </c>
    </row>
    <row r="772">
      <c r="A772" t="s">
        <v>30</v>
      </c>
      <c r="B772" t="s">
        <v>489</v>
      </c>
      <c r="C772" t="s">
        <v>490</v>
      </c>
      <c r="D772" t="s">
        <v>961</v>
      </c>
      <c r="E772" s="13" t="n">
        <v>1.25</v>
      </c>
      <c r="F772" s="16" t="n">
        <v>134</v>
      </c>
      <c r="G772" s="14" t="n">
        <v>-0.0436243708781259</v>
      </c>
      <c r="H772" s="15" t="n">
        <v>-1.24923853377387</v>
      </c>
    </row>
    <row r="773">
      <c r="A773" t="s">
        <v>30</v>
      </c>
      <c r="B773" t="s">
        <v>489</v>
      </c>
      <c r="C773" t="s">
        <v>491</v>
      </c>
      <c r="D773" t="s">
        <v>961</v>
      </c>
      <c r="E773" s="13" t="n">
        <v>0.5</v>
      </c>
      <c r="F773" s="16" t="n">
        <v>52</v>
      </c>
      <c r="G773" s="14" t="n">
        <v>-0.120960947799834</v>
      </c>
      <c r="H773" s="15" t="n">
        <v>0.485147863137998</v>
      </c>
    </row>
    <row r="774">
      <c r="A774" t="s">
        <v>31</v>
      </c>
      <c r="B774" t="s">
        <v>492</v>
      </c>
      <c r="C774" t="s">
        <v>493</v>
      </c>
      <c r="D774" t="s">
        <v>961</v>
      </c>
      <c r="E774" s="13" t="n">
        <v>0.5</v>
      </c>
      <c r="F774" s="16" t="n">
        <v>103</v>
      </c>
      <c r="G774" s="14" t="n">
        <v>-0.449397023149584</v>
      </c>
      <c r="H774" s="15" t="n">
        <v>-0.219185573394539</v>
      </c>
    </row>
    <row r="775">
      <c r="A775" t="s">
        <v>31</v>
      </c>
      <c r="B775" t="s">
        <v>492</v>
      </c>
      <c r="C775" t="s">
        <v>494</v>
      </c>
      <c r="D775" t="s">
        <v>961</v>
      </c>
      <c r="E775" s="13" t="n">
        <v>0.5</v>
      </c>
      <c r="F775" s="16" t="n">
        <v>76</v>
      </c>
      <c r="G775" s="14" t="n">
        <v>-0.441473796429463</v>
      </c>
      <c r="H775" s="15" t="n">
        <v>0.234735781392945</v>
      </c>
    </row>
    <row r="776">
      <c r="A776" t="s">
        <v>30</v>
      </c>
      <c r="B776" t="s">
        <v>495</v>
      </c>
      <c r="C776" t="s">
        <v>496</v>
      </c>
      <c r="D776" t="s">
        <v>961</v>
      </c>
      <c r="E776" s="13" t="n">
        <v>0.5</v>
      </c>
      <c r="F776" s="16" t="n">
        <v>32</v>
      </c>
      <c r="G776" s="14" t="n">
        <v>0.219185573394539</v>
      </c>
      <c r="H776" s="15" t="n">
        <v>0.449397023149584</v>
      </c>
    </row>
    <row r="777">
      <c r="A777" t="s">
        <v>30</v>
      </c>
      <c r="B777" t="s">
        <v>497</v>
      </c>
      <c r="C777" t="s">
        <v>498</v>
      </c>
      <c r="D777" t="s">
        <v>961</v>
      </c>
      <c r="E777" s="13" t="n">
        <v>0.5</v>
      </c>
      <c r="F777" s="16" t="n">
        <v>101</v>
      </c>
      <c r="G777" s="14" t="n">
        <v>-0.463591927283394</v>
      </c>
      <c r="H777" s="15" t="n">
        <v>-0.187303296707956</v>
      </c>
    </row>
    <row r="778">
      <c r="A778" t="s">
        <v>30</v>
      </c>
      <c r="B778" t="s">
        <v>497</v>
      </c>
      <c r="C778" t="s">
        <v>499</v>
      </c>
      <c r="D778" t="s">
        <v>961</v>
      </c>
      <c r="E778" s="13" t="n">
        <v>0.75</v>
      </c>
      <c r="F778" s="16" t="n">
        <v>63</v>
      </c>
      <c r="G778" s="14" t="n">
        <v>-0.440838939219355</v>
      </c>
      <c r="H778" s="15" t="n">
        <v>0.606762745781211</v>
      </c>
    </row>
    <row r="779">
      <c r="A779" t="s">
        <v>30</v>
      </c>
      <c r="B779" t="s">
        <v>500</v>
      </c>
      <c r="C779" t="s">
        <v>501</v>
      </c>
      <c r="D779" t="s">
        <v>961</v>
      </c>
      <c r="E779" s="13" t="n">
        <v>2.25</v>
      </c>
      <c r="F779" s="16" t="n">
        <v>117</v>
      </c>
      <c r="G779" s="14" t="n">
        <v>-1.32251681765806</v>
      </c>
      <c r="H779" s="15" t="n">
        <v>-1.82028823734363</v>
      </c>
    </row>
    <row r="780">
      <c r="A780" t="s">
        <v>30</v>
      </c>
      <c r="B780" t="s">
        <v>500</v>
      </c>
      <c r="C780" t="s">
        <v>502</v>
      </c>
      <c r="D780" t="s">
        <v>961</v>
      </c>
      <c r="E780" s="13" t="n">
        <v>2.25</v>
      </c>
      <c r="F780" s="16" t="n">
        <v>62</v>
      </c>
      <c r="G780" s="14" t="n">
        <v>-1.25818403280918</v>
      </c>
      <c r="H780" s="15" t="n">
        <v>1.86533453824884</v>
      </c>
    </row>
    <row r="781">
      <c r="A781" t="s">
        <v>31</v>
      </c>
      <c r="B781" t="s">
        <v>503</v>
      </c>
      <c r="C781" t="s">
        <v>504</v>
      </c>
      <c r="D781" t="s">
        <v>961</v>
      </c>
      <c r="E781" s="13" t="n">
        <v>0.5</v>
      </c>
      <c r="F781" s="16" t="n">
        <v>38</v>
      </c>
      <c r="G781" s="14" t="n">
        <v>0.120960947799834</v>
      </c>
      <c r="H781" s="15" t="n">
        <v>0.485147863137998</v>
      </c>
    </row>
    <row r="782">
      <c r="A782" t="s">
        <v>31</v>
      </c>
      <c r="B782" t="s">
        <v>503</v>
      </c>
      <c r="C782" t="s">
        <v>505</v>
      </c>
      <c r="D782" t="s">
        <v>961</v>
      </c>
      <c r="E782" s="13" t="n">
        <v>0.75</v>
      </c>
      <c r="F782" s="16" t="n">
        <v>139</v>
      </c>
      <c r="G782" s="14" t="n">
        <v>0.104379825720049</v>
      </c>
      <c r="H782" s="15" t="n">
        <v>-0.742701051556178</v>
      </c>
    </row>
    <row r="783">
      <c r="A783" t="s">
        <v>30</v>
      </c>
      <c r="B783" t="s">
        <v>506</v>
      </c>
      <c r="C783" t="s">
        <v>507</v>
      </c>
      <c r="D783" t="s">
        <v>961</v>
      </c>
      <c r="E783" s="13" t="n">
        <v>0.75</v>
      </c>
      <c r="F783" s="16" t="n">
        <v>75</v>
      </c>
      <c r="G783" s="14" t="n">
        <v>-0.649519052838329</v>
      </c>
      <c r="H783" s="15" t="n">
        <v>0.375</v>
      </c>
    </row>
    <row r="784">
      <c r="A784" t="s">
        <v>30</v>
      </c>
      <c r="B784" t="s">
        <v>506</v>
      </c>
      <c r="C784" t="s">
        <v>508</v>
      </c>
      <c r="D784" t="s">
        <v>961</v>
      </c>
      <c r="E784" s="13" t="n">
        <v>2</v>
      </c>
      <c r="F784" s="16" t="n">
        <v>114</v>
      </c>
      <c r="G784" s="14" t="n">
        <v>-1.33826121271772</v>
      </c>
      <c r="H784" s="15" t="n">
        <v>-1.48628965095479</v>
      </c>
    </row>
    <row r="785">
      <c r="A785" t="s">
        <v>31</v>
      </c>
      <c r="B785" t="s">
        <v>509</v>
      </c>
      <c r="C785" t="s">
        <v>510</v>
      </c>
      <c r="D785" t="s">
        <v>961</v>
      </c>
      <c r="E785" s="13" t="n">
        <v>0.5</v>
      </c>
      <c r="F785" s="16" t="n">
        <v>61</v>
      </c>
      <c r="G785" s="14" t="n">
        <v>-0.264959632116602</v>
      </c>
      <c r="H785" s="15" t="n">
        <v>0.424024048078213</v>
      </c>
    </row>
    <row r="786">
      <c r="A786" t="s">
        <v>31</v>
      </c>
      <c r="B786" t="s">
        <v>509</v>
      </c>
      <c r="C786" t="s">
        <v>511</v>
      </c>
      <c r="D786" t="s">
        <v>961</v>
      </c>
      <c r="E786" s="13" t="n">
        <v>0.5</v>
      </c>
      <c r="F786" s="16" t="n">
        <v>96</v>
      </c>
      <c r="G786" s="14" t="n">
        <v>-0.489073800366903</v>
      </c>
      <c r="H786" s="15" t="n">
        <v>-0.10395584540888</v>
      </c>
    </row>
    <row r="787">
      <c r="A787" t="s">
        <v>30</v>
      </c>
      <c r="B787" t="s">
        <v>512</v>
      </c>
      <c r="C787" t="s">
        <v>513</v>
      </c>
      <c r="D787" t="s">
        <v>961</v>
      </c>
      <c r="E787" s="13" t="n">
        <v>1</v>
      </c>
      <c r="F787" s="16" t="n">
        <v>111</v>
      </c>
      <c r="G787" s="14" t="n">
        <v>-0.743144825477394</v>
      </c>
      <c r="H787" s="15" t="n">
        <v>-0.669130606358858</v>
      </c>
    </row>
    <row r="788">
      <c r="A788" t="s">
        <v>30</v>
      </c>
      <c r="B788" t="s">
        <v>512</v>
      </c>
      <c r="C788" t="s">
        <v>514</v>
      </c>
      <c r="D788" t="s">
        <v>961</v>
      </c>
      <c r="E788" s="13" t="n">
        <v>1.75</v>
      </c>
      <c r="F788" s="16" t="n">
        <v>74</v>
      </c>
      <c r="G788" s="14" t="n">
        <v>-1.48408416827375</v>
      </c>
      <c r="H788" s="15" t="n">
        <v>0.927358712408109</v>
      </c>
    </row>
    <row r="789">
      <c r="A789" t="s">
        <v>30</v>
      </c>
      <c r="B789" t="s">
        <v>971</v>
      </c>
      <c r="C789" t="s">
        <v>972</v>
      </c>
      <c r="D789" t="s">
        <v>961</v>
      </c>
      <c r="E789" s="13" t="n">
        <v>0.75</v>
      </c>
      <c r="F789" s="16" t="n">
        <v>99</v>
      </c>
      <c r="G789" s="14" t="n">
        <v>-0.713292387221365</v>
      </c>
      <c r="H789" s="15" t="n">
        <v>-0.231762745781211</v>
      </c>
    </row>
    <row r="790">
      <c r="A790" t="s">
        <v>30</v>
      </c>
      <c r="B790" t="s">
        <v>515</v>
      </c>
      <c r="C790" t="s">
        <v>516</v>
      </c>
      <c r="D790" t="s">
        <v>961</v>
      </c>
      <c r="E790" s="13" t="n">
        <v>0.5</v>
      </c>
      <c r="F790" s="16" t="n">
        <v>84</v>
      </c>
      <c r="G790" s="14" t="n">
        <v>-0.489073800366903</v>
      </c>
      <c r="H790" s="15" t="n">
        <v>0.10395584540888</v>
      </c>
    </row>
    <row r="791">
      <c r="A791" t="s">
        <v>30</v>
      </c>
      <c r="B791" t="s">
        <v>515</v>
      </c>
      <c r="C791" t="s">
        <v>517</v>
      </c>
      <c r="D791" t="s">
        <v>961</v>
      </c>
      <c r="E791" s="13" t="n">
        <v>0.5</v>
      </c>
      <c r="F791" s="16" t="n">
        <v>92</v>
      </c>
      <c r="G791" s="14" t="n">
        <v>-0.498782025129912</v>
      </c>
      <c r="H791" s="15" t="n">
        <v>-0.0348782368720625</v>
      </c>
    </row>
    <row r="792">
      <c r="A792" t="s">
        <v>30</v>
      </c>
      <c r="B792" t="s">
        <v>518</v>
      </c>
      <c r="C792" t="s">
        <v>519</v>
      </c>
      <c r="D792" t="s">
        <v>961</v>
      </c>
      <c r="E792" s="13" t="n">
        <v>0.5</v>
      </c>
      <c r="F792" s="16" t="n">
        <v>108</v>
      </c>
      <c r="G792" s="14" t="n">
        <v>-0.404508497187474</v>
      </c>
      <c r="H792" s="15" t="n">
        <v>-0.293892626146237</v>
      </c>
    </row>
    <row r="793">
      <c r="A793" t="s">
        <v>30</v>
      </c>
      <c r="B793" t="s">
        <v>518</v>
      </c>
      <c r="C793" t="s">
        <v>520</v>
      </c>
      <c r="D793" t="s">
        <v>961</v>
      </c>
      <c r="E793" s="13" t="n">
        <v>0.75</v>
      </c>
      <c r="F793" s="16" t="n">
        <v>81</v>
      </c>
      <c r="G793" s="14" t="n">
        <v>-0.713292387221365</v>
      </c>
      <c r="H793" s="15" t="n">
        <v>0.231762745781211</v>
      </c>
    </row>
    <row r="794">
      <c r="A794" t="s">
        <v>31</v>
      </c>
      <c r="B794" t="s">
        <v>521</v>
      </c>
      <c r="C794" t="s">
        <v>522</v>
      </c>
      <c r="D794" t="s">
        <v>961</v>
      </c>
      <c r="E794" s="13" t="n">
        <v>1</v>
      </c>
      <c r="F794" s="16" t="n">
        <v>91</v>
      </c>
      <c r="G794" s="14" t="n">
        <v>-0.999390827019096</v>
      </c>
      <c r="H794" s="15" t="n">
        <v>-0.0348994967025011</v>
      </c>
    </row>
    <row r="795">
      <c r="A795" t="s">
        <v>31</v>
      </c>
      <c r="B795" t="s">
        <v>521</v>
      </c>
      <c r="C795" t="s">
        <v>523</v>
      </c>
      <c r="D795" t="s">
        <v>961</v>
      </c>
      <c r="E795" s="13" t="n">
        <v>1</v>
      </c>
      <c r="F795" s="16" t="n">
        <v>76</v>
      </c>
      <c r="G795" s="14" t="n">
        <v>-0.882947592858927</v>
      </c>
      <c r="H795" s="15" t="n">
        <v>0.469471562785891</v>
      </c>
    </row>
    <row r="796">
      <c r="A796" t="s">
        <v>31</v>
      </c>
      <c r="B796" t="s">
        <v>524</v>
      </c>
      <c r="C796" t="s">
        <v>525</v>
      </c>
      <c r="D796" t="s">
        <v>961</v>
      </c>
      <c r="E796" s="13" t="n">
        <v>0.75</v>
      </c>
      <c r="F796" s="16" t="n">
        <v>76</v>
      </c>
      <c r="G796" s="14" t="n">
        <v>-0.662210694644195</v>
      </c>
      <c r="H796" s="15" t="n">
        <v>0.352103672089418</v>
      </c>
    </row>
    <row r="797">
      <c r="A797" t="s">
        <v>31</v>
      </c>
      <c r="B797" t="s">
        <v>524</v>
      </c>
      <c r="C797" t="s">
        <v>526</v>
      </c>
      <c r="D797" t="s">
        <v>961</v>
      </c>
      <c r="E797" s="13" t="n">
        <v>1</v>
      </c>
      <c r="F797" s="16" t="n">
        <v>104</v>
      </c>
      <c r="G797" s="14" t="n">
        <v>-0.882947592858927</v>
      </c>
      <c r="H797" s="15" t="n">
        <v>-0.469471562785891</v>
      </c>
    </row>
    <row r="798">
      <c r="A798" t="s">
        <v>31</v>
      </c>
      <c r="B798" t="s">
        <v>527</v>
      </c>
      <c r="C798" t="s">
        <v>528</v>
      </c>
      <c r="D798" t="s">
        <v>961</v>
      </c>
      <c r="E798" s="13" t="n">
        <v>1.25</v>
      </c>
      <c r="F798" s="16" t="n">
        <v>67</v>
      </c>
      <c r="G798" s="14" t="n">
        <v>-0.868322963073747</v>
      </c>
      <c r="H798" s="15" t="n">
        <v>0.899174750423314</v>
      </c>
    </row>
    <row r="799">
      <c r="A799" t="s">
        <v>31</v>
      </c>
      <c r="B799" t="s">
        <v>527</v>
      </c>
      <c r="C799" t="s">
        <v>529</v>
      </c>
      <c r="D799" t="s">
        <v>961</v>
      </c>
      <c r="E799" s="13" t="n">
        <v>0.25</v>
      </c>
      <c r="F799" s="16" t="n">
        <v>103</v>
      </c>
      <c r="G799" s="14" t="n">
        <v>-0.224698511574792</v>
      </c>
      <c r="H799" s="15" t="n">
        <v>-0.109592786697269</v>
      </c>
    </row>
    <row r="800">
      <c r="A800" t="s">
        <v>31</v>
      </c>
      <c r="B800" t="s">
        <v>530</v>
      </c>
      <c r="C800" t="s">
        <v>531</v>
      </c>
      <c r="D800" t="s">
        <v>961</v>
      </c>
      <c r="E800" s="13" t="n">
        <v>1.75</v>
      </c>
      <c r="F800" s="16" t="n">
        <v>97</v>
      </c>
      <c r="G800" s="14" t="n">
        <v>-1.69801752098299</v>
      </c>
      <c r="H800" s="15" t="n">
        <v>-0.423363317299419</v>
      </c>
    </row>
    <row r="801">
      <c r="A801" t="s">
        <v>31</v>
      </c>
      <c r="B801" t="s">
        <v>530</v>
      </c>
      <c r="C801" t="s">
        <v>532</v>
      </c>
      <c r="D801" t="s">
        <v>961</v>
      </c>
      <c r="E801" s="13" t="n">
        <v>1</v>
      </c>
      <c r="F801" s="16" t="n">
        <v>90</v>
      </c>
      <c r="G801" s="14" t="n">
        <v>-1</v>
      </c>
      <c r="H801" s="15" t="n">
        <v>0</v>
      </c>
    </row>
    <row r="802">
      <c r="A802" t="s">
        <v>31</v>
      </c>
      <c r="B802" t="s">
        <v>533</v>
      </c>
      <c r="C802" t="s">
        <v>534</v>
      </c>
      <c r="D802" t="s">
        <v>961</v>
      </c>
      <c r="E802" s="13" t="n">
        <v>0.5</v>
      </c>
      <c r="F802" s="16" t="n">
        <v>107</v>
      </c>
      <c r="G802" s="14" t="n">
        <v>-0.414518786277521</v>
      </c>
      <c r="H802" s="15" t="n">
        <v>-0.279596451735373</v>
      </c>
    </row>
    <row r="803">
      <c r="A803" t="s">
        <v>31</v>
      </c>
      <c r="B803" t="s">
        <v>535</v>
      </c>
      <c r="C803" t="s">
        <v>536</v>
      </c>
      <c r="D803" t="s">
        <v>961</v>
      </c>
      <c r="E803" s="13" t="n">
        <v>0.25</v>
      </c>
      <c r="F803" s="16" t="n">
        <v>4</v>
      </c>
      <c r="G803" s="14" t="n">
        <v>0.247567017185393</v>
      </c>
      <c r="H803" s="15" t="n">
        <v>0.0347932752400164</v>
      </c>
    </row>
    <row r="804">
      <c r="A804" t="s">
        <v>31</v>
      </c>
      <c r="B804" t="s">
        <v>535</v>
      </c>
      <c r="C804" t="s">
        <v>537</v>
      </c>
      <c r="D804" t="s">
        <v>961</v>
      </c>
      <c r="E804" s="13" t="n">
        <v>0.25</v>
      </c>
      <c r="F804" s="16" t="n">
        <v>179</v>
      </c>
      <c r="G804" s="14" t="n">
        <v>0.249847706754774</v>
      </c>
      <c r="H804" s="15" t="n">
        <v>-0.00872487417562521</v>
      </c>
    </row>
    <row r="805">
      <c r="A805" t="s">
        <v>30</v>
      </c>
      <c r="B805" t="s">
        <v>538</v>
      </c>
      <c r="C805" t="s">
        <v>539</v>
      </c>
      <c r="D805" t="s">
        <v>961</v>
      </c>
      <c r="E805" s="13" t="n">
        <v>1</v>
      </c>
      <c r="F805" s="16" t="n">
        <v>66</v>
      </c>
      <c r="G805" s="14" t="n">
        <v>-0.669130606358858</v>
      </c>
      <c r="H805" s="15" t="n">
        <v>0.743144825477394</v>
      </c>
    </row>
    <row r="806">
      <c r="A806" t="s">
        <v>30</v>
      </c>
      <c r="B806" t="s">
        <v>538</v>
      </c>
      <c r="C806" t="s">
        <v>540</v>
      </c>
      <c r="D806" t="s">
        <v>961</v>
      </c>
      <c r="E806" s="13" t="n">
        <v>1.25</v>
      </c>
      <c r="F806" s="16" t="n">
        <v>97</v>
      </c>
      <c r="G806" s="14" t="n">
        <v>-1.212869657845</v>
      </c>
      <c r="H806" s="15" t="n">
        <v>-0.302402369499585</v>
      </c>
    </row>
    <row r="807">
      <c r="A807" t="s">
        <v>30</v>
      </c>
      <c r="B807" t="s">
        <v>541</v>
      </c>
      <c r="C807" t="s">
        <v>542</v>
      </c>
      <c r="D807" t="s">
        <v>961</v>
      </c>
      <c r="E807" s="13" t="n">
        <v>0.25</v>
      </c>
      <c r="F807" s="16" t="n">
        <v>142</v>
      </c>
      <c r="G807" s="14" t="n">
        <v>0.0604804738999169</v>
      </c>
      <c r="H807" s="15" t="n">
        <v>-0.242573931568999</v>
      </c>
    </row>
    <row r="808">
      <c r="A808" t="s">
        <v>30</v>
      </c>
      <c r="B808" t="s">
        <v>541</v>
      </c>
      <c r="C808" t="s">
        <v>543</v>
      </c>
      <c r="D808" t="s">
        <v>961</v>
      </c>
      <c r="E808" s="13" t="n">
        <v>0.25</v>
      </c>
      <c r="F808" s="16" t="n">
        <v>43</v>
      </c>
      <c r="G808" s="14" t="n">
        <v>0.0174391184360313</v>
      </c>
      <c r="H808" s="15" t="n">
        <v>0.249391012564956</v>
      </c>
    </row>
    <row r="809">
      <c r="A809" t="s">
        <v>31</v>
      </c>
      <c r="B809" t="s">
        <v>973</v>
      </c>
      <c r="C809" t="s">
        <v>974</v>
      </c>
      <c r="D809" t="s">
        <v>961</v>
      </c>
      <c r="E809" s="13" t="n">
        <v>0.75</v>
      </c>
      <c r="F809" s="16" t="n">
        <v>81</v>
      </c>
      <c r="G809" s="14" t="n">
        <v>-0.713292387221365</v>
      </c>
      <c r="H809" s="15" t="n">
        <v>0.231762745781211</v>
      </c>
    </row>
    <row r="810">
      <c r="A810" t="s">
        <v>31</v>
      </c>
      <c r="B810" t="s">
        <v>973</v>
      </c>
      <c r="C810" t="s">
        <v>975</v>
      </c>
      <c r="D810" t="s">
        <v>961</v>
      </c>
      <c r="E810" s="13" t="n">
        <v>1</v>
      </c>
      <c r="F810" s="16" t="n">
        <v>88</v>
      </c>
      <c r="G810" s="14" t="n">
        <v>-0.997564050259824</v>
      </c>
      <c r="H810" s="15" t="n">
        <v>0.0697564737441255</v>
      </c>
    </row>
    <row r="811">
      <c r="A811" t="s">
        <v>31</v>
      </c>
      <c r="B811" t="s">
        <v>544</v>
      </c>
      <c r="C811" t="s">
        <v>545</v>
      </c>
      <c r="D811" t="s">
        <v>961</v>
      </c>
      <c r="E811" s="13" t="n">
        <v>0.5</v>
      </c>
      <c r="F811" s="16" t="n">
        <v>62</v>
      </c>
      <c r="G811" s="14" t="n">
        <v>-0.279596451735373</v>
      </c>
      <c r="H811" s="15" t="n">
        <v>0.414518786277521</v>
      </c>
    </row>
    <row r="812">
      <c r="A812" t="s">
        <v>31</v>
      </c>
      <c r="B812" t="s">
        <v>544</v>
      </c>
      <c r="C812" t="s">
        <v>546</v>
      </c>
      <c r="D812" t="s">
        <v>961</v>
      </c>
      <c r="E812" s="13" t="n">
        <v>0.5</v>
      </c>
      <c r="F812" s="16" t="n">
        <v>133</v>
      </c>
      <c r="G812" s="14" t="n">
        <v>-0.0348782368720628</v>
      </c>
      <c r="H812" s="15" t="n">
        <v>-0.498782025129912</v>
      </c>
    </row>
    <row r="813">
      <c r="A813" t="s">
        <v>30</v>
      </c>
      <c r="B813" t="s">
        <v>547</v>
      </c>
      <c r="C813" t="s">
        <v>548</v>
      </c>
      <c r="D813" t="s">
        <v>961</v>
      </c>
      <c r="E813" s="13" t="n">
        <v>0.5</v>
      </c>
      <c r="F813" s="16" t="n">
        <v>86</v>
      </c>
      <c r="G813" s="14" t="n">
        <v>-0.495134034370785</v>
      </c>
      <c r="H813" s="15" t="n">
        <v>0.0695865504800327</v>
      </c>
    </row>
    <row r="814">
      <c r="A814" t="s">
        <v>30</v>
      </c>
      <c r="B814" t="s">
        <v>547</v>
      </c>
      <c r="C814" t="s">
        <v>549</v>
      </c>
      <c r="D814" t="s">
        <v>961</v>
      </c>
      <c r="E814" s="13" t="n">
        <v>0.5</v>
      </c>
      <c r="F814" s="16" t="n">
        <v>101</v>
      </c>
      <c r="G814" s="14" t="n">
        <v>-0.463591927283394</v>
      </c>
      <c r="H814" s="15" t="n">
        <v>-0.187303296707956</v>
      </c>
    </row>
    <row r="815">
      <c r="A815" t="s">
        <v>31</v>
      </c>
      <c r="B815" t="s">
        <v>550</v>
      </c>
      <c r="C815" t="s">
        <v>551</v>
      </c>
      <c r="D815" t="s">
        <v>961</v>
      </c>
      <c r="E815" s="13" t="n">
        <v>0.25</v>
      </c>
      <c r="F815" s="16" t="n">
        <v>94</v>
      </c>
      <c r="G815" s="14" t="n">
        <v>-0.247567017185393</v>
      </c>
      <c r="H815" s="15" t="n">
        <v>-0.0347932752400164</v>
      </c>
    </row>
    <row r="816">
      <c r="A816" t="s">
        <v>31</v>
      </c>
      <c r="B816" t="s">
        <v>552</v>
      </c>
      <c r="C816" t="s">
        <v>553</v>
      </c>
      <c r="D816" t="s">
        <v>961</v>
      </c>
      <c r="E816" s="13" t="n">
        <v>0.5</v>
      </c>
      <c r="F816" s="16" t="n">
        <v>51</v>
      </c>
      <c r="G816" s="14" t="n">
        <v>-0.10395584540888</v>
      </c>
      <c r="H816" s="15" t="n">
        <v>0.489073800366903</v>
      </c>
    </row>
    <row r="817">
      <c r="A817" t="s">
        <v>30</v>
      </c>
      <c r="B817" t="s">
        <v>554</v>
      </c>
      <c r="C817" t="s">
        <v>555</v>
      </c>
      <c r="D817" t="s">
        <v>961</v>
      </c>
      <c r="E817" s="13" t="n">
        <v>1</v>
      </c>
      <c r="F817" s="16" t="n">
        <v>10</v>
      </c>
      <c r="G817" s="14" t="n">
        <v>0.939692620785908</v>
      </c>
      <c r="H817" s="15" t="n">
        <v>0.342020143325669</v>
      </c>
    </row>
    <row r="818">
      <c r="A818" t="s">
        <v>30</v>
      </c>
      <c r="B818" t="s">
        <v>554</v>
      </c>
      <c r="C818" t="s">
        <v>556</v>
      </c>
      <c r="D818" t="s">
        <v>961</v>
      </c>
      <c r="E818" s="13" t="n">
        <v>0.75</v>
      </c>
      <c r="F818" s="16" t="n">
        <v>176</v>
      </c>
      <c r="G818" s="14" t="n">
        <v>0.742701051556178</v>
      </c>
      <c r="H818" s="15" t="n">
        <v>-0.104379825720049</v>
      </c>
    </row>
    <row r="819">
      <c r="A819" t="s">
        <v>30</v>
      </c>
      <c r="B819" t="s">
        <v>976</v>
      </c>
      <c r="C819" t="s">
        <v>977</v>
      </c>
      <c r="D819" t="s">
        <v>961</v>
      </c>
      <c r="E819" s="13" t="n">
        <v>0.75</v>
      </c>
      <c r="F819" s="16" t="n">
        <v>87</v>
      </c>
      <c r="G819" s="14" t="n">
        <v>-0.745891421526205</v>
      </c>
      <c r="H819" s="15" t="n">
        <v>0.0783963474507403</v>
      </c>
    </row>
    <row r="820">
      <c r="A820" t="s">
        <v>30</v>
      </c>
      <c r="B820" t="s">
        <v>976</v>
      </c>
      <c r="C820" t="s">
        <v>978</v>
      </c>
      <c r="D820" t="s">
        <v>961</v>
      </c>
      <c r="E820" s="13" t="n">
        <v>0.5</v>
      </c>
      <c r="F820" s="16" t="n">
        <v>109</v>
      </c>
      <c r="G820" s="14" t="n">
        <v>-0.394005376803361</v>
      </c>
      <c r="H820" s="15" t="n">
        <v>-0.307830737662829</v>
      </c>
    </row>
    <row r="821">
      <c r="A821" t="s">
        <v>30</v>
      </c>
      <c r="B821" t="s">
        <v>557</v>
      </c>
      <c r="C821" t="s">
        <v>558</v>
      </c>
      <c r="D821" t="s">
        <v>961</v>
      </c>
      <c r="E821" s="13" t="n">
        <v>3</v>
      </c>
      <c r="F821" s="16" t="n">
        <v>68</v>
      </c>
      <c r="G821" s="14" t="n">
        <v>-2.15801940101595</v>
      </c>
      <c r="H821" s="15" t="n">
        <v>2.08397511137699</v>
      </c>
    </row>
    <row r="822">
      <c r="A822" t="s">
        <v>30</v>
      </c>
      <c r="B822" t="s">
        <v>557</v>
      </c>
      <c r="C822" t="s">
        <v>559</v>
      </c>
      <c r="D822" t="s">
        <v>961</v>
      </c>
      <c r="E822" s="13" t="n">
        <v>1.75</v>
      </c>
      <c r="F822" s="16" t="n">
        <v>114</v>
      </c>
      <c r="G822" s="14" t="n">
        <v>-1.170978561128</v>
      </c>
      <c r="H822" s="15" t="n">
        <v>-1.30050344458544</v>
      </c>
    </row>
    <row r="823">
      <c r="A823" t="s">
        <v>30</v>
      </c>
      <c r="B823" t="s">
        <v>560</v>
      </c>
      <c r="C823" t="s">
        <v>561</v>
      </c>
      <c r="D823" t="s">
        <v>961</v>
      </c>
      <c r="E823" s="13" t="n">
        <v>1.25</v>
      </c>
      <c r="F823" s="16" t="n">
        <v>89</v>
      </c>
      <c r="G823" s="14" t="n">
        <v>-1.24923853377387</v>
      </c>
      <c r="H823" s="15" t="n">
        <v>0.0436243708781264</v>
      </c>
    </row>
    <row r="824">
      <c r="A824" t="s">
        <v>31</v>
      </c>
      <c r="B824" t="s">
        <v>562</v>
      </c>
      <c r="C824" t="s">
        <v>563</v>
      </c>
      <c r="D824" t="s">
        <v>961</v>
      </c>
      <c r="E824" s="13" t="n">
        <v>0.75</v>
      </c>
      <c r="F824" s="16" t="n">
        <v>94</v>
      </c>
      <c r="G824" s="14" t="n">
        <v>-0.742701051556178</v>
      </c>
      <c r="H824" s="15" t="n">
        <v>-0.104379825720049</v>
      </c>
    </row>
    <row r="825">
      <c r="A825" t="s">
        <v>30</v>
      </c>
      <c r="B825" t="s">
        <v>564</v>
      </c>
      <c r="C825" t="s">
        <v>565</v>
      </c>
      <c r="D825" t="s">
        <v>961</v>
      </c>
      <c r="E825" s="13" t="n">
        <v>0.5</v>
      </c>
      <c r="F825" s="16" t="n">
        <v>108</v>
      </c>
      <c r="G825" s="14" t="n">
        <v>-0.404508497187474</v>
      </c>
      <c r="H825" s="15" t="n">
        <v>-0.293892626146237</v>
      </c>
    </row>
    <row r="826">
      <c r="A826" t="s">
        <v>30</v>
      </c>
      <c r="B826" t="s">
        <v>564</v>
      </c>
      <c r="C826" t="s">
        <v>566</v>
      </c>
      <c r="D826" t="s">
        <v>961</v>
      </c>
      <c r="E826" s="13" t="n">
        <v>1</v>
      </c>
      <c r="F826" s="16" t="n">
        <v>72</v>
      </c>
      <c r="G826" s="14" t="n">
        <v>-0.809016994374947</v>
      </c>
      <c r="H826" s="15" t="n">
        <v>0.587785252292473</v>
      </c>
    </row>
    <row r="827">
      <c r="A827" t="s">
        <v>31</v>
      </c>
      <c r="B827" t="s">
        <v>979</v>
      </c>
      <c r="C827" t="s">
        <v>980</v>
      </c>
      <c r="D827" t="s">
        <v>961</v>
      </c>
      <c r="E827" s="13" t="n">
        <v>0.5</v>
      </c>
      <c r="F827" s="16" t="n">
        <v>40</v>
      </c>
      <c r="G827" s="14" t="n">
        <v>0.0868240888334652</v>
      </c>
      <c r="H827" s="15" t="n">
        <v>0.492403876506104</v>
      </c>
    </row>
    <row r="828">
      <c r="A828" t="s">
        <v>31</v>
      </c>
      <c r="B828" t="s">
        <v>979</v>
      </c>
      <c r="C828" t="s">
        <v>981</v>
      </c>
      <c r="D828" t="s">
        <v>961</v>
      </c>
      <c r="E828" s="13" t="n">
        <v>1</v>
      </c>
      <c r="F828" s="16" t="n">
        <v>134</v>
      </c>
      <c r="G828" s="14" t="n">
        <v>-0.0348994967025008</v>
      </c>
      <c r="H828" s="15" t="n">
        <v>-0.999390827019096</v>
      </c>
    </row>
    <row r="829">
      <c r="A829" t="s">
        <v>31</v>
      </c>
      <c r="B829" t="s">
        <v>567</v>
      </c>
      <c r="C829" t="s">
        <v>568</v>
      </c>
      <c r="D829" t="s">
        <v>961</v>
      </c>
      <c r="E829" s="13" t="n">
        <v>0.25</v>
      </c>
      <c r="F829" s="16" t="n">
        <v>87</v>
      </c>
      <c r="G829" s="14" t="n">
        <v>-0.248630473842068</v>
      </c>
      <c r="H829" s="15" t="n">
        <v>0.0261321158169134</v>
      </c>
    </row>
    <row r="830">
      <c r="A830" t="s">
        <v>31</v>
      </c>
      <c r="B830" t="s">
        <v>567</v>
      </c>
      <c r="C830" t="s">
        <v>569</v>
      </c>
      <c r="D830" t="s">
        <v>961</v>
      </c>
      <c r="E830" s="13" t="n">
        <v>1</v>
      </c>
      <c r="F830" s="16" t="n">
        <v>96</v>
      </c>
      <c r="G830" s="14" t="n">
        <v>-0.978147600733806</v>
      </c>
      <c r="H830" s="15" t="n">
        <v>-0.207911690817759</v>
      </c>
    </row>
    <row r="831">
      <c r="A831" t="s">
        <v>31</v>
      </c>
      <c r="B831" t="s">
        <v>570</v>
      </c>
      <c r="C831" t="s">
        <v>571</v>
      </c>
      <c r="D831" t="s">
        <v>961</v>
      </c>
      <c r="E831" s="13" t="n">
        <v>0.75</v>
      </c>
      <c r="F831" s="16" t="n">
        <v>88</v>
      </c>
      <c r="G831" s="14" t="n">
        <v>-0.748173037694868</v>
      </c>
      <c r="H831" s="15" t="n">
        <v>0.0523173553080941</v>
      </c>
    </row>
    <row r="832">
      <c r="A832" t="s">
        <v>31</v>
      </c>
      <c r="B832" t="s">
        <v>570</v>
      </c>
      <c r="C832" t="s">
        <v>572</v>
      </c>
      <c r="D832" t="s">
        <v>961</v>
      </c>
      <c r="E832" s="13" t="n">
        <v>0.5</v>
      </c>
      <c r="F832" s="16" t="n">
        <v>95</v>
      </c>
      <c r="G832" s="14" t="n">
        <v>-0.492403876506104</v>
      </c>
      <c r="H832" s="15" t="n">
        <v>-0.0868240888334653</v>
      </c>
    </row>
    <row r="833">
      <c r="A833" t="s">
        <v>30</v>
      </c>
      <c r="B833" t="s">
        <v>982</v>
      </c>
      <c r="C833" t="s">
        <v>983</v>
      </c>
      <c r="D833" t="s">
        <v>961</v>
      </c>
      <c r="E833" s="13" t="n">
        <v>0.25</v>
      </c>
      <c r="F833" s="16" t="n">
        <v>126</v>
      </c>
      <c r="G833" s="14" t="n">
        <v>-0.0772542485937369</v>
      </c>
      <c r="H833" s="15" t="n">
        <v>-0.237764129073788</v>
      </c>
    </row>
    <row r="834">
      <c r="A834" t="s">
        <v>30</v>
      </c>
      <c r="B834" t="s">
        <v>982</v>
      </c>
      <c r="C834" t="s">
        <v>984</v>
      </c>
      <c r="D834" t="s">
        <v>961</v>
      </c>
      <c r="E834" s="13" t="n">
        <v>0.5</v>
      </c>
      <c r="F834" s="16" t="n">
        <v>55</v>
      </c>
      <c r="G834" s="14" t="n">
        <v>-0.171010071662834</v>
      </c>
      <c r="H834" s="15" t="n">
        <v>0.469846310392954</v>
      </c>
    </row>
    <row r="835">
      <c r="A835" t="s">
        <v>30</v>
      </c>
      <c r="B835" t="s">
        <v>573</v>
      </c>
      <c r="C835" t="s">
        <v>574</v>
      </c>
      <c r="D835" t="s">
        <v>961</v>
      </c>
      <c r="E835" s="13" t="n">
        <v>1.75</v>
      </c>
      <c r="F835" s="16" t="n">
        <v>89</v>
      </c>
      <c r="G835" s="14" t="n">
        <v>-1.74893394728342</v>
      </c>
      <c r="H835" s="15" t="n">
        <v>0.061074119229377</v>
      </c>
    </row>
    <row r="836">
      <c r="A836" t="s">
        <v>30</v>
      </c>
      <c r="B836" t="s">
        <v>573</v>
      </c>
      <c r="C836" t="s">
        <v>575</v>
      </c>
      <c r="D836" t="s">
        <v>961</v>
      </c>
      <c r="E836" s="13" t="n">
        <v>2</v>
      </c>
      <c r="F836" s="16" t="n">
        <v>91</v>
      </c>
      <c r="G836" s="14" t="n">
        <v>-1.99878165403819</v>
      </c>
      <c r="H836" s="15" t="n">
        <v>-0.0697989934050023</v>
      </c>
    </row>
    <row r="837">
      <c r="A837" t="s">
        <v>30</v>
      </c>
      <c r="B837" t="s">
        <v>576</v>
      </c>
      <c r="C837" t="s">
        <v>577</v>
      </c>
      <c r="D837" t="s">
        <v>961</v>
      </c>
      <c r="E837" s="13" t="n">
        <v>1</v>
      </c>
      <c r="F837" s="16" t="n">
        <v>102</v>
      </c>
      <c r="G837" s="14" t="n">
        <v>-0.913545457642601</v>
      </c>
      <c r="H837" s="15" t="n">
        <v>-0.4067366430758</v>
      </c>
    </row>
    <row r="838">
      <c r="A838" t="s">
        <v>30</v>
      </c>
      <c r="B838" t="s">
        <v>576</v>
      </c>
      <c r="C838" t="s">
        <v>578</v>
      </c>
      <c r="D838" t="s">
        <v>961</v>
      </c>
      <c r="E838" s="13" t="n">
        <v>1</v>
      </c>
      <c r="F838" s="16" t="n">
        <v>84</v>
      </c>
      <c r="G838" s="14" t="n">
        <v>-0.978147600733806</v>
      </c>
      <c r="H838" s="15" t="n">
        <v>0.207911690817759</v>
      </c>
    </row>
    <row r="839">
      <c r="A839" t="s">
        <v>31</v>
      </c>
      <c r="B839" t="s">
        <v>579</v>
      </c>
      <c r="C839" t="s">
        <v>580</v>
      </c>
      <c r="D839" t="s">
        <v>961</v>
      </c>
      <c r="E839" s="13" t="n">
        <v>0.25</v>
      </c>
      <c r="F839" s="16" t="n">
        <v>85</v>
      </c>
      <c r="G839" s="14" t="n">
        <v>-0.246201938253052</v>
      </c>
      <c r="H839" s="15" t="n">
        <v>0.0434120444167327</v>
      </c>
    </row>
    <row r="840">
      <c r="A840" t="s">
        <v>31</v>
      </c>
      <c r="B840" t="s">
        <v>579</v>
      </c>
      <c r="C840" t="s">
        <v>581</v>
      </c>
      <c r="D840" t="s">
        <v>961</v>
      </c>
      <c r="E840" s="13" t="n">
        <v>0.25</v>
      </c>
      <c r="F840" s="16" t="n">
        <v>105</v>
      </c>
      <c r="G840" s="14" t="n">
        <v>-0.21650635094611</v>
      </c>
      <c r="H840" s="15" t="n">
        <v>-0.125</v>
      </c>
    </row>
    <row r="841">
      <c r="A841" t="s">
        <v>30</v>
      </c>
      <c r="B841" t="s">
        <v>582</v>
      </c>
      <c r="C841" t="s">
        <v>583</v>
      </c>
      <c r="D841" t="s">
        <v>961</v>
      </c>
      <c r="E841" s="13" t="n">
        <v>1</v>
      </c>
      <c r="F841" s="16" t="n">
        <v>84</v>
      </c>
      <c r="G841" s="14" t="n">
        <v>-0.978147600733806</v>
      </c>
      <c r="H841" s="15" t="n">
        <v>0.207911690817759</v>
      </c>
    </row>
    <row r="842">
      <c r="A842" t="s">
        <v>31</v>
      </c>
      <c r="B842" t="s">
        <v>584</v>
      </c>
      <c r="C842" t="s">
        <v>585</v>
      </c>
      <c r="D842" t="s">
        <v>961</v>
      </c>
      <c r="E842" s="13" t="n">
        <v>0.5</v>
      </c>
      <c r="F842" s="16" t="n">
        <v>172</v>
      </c>
      <c r="G842" s="14" t="n">
        <v>0.480630847969159</v>
      </c>
      <c r="H842" s="15" t="n">
        <v>-0.137818677908499</v>
      </c>
    </row>
    <row r="843">
      <c r="A843" t="s">
        <v>31</v>
      </c>
      <c r="B843" t="s">
        <v>586</v>
      </c>
      <c r="C843" t="s">
        <v>587</v>
      </c>
      <c r="D843" t="s">
        <v>961</v>
      </c>
      <c r="E843" s="13" t="n">
        <v>0.75</v>
      </c>
      <c r="F843" s="16" t="n">
        <v>78</v>
      </c>
      <c r="G843" s="14" t="n">
        <v>-0.685159093231951</v>
      </c>
      <c r="H843" s="15" t="n">
        <v>0.30505248230685</v>
      </c>
    </row>
    <row r="844">
      <c r="A844" t="s">
        <v>31</v>
      </c>
      <c r="B844" t="s">
        <v>586</v>
      </c>
      <c r="C844" t="s">
        <v>588</v>
      </c>
      <c r="D844" t="s">
        <v>961</v>
      </c>
      <c r="E844" s="13" t="n">
        <v>0.75</v>
      </c>
      <c r="F844" s="16" t="n">
        <v>106</v>
      </c>
      <c r="G844" s="14" t="n">
        <v>-0.636036072117319</v>
      </c>
      <c r="H844" s="15" t="n">
        <v>-0.397439448174904</v>
      </c>
    </row>
    <row r="845">
      <c r="A845" t="s">
        <v>31</v>
      </c>
      <c r="B845" t="s">
        <v>589</v>
      </c>
      <c r="C845" t="s">
        <v>590</v>
      </c>
      <c r="D845" t="s">
        <v>961</v>
      </c>
      <c r="E845" s="13" t="n">
        <v>0.75</v>
      </c>
      <c r="F845" s="16" t="n">
        <v>99</v>
      </c>
      <c r="G845" s="14" t="n">
        <v>-0.713292387221365</v>
      </c>
      <c r="H845" s="15" t="n">
        <v>-0.231762745781211</v>
      </c>
    </row>
    <row r="846">
      <c r="A846" t="s">
        <v>31</v>
      </c>
      <c r="B846" t="s">
        <v>589</v>
      </c>
      <c r="C846" t="s">
        <v>591</v>
      </c>
      <c r="D846" t="s">
        <v>961</v>
      </c>
      <c r="E846" s="13" t="n">
        <v>0.5</v>
      </c>
      <c r="F846" s="16" t="n">
        <v>74</v>
      </c>
      <c r="G846" s="14" t="n">
        <v>-0.424024048078213</v>
      </c>
      <c r="H846" s="15" t="n">
        <v>0.264959632116602</v>
      </c>
    </row>
    <row r="847">
      <c r="A847" t="s">
        <v>30</v>
      </c>
      <c r="B847" t="s">
        <v>985</v>
      </c>
      <c r="C847" t="s">
        <v>986</v>
      </c>
      <c r="D847" t="s">
        <v>961</v>
      </c>
      <c r="E847" s="13" t="n">
        <v>0.75</v>
      </c>
      <c r="F847" s="16" t="n">
        <v>82</v>
      </c>
      <c r="G847" s="14" t="n">
        <v>-0.720946271953739</v>
      </c>
      <c r="H847" s="15" t="n">
        <v>0.206728016862749</v>
      </c>
    </row>
    <row r="848">
      <c r="A848" t="s">
        <v>31</v>
      </c>
      <c r="B848" t="s">
        <v>987</v>
      </c>
      <c r="C848" t="s">
        <v>988</v>
      </c>
      <c r="D848" t="s">
        <v>961</v>
      </c>
      <c r="E848" s="13" t="n">
        <v>1.25</v>
      </c>
      <c r="F848" s="16" t="n">
        <v>68</v>
      </c>
      <c r="G848" s="14" t="n">
        <v>-0.899174750423314</v>
      </c>
      <c r="H848" s="15" t="n">
        <v>0.868322963073747</v>
      </c>
    </row>
    <row r="849">
      <c r="A849" t="s">
        <v>30</v>
      </c>
      <c r="B849" t="s">
        <v>592</v>
      </c>
      <c r="C849" t="s">
        <v>593</v>
      </c>
      <c r="D849" t="s">
        <v>961</v>
      </c>
      <c r="E849" s="13" t="n">
        <v>1.25</v>
      </c>
      <c r="F849" s="16" t="n">
        <v>103</v>
      </c>
      <c r="G849" s="14" t="n">
        <v>-1.12349255787396</v>
      </c>
      <c r="H849" s="15" t="n">
        <v>-0.547963933486347</v>
      </c>
    </row>
    <row r="850">
      <c r="A850" t="s">
        <v>30</v>
      </c>
      <c r="B850" t="s">
        <v>592</v>
      </c>
      <c r="C850" t="s">
        <v>594</v>
      </c>
      <c r="D850" t="s">
        <v>961</v>
      </c>
      <c r="E850" s="13" t="n">
        <v>1</v>
      </c>
      <c r="F850" s="16" t="n">
        <v>88</v>
      </c>
      <c r="G850" s="14" t="n">
        <v>-0.997564050259824</v>
      </c>
      <c r="H850" s="15" t="n">
        <v>0.0697564737441255</v>
      </c>
    </row>
    <row r="851">
      <c r="A851" t="s">
        <v>30</v>
      </c>
      <c r="B851" t="s">
        <v>595</v>
      </c>
      <c r="C851" t="s">
        <v>596</v>
      </c>
      <c r="D851" t="s">
        <v>961</v>
      </c>
      <c r="E851" s="13" t="n">
        <v>3.5</v>
      </c>
      <c r="F851" s="16" t="n">
        <v>66</v>
      </c>
      <c r="G851" s="14" t="n">
        <v>-2.341957122256</v>
      </c>
      <c r="H851" s="15" t="n">
        <v>2.60100688917088</v>
      </c>
    </row>
    <row r="852">
      <c r="A852" t="s">
        <v>30</v>
      </c>
      <c r="B852" t="s">
        <v>595</v>
      </c>
      <c r="C852" t="s">
        <v>597</v>
      </c>
      <c r="D852" t="s">
        <v>961</v>
      </c>
      <c r="E852" s="13" t="n">
        <v>3</v>
      </c>
      <c r="F852" s="16" t="n">
        <v>109</v>
      </c>
      <c r="G852" s="14" t="n">
        <v>-2.36403226082017</v>
      </c>
      <c r="H852" s="15" t="n">
        <v>-1.84698442597697</v>
      </c>
    </row>
    <row r="853">
      <c r="A853" t="s">
        <v>31</v>
      </c>
      <c r="B853" t="s">
        <v>598</v>
      </c>
      <c r="C853" t="s">
        <v>599</v>
      </c>
      <c r="D853" t="s">
        <v>961</v>
      </c>
      <c r="E853" s="13" t="n">
        <v>0.5</v>
      </c>
      <c r="F853" s="16" t="n">
        <v>100</v>
      </c>
      <c r="G853" s="14" t="n">
        <v>-0.469846310392954</v>
      </c>
      <c r="H853" s="15" t="n">
        <v>-0.171010071662834</v>
      </c>
    </row>
    <row r="854">
      <c r="A854" t="s">
        <v>31</v>
      </c>
      <c r="B854" t="s">
        <v>598</v>
      </c>
      <c r="C854" t="s">
        <v>600</v>
      </c>
      <c r="D854" t="s">
        <v>961</v>
      </c>
      <c r="E854" s="13" t="n">
        <v>0.5</v>
      </c>
      <c r="F854" s="16" t="n">
        <v>64</v>
      </c>
      <c r="G854" s="14" t="n">
        <v>-0.307830737662829</v>
      </c>
      <c r="H854" s="15" t="n">
        <v>0.394005376803361</v>
      </c>
    </row>
    <row r="855">
      <c r="A855" t="s">
        <v>30</v>
      </c>
      <c r="B855" t="s">
        <v>601</v>
      </c>
      <c r="C855" t="s">
        <v>602</v>
      </c>
      <c r="D855" t="s">
        <v>961</v>
      </c>
      <c r="E855" s="13" t="n">
        <v>0.5</v>
      </c>
      <c r="F855" s="16" t="n">
        <v>66</v>
      </c>
      <c r="G855" s="14" t="n">
        <v>-0.334565303179429</v>
      </c>
      <c r="H855" s="15" t="n">
        <v>0.371572412738697</v>
      </c>
    </row>
    <row r="856">
      <c r="A856" t="s">
        <v>30</v>
      </c>
      <c r="B856" t="s">
        <v>601</v>
      </c>
      <c r="C856" t="s">
        <v>603</v>
      </c>
      <c r="D856" t="s">
        <v>961</v>
      </c>
      <c r="E856" s="13" t="n">
        <v>0.5</v>
      </c>
      <c r="F856" s="16" t="n">
        <v>101</v>
      </c>
      <c r="G856" s="14" t="n">
        <v>-0.463591927283394</v>
      </c>
      <c r="H856" s="15" t="n">
        <v>-0.187303296707956</v>
      </c>
    </row>
    <row r="857">
      <c r="A857" t="s">
        <v>31</v>
      </c>
      <c r="B857" t="s">
        <v>989</v>
      </c>
      <c r="C857" t="s">
        <v>990</v>
      </c>
      <c r="D857" t="s">
        <v>961</v>
      </c>
      <c r="E857" s="13" t="n">
        <v>0.75</v>
      </c>
      <c r="F857" s="16" t="n">
        <v>67</v>
      </c>
      <c r="G857" s="14" t="n">
        <v>-0.520993777844248</v>
      </c>
      <c r="H857" s="15" t="n">
        <v>0.539504850253988</v>
      </c>
    </row>
    <row r="858">
      <c r="A858" t="s">
        <v>31</v>
      </c>
      <c r="B858" t="s">
        <v>989</v>
      </c>
      <c r="C858" t="s">
        <v>991</v>
      </c>
      <c r="D858" t="s">
        <v>961</v>
      </c>
      <c r="E858" s="13" t="n">
        <v>0.5</v>
      </c>
      <c r="F858" s="16" t="n">
        <v>110</v>
      </c>
      <c r="G858" s="14" t="n">
        <v>-0.383022221559489</v>
      </c>
      <c r="H858" s="15" t="n">
        <v>-0.32139380484327</v>
      </c>
    </row>
    <row r="859">
      <c r="A859" t="s">
        <v>31</v>
      </c>
      <c r="B859" t="s">
        <v>604</v>
      </c>
      <c r="C859" t="s">
        <v>605</v>
      </c>
      <c r="D859" t="s">
        <v>961</v>
      </c>
      <c r="E859" s="13" t="n">
        <v>0.75</v>
      </c>
      <c r="F859" s="16" t="n">
        <v>80</v>
      </c>
      <c r="G859" s="14" t="n">
        <v>-0.704769465589431</v>
      </c>
      <c r="H859" s="15" t="n">
        <v>0.256515107494252</v>
      </c>
    </row>
    <row r="860">
      <c r="A860" t="s">
        <v>31</v>
      </c>
      <c r="B860" t="s">
        <v>604</v>
      </c>
      <c r="C860" t="s">
        <v>606</v>
      </c>
      <c r="D860" t="s">
        <v>961</v>
      </c>
      <c r="E860" s="13" t="n">
        <v>0.75</v>
      </c>
      <c r="F860" s="16" t="n">
        <v>96</v>
      </c>
      <c r="G860" s="14" t="n">
        <v>-0.733610700550354</v>
      </c>
      <c r="H860" s="15" t="n">
        <v>-0.155933768113319</v>
      </c>
    </row>
    <row r="861">
      <c r="A861" t="s">
        <v>30</v>
      </c>
      <c r="B861" t="s">
        <v>607</v>
      </c>
      <c r="C861" t="s">
        <v>608</v>
      </c>
      <c r="D861" t="s">
        <v>961</v>
      </c>
      <c r="E861" s="13" t="n">
        <v>0.5</v>
      </c>
      <c r="F861" s="16" t="n">
        <v>131</v>
      </c>
      <c r="G861" s="14" t="n">
        <v>-0.0695865504800329</v>
      </c>
      <c r="H861" s="15" t="n">
        <v>-0.495134034370785</v>
      </c>
    </row>
    <row r="862">
      <c r="A862" t="s">
        <v>30</v>
      </c>
      <c r="B862" t="s">
        <v>609</v>
      </c>
      <c r="C862" t="s">
        <v>610</v>
      </c>
      <c r="D862" t="s">
        <v>961</v>
      </c>
      <c r="E862" s="13" t="n">
        <v>0.75</v>
      </c>
      <c r="F862" s="16" t="n">
        <v>10</v>
      </c>
      <c r="G862" s="14" t="n">
        <v>0.704769465589431</v>
      </c>
      <c r="H862" s="15" t="n">
        <v>0.256515107494252</v>
      </c>
    </row>
    <row r="863">
      <c r="A863" t="s">
        <v>30</v>
      </c>
      <c r="B863" t="s">
        <v>609</v>
      </c>
      <c r="C863" t="s">
        <v>611</v>
      </c>
      <c r="D863" t="s">
        <v>961</v>
      </c>
      <c r="E863" s="13" t="n">
        <v>0.5</v>
      </c>
      <c r="F863" s="16" t="n">
        <v>6</v>
      </c>
      <c r="G863" s="14" t="n">
        <v>0.489073800366903</v>
      </c>
      <c r="H863" s="15" t="n">
        <v>0.10395584540888</v>
      </c>
    </row>
    <row r="864">
      <c r="A864" t="s">
        <v>30</v>
      </c>
      <c r="B864" t="s">
        <v>612</v>
      </c>
      <c r="C864" t="s">
        <v>613</v>
      </c>
      <c r="D864" t="s">
        <v>961</v>
      </c>
      <c r="E864" s="13" t="n">
        <v>0.75</v>
      </c>
      <c r="F864" s="16" t="n">
        <v>121</v>
      </c>
      <c r="G864" s="14" t="n">
        <v>-0.352103672089418</v>
      </c>
      <c r="H864" s="15" t="n">
        <v>-0.662210694644195</v>
      </c>
    </row>
    <row r="865">
      <c r="A865" t="s">
        <v>30</v>
      </c>
      <c r="B865" t="s">
        <v>612</v>
      </c>
      <c r="C865" t="s">
        <v>614</v>
      </c>
      <c r="D865" t="s">
        <v>961</v>
      </c>
      <c r="E865" s="13" t="n">
        <v>0.25</v>
      </c>
      <c r="F865" s="16" t="n">
        <v>66</v>
      </c>
      <c r="G865" s="14" t="n">
        <v>-0.167282651589714</v>
      </c>
      <c r="H865" s="15" t="n">
        <v>0.185786206369349</v>
      </c>
    </row>
    <row r="866">
      <c r="A866" t="s">
        <v>30</v>
      </c>
      <c r="B866" t="s">
        <v>615</v>
      </c>
      <c r="C866" t="s">
        <v>616</v>
      </c>
      <c r="D866" t="s">
        <v>961</v>
      </c>
      <c r="E866" s="13" t="n">
        <v>2</v>
      </c>
      <c r="F866" s="16" t="n">
        <v>113</v>
      </c>
      <c r="G866" s="14" t="n">
        <v>-1.389316740918</v>
      </c>
      <c r="H866" s="15" t="n">
        <v>-1.4386796006773</v>
      </c>
    </row>
    <row r="867">
      <c r="A867" t="s">
        <v>30</v>
      </c>
      <c r="B867" t="s">
        <v>617</v>
      </c>
      <c r="C867" t="s">
        <v>618</v>
      </c>
      <c r="D867" t="s">
        <v>961</v>
      </c>
      <c r="E867" s="13" t="n">
        <v>0.5</v>
      </c>
      <c r="F867" s="16" t="n">
        <v>50</v>
      </c>
      <c r="G867" s="14" t="n">
        <v>-0.0868240888334652</v>
      </c>
      <c r="H867" s="15" t="n">
        <v>0.492403876506104</v>
      </c>
    </row>
    <row r="868">
      <c r="A868" t="s">
        <v>30</v>
      </c>
      <c r="B868" t="s">
        <v>617</v>
      </c>
      <c r="C868" t="s">
        <v>619</v>
      </c>
      <c r="D868" t="s">
        <v>961</v>
      </c>
      <c r="E868" s="13" t="n">
        <v>0.25</v>
      </c>
      <c r="F868" s="16" t="n">
        <v>132</v>
      </c>
      <c r="G868" s="14" t="n">
        <v>-0.0261321158169136</v>
      </c>
      <c r="H868" s="15" t="n">
        <v>-0.248630473842068</v>
      </c>
    </row>
    <row r="869">
      <c r="A869" t="s">
        <v>30</v>
      </c>
      <c r="B869" t="s">
        <v>620</v>
      </c>
      <c r="C869" t="s">
        <v>621</v>
      </c>
      <c r="D869" t="s">
        <v>961</v>
      </c>
      <c r="E869" s="13" t="n">
        <v>0.75</v>
      </c>
      <c r="F869" s="16" t="n">
        <v>94</v>
      </c>
      <c r="G869" s="14" t="n">
        <v>-0.742701051556178</v>
      </c>
      <c r="H869" s="15" t="n">
        <v>-0.104379825720049</v>
      </c>
    </row>
    <row r="870">
      <c r="A870" t="s">
        <v>30</v>
      </c>
      <c r="B870" t="s">
        <v>620</v>
      </c>
      <c r="C870" t="s">
        <v>622</v>
      </c>
      <c r="D870" t="s">
        <v>961</v>
      </c>
      <c r="E870" s="13" t="n">
        <v>1.25</v>
      </c>
      <c r="F870" s="16" t="n">
        <v>92</v>
      </c>
      <c r="G870" s="14" t="n">
        <v>-1.24695506282478</v>
      </c>
      <c r="H870" s="15" t="n">
        <v>-0.0871955921801564</v>
      </c>
    </row>
    <row r="871">
      <c r="A871" t="s">
        <v>30</v>
      </c>
      <c r="B871" t="s">
        <v>623</v>
      </c>
      <c r="C871" t="s">
        <v>624</v>
      </c>
      <c r="D871" t="s">
        <v>961</v>
      </c>
      <c r="E871" s="13" t="n">
        <v>0.5</v>
      </c>
      <c r="F871" s="16" t="n">
        <v>17</v>
      </c>
      <c r="G871" s="14" t="n">
        <v>0.414518786277521</v>
      </c>
      <c r="H871" s="15" t="n">
        <v>0.279596451735373</v>
      </c>
    </row>
    <row r="872">
      <c r="A872" t="s">
        <v>30</v>
      </c>
      <c r="B872" t="s">
        <v>625</v>
      </c>
      <c r="C872" t="s">
        <v>626</v>
      </c>
      <c r="D872" t="s">
        <v>961</v>
      </c>
      <c r="E872" s="13" t="n">
        <v>0.25</v>
      </c>
      <c r="F872" s="16" t="n">
        <v>80</v>
      </c>
      <c r="G872" s="14" t="n">
        <v>-0.234923155196477</v>
      </c>
      <c r="H872" s="15" t="n">
        <v>0.0855050358314172</v>
      </c>
    </row>
    <row r="873">
      <c r="A873" t="s">
        <v>30</v>
      </c>
      <c r="B873" t="s">
        <v>625</v>
      </c>
      <c r="C873" t="s">
        <v>627</v>
      </c>
      <c r="D873" t="s">
        <v>961</v>
      </c>
      <c r="E873" s="13" t="n">
        <v>0.25</v>
      </c>
      <c r="F873" s="16" t="n">
        <v>89</v>
      </c>
      <c r="G873" s="14" t="n">
        <v>-0.249847706754774</v>
      </c>
      <c r="H873" s="15" t="n">
        <v>0.00872487417562529</v>
      </c>
    </row>
    <row r="874">
      <c r="A874" t="s">
        <v>30</v>
      </c>
      <c r="B874" t="s">
        <v>628</v>
      </c>
      <c r="C874" t="s">
        <v>629</v>
      </c>
      <c r="D874" t="s">
        <v>961</v>
      </c>
      <c r="E874" s="13" t="n">
        <v>1.25</v>
      </c>
      <c r="F874" s="16" t="n">
        <v>66</v>
      </c>
      <c r="G874" s="14" t="n">
        <v>-0.836413257948572</v>
      </c>
      <c r="H874" s="15" t="n">
        <v>0.928931031846743</v>
      </c>
    </row>
    <row r="875">
      <c r="A875" t="s">
        <v>30</v>
      </c>
      <c r="B875" t="s">
        <v>628</v>
      </c>
      <c r="C875" t="s">
        <v>630</v>
      </c>
      <c r="D875" t="s">
        <v>961</v>
      </c>
      <c r="E875" s="13" t="n">
        <v>2</v>
      </c>
      <c r="F875" s="16" t="n">
        <v>126</v>
      </c>
      <c r="G875" s="14" t="n">
        <v>-0.618033988749895</v>
      </c>
      <c r="H875" s="15" t="n">
        <v>-1.90211303259031</v>
      </c>
    </row>
    <row r="876">
      <c r="A876" t="s">
        <v>31</v>
      </c>
      <c r="B876" t="s">
        <v>631</v>
      </c>
      <c r="C876" t="s">
        <v>632</v>
      </c>
      <c r="D876" t="s">
        <v>961</v>
      </c>
      <c r="E876" s="13" t="n">
        <v>0.5</v>
      </c>
      <c r="F876" s="16" t="n">
        <v>98</v>
      </c>
      <c r="G876" s="14" t="n">
        <v>-0.48063084796916</v>
      </c>
      <c r="H876" s="15" t="n">
        <v>-0.137818677908499</v>
      </c>
    </row>
    <row r="877">
      <c r="A877" t="s">
        <v>31</v>
      </c>
      <c r="B877" t="s">
        <v>633</v>
      </c>
      <c r="C877" t="s">
        <v>634</v>
      </c>
      <c r="D877" t="s">
        <v>961</v>
      </c>
      <c r="E877" s="13" t="n">
        <v>0.25</v>
      </c>
      <c r="F877" s="16" t="n">
        <v>85</v>
      </c>
      <c r="G877" s="14" t="n">
        <v>-0.246201938253052</v>
      </c>
      <c r="H877" s="15" t="n">
        <v>0.0434120444167327</v>
      </c>
    </row>
    <row r="878">
      <c r="A878" t="s">
        <v>31</v>
      </c>
      <c r="B878" t="s">
        <v>635</v>
      </c>
      <c r="C878" t="s">
        <v>636</v>
      </c>
      <c r="D878" t="s">
        <v>961</v>
      </c>
      <c r="E878" s="13" t="n">
        <v>1.25</v>
      </c>
      <c r="F878" s="16" t="n">
        <v>96</v>
      </c>
      <c r="G878" s="14" t="n">
        <v>-1.22268450091726</v>
      </c>
      <c r="H878" s="15" t="n">
        <v>-0.259889613522199</v>
      </c>
    </row>
    <row r="879">
      <c r="A879" t="s">
        <v>30</v>
      </c>
      <c r="B879" t="s">
        <v>637</v>
      </c>
      <c r="C879" t="s">
        <v>638</v>
      </c>
      <c r="D879" t="s">
        <v>961</v>
      </c>
      <c r="E879" s="13" t="n">
        <v>0.75</v>
      </c>
      <c r="F879" s="16" t="n">
        <v>125</v>
      </c>
      <c r="G879" s="14" t="n">
        <v>-0.256515107494252</v>
      </c>
      <c r="H879" s="15" t="n">
        <v>-0.704769465589431</v>
      </c>
    </row>
    <row r="880">
      <c r="A880" t="s">
        <v>30</v>
      </c>
      <c r="B880" t="s">
        <v>637</v>
      </c>
      <c r="C880" t="s">
        <v>639</v>
      </c>
      <c r="D880" t="s">
        <v>961</v>
      </c>
      <c r="E880" s="13" t="n">
        <v>0.5</v>
      </c>
      <c r="F880" s="16" t="n">
        <v>53</v>
      </c>
      <c r="G880" s="14" t="n">
        <v>-0.1378186779085</v>
      </c>
      <c r="H880" s="15" t="n">
        <v>0.480630847969159</v>
      </c>
    </row>
    <row r="881">
      <c r="A881" t="s">
        <v>30</v>
      </c>
      <c r="B881" t="s">
        <v>640</v>
      </c>
      <c r="C881" t="s">
        <v>641</v>
      </c>
      <c r="D881" t="s">
        <v>961</v>
      </c>
      <c r="E881" s="13" t="n">
        <v>0.5</v>
      </c>
      <c r="F881" s="16" t="n">
        <v>158</v>
      </c>
      <c r="G881" s="14" t="n">
        <v>0.359669900169325</v>
      </c>
      <c r="H881" s="15" t="n">
        <v>-0.347329185229499</v>
      </c>
    </row>
    <row r="882">
      <c r="A882" t="s">
        <v>31</v>
      </c>
      <c r="B882" t="s">
        <v>642</v>
      </c>
      <c r="C882" t="s">
        <v>643</v>
      </c>
      <c r="D882" t="s">
        <v>961</v>
      </c>
      <c r="E882" s="13" t="n">
        <v>1.25</v>
      </c>
      <c r="F882" s="16" t="n">
        <v>168</v>
      </c>
      <c r="G882" s="14" t="n">
        <v>1.14193182205325</v>
      </c>
      <c r="H882" s="15" t="n">
        <v>-0.50842080384475</v>
      </c>
    </row>
    <row r="883">
      <c r="A883" t="s">
        <v>31</v>
      </c>
      <c r="B883" t="s">
        <v>642</v>
      </c>
      <c r="C883" t="s">
        <v>644</v>
      </c>
      <c r="D883" t="s">
        <v>961</v>
      </c>
      <c r="E883" s="13" t="n">
        <v>0.75</v>
      </c>
      <c r="F883" s="16" t="n">
        <v>3</v>
      </c>
      <c r="G883" s="14" t="n">
        <v>0.745891421526205</v>
      </c>
      <c r="H883" s="15" t="n">
        <v>0.0783963474507401</v>
      </c>
    </row>
    <row r="884">
      <c r="A884" t="s">
        <v>31</v>
      </c>
      <c r="B884" t="s">
        <v>992</v>
      </c>
      <c r="C884" t="s">
        <v>993</v>
      </c>
      <c r="D884" t="s">
        <v>961</v>
      </c>
      <c r="E884" s="13" t="n">
        <v>0.5</v>
      </c>
      <c r="F884" s="16" t="n">
        <v>80</v>
      </c>
      <c r="G884" s="14" t="n">
        <v>-0.469846310392954</v>
      </c>
      <c r="H884" s="15" t="n">
        <v>0.171010071662834</v>
      </c>
    </row>
    <row r="885">
      <c r="A885" t="s">
        <v>31</v>
      </c>
      <c r="B885" t="s">
        <v>992</v>
      </c>
      <c r="C885" t="s">
        <v>994</v>
      </c>
      <c r="D885" t="s">
        <v>961</v>
      </c>
      <c r="E885" s="13" t="n">
        <v>0.25</v>
      </c>
      <c r="F885" s="16" t="n">
        <v>104</v>
      </c>
      <c r="G885" s="14" t="n">
        <v>-0.220736898214732</v>
      </c>
      <c r="H885" s="15" t="n">
        <v>-0.117367890696473</v>
      </c>
    </row>
    <row r="886">
      <c r="A886" t="s">
        <v>30</v>
      </c>
      <c r="B886" t="s">
        <v>995</v>
      </c>
      <c r="C886" t="s">
        <v>996</v>
      </c>
      <c r="D886" t="s">
        <v>961</v>
      </c>
      <c r="E886" s="13" t="n">
        <v>1.25</v>
      </c>
      <c r="F886" s="16" t="n">
        <v>28</v>
      </c>
      <c r="G886" s="14" t="n">
        <v>0.698991129338433</v>
      </c>
      <c r="H886" s="15" t="n">
        <v>1.0362969656938</v>
      </c>
    </row>
    <row r="887">
      <c r="A887" t="s">
        <v>30</v>
      </c>
      <c r="B887" t="s">
        <v>995</v>
      </c>
      <c r="C887" t="s">
        <v>997</v>
      </c>
      <c r="D887" t="s">
        <v>961</v>
      </c>
      <c r="E887" s="13" t="n">
        <v>0.75</v>
      </c>
      <c r="F887" s="16" t="n">
        <v>135</v>
      </c>
      <c r="G887" s="14" t="n">
        <v>0</v>
      </c>
      <c r="H887" s="15" t="n">
        <v>-0.75</v>
      </c>
    </row>
    <row r="888">
      <c r="A888" t="s">
        <v>30</v>
      </c>
      <c r="B888" t="s">
        <v>645</v>
      </c>
      <c r="C888" t="s">
        <v>646</v>
      </c>
      <c r="D888" t="s">
        <v>961</v>
      </c>
      <c r="E888" s="13" t="n">
        <v>1.25</v>
      </c>
      <c r="F888" s="16" t="n">
        <v>169</v>
      </c>
      <c r="G888" s="14" t="n">
        <v>1.15897981820848</v>
      </c>
      <c r="H888" s="15" t="n">
        <v>-0.46825824176989</v>
      </c>
    </row>
    <row r="889">
      <c r="A889" t="s">
        <v>30</v>
      </c>
      <c r="B889" t="s">
        <v>647</v>
      </c>
      <c r="C889" t="s">
        <v>648</v>
      </c>
      <c r="D889" t="s">
        <v>961</v>
      </c>
      <c r="E889" s="13" t="n">
        <v>0.75</v>
      </c>
      <c r="F889" s="16" t="n">
        <v>171</v>
      </c>
      <c r="G889" s="14" t="n">
        <v>0.713292387221365</v>
      </c>
      <c r="H889" s="15" t="n">
        <v>-0.231762745781211</v>
      </c>
    </row>
    <row r="890">
      <c r="A890" t="s">
        <v>30</v>
      </c>
      <c r="B890" t="s">
        <v>647</v>
      </c>
      <c r="C890" t="s">
        <v>649</v>
      </c>
      <c r="D890" t="s">
        <v>961</v>
      </c>
      <c r="E890" s="13" t="n">
        <v>0.75</v>
      </c>
      <c r="F890" s="16" t="n">
        <v>3</v>
      </c>
      <c r="G890" s="14" t="n">
        <v>0.745891421526205</v>
      </c>
      <c r="H890" s="15" t="n">
        <v>0.0783963474507401</v>
      </c>
    </row>
    <row r="891">
      <c r="A891" t="s">
        <v>31</v>
      </c>
      <c r="B891" t="s">
        <v>650</v>
      </c>
      <c r="C891" t="s">
        <v>651</v>
      </c>
      <c r="D891" t="s">
        <v>961</v>
      </c>
      <c r="E891" s="13" t="n">
        <v>1.25</v>
      </c>
      <c r="F891" s="16" t="n">
        <v>8</v>
      </c>
      <c r="G891" s="14" t="n">
        <v>1.2015771199229</v>
      </c>
      <c r="H891" s="15" t="n">
        <v>0.344546694771249</v>
      </c>
    </row>
    <row r="892">
      <c r="A892" t="s">
        <v>31</v>
      </c>
      <c r="B892" t="s">
        <v>650</v>
      </c>
      <c r="C892" t="s">
        <v>652</v>
      </c>
      <c r="D892" t="s">
        <v>961</v>
      </c>
      <c r="E892" s="13" t="n">
        <v>0.5</v>
      </c>
      <c r="F892" s="16" t="n">
        <v>171</v>
      </c>
      <c r="G892" s="14" t="n">
        <v>0.475528258147577</v>
      </c>
      <c r="H892" s="15" t="n">
        <v>-0.154508497187474</v>
      </c>
    </row>
    <row r="893">
      <c r="A893" t="s">
        <v>31</v>
      </c>
      <c r="B893" t="s">
        <v>653</v>
      </c>
      <c r="C893" t="s">
        <v>654</v>
      </c>
      <c r="D893" t="s">
        <v>961</v>
      </c>
      <c r="E893" s="13" t="n">
        <v>0.5</v>
      </c>
      <c r="F893" s="16" t="n">
        <v>70</v>
      </c>
      <c r="G893" s="14" t="n">
        <v>-0.383022221559489</v>
      </c>
      <c r="H893" s="15" t="n">
        <v>0.32139380484327</v>
      </c>
    </row>
    <row r="894">
      <c r="A894" t="s">
        <v>31</v>
      </c>
      <c r="B894" t="s">
        <v>653</v>
      </c>
      <c r="C894" t="s">
        <v>655</v>
      </c>
      <c r="D894" t="s">
        <v>961</v>
      </c>
      <c r="E894" s="13" t="n">
        <v>1</v>
      </c>
      <c r="F894" s="16" t="n">
        <v>115</v>
      </c>
      <c r="G894" s="14" t="n">
        <v>-0.642787609686539</v>
      </c>
      <c r="H894" s="15" t="n">
        <v>-0.766044443118978</v>
      </c>
    </row>
    <row r="895">
      <c r="A895" t="s">
        <v>30</v>
      </c>
      <c r="B895" t="s">
        <v>656</v>
      </c>
      <c r="C895" t="s">
        <v>657</v>
      </c>
      <c r="D895" t="s">
        <v>961</v>
      </c>
      <c r="E895" s="13" t="n">
        <v>0.25</v>
      </c>
      <c r="F895" s="16" t="n">
        <v>103</v>
      </c>
      <c r="G895" s="14" t="n">
        <v>-0.224698511574792</v>
      </c>
      <c r="H895" s="15" t="n">
        <v>-0.109592786697269</v>
      </c>
    </row>
    <row r="896">
      <c r="A896" t="s">
        <v>30</v>
      </c>
      <c r="B896" t="s">
        <v>656</v>
      </c>
      <c r="C896" t="s">
        <v>658</v>
      </c>
      <c r="D896" t="s">
        <v>961</v>
      </c>
      <c r="E896" s="13" t="n">
        <v>1</v>
      </c>
      <c r="F896" s="16" t="n">
        <v>90</v>
      </c>
      <c r="G896" s="14" t="n">
        <v>-1</v>
      </c>
      <c r="H896" s="15" t="n">
        <v>0</v>
      </c>
    </row>
    <row r="897">
      <c r="A897" t="s">
        <v>30</v>
      </c>
      <c r="B897" t="s">
        <v>659</v>
      </c>
      <c r="C897" t="s">
        <v>660</v>
      </c>
      <c r="D897" t="s">
        <v>961</v>
      </c>
      <c r="E897" s="13" t="n">
        <v>1</v>
      </c>
      <c r="F897" s="16" t="n">
        <v>94</v>
      </c>
      <c r="G897" s="14" t="n">
        <v>-0.99026806874157</v>
      </c>
      <c r="H897" s="15" t="n">
        <v>-0.139173100960066</v>
      </c>
    </row>
    <row r="898">
      <c r="A898" t="s">
        <v>31</v>
      </c>
      <c r="B898" t="s">
        <v>661</v>
      </c>
      <c r="C898" t="s">
        <v>662</v>
      </c>
      <c r="D898" t="s">
        <v>961</v>
      </c>
      <c r="E898" s="13" t="n">
        <v>0.75</v>
      </c>
      <c r="F898" s="16" t="n">
        <v>35</v>
      </c>
      <c r="G898" s="14" t="n">
        <v>0.256515107494252</v>
      </c>
      <c r="H898" s="15" t="n">
        <v>0.704769465589431</v>
      </c>
    </row>
    <row r="899">
      <c r="A899" t="s">
        <v>31</v>
      </c>
      <c r="B899" t="s">
        <v>661</v>
      </c>
      <c r="C899" t="s">
        <v>663</v>
      </c>
      <c r="D899" t="s">
        <v>961</v>
      </c>
      <c r="E899" s="13" t="n">
        <v>0.5</v>
      </c>
      <c r="F899" s="16" t="n">
        <v>159</v>
      </c>
      <c r="G899" s="14" t="n">
        <v>0.371572412738697</v>
      </c>
      <c r="H899" s="15" t="n">
        <v>-0.334565303179429</v>
      </c>
    </row>
    <row r="900">
      <c r="A900" t="s">
        <v>30</v>
      </c>
      <c r="B900" t="s">
        <v>664</v>
      </c>
      <c r="C900" t="s">
        <v>665</v>
      </c>
      <c r="D900" t="s">
        <v>961</v>
      </c>
      <c r="E900" s="13" t="n">
        <v>0.75</v>
      </c>
      <c r="F900" s="16" t="n">
        <v>98</v>
      </c>
      <c r="G900" s="14" t="n">
        <v>-0.720946271953739</v>
      </c>
      <c r="H900" s="15" t="n">
        <v>-0.206728016862749</v>
      </c>
    </row>
    <row r="901">
      <c r="A901" t="s">
        <v>30</v>
      </c>
      <c r="B901" t="s">
        <v>664</v>
      </c>
      <c r="C901" t="s">
        <v>666</v>
      </c>
      <c r="D901" t="s">
        <v>961</v>
      </c>
      <c r="E901" s="13" t="n">
        <v>1.75</v>
      </c>
      <c r="F901" s="16" t="n">
        <v>78</v>
      </c>
      <c r="G901" s="14" t="n">
        <v>-1.59870455087455</v>
      </c>
      <c r="H901" s="15" t="n">
        <v>0.71178912538265</v>
      </c>
    </row>
    <row r="902">
      <c r="A902" t="s">
        <v>30</v>
      </c>
      <c r="B902" t="s">
        <v>667</v>
      </c>
      <c r="C902" t="s">
        <v>668</v>
      </c>
      <c r="D902" t="s">
        <v>961</v>
      </c>
      <c r="E902" s="13" t="n">
        <v>1.25</v>
      </c>
      <c r="F902" s="16" t="n">
        <v>103</v>
      </c>
      <c r="G902" s="14" t="n">
        <v>-1.12349255787396</v>
      </c>
      <c r="H902" s="15" t="n">
        <v>-0.547963933486347</v>
      </c>
    </row>
    <row r="903">
      <c r="A903" t="s">
        <v>30</v>
      </c>
      <c r="B903" t="s">
        <v>669</v>
      </c>
      <c r="C903" t="s">
        <v>670</v>
      </c>
      <c r="D903" t="s">
        <v>961</v>
      </c>
      <c r="E903" s="13" t="n">
        <v>0.75</v>
      </c>
      <c r="F903" s="16" t="n">
        <v>92</v>
      </c>
      <c r="G903" s="14" t="n">
        <v>-0.748173037694868</v>
      </c>
      <c r="H903" s="15" t="n">
        <v>-0.0523173553080938</v>
      </c>
    </row>
    <row r="904">
      <c r="A904" t="s">
        <v>30</v>
      </c>
      <c r="B904" t="s">
        <v>669</v>
      </c>
      <c r="C904" t="s">
        <v>671</v>
      </c>
      <c r="D904" t="s">
        <v>961</v>
      </c>
      <c r="E904" s="13" t="n">
        <v>0.75</v>
      </c>
      <c r="F904" s="16" t="n">
        <v>90</v>
      </c>
      <c r="G904" s="14" t="n">
        <v>-0.75</v>
      </c>
      <c r="H904" s="15" t="n">
        <v>0</v>
      </c>
    </row>
    <row r="905">
      <c r="A905" t="s">
        <v>31</v>
      </c>
      <c r="B905" t="s">
        <v>672</v>
      </c>
      <c r="C905" t="s">
        <v>673</v>
      </c>
      <c r="D905" t="s">
        <v>961</v>
      </c>
      <c r="E905" s="13" t="n">
        <v>1.75</v>
      </c>
      <c r="F905" s="16" t="n">
        <v>96</v>
      </c>
      <c r="G905" s="14" t="n">
        <v>-1.71175830128416</v>
      </c>
      <c r="H905" s="15" t="n">
        <v>-0.363845458931079</v>
      </c>
    </row>
    <row r="906">
      <c r="A906" t="s">
        <v>31</v>
      </c>
      <c r="B906" t="s">
        <v>672</v>
      </c>
      <c r="C906" t="s">
        <v>674</v>
      </c>
      <c r="D906" t="s">
        <v>961</v>
      </c>
      <c r="E906" s="13" t="n">
        <v>1.25</v>
      </c>
      <c r="F906" s="16" t="n">
        <v>98</v>
      </c>
      <c r="G906" s="14" t="n">
        <v>-1.2015771199229</v>
      </c>
      <c r="H906" s="15" t="n">
        <v>-0.344546694771249</v>
      </c>
    </row>
    <row r="907">
      <c r="A907" t="s">
        <v>31</v>
      </c>
      <c r="B907" t="s">
        <v>675</v>
      </c>
      <c r="C907" t="s">
        <v>676</v>
      </c>
      <c r="D907" t="s">
        <v>961</v>
      </c>
      <c r="E907" s="13" t="n">
        <v>1</v>
      </c>
      <c r="F907" s="16" t="n">
        <v>163</v>
      </c>
      <c r="G907" s="14" t="n">
        <v>0.829037572555041</v>
      </c>
      <c r="H907" s="15" t="n">
        <v>-0.559192903470747</v>
      </c>
    </row>
    <row r="908">
      <c r="A908" t="s">
        <v>31</v>
      </c>
      <c r="B908" t="s">
        <v>677</v>
      </c>
      <c r="C908" t="s">
        <v>678</v>
      </c>
      <c r="D908" t="s">
        <v>961</v>
      </c>
      <c r="E908" s="13" t="n">
        <v>1.25</v>
      </c>
      <c r="F908" s="16" t="n">
        <v>78</v>
      </c>
      <c r="G908" s="14" t="n">
        <v>-1.14193182205325</v>
      </c>
      <c r="H908" s="15" t="n">
        <v>0.50842080384475</v>
      </c>
    </row>
    <row r="909">
      <c r="A909" t="s">
        <v>31</v>
      </c>
      <c r="B909" t="s">
        <v>679</v>
      </c>
      <c r="C909" t="s">
        <v>680</v>
      </c>
      <c r="D909" t="s">
        <v>961</v>
      </c>
      <c r="E909" s="13" t="n">
        <v>0.75</v>
      </c>
      <c r="F909" s="16" t="n">
        <v>140</v>
      </c>
      <c r="G909" s="14" t="n">
        <v>0.130236133250197</v>
      </c>
      <c r="H909" s="15" t="n">
        <v>-0.738605814759156</v>
      </c>
    </row>
    <row r="910">
      <c r="A910" t="s">
        <v>31</v>
      </c>
      <c r="B910" t="s">
        <v>679</v>
      </c>
      <c r="C910" t="s">
        <v>681</v>
      </c>
      <c r="D910" t="s">
        <v>961</v>
      </c>
      <c r="E910" s="13" t="n">
        <v>1.25</v>
      </c>
      <c r="F910" s="16" t="n">
        <v>42</v>
      </c>
      <c r="G910" s="14" t="n">
        <v>0.130660579084567</v>
      </c>
      <c r="H910" s="15" t="n">
        <v>1.24315236921034</v>
      </c>
    </row>
    <row r="911">
      <c r="A911" t="s">
        <v>31</v>
      </c>
      <c r="B911" t="s">
        <v>682</v>
      </c>
      <c r="C911" t="s">
        <v>683</v>
      </c>
      <c r="D911" t="s">
        <v>961</v>
      </c>
      <c r="E911" s="13" t="n">
        <v>1.5</v>
      </c>
      <c r="F911" s="16" t="n">
        <v>87</v>
      </c>
      <c r="G911" s="14" t="n">
        <v>-1.49178284305241</v>
      </c>
      <c r="H911" s="15" t="n">
        <v>0.156792694901481</v>
      </c>
    </row>
    <row r="912">
      <c r="A912" t="s">
        <v>31</v>
      </c>
      <c r="B912" t="s">
        <v>682</v>
      </c>
      <c r="C912" t="s">
        <v>684</v>
      </c>
      <c r="D912" t="s">
        <v>961</v>
      </c>
      <c r="E912" s="13" t="n">
        <v>1.5</v>
      </c>
      <c r="F912" s="16" t="n">
        <v>63</v>
      </c>
      <c r="G912" s="14" t="n">
        <v>-0.88167787843871</v>
      </c>
      <c r="H912" s="15" t="n">
        <v>1.21352549156242</v>
      </c>
    </row>
    <row r="913">
      <c r="A913" t="s">
        <v>30</v>
      </c>
      <c r="B913" t="s">
        <v>685</v>
      </c>
      <c r="C913" t="s">
        <v>686</v>
      </c>
      <c r="D913" t="s">
        <v>961</v>
      </c>
      <c r="E913" s="13" t="n">
        <v>0.5</v>
      </c>
      <c r="F913" s="16" t="n">
        <v>134</v>
      </c>
      <c r="G913" s="14" t="n">
        <v>-0.0174497483512504</v>
      </c>
      <c r="H913" s="15" t="n">
        <v>-0.499695413509548</v>
      </c>
    </row>
    <row r="914">
      <c r="A914" t="s">
        <v>30</v>
      </c>
      <c r="B914" t="s">
        <v>685</v>
      </c>
      <c r="C914" t="s">
        <v>687</v>
      </c>
      <c r="D914" t="s">
        <v>961</v>
      </c>
      <c r="E914" s="13" t="n">
        <v>0.5</v>
      </c>
      <c r="F914" s="16" t="n">
        <v>35</v>
      </c>
      <c r="G914" s="14" t="n">
        <v>0.171010071662834</v>
      </c>
      <c r="H914" s="15" t="n">
        <v>0.469846310392954</v>
      </c>
    </row>
    <row r="915">
      <c r="A915" t="s">
        <v>31</v>
      </c>
      <c r="B915" t="s">
        <v>688</v>
      </c>
      <c r="C915" t="s">
        <v>689</v>
      </c>
      <c r="D915" t="s">
        <v>961</v>
      </c>
      <c r="E915" s="13" t="n">
        <v>0.5</v>
      </c>
      <c r="F915" s="16" t="n">
        <v>50</v>
      </c>
      <c r="G915" s="14" t="n">
        <v>-0.0868240888334652</v>
      </c>
      <c r="H915" s="15" t="n">
        <v>0.492403876506104</v>
      </c>
    </row>
    <row r="916">
      <c r="A916" t="s">
        <v>31</v>
      </c>
      <c r="B916" t="s">
        <v>688</v>
      </c>
      <c r="C916" t="s">
        <v>690</v>
      </c>
      <c r="D916" t="s">
        <v>961</v>
      </c>
      <c r="E916" s="13" t="n">
        <v>0.75</v>
      </c>
      <c r="F916" s="16" t="n">
        <v>131</v>
      </c>
      <c r="G916" s="14" t="n">
        <v>-0.104379825720049</v>
      </c>
      <c r="H916" s="15" t="n">
        <v>-0.742701051556178</v>
      </c>
    </row>
    <row r="917">
      <c r="A917" t="s">
        <v>31</v>
      </c>
      <c r="B917" t="s">
        <v>691</v>
      </c>
      <c r="C917" t="s">
        <v>692</v>
      </c>
      <c r="D917" t="s">
        <v>961</v>
      </c>
      <c r="E917" s="13" t="n">
        <v>1.25</v>
      </c>
      <c r="F917" s="16" t="n">
        <v>92</v>
      </c>
      <c r="G917" s="14" t="n">
        <v>-1.24695506282478</v>
      </c>
      <c r="H917" s="15" t="n">
        <v>-0.0871955921801564</v>
      </c>
    </row>
    <row r="918">
      <c r="A918" t="s">
        <v>31</v>
      </c>
      <c r="B918" t="s">
        <v>691</v>
      </c>
      <c r="C918" t="s">
        <v>693</v>
      </c>
      <c r="D918" t="s">
        <v>961</v>
      </c>
      <c r="E918" s="13" t="n">
        <v>1.5</v>
      </c>
      <c r="F918" s="16" t="n">
        <v>75</v>
      </c>
      <c r="G918" s="14" t="n">
        <v>-1.29903810567666</v>
      </c>
      <c r="H918" s="15" t="n">
        <v>0.75</v>
      </c>
    </row>
    <row r="919">
      <c r="A919" t="s">
        <v>31</v>
      </c>
      <c r="B919" t="s">
        <v>694</v>
      </c>
      <c r="C919" t="s">
        <v>695</v>
      </c>
      <c r="D919" t="s">
        <v>961</v>
      </c>
      <c r="E919" s="13" t="n">
        <v>0.25</v>
      </c>
      <c r="F919" s="16" t="n">
        <v>0</v>
      </c>
      <c r="G919" s="14" t="n">
        <v>0.25</v>
      </c>
      <c r="H919" s="15" t="n">
        <v>0</v>
      </c>
    </row>
    <row r="920">
      <c r="A920" t="s">
        <v>31</v>
      </c>
      <c r="B920" t="s">
        <v>696</v>
      </c>
      <c r="C920" t="s">
        <v>697</v>
      </c>
      <c r="D920" t="s">
        <v>961</v>
      </c>
      <c r="E920" s="13" t="n">
        <v>1</v>
      </c>
      <c r="F920" s="16" t="n">
        <v>172</v>
      </c>
      <c r="G920" s="14" t="n">
        <v>0.961261695938319</v>
      </c>
      <c r="H920" s="15" t="n">
        <v>-0.275637355816999</v>
      </c>
    </row>
    <row r="921">
      <c r="A921" t="s">
        <v>31</v>
      </c>
      <c r="B921" t="s">
        <v>696</v>
      </c>
      <c r="C921" t="s">
        <v>698</v>
      </c>
      <c r="D921" t="s">
        <v>961</v>
      </c>
      <c r="E921" s="13" t="n">
        <v>1</v>
      </c>
      <c r="F921" s="16" t="n">
        <v>170</v>
      </c>
      <c r="G921" s="14" t="n">
        <v>0.939692620785908</v>
      </c>
      <c r="H921" s="15" t="n">
        <v>-0.342020143325669</v>
      </c>
    </row>
    <row r="922">
      <c r="A922" t="s">
        <v>30</v>
      </c>
      <c r="B922" t="s">
        <v>699</v>
      </c>
      <c r="C922" t="s">
        <v>700</v>
      </c>
      <c r="D922" t="s">
        <v>961</v>
      </c>
      <c r="E922" s="13" t="n">
        <v>1.25</v>
      </c>
      <c r="F922" s="16" t="n">
        <v>106</v>
      </c>
      <c r="G922" s="14" t="n">
        <v>-1.06006012019553</v>
      </c>
      <c r="H922" s="15" t="n">
        <v>-0.662399080291506</v>
      </c>
    </row>
    <row r="923">
      <c r="A923" t="s">
        <v>30</v>
      </c>
      <c r="B923" t="s">
        <v>699</v>
      </c>
      <c r="C923" t="s">
        <v>701</v>
      </c>
      <c r="D923" t="s">
        <v>961</v>
      </c>
      <c r="E923" s="13" t="n">
        <v>1.5</v>
      </c>
      <c r="F923" s="16" t="n">
        <v>76</v>
      </c>
      <c r="G923" s="14" t="n">
        <v>-1.32442138928839</v>
      </c>
      <c r="H923" s="15" t="n">
        <v>0.704207344178836</v>
      </c>
    </row>
    <row r="924">
      <c r="A924" t="s">
        <v>31</v>
      </c>
      <c r="B924" t="s">
        <v>702</v>
      </c>
      <c r="C924" t="s">
        <v>703</v>
      </c>
      <c r="D924" t="s">
        <v>961</v>
      </c>
      <c r="E924" s="13" t="n">
        <v>0.5</v>
      </c>
      <c r="F924" s="16" t="n">
        <v>75</v>
      </c>
      <c r="G924" s="14" t="n">
        <v>-0.433012701892219</v>
      </c>
      <c r="H924" s="15" t="n">
        <v>0.25</v>
      </c>
    </row>
    <row r="925">
      <c r="A925" t="s">
        <v>30</v>
      </c>
      <c r="B925" t="s">
        <v>704</v>
      </c>
      <c r="C925" t="s">
        <v>705</v>
      </c>
      <c r="D925" t="s">
        <v>961</v>
      </c>
      <c r="E925" s="13" t="n">
        <v>0.75</v>
      </c>
      <c r="F925" s="16" t="n">
        <v>97</v>
      </c>
      <c r="G925" s="14" t="n">
        <v>-0.727721794706997</v>
      </c>
      <c r="H925" s="15" t="n">
        <v>-0.181441421699751</v>
      </c>
    </row>
    <row r="926">
      <c r="A926" t="s">
        <v>30</v>
      </c>
      <c r="B926" t="s">
        <v>706</v>
      </c>
      <c r="C926" t="s">
        <v>707</v>
      </c>
      <c r="D926" t="s">
        <v>961</v>
      </c>
      <c r="E926" s="13" t="n">
        <v>0.75</v>
      </c>
      <c r="F926" s="16" t="n">
        <v>179</v>
      </c>
      <c r="G926" s="14" t="n">
        <v>0.749543120264322</v>
      </c>
      <c r="H926" s="15" t="n">
        <v>-0.0261746225268756</v>
      </c>
    </row>
    <row r="927">
      <c r="A927" t="s">
        <v>30</v>
      </c>
      <c r="B927" t="s">
        <v>708</v>
      </c>
      <c r="C927" t="s">
        <v>709</v>
      </c>
      <c r="D927" t="s">
        <v>961</v>
      </c>
      <c r="E927" s="13" t="n">
        <v>0.5</v>
      </c>
      <c r="F927" s="16" t="n">
        <v>75</v>
      </c>
      <c r="G927" s="14" t="n">
        <v>-0.433012701892219</v>
      </c>
      <c r="H927" s="15" t="n">
        <v>0.25</v>
      </c>
    </row>
    <row r="928">
      <c r="A928" t="s">
        <v>30</v>
      </c>
      <c r="B928" t="s">
        <v>708</v>
      </c>
      <c r="C928" t="s">
        <v>710</v>
      </c>
      <c r="D928" t="s">
        <v>961</v>
      </c>
      <c r="E928" s="13" t="n">
        <v>0.5</v>
      </c>
      <c r="F928" s="16" t="n">
        <v>111</v>
      </c>
      <c r="G928" s="14" t="n">
        <v>-0.371572412738697</v>
      </c>
      <c r="H928" s="15" t="n">
        <v>-0.334565303179429</v>
      </c>
    </row>
    <row r="929">
      <c r="A929" t="s">
        <v>31</v>
      </c>
      <c r="B929" t="s">
        <v>711</v>
      </c>
      <c r="C929" t="s">
        <v>712</v>
      </c>
      <c r="D929" t="s">
        <v>961</v>
      </c>
      <c r="E929" s="13" t="n">
        <v>1.25</v>
      </c>
      <c r="F929" s="16" t="n">
        <v>95</v>
      </c>
      <c r="G929" s="14" t="n">
        <v>-1.23100969126526</v>
      </c>
      <c r="H929" s="15" t="n">
        <v>-0.217060222083663</v>
      </c>
    </row>
    <row r="930">
      <c r="A930" t="s">
        <v>30</v>
      </c>
      <c r="B930" t="s">
        <v>713</v>
      </c>
      <c r="C930" t="s">
        <v>714</v>
      </c>
      <c r="D930" t="s">
        <v>961</v>
      </c>
      <c r="E930" s="13" t="n">
        <v>1</v>
      </c>
      <c r="F930" s="16" t="n">
        <v>77</v>
      </c>
      <c r="G930" s="14" t="n">
        <v>-0.898794046299167</v>
      </c>
      <c r="H930" s="15" t="n">
        <v>0.438371146789078</v>
      </c>
    </row>
    <row r="931">
      <c r="A931" t="s">
        <v>30</v>
      </c>
      <c r="B931" t="s">
        <v>715</v>
      </c>
      <c r="C931" t="s">
        <v>716</v>
      </c>
      <c r="D931" t="s">
        <v>961</v>
      </c>
      <c r="E931" s="13" t="n">
        <v>0.5</v>
      </c>
      <c r="F931" s="16" t="n">
        <v>100</v>
      </c>
      <c r="G931" s="14" t="n">
        <v>-0.469846310392954</v>
      </c>
      <c r="H931" s="15" t="n">
        <v>-0.171010071662834</v>
      </c>
    </row>
    <row r="932">
      <c r="A932" t="s">
        <v>31</v>
      </c>
      <c r="B932" t="s">
        <v>717</v>
      </c>
      <c r="C932" t="s">
        <v>718</v>
      </c>
      <c r="D932" t="s">
        <v>961</v>
      </c>
      <c r="E932" s="13" t="n">
        <v>0.5</v>
      </c>
      <c r="F932" s="16" t="n">
        <v>104</v>
      </c>
      <c r="G932" s="14" t="n">
        <v>-0.441473796429464</v>
      </c>
      <c r="H932" s="15" t="n">
        <v>-0.234735781392945</v>
      </c>
    </row>
    <row r="933">
      <c r="A933" t="s">
        <v>30</v>
      </c>
      <c r="B933" t="s">
        <v>719</v>
      </c>
      <c r="C933" t="s">
        <v>720</v>
      </c>
      <c r="D933" t="s">
        <v>961</v>
      </c>
      <c r="E933" s="13" t="n">
        <v>0.75</v>
      </c>
      <c r="F933" s="16" t="n">
        <v>55</v>
      </c>
      <c r="G933" s="14" t="n">
        <v>-0.256515107494252</v>
      </c>
      <c r="H933" s="15" t="n">
        <v>0.704769465589431</v>
      </c>
    </row>
    <row r="934">
      <c r="A934" t="s">
        <v>30</v>
      </c>
      <c r="B934" t="s">
        <v>719</v>
      </c>
      <c r="C934" t="s">
        <v>721</v>
      </c>
      <c r="D934" t="s">
        <v>961</v>
      </c>
      <c r="E934" s="13" t="n">
        <v>1.25</v>
      </c>
      <c r="F934" s="16" t="n">
        <v>121</v>
      </c>
      <c r="G934" s="14" t="n">
        <v>-0.586839453482363</v>
      </c>
      <c r="H934" s="15" t="n">
        <v>-1.10368449107366</v>
      </c>
    </row>
    <row r="935">
      <c r="A935" t="s">
        <v>30</v>
      </c>
      <c r="B935" t="s">
        <v>722</v>
      </c>
      <c r="C935" t="s">
        <v>723</v>
      </c>
      <c r="D935" t="s">
        <v>961</v>
      </c>
      <c r="E935" s="13" t="n">
        <v>0.5</v>
      </c>
      <c r="F935" s="16" t="n">
        <v>76</v>
      </c>
      <c r="G935" s="14" t="n">
        <v>-0.441473796429463</v>
      </c>
      <c r="H935" s="15" t="n">
        <v>0.234735781392945</v>
      </c>
    </row>
    <row r="936">
      <c r="A936" t="s">
        <v>30</v>
      </c>
      <c r="B936" t="s">
        <v>722</v>
      </c>
      <c r="C936" t="s">
        <v>724</v>
      </c>
      <c r="D936" t="s">
        <v>961</v>
      </c>
      <c r="E936" s="13" t="n">
        <v>0.25</v>
      </c>
      <c r="F936" s="16" t="n">
        <v>102</v>
      </c>
      <c r="G936" s="14" t="n">
        <v>-0.22838636441065</v>
      </c>
      <c r="H936" s="15" t="n">
        <v>-0.10168416076895</v>
      </c>
    </row>
    <row r="937">
      <c r="A937" t="s">
        <v>30</v>
      </c>
      <c r="B937" t="s">
        <v>998</v>
      </c>
      <c r="C937" t="s">
        <v>999</v>
      </c>
      <c r="D937" t="s">
        <v>961</v>
      </c>
      <c r="E937" s="13" t="n">
        <v>0.5</v>
      </c>
      <c r="F937" s="16" t="n">
        <v>70</v>
      </c>
      <c r="G937" s="14" t="n">
        <v>-0.383022221559489</v>
      </c>
      <c r="H937" s="15" t="n">
        <v>0.32139380484327</v>
      </c>
    </row>
    <row r="938">
      <c r="A938" t="s">
        <v>30</v>
      </c>
      <c r="B938" t="s">
        <v>998</v>
      </c>
      <c r="C938" t="s">
        <v>1000</v>
      </c>
      <c r="D938" t="s">
        <v>961</v>
      </c>
      <c r="E938" s="13" t="n">
        <v>0.5</v>
      </c>
      <c r="F938" s="16" t="n">
        <v>113</v>
      </c>
      <c r="G938" s="14" t="n">
        <v>-0.347329185229499</v>
      </c>
      <c r="H938" s="15" t="n">
        <v>-0.359669900169326</v>
      </c>
    </row>
    <row r="939">
      <c r="A939" t="s">
        <v>30</v>
      </c>
      <c r="B939" t="s">
        <v>725</v>
      </c>
      <c r="C939" t="s">
        <v>726</v>
      </c>
      <c r="D939" t="s">
        <v>961</v>
      </c>
      <c r="E939" s="13" t="n">
        <v>0.25</v>
      </c>
      <c r="F939" s="16" t="n">
        <v>125</v>
      </c>
      <c r="G939" s="14" t="n">
        <v>-0.0855050358314173</v>
      </c>
      <c r="H939" s="15" t="n">
        <v>-0.234923155196477</v>
      </c>
    </row>
    <row r="940">
      <c r="A940" t="s">
        <v>30</v>
      </c>
      <c r="B940" t="s">
        <v>725</v>
      </c>
      <c r="C940" t="s">
        <v>727</v>
      </c>
      <c r="D940" t="s">
        <v>961</v>
      </c>
      <c r="E940" s="13" t="n">
        <v>0.25</v>
      </c>
      <c r="F940" s="16" t="n">
        <v>57</v>
      </c>
      <c r="G940" s="14" t="n">
        <v>-0.10168416076895</v>
      </c>
      <c r="H940" s="15" t="n">
        <v>0.22838636441065</v>
      </c>
    </row>
    <row r="941">
      <c r="A941" t="s">
        <v>31</v>
      </c>
      <c r="B941" t="s">
        <v>728</v>
      </c>
      <c r="C941" t="s">
        <v>729</v>
      </c>
      <c r="D941" t="s">
        <v>961</v>
      </c>
      <c r="E941" s="13" t="n">
        <v>0.75</v>
      </c>
      <c r="F941" s="16" t="n">
        <v>70</v>
      </c>
      <c r="G941" s="14" t="n">
        <v>-0.574533332339233</v>
      </c>
      <c r="H941" s="15" t="n">
        <v>0.482090707264905</v>
      </c>
    </row>
    <row r="942">
      <c r="A942" t="s">
        <v>31</v>
      </c>
      <c r="B942" t="s">
        <v>728</v>
      </c>
      <c r="C942" t="s">
        <v>730</v>
      </c>
      <c r="D942" t="s">
        <v>961</v>
      </c>
      <c r="E942" s="13" t="n">
        <v>0.75</v>
      </c>
      <c r="F942" s="16" t="n">
        <v>111</v>
      </c>
      <c r="G942" s="14" t="n">
        <v>-0.557358619108046</v>
      </c>
      <c r="H942" s="15" t="n">
        <v>-0.501847954769144</v>
      </c>
    </row>
    <row r="943">
      <c r="A943" t="s">
        <v>30</v>
      </c>
      <c r="B943" t="s">
        <v>731</v>
      </c>
      <c r="C943" t="s">
        <v>732</v>
      </c>
      <c r="D943" t="s">
        <v>961</v>
      </c>
      <c r="E943" s="13" t="n">
        <v>0.25</v>
      </c>
      <c r="F943" s="16" t="n">
        <v>7</v>
      </c>
      <c r="G943" s="14" t="n">
        <v>0.242573931568999</v>
      </c>
      <c r="H943" s="15" t="n">
        <v>0.0604804738999169</v>
      </c>
    </row>
    <row r="944">
      <c r="A944" t="s">
        <v>30</v>
      </c>
      <c r="B944" t="s">
        <v>731</v>
      </c>
      <c r="C944" t="s">
        <v>733</v>
      </c>
      <c r="D944" t="s">
        <v>961</v>
      </c>
      <c r="E944" s="13" t="n">
        <v>0.75</v>
      </c>
      <c r="F944" s="16" t="n">
        <v>3</v>
      </c>
      <c r="G944" s="14" t="n">
        <v>0.745891421526205</v>
      </c>
      <c r="H944" s="15" t="n">
        <v>0.0783963474507401</v>
      </c>
    </row>
    <row r="945">
      <c r="A945" t="s">
        <v>30</v>
      </c>
      <c r="B945" t="s">
        <v>734</v>
      </c>
      <c r="C945" t="s">
        <v>735</v>
      </c>
      <c r="D945" t="s">
        <v>961</v>
      </c>
      <c r="E945" s="13" t="n">
        <v>0.75</v>
      </c>
      <c r="F945" s="16" t="n">
        <v>76</v>
      </c>
      <c r="G945" s="14" t="n">
        <v>-0.662210694644195</v>
      </c>
      <c r="H945" s="15" t="n">
        <v>0.352103672089418</v>
      </c>
    </row>
    <row r="946">
      <c r="A946" t="s">
        <v>30</v>
      </c>
      <c r="B946" t="s">
        <v>734</v>
      </c>
      <c r="C946" t="s">
        <v>736</v>
      </c>
      <c r="D946" t="s">
        <v>961</v>
      </c>
      <c r="E946" s="13" t="n">
        <v>1</v>
      </c>
      <c r="F946" s="16" t="n">
        <v>90</v>
      </c>
      <c r="G946" s="14" t="n">
        <v>-1</v>
      </c>
      <c r="H946" s="15" t="n">
        <v>0</v>
      </c>
    </row>
    <row r="947">
      <c r="A947" t="s">
        <v>30</v>
      </c>
      <c r="B947" t="s">
        <v>737</v>
      </c>
      <c r="C947" t="s">
        <v>738</v>
      </c>
      <c r="D947" t="s">
        <v>961</v>
      </c>
      <c r="E947" s="13" t="n">
        <v>1.75</v>
      </c>
      <c r="F947" s="16" t="n">
        <v>151</v>
      </c>
      <c r="G947" s="14" t="n">
        <v>0.927358712408108</v>
      </c>
      <c r="H947" s="15" t="n">
        <v>-1.48408416827375</v>
      </c>
    </row>
    <row r="948">
      <c r="A948" t="s">
        <v>30</v>
      </c>
      <c r="B948" t="s">
        <v>737</v>
      </c>
      <c r="C948" t="s">
        <v>739</v>
      </c>
      <c r="D948" t="s">
        <v>961</v>
      </c>
      <c r="E948" s="13" t="n">
        <v>2</v>
      </c>
      <c r="F948" s="16" t="n">
        <v>44</v>
      </c>
      <c r="G948" s="14" t="n">
        <v>0.0697989934050022</v>
      </c>
      <c r="H948" s="15" t="n">
        <v>1.99878165403819</v>
      </c>
    </row>
    <row r="949">
      <c r="A949" t="s">
        <v>31</v>
      </c>
      <c r="B949" t="s">
        <v>740</v>
      </c>
      <c r="C949" t="s">
        <v>741</v>
      </c>
      <c r="D949" t="s">
        <v>961</v>
      </c>
      <c r="E949" s="13" t="n">
        <v>0.75</v>
      </c>
      <c r="F949" s="16" t="n">
        <v>111</v>
      </c>
      <c r="G949" s="14" t="n">
        <v>-0.557358619108046</v>
      </c>
      <c r="H949" s="15" t="n">
        <v>-0.501847954769144</v>
      </c>
    </row>
    <row r="950">
      <c r="A950" t="s">
        <v>31</v>
      </c>
      <c r="B950" t="s">
        <v>740</v>
      </c>
      <c r="C950" t="s">
        <v>742</v>
      </c>
      <c r="D950" t="s">
        <v>961</v>
      </c>
      <c r="E950" s="13" t="n">
        <v>0.5</v>
      </c>
      <c r="F950" s="16" t="n">
        <v>76</v>
      </c>
      <c r="G950" s="14" t="n">
        <v>-0.441473796429463</v>
      </c>
      <c r="H950" s="15" t="n">
        <v>0.234735781392945</v>
      </c>
    </row>
    <row r="951">
      <c r="A951" t="s">
        <v>30</v>
      </c>
      <c r="B951" t="s">
        <v>743</v>
      </c>
      <c r="C951" t="s">
        <v>744</v>
      </c>
      <c r="D951" t="s">
        <v>961</v>
      </c>
      <c r="E951" s="13" t="n">
        <v>1.5</v>
      </c>
      <c r="F951" s="16" t="n">
        <v>81</v>
      </c>
      <c r="G951" s="14" t="n">
        <v>-1.42658477444273</v>
      </c>
      <c r="H951" s="15" t="n">
        <v>0.463525491562421</v>
      </c>
    </row>
    <row r="952">
      <c r="A952" t="s">
        <v>30</v>
      </c>
      <c r="B952" t="s">
        <v>743</v>
      </c>
      <c r="C952" t="s">
        <v>745</v>
      </c>
      <c r="D952" t="s">
        <v>961</v>
      </c>
      <c r="E952" s="13" t="n">
        <v>1</v>
      </c>
      <c r="F952" s="16" t="n">
        <v>105</v>
      </c>
      <c r="G952" s="14" t="n">
        <v>-0.866025403784439</v>
      </c>
      <c r="H952" s="15" t="n">
        <v>-0.5</v>
      </c>
    </row>
    <row r="953">
      <c r="A953" t="s">
        <v>30</v>
      </c>
      <c r="B953" t="s">
        <v>1001</v>
      </c>
      <c r="C953" t="s">
        <v>1002</v>
      </c>
      <c r="D953" t="s">
        <v>961</v>
      </c>
      <c r="E953" s="13" t="n">
        <v>0.25</v>
      </c>
      <c r="F953" s="16" t="n">
        <v>97</v>
      </c>
      <c r="G953" s="14" t="n">
        <v>-0.242573931568999</v>
      </c>
      <c r="H953" s="15" t="n">
        <v>-0.0604804738999169</v>
      </c>
    </row>
    <row r="954">
      <c r="A954" t="s">
        <v>30</v>
      </c>
      <c r="B954" t="s">
        <v>1001</v>
      </c>
      <c r="C954" t="s">
        <v>1003</v>
      </c>
      <c r="D954" t="s">
        <v>961</v>
      </c>
      <c r="E954" s="13" t="n">
        <v>0.25</v>
      </c>
      <c r="F954" s="16" t="n">
        <v>79</v>
      </c>
      <c r="G954" s="14" t="n">
        <v>-0.231795963641697</v>
      </c>
      <c r="H954" s="15" t="n">
        <v>0.0936516483539781</v>
      </c>
    </row>
    <row r="955">
      <c r="A955" t="s">
        <v>30</v>
      </c>
      <c r="B955" t="s">
        <v>746</v>
      </c>
      <c r="C955" t="s">
        <v>747</v>
      </c>
      <c r="D955" t="s">
        <v>961</v>
      </c>
      <c r="E955" s="13" t="n">
        <v>2.75</v>
      </c>
      <c r="F955" s="16" t="n">
        <v>64</v>
      </c>
      <c r="G955" s="14" t="n">
        <v>-1.69306905714556</v>
      </c>
      <c r="H955" s="15" t="n">
        <v>2.16702957241849</v>
      </c>
    </row>
    <row r="956">
      <c r="A956" t="s">
        <v>31</v>
      </c>
      <c r="B956" t="s">
        <v>748</v>
      </c>
      <c r="C956" t="s">
        <v>749</v>
      </c>
      <c r="D956" t="s">
        <v>961</v>
      </c>
      <c r="E956" s="13" t="n">
        <v>0.75</v>
      </c>
      <c r="F956" s="16" t="n">
        <v>133</v>
      </c>
      <c r="G956" s="14" t="n">
        <v>-0.0523173553080942</v>
      </c>
      <c r="H956" s="15" t="n">
        <v>-0.748173037694868</v>
      </c>
    </row>
    <row r="957">
      <c r="A957" t="s">
        <v>31</v>
      </c>
      <c r="B957" t="s">
        <v>748</v>
      </c>
      <c r="C957" t="s">
        <v>750</v>
      </c>
      <c r="D957" t="s">
        <v>961</v>
      </c>
      <c r="E957" s="13" t="n">
        <v>0.5</v>
      </c>
      <c r="F957" s="16" t="n">
        <v>51</v>
      </c>
      <c r="G957" s="14" t="n">
        <v>-0.10395584540888</v>
      </c>
      <c r="H957" s="15" t="n">
        <v>0.489073800366903</v>
      </c>
    </row>
    <row r="958">
      <c r="A958" t="s">
        <v>30</v>
      </c>
      <c r="B958" t="s">
        <v>751</v>
      </c>
      <c r="C958" t="s">
        <v>752</v>
      </c>
      <c r="D958" t="s">
        <v>961</v>
      </c>
      <c r="E958" s="13" t="n">
        <v>0.75</v>
      </c>
      <c r="F958" s="16" t="n">
        <v>104</v>
      </c>
      <c r="G958" s="14" t="n">
        <v>-0.662210694644195</v>
      </c>
      <c r="H958" s="15" t="n">
        <v>-0.352103672089418</v>
      </c>
    </row>
    <row r="959">
      <c r="A959" t="s">
        <v>30</v>
      </c>
      <c r="B959" t="s">
        <v>753</v>
      </c>
      <c r="C959" t="s">
        <v>754</v>
      </c>
      <c r="D959" t="s">
        <v>961</v>
      </c>
      <c r="E959" s="13" t="n">
        <v>1.25</v>
      </c>
      <c r="F959" s="16" t="n">
        <v>106</v>
      </c>
      <c r="G959" s="14" t="n">
        <v>-1.06006012019553</v>
      </c>
      <c r="H959" s="15" t="n">
        <v>-0.662399080291506</v>
      </c>
    </row>
    <row r="960">
      <c r="A960" t="s">
        <v>30</v>
      </c>
      <c r="B960" t="s">
        <v>753</v>
      </c>
      <c r="C960" t="s">
        <v>755</v>
      </c>
      <c r="D960" t="s">
        <v>961</v>
      </c>
      <c r="E960" s="13" t="n">
        <v>1.5</v>
      </c>
      <c r="F960" s="16" t="n">
        <v>66</v>
      </c>
      <c r="G960" s="14" t="n">
        <v>-1.00369590953829</v>
      </c>
      <c r="H960" s="15" t="n">
        <v>1.11471723821609</v>
      </c>
    </row>
    <row r="961">
      <c r="A961" t="s">
        <v>30</v>
      </c>
      <c r="B961" t="s">
        <v>756</v>
      </c>
      <c r="C961" t="s">
        <v>757</v>
      </c>
      <c r="D961" t="s">
        <v>961</v>
      </c>
      <c r="E961" s="13" t="n">
        <v>1.25</v>
      </c>
      <c r="F961" s="16" t="n">
        <v>94</v>
      </c>
      <c r="G961" s="14" t="n">
        <v>-1.23783508592696</v>
      </c>
      <c r="H961" s="15" t="n">
        <v>-0.173966376200082</v>
      </c>
    </row>
    <row r="962">
      <c r="A962" t="s">
        <v>31</v>
      </c>
      <c r="B962" t="s">
        <v>758</v>
      </c>
      <c r="C962" t="s">
        <v>759</v>
      </c>
      <c r="D962" t="s">
        <v>961</v>
      </c>
      <c r="E962" s="13" t="n">
        <v>0</v>
      </c>
      <c r="F962" s="16" t="n">
        <v>14</v>
      </c>
      <c r="G962" s="14" t="n">
        <v>0</v>
      </c>
      <c r="H962" s="15" t="n">
        <v>0</v>
      </c>
    </row>
    <row r="963">
      <c r="A963" t="s">
        <v>30</v>
      </c>
      <c r="B963" t="s">
        <v>760</v>
      </c>
      <c r="C963" t="s">
        <v>761</v>
      </c>
      <c r="D963" t="s">
        <v>961</v>
      </c>
      <c r="E963" s="13" t="n">
        <v>3</v>
      </c>
      <c r="F963" s="16" t="n">
        <v>98</v>
      </c>
      <c r="G963" s="14" t="n">
        <v>-2.88378508781496</v>
      </c>
      <c r="H963" s="15" t="n">
        <v>-0.826912067450996</v>
      </c>
    </row>
    <row r="964">
      <c r="A964" t="s">
        <v>30</v>
      </c>
      <c r="B964" t="s">
        <v>760</v>
      </c>
      <c r="C964" t="s">
        <v>762</v>
      </c>
      <c r="D964" t="s">
        <v>961</v>
      </c>
      <c r="E964" s="13" t="n">
        <v>2.25</v>
      </c>
      <c r="F964" s="16" t="n">
        <v>100</v>
      </c>
      <c r="G964" s="14" t="n">
        <v>-2.11430839676829</v>
      </c>
      <c r="H964" s="15" t="n">
        <v>-0.769545322482755</v>
      </c>
    </row>
    <row r="965">
      <c r="A965" t="s">
        <v>31</v>
      </c>
      <c r="B965" t="s">
        <v>763</v>
      </c>
      <c r="C965" t="s">
        <v>764</v>
      </c>
      <c r="D965" t="s">
        <v>961</v>
      </c>
      <c r="E965" s="13" t="n">
        <v>0.25</v>
      </c>
      <c r="F965" s="16" t="n">
        <v>113</v>
      </c>
      <c r="G965" s="14" t="n">
        <v>-0.173664592614749</v>
      </c>
      <c r="H965" s="15" t="n">
        <v>-0.179834950084663</v>
      </c>
    </row>
    <row r="966">
      <c r="A966" t="s">
        <v>31</v>
      </c>
      <c r="B966" t="s">
        <v>765</v>
      </c>
      <c r="C966" t="s">
        <v>766</v>
      </c>
      <c r="D966" t="s">
        <v>961</v>
      </c>
      <c r="E966" s="13" t="n">
        <v>0.75</v>
      </c>
      <c r="F966" s="16" t="n">
        <v>73</v>
      </c>
      <c r="G966" s="14" t="n">
        <v>-0.621778179416281</v>
      </c>
      <c r="H966" s="15" t="n">
        <v>0.41939467760306</v>
      </c>
    </row>
    <row r="967">
      <c r="A967" t="s">
        <v>31</v>
      </c>
      <c r="B967" t="s">
        <v>765</v>
      </c>
      <c r="C967" t="s">
        <v>767</v>
      </c>
      <c r="D967" t="s">
        <v>961</v>
      </c>
      <c r="E967" s="13" t="n">
        <v>0.75</v>
      </c>
      <c r="F967" s="16" t="n">
        <v>95</v>
      </c>
      <c r="G967" s="14" t="n">
        <v>-0.738605814759156</v>
      </c>
      <c r="H967" s="15" t="n">
        <v>-0.130236133250198</v>
      </c>
    </row>
    <row r="968">
      <c r="A968" t="s">
        <v>31</v>
      </c>
      <c r="B968" t="s">
        <v>768</v>
      </c>
      <c r="C968" t="s">
        <v>769</v>
      </c>
      <c r="D968" t="s">
        <v>961</v>
      </c>
      <c r="E968" s="13" t="n">
        <v>1.5</v>
      </c>
      <c r="F968" s="16" t="n">
        <v>34</v>
      </c>
      <c r="G968" s="14" t="n">
        <v>0.561909890123868</v>
      </c>
      <c r="H968" s="15" t="n">
        <v>1.39077578185018</v>
      </c>
    </row>
    <row r="969">
      <c r="A969" t="s">
        <v>31</v>
      </c>
      <c r="B969" t="s">
        <v>768</v>
      </c>
      <c r="C969" t="s">
        <v>770</v>
      </c>
      <c r="D969" t="s">
        <v>961</v>
      </c>
      <c r="E969" s="13" t="n">
        <v>1</v>
      </c>
      <c r="F969" s="16" t="n">
        <v>145</v>
      </c>
      <c r="G969" s="14" t="n">
        <v>0.342020143325669</v>
      </c>
      <c r="H969" s="15" t="n">
        <v>-0.939692620785908</v>
      </c>
    </row>
    <row r="970">
      <c r="A970" t="s">
        <v>30</v>
      </c>
      <c r="B970" t="s">
        <v>771</v>
      </c>
      <c r="C970" t="s">
        <v>772</v>
      </c>
      <c r="D970" t="s">
        <v>961</v>
      </c>
      <c r="E970" s="13" t="n">
        <v>2.25</v>
      </c>
      <c r="F970" s="16" t="n">
        <v>169</v>
      </c>
      <c r="G970" s="14" t="n">
        <v>2.08616367277527</v>
      </c>
      <c r="H970" s="15" t="n">
        <v>-0.842864835185802</v>
      </c>
    </row>
    <row r="971">
      <c r="A971" t="s">
        <v>30</v>
      </c>
      <c r="B971" t="s">
        <v>771</v>
      </c>
      <c r="C971" t="s">
        <v>773</v>
      </c>
      <c r="D971" t="s">
        <v>961</v>
      </c>
      <c r="E971" s="13" t="n">
        <v>1.75</v>
      </c>
      <c r="F971" s="16" t="n">
        <v>1</v>
      </c>
      <c r="G971" s="14" t="n">
        <v>1.74893394728342</v>
      </c>
      <c r="H971" s="15" t="n">
        <v>0.0610741192293767</v>
      </c>
    </row>
    <row r="972">
      <c r="A972" t="s">
        <v>30</v>
      </c>
      <c r="B972" t="s">
        <v>774</v>
      </c>
      <c r="C972" t="s">
        <v>775</v>
      </c>
      <c r="D972" t="s">
        <v>961</v>
      </c>
      <c r="E972" s="13" t="n">
        <v>0.5</v>
      </c>
      <c r="F972" s="16" t="n">
        <v>1</v>
      </c>
      <c r="G972" s="14" t="n">
        <v>0.499695413509548</v>
      </c>
      <c r="H972" s="15" t="n">
        <v>0.0174497483512505</v>
      </c>
    </row>
    <row r="973">
      <c r="A973" t="s">
        <v>31</v>
      </c>
      <c r="B973" t="s">
        <v>776</v>
      </c>
      <c r="C973" t="s">
        <v>777</v>
      </c>
      <c r="D973" t="s">
        <v>961</v>
      </c>
      <c r="E973" s="13" t="n">
        <v>0.25</v>
      </c>
      <c r="F973" s="16" t="n">
        <v>94</v>
      </c>
      <c r="G973" s="14" t="n">
        <v>-0.247567017185393</v>
      </c>
      <c r="H973" s="15" t="n">
        <v>-0.0347932752400164</v>
      </c>
    </row>
    <row r="974">
      <c r="A974" t="s">
        <v>30</v>
      </c>
      <c r="B974" t="s">
        <v>778</v>
      </c>
      <c r="C974" t="s">
        <v>779</v>
      </c>
      <c r="D974" t="s">
        <v>961</v>
      </c>
      <c r="E974" s="13" t="n">
        <v>0.75</v>
      </c>
      <c r="F974" s="16" t="n">
        <v>78</v>
      </c>
      <c r="G974" s="14" t="n">
        <v>-0.685159093231951</v>
      </c>
      <c r="H974" s="15" t="n">
        <v>0.30505248230685</v>
      </c>
    </row>
    <row r="975">
      <c r="A975" t="s">
        <v>30</v>
      </c>
      <c r="B975" t="s">
        <v>778</v>
      </c>
      <c r="C975" t="s">
        <v>780</v>
      </c>
      <c r="D975" t="s">
        <v>961</v>
      </c>
      <c r="E975" s="13" t="n">
        <v>0.75</v>
      </c>
      <c r="F975" s="16" t="n">
        <v>107</v>
      </c>
      <c r="G975" s="14" t="n">
        <v>-0.621778179416281</v>
      </c>
      <c r="H975" s="15" t="n">
        <v>-0.41939467760306</v>
      </c>
    </row>
    <row r="976">
      <c r="A976" t="s">
        <v>31</v>
      </c>
      <c r="B976" t="s">
        <v>781</v>
      </c>
      <c r="C976" t="s">
        <v>782</v>
      </c>
      <c r="D976" t="s">
        <v>961</v>
      </c>
      <c r="E976" s="13" t="n">
        <v>0.5</v>
      </c>
      <c r="F976" s="16" t="n">
        <v>5</v>
      </c>
      <c r="G976" s="14" t="n">
        <v>0.492403876506104</v>
      </c>
      <c r="H976" s="15" t="n">
        <v>0.0868240888334652</v>
      </c>
    </row>
    <row r="977">
      <c r="A977" t="s">
        <v>31</v>
      </c>
      <c r="B977" t="s">
        <v>781</v>
      </c>
      <c r="C977" t="s">
        <v>783</v>
      </c>
      <c r="D977" t="s">
        <v>961</v>
      </c>
      <c r="E977" s="13" t="n">
        <v>0.25</v>
      </c>
      <c r="F977" s="16" t="n">
        <v>175</v>
      </c>
      <c r="G977" s="14" t="n">
        <v>0.246201938253052</v>
      </c>
      <c r="H977" s="15" t="n">
        <v>-0.0434120444167326</v>
      </c>
    </row>
    <row r="978">
      <c r="A978" t="s">
        <v>31</v>
      </c>
      <c r="B978" t="s">
        <v>784</v>
      </c>
      <c r="C978" t="s">
        <v>785</v>
      </c>
      <c r="D978" t="s">
        <v>961</v>
      </c>
      <c r="E978" s="13" t="n">
        <v>0.75</v>
      </c>
      <c r="F978" s="16" t="n">
        <v>39</v>
      </c>
      <c r="G978" s="14" t="n">
        <v>0.155933768113319</v>
      </c>
      <c r="H978" s="15" t="n">
        <v>0.733610700550354</v>
      </c>
    </row>
    <row r="979">
      <c r="A979" t="s">
        <v>31</v>
      </c>
      <c r="B979" t="s">
        <v>784</v>
      </c>
      <c r="C979" t="s">
        <v>786</v>
      </c>
      <c r="D979" t="s">
        <v>961</v>
      </c>
      <c r="E979" s="13" t="n">
        <v>0.75</v>
      </c>
      <c r="F979" s="16" t="n">
        <v>154</v>
      </c>
      <c r="G979" s="14" t="n">
        <v>0.461746106494243</v>
      </c>
      <c r="H979" s="15" t="n">
        <v>-0.591008065205042</v>
      </c>
    </row>
    <row r="980">
      <c r="A980" t="s">
        <v>31</v>
      </c>
      <c r="B980" t="s">
        <v>787</v>
      </c>
      <c r="C980" t="s">
        <v>788</v>
      </c>
      <c r="D980" t="s">
        <v>961</v>
      </c>
      <c r="E980" s="13" t="n">
        <v>0.5</v>
      </c>
      <c r="F980" s="16" t="n">
        <v>95</v>
      </c>
      <c r="G980" s="14" t="n">
        <v>-0.492403876506104</v>
      </c>
      <c r="H980" s="15" t="n">
        <v>-0.0868240888334653</v>
      </c>
    </row>
    <row r="981">
      <c r="A981" t="s">
        <v>31</v>
      </c>
      <c r="B981" t="s">
        <v>787</v>
      </c>
      <c r="C981" t="s">
        <v>789</v>
      </c>
      <c r="D981" t="s">
        <v>961</v>
      </c>
      <c r="E981" s="13" t="n">
        <v>1.25</v>
      </c>
      <c r="F981" s="16" t="n">
        <v>96</v>
      </c>
      <c r="G981" s="14" t="n">
        <v>-1.22268450091726</v>
      </c>
      <c r="H981" s="15" t="n">
        <v>-0.259889613522199</v>
      </c>
    </row>
    <row r="982">
      <c r="A982" t="s">
        <v>31</v>
      </c>
      <c r="B982" t="s">
        <v>790</v>
      </c>
      <c r="C982" t="s">
        <v>791</v>
      </c>
      <c r="D982" t="s">
        <v>961</v>
      </c>
      <c r="E982" s="13" t="n">
        <v>0.5</v>
      </c>
      <c r="F982" s="16" t="n">
        <v>11</v>
      </c>
      <c r="G982" s="14" t="n">
        <v>0.463591927283394</v>
      </c>
      <c r="H982" s="15" t="n">
        <v>0.187303296707956</v>
      </c>
    </row>
    <row r="983">
      <c r="A983" t="s">
        <v>31</v>
      </c>
      <c r="B983" t="s">
        <v>790</v>
      </c>
      <c r="C983" t="s">
        <v>792</v>
      </c>
      <c r="D983" t="s">
        <v>961</v>
      </c>
      <c r="E983" s="13" t="n">
        <v>0.5</v>
      </c>
      <c r="F983" s="16" t="n">
        <v>168</v>
      </c>
      <c r="G983" s="14" t="n">
        <v>0.4567727288213</v>
      </c>
      <c r="H983" s="15" t="n">
        <v>-0.2033683215379</v>
      </c>
    </row>
    <row r="984">
      <c r="A984" t="s">
        <v>31</v>
      </c>
      <c r="B984" t="s">
        <v>793</v>
      </c>
      <c r="C984" t="s">
        <v>794</v>
      </c>
      <c r="D984" t="s">
        <v>961</v>
      </c>
      <c r="E984" s="13" t="n">
        <v>1.5</v>
      </c>
      <c r="F984" s="16" t="n">
        <v>70</v>
      </c>
      <c r="G984" s="14" t="n">
        <v>-1.14906666467847</v>
      </c>
      <c r="H984" s="15" t="n">
        <v>0.964181414529809</v>
      </c>
    </row>
    <row r="985">
      <c r="A985" t="s">
        <v>31</v>
      </c>
      <c r="B985" t="s">
        <v>793</v>
      </c>
      <c r="C985" t="s">
        <v>795</v>
      </c>
      <c r="D985" t="s">
        <v>961</v>
      </c>
      <c r="E985" s="13" t="n">
        <v>0.5</v>
      </c>
      <c r="F985" s="16" t="n">
        <v>101</v>
      </c>
      <c r="G985" s="14" t="n">
        <v>-0.463591927283394</v>
      </c>
      <c r="H985" s="15" t="n">
        <v>-0.187303296707956</v>
      </c>
    </row>
    <row r="986">
      <c r="A986" t="s">
        <v>30</v>
      </c>
      <c r="B986" t="s">
        <v>796</v>
      </c>
      <c r="C986" t="s">
        <v>797</v>
      </c>
      <c r="D986" t="s">
        <v>961</v>
      </c>
      <c r="E986" s="13" t="n">
        <v>1</v>
      </c>
      <c r="F986" s="16" t="n">
        <v>90</v>
      </c>
      <c r="G986" s="14" t="n">
        <v>-1</v>
      </c>
      <c r="H986" s="15" t="n">
        <v>0</v>
      </c>
    </row>
    <row r="987">
      <c r="A987" t="s">
        <v>30</v>
      </c>
      <c r="B987" t="s">
        <v>796</v>
      </c>
      <c r="C987" t="s">
        <v>798</v>
      </c>
      <c r="D987" t="s">
        <v>961</v>
      </c>
      <c r="E987" s="13" t="n">
        <v>0.75</v>
      </c>
      <c r="F987" s="16" t="n">
        <v>86</v>
      </c>
      <c r="G987" s="14" t="n">
        <v>-0.742701051556178</v>
      </c>
      <c r="H987" s="15" t="n">
        <v>0.104379825720049</v>
      </c>
    </row>
    <row r="988">
      <c r="A988" t="s">
        <v>31</v>
      </c>
      <c r="B988" t="s">
        <v>799</v>
      </c>
      <c r="C988" t="s">
        <v>800</v>
      </c>
      <c r="D988" t="s">
        <v>961</v>
      </c>
      <c r="E988" s="13" t="n">
        <v>0.25</v>
      </c>
      <c r="F988" s="16" t="n">
        <v>6</v>
      </c>
      <c r="G988" s="14" t="n">
        <v>0.244536900183451</v>
      </c>
      <c r="H988" s="15" t="n">
        <v>0.0519779227044398</v>
      </c>
    </row>
    <row r="989">
      <c r="A989" t="s">
        <v>30</v>
      </c>
      <c r="B989" t="s">
        <v>801</v>
      </c>
      <c r="C989" t="s">
        <v>802</v>
      </c>
      <c r="D989" t="s">
        <v>961</v>
      </c>
      <c r="E989" s="13" t="n">
        <v>0.25</v>
      </c>
      <c r="F989" s="16" t="n">
        <v>39</v>
      </c>
      <c r="G989" s="14" t="n">
        <v>0.0519779227044398</v>
      </c>
      <c r="H989" s="15" t="n">
        <v>0.244536900183451</v>
      </c>
    </row>
    <row r="990">
      <c r="A990" t="s">
        <v>30</v>
      </c>
      <c r="B990" t="s">
        <v>801</v>
      </c>
      <c r="C990" t="s">
        <v>803</v>
      </c>
      <c r="D990" t="s">
        <v>961</v>
      </c>
      <c r="E990" s="13" t="n">
        <v>0.5</v>
      </c>
      <c r="F990" s="16" t="n">
        <v>150</v>
      </c>
      <c r="G990" s="14" t="n">
        <v>0.25</v>
      </c>
      <c r="H990" s="15" t="n">
        <v>-0.433012701892219</v>
      </c>
    </row>
    <row r="991">
      <c r="A991" t="s">
        <v>30</v>
      </c>
      <c r="B991" t="s">
        <v>804</v>
      </c>
      <c r="C991" t="s">
        <v>805</v>
      </c>
      <c r="D991" t="s">
        <v>961</v>
      </c>
      <c r="E991" s="13" t="n">
        <v>0.75</v>
      </c>
      <c r="F991" s="16" t="n">
        <v>77</v>
      </c>
      <c r="G991" s="14" t="n">
        <v>-0.674095534724375</v>
      </c>
      <c r="H991" s="15" t="n">
        <v>0.328778360091808</v>
      </c>
    </row>
    <row r="992">
      <c r="A992" t="s">
        <v>31</v>
      </c>
      <c r="B992" t="s">
        <v>806</v>
      </c>
      <c r="C992" t="s">
        <v>807</v>
      </c>
      <c r="D992" t="s">
        <v>961</v>
      </c>
      <c r="E992" s="13" t="n">
        <v>0.5</v>
      </c>
      <c r="F992" s="16" t="n">
        <v>162</v>
      </c>
      <c r="G992" s="14" t="n">
        <v>0.404508497187474</v>
      </c>
      <c r="H992" s="15" t="n">
        <v>-0.293892626146237</v>
      </c>
    </row>
    <row r="993">
      <c r="A993" t="s">
        <v>31</v>
      </c>
      <c r="B993" t="s">
        <v>806</v>
      </c>
      <c r="C993" t="s">
        <v>808</v>
      </c>
      <c r="D993" t="s">
        <v>961</v>
      </c>
      <c r="E993" s="13" t="n">
        <v>0.5</v>
      </c>
      <c r="F993" s="16" t="n">
        <v>21</v>
      </c>
      <c r="G993" s="14" t="n">
        <v>0.371572412738697</v>
      </c>
      <c r="H993" s="15" t="n">
        <v>0.334565303179429</v>
      </c>
    </row>
    <row r="994">
      <c r="A994" t="s">
        <v>30</v>
      </c>
      <c r="B994" t="s">
        <v>809</v>
      </c>
      <c r="C994" t="s">
        <v>810</v>
      </c>
      <c r="D994" t="s">
        <v>961</v>
      </c>
      <c r="E994" s="13" t="n">
        <v>1.5</v>
      </c>
      <c r="F994" s="16" t="n">
        <v>98</v>
      </c>
      <c r="G994" s="14" t="n">
        <v>-1.44189254390748</v>
      </c>
      <c r="H994" s="15" t="n">
        <v>-0.413456033725498</v>
      </c>
    </row>
    <row r="995">
      <c r="A995" t="s">
        <v>31</v>
      </c>
      <c r="B995" t="s">
        <v>811</v>
      </c>
      <c r="C995" t="s">
        <v>812</v>
      </c>
      <c r="D995" t="s">
        <v>961</v>
      </c>
      <c r="E995" s="13" t="n">
        <v>0.25</v>
      </c>
      <c r="F995" s="16" t="n">
        <v>91</v>
      </c>
      <c r="G995" s="14" t="n">
        <v>-0.249847706754774</v>
      </c>
      <c r="H995" s="15" t="n">
        <v>-0.00872487417562529</v>
      </c>
    </row>
    <row r="996">
      <c r="A996" t="s">
        <v>30</v>
      </c>
      <c r="B996" t="s">
        <v>813</v>
      </c>
      <c r="C996" t="s">
        <v>814</v>
      </c>
      <c r="D996" t="s">
        <v>961</v>
      </c>
      <c r="E996" s="13" t="n">
        <v>0.75</v>
      </c>
      <c r="F996" s="16" t="n">
        <v>81</v>
      </c>
      <c r="G996" s="14" t="n">
        <v>-0.713292387221365</v>
      </c>
      <c r="H996" s="15" t="n">
        <v>0.231762745781211</v>
      </c>
    </row>
    <row r="997">
      <c r="A997" t="s">
        <v>30</v>
      </c>
      <c r="B997" t="s">
        <v>813</v>
      </c>
      <c r="C997" t="s">
        <v>815</v>
      </c>
      <c r="D997" t="s">
        <v>961</v>
      </c>
      <c r="E997" s="13" t="n">
        <v>0.5</v>
      </c>
      <c r="F997" s="16" t="n">
        <v>96</v>
      </c>
      <c r="G997" s="14" t="n">
        <v>-0.489073800366903</v>
      </c>
      <c r="H997" s="15" t="n">
        <v>-0.10395584540888</v>
      </c>
    </row>
    <row r="998">
      <c r="A998" t="s">
        <v>31</v>
      </c>
      <c r="B998" t="s">
        <v>816</v>
      </c>
      <c r="C998" t="s">
        <v>817</v>
      </c>
      <c r="D998" t="s">
        <v>961</v>
      </c>
      <c r="E998" s="13" t="n">
        <v>0.5</v>
      </c>
      <c r="F998" s="16" t="n">
        <v>85</v>
      </c>
      <c r="G998" s="14" t="n">
        <v>-0.492403876506104</v>
      </c>
      <c r="H998" s="15" t="n">
        <v>0.0868240888334653</v>
      </c>
    </row>
    <row r="999">
      <c r="A999" t="s">
        <v>31</v>
      </c>
      <c r="B999" t="s">
        <v>816</v>
      </c>
      <c r="C999" t="s">
        <v>818</v>
      </c>
      <c r="D999" t="s">
        <v>961</v>
      </c>
      <c r="E999" s="13" t="n">
        <v>0.25</v>
      </c>
      <c r="F999" s="16" t="n">
        <v>92</v>
      </c>
      <c r="G999" s="14" t="n">
        <v>-0.249391012564956</v>
      </c>
      <c r="H999" s="15" t="n">
        <v>-0.0174391184360313</v>
      </c>
    </row>
    <row r="1000">
      <c r="A1000" t="s">
        <v>31</v>
      </c>
      <c r="B1000" t="s">
        <v>819</v>
      </c>
      <c r="C1000" t="s">
        <v>820</v>
      </c>
      <c r="D1000" t="s">
        <v>961</v>
      </c>
      <c r="E1000" s="13" t="n">
        <v>0.75</v>
      </c>
      <c r="F1000" s="16" t="n">
        <v>4</v>
      </c>
      <c r="G1000" s="14" t="n">
        <v>0.742701051556178</v>
      </c>
      <c r="H1000" s="15" t="n">
        <v>0.104379825720049</v>
      </c>
    </row>
    <row r="1001">
      <c r="A1001" t="s">
        <v>31</v>
      </c>
      <c r="B1001" t="s">
        <v>819</v>
      </c>
      <c r="C1001" t="s">
        <v>821</v>
      </c>
      <c r="D1001" t="s">
        <v>961</v>
      </c>
      <c r="E1001" s="13" t="n">
        <v>1</v>
      </c>
      <c r="F1001" s="16" t="n">
        <v>165</v>
      </c>
      <c r="G1001" s="14" t="n">
        <v>0.866025403784438</v>
      </c>
      <c r="H1001" s="15" t="n">
        <v>-0.5</v>
      </c>
    </row>
    <row r="1002">
      <c r="A1002" t="s">
        <v>31</v>
      </c>
      <c r="B1002" t="s">
        <v>822</v>
      </c>
      <c r="C1002" t="s">
        <v>823</v>
      </c>
      <c r="D1002" t="s">
        <v>961</v>
      </c>
      <c r="E1002" s="13" t="n">
        <v>0.75</v>
      </c>
      <c r="F1002" s="16" t="n">
        <v>3</v>
      </c>
      <c r="G1002" s="14" t="n">
        <v>0.745891421526205</v>
      </c>
      <c r="H1002" s="15" t="n">
        <v>0.0783963474507401</v>
      </c>
    </row>
    <row r="1003">
      <c r="A1003" t="s">
        <v>31</v>
      </c>
      <c r="B1003" t="s">
        <v>822</v>
      </c>
      <c r="C1003" t="s">
        <v>824</v>
      </c>
      <c r="D1003" t="s">
        <v>961</v>
      </c>
      <c r="E1003" s="13" t="n">
        <v>0.5</v>
      </c>
      <c r="F1003" s="16" t="n">
        <v>170</v>
      </c>
      <c r="G1003" s="14" t="n">
        <v>0.469846310392954</v>
      </c>
      <c r="H1003" s="15" t="n">
        <v>-0.171010071662834</v>
      </c>
    </row>
    <row r="1004">
      <c r="A1004" t="s">
        <v>31</v>
      </c>
      <c r="B1004" t="s">
        <v>825</v>
      </c>
      <c r="C1004" t="s">
        <v>826</v>
      </c>
      <c r="D1004" t="s">
        <v>961</v>
      </c>
      <c r="E1004" s="13" t="n">
        <v>1.5</v>
      </c>
      <c r="F1004" s="16" t="n">
        <v>83</v>
      </c>
      <c r="G1004" s="14" t="n">
        <v>-1.45544358941399</v>
      </c>
      <c r="H1004" s="15" t="n">
        <v>0.362882843399502</v>
      </c>
    </row>
    <row r="1005">
      <c r="A1005" t="s">
        <v>31</v>
      </c>
      <c r="B1005" t="s">
        <v>825</v>
      </c>
      <c r="C1005" t="s">
        <v>827</v>
      </c>
      <c r="D1005" t="s">
        <v>961</v>
      </c>
      <c r="E1005" s="13" t="n">
        <v>1</v>
      </c>
      <c r="F1005" s="16" t="n">
        <v>109</v>
      </c>
      <c r="G1005" s="14" t="n">
        <v>-0.788010753606722</v>
      </c>
      <c r="H1005" s="15" t="n">
        <v>-0.615661475325658</v>
      </c>
    </row>
    <row r="1006">
      <c r="A1006" t="s">
        <v>30</v>
      </c>
      <c r="B1006" t="s">
        <v>828</v>
      </c>
      <c r="C1006" t="s">
        <v>829</v>
      </c>
      <c r="D1006" t="s">
        <v>961</v>
      </c>
      <c r="E1006" s="13" t="n">
        <v>0.75</v>
      </c>
      <c r="F1006" s="16" t="n">
        <v>89</v>
      </c>
      <c r="G1006" s="14" t="n">
        <v>-0.749543120264322</v>
      </c>
      <c r="H1006" s="15" t="n">
        <v>0.0261746225268759</v>
      </c>
    </row>
    <row r="1007">
      <c r="A1007" t="s">
        <v>30</v>
      </c>
      <c r="B1007" t="s">
        <v>830</v>
      </c>
      <c r="C1007" t="s">
        <v>831</v>
      </c>
      <c r="D1007" t="s">
        <v>961</v>
      </c>
      <c r="E1007" s="13" t="n">
        <v>1.5</v>
      </c>
      <c r="F1007" s="16" t="n">
        <v>97</v>
      </c>
      <c r="G1007" s="14" t="n">
        <v>-1.45544358941399</v>
      </c>
      <c r="H1007" s="15" t="n">
        <v>-0.362882843399502</v>
      </c>
    </row>
    <row r="1008">
      <c r="A1008" t="s">
        <v>30</v>
      </c>
      <c r="B1008" t="s">
        <v>830</v>
      </c>
      <c r="C1008" t="s">
        <v>832</v>
      </c>
      <c r="D1008" t="s">
        <v>961</v>
      </c>
      <c r="E1008" s="13" t="n">
        <v>1</v>
      </c>
      <c r="F1008" s="16" t="n">
        <v>94</v>
      </c>
      <c r="G1008" s="14" t="n">
        <v>-0.99026806874157</v>
      </c>
      <c r="H1008" s="15" t="n">
        <v>-0.139173100960066</v>
      </c>
    </row>
    <row r="1009">
      <c r="A1009" t="s">
        <v>30</v>
      </c>
      <c r="B1009" t="s">
        <v>833</v>
      </c>
      <c r="C1009" t="s">
        <v>834</v>
      </c>
      <c r="D1009" t="s">
        <v>961</v>
      </c>
      <c r="E1009" s="13" t="n">
        <v>0.75</v>
      </c>
      <c r="F1009" s="16" t="n">
        <v>62</v>
      </c>
      <c r="G1009" s="14" t="n">
        <v>-0.41939467760306</v>
      </c>
      <c r="H1009" s="15" t="n">
        <v>0.621778179416281</v>
      </c>
    </row>
    <row r="1010">
      <c r="A1010" t="s">
        <v>30</v>
      </c>
      <c r="B1010" t="s">
        <v>833</v>
      </c>
      <c r="C1010" t="s">
        <v>835</v>
      </c>
      <c r="D1010" t="s">
        <v>961</v>
      </c>
      <c r="E1010" s="13" t="n">
        <v>1</v>
      </c>
      <c r="F1010" s="16" t="n">
        <v>119</v>
      </c>
      <c r="G1010" s="14" t="n">
        <v>-0.529919264233205</v>
      </c>
      <c r="H1010" s="15" t="n">
        <v>-0.848048096156426</v>
      </c>
    </row>
    <row r="1011">
      <c r="A1011" t="s">
        <v>31</v>
      </c>
      <c r="B1011" t="s">
        <v>836</v>
      </c>
      <c r="C1011" t="s">
        <v>837</v>
      </c>
      <c r="D1011" t="s">
        <v>961</v>
      </c>
      <c r="E1011" s="13" t="n">
        <v>1</v>
      </c>
      <c r="F1011" s="16" t="n">
        <v>78</v>
      </c>
      <c r="G1011" s="14" t="n">
        <v>-0.913545457642601</v>
      </c>
      <c r="H1011" s="15" t="n">
        <v>0.4067366430758</v>
      </c>
    </row>
    <row r="1012">
      <c r="A1012" t="s">
        <v>31</v>
      </c>
      <c r="B1012" t="s">
        <v>836</v>
      </c>
      <c r="C1012" t="s">
        <v>838</v>
      </c>
      <c r="D1012" t="s">
        <v>961</v>
      </c>
      <c r="E1012" s="13" t="n">
        <v>0.75</v>
      </c>
      <c r="F1012" s="16" t="n">
        <v>98</v>
      </c>
      <c r="G1012" s="14" t="n">
        <v>-0.720946271953739</v>
      </c>
      <c r="H1012" s="15" t="n">
        <v>-0.206728016862749</v>
      </c>
    </row>
    <row r="1013">
      <c r="A1013" t="s">
        <v>31</v>
      </c>
      <c r="B1013" t="s">
        <v>839</v>
      </c>
      <c r="C1013" t="s">
        <v>840</v>
      </c>
      <c r="D1013" t="s">
        <v>961</v>
      </c>
      <c r="E1013" s="13" t="n">
        <v>1.25</v>
      </c>
      <c r="F1013" s="16" t="n">
        <v>96</v>
      </c>
      <c r="G1013" s="14" t="n">
        <v>-1.22268450091726</v>
      </c>
      <c r="H1013" s="15" t="n">
        <v>-0.259889613522199</v>
      </c>
    </row>
    <row r="1014">
      <c r="A1014" t="s">
        <v>30</v>
      </c>
      <c r="B1014" t="s">
        <v>1004</v>
      </c>
      <c r="C1014" t="s">
        <v>1005</v>
      </c>
      <c r="D1014" t="s">
        <v>961</v>
      </c>
      <c r="E1014" s="13" t="n">
        <v>1.75</v>
      </c>
      <c r="F1014" s="16" t="n">
        <v>161</v>
      </c>
      <c r="G1014" s="14" t="n">
        <v>1.37901881881176</v>
      </c>
      <c r="H1014" s="15" t="n">
        <v>-1.0774075818199</v>
      </c>
    </row>
    <row r="1015">
      <c r="A1015" t="s">
        <v>30</v>
      </c>
      <c r="B1015" t="s">
        <v>1004</v>
      </c>
      <c r="C1015" t="s">
        <v>1006</v>
      </c>
      <c r="D1015" t="s">
        <v>961</v>
      </c>
      <c r="E1015" s="13" t="n">
        <v>0.75</v>
      </c>
      <c r="F1015" s="16" t="n">
        <v>26</v>
      </c>
      <c r="G1015" s="14" t="n">
        <v>0.461746106494244</v>
      </c>
      <c r="H1015" s="15" t="n">
        <v>0.591008065205041</v>
      </c>
    </row>
    <row r="1016">
      <c r="A1016" t="s">
        <v>30</v>
      </c>
      <c r="B1016" t="s">
        <v>1007</v>
      </c>
      <c r="C1016" t="s">
        <v>1008</v>
      </c>
      <c r="D1016" t="s">
        <v>961</v>
      </c>
      <c r="E1016" s="13" t="n">
        <v>2.25</v>
      </c>
      <c r="F1016" s="16" t="n">
        <v>96</v>
      </c>
      <c r="G1016" s="14" t="n">
        <v>-2.20083210165106</v>
      </c>
      <c r="H1016" s="15" t="n">
        <v>-0.467801304339958</v>
      </c>
    </row>
    <row r="1017">
      <c r="A1017" t="s">
        <v>30</v>
      </c>
      <c r="B1017" t="s">
        <v>841</v>
      </c>
      <c r="C1017" t="s">
        <v>842</v>
      </c>
      <c r="D1017" t="s">
        <v>961</v>
      </c>
      <c r="E1017" s="13" t="n">
        <v>0.25</v>
      </c>
      <c r="F1017" s="16" t="n">
        <v>85</v>
      </c>
      <c r="G1017" s="14" t="n">
        <v>-0.246201938253052</v>
      </c>
      <c r="H1017" s="15" t="n">
        <v>0.0434120444167327</v>
      </c>
    </row>
    <row r="1018">
      <c r="A1018" t="s">
        <v>30</v>
      </c>
      <c r="B1018" t="s">
        <v>841</v>
      </c>
      <c r="C1018" t="s">
        <v>843</v>
      </c>
      <c r="D1018" t="s">
        <v>961</v>
      </c>
      <c r="E1018" s="13" t="n">
        <v>0.25</v>
      </c>
      <c r="F1018" s="16" t="n">
        <v>91</v>
      </c>
      <c r="G1018" s="14" t="n">
        <v>-0.249847706754774</v>
      </c>
      <c r="H1018" s="15" t="n">
        <v>-0.00872487417562529</v>
      </c>
    </row>
    <row r="1019">
      <c r="A1019" t="s">
        <v>30</v>
      </c>
      <c r="B1019" t="s">
        <v>844</v>
      </c>
      <c r="C1019" t="s">
        <v>845</v>
      </c>
      <c r="D1019" t="s">
        <v>961</v>
      </c>
      <c r="E1019" s="13" t="n">
        <v>0</v>
      </c>
      <c r="F1019" s="16" t="n">
        <v>64</v>
      </c>
      <c r="G1019" s="14" t="n">
        <v>0</v>
      </c>
      <c r="H1019" s="15" t="n">
        <v>0</v>
      </c>
    </row>
    <row r="1020">
      <c r="A1020" t="s">
        <v>30</v>
      </c>
      <c r="B1020" t="s">
        <v>846</v>
      </c>
      <c r="C1020" t="s">
        <v>847</v>
      </c>
      <c r="D1020" t="s">
        <v>961</v>
      </c>
      <c r="E1020" s="13" t="n">
        <v>1</v>
      </c>
      <c r="F1020" s="16" t="n">
        <v>178</v>
      </c>
      <c r="G1020" s="14" t="n">
        <v>0.997564050259824</v>
      </c>
      <c r="H1020" s="15" t="n">
        <v>-0.0697564737441251</v>
      </c>
    </row>
    <row r="1021">
      <c r="A1021" t="s">
        <v>31</v>
      </c>
      <c r="B1021" t="s">
        <v>848</v>
      </c>
      <c r="C1021" t="s">
        <v>849</v>
      </c>
      <c r="D1021" t="s">
        <v>961</v>
      </c>
      <c r="E1021" s="13" t="n">
        <v>0.75</v>
      </c>
      <c r="F1021" s="16" t="n">
        <v>88</v>
      </c>
      <c r="G1021" s="14" t="n">
        <v>-0.748173037694868</v>
      </c>
      <c r="H1021" s="15" t="n">
        <v>0.0523173553080941</v>
      </c>
    </row>
    <row r="1022">
      <c r="A1022" t="s">
        <v>31</v>
      </c>
      <c r="B1022" t="s">
        <v>848</v>
      </c>
      <c r="C1022" t="s">
        <v>850</v>
      </c>
      <c r="D1022" t="s">
        <v>961</v>
      </c>
      <c r="E1022" s="13" t="n">
        <v>0.25</v>
      </c>
      <c r="F1022" s="16" t="n">
        <v>90</v>
      </c>
      <c r="G1022" s="14" t="n">
        <v>-0.25</v>
      </c>
      <c r="H1022" s="15" t="n">
        <v>0</v>
      </c>
    </row>
    <row r="1023">
      <c r="A1023" t="s">
        <v>31</v>
      </c>
      <c r="B1023" t="s">
        <v>851</v>
      </c>
      <c r="C1023" t="s">
        <v>852</v>
      </c>
      <c r="D1023" t="s">
        <v>961</v>
      </c>
      <c r="E1023" s="13" t="n">
        <v>0.25</v>
      </c>
      <c r="F1023" s="16" t="n">
        <v>154</v>
      </c>
      <c r="G1023" s="14" t="n">
        <v>0.153915368831414</v>
      </c>
      <c r="H1023" s="15" t="n">
        <v>-0.197002688401681</v>
      </c>
    </row>
    <row r="1024">
      <c r="A1024" t="s">
        <v>31</v>
      </c>
      <c r="B1024" t="s">
        <v>851</v>
      </c>
      <c r="C1024" t="s">
        <v>853</v>
      </c>
      <c r="D1024" t="s">
        <v>961</v>
      </c>
      <c r="E1024" s="13" t="n">
        <v>1</v>
      </c>
      <c r="F1024" s="16" t="n">
        <v>37</v>
      </c>
      <c r="G1024" s="14" t="n">
        <v>0.275637355816999</v>
      </c>
      <c r="H1024" s="15" t="n">
        <v>0.961261695938319</v>
      </c>
    </row>
    <row r="1025">
      <c r="A1025" t="s">
        <v>30</v>
      </c>
      <c r="B1025" t="s">
        <v>854</v>
      </c>
      <c r="C1025" t="s">
        <v>855</v>
      </c>
      <c r="D1025" t="s">
        <v>961</v>
      </c>
      <c r="E1025" s="13" t="n">
        <v>1</v>
      </c>
      <c r="F1025" s="16" t="n">
        <v>74</v>
      </c>
      <c r="G1025" s="14" t="n">
        <v>-0.848048096156426</v>
      </c>
      <c r="H1025" s="15" t="n">
        <v>0.529919264233205</v>
      </c>
    </row>
    <row r="1026">
      <c r="A1026" t="s">
        <v>31</v>
      </c>
      <c r="B1026" t="s">
        <v>856</v>
      </c>
      <c r="C1026" t="s">
        <v>857</v>
      </c>
      <c r="D1026" t="s">
        <v>961</v>
      </c>
      <c r="E1026" s="13" t="n">
        <v>1.25</v>
      </c>
      <c r="F1026" s="16" t="n">
        <v>92</v>
      </c>
      <c r="G1026" s="14" t="n">
        <v>-1.24695506282478</v>
      </c>
      <c r="H1026" s="15" t="n">
        <v>-0.0871955921801564</v>
      </c>
    </row>
    <row r="1027">
      <c r="A1027" t="s">
        <v>31</v>
      </c>
      <c r="B1027" t="s">
        <v>856</v>
      </c>
      <c r="C1027" t="s">
        <v>858</v>
      </c>
      <c r="D1027" t="s">
        <v>961</v>
      </c>
      <c r="E1027" s="13" t="n">
        <v>1.25</v>
      </c>
      <c r="F1027" s="16" t="n">
        <v>73</v>
      </c>
      <c r="G1027" s="14" t="n">
        <v>-1.0362969656938</v>
      </c>
      <c r="H1027" s="15" t="n">
        <v>0.698991129338434</v>
      </c>
    </row>
    <row r="1028">
      <c r="A1028" t="s">
        <v>31</v>
      </c>
      <c r="B1028" t="s">
        <v>859</v>
      </c>
      <c r="C1028" t="s">
        <v>860</v>
      </c>
      <c r="D1028" t="s">
        <v>961</v>
      </c>
      <c r="E1028" s="13" t="n">
        <v>0.25</v>
      </c>
      <c r="F1028" s="16" t="n">
        <v>82</v>
      </c>
      <c r="G1028" s="14" t="n">
        <v>-0.24031542398458</v>
      </c>
      <c r="H1028" s="15" t="n">
        <v>0.0689093389542498</v>
      </c>
    </row>
    <row r="1029">
      <c r="A1029" t="s">
        <v>31</v>
      </c>
      <c r="B1029" t="s">
        <v>859</v>
      </c>
      <c r="C1029" t="s">
        <v>861</v>
      </c>
      <c r="D1029" t="s">
        <v>961</v>
      </c>
      <c r="E1029" s="13" t="n">
        <v>0.5</v>
      </c>
      <c r="F1029" s="16" t="n">
        <v>93</v>
      </c>
      <c r="G1029" s="14" t="n">
        <v>-0.497260947684137</v>
      </c>
      <c r="H1029" s="15" t="n">
        <v>-0.0522642316338269</v>
      </c>
    </row>
    <row r="1030">
      <c r="A1030" t="s">
        <v>30</v>
      </c>
      <c r="B1030" t="s">
        <v>862</v>
      </c>
      <c r="C1030" t="s">
        <v>863</v>
      </c>
      <c r="D1030" t="s">
        <v>961</v>
      </c>
      <c r="E1030" s="13" t="n">
        <v>0.5</v>
      </c>
      <c r="F1030" s="16" t="n">
        <v>73</v>
      </c>
      <c r="G1030" s="14" t="n">
        <v>-0.414518786277521</v>
      </c>
      <c r="H1030" s="15" t="n">
        <v>0.279596451735373</v>
      </c>
    </row>
    <row r="1031">
      <c r="A1031" t="s">
        <v>30</v>
      </c>
      <c r="B1031" t="s">
        <v>864</v>
      </c>
      <c r="C1031" t="s">
        <v>865</v>
      </c>
      <c r="D1031" t="s">
        <v>961</v>
      </c>
      <c r="E1031" s="13" t="n">
        <v>0.75</v>
      </c>
      <c r="F1031" s="16" t="n">
        <v>116</v>
      </c>
      <c r="G1031" s="14" t="n">
        <v>-0.461746106494244</v>
      </c>
      <c r="H1031" s="15" t="n">
        <v>-0.591008065205042</v>
      </c>
    </row>
    <row r="1032">
      <c r="A1032" t="s">
        <v>30</v>
      </c>
      <c r="B1032" t="s">
        <v>864</v>
      </c>
      <c r="C1032" t="s">
        <v>866</v>
      </c>
      <c r="D1032" t="s">
        <v>961</v>
      </c>
      <c r="E1032" s="13" t="n">
        <v>1.75</v>
      </c>
      <c r="F1032" s="16" t="n">
        <v>58</v>
      </c>
      <c r="G1032" s="14" t="n">
        <v>-0.767149506880886</v>
      </c>
      <c r="H1032" s="15" t="n">
        <v>1.57288958102354</v>
      </c>
    </row>
    <row r="1033">
      <c r="A1033" t="s">
        <v>30</v>
      </c>
      <c r="B1033" t="s">
        <v>867</v>
      </c>
      <c r="C1033" t="s">
        <v>868</v>
      </c>
      <c r="D1033" t="s">
        <v>961</v>
      </c>
      <c r="E1033" s="13" t="n">
        <v>0.75</v>
      </c>
      <c r="F1033" s="16" t="n">
        <v>128</v>
      </c>
      <c r="G1033" s="14" t="n">
        <v>-0.181441421699751</v>
      </c>
      <c r="H1033" s="15" t="n">
        <v>-0.727721794706997</v>
      </c>
    </row>
    <row r="1034">
      <c r="A1034" t="s">
        <v>30</v>
      </c>
      <c r="B1034" t="s">
        <v>869</v>
      </c>
      <c r="C1034" t="s">
        <v>870</v>
      </c>
      <c r="D1034" t="s">
        <v>961</v>
      </c>
      <c r="E1034" s="13" t="n">
        <v>0.25</v>
      </c>
      <c r="F1034" s="16" t="n">
        <v>7</v>
      </c>
      <c r="G1034" s="14" t="n">
        <v>0.242573931568999</v>
      </c>
      <c r="H1034" s="15" t="n">
        <v>0.0604804738999169</v>
      </c>
    </row>
    <row r="1035">
      <c r="A1035" t="s">
        <v>30</v>
      </c>
      <c r="B1035" t="s">
        <v>871</v>
      </c>
      <c r="C1035" t="s">
        <v>872</v>
      </c>
      <c r="D1035" t="s">
        <v>961</v>
      </c>
      <c r="E1035" s="13" t="n">
        <v>1.25</v>
      </c>
      <c r="F1035" s="16" t="n">
        <v>93</v>
      </c>
      <c r="G1035" s="14" t="n">
        <v>-1.24315236921034</v>
      </c>
      <c r="H1035" s="15" t="n">
        <v>-0.130660579084567</v>
      </c>
    </row>
    <row r="1036">
      <c r="A1036" t="s">
        <v>30</v>
      </c>
      <c r="B1036" t="s">
        <v>871</v>
      </c>
      <c r="C1036" t="s">
        <v>873</v>
      </c>
      <c r="D1036" t="s">
        <v>961</v>
      </c>
      <c r="E1036" s="13" t="n">
        <v>1.5</v>
      </c>
      <c r="F1036" s="16" t="n">
        <v>106</v>
      </c>
      <c r="G1036" s="14" t="n">
        <v>-1.27207214423464</v>
      </c>
      <c r="H1036" s="15" t="n">
        <v>-0.794878896349807</v>
      </c>
    </row>
    <row r="1037">
      <c r="A1037" t="s">
        <v>31</v>
      </c>
      <c r="B1037" t="s">
        <v>874</v>
      </c>
      <c r="C1037" t="s">
        <v>875</v>
      </c>
      <c r="D1037" t="s">
        <v>961</v>
      </c>
      <c r="E1037" s="13" t="n">
        <v>1</v>
      </c>
      <c r="F1037" s="16" t="n">
        <v>104</v>
      </c>
      <c r="G1037" s="14" t="n">
        <v>-0.882947592858927</v>
      </c>
      <c r="H1037" s="15" t="n">
        <v>-0.469471562785891</v>
      </c>
    </row>
    <row r="1038">
      <c r="A1038" t="s">
        <v>31</v>
      </c>
      <c r="B1038" t="s">
        <v>876</v>
      </c>
      <c r="C1038" t="s">
        <v>877</v>
      </c>
      <c r="D1038" t="s">
        <v>961</v>
      </c>
      <c r="E1038" s="13" t="n">
        <v>0.75</v>
      </c>
      <c r="F1038" s="16" t="n">
        <v>1</v>
      </c>
      <c r="G1038" s="14" t="n">
        <v>0.749543120264322</v>
      </c>
      <c r="H1038" s="15" t="n">
        <v>0.0261746225268757</v>
      </c>
    </row>
    <row r="1039">
      <c r="A1039" t="s">
        <v>30</v>
      </c>
      <c r="B1039" t="s">
        <v>878</v>
      </c>
      <c r="C1039" t="s">
        <v>879</v>
      </c>
      <c r="D1039" t="s">
        <v>961</v>
      </c>
      <c r="E1039" s="13" t="n">
        <v>0.5</v>
      </c>
      <c r="F1039" s="16" t="n">
        <v>132</v>
      </c>
      <c r="G1039" s="14" t="n">
        <v>-0.0522642316338271</v>
      </c>
      <c r="H1039" s="15" t="n">
        <v>-0.497260947684137</v>
      </c>
    </row>
    <row r="1040">
      <c r="A1040" t="s">
        <v>30</v>
      </c>
      <c r="B1040" t="s">
        <v>878</v>
      </c>
      <c r="C1040" t="s">
        <v>880</v>
      </c>
      <c r="D1040" t="s">
        <v>961</v>
      </c>
      <c r="E1040" s="13" t="n">
        <v>0.75</v>
      </c>
      <c r="F1040" s="16" t="n">
        <v>49</v>
      </c>
      <c r="G1040" s="14" t="n">
        <v>-0.104379825720049</v>
      </c>
      <c r="H1040" s="15" t="n">
        <v>0.742701051556178</v>
      </c>
    </row>
    <row r="1041">
      <c r="A1041" t="s">
        <v>30</v>
      </c>
      <c r="B1041" t="s">
        <v>1009</v>
      </c>
      <c r="C1041" t="s">
        <v>1010</v>
      </c>
      <c r="D1041" t="s">
        <v>961</v>
      </c>
      <c r="E1041" s="13" t="n">
        <v>1</v>
      </c>
      <c r="F1041" s="16" t="n">
        <v>39</v>
      </c>
      <c r="G1041" s="14" t="n">
        <v>0.207911690817759</v>
      </c>
      <c r="H1041" s="15" t="n">
        <v>0.978147600733806</v>
      </c>
    </row>
    <row r="1042">
      <c r="A1042" t="s">
        <v>30</v>
      </c>
      <c r="B1042" t="s">
        <v>1009</v>
      </c>
      <c r="C1042" t="s">
        <v>1011</v>
      </c>
      <c r="D1042" t="s">
        <v>961</v>
      </c>
      <c r="E1042" s="13" t="n">
        <v>0.75</v>
      </c>
      <c r="F1042" s="16" t="n">
        <v>144</v>
      </c>
      <c r="G1042" s="14" t="n">
        <v>0.23176274578121</v>
      </c>
      <c r="H1042" s="15" t="n">
        <v>-0.713292387221365</v>
      </c>
    </row>
    <row r="1043">
      <c r="A1043" t="s">
        <v>31</v>
      </c>
      <c r="B1043" t="s">
        <v>881</v>
      </c>
      <c r="C1043" t="s">
        <v>882</v>
      </c>
      <c r="D1043" t="s">
        <v>961</v>
      </c>
      <c r="E1043" s="13" t="n">
        <v>0.25</v>
      </c>
      <c r="F1043" s="16" t="n">
        <v>99</v>
      </c>
      <c r="G1043" s="14" t="n">
        <v>-0.237764129073788</v>
      </c>
      <c r="H1043" s="15" t="n">
        <v>-0.077254248593737</v>
      </c>
    </row>
    <row r="1044">
      <c r="A1044" t="s">
        <v>31</v>
      </c>
      <c r="B1044" t="s">
        <v>881</v>
      </c>
      <c r="C1044" t="s">
        <v>883</v>
      </c>
      <c r="D1044" t="s">
        <v>961</v>
      </c>
      <c r="E1044" s="13" t="n">
        <v>0.5</v>
      </c>
      <c r="F1044" s="16" t="n">
        <v>93</v>
      </c>
      <c r="G1044" s="14" t="n">
        <v>-0.497260947684137</v>
      </c>
      <c r="H1044" s="15" t="n">
        <v>-0.0522642316338269</v>
      </c>
    </row>
    <row r="1045">
      <c r="A1045" t="s">
        <v>30</v>
      </c>
      <c r="B1045" t="s">
        <v>884</v>
      </c>
      <c r="C1045" t="s">
        <v>885</v>
      </c>
      <c r="D1045" t="s">
        <v>961</v>
      </c>
      <c r="E1045" s="13" t="n">
        <v>1.25</v>
      </c>
      <c r="F1045" s="16" t="n">
        <v>90</v>
      </c>
      <c r="G1045" s="14" t="n">
        <v>-1.25</v>
      </c>
      <c r="H1045" s="15" t="n">
        <v>0</v>
      </c>
    </row>
    <row r="1046">
      <c r="A1046" t="s">
        <v>30</v>
      </c>
      <c r="B1046" t="s">
        <v>884</v>
      </c>
      <c r="C1046" t="s">
        <v>886</v>
      </c>
      <c r="D1046" t="s">
        <v>961</v>
      </c>
      <c r="E1046" s="13" t="n">
        <v>1.25</v>
      </c>
      <c r="F1046" s="16" t="n">
        <v>81</v>
      </c>
      <c r="G1046" s="14" t="n">
        <v>-1.18882064536894</v>
      </c>
      <c r="H1046" s="15" t="n">
        <v>0.386271242968684</v>
      </c>
    </row>
    <row r="1047">
      <c r="A1047" t="s">
        <v>30</v>
      </c>
      <c r="B1047" t="s">
        <v>887</v>
      </c>
      <c r="C1047" t="s">
        <v>888</v>
      </c>
      <c r="D1047" t="s">
        <v>961</v>
      </c>
      <c r="E1047" s="13" t="n">
        <v>1</v>
      </c>
      <c r="F1047" s="16" t="n">
        <v>108</v>
      </c>
      <c r="G1047" s="14" t="n">
        <v>-0.809016994374948</v>
      </c>
      <c r="H1047" s="15" t="n">
        <v>-0.587785252292473</v>
      </c>
    </row>
    <row r="1048">
      <c r="A1048" t="s">
        <v>30</v>
      </c>
      <c r="B1048" t="s">
        <v>887</v>
      </c>
      <c r="C1048" t="s">
        <v>889</v>
      </c>
      <c r="D1048" t="s">
        <v>961</v>
      </c>
      <c r="E1048" s="13" t="n">
        <v>1.5</v>
      </c>
      <c r="F1048" s="16" t="n">
        <v>67</v>
      </c>
      <c r="G1048" s="14" t="n">
        <v>-1.0419875556885</v>
      </c>
      <c r="H1048" s="15" t="n">
        <v>1.07900970050798</v>
      </c>
    </row>
    <row r="1049">
      <c r="A1049" t="s">
        <v>30</v>
      </c>
      <c r="B1049" t="s">
        <v>890</v>
      </c>
      <c r="C1049" t="s">
        <v>891</v>
      </c>
      <c r="D1049" t="s">
        <v>961</v>
      </c>
      <c r="E1049" s="13" t="n">
        <v>1.5</v>
      </c>
      <c r="F1049" s="16" t="n">
        <v>75</v>
      </c>
      <c r="G1049" s="14" t="n">
        <v>-1.29903810567666</v>
      </c>
      <c r="H1049" s="15" t="n">
        <v>0.75</v>
      </c>
    </row>
    <row r="1050">
      <c r="A1050" t="s">
        <v>30</v>
      </c>
      <c r="B1050" t="s">
        <v>890</v>
      </c>
      <c r="C1050" t="s">
        <v>892</v>
      </c>
      <c r="D1050" t="s">
        <v>961</v>
      </c>
      <c r="E1050" s="13" t="n">
        <v>0.75</v>
      </c>
      <c r="F1050" s="16" t="n">
        <v>105</v>
      </c>
      <c r="G1050" s="14" t="n">
        <v>-0.649519052838329</v>
      </c>
      <c r="H1050" s="15" t="n">
        <v>-0.375</v>
      </c>
    </row>
    <row r="1051">
      <c r="A1051" t="s">
        <v>30</v>
      </c>
      <c r="B1051" t="s">
        <v>893</v>
      </c>
      <c r="C1051" t="s">
        <v>894</v>
      </c>
      <c r="D1051" t="s">
        <v>961</v>
      </c>
      <c r="E1051" s="13" t="n">
        <v>0.5</v>
      </c>
      <c r="F1051" s="16" t="n">
        <v>174</v>
      </c>
      <c r="G1051" s="14" t="n">
        <v>0.489073800366903</v>
      </c>
      <c r="H1051" s="15" t="n">
        <v>-0.10395584540888</v>
      </c>
    </row>
    <row r="1052">
      <c r="A1052" t="s">
        <v>30</v>
      </c>
      <c r="B1052" t="s">
        <v>893</v>
      </c>
      <c r="C1052" t="s">
        <v>895</v>
      </c>
      <c r="D1052" t="s">
        <v>961</v>
      </c>
      <c r="E1052" s="13" t="n">
        <v>0.25</v>
      </c>
      <c r="F1052" s="16" t="n">
        <v>173</v>
      </c>
      <c r="G1052" s="14" t="n">
        <v>0.242573931568999</v>
      </c>
      <c r="H1052" s="15" t="n">
        <v>-0.0604804738999169</v>
      </c>
    </row>
    <row r="1053">
      <c r="A1053" t="s">
        <v>31</v>
      </c>
      <c r="B1053" t="s">
        <v>896</v>
      </c>
      <c r="C1053" t="s">
        <v>897</v>
      </c>
      <c r="D1053" t="s">
        <v>961</v>
      </c>
      <c r="E1053" s="13" t="n">
        <v>0.25</v>
      </c>
      <c r="F1053" s="16" t="n">
        <v>111</v>
      </c>
      <c r="G1053" s="14" t="n">
        <v>-0.185786206369349</v>
      </c>
      <c r="H1053" s="15" t="n">
        <v>-0.167282651589715</v>
      </c>
    </row>
    <row r="1054">
      <c r="A1054" t="s">
        <v>31</v>
      </c>
      <c r="B1054" t="s">
        <v>896</v>
      </c>
      <c r="C1054" t="s">
        <v>898</v>
      </c>
      <c r="D1054" t="s">
        <v>961</v>
      </c>
      <c r="E1054" s="13" t="n">
        <v>0.25</v>
      </c>
      <c r="F1054" s="16" t="n">
        <v>56</v>
      </c>
      <c r="G1054" s="14" t="n">
        <v>-0.093651648353978</v>
      </c>
      <c r="H1054" s="15" t="n">
        <v>0.231795963641697</v>
      </c>
    </row>
    <row r="1055">
      <c r="A1055" t="s">
        <v>30</v>
      </c>
      <c r="B1055" t="s">
        <v>899</v>
      </c>
      <c r="C1055" t="s">
        <v>900</v>
      </c>
      <c r="D1055" t="s">
        <v>961</v>
      </c>
      <c r="E1055" s="13" t="n">
        <v>0.75</v>
      </c>
      <c r="F1055" s="16" t="n">
        <v>100</v>
      </c>
      <c r="G1055" s="14" t="n">
        <v>-0.704769465589431</v>
      </c>
      <c r="H1055" s="15" t="n">
        <v>-0.256515107494252</v>
      </c>
    </row>
    <row r="1056">
      <c r="A1056" t="s">
        <v>30</v>
      </c>
      <c r="B1056" t="s">
        <v>899</v>
      </c>
      <c r="C1056" t="s">
        <v>901</v>
      </c>
      <c r="D1056" t="s">
        <v>961</v>
      </c>
      <c r="E1056" s="13" t="n">
        <v>1.25</v>
      </c>
      <c r="F1056" s="16" t="n">
        <v>81</v>
      </c>
      <c r="G1056" s="14" t="n">
        <v>-1.18882064536894</v>
      </c>
      <c r="H1056" s="15" t="n">
        <v>0.386271242968684</v>
      </c>
    </row>
    <row r="1057">
      <c r="A1057" t="s">
        <v>30</v>
      </c>
      <c r="B1057" t="s">
        <v>902</v>
      </c>
      <c r="C1057" t="s">
        <v>903</v>
      </c>
      <c r="D1057" t="s">
        <v>961</v>
      </c>
      <c r="E1057" s="13" t="n">
        <v>0.25</v>
      </c>
      <c r="F1057" s="16" t="n">
        <v>75</v>
      </c>
      <c r="G1057" s="14" t="n">
        <v>-0.21650635094611</v>
      </c>
      <c r="H1057" s="15" t="n">
        <v>0.125</v>
      </c>
    </row>
    <row r="1058">
      <c r="A1058" t="s">
        <v>31</v>
      </c>
      <c r="B1058" t="s">
        <v>904</v>
      </c>
      <c r="C1058" t="s">
        <v>905</v>
      </c>
      <c r="D1058" t="s">
        <v>961</v>
      </c>
      <c r="E1058" s="13" t="n">
        <v>0.75</v>
      </c>
      <c r="F1058" s="16" t="n">
        <v>179</v>
      </c>
      <c r="G1058" s="14" t="n">
        <v>0.749543120264322</v>
      </c>
      <c r="H1058" s="15" t="n">
        <v>-0.0261746225268756</v>
      </c>
    </row>
    <row r="1059">
      <c r="A1059" t="s">
        <v>31</v>
      </c>
      <c r="B1059" t="s">
        <v>904</v>
      </c>
      <c r="C1059" t="s">
        <v>906</v>
      </c>
      <c r="D1059" t="s">
        <v>961</v>
      </c>
      <c r="E1059" s="13" t="n">
        <v>0.5</v>
      </c>
      <c r="F1059" s="16" t="n">
        <v>12</v>
      </c>
      <c r="G1059" s="14" t="n">
        <v>0.4567727288213</v>
      </c>
      <c r="H1059" s="15" t="n">
        <v>0.2033683215379</v>
      </c>
    </row>
    <row r="1060">
      <c r="A1060" t="s">
        <v>30</v>
      </c>
      <c r="B1060" t="s">
        <v>907</v>
      </c>
      <c r="C1060" t="s">
        <v>908</v>
      </c>
      <c r="D1060" t="s">
        <v>961</v>
      </c>
      <c r="E1060" s="13" t="n">
        <v>0.5</v>
      </c>
      <c r="F1060" s="16" t="n">
        <v>67</v>
      </c>
      <c r="G1060" s="14" t="n">
        <v>-0.347329185229499</v>
      </c>
      <c r="H1060" s="15" t="n">
        <v>0.359669900169326</v>
      </c>
    </row>
    <row r="1061">
      <c r="A1061" t="s">
        <v>30</v>
      </c>
      <c r="B1061" t="s">
        <v>907</v>
      </c>
      <c r="C1061" t="s">
        <v>909</v>
      </c>
      <c r="D1061" t="s">
        <v>961</v>
      </c>
      <c r="E1061" s="13" t="n">
        <v>0.75</v>
      </c>
      <c r="F1061" s="16" t="n">
        <v>118</v>
      </c>
      <c r="G1061" s="14" t="n">
        <v>-0.41939467760306</v>
      </c>
      <c r="H1061" s="15" t="n">
        <v>-0.621778179416281</v>
      </c>
    </row>
    <row r="1062">
      <c r="A1062" t="s">
        <v>31</v>
      </c>
      <c r="B1062" t="s">
        <v>910</v>
      </c>
      <c r="C1062" t="s">
        <v>911</v>
      </c>
      <c r="D1062" t="s">
        <v>961</v>
      </c>
      <c r="E1062" s="13" t="n">
        <v>0.25</v>
      </c>
      <c r="F1062" s="16" t="n">
        <v>90</v>
      </c>
      <c r="G1062" s="14" t="n">
        <v>-0.25</v>
      </c>
      <c r="H1062" s="15" t="n">
        <v>0</v>
      </c>
    </row>
    <row r="1063">
      <c r="A1063" t="s">
        <v>31</v>
      </c>
      <c r="B1063" t="s">
        <v>910</v>
      </c>
      <c r="C1063" t="s">
        <v>912</v>
      </c>
      <c r="D1063" t="s">
        <v>961</v>
      </c>
      <c r="E1063" s="13" t="n">
        <v>0.5</v>
      </c>
      <c r="F1063" s="16" t="n">
        <v>109</v>
      </c>
      <c r="G1063" s="14" t="n">
        <v>-0.394005376803361</v>
      </c>
      <c r="H1063" s="15" t="n">
        <v>-0.307830737662829</v>
      </c>
    </row>
    <row r="1064">
      <c r="A1064" t="s">
        <v>30</v>
      </c>
      <c r="B1064" t="s">
        <v>913</v>
      </c>
      <c r="C1064" t="s">
        <v>914</v>
      </c>
      <c r="D1064" t="s">
        <v>961</v>
      </c>
      <c r="E1064" s="13" t="n">
        <v>0.5</v>
      </c>
      <c r="F1064" s="16" t="n">
        <v>143</v>
      </c>
      <c r="G1064" s="14" t="n">
        <v>0.137818677908499</v>
      </c>
      <c r="H1064" s="15" t="n">
        <v>-0.480630847969159</v>
      </c>
    </row>
    <row r="1065">
      <c r="A1065" t="s">
        <v>30</v>
      </c>
      <c r="B1065" t="s">
        <v>913</v>
      </c>
      <c r="C1065" t="s">
        <v>915</v>
      </c>
      <c r="D1065" t="s">
        <v>961</v>
      </c>
      <c r="E1065" s="13" t="n">
        <v>0.25</v>
      </c>
      <c r="F1065" s="16" t="n">
        <v>40</v>
      </c>
      <c r="G1065" s="14" t="n">
        <v>0.0434120444167326</v>
      </c>
      <c r="H1065" s="15" t="n">
        <v>0.246201938253052</v>
      </c>
    </row>
    <row r="1066">
      <c r="A1066" t="s">
        <v>31</v>
      </c>
      <c r="B1066" t="s">
        <v>1012</v>
      </c>
      <c r="C1066" t="s">
        <v>1013</v>
      </c>
      <c r="D1066" t="s">
        <v>961</v>
      </c>
      <c r="E1066" s="13" t="n">
        <v>2.75</v>
      </c>
      <c r="F1066" s="16" t="n">
        <v>82</v>
      </c>
      <c r="G1066" s="14" t="n">
        <v>-2.64346966383038</v>
      </c>
      <c r="H1066" s="15" t="n">
        <v>0.758002728496748</v>
      </c>
    </row>
    <row r="1067">
      <c r="A1067" t="s">
        <v>31</v>
      </c>
      <c r="B1067" t="s">
        <v>916</v>
      </c>
      <c r="C1067" t="s">
        <v>917</v>
      </c>
      <c r="D1067" t="s">
        <v>961</v>
      </c>
      <c r="E1067" s="13" t="n">
        <v>0.5</v>
      </c>
      <c r="F1067" s="16" t="n">
        <v>175</v>
      </c>
      <c r="G1067" s="14" t="n">
        <v>0.492403876506104</v>
      </c>
      <c r="H1067" s="15" t="n">
        <v>-0.0868240888334652</v>
      </c>
    </row>
    <row r="1068">
      <c r="A1068" t="s">
        <v>30</v>
      </c>
      <c r="B1068" t="s">
        <v>1014</v>
      </c>
      <c r="C1068" t="s">
        <v>1015</v>
      </c>
      <c r="D1068" t="s">
        <v>961</v>
      </c>
      <c r="E1068" s="13" t="n">
        <v>0.5</v>
      </c>
      <c r="F1068" s="16" t="n">
        <v>36</v>
      </c>
      <c r="G1068" s="14" t="n">
        <v>0.154508497187474</v>
      </c>
      <c r="H1068" s="15" t="n">
        <v>0.475528258147577</v>
      </c>
    </row>
    <row r="1069">
      <c r="A1069" t="s">
        <v>30</v>
      </c>
      <c r="B1069" t="s">
        <v>918</v>
      </c>
      <c r="C1069" t="s">
        <v>919</v>
      </c>
      <c r="D1069" t="s">
        <v>961</v>
      </c>
      <c r="E1069" s="13" t="n">
        <v>0.25</v>
      </c>
      <c r="F1069" s="16" t="n">
        <v>99</v>
      </c>
      <c r="G1069" s="14" t="n">
        <v>-0.237764129073788</v>
      </c>
      <c r="H1069" s="15" t="n">
        <v>-0.077254248593737</v>
      </c>
    </row>
    <row r="1070">
      <c r="A1070" t="s">
        <v>30</v>
      </c>
      <c r="B1070" t="s">
        <v>918</v>
      </c>
      <c r="C1070" t="s">
        <v>920</v>
      </c>
      <c r="D1070" t="s">
        <v>961</v>
      </c>
      <c r="E1070" s="13" t="n">
        <v>0.5</v>
      </c>
      <c r="F1070" s="16" t="n">
        <v>75</v>
      </c>
      <c r="G1070" s="14" t="n">
        <v>-0.433012701892219</v>
      </c>
      <c r="H1070" s="15" t="n">
        <v>0.25</v>
      </c>
    </row>
    <row r="1071">
      <c r="A1071" t="s">
        <v>30</v>
      </c>
      <c r="B1071" t="s">
        <v>921</v>
      </c>
      <c r="C1071" t="s">
        <v>922</v>
      </c>
      <c r="D1071" t="s">
        <v>961</v>
      </c>
      <c r="E1071" s="13" t="n">
        <v>0.5</v>
      </c>
      <c r="F1071" s="16" t="n">
        <v>94</v>
      </c>
      <c r="G1071" s="14" t="n">
        <v>-0.495134034370785</v>
      </c>
      <c r="H1071" s="15" t="n">
        <v>-0.0695865504800329</v>
      </c>
    </row>
    <row r="1072">
      <c r="A1072" t="s">
        <v>30</v>
      </c>
      <c r="B1072" t="s">
        <v>923</v>
      </c>
      <c r="C1072" t="s">
        <v>924</v>
      </c>
      <c r="D1072" t="s">
        <v>961</v>
      </c>
      <c r="E1072" s="13" t="n">
        <v>0.25</v>
      </c>
      <c r="F1072" s="16" t="n">
        <v>100</v>
      </c>
      <c r="G1072" s="14" t="n">
        <v>-0.234923155196477</v>
      </c>
      <c r="H1072" s="15" t="n">
        <v>-0.0855050358314172</v>
      </c>
    </row>
    <row r="1073">
      <c r="A1073" t="s">
        <v>30</v>
      </c>
      <c r="B1073" t="s">
        <v>923</v>
      </c>
      <c r="C1073" t="s">
        <v>925</v>
      </c>
      <c r="D1073" t="s">
        <v>961</v>
      </c>
      <c r="E1073" s="13" t="n">
        <v>0.25</v>
      </c>
      <c r="F1073" s="16" t="n">
        <v>84</v>
      </c>
      <c r="G1073" s="14" t="n">
        <v>-0.244536900183451</v>
      </c>
      <c r="H1073" s="15" t="n">
        <v>0.0519779227044398</v>
      </c>
    </row>
    <row r="1074">
      <c r="A1074" t="s">
        <v>30</v>
      </c>
      <c r="B1074" t="s">
        <v>926</v>
      </c>
      <c r="C1074" t="s">
        <v>927</v>
      </c>
      <c r="D1074" t="s">
        <v>961</v>
      </c>
      <c r="E1074" s="13" t="n">
        <v>0.5</v>
      </c>
      <c r="F1074" s="16" t="n">
        <v>72</v>
      </c>
      <c r="G1074" s="14" t="n">
        <v>-0.404508497187474</v>
      </c>
      <c r="H1074" s="15" t="n">
        <v>0.293892626146237</v>
      </c>
    </row>
    <row r="1075">
      <c r="A1075" t="s">
        <v>30</v>
      </c>
      <c r="B1075" t="s">
        <v>928</v>
      </c>
      <c r="C1075" t="s">
        <v>929</v>
      </c>
      <c r="D1075" t="s">
        <v>961</v>
      </c>
      <c r="E1075" s="13" t="n">
        <v>0.25</v>
      </c>
      <c r="F1075" s="16" t="n">
        <v>138</v>
      </c>
      <c r="G1075" s="14" t="n">
        <v>0.0261321158169135</v>
      </c>
      <c r="H1075" s="15" t="n">
        <v>-0.248630473842068</v>
      </c>
    </row>
    <row r="1076">
      <c r="A1076" t="s">
        <v>30</v>
      </c>
      <c r="B1076" t="s">
        <v>928</v>
      </c>
      <c r="C1076" t="s">
        <v>930</v>
      </c>
      <c r="D1076" t="s">
        <v>961</v>
      </c>
      <c r="E1076" s="13" t="n">
        <v>0.5</v>
      </c>
      <c r="F1076" s="16" t="n">
        <v>51</v>
      </c>
      <c r="G1076" s="14" t="n">
        <v>-0.10395584540888</v>
      </c>
      <c r="H1076" s="15" t="n">
        <v>0.489073800366903</v>
      </c>
    </row>
    <row r="1077">
      <c r="A1077" t="s">
        <v>30</v>
      </c>
      <c r="B1077" t="s">
        <v>931</v>
      </c>
      <c r="C1077" t="s">
        <v>932</v>
      </c>
      <c r="D1077" t="s">
        <v>961</v>
      </c>
      <c r="E1077" s="13" t="n">
        <v>0.5</v>
      </c>
      <c r="F1077" s="16" t="n">
        <v>93</v>
      </c>
      <c r="G1077" s="14" t="n">
        <v>-0.497260947684137</v>
      </c>
      <c r="H1077" s="15" t="n">
        <v>-0.0522642316338269</v>
      </c>
    </row>
    <row r="1078">
      <c r="A1078" t="s">
        <v>30</v>
      </c>
      <c r="B1078" t="s">
        <v>931</v>
      </c>
      <c r="C1078" t="s">
        <v>933</v>
      </c>
      <c r="D1078" t="s">
        <v>961</v>
      </c>
      <c r="E1078" s="13" t="n">
        <v>0.5</v>
      </c>
      <c r="F1078" s="16" t="n">
        <v>87</v>
      </c>
      <c r="G1078" s="14" t="n">
        <v>-0.497260947684137</v>
      </c>
      <c r="H1078" s="15" t="n">
        <v>0.0522642316338269</v>
      </c>
    </row>
    <row r="1079">
      <c r="A1079" t="s">
        <v>31</v>
      </c>
      <c r="B1079" t="s">
        <v>934</v>
      </c>
      <c r="C1079" t="s">
        <v>935</v>
      </c>
      <c r="D1079" t="s">
        <v>961</v>
      </c>
      <c r="E1079" s="13" t="n">
        <v>1</v>
      </c>
      <c r="F1079" s="16" t="n">
        <v>5</v>
      </c>
      <c r="G1079" s="14" t="n">
        <v>0.984807753012208</v>
      </c>
      <c r="H1079" s="15" t="n">
        <v>0.17364817766693</v>
      </c>
    </row>
    <row r="1080">
      <c r="A1080" t="s">
        <v>30</v>
      </c>
      <c r="B1080" t="s">
        <v>936</v>
      </c>
      <c r="C1080" t="s">
        <v>937</v>
      </c>
      <c r="D1080" t="s">
        <v>961</v>
      </c>
      <c r="E1080" s="13" t="n">
        <v>0.5</v>
      </c>
      <c r="F1080" s="16" t="n">
        <v>102</v>
      </c>
      <c r="G1080" s="14" t="n">
        <v>-0.456772728821301</v>
      </c>
      <c r="H1080" s="15" t="n">
        <v>-0.2033683215379</v>
      </c>
    </row>
    <row r="1081">
      <c r="A1081" t="s">
        <v>30</v>
      </c>
      <c r="B1081" t="s">
        <v>936</v>
      </c>
      <c r="C1081" t="s">
        <v>938</v>
      </c>
      <c r="D1081" t="s">
        <v>961</v>
      </c>
      <c r="E1081" s="13" t="n">
        <v>0.75</v>
      </c>
      <c r="F1081" s="16" t="n">
        <v>81</v>
      </c>
      <c r="G1081" s="14" t="n">
        <v>-0.713292387221365</v>
      </c>
      <c r="H1081" s="15" t="n">
        <v>0.231762745781211</v>
      </c>
    </row>
    <row r="1082">
      <c r="A1082" t="s">
        <v>31</v>
      </c>
      <c r="B1082" t="s">
        <v>939</v>
      </c>
      <c r="C1082" t="s">
        <v>940</v>
      </c>
      <c r="D1082" t="s">
        <v>961</v>
      </c>
      <c r="E1082" s="13" t="n">
        <v>0.75</v>
      </c>
      <c r="F1082" s="16" t="n">
        <v>14</v>
      </c>
      <c r="G1082" s="14" t="n">
        <v>0.662210694644195</v>
      </c>
      <c r="H1082" s="15" t="n">
        <v>0.352103672089418</v>
      </c>
    </row>
    <row r="1083">
      <c r="A1083" t="s">
        <v>31</v>
      </c>
      <c r="B1083" t="s">
        <v>939</v>
      </c>
      <c r="C1083" t="s">
        <v>941</v>
      </c>
      <c r="D1083" t="s">
        <v>961</v>
      </c>
      <c r="E1083" s="13" t="n">
        <v>0.5</v>
      </c>
      <c r="F1083" s="16" t="n">
        <v>167</v>
      </c>
      <c r="G1083" s="14" t="n">
        <v>0.449397023149583</v>
      </c>
      <c r="H1083" s="15" t="n">
        <v>-0.219185573394539</v>
      </c>
    </row>
    <row r="1084">
      <c r="A1084" t="s">
        <v>31</v>
      </c>
      <c r="B1084" t="s">
        <v>942</v>
      </c>
      <c r="C1084" t="s">
        <v>943</v>
      </c>
      <c r="D1084" t="s">
        <v>961</v>
      </c>
      <c r="E1084" s="13" t="n">
        <v>1.75</v>
      </c>
      <c r="F1084" s="16" t="n">
        <v>155</v>
      </c>
      <c r="G1084" s="14" t="n">
        <v>1.12487831695144</v>
      </c>
      <c r="H1084" s="15" t="n">
        <v>-1.34057777545821</v>
      </c>
    </row>
    <row r="1085">
      <c r="A1085" t="s">
        <v>31</v>
      </c>
      <c r="B1085" t="s">
        <v>942</v>
      </c>
      <c r="C1085" t="s">
        <v>944</v>
      </c>
      <c r="D1085" t="s">
        <v>961</v>
      </c>
      <c r="E1085" s="13" t="n">
        <v>1.25</v>
      </c>
      <c r="F1085" s="16" t="n">
        <v>17</v>
      </c>
      <c r="G1085" s="14" t="n">
        <v>1.0362969656938</v>
      </c>
      <c r="H1085" s="15" t="n">
        <v>0.698991129338433</v>
      </c>
    </row>
    <row r="1086">
      <c r="A1086" t="s">
        <v>30</v>
      </c>
      <c r="B1086" t="s">
        <v>945</v>
      </c>
      <c r="C1086" t="s">
        <v>946</v>
      </c>
      <c r="D1086" t="s">
        <v>961</v>
      </c>
      <c r="E1086" s="13" t="n">
        <v>0.75</v>
      </c>
      <c r="F1086" s="16" t="n">
        <v>41</v>
      </c>
      <c r="G1086" s="14" t="n">
        <v>0.104379825720049</v>
      </c>
      <c r="H1086" s="15" t="n">
        <v>0.742701051556178</v>
      </c>
    </row>
    <row r="1087">
      <c r="A1087" t="s">
        <v>30</v>
      </c>
      <c r="B1087" t="s">
        <v>945</v>
      </c>
      <c r="C1087" t="s">
        <v>947</v>
      </c>
      <c r="D1087" t="s">
        <v>961</v>
      </c>
      <c r="E1087" s="13" t="n">
        <v>0.25</v>
      </c>
      <c r="F1087" s="16" t="n">
        <v>143</v>
      </c>
      <c r="G1087" s="14" t="n">
        <v>0.0689093389542496</v>
      </c>
      <c r="H1087" s="15" t="n">
        <v>-0.24031542398458</v>
      </c>
    </row>
    <row r="1088">
      <c r="A1088" t="s">
        <v>30</v>
      </c>
      <c r="B1088" t="s">
        <v>948</v>
      </c>
      <c r="C1088" t="s">
        <v>949</v>
      </c>
      <c r="D1088" t="s">
        <v>961</v>
      </c>
      <c r="E1088" s="13" t="n">
        <v>0.75</v>
      </c>
      <c r="F1088" s="16" t="n">
        <v>83</v>
      </c>
      <c r="G1088" s="14" t="n">
        <v>-0.727721794706997</v>
      </c>
      <c r="H1088" s="15" t="n">
        <v>0.181441421699751</v>
      </c>
    </row>
    <row r="1089">
      <c r="A1089" t="s">
        <v>30</v>
      </c>
      <c r="B1089" t="s">
        <v>948</v>
      </c>
      <c r="C1089" t="s">
        <v>950</v>
      </c>
      <c r="D1089" t="s">
        <v>961</v>
      </c>
      <c r="E1089" s="13" t="n">
        <v>0.5</v>
      </c>
      <c r="F1089" s="16" t="n">
        <v>104</v>
      </c>
      <c r="G1089" s="14" t="n">
        <v>-0.441473796429464</v>
      </c>
      <c r="H1089" s="15" t="n">
        <v>-0.234735781392945</v>
      </c>
    </row>
    <row r="1090">
      <c r="A1090" t="s">
        <v>31</v>
      </c>
      <c r="B1090" t="s">
        <v>1016</v>
      </c>
      <c r="C1090" t="s">
        <v>1017</v>
      </c>
      <c r="D1090" t="s">
        <v>961</v>
      </c>
      <c r="E1090" s="13" t="n">
        <v>0.75</v>
      </c>
      <c r="F1090" s="16" t="n">
        <v>102</v>
      </c>
      <c r="G1090" s="14" t="n">
        <v>-0.685159093231951</v>
      </c>
      <c r="H1090" s="15" t="n">
        <v>-0.30505248230685</v>
      </c>
    </row>
    <row r="1091">
      <c r="A1091" t="s">
        <v>31</v>
      </c>
      <c r="B1091" t="s">
        <v>1016</v>
      </c>
      <c r="C1091" t="s">
        <v>1018</v>
      </c>
      <c r="D1091" t="s">
        <v>961</v>
      </c>
      <c r="E1091" s="13" t="n">
        <v>0.75</v>
      </c>
      <c r="F1091" s="16" t="n">
        <v>95</v>
      </c>
      <c r="G1091" s="14" t="n">
        <v>-0.738605814759156</v>
      </c>
      <c r="H1091" s="15" t="n">
        <v>-0.130236133250198</v>
      </c>
    </row>
    <row r="1092">
      <c r="A1092" t="s">
        <v>30</v>
      </c>
      <c r="B1092" t="s">
        <v>951</v>
      </c>
      <c r="C1092" t="s">
        <v>952</v>
      </c>
      <c r="D1092" t="s">
        <v>961</v>
      </c>
      <c r="E1092" s="13" t="n">
        <v>0.5</v>
      </c>
      <c r="F1092" s="16" t="n">
        <v>62</v>
      </c>
      <c r="G1092" s="14" t="n">
        <v>-0.279596451735373</v>
      </c>
      <c r="H1092" s="15" t="n">
        <v>0.414518786277521</v>
      </c>
    </row>
    <row r="1093">
      <c r="A1093" t="s">
        <v>31</v>
      </c>
      <c r="B1093" t="s">
        <v>953</v>
      </c>
      <c r="C1093" t="s">
        <v>954</v>
      </c>
      <c r="D1093" t="s">
        <v>961</v>
      </c>
      <c r="E1093" s="13" t="n">
        <v>1.25</v>
      </c>
      <c r="F1093" s="16" t="n">
        <v>112</v>
      </c>
      <c r="G1093" s="14" t="n">
        <v>-0.899174750423314</v>
      </c>
      <c r="H1093" s="15" t="n">
        <v>-0.868322963073747</v>
      </c>
    </row>
    <row r="1094">
      <c r="A1094" t="s">
        <v>31</v>
      </c>
      <c r="B1094" t="s">
        <v>953</v>
      </c>
      <c r="C1094" t="s">
        <v>955</v>
      </c>
      <c r="D1094" t="s">
        <v>961</v>
      </c>
      <c r="E1094" s="13" t="n">
        <v>1.5</v>
      </c>
      <c r="F1094" s="16" t="n">
        <v>82</v>
      </c>
      <c r="G1094" s="14" t="n">
        <v>-1.44189254390748</v>
      </c>
      <c r="H1094" s="15" t="n">
        <v>0.413456033725499</v>
      </c>
    </row>
    <row r="1095">
      <c r="A1095" t="s">
        <v>30</v>
      </c>
      <c r="B1095" t="s">
        <v>956</v>
      </c>
      <c r="C1095" t="s">
        <v>957</v>
      </c>
      <c r="D1095" t="s">
        <v>961</v>
      </c>
      <c r="E1095" s="13" t="n">
        <v>0.75</v>
      </c>
      <c r="F1095" s="16" t="n">
        <v>3</v>
      </c>
      <c r="G1095" s="14" t="n">
        <v>0.745891421526205</v>
      </c>
      <c r="H1095" s="15" t="n">
        <v>0.0783963474507401</v>
      </c>
    </row>
    <row r="1096">
      <c r="A1096" t="s">
        <v>30</v>
      </c>
      <c r="B1096" t="s">
        <v>958</v>
      </c>
      <c r="C1096" t="s">
        <v>959</v>
      </c>
      <c r="D1096" t="s">
        <v>961</v>
      </c>
      <c r="E1096" s="13" t="n">
        <v>1.5</v>
      </c>
      <c r="F1096" s="16" t="n">
        <v>76</v>
      </c>
      <c r="G1096" s="14" t="n">
        <v>-1.32442138928839</v>
      </c>
      <c r="H1096" s="15" t="n">
        <v>0.704207344178836</v>
      </c>
    </row>
    <row r="1097">
      <c r="A1097" t="s">
        <v>30</v>
      </c>
      <c r="B1097" t="s">
        <v>394</v>
      </c>
      <c r="C1097" t="s">
        <v>395</v>
      </c>
      <c r="D1097" t="s">
        <v>1019</v>
      </c>
      <c r="E1097" s="13" t="n">
        <v>0.25</v>
      </c>
      <c r="F1097" s="16" t="n">
        <v>117</v>
      </c>
      <c r="G1097" s="14" t="n">
        <v>-0.146946313073118</v>
      </c>
      <c r="H1097" s="15" t="n">
        <v>-0.202254248593737</v>
      </c>
    </row>
    <row r="1098">
      <c r="A1098" t="s">
        <v>30</v>
      </c>
      <c r="B1098" t="s">
        <v>394</v>
      </c>
      <c r="C1098" t="s">
        <v>397</v>
      </c>
      <c r="D1098" t="s">
        <v>1019</v>
      </c>
      <c r="E1098" s="13" t="n">
        <v>0.25</v>
      </c>
      <c r="F1098" s="16" t="n">
        <v>165</v>
      </c>
      <c r="G1098" s="14" t="n">
        <v>0.21650635094611</v>
      </c>
      <c r="H1098" s="15" t="n">
        <v>-0.125</v>
      </c>
    </row>
    <row r="1099">
      <c r="A1099" t="s">
        <v>30</v>
      </c>
      <c r="B1099" t="s">
        <v>398</v>
      </c>
      <c r="C1099" t="s">
        <v>399</v>
      </c>
      <c r="D1099" t="s">
        <v>1019</v>
      </c>
      <c r="E1099" s="13" t="n">
        <v>0.5</v>
      </c>
      <c r="F1099" s="16" t="n">
        <v>168</v>
      </c>
      <c r="G1099" s="14" t="n">
        <v>0.4567727288213</v>
      </c>
      <c r="H1099" s="15" t="n">
        <v>-0.2033683215379</v>
      </c>
    </row>
    <row r="1100">
      <c r="A1100" t="s">
        <v>31</v>
      </c>
      <c r="B1100" t="s">
        <v>400</v>
      </c>
      <c r="C1100" t="s">
        <v>401</v>
      </c>
      <c r="D1100" t="s">
        <v>1019</v>
      </c>
      <c r="E1100" s="13" t="n">
        <v>0.25</v>
      </c>
      <c r="F1100" s="16" t="n">
        <v>85</v>
      </c>
      <c r="G1100" s="14" t="n">
        <v>-0.246201938253052</v>
      </c>
      <c r="H1100" s="15" t="n">
        <v>0.0434120444167327</v>
      </c>
    </row>
    <row r="1101">
      <c r="A1101" t="s">
        <v>31</v>
      </c>
      <c r="B1101" t="s">
        <v>400</v>
      </c>
      <c r="C1101" t="s">
        <v>402</v>
      </c>
      <c r="D1101" t="s">
        <v>1019</v>
      </c>
      <c r="E1101" s="13" t="n">
        <v>0.25</v>
      </c>
      <c r="F1101" s="16" t="n">
        <v>107</v>
      </c>
      <c r="G1101" s="14" t="n">
        <v>-0.20725939313876</v>
      </c>
      <c r="H1101" s="15" t="n">
        <v>-0.139798225867687</v>
      </c>
    </row>
    <row r="1102">
      <c r="A1102" t="s">
        <v>30</v>
      </c>
      <c r="B1102" t="s">
        <v>403</v>
      </c>
      <c r="C1102" t="s">
        <v>404</v>
      </c>
      <c r="D1102" t="s">
        <v>1019</v>
      </c>
      <c r="E1102" s="13" t="n">
        <v>0.25</v>
      </c>
      <c r="F1102" s="16" t="n">
        <v>156</v>
      </c>
      <c r="G1102" s="14" t="n">
        <v>0.167282651589715</v>
      </c>
      <c r="H1102" s="15" t="n">
        <v>-0.185786206369349</v>
      </c>
    </row>
    <row r="1103">
      <c r="A1103" t="s">
        <v>30</v>
      </c>
      <c r="B1103" t="s">
        <v>403</v>
      </c>
      <c r="C1103" t="s">
        <v>405</v>
      </c>
      <c r="D1103" t="s">
        <v>1019</v>
      </c>
      <c r="E1103" s="13" t="n">
        <v>0.75</v>
      </c>
      <c r="F1103" s="16" t="n">
        <v>41</v>
      </c>
      <c r="G1103" s="14" t="n">
        <v>0.104379825720049</v>
      </c>
      <c r="H1103" s="15" t="n">
        <v>0.742701051556178</v>
      </c>
    </row>
    <row r="1104">
      <c r="A1104" t="s">
        <v>31</v>
      </c>
      <c r="B1104" t="s">
        <v>406</v>
      </c>
      <c r="C1104" t="s">
        <v>407</v>
      </c>
      <c r="D1104" t="s">
        <v>1019</v>
      </c>
      <c r="E1104" s="13" t="n">
        <v>0</v>
      </c>
      <c r="F1104" s="16" t="n">
        <v>10</v>
      </c>
      <c r="G1104" s="14" t="n">
        <v>0</v>
      </c>
      <c r="H1104" s="15" t="n">
        <v>0</v>
      </c>
    </row>
    <row r="1105">
      <c r="A1105" t="s">
        <v>30</v>
      </c>
      <c r="B1105" t="s">
        <v>408</v>
      </c>
      <c r="C1105" t="s">
        <v>409</v>
      </c>
      <c r="D1105" t="s">
        <v>1019</v>
      </c>
      <c r="E1105" s="13" t="n">
        <v>0.25</v>
      </c>
      <c r="F1105" s="16" t="n">
        <v>2</v>
      </c>
      <c r="G1105" s="14" t="n">
        <v>0.249391012564956</v>
      </c>
      <c r="H1105" s="15" t="n">
        <v>0.0174391184360313</v>
      </c>
    </row>
    <row r="1106">
      <c r="A1106" t="s">
        <v>30</v>
      </c>
      <c r="B1106" t="s">
        <v>408</v>
      </c>
      <c r="C1106" t="s">
        <v>410</v>
      </c>
      <c r="D1106" t="s">
        <v>1019</v>
      </c>
      <c r="E1106" s="13" t="n">
        <v>0.25</v>
      </c>
      <c r="F1106" s="16" t="n">
        <v>33</v>
      </c>
      <c r="G1106" s="14" t="n">
        <v>0.10168416076895</v>
      </c>
      <c r="H1106" s="15" t="n">
        <v>0.22838636441065</v>
      </c>
    </row>
    <row r="1107">
      <c r="A1107" t="s">
        <v>30</v>
      </c>
      <c r="B1107" t="s">
        <v>411</v>
      </c>
      <c r="C1107" t="s">
        <v>412</v>
      </c>
      <c r="D1107" t="s">
        <v>1019</v>
      </c>
      <c r="E1107" s="13" t="n">
        <v>0.25</v>
      </c>
      <c r="F1107" s="16" t="n">
        <v>66</v>
      </c>
      <c r="G1107" s="14" t="n">
        <v>-0.167282651589714</v>
      </c>
      <c r="H1107" s="15" t="n">
        <v>0.185786206369349</v>
      </c>
    </row>
    <row r="1108">
      <c r="A1108" t="s">
        <v>30</v>
      </c>
      <c r="B1108" t="s">
        <v>413</v>
      </c>
      <c r="C1108" t="s">
        <v>414</v>
      </c>
      <c r="D1108" t="s">
        <v>1019</v>
      </c>
      <c r="E1108" s="13" t="n">
        <v>0.25</v>
      </c>
      <c r="F1108" s="16" t="n">
        <v>156</v>
      </c>
      <c r="G1108" s="14" t="n">
        <v>0.167282651589715</v>
      </c>
      <c r="H1108" s="15" t="n">
        <v>-0.185786206369349</v>
      </c>
    </row>
    <row r="1109">
      <c r="A1109" t="s">
        <v>30</v>
      </c>
      <c r="B1109" t="s">
        <v>413</v>
      </c>
      <c r="C1109" t="s">
        <v>415</v>
      </c>
      <c r="D1109" t="s">
        <v>1019</v>
      </c>
      <c r="E1109" s="13" t="n">
        <v>0.25</v>
      </c>
      <c r="F1109" s="16" t="n">
        <v>127</v>
      </c>
      <c r="G1109" s="14" t="n">
        <v>-0.0689093389542497</v>
      </c>
      <c r="H1109" s="15" t="n">
        <v>-0.24031542398458</v>
      </c>
    </row>
    <row r="1110">
      <c r="A1110" t="s">
        <v>30</v>
      </c>
      <c r="B1110" t="s">
        <v>416</v>
      </c>
      <c r="C1110" t="s">
        <v>417</v>
      </c>
      <c r="D1110" t="s">
        <v>1019</v>
      </c>
      <c r="E1110" s="13" t="n">
        <v>0.25</v>
      </c>
      <c r="F1110" s="16" t="n">
        <v>72</v>
      </c>
      <c r="G1110" s="14" t="n">
        <v>-0.202254248593737</v>
      </c>
      <c r="H1110" s="15" t="n">
        <v>0.146946313073118</v>
      </c>
    </row>
    <row r="1111">
      <c r="A1111" t="s">
        <v>30</v>
      </c>
      <c r="B1111" t="s">
        <v>416</v>
      </c>
      <c r="C1111" t="s">
        <v>418</v>
      </c>
      <c r="D1111" t="s">
        <v>1019</v>
      </c>
      <c r="E1111" s="13" t="n">
        <v>0.25</v>
      </c>
      <c r="F1111" s="16" t="n">
        <v>138</v>
      </c>
      <c r="G1111" s="14" t="n">
        <v>0.0261321158169135</v>
      </c>
      <c r="H1111" s="15" t="n">
        <v>-0.248630473842068</v>
      </c>
    </row>
    <row r="1112">
      <c r="A1112" t="s">
        <v>30</v>
      </c>
      <c r="B1112" t="s">
        <v>419</v>
      </c>
      <c r="C1112" t="s">
        <v>420</v>
      </c>
      <c r="D1112" t="s">
        <v>1019</v>
      </c>
      <c r="E1112" s="13" t="n">
        <v>0</v>
      </c>
      <c r="F1112" s="16" t="n">
        <v>114</v>
      </c>
      <c r="G1112" s="14" t="n">
        <v>0</v>
      </c>
      <c r="H1112" s="15" t="n">
        <v>0</v>
      </c>
    </row>
    <row r="1113">
      <c r="A1113" t="s">
        <v>31</v>
      </c>
      <c r="B1113" t="s">
        <v>421</v>
      </c>
      <c r="C1113" t="s">
        <v>422</v>
      </c>
      <c r="D1113" t="s">
        <v>1019</v>
      </c>
      <c r="E1113" s="13" t="n">
        <v>0.25</v>
      </c>
      <c r="F1113" s="16" t="n">
        <v>46</v>
      </c>
      <c r="G1113" s="14" t="n">
        <v>-0.00872487417562518</v>
      </c>
      <c r="H1113" s="15" t="n">
        <v>0.249847706754774</v>
      </c>
    </row>
    <row r="1114">
      <c r="A1114" t="s">
        <v>31</v>
      </c>
      <c r="B1114" t="s">
        <v>421</v>
      </c>
      <c r="C1114" t="s">
        <v>423</v>
      </c>
      <c r="D1114" t="s">
        <v>1019</v>
      </c>
      <c r="E1114" s="13" t="n">
        <v>0.25</v>
      </c>
      <c r="F1114" s="16" t="n">
        <v>138</v>
      </c>
      <c r="G1114" s="14" t="n">
        <v>0.0261321158169135</v>
      </c>
      <c r="H1114" s="15" t="n">
        <v>-0.248630473842068</v>
      </c>
    </row>
    <row r="1115">
      <c r="A1115" t="s">
        <v>31</v>
      </c>
      <c r="B1115" t="s">
        <v>424</v>
      </c>
      <c r="C1115" t="s">
        <v>425</v>
      </c>
      <c r="D1115" t="s">
        <v>1019</v>
      </c>
      <c r="E1115" s="13" t="n">
        <v>0.5</v>
      </c>
      <c r="F1115" s="16" t="n">
        <v>91</v>
      </c>
      <c r="G1115" s="14" t="n">
        <v>-0.499695413509548</v>
      </c>
      <c r="H1115" s="15" t="n">
        <v>-0.0174497483512506</v>
      </c>
    </row>
    <row r="1116">
      <c r="A1116" t="s">
        <v>31</v>
      </c>
      <c r="B1116" t="s">
        <v>424</v>
      </c>
      <c r="C1116" t="s">
        <v>426</v>
      </c>
      <c r="D1116" t="s">
        <v>1019</v>
      </c>
      <c r="E1116" s="13" t="n">
        <v>0.25</v>
      </c>
      <c r="F1116" s="16" t="n">
        <v>76</v>
      </c>
      <c r="G1116" s="14" t="n">
        <v>-0.220736898214732</v>
      </c>
      <c r="H1116" s="15" t="n">
        <v>0.117367890696473</v>
      </c>
    </row>
    <row r="1117">
      <c r="A1117" t="s">
        <v>30</v>
      </c>
      <c r="B1117" t="s">
        <v>427</v>
      </c>
      <c r="C1117" t="s">
        <v>428</v>
      </c>
      <c r="D1117" t="s">
        <v>1019</v>
      </c>
      <c r="E1117" s="13" t="n">
        <v>0.5</v>
      </c>
      <c r="F1117" s="16" t="n">
        <v>121</v>
      </c>
      <c r="G1117" s="14" t="n">
        <v>-0.234735781392945</v>
      </c>
      <c r="H1117" s="15" t="n">
        <v>-0.441473796429464</v>
      </c>
    </row>
    <row r="1118">
      <c r="A1118" t="s">
        <v>30</v>
      </c>
      <c r="B1118" t="s">
        <v>429</v>
      </c>
      <c r="C1118" t="s">
        <v>430</v>
      </c>
      <c r="D1118" t="s">
        <v>1019</v>
      </c>
      <c r="E1118" s="13" t="n">
        <v>0</v>
      </c>
      <c r="F1118" s="16" t="n">
        <v>131</v>
      </c>
      <c r="G1118" s="14" t="n">
        <v>0</v>
      </c>
      <c r="H1118" s="15" t="n">
        <v>0</v>
      </c>
    </row>
    <row r="1119">
      <c r="A1119" t="s">
        <v>31</v>
      </c>
      <c r="B1119" t="s">
        <v>431</v>
      </c>
      <c r="C1119" t="s">
        <v>432</v>
      </c>
      <c r="D1119" t="s">
        <v>1019</v>
      </c>
      <c r="E1119" s="13" t="n">
        <v>0.5</v>
      </c>
      <c r="F1119" s="16" t="n">
        <v>3</v>
      </c>
      <c r="G1119" s="14" t="n">
        <v>0.497260947684137</v>
      </c>
      <c r="H1119" s="15" t="n">
        <v>0.0522642316338267</v>
      </c>
    </row>
    <row r="1120">
      <c r="A1120" t="s">
        <v>31</v>
      </c>
      <c r="B1120" t="s">
        <v>431</v>
      </c>
      <c r="C1120" t="s">
        <v>433</v>
      </c>
      <c r="D1120" t="s">
        <v>1019</v>
      </c>
      <c r="E1120" s="13" t="n">
        <v>0.25</v>
      </c>
      <c r="F1120" s="16" t="n">
        <v>7</v>
      </c>
      <c r="G1120" s="14" t="n">
        <v>0.242573931568999</v>
      </c>
      <c r="H1120" s="15" t="n">
        <v>0.0604804738999169</v>
      </c>
    </row>
    <row r="1121">
      <c r="A1121" t="s">
        <v>30</v>
      </c>
      <c r="B1121" t="s">
        <v>434</v>
      </c>
      <c r="C1121" t="s">
        <v>435</v>
      </c>
      <c r="D1121" t="s">
        <v>1019</v>
      </c>
      <c r="E1121" s="13" t="n">
        <v>0</v>
      </c>
      <c r="F1121" s="16" t="n">
        <v>84</v>
      </c>
      <c r="G1121" s="14" t="n">
        <v>0</v>
      </c>
      <c r="H1121" s="15" t="n">
        <v>0</v>
      </c>
    </row>
    <row r="1122">
      <c r="A1122" t="s">
        <v>30</v>
      </c>
      <c r="B1122" t="s">
        <v>434</v>
      </c>
      <c r="C1122" t="s">
        <v>436</v>
      </c>
      <c r="D1122" t="s">
        <v>1019</v>
      </c>
      <c r="E1122" s="13" t="n">
        <v>0</v>
      </c>
      <c r="F1122" s="16" t="n">
        <v>42</v>
      </c>
      <c r="G1122" s="14" t="n">
        <v>0</v>
      </c>
      <c r="H1122" s="15" t="n">
        <v>0</v>
      </c>
    </row>
    <row r="1123">
      <c r="A1123" t="s">
        <v>30</v>
      </c>
      <c r="B1123" t="s">
        <v>437</v>
      </c>
      <c r="C1123" t="s">
        <v>438</v>
      </c>
      <c r="D1123" t="s">
        <v>1019</v>
      </c>
      <c r="E1123" s="13" t="n">
        <v>0.5</v>
      </c>
      <c r="F1123" s="16" t="n">
        <v>127</v>
      </c>
      <c r="G1123" s="14" t="n">
        <v>-0.137818677908499</v>
      </c>
      <c r="H1123" s="15" t="n">
        <v>-0.48063084796916</v>
      </c>
    </row>
    <row r="1124">
      <c r="A1124" t="s">
        <v>30</v>
      </c>
      <c r="B1124" t="s">
        <v>437</v>
      </c>
      <c r="C1124" t="s">
        <v>439</v>
      </c>
      <c r="D1124" t="s">
        <v>1019</v>
      </c>
      <c r="E1124" s="13" t="n">
        <v>0.25</v>
      </c>
      <c r="F1124" s="16" t="n">
        <v>74</v>
      </c>
      <c r="G1124" s="14" t="n">
        <v>-0.212012024039106</v>
      </c>
      <c r="H1124" s="15" t="n">
        <v>0.132479816058301</v>
      </c>
    </row>
    <row r="1125">
      <c r="A1125" t="s">
        <v>30</v>
      </c>
      <c r="B1125" t="s">
        <v>440</v>
      </c>
      <c r="C1125" t="s">
        <v>441</v>
      </c>
      <c r="D1125" t="s">
        <v>1019</v>
      </c>
      <c r="E1125" s="13" t="n">
        <v>0.5</v>
      </c>
      <c r="F1125" s="16" t="n">
        <v>82</v>
      </c>
      <c r="G1125" s="14" t="n">
        <v>-0.480630847969159</v>
      </c>
      <c r="H1125" s="15" t="n">
        <v>0.1378186779085</v>
      </c>
    </row>
    <row r="1126">
      <c r="A1126" t="s">
        <v>30</v>
      </c>
      <c r="B1126" t="s">
        <v>440</v>
      </c>
      <c r="C1126" t="s">
        <v>442</v>
      </c>
      <c r="D1126" t="s">
        <v>1019</v>
      </c>
      <c r="E1126" s="13" t="n">
        <v>0.25</v>
      </c>
      <c r="F1126" s="16" t="n">
        <v>27</v>
      </c>
      <c r="G1126" s="14" t="n">
        <v>0.146946313073118</v>
      </c>
      <c r="H1126" s="15" t="n">
        <v>0.202254248593737</v>
      </c>
    </row>
    <row r="1127">
      <c r="A1127" t="s">
        <v>30</v>
      </c>
      <c r="B1127" t="s">
        <v>443</v>
      </c>
      <c r="C1127" t="s">
        <v>444</v>
      </c>
      <c r="D1127" t="s">
        <v>1019</v>
      </c>
      <c r="E1127" s="13" t="n">
        <v>0.25</v>
      </c>
      <c r="F1127" s="16" t="n">
        <v>105</v>
      </c>
      <c r="G1127" s="14" t="n">
        <v>-0.21650635094611</v>
      </c>
      <c r="H1127" s="15" t="n">
        <v>-0.125</v>
      </c>
    </row>
    <row r="1128">
      <c r="A1128" t="s">
        <v>30</v>
      </c>
      <c r="B1128" t="s">
        <v>443</v>
      </c>
      <c r="C1128" t="s">
        <v>445</v>
      </c>
      <c r="D1128" t="s">
        <v>1019</v>
      </c>
      <c r="E1128" s="13" t="n">
        <v>0.25</v>
      </c>
      <c r="F1128" s="16" t="n">
        <v>71</v>
      </c>
      <c r="G1128" s="14" t="n">
        <v>-0.19700268840168</v>
      </c>
      <c r="H1128" s="15" t="n">
        <v>0.153915368831415</v>
      </c>
    </row>
    <row r="1129">
      <c r="A1129" t="s">
        <v>31</v>
      </c>
      <c r="B1129" t="s">
        <v>446</v>
      </c>
      <c r="C1129" t="s">
        <v>447</v>
      </c>
      <c r="D1129" t="s">
        <v>1019</v>
      </c>
      <c r="E1129" s="13" t="n">
        <v>0.5</v>
      </c>
      <c r="F1129" s="16" t="n">
        <v>94</v>
      </c>
      <c r="G1129" s="14" t="n">
        <v>-0.495134034370785</v>
      </c>
      <c r="H1129" s="15" t="n">
        <v>-0.0695865504800329</v>
      </c>
    </row>
    <row r="1130">
      <c r="A1130" t="s">
        <v>30</v>
      </c>
      <c r="B1130" t="s">
        <v>448</v>
      </c>
      <c r="C1130" t="s">
        <v>449</v>
      </c>
      <c r="D1130" t="s">
        <v>1019</v>
      </c>
      <c r="E1130" s="13" t="n">
        <v>0</v>
      </c>
      <c r="F1130" s="16" t="n">
        <v>159</v>
      </c>
      <c r="G1130" s="14" t="n">
        <v>0</v>
      </c>
      <c r="H1130" s="15" t="n">
        <v>0</v>
      </c>
    </row>
    <row r="1131">
      <c r="A1131" t="s">
        <v>31</v>
      </c>
      <c r="B1131" t="s">
        <v>450</v>
      </c>
      <c r="C1131" t="s">
        <v>451</v>
      </c>
      <c r="D1131" t="s">
        <v>1019</v>
      </c>
      <c r="E1131" s="13" t="n">
        <v>0.25</v>
      </c>
      <c r="F1131" s="16" t="n">
        <v>177</v>
      </c>
      <c r="G1131" s="14" t="n">
        <v>0.248630473842068</v>
      </c>
      <c r="H1131" s="15" t="n">
        <v>-0.0261321158169134</v>
      </c>
    </row>
    <row r="1132">
      <c r="A1132" t="s">
        <v>31</v>
      </c>
      <c r="B1132" t="s">
        <v>450</v>
      </c>
      <c r="C1132" t="s">
        <v>452</v>
      </c>
      <c r="D1132" t="s">
        <v>1019</v>
      </c>
      <c r="E1132" s="13" t="n">
        <v>0.25</v>
      </c>
      <c r="F1132" s="16" t="n">
        <v>1</v>
      </c>
      <c r="G1132" s="14" t="n">
        <v>0.249847706754774</v>
      </c>
      <c r="H1132" s="15" t="n">
        <v>0.00872487417562524</v>
      </c>
    </row>
    <row r="1133">
      <c r="A1133" t="s">
        <v>30</v>
      </c>
      <c r="B1133" t="s">
        <v>453</v>
      </c>
      <c r="C1133" t="s">
        <v>454</v>
      </c>
      <c r="D1133" t="s">
        <v>1019</v>
      </c>
      <c r="E1133" s="13" t="n">
        <v>0.25</v>
      </c>
      <c r="F1133" s="16" t="n">
        <v>174</v>
      </c>
      <c r="G1133" s="14" t="n">
        <v>0.244536900183451</v>
      </c>
      <c r="H1133" s="15" t="n">
        <v>-0.0519779227044398</v>
      </c>
    </row>
    <row r="1134">
      <c r="A1134" t="s">
        <v>30</v>
      </c>
      <c r="B1134" t="s">
        <v>455</v>
      </c>
      <c r="C1134" t="s">
        <v>456</v>
      </c>
      <c r="D1134" t="s">
        <v>1019</v>
      </c>
      <c r="E1134" s="13" t="n">
        <v>0.25</v>
      </c>
      <c r="F1134" s="16" t="n">
        <v>67</v>
      </c>
      <c r="G1134" s="14" t="n">
        <v>-0.173664592614749</v>
      </c>
      <c r="H1134" s="15" t="n">
        <v>0.179834950084663</v>
      </c>
    </row>
    <row r="1135">
      <c r="A1135" t="s">
        <v>31</v>
      </c>
      <c r="B1135" t="s">
        <v>457</v>
      </c>
      <c r="C1135" t="s">
        <v>458</v>
      </c>
      <c r="D1135" t="s">
        <v>1019</v>
      </c>
      <c r="E1135" s="13" t="n">
        <v>0.25</v>
      </c>
      <c r="F1135" s="16" t="n">
        <v>31</v>
      </c>
      <c r="G1135" s="14" t="n">
        <v>0.117367890696473</v>
      </c>
      <c r="H1135" s="15" t="n">
        <v>0.220736898214732</v>
      </c>
    </row>
    <row r="1136">
      <c r="A1136" t="s">
        <v>31</v>
      </c>
      <c r="B1136" t="s">
        <v>459</v>
      </c>
      <c r="C1136" t="s">
        <v>460</v>
      </c>
      <c r="D1136" t="s">
        <v>1019</v>
      </c>
      <c r="E1136" s="13" t="n">
        <v>0.5</v>
      </c>
      <c r="F1136" s="16" t="n">
        <v>160</v>
      </c>
      <c r="G1136" s="14" t="n">
        <v>0.383022221559489</v>
      </c>
      <c r="H1136" s="15" t="n">
        <v>-0.32139380484327</v>
      </c>
    </row>
    <row r="1137">
      <c r="A1137" t="s">
        <v>31</v>
      </c>
      <c r="B1137" t="s">
        <v>459</v>
      </c>
      <c r="C1137" t="s">
        <v>461</v>
      </c>
      <c r="D1137" t="s">
        <v>1019</v>
      </c>
      <c r="E1137" s="13" t="n">
        <v>0.25</v>
      </c>
      <c r="F1137" s="16" t="n">
        <v>46</v>
      </c>
      <c r="G1137" s="14" t="n">
        <v>-0.00872487417562518</v>
      </c>
      <c r="H1137" s="15" t="n">
        <v>0.249847706754774</v>
      </c>
    </row>
    <row r="1138">
      <c r="A1138" t="s">
        <v>31</v>
      </c>
      <c r="B1138" t="s">
        <v>462</v>
      </c>
      <c r="C1138" t="s">
        <v>463</v>
      </c>
      <c r="D1138" t="s">
        <v>1019</v>
      </c>
      <c r="E1138" s="13" t="n">
        <v>0.25</v>
      </c>
      <c r="F1138" s="16" t="n">
        <v>86</v>
      </c>
      <c r="G1138" s="14" t="n">
        <v>-0.247567017185393</v>
      </c>
      <c r="H1138" s="15" t="n">
        <v>0.0347932752400163</v>
      </c>
    </row>
    <row r="1139">
      <c r="A1139" t="s">
        <v>31</v>
      </c>
      <c r="B1139" t="s">
        <v>462</v>
      </c>
      <c r="C1139" t="s">
        <v>464</v>
      </c>
      <c r="D1139" t="s">
        <v>1019</v>
      </c>
      <c r="E1139" s="13" t="n">
        <v>0.25</v>
      </c>
      <c r="F1139" s="16" t="n">
        <v>60</v>
      </c>
      <c r="G1139" s="14" t="n">
        <v>-0.125</v>
      </c>
      <c r="H1139" s="15" t="n">
        <v>0.21650635094611</v>
      </c>
    </row>
    <row r="1140">
      <c r="A1140" t="s">
        <v>30</v>
      </c>
      <c r="B1140" t="s">
        <v>465</v>
      </c>
      <c r="C1140" t="s">
        <v>466</v>
      </c>
      <c r="D1140" t="s">
        <v>1019</v>
      </c>
      <c r="E1140" s="13" t="n">
        <v>0.25</v>
      </c>
      <c r="F1140" s="16" t="n">
        <v>110</v>
      </c>
      <c r="G1140" s="14" t="n">
        <v>-0.191511110779745</v>
      </c>
      <c r="H1140" s="15" t="n">
        <v>-0.160696902421635</v>
      </c>
    </row>
    <row r="1141">
      <c r="A1141" t="s">
        <v>30</v>
      </c>
      <c r="B1141" t="s">
        <v>465</v>
      </c>
      <c r="C1141" t="s">
        <v>467</v>
      </c>
      <c r="D1141" t="s">
        <v>1019</v>
      </c>
      <c r="E1141" s="13" t="n">
        <v>0.25</v>
      </c>
      <c r="F1141" s="16" t="n">
        <v>142</v>
      </c>
      <c r="G1141" s="14" t="n">
        <v>0.0604804738999169</v>
      </c>
      <c r="H1141" s="15" t="n">
        <v>-0.242573931568999</v>
      </c>
    </row>
    <row r="1142">
      <c r="A1142" t="s">
        <v>30</v>
      </c>
      <c r="B1142" t="s">
        <v>468</v>
      </c>
      <c r="C1142" t="s">
        <v>469</v>
      </c>
      <c r="D1142" t="s">
        <v>1019</v>
      </c>
      <c r="E1142" s="13" t="n">
        <v>0.25</v>
      </c>
      <c r="F1142" s="16" t="n">
        <v>52</v>
      </c>
      <c r="G1142" s="14" t="n">
        <v>-0.0604804738999169</v>
      </c>
      <c r="H1142" s="15" t="n">
        <v>0.242573931568999</v>
      </c>
    </row>
    <row r="1143">
      <c r="A1143" t="s">
        <v>31</v>
      </c>
      <c r="B1143" t="s">
        <v>470</v>
      </c>
      <c r="C1143" t="s">
        <v>471</v>
      </c>
      <c r="D1143" t="s">
        <v>1019</v>
      </c>
      <c r="E1143" s="13" t="n">
        <v>0.25</v>
      </c>
      <c r="F1143" s="16" t="n">
        <v>138</v>
      </c>
      <c r="G1143" s="14" t="n">
        <v>0.0261321158169135</v>
      </c>
      <c r="H1143" s="15" t="n">
        <v>-0.248630473842068</v>
      </c>
    </row>
    <row r="1144">
      <c r="A1144" t="s">
        <v>31</v>
      </c>
      <c r="B1144" t="s">
        <v>472</v>
      </c>
      <c r="C1144" t="s">
        <v>473</v>
      </c>
      <c r="D1144" t="s">
        <v>1019</v>
      </c>
      <c r="E1144" s="13" t="n">
        <v>0.25</v>
      </c>
      <c r="F1144" s="16" t="n">
        <v>139</v>
      </c>
      <c r="G1144" s="14" t="n">
        <v>0.0347932752400164</v>
      </c>
      <c r="H1144" s="15" t="n">
        <v>-0.247567017185393</v>
      </c>
    </row>
    <row r="1145">
      <c r="A1145" t="s">
        <v>30</v>
      </c>
      <c r="B1145" t="s">
        <v>474</v>
      </c>
      <c r="C1145" t="s">
        <v>475</v>
      </c>
      <c r="D1145" t="s">
        <v>1019</v>
      </c>
      <c r="E1145" s="13" t="n">
        <v>0</v>
      </c>
      <c r="F1145" s="16" t="n">
        <v>58</v>
      </c>
      <c r="G1145" s="14" t="n">
        <v>0</v>
      </c>
      <c r="H1145" s="15" t="n">
        <v>0</v>
      </c>
    </row>
    <row r="1146">
      <c r="A1146" t="s">
        <v>30</v>
      </c>
      <c r="B1146" t="s">
        <v>474</v>
      </c>
      <c r="C1146" t="s">
        <v>476</v>
      </c>
      <c r="D1146" t="s">
        <v>1019</v>
      </c>
      <c r="E1146" s="13" t="n">
        <v>0.25</v>
      </c>
      <c r="F1146" s="16" t="n">
        <v>75</v>
      </c>
      <c r="G1146" s="14" t="n">
        <v>-0.21650635094611</v>
      </c>
      <c r="H1146" s="15" t="n">
        <v>0.125</v>
      </c>
    </row>
    <row r="1147">
      <c r="A1147" t="s">
        <v>30</v>
      </c>
      <c r="B1147" t="s">
        <v>477</v>
      </c>
      <c r="C1147" t="s">
        <v>478</v>
      </c>
      <c r="D1147" t="s">
        <v>1019</v>
      </c>
      <c r="E1147" s="13" t="n">
        <v>0.25</v>
      </c>
      <c r="F1147" s="16" t="n">
        <v>160</v>
      </c>
      <c r="G1147" s="14" t="n">
        <v>0.191511110779744</v>
      </c>
      <c r="H1147" s="15" t="n">
        <v>-0.160696902421635</v>
      </c>
    </row>
    <row r="1148">
      <c r="A1148" t="s">
        <v>30</v>
      </c>
      <c r="B1148" t="s">
        <v>477</v>
      </c>
      <c r="C1148" t="s">
        <v>479</v>
      </c>
      <c r="D1148" t="s">
        <v>1019</v>
      </c>
      <c r="E1148" s="13" t="n">
        <v>0.25</v>
      </c>
      <c r="F1148" s="16" t="n">
        <v>18</v>
      </c>
      <c r="G1148" s="14" t="n">
        <v>0.202254248593737</v>
      </c>
      <c r="H1148" s="15" t="n">
        <v>0.146946313073118</v>
      </c>
    </row>
    <row r="1149">
      <c r="A1149" t="s">
        <v>30</v>
      </c>
      <c r="B1149" t="s">
        <v>480</v>
      </c>
      <c r="C1149" t="s">
        <v>481</v>
      </c>
      <c r="D1149" t="s">
        <v>1019</v>
      </c>
      <c r="E1149" s="13" t="n">
        <v>0.5</v>
      </c>
      <c r="F1149" s="16" t="n">
        <v>16</v>
      </c>
      <c r="G1149" s="14" t="n">
        <v>0.424024048078213</v>
      </c>
      <c r="H1149" s="15" t="n">
        <v>0.264959632116602</v>
      </c>
    </row>
    <row r="1150">
      <c r="A1150" t="s">
        <v>30</v>
      </c>
      <c r="B1150" t="s">
        <v>480</v>
      </c>
      <c r="C1150" t="s">
        <v>482</v>
      </c>
      <c r="D1150" t="s">
        <v>1019</v>
      </c>
      <c r="E1150" s="13" t="n">
        <v>0</v>
      </c>
      <c r="F1150" s="16" t="n">
        <v>111</v>
      </c>
      <c r="G1150" s="14" t="n">
        <v>0</v>
      </c>
      <c r="H1150" s="15" t="n">
        <v>0</v>
      </c>
    </row>
    <row r="1151">
      <c r="A1151" t="s">
        <v>30</v>
      </c>
      <c r="B1151" t="s">
        <v>483</v>
      </c>
      <c r="C1151" t="s">
        <v>484</v>
      </c>
      <c r="D1151" t="s">
        <v>1019</v>
      </c>
      <c r="E1151" s="13" t="n">
        <v>0.5</v>
      </c>
      <c r="F1151" s="16" t="n">
        <v>133</v>
      </c>
      <c r="G1151" s="14" t="n">
        <v>-0.0348782368720628</v>
      </c>
      <c r="H1151" s="15" t="n">
        <v>-0.498782025129912</v>
      </c>
    </row>
    <row r="1152">
      <c r="A1152" t="s">
        <v>30</v>
      </c>
      <c r="B1152" t="s">
        <v>483</v>
      </c>
      <c r="C1152" t="s">
        <v>485</v>
      </c>
      <c r="D1152" t="s">
        <v>1019</v>
      </c>
      <c r="E1152" s="13" t="n">
        <v>0.25</v>
      </c>
      <c r="F1152" s="16" t="n">
        <v>58</v>
      </c>
      <c r="G1152" s="14" t="n">
        <v>-0.109592786697269</v>
      </c>
      <c r="H1152" s="15" t="n">
        <v>0.224698511574792</v>
      </c>
    </row>
    <row r="1153">
      <c r="A1153" t="s">
        <v>30</v>
      </c>
      <c r="B1153" t="s">
        <v>486</v>
      </c>
      <c r="C1153" t="s">
        <v>487</v>
      </c>
      <c r="D1153" t="s">
        <v>1019</v>
      </c>
      <c r="E1153" s="13" t="n">
        <v>0.25</v>
      </c>
      <c r="F1153" s="16" t="n">
        <v>66</v>
      </c>
      <c r="G1153" s="14" t="n">
        <v>-0.167282651589714</v>
      </c>
      <c r="H1153" s="15" t="n">
        <v>0.185786206369349</v>
      </c>
    </row>
    <row r="1154">
      <c r="A1154" t="s">
        <v>30</v>
      </c>
      <c r="B1154" t="s">
        <v>486</v>
      </c>
      <c r="C1154" t="s">
        <v>488</v>
      </c>
      <c r="D1154" t="s">
        <v>1019</v>
      </c>
      <c r="E1154" s="13" t="n">
        <v>0</v>
      </c>
      <c r="F1154" s="16" t="n">
        <v>178</v>
      </c>
      <c r="G1154" s="14" t="n">
        <v>0</v>
      </c>
      <c r="H1154" s="15" t="n">
        <v>0</v>
      </c>
    </row>
    <row r="1155">
      <c r="A1155" t="s">
        <v>30</v>
      </c>
      <c r="B1155" t="s">
        <v>489</v>
      </c>
      <c r="C1155" t="s">
        <v>490</v>
      </c>
      <c r="D1155" t="s">
        <v>1019</v>
      </c>
      <c r="E1155" s="13" t="n">
        <v>0.5</v>
      </c>
      <c r="F1155" s="16" t="n">
        <v>94</v>
      </c>
      <c r="G1155" s="14" t="n">
        <v>-0.495134034370785</v>
      </c>
      <c r="H1155" s="15" t="n">
        <v>-0.0695865504800329</v>
      </c>
    </row>
    <row r="1156">
      <c r="A1156" t="s">
        <v>30</v>
      </c>
      <c r="B1156" t="s">
        <v>489</v>
      </c>
      <c r="C1156" t="s">
        <v>491</v>
      </c>
      <c r="D1156" t="s">
        <v>1019</v>
      </c>
      <c r="E1156" s="13" t="n">
        <v>0.25</v>
      </c>
      <c r="F1156" s="16" t="n">
        <v>85</v>
      </c>
      <c r="G1156" s="14" t="n">
        <v>-0.246201938253052</v>
      </c>
      <c r="H1156" s="15" t="n">
        <v>0.0434120444167327</v>
      </c>
    </row>
    <row r="1157">
      <c r="A1157" t="s">
        <v>31</v>
      </c>
      <c r="B1157" t="s">
        <v>492</v>
      </c>
      <c r="C1157" t="s">
        <v>493</v>
      </c>
      <c r="D1157" t="s">
        <v>1019</v>
      </c>
      <c r="E1157" s="13" t="n">
        <v>0.25</v>
      </c>
      <c r="F1157" s="16" t="n">
        <v>73</v>
      </c>
      <c r="G1157" s="14" t="n">
        <v>-0.20725939313876</v>
      </c>
      <c r="H1157" s="15" t="n">
        <v>0.139798225867687</v>
      </c>
    </row>
    <row r="1158">
      <c r="A1158" t="s">
        <v>31</v>
      </c>
      <c r="B1158" t="s">
        <v>492</v>
      </c>
      <c r="C1158" t="s">
        <v>494</v>
      </c>
      <c r="D1158" t="s">
        <v>1019</v>
      </c>
      <c r="E1158" s="13" t="n">
        <v>0</v>
      </c>
      <c r="F1158" s="16" t="n">
        <v>127</v>
      </c>
      <c r="G1158" s="14" t="n">
        <v>0</v>
      </c>
      <c r="H1158" s="15" t="n">
        <v>0</v>
      </c>
    </row>
    <row r="1159">
      <c r="A1159" t="s">
        <v>30</v>
      </c>
      <c r="B1159" t="s">
        <v>495</v>
      </c>
      <c r="C1159" t="s">
        <v>496</v>
      </c>
      <c r="D1159" t="s">
        <v>1019</v>
      </c>
      <c r="E1159" s="13" t="n">
        <v>0.25</v>
      </c>
      <c r="F1159" s="16" t="n">
        <v>175</v>
      </c>
      <c r="G1159" s="14" t="n">
        <v>0.246201938253052</v>
      </c>
      <c r="H1159" s="15" t="n">
        <v>-0.0434120444167326</v>
      </c>
    </row>
    <row r="1160">
      <c r="A1160" t="s">
        <v>30</v>
      </c>
      <c r="B1160" t="s">
        <v>497</v>
      </c>
      <c r="C1160" t="s">
        <v>498</v>
      </c>
      <c r="D1160" t="s">
        <v>1019</v>
      </c>
      <c r="E1160" s="13" t="n">
        <v>0.25</v>
      </c>
      <c r="F1160" s="16" t="n">
        <v>30</v>
      </c>
      <c r="G1160" s="14" t="n">
        <v>0.125</v>
      </c>
      <c r="H1160" s="15" t="n">
        <v>0.21650635094611</v>
      </c>
    </row>
    <row r="1161">
      <c r="A1161" t="s">
        <v>30</v>
      </c>
      <c r="B1161" t="s">
        <v>497</v>
      </c>
      <c r="C1161" t="s">
        <v>499</v>
      </c>
      <c r="D1161" t="s">
        <v>1019</v>
      </c>
      <c r="E1161" s="13" t="n">
        <v>0.25</v>
      </c>
      <c r="F1161" s="16" t="n">
        <v>177</v>
      </c>
      <c r="G1161" s="14" t="n">
        <v>0.248630473842068</v>
      </c>
      <c r="H1161" s="15" t="n">
        <v>-0.0261321158169134</v>
      </c>
    </row>
    <row r="1162">
      <c r="A1162" t="s">
        <v>30</v>
      </c>
      <c r="B1162" t="s">
        <v>500</v>
      </c>
      <c r="C1162" t="s">
        <v>501</v>
      </c>
      <c r="D1162" t="s">
        <v>1019</v>
      </c>
      <c r="E1162" s="13" t="n">
        <v>0.25</v>
      </c>
      <c r="F1162" s="16" t="n">
        <v>88</v>
      </c>
      <c r="G1162" s="14" t="n">
        <v>-0.249391012564956</v>
      </c>
      <c r="H1162" s="15" t="n">
        <v>0.0174391184360314</v>
      </c>
    </row>
    <row r="1163">
      <c r="A1163" t="s">
        <v>30</v>
      </c>
      <c r="B1163" t="s">
        <v>500</v>
      </c>
      <c r="C1163" t="s">
        <v>502</v>
      </c>
      <c r="D1163" t="s">
        <v>1019</v>
      </c>
      <c r="E1163" s="13" t="n">
        <v>0.25</v>
      </c>
      <c r="F1163" s="16" t="n">
        <v>82</v>
      </c>
      <c r="G1163" s="14" t="n">
        <v>-0.24031542398458</v>
      </c>
      <c r="H1163" s="15" t="n">
        <v>0.0689093389542498</v>
      </c>
    </row>
    <row r="1164">
      <c r="A1164" t="s">
        <v>31</v>
      </c>
      <c r="B1164" t="s">
        <v>503</v>
      </c>
      <c r="C1164" t="s">
        <v>504</v>
      </c>
      <c r="D1164" t="s">
        <v>1019</v>
      </c>
      <c r="E1164" s="13" t="n">
        <v>0.25</v>
      </c>
      <c r="F1164" s="16" t="n">
        <v>13</v>
      </c>
      <c r="G1164" s="14" t="n">
        <v>0.224698511574792</v>
      </c>
      <c r="H1164" s="15" t="n">
        <v>0.109592786697269</v>
      </c>
    </row>
    <row r="1165">
      <c r="A1165" t="s">
        <v>31</v>
      </c>
      <c r="B1165" t="s">
        <v>503</v>
      </c>
      <c r="C1165" t="s">
        <v>505</v>
      </c>
      <c r="D1165" t="s">
        <v>1019</v>
      </c>
      <c r="E1165" s="13" t="n">
        <v>0.25</v>
      </c>
      <c r="F1165" s="16" t="n">
        <v>118</v>
      </c>
      <c r="G1165" s="14" t="n">
        <v>-0.139798225867687</v>
      </c>
      <c r="H1165" s="15" t="n">
        <v>-0.20725939313876</v>
      </c>
    </row>
    <row r="1166">
      <c r="A1166" t="s">
        <v>30</v>
      </c>
      <c r="B1166" t="s">
        <v>506</v>
      </c>
      <c r="C1166" t="s">
        <v>507</v>
      </c>
      <c r="D1166" t="s">
        <v>1019</v>
      </c>
      <c r="E1166" s="13" t="n">
        <v>0.25</v>
      </c>
      <c r="F1166" s="16" t="n">
        <v>43</v>
      </c>
      <c r="G1166" s="14" t="n">
        <v>0.0174391184360313</v>
      </c>
      <c r="H1166" s="15" t="n">
        <v>0.249391012564956</v>
      </c>
    </row>
    <row r="1167">
      <c r="A1167" t="s">
        <v>30</v>
      </c>
      <c r="B1167" t="s">
        <v>506</v>
      </c>
      <c r="C1167" t="s">
        <v>508</v>
      </c>
      <c r="D1167" t="s">
        <v>1019</v>
      </c>
      <c r="E1167" s="13" t="n">
        <v>0.5</v>
      </c>
      <c r="F1167" s="16" t="n">
        <v>114</v>
      </c>
      <c r="G1167" s="14" t="n">
        <v>-0.334565303179429</v>
      </c>
      <c r="H1167" s="15" t="n">
        <v>-0.371572412738697</v>
      </c>
    </row>
    <row r="1168">
      <c r="A1168" t="s">
        <v>31</v>
      </c>
      <c r="B1168" t="s">
        <v>509</v>
      </c>
      <c r="C1168" t="s">
        <v>510</v>
      </c>
      <c r="D1168" t="s">
        <v>1019</v>
      </c>
      <c r="E1168" s="13" t="n">
        <v>0.25</v>
      </c>
      <c r="F1168" s="16" t="n">
        <v>92</v>
      </c>
      <c r="G1168" s="14" t="n">
        <v>-0.249391012564956</v>
      </c>
      <c r="H1168" s="15" t="n">
        <v>-0.0174391184360313</v>
      </c>
    </row>
    <row r="1169">
      <c r="A1169" t="s">
        <v>31</v>
      </c>
      <c r="B1169" t="s">
        <v>509</v>
      </c>
      <c r="C1169" t="s">
        <v>511</v>
      </c>
      <c r="D1169" t="s">
        <v>1019</v>
      </c>
      <c r="E1169" s="13" t="n">
        <v>0.25</v>
      </c>
      <c r="F1169" s="16" t="n">
        <v>78</v>
      </c>
      <c r="G1169" s="14" t="n">
        <v>-0.22838636441065</v>
      </c>
      <c r="H1169" s="15" t="n">
        <v>0.10168416076895</v>
      </c>
    </row>
    <row r="1170">
      <c r="A1170" t="s">
        <v>30</v>
      </c>
      <c r="B1170" t="s">
        <v>512</v>
      </c>
      <c r="C1170" t="s">
        <v>513</v>
      </c>
      <c r="D1170" t="s">
        <v>1019</v>
      </c>
      <c r="E1170" s="13" t="n">
        <v>0.5</v>
      </c>
      <c r="F1170" s="16" t="n">
        <v>66</v>
      </c>
      <c r="G1170" s="14" t="n">
        <v>-0.334565303179429</v>
      </c>
      <c r="H1170" s="15" t="n">
        <v>0.371572412738697</v>
      </c>
    </row>
    <row r="1171">
      <c r="A1171" t="s">
        <v>30</v>
      </c>
      <c r="B1171" t="s">
        <v>512</v>
      </c>
      <c r="C1171" t="s">
        <v>514</v>
      </c>
      <c r="D1171" t="s">
        <v>1019</v>
      </c>
      <c r="E1171" s="13" t="n">
        <v>0.5</v>
      </c>
      <c r="F1171" s="16" t="n">
        <v>114</v>
      </c>
      <c r="G1171" s="14" t="n">
        <v>-0.334565303179429</v>
      </c>
      <c r="H1171" s="15" t="n">
        <v>-0.371572412738697</v>
      </c>
    </row>
    <row r="1172">
      <c r="A1172" t="s">
        <v>30</v>
      </c>
      <c r="B1172" t="s">
        <v>515</v>
      </c>
      <c r="C1172" t="s">
        <v>516</v>
      </c>
      <c r="D1172" t="s">
        <v>1019</v>
      </c>
      <c r="E1172" s="13" t="n">
        <v>0</v>
      </c>
      <c r="F1172" s="16" t="n">
        <v>51</v>
      </c>
      <c r="G1172" s="14" t="n">
        <v>0</v>
      </c>
      <c r="H1172" s="15" t="n">
        <v>0</v>
      </c>
    </row>
    <row r="1173">
      <c r="A1173" t="s">
        <v>30</v>
      </c>
      <c r="B1173" t="s">
        <v>515</v>
      </c>
      <c r="C1173" t="s">
        <v>517</v>
      </c>
      <c r="D1173" t="s">
        <v>1019</v>
      </c>
      <c r="E1173" s="13" t="n">
        <v>0</v>
      </c>
      <c r="F1173" s="16" t="n">
        <v>99</v>
      </c>
      <c r="G1173" s="14" t="n">
        <v>0</v>
      </c>
      <c r="H1173" s="15" t="n">
        <v>0</v>
      </c>
    </row>
    <row r="1174">
      <c r="A1174" t="s">
        <v>30</v>
      </c>
      <c r="B1174" t="s">
        <v>518</v>
      </c>
      <c r="C1174" t="s">
        <v>519</v>
      </c>
      <c r="D1174" t="s">
        <v>1019</v>
      </c>
      <c r="E1174" s="13" t="n">
        <v>0.25</v>
      </c>
      <c r="F1174" s="16" t="n">
        <v>127</v>
      </c>
      <c r="G1174" s="14" t="n">
        <v>-0.0689093389542497</v>
      </c>
      <c r="H1174" s="15" t="n">
        <v>-0.24031542398458</v>
      </c>
    </row>
    <row r="1175">
      <c r="A1175" t="s">
        <v>30</v>
      </c>
      <c r="B1175" t="s">
        <v>518</v>
      </c>
      <c r="C1175" t="s">
        <v>520</v>
      </c>
      <c r="D1175" t="s">
        <v>1019</v>
      </c>
      <c r="E1175" s="13" t="n">
        <v>0.25</v>
      </c>
      <c r="F1175" s="16" t="n">
        <v>92</v>
      </c>
      <c r="G1175" s="14" t="n">
        <v>-0.249391012564956</v>
      </c>
      <c r="H1175" s="15" t="n">
        <v>-0.0174391184360313</v>
      </c>
    </row>
    <row r="1176">
      <c r="A1176" t="s">
        <v>31</v>
      </c>
      <c r="B1176" t="s">
        <v>521</v>
      </c>
      <c r="C1176" t="s">
        <v>522</v>
      </c>
      <c r="D1176" t="s">
        <v>1019</v>
      </c>
      <c r="E1176" s="13" t="n">
        <v>0.25</v>
      </c>
      <c r="F1176" s="16" t="n">
        <v>135</v>
      </c>
      <c r="G1176" s="14" t="n">
        <v>0</v>
      </c>
      <c r="H1176" s="15" t="n">
        <v>-0.25</v>
      </c>
    </row>
    <row r="1177">
      <c r="A1177" t="s">
        <v>31</v>
      </c>
      <c r="B1177" t="s">
        <v>521</v>
      </c>
      <c r="C1177" t="s">
        <v>523</v>
      </c>
      <c r="D1177" t="s">
        <v>1019</v>
      </c>
      <c r="E1177" s="13" t="n">
        <v>0.25</v>
      </c>
      <c r="F1177" s="16" t="n">
        <v>31</v>
      </c>
      <c r="G1177" s="14" t="n">
        <v>0.117367890696473</v>
      </c>
      <c r="H1177" s="15" t="n">
        <v>0.220736898214732</v>
      </c>
    </row>
    <row r="1178">
      <c r="A1178" t="s">
        <v>31</v>
      </c>
      <c r="B1178" t="s">
        <v>524</v>
      </c>
      <c r="C1178" t="s">
        <v>525</v>
      </c>
      <c r="D1178" t="s">
        <v>1019</v>
      </c>
      <c r="E1178" s="13" t="n">
        <v>0.25</v>
      </c>
      <c r="F1178" s="16" t="n">
        <v>110</v>
      </c>
      <c r="G1178" s="14" t="n">
        <v>-0.191511110779745</v>
      </c>
      <c r="H1178" s="15" t="n">
        <v>-0.160696902421635</v>
      </c>
    </row>
    <row r="1179">
      <c r="A1179" t="s">
        <v>31</v>
      </c>
      <c r="B1179" t="s">
        <v>524</v>
      </c>
      <c r="C1179" t="s">
        <v>526</v>
      </c>
      <c r="D1179" t="s">
        <v>1019</v>
      </c>
      <c r="E1179" s="13" t="n">
        <v>0.25</v>
      </c>
      <c r="F1179" s="16" t="n">
        <v>57</v>
      </c>
      <c r="G1179" s="14" t="n">
        <v>-0.10168416076895</v>
      </c>
      <c r="H1179" s="15" t="n">
        <v>0.22838636441065</v>
      </c>
    </row>
    <row r="1180">
      <c r="A1180" t="s">
        <v>31</v>
      </c>
      <c r="B1180" t="s">
        <v>527</v>
      </c>
      <c r="C1180" t="s">
        <v>528</v>
      </c>
      <c r="D1180" t="s">
        <v>1019</v>
      </c>
      <c r="E1180" s="13" t="n">
        <v>0.5</v>
      </c>
      <c r="F1180" s="16" t="n">
        <v>25</v>
      </c>
      <c r="G1180" s="14" t="n">
        <v>0.32139380484327</v>
      </c>
      <c r="H1180" s="15" t="n">
        <v>0.383022221559489</v>
      </c>
    </row>
    <row r="1181">
      <c r="A1181" t="s">
        <v>31</v>
      </c>
      <c r="B1181" t="s">
        <v>527</v>
      </c>
      <c r="C1181" t="s">
        <v>529</v>
      </c>
      <c r="D1181" t="s">
        <v>1019</v>
      </c>
      <c r="E1181" s="13" t="n">
        <v>0.25</v>
      </c>
      <c r="F1181" s="16" t="n">
        <v>40</v>
      </c>
      <c r="G1181" s="14" t="n">
        <v>0.0434120444167326</v>
      </c>
      <c r="H1181" s="15" t="n">
        <v>0.246201938253052</v>
      </c>
    </row>
    <row r="1182">
      <c r="A1182" t="s">
        <v>31</v>
      </c>
      <c r="B1182" t="s">
        <v>530</v>
      </c>
      <c r="C1182" t="s">
        <v>531</v>
      </c>
      <c r="D1182" t="s">
        <v>1019</v>
      </c>
      <c r="E1182" s="13" t="n">
        <v>0.25</v>
      </c>
      <c r="F1182" s="16" t="n">
        <v>71</v>
      </c>
      <c r="G1182" s="14" t="n">
        <v>-0.19700268840168</v>
      </c>
      <c r="H1182" s="15" t="n">
        <v>0.153915368831415</v>
      </c>
    </row>
    <row r="1183">
      <c r="A1183" t="s">
        <v>31</v>
      </c>
      <c r="B1183" t="s">
        <v>530</v>
      </c>
      <c r="C1183" t="s">
        <v>532</v>
      </c>
      <c r="D1183" t="s">
        <v>1019</v>
      </c>
      <c r="E1183" s="13" t="n">
        <v>0.25</v>
      </c>
      <c r="F1183" s="16" t="n">
        <v>122</v>
      </c>
      <c r="G1183" s="14" t="n">
        <v>-0.109592786697269</v>
      </c>
      <c r="H1183" s="15" t="n">
        <v>-0.224698511574792</v>
      </c>
    </row>
    <row r="1184">
      <c r="A1184" t="s">
        <v>31</v>
      </c>
      <c r="B1184" t="s">
        <v>533</v>
      </c>
      <c r="C1184" t="s">
        <v>534</v>
      </c>
      <c r="D1184" t="s">
        <v>1019</v>
      </c>
      <c r="E1184" s="13" t="n">
        <v>0</v>
      </c>
      <c r="F1184" s="16" t="n">
        <v>144</v>
      </c>
      <c r="G1184" s="14" t="n">
        <v>0</v>
      </c>
      <c r="H1184" s="15" t="n">
        <v>0</v>
      </c>
    </row>
    <row r="1185">
      <c r="A1185" t="s">
        <v>31</v>
      </c>
      <c r="B1185" t="s">
        <v>535</v>
      </c>
      <c r="C1185" t="s">
        <v>536</v>
      </c>
      <c r="D1185" t="s">
        <v>1019</v>
      </c>
      <c r="E1185" s="13" t="n">
        <v>0.25</v>
      </c>
      <c r="F1185" s="16" t="n">
        <v>129</v>
      </c>
      <c r="G1185" s="14" t="n">
        <v>-0.0519779227044399</v>
      </c>
      <c r="H1185" s="15" t="n">
        <v>-0.244536900183451</v>
      </c>
    </row>
    <row r="1186">
      <c r="A1186" t="s">
        <v>31</v>
      </c>
      <c r="B1186" t="s">
        <v>535</v>
      </c>
      <c r="C1186" t="s">
        <v>537</v>
      </c>
      <c r="D1186" t="s">
        <v>1019</v>
      </c>
      <c r="E1186" s="13" t="n">
        <v>0.25</v>
      </c>
      <c r="F1186" s="16" t="n">
        <v>72</v>
      </c>
      <c r="G1186" s="14" t="n">
        <v>-0.202254248593737</v>
      </c>
      <c r="H1186" s="15" t="n">
        <v>0.146946313073118</v>
      </c>
    </row>
    <row r="1187">
      <c r="A1187" t="s">
        <v>30</v>
      </c>
      <c r="B1187" t="s">
        <v>538</v>
      </c>
      <c r="C1187" t="s">
        <v>539</v>
      </c>
      <c r="D1187" t="s">
        <v>1019</v>
      </c>
      <c r="E1187" s="13" t="n">
        <v>0.5</v>
      </c>
      <c r="F1187" s="16" t="n">
        <v>36</v>
      </c>
      <c r="G1187" s="14" t="n">
        <v>0.154508497187474</v>
      </c>
      <c r="H1187" s="15" t="n">
        <v>0.475528258147577</v>
      </c>
    </row>
    <row r="1188">
      <c r="A1188" t="s">
        <v>30</v>
      </c>
      <c r="B1188" t="s">
        <v>538</v>
      </c>
      <c r="C1188" t="s">
        <v>540</v>
      </c>
      <c r="D1188" t="s">
        <v>1019</v>
      </c>
      <c r="E1188" s="13" t="n">
        <v>0.25</v>
      </c>
      <c r="F1188" s="16" t="n">
        <v>125</v>
      </c>
      <c r="G1188" s="14" t="n">
        <v>-0.0855050358314173</v>
      </c>
      <c r="H1188" s="15" t="n">
        <v>-0.234923155196477</v>
      </c>
    </row>
    <row r="1189">
      <c r="A1189" t="s">
        <v>30</v>
      </c>
      <c r="B1189" t="s">
        <v>541</v>
      </c>
      <c r="C1189" t="s">
        <v>542</v>
      </c>
      <c r="D1189" t="s">
        <v>1019</v>
      </c>
      <c r="E1189" s="13" t="n">
        <v>0.25</v>
      </c>
      <c r="F1189" s="16" t="n">
        <v>54</v>
      </c>
      <c r="G1189" s="14" t="n">
        <v>-0.0772542485937368</v>
      </c>
      <c r="H1189" s="15" t="n">
        <v>0.237764129073788</v>
      </c>
    </row>
    <row r="1190">
      <c r="A1190" t="s">
        <v>30</v>
      </c>
      <c r="B1190" t="s">
        <v>541</v>
      </c>
      <c r="C1190" t="s">
        <v>543</v>
      </c>
      <c r="D1190" t="s">
        <v>1019</v>
      </c>
      <c r="E1190" s="13" t="n">
        <v>0.25</v>
      </c>
      <c r="F1190" s="16" t="n">
        <v>109</v>
      </c>
      <c r="G1190" s="14" t="n">
        <v>-0.197002688401681</v>
      </c>
      <c r="H1190" s="15" t="n">
        <v>-0.153915368831415</v>
      </c>
    </row>
    <row r="1191">
      <c r="A1191" t="s">
        <v>31</v>
      </c>
      <c r="B1191" t="s">
        <v>544</v>
      </c>
      <c r="C1191" t="s">
        <v>545</v>
      </c>
      <c r="D1191" t="s">
        <v>1019</v>
      </c>
      <c r="E1191" s="13" t="n">
        <v>0.25</v>
      </c>
      <c r="F1191" s="16" t="n">
        <v>24</v>
      </c>
      <c r="G1191" s="14" t="n">
        <v>0.167282651589715</v>
      </c>
      <c r="H1191" s="15" t="n">
        <v>0.185786206369349</v>
      </c>
    </row>
    <row r="1192">
      <c r="A1192" t="s">
        <v>31</v>
      </c>
      <c r="B1192" t="s">
        <v>544</v>
      </c>
      <c r="C1192" t="s">
        <v>546</v>
      </c>
      <c r="D1192" t="s">
        <v>1019</v>
      </c>
      <c r="E1192" s="13" t="n">
        <v>0</v>
      </c>
      <c r="F1192" s="16" t="n">
        <v>90</v>
      </c>
      <c r="G1192" s="14" t="n">
        <v>0</v>
      </c>
      <c r="H1192" s="15" t="n">
        <v>0</v>
      </c>
    </row>
    <row r="1193">
      <c r="A1193" t="s">
        <v>30</v>
      </c>
      <c r="B1193" t="s">
        <v>547</v>
      </c>
      <c r="C1193" t="s">
        <v>548</v>
      </c>
      <c r="D1193" t="s">
        <v>1019</v>
      </c>
      <c r="E1193" s="13" t="n">
        <v>0.25</v>
      </c>
      <c r="F1193" s="16" t="n">
        <v>33</v>
      </c>
      <c r="G1193" s="14" t="n">
        <v>0.10168416076895</v>
      </c>
      <c r="H1193" s="15" t="n">
        <v>0.22838636441065</v>
      </c>
    </row>
    <row r="1194">
      <c r="A1194" t="s">
        <v>30</v>
      </c>
      <c r="B1194" t="s">
        <v>547</v>
      </c>
      <c r="C1194" t="s">
        <v>549</v>
      </c>
      <c r="D1194" t="s">
        <v>1019</v>
      </c>
      <c r="E1194" s="13" t="n">
        <v>0.25</v>
      </c>
      <c r="F1194" s="16" t="n">
        <v>151</v>
      </c>
      <c r="G1194" s="14" t="n">
        <v>0.132479816058301</v>
      </c>
      <c r="H1194" s="15" t="n">
        <v>-0.212012024039106</v>
      </c>
    </row>
    <row r="1195">
      <c r="A1195" t="s">
        <v>31</v>
      </c>
      <c r="B1195" t="s">
        <v>550</v>
      </c>
      <c r="C1195" t="s">
        <v>551</v>
      </c>
      <c r="D1195" t="s">
        <v>1019</v>
      </c>
      <c r="E1195" s="13" t="n">
        <v>0.25</v>
      </c>
      <c r="F1195" s="16" t="n">
        <v>126</v>
      </c>
      <c r="G1195" s="14" t="n">
        <v>-0.0772542485937369</v>
      </c>
      <c r="H1195" s="15" t="n">
        <v>-0.237764129073788</v>
      </c>
    </row>
    <row r="1196">
      <c r="A1196" t="s">
        <v>31</v>
      </c>
      <c r="B1196" t="s">
        <v>552</v>
      </c>
      <c r="C1196" t="s">
        <v>553</v>
      </c>
      <c r="D1196" t="s">
        <v>1019</v>
      </c>
      <c r="E1196" s="13" t="n">
        <v>0</v>
      </c>
      <c r="F1196" s="16" t="n">
        <v>8</v>
      </c>
      <c r="G1196" s="14" t="n">
        <v>0</v>
      </c>
      <c r="H1196" s="15" t="n">
        <v>0</v>
      </c>
    </row>
    <row r="1197">
      <c r="A1197" t="s">
        <v>30</v>
      </c>
      <c r="B1197" t="s">
        <v>554</v>
      </c>
      <c r="C1197" t="s">
        <v>555</v>
      </c>
      <c r="D1197" t="s">
        <v>1019</v>
      </c>
      <c r="E1197" s="13" t="n">
        <v>0.25</v>
      </c>
      <c r="F1197" s="16" t="n">
        <v>71</v>
      </c>
      <c r="G1197" s="14" t="n">
        <v>-0.19700268840168</v>
      </c>
      <c r="H1197" s="15" t="n">
        <v>0.153915368831415</v>
      </c>
    </row>
    <row r="1198">
      <c r="A1198" t="s">
        <v>30</v>
      </c>
      <c r="B1198" t="s">
        <v>554</v>
      </c>
      <c r="C1198" t="s">
        <v>556</v>
      </c>
      <c r="D1198" t="s">
        <v>1019</v>
      </c>
      <c r="E1198" s="13" t="n">
        <v>0</v>
      </c>
      <c r="F1198" s="16" t="n">
        <v>52</v>
      </c>
      <c r="G1198" s="14" t="n">
        <v>0</v>
      </c>
      <c r="H1198" s="15" t="n">
        <v>0</v>
      </c>
    </row>
    <row r="1199">
      <c r="A1199" t="s">
        <v>30</v>
      </c>
      <c r="B1199" t="s">
        <v>557</v>
      </c>
      <c r="C1199" t="s">
        <v>558</v>
      </c>
      <c r="D1199" t="s">
        <v>1019</v>
      </c>
      <c r="E1199" s="13" t="n">
        <v>0.5</v>
      </c>
      <c r="F1199" s="16" t="n">
        <v>32</v>
      </c>
      <c r="G1199" s="14" t="n">
        <v>0.219185573394539</v>
      </c>
      <c r="H1199" s="15" t="n">
        <v>0.449397023149584</v>
      </c>
    </row>
    <row r="1200">
      <c r="A1200" t="s">
        <v>30</v>
      </c>
      <c r="B1200" t="s">
        <v>557</v>
      </c>
      <c r="C1200" t="s">
        <v>559</v>
      </c>
      <c r="D1200" t="s">
        <v>1019</v>
      </c>
      <c r="E1200" s="13" t="n">
        <v>0.25</v>
      </c>
      <c r="F1200" s="16" t="n">
        <v>142</v>
      </c>
      <c r="G1200" s="14" t="n">
        <v>0.0604804738999169</v>
      </c>
      <c r="H1200" s="15" t="n">
        <v>-0.242573931568999</v>
      </c>
    </row>
    <row r="1201">
      <c r="A1201" t="s">
        <v>30</v>
      </c>
      <c r="B1201" t="s">
        <v>560</v>
      </c>
      <c r="C1201" t="s">
        <v>561</v>
      </c>
      <c r="D1201" t="s">
        <v>1019</v>
      </c>
      <c r="E1201" s="13" t="n">
        <v>0.25</v>
      </c>
      <c r="F1201" s="16" t="n">
        <v>106</v>
      </c>
      <c r="G1201" s="14" t="n">
        <v>-0.212012024039107</v>
      </c>
      <c r="H1201" s="15" t="n">
        <v>-0.132479816058301</v>
      </c>
    </row>
    <row r="1202">
      <c r="A1202" t="s">
        <v>31</v>
      </c>
      <c r="B1202" t="s">
        <v>562</v>
      </c>
      <c r="C1202" t="s">
        <v>563</v>
      </c>
      <c r="D1202" t="s">
        <v>1019</v>
      </c>
      <c r="E1202" s="13" t="n">
        <v>0.25</v>
      </c>
      <c r="F1202" s="16" t="n">
        <v>97</v>
      </c>
      <c r="G1202" s="14" t="n">
        <v>-0.242573931568999</v>
      </c>
      <c r="H1202" s="15" t="n">
        <v>-0.0604804738999169</v>
      </c>
    </row>
    <row r="1203">
      <c r="A1203" t="s">
        <v>30</v>
      </c>
      <c r="B1203" t="s">
        <v>564</v>
      </c>
      <c r="C1203" t="s">
        <v>565</v>
      </c>
      <c r="D1203" t="s">
        <v>1019</v>
      </c>
      <c r="E1203" s="13" t="n">
        <v>0.25</v>
      </c>
      <c r="F1203" s="16" t="n">
        <v>51</v>
      </c>
      <c r="G1203" s="14" t="n">
        <v>-0.0519779227044398</v>
      </c>
      <c r="H1203" s="15" t="n">
        <v>0.244536900183451</v>
      </c>
    </row>
    <row r="1204">
      <c r="A1204" t="s">
        <v>30</v>
      </c>
      <c r="B1204" t="s">
        <v>564</v>
      </c>
      <c r="C1204" t="s">
        <v>566</v>
      </c>
      <c r="D1204" t="s">
        <v>1019</v>
      </c>
      <c r="E1204" s="13" t="n">
        <v>0</v>
      </c>
      <c r="F1204" s="16" t="n">
        <v>45</v>
      </c>
      <c r="G1204" s="14" t="n">
        <v>0</v>
      </c>
      <c r="H1204" s="15" t="n">
        <v>0</v>
      </c>
    </row>
    <row r="1205">
      <c r="A1205" t="s">
        <v>31</v>
      </c>
      <c r="B1205" t="s">
        <v>567</v>
      </c>
      <c r="C1205" t="s">
        <v>568</v>
      </c>
      <c r="D1205" t="s">
        <v>1019</v>
      </c>
      <c r="E1205" s="13" t="n">
        <v>0</v>
      </c>
      <c r="F1205" s="16" t="n">
        <v>125</v>
      </c>
      <c r="G1205" s="14" t="n">
        <v>0</v>
      </c>
      <c r="H1205" s="15" t="n">
        <v>0</v>
      </c>
    </row>
    <row r="1206">
      <c r="A1206" t="s">
        <v>31</v>
      </c>
      <c r="B1206" t="s">
        <v>567</v>
      </c>
      <c r="C1206" t="s">
        <v>569</v>
      </c>
      <c r="D1206" t="s">
        <v>1019</v>
      </c>
      <c r="E1206" s="13" t="n">
        <v>0.25</v>
      </c>
      <c r="F1206" s="16" t="n">
        <v>80</v>
      </c>
      <c r="G1206" s="14" t="n">
        <v>-0.234923155196477</v>
      </c>
      <c r="H1206" s="15" t="n">
        <v>0.0855050358314172</v>
      </c>
    </row>
    <row r="1207">
      <c r="A1207" t="s">
        <v>31</v>
      </c>
      <c r="B1207" t="s">
        <v>570</v>
      </c>
      <c r="C1207" t="s">
        <v>571</v>
      </c>
      <c r="D1207" t="s">
        <v>1019</v>
      </c>
      <c r="E1207" s="13" t="n">
        <v>0.25</v>
      </c>
      <c r="F1207" s="16" t="n">
        <v>50</v>
      </c>
      <c r="G1207" s="14" t="n">
        <v>-0.0434120444167326</v>
      </c>
      <c r="H1207" s="15" t="n">
        <v>0.246201938253052</v>
      </c>
    </row>
    <row r="1208">
      <c r="A1208" t="s">
        <v>31</v>
      </c>
      <c r="B1208" t="s">
        <v>570</v>
      </c>
      <c r="C1208" t="s">
        <v>572</v>
      </c>
      <c r="D1208" t="s">
        <v>1019</v>
      </c>
      <c r="E1208" s="13" t="n">
        <v>0.25</v>
      </c>
      <c r="F1208" s="16" t="n">
        <v>148</v>
      </c>
      <c r="G1208" s="14" t="n">
        <v>0.109592786697269</v>
      </c>
      <c r="H1208" s="15" t="n">
        <v>-0.224698511574792</v>
      </c>
    </row>
    <row r="1209">
      <c r="A1209" t="s">
        <v>30</v>
      </c>
      <c r="B1209" t="s">
        <v>573</v>
      </c>
      <c r="C1209" t="s">
        <v>574</v>
      </c>
      <c r="D1209" t="s">
        <v>1019</v>
      </c>
      <c r="E1209" s="13" t="n">
        <v>0.5</v>
      </c>
      <c r="F1209" s="16" t="n">
        <v>37</v>
      </c>
      <c r="G1209" s="14" t="n">
        <v>0.1378186779085</v>
      </c>
      <c r="H1209" s="15" t="n">
        <v>0.480630847969159</v>
      </c>
    </row>
    <row r="1210">
      <c r="A1210" t="s">
        <v>30</v>
      </c>
      <c r="B1210" t="s">
        <v>573</v>
      </c>
      <c r="C1210" t="s">
        <v>575</v>
      </c>
      <c r="D1210" t="s">
        <v>1019</v>
      </c>
      <c r="E1210" s="13" t="n">
        <v>0.25</v>
      </c>
      <c r="F1210" s="16" t="n">
        <v>161</v>
      </c>
      <c r="G1210" s="14" t="n">
        <v>0.197002688401681</v>
      </c>
      <c r="H1210" s="15" t="n">
        <v>-0.153915368831415</v>
      </c>
    </row>
    <row r="1211">
      <c r="A1211" t="s">
        <v>30</v>
      </c>
      <c r="B1211" t="s">
        <v>576</v>
      </c>
      <c r="C1211" t="s">
        <v>577</v>
      </c>
      <c r="D1211" t="s">
        <v>1019</v>
      </c>
      <c r="E1211" s="13" t="n">
        <v>0.25</v>
      </c>
      <c r="F1211" s="16" t="n">
        <v>121</v>
      </c>
      <c r="G1211" s="14" t="n">
        <v>-0.117367890696473</v>
      </c>
      <c r="H1211" s="15" t="n">
        <v>-0.220736898214732</v>
      </c>
    </row>
    <row r="1212">
      <c r="A1212" t="s">
        <v>30</v>
      </c>
      <c r="B1212" t="s">
        <v>576</v>
      </c>
      <c r="C1212" t="s">
        <v>578</v>
      </c>
      <c r="D1212" t="s">
        <v>1019</v>
      </c>
      <c r="E1212" s="13" t="n">
        <v>0.25</v>
      </c>
      <c r="F1212" s="16" t="n">
        <v>37</v>
      </c>
      <c r="G1212" s="14" t="n">
        <v>0.0689093389542498</v>
      </c>
      <c r="H1212" s="15" t="n">
        <v>0.24031542398458</v>
      </c>
    </row>
    <row r="1213">
      <c r="A1213" t="s">
        <v>31</v>
      </c>
      <c r="B1213" t="s">
        <v>579</v>
      </c>
      <c r="C1213" t="s">
        <v>580</v>
      </c>
      <c r="D1213" t="s">
        <v>1019</v>
      </c>
      <c r="E1213" s="13" t="n">
        <v>0.25</v>
      </c>
      <c r="F1213" s="16" t="n">
        <v>61</v>
      </c>
      <c r="G1213" s="14" t="n">
        <v>-0.132479816058301</v>
      </c>
      <c r="H1213" s="15" t="n">
        <v>0.212012024039107</v>
      </c>
    </row>
    <row r="1214">
      <c r="A1214" t="s">
        <v>31</v>
      </c>
      <c r="B1214" t="s">
        <v>579</v>
      </c>
      <c r="C1214" t="s">
        <v>581</v>
      </c>
      <c r="D1214" t="s">
        <v>1019</v>
      </c>
      <c r="E1214" s="13" t="n">
        <v>0.25</v>
      </c>
      <c r="F1214" s="16" t="n">
        <v>121</v>
      </c>
      <c r="G1214" s="14" t="n">
        <v>-0.117367890696473</v>
      </c>
      <c r="H1214" s="15" t="n">
        <v>-0.220736898214732</v>
      </c>
    </row>
    <row r="1215">
      <c r="A1215" t="s">
        <v>30</v>
      </c>
      <c r="B1215" t="s">
        <v>582</v>
      </c>
      <c r="C1215" t="s">
        <v>583</v>
      </c>
      <c r="D1215" t="s">
        <v>1019</v>
      </c>
      <c r="E1215" s="13" t="n">
        <v>0.5</v>
      </c>
      <c r="F1215" s="16" t="n">
        <v>40</v>
      </c>
      <c r="G1215" s="14" t="n">
        <v>0.0868240888334652</v>
      </c>
      <c r="H1215" s="15" t="n">
        <v>0.492403876506104</v>
      </c>
    </row>
    <row r="1216">
      <c r="A1216" t="s">
        <v>31</v>
      </c>
      <c r="B1216" t="s">
        <v>584</v>
      </c>
      <c r="C1216" t="s">
        <v>585</v>
      </c>
      <c r="D1216" t="s">
        <v>1019</v>
      </c>
      <c r="E1216" s="13" t="n">
        <v>0</v>
      </c>
      <c r="F1216" s="16" t="n">
        <v>129</v>
      </c>
      <c r="G1216" s="14" t="n">
        <v>0</v>
      </c>
      <c r="H1216" s="15" t="n">
        <v>0</v>
      </c>
    </row>
    <row r="1217">
      <c r="A1217" t="s">
        <v>31</v>
      </c>
      <c r="B1217" t="s">
        <v>586</v>
      </c>
      <c r="C1217" t="s">
        <v>587</v>
      </c>
      <c r="D1217" t="s">
        <v>1019</v>
      </c>
      <c r="E1217" s="13" t="n">
        <v>0.25</v>
      </c>
      <c r="F1217" s="16" t="n">
        <v>144</v>
      </c>
      <c r="G1217" s="14" t="n">
        <v>0.0772542485937368</v>
      </c>
      <c r="H1217" s="15" t="n">
        <v>-0.237764129073788</v>
      </c>
    </row>
    <row r="1218">
      <c r="A1218" t="s">
        <v>31</v>
      </c>
      <c r="B1218" t="s">
        <v>586</v>
      </c>
      <c r="C1218" t="s">
        <v>588</v>
      </c>
      <c r="D1218" t="s">
        <v>1019</v>
      </c>
      <c r="E1218" s="13" t="n">
        <v>0.25</v>
      </c>
      <c r="F1218" s="16" t="n">
        <v>47</v>
      </c>
      <c r="G1218" s="14" t="n">
        <v>-0.0174391184360313</v>
      </c>
      <c r="H1218" s="15" t="n">
        <v>0.249391012564956</v>
      </c>
    </row>
    <row r="1219">
      <c r="A1219" t="s">
        <v>31</v>
      </c>
      <c r="B1219" t="s">
        <v>589</v>
      </c>
      <c r="C1219" t="s">
        <v>590</v>
      </c>
      <c r="D1219" t="s">
        <v>1019</v>
      </c>
      <c r="E1219" s="13" t="n">
        <v>0.25</v>
      </c>
      <c r="F1219" s="16" t="n">
        <v>106</v>
      </c>
      <c r="G1219" s="14" t="n">
        <v>-0.212012024039107</v>
      </c>
      <c r="H1219" s="15" t="n">
        <v>-0.132479816058301</v>
      </c>
    </row>
    <row r="1220">
      <c r="A1220" t="s">
        <v>31</v>
      </c>
      <c r="B1220" t="s">
        <v>589</v>
      </c>
      <c r="C1220" t="s">
        <v>591</v>
      </c>
      <c r="D1220" t="s">
        <v>1019</v>
      </c>
      <c r="E1220" s="13" t="n">
        <v>0</v>
      </c>
      <c r="F1220" s="16" t="n">
        <v>7</v>
      </c>
      <c r="G1220" s="14" t="n">
        <v>0</v>
      </c>
      <c r="H1220" s="15" t="n">
        <v>0</v>
      </c>
    </row>
    <row r="1221">
      <c r="A1221" t="s">
        <v>30</v>
      </c>
      <c r="B1221" t="s">
        <v>592</v>
      </c>
      <c r="C1221" t="s">
        <v>593</v>
      </c>
      <c r="D1221" t="s">
        <v>1019</v>
      </c>
      <c r="E1221" s="13" t="n">
        <v>0.25</v>
      </c>
      <c r="F1221" s="16" t="n">
        <v>167</v>
      </c>
      <c r="G1221" s="14" t="n">
        <v>0.224698511574792</v>
      </c>
      <c r="H1221" s="15" t="n">
        <v>-0.109592786697269</v>
      </c>
    </row>
    <row r="1222">
      <c r="A1222" t="s">
        <v>30</v>
      </c>
      <c r="B1222" t="s">
        <v>592</v>
      </c>
      <c r="C1222" t="s">
        <v>594</v>
      </c>
      <c r="D1222" t="s">
        <v>1019</v>
      </c>
      <c r="E1222" s="13" t="n">
        <v>0.25</v>
      </c>
      <c r="F1222" s="16" t="n">
        <v>174</v>
      </c>
      <c r="G1222" s="14" t="n">
        <v>0.244536900183451</v>
      </c>
      <c r="H1222" s="15" t="n">
        <v>-0.0519779227044398</v>
      </c>
    </row>
    <row r="1223">
      <c r="A1223" t="s">
        <v>30</v>
      </c>
      <c r="B1223" t="s">
        <v>595</v>
      </c>
      <c r="C1223" t="s">
        <v>596</v>
      </c>
      <c r="D1223" t="s">
        <v>1019</v>
      </c>
      <c r="E1223" s="13" t="n">
        <v>1</v>
      </c>
      <c r="F1223" s="16" t="n">
        <v>93</v>
      </c>
      <c r="G1223" s="14" t="n">
        <v>-0.994521895368273</v>
      </c>
      <c r="H1223" s="15" t="n">
        <v>-0.104528463267654</v>
      </c>
    </row>
    <row r="1224">
      <c r="A1224" t="s">
        <v>30</v>
      </c>
      <c r="B1224" t="s">
        <v>595</v>
      </c>
      <c r="C1224" t="s">
        <v>597</v>
      </c>
      <c r="D1224" t="s">
        <v>1019</v>
      </c>
      <c r="E1224" s="13" t="n">
        <v>0.75</v>
      </c>
      <c r="F1224" s="16" t="n">
        <v>76</v>
      </c>
      <c r="G1224" s="14" t="n">
        <v>-0.662210694644195</v>
      </c>
      <c r="H1224" s="15" t="n">
        <v>0.352103672089418</v>
      </c>
    </row>
    <row r="1225">
      <c r="A1225" t="s">
        <v>31</v>
      </c>
      <c r="B1225" t="s">
        <v>598</v>
      </c>
      <c r="C1225" t="s">
        <v>599</v>
      </c>
      <c r="D1225" t="s">
        <v>1019</v>
      </c>
      <c r="E1225" s="13" t="n">
        <v>0.25</v>
      </c>
      <c r="F1225" s="16" t="n">
        <v>65</v>
      </c>
      <c r="G1225" s="14" t="n">
        <v>-0.160696902421635</v>
      </c>
      <c r="H1225" s="15" t="n">
        <v>0.191511110779745</v>
      </c>
    </row>
    <row r="1226">
      <c r="A1226" t="s">
        <v>31</v>
      </c>
      <c r="B1226" t="s">
        <v>598</v>
      </c>
      <c r="C1226" t="s">
        <v>600</v>
      </c>
      <c r="D1226" t="s">
        <v>1019</v>
      </c>
      <c r="E1226" s="13" t="n">
        <v>0.25</v>
      </c>
      <c r="F1226" s="16" t="n">
        <v>120</v>
      </c>
      <c r="G1226" s="14" t="n">
        <v>-0.125</v>
      </c>
      <c r="H1226" s="15" t="n">
        <v>-0.21650635094611</v>
      </c>
    </row>
    <row r="1227">
      <c r="A1227" t="s">
        <v>30</v>
      </c>
      <c r="B1227" t="s">
        <v>601</v>
      </c>
      <c r="C1227" t="s">
        <v>602</v>
      </c>
      <c r="D1227" t="s">
        <v>1019</v>
      </c>
      <c r="E1227" s="13" t="n">
        <v>0.25</v>
      </c>
      <c r="F1227" s="16" t="n">
        <v>120</v>
      </c>
      <c r="G1227" s="14" t="n">
        <v>-0.125</v>
      </c>
      <c r="H1227" s="15" t="n">
        <v>-0.21650635094611</v>
      </c>
    </row>
    <row r="1228">
      <c r="A1228" t="s">
        <v>30</v>
      </c>
      <c r="B1228" t="s">
        <v>601</v>
      </c>
      <c r="C1228" t="s">
        <v>603</v>
      </c>
      <c r="D1228" t="s">
        <v>1019</v>
      </c>
      <c r="E1228" s="13" t="n">
        <v>0.25</v>
      </c>
      <c r="F1228" s="16" t="n">
        <v>53</v>
      </c>
      <c r="G1228" s="14" t="n">
        <v>-0.0689093389542498</v>
      </c>
      <c r="H1228" s="15" t="n">
        <v>0.24031542398458</v>
      </c>
    </row>
    <row r="1229">
      <c r="A1229" t="s">
        <v>31</v>
      </c>
      <c r="B1229" t="s">
        <v>604</v>
      </c>
      <c r="C1229" t="s">
        <v>605</v>
      </c>
      <c r="D1229" t="s">
        <v>1019</v>
      </c>
      <c r="E1229" s="13" t="n">
        <v>0.25</v>
      </c>
      <c r="F1229" s="16" t="n">
        <v>39</v>
      </c>
      <c r="G1229" s="14" t="n">
        <v>0.0519779227044398</v>
      </c>
      <c r="H1229" s="15" t="n">
        <v>0.244536900183451</v>
      </c>
    </row>
    <row r="1230">
      <c r="A1230" t="s">
        <v>31</v>
      </c>
      <c r="B1230" t="s">
        <v>604</v>
      </c>
      <c r="C1230" t="s">
        <v>606</v>
      </c>
      <c r="D1230" t="s">
        <v>1019</v>
      </c>
      <c r="E1230" s="13" t="n">
        <v>0</v>
      </c>
      <c r="F1230" s="16" t="n">
        <v>106</v>
      </c>
      <c r="G1230" s="14" t="n">
        <v>0</v>
      </c>
      <c r="H1230" s="15" t="n">
        <v>0</v>
      </c>
    </row>
    <row r="1231">
      <c r="A1231" t="s">
        <v>30</v>
      </c>
      <c r="B1231" t="s">
        <v>607</v>
      </c>
      <c r="C1231" t="s">
        <v>608</v>
      </c>
      <c r="D1231" t="s">
        <v>1019</v>
      </c>
      <c r="E1231" s="13" t="n">
        <v>0</v>
      </c>
      <c r="F1231" s="16" t="n">
        <v>82</v>
      </c>
      <c r="G1231" s="14" t="n">
        <v>0</v>
      </c>
      <c r="H1231" s="15" t="n">
        <v>0</v>
      </c>
    </row>
    <row r="1232">
      <c r="A1232" t="s">
        <v>30</v>
      </c>
      <c r="B1232" t="s">
        <v>609</v>
      </c>
      <c r="C1232" t="s">
        <v>610</v>
      </c>
      <c r="D1232" t="s">
        <v>1019</v>
      </c>
      <c r="E1232" s="13" t="n">
        <v>0</v>
      </c>
      <c r="F1232" s="16" t="n">
        <v>166</v>
      </c>
      <c r="G1232" s="14" t="n">
        <v>0</v>
      </c>
      <c r="H1232" s="15" t="n">
        <v>0</v>
      </c>
    </row>
    <row r="1233">
      <c r="A1233" t="s">
        <v>30</v>
      </c>
      <c r="B1233" t="s">
        <v>609</v>
      </c>
      <c r="C1233" t="s">
        <v>611</v>
      </c>
      <c r="D1233" t="s">
        <v>1019</v>
      </c>
      <c r="E1233" s="13" t="n">
        <v>0</v>
      </c>
      <c r="F1233" s="16" t="n">
        <v>6</v>
      </c>
      <c r="G1233" s="14" t="n">
        <v>0</v>
      </c>
      <c r="H1233" s="15" t="n">
        <v>0</v>
      </c>
    </row>
    <row r="1234">
      <c r="A1234" t="s">
        <v>30</v>
      </c>
      <c r="B1234" t="s">
        <v>612</v>
      </c>
      <c r="C1234" t="s">
        <v>613</v>
      </c>
      <c r="D1234" t="s">
        <v>1019</v>
      </c>
      <c r="E1234" s="13" t="n">
        <v>0</v>
      </c>
      <c r="F1234" s="16" t="n">
        <v>166</v>
      </c>
      <c r="G1234" s="14" t="n">
        <v>0</v>
      </c>
      <c r="H1234" s="15" t="n">
        <v>0</v>
      </c>
    </row>
    <row r="1235">
      <c r="A1235" t="s">
        <v>30</v>
      </c>
      <c r="B1235" t="s">
        <v>612</v>
      </c>
      <c r="C1235" t="s">
        <v>614</v>
      </c>
      <c r="D1235" t="s">
        <v>1019</v>
      </c>
      <c r="E1235" s="13" t="n">
        <v>0.25</v>
      </c>
      <c r="F1235" s="16" t="n">
        <v>90</v>
      </c>
      <c r="G1235" s="14" t="n">
        <v>-0.25</v>
      </c>
      <c r="H1235" s="15" t="n">
        <v>0</v>
      </c>
    </row>
    <row r="1236">
      <c r="A1236" t="s">
        <v>30</v>
      </c>
      <c r="B1236" t="s">
        <v>615</v>
      </c>
      <c r="C1236" t="s">
        <v>616</v>
      </c>
      <c r="D1236" t="s">
        <v>1019</v>
      </c>
      <c r="E1236" s="13" t="n">
        <v>0.75</v>
      </c>
      <c r="F1236" s="16" t="n">
        <v>132</v>
      </c>
      <c r="G1236" s="14" t="n">
        <v>-0.0783963474507407</v>
      </c>
      <c r="H1236" s="15" t="n">
        <v>-0.745891421526205</v>
      </c>
    </row>
    <row r="1237">
      <c r="A1237" t="s">
        <v>30</v>
      </c>
      <c r="B1237" t="s">
        <v>617</v>
      </c>
      <c r="C1237" t="s">
        <v>618</v>
      </c>
      <c r="D1237" t="s">
        <v>1019</v>
      </c>
      <c r="E1237" s="13" t="n">
        <v>0.25</v>
      </c>
      <c r="F1237" s="16" t="n">
        <v>167</v>
      </c>
      <c r="G1237" s="14" t="n">
        <v>0.224698511574792</v>
      </c>
      <c r="H1237" s="15" t="n">
        <v>-0.109592786697269</v>
      </c>
    </row>
    <row r="1238">
      <c r="A1238" t="s">
        <v>30</v>
      </c>
      <c r="B1238" t="s">
        <v>617</v>
      </c>
      <c r="C1238" t="s">
        <v>619</v>
      </c>
      <c r="D1238" t="s">
        <v>1019</v>
      </c>
      <c r="E1238" s="13" t="n">
        <v>0.25</v>
      </c>
      <c r="F1238" s="16" t="n">
        <v>2</v>
      </c>
      <c r="G1238" s="14" t="n">
        <v>0.249391012564956</v>
      </c>
      <c r="H1238" s="15" t="n">
        <v>0.0174391184360313</v>
      </c>
    </row>
    <row r="1239">
      <c r="A1239" t="s">
        <v>30</v>
      </c>
      <c r="B1239" t="s">
        <v>620</v>
      </c>
      <c r="C1239" t="s">
        <v>621</v>
      </c>
      <c r="D1239" t="s">
        <v>1019</v>
      </c>
      <c r="E1239" s="13" t="n">
        <v>0</v>
      </c>
      <c r="F1239" s="16" t="n">
        <v>130</v>
      </c>
      <c r="G1239" s="14" t="n">
        <v>0</v>
      </c>
      <c r="H1239" s="15" t="n">
        <v>0</v>
      </c>
    </row>
    <row r="1240">
      <c r="A1240" t="s">
        <v>30</v>
      </c>
      <c r="B1240" t="s">
        <v>620</v>
      </c>
      <c r="C1240" t="s">
        <v>622</v>
      </c>
      <c r="D1240" t="s">
        <v>1019</v>
      </c>
      <c r="E1240" s="13" t="n">
        <v>0.5</v>
      </c>
      <c r="F1240" s="16" t="n">
        <v>127</v>
      </c>
      <c r="G1240" s="14" t="n">
        <v>-0.137818677908499</v>
      </c>
      <c r="H1240" s="15" t="n">
        <v>-0.48063084796916</v>
      </c>
    </row>
    <row r="1241">
      <c r="A1241" t="s">
        <v>30</v>
      </c>
      <c r="B1241" t="s">
        <v>623</v>
      </c>
      <c r="C1241" t="s">
        <v>624</v>
      </c>
      <c r="D1241" t="s">
        <v>1019</v>
      </c>
      <c r="E1241" s="13" t="n">
        <v>0</v>
      </c>
      <c r="F1241" s="16" t="n">
        <v>71</v>
      </c>
      <c r="G1241" s="14" t="n">
        <v>0</v>
      </c>
      <c r="H1241" s="15" t="n">
        <v>0</v>
      </c>
    </row>
    <row r="1242">
      <c r="A1242" t="s">
        <v>30</v>
      </c>
      <c r="B1242" t="s">
        <v>625</v>
      </c>
      <c r="C1242" t="s">
        <v>626</v>
      </c>
      <c r="D1242" t="s">
        <v>1019</v>
      </c>
      <c r="E1242" s="13" t="n">
        <v>0.25</v>
      </c>
      <c r="F1242" s="16" t="n">
        <v>114</v>
      </c>
      <c r="G1242" s="14" t="n">
        <v>-0.167282651589715</v>
      </c>
      <c r="H1242" s="15" t="n">
        <v>-0.185786206369349</v>
      </c>
    </row>
    <row r="1243">
      <c r="A1243" t="s">
        <v>30</v>
      </c>
      <c r="B1243" t="s">
        <v>625</v>
      </c>
      <c r="C1243" t="s">
        <v>627</v>
      </c>
      <c r="D1243" t="s">
        <v>1019</v>
      </c>
      <c r="E1243" s="13" t="n">
        <v>0.25</v>
      </c>
      <c r="F1243" s="16" t="n">
        <v>111</v>
      </c>
      <c r="G1243" s="14" t="n">
        <v>-0.185786206369349</v>
      </c>
      <c r="H1243" s="15" t="n">
        <v>-0.167282651589715</v>
      </c>
    </row>
    <row r="1244">
      <c r="A1244" t="s">
        <v>30</v>
      </c>
      <c r="B1244" t="s">
        <v>628</v>
      </c>
      <c r="C1244" t="s">
        <v>629</v>
      </c>
      <c r="D1244" t="s">
        <v>1019</v>
      </c>
      <c r="E1244" s="13" t="n">
        <v>0.25</v>
      </c>
      <c r="F1244" s="16" t="n">
        <v>2</v>
      </c>
      <c r="G1244" s="14" t="n">
        <v>0.249391012564956</v>
      </c>
      <c r="H1244" s="15" t="n">
        <v>0.0174391184360313</v>
      </c>
    </row>
    <row r="1245">
      <c r="A1245" t="s">
        <v>30</v>
      </c>
      <c r="B1245" t="s">
        <v>628</v>
      </c>
      <c r="C1245" t="s">
        <v>630</v>
      </c>
      <c r="D1245" t="s">
        <v>1019</v>
      </c>
      <c r="E1245" s="13" t="n">
        <v>0.25</v>
      </c>
      <c r="F1245" s="16" t="n">
        <v>170</v>
      </c>
      <c r="G1245" s="14" t="n">
        <v>0.234923155196477</v>
      </c>
      <c r="H1245" s="15" t="n">
        <v>-0.0855050358314172</v>
      </c>
    </row>
    <row r="1246">
      <c r="A1246" t="s">
        <v>31</v>
      </c>
      <c r="B1246" t="s">
        <v>631</v>
      </c>
      <c r="C1246" t="s">
        <v>632</v>
      </c>
      <c r="D1246" t="s">
        <v>1019</v>
      </c>
      <c r="E1246" s="13" t="n">
        <v>0.25</v>
      </c>
      <c r="F1246" s="16" t="n">
        <v>77</v>
      </c>
      <c r="G1246" s="14" t="n">
        <v>-0.224698511574792</v>
      </c>
      <c r="H1246" s="15" t="n">
        <v>0.109592786697269</v>
      </c>
    </row>
    <row r="1247">
      <c r="A1247" t="s">
        <v>31</v>
      </c>
      <c r="B1247" t="s">
        <v>633</v>
      </c>
      <c r="C1247" t="s">
        <v>634</v>
      </c>
      <c r="D1247" t="s">
        <v>1019</v>
      </c>
      <c r="E1247" s="13" t="n">
        <v>0.25</v>
      </c>
      <c r="F1247" s="16" t="n">
        <v>135</v>
      </c>
      <c r="G1247" s="14" t="n">
        <v>0</v>
      </c>
      <c r="H1247" s="15" t="n">
        <v>-0.25</v>
      </c>
    </row>
    <row r="1248">
      <c r="A1248" t="s">
        <v>31</v>
      </c>
      <c r="B1248" t="s">
        <v>635</v>
      </c>
      <c r="C1248" t="s">
        <v>636</v>
      </c>
      <c r="D1248" t="s">
        <v>1019</v>
      </c>
      <c r="E1248" s="13" t="n">
        <v>0.75</v>
      </c>
      <c r="F1248" s="16" t="n">
        <v>140</v>
      </c>
      <c r="G1248" s="14" t="n">
        <v>0.130236133250197</v>
      </c>
      <c r="H1248" s="15" t="n">
        <v>-0.738605814759156</v>
      </c>
    </row>
    <row r="1249">
      <c r="A1249" t="s">
        <v>30</v>
      </c>
      <c r="B1249" t="s">
        <v>637</v>
      </c>
      <c r="C1249" t="s">
        <v>638</v>
      </c>
      <c r="D1249" t="s">
        <v>1019</v>
      </c>
      <c r="E1249" s="13" t="n">
        <v>0.25</v>
      </c>
      <c r="F1249" s="16" t="n">
        <v>97</v>
      </c>
      <c r="G1249" s="14" t="n">
        <v>-0.242573931568999</v>
      </c>
      <c r="H1249" s="15" t="n">
        <v>-0.0604804738999169</v>
      </c>
    </row>
    <row r="1250">
      <c r="A1250" t="s">
        <v>30</v>
      </c>
      <c r="B1250" t="s">
        <v>637</v>
      </c>
      <c r="C1250" t="s">
        <v>639</v>
      </c>
      <c r="D1250" t="s">
        <v>1019</v>
      </c>
      <c r="E1250" s="13" t="n">
        <v>0.25</v>
      </c>
      <c r="F1250" s="16" t="n">
        <v>123</v>
      </c>
      <c r="G1250" s="14" t="n">
        <v>-0.10168416076895</v>
      </c>
      <c r="H1250" s="15" t="n">
        <v>-0.22838636441065</v>
      </c>
    </row>
    <row r="1251">
      <c r="A1251" t="s">
        <v>30</v>
      </c>
      <c r="B1251" t="s">
        <v>640</v>
      </c>
      <c r="C1251" t="s">
        <v>641</v>
      </c>
      <c r="D1251" t="s">
        <v>1019</v>
      </c>
      <c r="E1251" s="13" t="n">
        <v>0.25</v>
      </c>
      <c r="F1251" s="16" t="n">
        <v>36</v>
      </c>
      <c r="G1251" s="14" t="n">
        <v>0.0772542485937369</v>
      </c>
      <c r="H1251" s="15" t="n">
        <v>0.237764129073788</v>
      </c>
    </row>
    <row r="1252">
      <c r="A1252" t="s">
        <v>31</v>
      </c>
      <c r="B1252" t="s">
        <v>642</v>
      </c>
      <c r="C1252" t="s">
        <v>643</v>
      </c>
      <c r="D1252" t="s">
        <v>1019</v>
      </c>
      <c r="E1252" s="13" t="n">
        <v>0.5</v>
      </c>
      <c r="F1252" s="16" t="n">
        <v>18</v>
      </c>
      <c r="G1252" s="14" t="n">
        <v>0.404508497187474</v>
      </c>
      <c r="H1252" s="15" t="n">
        <v>0.293892626146237</v>
      </c>
    </row>
    <row r="1253">
      <c r="A1253" t="s">
        <v>31</v>
      </c>
      <c r="B1253" t="s">
        <v>642</v>
      </c>
      <c r="C1253" t="s">
        <v>644</v>
      </c>
      <c r="D1253" t="s">
        <v>1019</v>
      </c>
      <c r="E1253" s="13" t="n">
        <v>0.25</v>
      </c>
      <c r="F1253" s="16" t="n">
        <v>156</v>
      </c>
      <c r="G1253" s="14" t="n">
        <v>0.167282651589715</v>
      </c>
      <c r="H1253" s="15" t="n">
        <v>-0.185786206369349</v>
      </c>
    </row>
    <row r="1254">
      <c r="A1254" t="s">
        <v>30</v>
      </c>
      <c r="B1254" t="s">
        <v>645</v>
      </c>
      <c r="C1254" t="s">
        <v>646</v>
      </c>
      <c r="D1254" t="s">
        <v>1019</v>
      </c>
      <c r="E1254" s="13" t="n">
        <v>0.5</v>
      </c>
      <c r="F1254" s="16" t="n">
        <v>130</v>
      </c>
      <c r="G1254" s="14" t="n">
        <v>-0.0868240888334652</v>
      </c>
      <c r="H1254" s="15" t="n">
        <v>-0.492403876506104</v>
      </c>
    </row>
    <row r="1255">
      <c r="A1255" t="s">
        <v>30</v>
      </c>
      <c r="B1255" t="s">
        <v>647</v>
      </c>
      <c r="C1255" t="s">
        <v>648</v>
      </c>
      <c r="D1255" t="s">
        <v>1019</v>
      </c>
      <c r="E1255" s="13" t="n">
        <v>0.25</v>
      </c>
      <c r="F1255" s="16" t="n">
        <v>40</v>
      </c>
      <c r="G1255" s="14" t="n">
        <v>0.0434120444167326</v>
      </c>
      <c r="H1255" s="15" t="n">
        <v>0.246201938253052</v>
      </c>
    </row>
    <row r="1256">
      <c r="A1256" t="s">
        <v>30</v>
      </c>
      <c r="B1256" t="s">
        <v>647</v>
      </c>
      <c r="C1256" t="s">
        <v>649</v>
      </c>
      <c r="D1256" t="s">
        <v>1019</v>
      </c>
      <c r="E1256" s="13" t="n">
        <v>0</v>
      </c>
      <c r="F1256" s="16" t="n">
        <v>102</v>
      </c>
      <c r="G1256" s="14" t="n">
        <v>0</v>
      </c>
      <c r="H1256" s="15" t="n">
        <v>0</v>
      </c>
    </row>
    <row r="1257">
      <c r="A1257" t="s">
        <v>31</v>
      </c>
      <c r="B1257" t="s">
        <v>650</v>
      </c>
      <c r="C1257" t="s">
        <v>651</v>
      </c>
      <c r="D1257" t="s">
        <v>1019</v>
      </c>
      <c r="E1257" s="13" t="n">
        <v>0</v>
      </c>
      <c r="F1257" s="16" t="n">
        <v>63</v>
      </c>
      <c r="G1257" s="14" t="n">
        <v>0</v>
      </c>
      <c r="H1257" s="15" t="n">
        <v>0</v>
      </c>
    </row>
    <row r="1258">
      <c r="A1258" t="s">
        <v>31</v>
      </c>
      <c r="B1258" t="s">
        <v>650</v>
      </c>
      <c r="C1258" t="s">
        <v>652</v>
      </c>
      <c r="D1258" t="s">
        <v>1019</v>
      </c>
      <c r="E1258" s="13" t="n">
        <v>0.25</v>
      </c>
      <c r="F1258" s="16" t="n">
        <v>137</v>
      </c>
      <c r="G1258" s="14" t="n">
        <v>0.0174391184360313</v>
      </c>
      <c r="H1258" s="15" t="n">
        <v>-0.249391012564956</v>
      </c>
    </row>
    <row r="1259">
      <c r="A1259" t="s">
        <v>31</v>
      </c>
      <c r="B1259" t="s">
        <v>653</v>
      </c>
      <c r="C1259" t="s">
        <v>654</v>
      </c>
      <c r="D1259" t="s">
        <v>1019</v>
      </c>
      <c r="E1259" s="13" t="n">
        <v>0.25</v>
      </c>
      <c r="F1259" s="16" t="n">
        <v>163</v>
      </c>
      <c r="G1259" s="14" t="n">
        <v>0.20725939313876</v>
      </c>
      <c r="H1259" s="15" t="n">
        <v>-0.139798225867687</v>
      </c>
    </row>
    <row r="1260">
      <c r="A1260" t="s">
        <v>31</v>
      </c>
      <c r="B1260" t="s">
        <v>653</v>
      </c>
      <c r="C1260" t="s">
        <v>655</v>
      </c>
      <c r="D1260" t="s">
        <v>1019</v>
      </c>
      <c r="E1260" s="13" t="n">
        <v>0.5</v>
      </c>
      <c r="F1260" s="16" t="n">
        <v>27</v>
      </c>
      <c r="G1260" s="14" t="n">
        <v>0.293892626146237</v>
      </c>
      <c r="H1260" s="15" t="n">
        <v>0.404508497187474</v>
      </c>
    </row>
    <row r="1261">
      <c r="A1261" t="s">
        <v>30</v>
      </c>
      <c r="B1261" t="s">
        <v>656</v>
      </c>
      <c r="C1261" t="s">
        <v>657</v>
      </c>
      <c r="D1261" t="s">
        <v>1019</v>
      </c>
      <c r="E1261" s="13" t="n">
        <v>0</v>
      </c>
      <c r="F1261" s="16" t="n">
        <v>58</v>
      </c>
      <c r="G1261" s="14" t="n">
        <v>0</v>
      </c>
      <c r="H1261" s="15" t="n">
        <v>0</v>
      </c>
    </row>
    <row r="1262">
      <c r="A1262" t="s">
        <v>30</v>
      </c>
      <c r="B1262" t="s">
        <v>656</v>
      </c>
      <c r="C1262" t="s">
        <v>658</v>
      </c>
      <c r="D1262" t="s">
        <v>1019</v>
      </c>
      <c r="E1262" s="13" t="n">
        <v>0.25</v>
      </c>
      <c r="F1262" s="16" t="n">
        <v>45</v>
      </c>
      <c r="G1262" s="14" t="n">
        <v>0</v>
      </c>
      <c r="H1262" s="15" t="n">
        <v>0.25</v>
      </c>
    </row>
    <row r="1263">
      <c r="A1263" t="s">
        <v>30</v>
      </c>
      <c r="B1263" t="s">
        <v>659</v>
      </c>
      <c r="C1263" t="s">
        <v>660</v>
      </c>
      <c r="D1263" t="s">
        <v>1019</v>
      </c>
      <c r="E1263" s="13" t="n">
        <v>0.5</v>
      </c>
      <c r="F1263" s="16" t="n">
        <v>107</v>
      </c>
      <c r="G1263" s="14" t="n">
        <v>-0.414518786277521</v>
      </c>
      <c r="H1263" s="15" t="n">
        <v>-0.279596451735373</v>
      </c>
    </row>
    <row r="1264">
      <c r="A1264" t="s">
        <v>31</v>
      </c>
      <c r="B1264" t="s">
        <v>661</v>
      </c>
      <c r="C1264" t="s">
        <v>662</v>
      </c>
      <c r="D1264" t="s">
        <v>1019</v>
      </c>
      <c r="E1264" s="13" t="n">
        <v>0.5</v>
      </c>
      <c r="F1264" s="16" t="n">
        <v>6</v>
      </c>
      <c r="G1264" s="14" t="n">
        <v>0.489073800366903</v>
      </c>
      <c r="H1264" s="15" t="n">
        <v>0.10395584540888</v>
      </c>
    </row>
    <row r="1265">
      <c r="A1265" t="s">
        <v>31</v>
      </c>
      <c r="B1265" t="s">
        <v>661</v>
      </c>
      <c r="C1265" t="s">
        <v>663</v>
      </c>
      <c r="D1265" t="s">
        <v>1019</v>
      </c>
      <c r="E1265" s="13" t="n">
        <v>0</v>
      </c>
      <c r="F1265" s="16" t="n">
        <v>66</v>
      </c>
      <c r="G1265" s="14" t="n">
        <v>0</v>
      </c>
      <c r="H1265" s="15" t="n">
        <v>0</v>
      </c>
    </row>
    <row r="1266">
      <c r="A1266" t="s">
        <v>30</v>
      </c>
      <c r="B1266" t="s">
        <v>664</v>
      </c>
      <c r="C1266" t="s">
        <v>665</v>
      </c>
      <c r="D1266" t="s">
        <v>1019</v>
      </c>
      <c r="E1266" s="13" t="n">
        <v>0.25</v>
      </c>
      <c r="F1266" s="16" t="n">
        <v>98</v>
      </c>
      <c r="G1266" s="14" t="n">
        <v>-0.24031542398458</v>
      </c>
      <c r="H1266" s="15" t="n">
        <v>-0.0689093389542497</v>
      </c>
    </row>
    <row r="1267">
      <c r="A1267" t="s">
        <v>30</v>
      </c>
      <c r="B1267" t="s">
        <v>664</v>
      </c>
      <c r="C1267" t="s">
        <v>666</v>
      </c>
      <c r="D1267" t="s">
        <v>1019</v>
      </c>
      <c r="E1267" s="13" t="n">
        <v>0.5</v>
      </c>
      <c r="F1267" s="16" t="n">
        <v>97</v>
      </c>
      <c r="G1267" s="14" t="n">
        <v>-0.485147863137998</v>
      </c>
      <c r="H1267" s="15" t="n">
        <v>-0.120960947799834</v>
      </c>
    </row>
    <row r="1268">
      <c r="A1268" t="s">
        <v>30</v>
      </c>
      <c r="B1268" t="s">
        <v>667</v>
      </c>
      <c r="C1268" t="s">
        <v>668</v>
      </c>
      <c r="D1268" t="s">
        <v>1019</v>
      </c>
      <c r="E1268" s="13" t="n">
        <v>0.5</v>
      </c>
      <c r="F1268" s="16" t="n">
        <v>63</v>
      </c>
      <c r="G1268" s="14" t="n">
        <v>-0.293892626146237</v>
      </c>
      <c r="H1268" s="15" t="n">
        <v>0.404508497187474</v>
      </c>
    </row>
    <row r="1269">
      <c r="A1269" t="s">
        <v>30</v>
      </c>
      <c r="B1269" t="s">
        <v>669</v>
      </c>
      <c r="C1269" t="s">
        <v>670</v>
      </c>
      <c r="D1269" t="s">
        <v>1019</v>
      </c>
      <c r="E1269" s="13" t="n">
        <v>0.25</v>
      </c>
      <c r="F1269" s="16" t="n">
        <v>91</v>
      </c>
      <c r="G1269" s="14" t="n">
        <v>-0.249847706754774</v>
      </c>
      <c r="H1269" s="15" t="n">
        <v>-0.00872487417562529</v>
      </c>
    </row>
    <row r="1270">
      <c r="A1270" t="s">
        <v>30</v>
      </c>
      <c r="B1270" t="s">
        <v>669</v>
      </c>
      <c r="C1270" t="s">
        <v>671</v>
      </c>
      <c r="D1270" t="s">
        <v>1019</v>
      </c>
      <c r="E1270" s="13" t="n">
        <v>0.25</v>
      </c>
      <c r="F1270" s="16" t="n">
        <v>83</v>
      </c>
      <c r="G1270" s="14" t="n">
        <v>-0.242573931568999</v>
      </c>
      <c r="H1270" s="15" t="n">
        <v>0.0604804738999169</v>
      </c>
    </row>
    <row r="1271">
      <c r="A1271" t="s">
        <v>31</v>
      </c>
      <c r="B1271" t="s">
        <v>672</v>
      </c>
      <c r="C1271" t="s">
        <v>673</v>
      </c>
      <c r="D1271" t="s">
        <v>1019</v>
      </c>
      <c r="E1271" s="13" t="n">
        <v>0.25</v>
      </c>
      <c r="F1271" s="16" t="n">
        <v>22</v>
      </c>
      <c r="G1271" s="14" t="n">
        <v>0.179834950084663</v>
      </c>
      <c r="H1271" s="15" t="n">
        <v>0.173664592614749</v>
      </c>
    </row>
    <row r="1272">
      <c r="A1272" t="s">
        <v>31</v>
      </c>
      <c r="B1272" t="s">
        <v>672</v>
      </c>
      <c r="C1272" t="s">
        <v>674</v>
      </c>
      <c r="D1272" t="s">
        <v>1019</v>
      </c>
      <c r="E1272" s="13" t="n">
        <v>0.5</v>
      </c>
      <c r="F1272" s="16" t="n">
        <v>36</v>
      </c>
      <c r="G1272" s="14" t="n">
        <v>0.154508497187474</v>
      </c>
      <c r="H1272" s="15" t="n">
        <v>0.475528258147577</v>
      </c>
    </row>
    <row r="1273">
      <c r="A1273" t="s">
        <v>31</v>
      </c>
      <c r="B1273" t="s">
        <v>675</v>
      </c>
      <c r="C1273" t="s">
        <v>676</v>
      </c>
      <c r="D1273" t="s">
        <v>1019</v>
      </c>
      <c r="E1273" s="13" t="n">
        <v>0.25</v>
      </c>
      <c r="F1273" s="16" t="n">
        <v>112</v>
      </c>
      <c r="G1273" s="14" t="n">
        <v>-0.179834950084663</v>
      </c>
      <c r="H1273" s="15" t="n">
        <v>-0.173664592614749</v>
      </c>
    </row>
    <row r="1274">
      <c r="A1274" t="s">
        <v>31</v>
      </c>
      <c r="B1274" t="s">
        <v>677</v>
      </c>
      <c r="C1274" t="s">
        <v>678</v>
      </c>
      <c r="D1274" t="s">
        <v>1019</v>
      </c>
      <c r="E1274" s="13" t="n">
        <v>0.25</v>
      </c>
      <c r="F1274" s="16" t="n">
        <v>105</v>
      </c>
      <c r="G1274" s="14" t="n">
        <v>-0.21650635094611</v>
      </c>
      <c r="H1274" s="15" t="n">
        <v>-0.125</v>
      </c>
    </row>
    <row r="1275">
      <c r="A1275" t="s">
        <v>31</v>
      </c>
      <c r="B1275" t="s">
        <v>679</v>
      </c>
      <c r="C1275" t="s">
        <v>680</v>
      </c>
      <c r="D1275" t="s">
        <v>1019</v>
      </c>
      <c r="E1275" s="13" t="n">
        <v>0.5</v>
      </c>
      <c r="F1275" s="16" t="n">
        <v>173</v>
      </c>
      <c r="G1275" s="14" t="n">
        <v>0.485147863137998</v>
      </c>
      <c r="H1275" s="15" t="n">
        <v>-0.120960947799834</v>
      </c>
    </row>
    <row r="1276">
      <c r="A1276" t="s">
        <v>31</v>
      </c>
      <c r="B1276" t="s">
        <v>679</v>
      </c>
      <c r="C1276" t="s">
        <v>681</v>
      </c>
      <c r="D1276" t="s">
        <v>1019</v>
      </c>
      <c r="E1276" s="13" t="n">
        <v>0.25</v>
      </c>
      <c r="F1276" s="16" t="n">
        <v>12</v>
      </c>
      <c r="G1276" s="14" t="n">
        <v>0.22838636441065</v>
      </c>
      <c r="H1276" s="15" t="n">
        <v>0.10168416076895</v>
      </c>
    </row>
    <row r="1277">
      <c r="A1277" t="s">
        <v>31</v>
      </c>
      <c r="B1277" t="s">
        <v>682</v>
      </c>
      <c r="C1277" t="s">
        <v>683</v>
      </c>
      <c r="D1277" t="s">
        <v>1019</v>
      </c>
      <c r="E1277" s="13" t="n">
        <v>0.25</v>
      </c>
      <c r="F1277" s="16" t="n">
        <v>39</v>
      </c>
      <c r="G1277" s="14" t="n">
        <v>0.0519779227044398</v>
      </c>
      <c r="H1277" s="15" t="n">
        <v>0.244536900183451</v>
      </c>
    </row>
    <row r="1278">
      <c r="A1278" t="s">
        <v>31</v>
      </c>
      <c r="B1278" t="s">
        <v>682</v>
      </c>
      <c r="C1278" t="s">
        <v>684</v>
      </c>
      <c r="D1278" t="s">
        <v>1019</v>
      </c>
      <c r="E1278" s="13" t="n">
        <v>0.25</v>
      </c>
      <c r="F1278" s="16" t="n">
        <v>25</v>
      </c>
      <c r="G1278" s="14" t="n">
        <v>0.160696902421635</v>
      </c>
      <c r="H1278" s="15" t="n">
        <v>0.191511110779745</v>
      </c>
    </row>
    <row r="1279">
      <c r="A1279" t="s">
        <v>30</v>
      </c>
      <c r="B1279" t="s">
        <v>685</v>
      </c>
      <c r="C1279" t="s">
        <v>686</v>
      </c>
      <c r="D1279" t="s">
        <v>1019</v>
      </c>
      <c r="E1279" s="13" t="n">
        <v>0.25</v>
      </c>
      <c r="F1279" s="16" t="n">
        <v>111</v>
      </c>
      <c r="G1279" s="14" t="n">
        <v>-0.185786206369349</v>
      </c>
      <c r="H1279" s="15" t="n">
        <v>-0.167282651589715</v>
      </c>
    </row>
    <row r="1280">
      <c r="A1280" t="s">
        <v>30</v>
      </c>
      <c r="B1280" t="s">
        <v>685</v>
      </c>
      <c r="C1280" t="s">
        <v>687</v>
      </c>
      <c r="D1280" t="s">
        <v>1019</v>
      </c>
      <c r="E1280" s="13" t="n">
        <v>0.5</v>
      </c>
      <c r="F1280" s="16" t="n">
        <v>68</v>
      </c>
      <c r="G1280" s="14" t="n">
        <v>-0.359669900169325</v>
      </c>
      <c r="H1280" s="15" t="n">
        <v>0.347329185229499</v>
      </c>
    </row>
    <row r="1281">
      <c r="A1281" t="s">
        <v>31</v>
      </c>
      <c r="B1281" t="s">
        <v>688</v>
      </c>
      <c r="C1281" t="s">
        <v>689</v>
      </c>
      <c r="D1281" t="s">
        <v>1019</v>
      </c>
      <c r="E1281" s="13" t="n">
        <v>0</v>
      </c>
      <c r="F1281" s="16" t="n">
        <v>150</v>
      </c>
      <c r="G1281" s="14" t="n">
        <v>0</v>
      </c>
      <c r="H1281" s="15" t="n">
        <v>0</v>
      </c>
    </row>
    <row r="1282">
      <c r="A1282" t="s">
        <v>31</v>
      </c>
      <c r="B1282" t="s">
        <v>688</v>
      </c>
      <c r="C1282" t="s">
        <v>690</v>
      </c>
      <c r="D1282" t="s">
        <v>1019</v>
      </c>
      <c r="E1282" s="13" t="n">
        <v>0</v>
      </c>
      <c r="F1282" s="16" t="n">
        <v>140</v>
      </c>
      <c r="G1282" s="14" t="n">
        <v>0</v>
      </c>
      <c r="H1282" s="15" t="n">
        <v>0</v>
      </c>
    </row>
    <row r="1283">
      <c r="A1283" t="s">
        <v>31</v>
      </c>
      <c r="B1283" t="s">
        <v>691</v>
      </c>
      <c r="C1283" t="s">
        <v>692</v>
      </c>
      <c r="D1283" t="s">
        <v>1019</v>
      </c>
      <c r="E1283" s="13" t="n">
        <v>0.25</v>
      </c>
      <c r="F1283" s="16" t="n">
        <v>148</v>
      </c>
      <c r="G1283" s="14" t="n">
        <v>0.109592786697269</v>
      </c>
      <c r="H1283" s="15" t="n">
        <v>-0.224698511574792</v>
      </c>
    </row>
    <row r="1284">
      <c r="A1284" t="s">
        <v>31</v>
      </c>
      <c r="B1284" t="s">
        <v>691</v>
      </c>
      <c r="C1284" t="s">
        <v>693</v>
      </c>
      <c r="D1284" t="s">
        <v>1019</v>
      </c>
      <c r="E1284" s="13" t="n">
        <v>0.25</v>
      </c>
      <c r="F1284" s="16" t="n">
        <v>76</v>
      </c>
      <c r="G1284" s="14" t="n">
        <v>-0.220736898214732</v>
      </c>
      <c r="H1284" s="15" t="n">
        <v>0.117367890696473</v>
      </c>
    </row>
    <row r="1285">
      <c r="A1285" t="s">
        <v>31</v>
      </c>
      <c r="B1285" t="s">
        <v>694</v>
      </c>
      <c r="C1285" t="s">
        <v>695</v>
      </c>
      <c r="D1285" t="s">
        <v>1019</v>
      </c>
      <c r="E1285" s="13" t="n">
        <v>0.25</v>
      </c>
      <c r="F1285" s="16" t="n">
        <v>57</v>
      </c>
      <c r="G1285" s="14" t="n">
        <v>-0.10168416076895</v>
      </c>
      <c r="H1285" s="15" t="n">
        <v>0.22838636441065</v>
      </c>
    </row>
    <row r="1286">
      <c r="A1286" t="s">
        <v>31</v>
      </c>
      <c r="B1286" t="s">
        <v>696</v>
      </c>
      <c r="C1286" t="s">
        <v>697</v>
      </c>
      <c r="D1286" t="s">
        <v>1019</v>
      </c>
      <c r="E1286" s="13" t="n">
        <v>0.25</v>
      </c>
      <c r="F1286" s="16" t="n">
        <v>9</v>
      </c>
      <c r="G1286" s="14" t="n">
        <v>0.237764129073788</v>
      </c>
      <c r="H1286" s="15" t="n">
        <v>0.0772542485937368</v>
      </c>
    </row>
    <row r="1287">
      <c r="A1287" t="s">
        <v>31</v>
      </c>
      <c r="B1287" t="s">
        <v>696</v>
      </c>
      <c r="C1287" t="s">
        <v>698</v>
      </c>
      <c r="D1287" t="s">
        <v>1019</v>
      </c>
      <c r="E1287" s="13" t="n">
        <v>0.5</v>
      </c>
      <c r="F1287" s="16" t="n">
        <v>126</v>
      </c>
      <c r="G1287" s="14" t="n">
        <v>-0.154508497187474</v>
      </c>
      <c r="H1287" s="15" t="n">
        <v>-0.475528258147577</v>
      </c>
    </row>
    <row r="1288">
      <c r="A1288" t="s">
        <v>30</v>
      </c>
      <c r="B1288" t="s">
        <v>699</v>
      </c>
      <c r="C1288" t="s">
        <v>700</v>
      </c>
      <c r="D1288" t="s">
        <v>1019</v>
      </c>
      <c r="E1288" s="13" t="n">
        <v>0.5</v>
      </c>
      <c r="F1288" s="16" t="n">
        <v>119</v>
      </c>
      <c r="G1288" s="14" t="n">
        <v>-0.264959632116603</v>
      </c>
      <c r="H1288" s="15" t="n">
        <v>-0.424024048078213</v>
      </c>
    </row>
    <row r="1289">
      <c r="A1289" t="s">
        <v>30</v>
      </c>
      <c r="B1289" t="s">
        <v>699</v>
      </c>
      <c r="C1289" t="s">
        <v>701</v>
      </c>
      <c r="D1289" t="s">
        <v>1019</v>
      </c>
      <c r="E1289" s="13" t="n">
        <v>0.5</v>
      </c>
      <c r="F1289" s="16" t="n">
        <v>72</v>
      </c>
      <c r="G1289" s="14" t="n">
        <v>-0.404508497187474</v>
      </c>
      <c r="H1289" s="15" t="n">
        <v>0.293892626146237</v>
      </c>
    </row>
    <row r="1290">
      <c r="A1290" t="s">
        <v>31</v>
      </c>
      <c r="B1290" t="s">
        <v>702</v>
      </c>
      <c r="C1290" t="s">
        <v>703</v>
      </c>
      <c r="D1290" t="s">
        <v>1019</v>
      </c>
      <c r="E1290" s="13" t="n">
        <v>0.25</v>
      </c>
      <c r="F1290" s="16" t="n">
        <v>65</v>
      </c>
      <c r="G1290" s="14" t="n">
        <v>-0.160696902421635</v>
      </c>
      <c r="H1290" s="15" t="n">
        <v>0.191511110779745</v>
      </c>
    </row>
    <row r="1291">
      <c r="A1291" t="s">
        <v>30</v>
      </c>
      <c r="B1291" t="s">
        <v>704</v>
      </c>
      <c r="C1291" t="s">
        <v>705</v>
      </c>
      <c r="D1291" t="s">
        <v>1019</v>
      </c>
      <c r="E1291" s="13" t="n">
        <v>0</v>
      </c>
      <c r="F1291" s="16" t="n">
        <v>139</v>
      </c>
      <c r="G1291" s="14" t="n">
        <v>0</v>
      </c>
      <c r="H1291" s="15" t="n">
        <v>0</v>
      </c>
    </row>
    <row r="1292">
      <c r="A1292" t="s">
        <v>30</v>
      </c>
      <c r="B1292" t="s">
        <v>706</v>
      </c>
      <c r="C1292" t="s">
        <v>707</v>
      </c>
      <c r="D1292" t="s">
        <v>1019</v>
      </c>
      <c r="E1292" s="13" t="n">
        <v>0.25</v>
      </c>
      <c r="F1292" s="16" t="n">
        <v>170</v>
      </c>
      <c r="G1292" s="14" t="n">
        <v>0.234923155196477</v>
      </c>
      <c r="H1292" s="15" t="n">
        <v>-0.0855050358314172</v>
      </c>
    </row>
    <row r="1293">
      <c r="A1293" t="s">
        <v>30</v>
      </c>
      <c r="B1293" t="s">
        <v>708</v>
      </c>
      <c r="C1293" t="s">
        <v>709</v>
      </c>
      <c r="D1293" t="s">
        <v>1019</v>
      </c>
      <c r="E1293" s="13" t="n">
        <v>0.25</v>
      </c>
      <c r="F1293" s="16" t="n">
        <v>80</v>
      </c>
      <c r="G1293" s="14" t="n">
        <v>-0.234923155196477</v>
      </c>
      <c r="H1293" s="15" t="n">
        <v>0.0855050358314172</v>
      </c>
    </row>
    <row r="1294">
      <c r="A1294" t="s">
        <v>30</v>
      </c>
      <c r="B1294" t="s">
        <v>708</v>
      </c>
      <c r="C1294" t="s">
        <v>710</v>
      </c>
      <c r="D1294" t="s">
        <v>1019</v>
      </c>
      <c r="E1294" s="13" t="n">
        <v>0.25</v>
      </c>
      <c r="F1294" s="16" t="n">
        <v>109</v>
      </c>
      <c r="G1294" s="14" t="n">
        <v>-0.197002688401681</v>
      </c>
      <c r="H1294" s="15" t="n">
        <v>-0.153915368831415</v>
      </c>
    </row>
    <row r="1295">
      <c r="A1295" t="s">
        <v>31</v>
      </c>
      <c r="B1295" t="s">
        <v>711</v>
      </c>
      <c r="C1295" t="s">
        <v>712</v>
      </c>
      <c r="D1295" t="s">
        <v>1019</v>
      </c>
      <c r="E1295" s="13" t="n">
        <v>0.25</v>
      </c>
      <c r="F1295" s="16" t="n">
        <v>45</v>
      </c>
      <c r="G1295" s="14" t="n">
        <v>0</v>
      </c>
      <c r="H1295" s="15" t="n">
        <v>0.25</v>
      </c>
    </row>
    <row r="1296">
      <c r="A1296" t="s">
        <v>30</v>
      </c>
      <c r="B1296" t="s">
        <v>713</v>
      </c>
      <c r="C1296" t="s">
        <v>714</v>
      </c>
      <c r="D1296" t="s">
        <v>1019</v>
      </c>
      <c r="E1296" s="13" t="n">
        <v>0</v>
      </c>
      <c r="F1296" s="16" t="n">
        <v>20</v>
      </c>
      <c r="G1296" s="14" t="n">
        <v>0</v>
      </c>
      <c r="H1296" s="15" t="n">
        <v>0</v>
      </c>
    </row>
    <row r="1297">
      <c r="A1297" t="s">
        <v>30</v>
      </c>
      <c r="B1297" t="s">
        <v>715</v>
      </c>
      <c r="C1297" t="s">
        <v>716</v>
      </c>
      <c r="D1297" t="s">
        <v>1019</v>
      </c>
      <c r="E1297" s="13" t="n">
        <v>0</v>
      </c>
      <c r="F1297" s="16" t="n">
        <v>82</v>
      </c>
      <c r="G1297" s="14" t="n">
        <v>0</v>
      </c>
      <c r="H1297" s="15" t="n">
        <v>0</v>
      </c>
    </row>
    <row r="1298">
      <c r="A1298" t="s">
        <v>31</v>
      </c>
      <c r="B1298" t="s">
        <v>717</v>
      </c>
      <c r="C1298" t="s">
        <v>718</v>
      </c>
      <c r="D1298" t="s">
        <v>1019</v>
      </c>
      <c r="E1298" s="13" t="n">
        <v>0.25</v>
      </c>
      <c r="F1298" s="16" t="n">
        <v>54</v>
      </c>
      <c r="G1298" s="14" t="n">
        <v>-0.0772542485937368</v>
      </c>
      <c r="H1298" s="15" t="n">
        <v>0.237764129073788</v>
      </c>
    </row>
    <row r="1299">
      <c r="A1299" t="s">
        <v>30</v>
      </c>
      <c r="B1299" t="s">
        <v>719</v>
      </c>
      <c r="C1299" t="s">
        <v>720</v>
      </c>
      <c r="D1299" t="s">
        <v>1019</v>
      </c>
      <c r="E1299" s="13" t="n">
        <v>0.25</v>
      </c>
      <c r="F1299" s="16" t="n">
        <v>65</v>
      </c>
      <c r="G1299" s="14" t="n">
        <v>-0.160696902421635</v>
      </c>
      <c r="H1299" s="15" t="n">
        <v>0.191511110779745</v>
      </c>
    </row>
    <row r="1300">
      <c r="A1300" t="s">
        <v>30</v>
      </c>
      <c r="B1300" t="s">
        <v>719</v>
      </c>
      <c r="C1300" t="s">
        <v>721</v>
      </c>
      <c r="D1300" t="s">
        <v>1019</v>
      </c>
      <c r="E1300" s="13" t="n">
        <v>0.5</v>
      </c>
      <c r="F1300" s="16" t="n">
        <v>110</v>
      </c>
      <c r="G1300" s="14" t="n">
        <v>-0.383022221559489</v>
      </c>
      <c r="H1300" s="15" t="n">
        <v>-0.32139380484327</v>
      </c>
    </row>
    <row r="1301">
      <c r="A1301" t="s">
        <v>30</v>
      </c>
      <c r="B1301" t="s">
        <v>722</v>
      </c>
      <c r="C1301" t="s">
        <v>723</v>
      </c>
      <c r="D1301" t="s">
        <v>1019</v>
      </c>
      <c r="E1301" s="13" t="n">
        <v>0.25</v>
      </c>
      <c r="F1301" s="16" t="n">
        <v>59</v>
      </c>
      <c r="G1301" s="14" t="n">
        <v>-0.117367890696473</v>
      </c>
      <c r="H1301" s="15" t="n">
        <v>0.220736898214732</v>
      </c>
    </row>
    <row r="1302">
      <c r="A1302" t="s">
        <v>30</v>
      </c>
      <c r="B1302" t="s">
        <v>722</v>
      </c>
      <c r="C1302" t="s">
        <v>724</v>
      </c>
      <c r="D1302" t="s">
        <v>1019</v>
      </c>
      <c r="E1302" s="13" t="n">
        <v>0.25</v>
      </c>
      <c r="F1302" s="16" t="n">
        <v>118</v>
      </c>
      <c r="G1302" s="14" t="n">
        <v>-0.139798225867687</v>
      </c>
      <c r="H1302" s="15" t="n">
        <v>-0.20725939313876</v>
      </c>
    </row>
    <row r="1303">
      <c r="A1303" t="s">
        <v>30</v>
      </c>
      <c r="B1303" t="s">
        <v>725</v>
      </c>
      <c r="C1303" t="s">
        <v>726</v>
      </c>
      <c r="D1303" t="s">
        <v>1019</v>
      </c>
      <c r="E1303" s="13" t="n">
        <v>0</v>
      </c>
      <c r="F1303" s="16" t="n">
        <v>20</v>
      </c>
      <c r="G1303" s="14" t="n">
        <v>0</v>
      </c>
      <c r="H1303" s="15" t="n">
        <v>0</v>
      </c>
    </row>
    <row r="1304">
      <c r="A1304" t="s">
        <v>30</v>
      </c>
      <c r="B1304" t="s">
        <v>725</v>
      </c>
      <c r="C1304" t="s">
        <v>727</v>
      </c>
      <c r="D1304" t="s">
        <v>1019</v>
      </c>
      <c r="E1304" s="13" t="n">
        <v>0</v>
      </c>
      <c r="F1304" s="16" t="n">
        <v>29</v>
      </c>
      <c r="G1304" s="14" t="n">
        <v>0</v>
      </c>
      <c r="H1304" s="15" t="n">
        <v>0</v>
      </c>
    </row>
    <row r="1305">
      <c r="A1305" t="s">
        <v>31</v>
      </c>
      <c r="B1305" t="s">
        <v>728</v>
      </c>
      <c r="C1305" t="s">
        <v>729</v>
      </c>
      <c r="D1305" t="s">
        <v>1019</v>
      </c>
      <c r="E1305" s="13" t="n">
        <v>0.25</v>
      </c>
      <c r="F1305" s="16" t="n">
        <v>80</v>
      </c>
      <c r="G1305" s="14" t="n">
        <v>-0.234923155196477</v>
      </c>
      <c r="H1305" s="15" t="n">
        <v>0.0855050358314172</v>
      </c>
    </row>
    <row r="1306">
      <c r="A1306" t="s">
        <v>31</v>
      </c>
      <c r="B1306" t="s">
        <v>728</v>
      </c>
      <c r="C1306" t="s">
        <v>730</v>
      </c>
      <c r="D1306" t="s">
        <v>1019</v>
      </c>
      <c r="E1306" s="13" t="n">
        <v>0.25</v>
      </c>
      <c r="F1306" s="16" t="n">
        <v>87</v>
      </c>
      <c r="G1306" s="14" t="n">
        <v>-0.248630473842068</v>
      </c>
      <c r="H1306" s="15" t="n">
        <v>0.0261321158169134</v>
      </c>
    </row>
    <row r="1307">
      <c r="A1307" t="s">
        <v>30</v>
      </c>
      <c r="B1307" t="s">
        <v>731</v>
      </c>
      <c r="C1307" t="s">
        <v>732</v>
      </c>
      <c r="D1307" t="s">
        <v>1019</v>
      </c>
      <c r="E1307" s="13" t="n">
        <v>0</v>
      </c>
      <c r="F1307" s="16" t="n">
        <v>141</v>
      </c>
      <c r="G1307" s="14" t="n">
        <v>0</v>
      </c>
      <c r="H1307" s="15" t="n">
        <v>0</v>
      </c>
    </row>
    <row r="1308">
      <c r="A1308" t="s">
        <v>30</v>
      </c>
      <c r="B1308" t="s">
        <v>731</v>
      </c>
      <c r="C1308" t="s">
        <v>733</v>
      </c>
      <c r="D1308" t="s">
        <v>1019</v>
      </c>
      <c r="E1308" s="13" t="n">
        <v>0.25</v>
      </c>
      <c r="F1308" s="16" t="n">
        <v>65</v>
      </c>
      <c r="G1308" s="14" t="n">
        <v>-0.160696902421635</v>
      </c>
      <c r="H1308" s="15" t="n">
        <v>0.191511110779745</v>
      </c>
    </row>
    <row r="1309">
      <c r="A1309" t="s">
        <v>30</v>
      </c>
      <c r="B1309" t="s">
        <v>734</v>
      </c>
      <c r="C1309" t="s">
        <v>735</v>
      </c>
      <c r="D1309" t="s">
        <v>1019</v>
      </c>
      <c r="E1309" s="13" t="n">
        <v>0.25</v>
      </c>
      <c r="F1309" s="16" t="n">
        <v>20</v>
      </c>
      <c r="G1309" s="14" t="n">
        <v>0.191511110779745</v>
      </c>
      <c r="H1309" s="15" t="n">
        <v>0.160696902421635</v>
      </c>
    </row>
    <row r="1310">
      <c r="A1310" t="s">
        <v>30</v>
      </c>
      <c r="B1310" t="s">
        <v>734</v>
      </c>
      <c r="C1310" t="s">
        <v>736</v>
      </c>
      <c r="D1310" t="s">
        <v>1019</v>
      </c>
      <c r="E1310" s="13" t="n">
        <v>0.25</v>
      </c>
      <c r="F1310" s="16" t="n">
        <v>159</v>
      </c>
      <c r="G1310" s="14" t="n">
        <v>0.185786206369348</v>
      </c>
      <c r="H1310" s="15" t="n">
        <v>-0.167282651589715</v>
      </c>
    </row>
    <row r="1311">
      <c r="A1311" t="s">
        <v>30</v>
      </c>
      <c r="B1311" t="s">
        <v>737</v>
      </c>
      <c r="C1311" t="s">
        <v>738</v>
      </c>
      <c r="D1311" t="s">
        <v>1019</v>
      </c>
      <c r="E1311" s="13" t="n">
        <v>0.25</v>
      </c>
      <c r="F1311" s="16" t="n">
        <v>96</v>
      </c>
      <c r="G1311" s="14" t="n">
        <v>-0.244536900183451</v>
      </c>
      <c r="H1311" s="15" t="n">
        <v>-0.0519779227044398</v>
      </c>
    </row>
    <row r="1312">
      <c r="A1312" t="s">
        <v>30</v>
      </c>
      <c r="B1312" t="s">
        <v>737</v>
      </c>
      <c r="C1312" t="s">
        <v>739</v>
      </c>
      <c r="D1312" t="s">
        <v>1019</v>
      </c>
      <c r="E1312" s="13" t="n">
        <v>0.25</v>
      </c>
      <c r="F1312" s="16" t="n">
        <v>169</v>
      </c>
      <c r="G1312" s="14" t="n">
        <v>0.231795963641697</v>
      </c>
      <c r="H1312" s="15" t="n">
        <v>-0.093651648353978</v>
      </c>
    </row>
    <row r="1313">
      <c r="A1313" t="s">
        <v>31</v>
      </c>
      <c r="B1313" t="s">
        <v>740</v>
      </c>
      <c r="C1313" t="s">
        <v>741</v>
      </c>
      <c r="D1313" t="s">
        <v>1019</v>
      </c>
      <c r="E1313" s="13" t="n">
        <v>0</v>
      </c>
      <c r="F1313" s="16" t="n">
        <v>0</v>
      </c>
      <c r="G1313" s="14" t="n">
        <v>0</v>
      </c>
      <c r="H1313" s="15" t="n">
        <v>0</v>
      </c>
    </row>
    <row r="1314">
      <c r="A1314" t="s">
        <v>31</v>
      </c>
      <c r="B1314" t="s">
        <v>740</v>
      </c>
      <c r="C1314" t="s">
        <v>742</v>
      </c>
      <c r="D1314" t="s">
        <v>1019</v>
      </c>
      <c r="E1314" s="13" t="n">
        <v>0.25</v>
      </c>
      <c r="F1314" s="16" t="n">
        <v>116</v>
      </c>
      <c r="G1314" s="14" t="n">
        <v>-0.153915368831415</v>
      </c>
      <c r="H1314" s="15" t="n">
        <v>-0.197002688401681</v>
      </c>
    </row>
    <row r="1315">
      <c r="A1315" t="s">
        <v>30</v>
      </c>
      <c r="B1315" t="s">
        <v>743</v>
      </c>
      <c r="C1315" t="s">
        <v>744</v>
      </c>
      <c r="D1315" t="s">
        <v>1019</v>
      </c>
      <c r="E1315" s="13" t="n">
        <v>0.5</v>
      </c>
      <c r="F1315" s="16" t="n">
        <v>98</v>
      </c>
      <c r="G1315" s="14" t="n">
        <v>-0.48063084796916</v>
      </c>
      <c r="H1315" s="15" t="n">
        <v>-0.137818677908499</v>
      </c>
    </row>
    <row r="1316">
      <c r="A1316" t="s">
        <v>30</v>
      </c>
      <c r="B1316" t="s">
        <v>743</v>
      </c>
      <c r="C1316" t="s">
        <v>745</v>
      </c>
      <c r="D1316" t="s">
        <v>1019</v>
      </c>
      <c r="E1316" s="13" t="n">
        <v>0.25</v>
      </c>
      <c r="F1316" s="16" t="n">
        <v>87</v>
      </c>
      <c r="G1316" s="14" t="n">
        <v>-0.248630473842068</v>
      </c>
      <c r="H1316" s="15" t="n">
        <v>0.0261321158169134</v>
      </c>
    </row>
    <row r="1317">
      <c r="A1317" t="s">
        <v>30</v>
      </c>
      <c r="B1317" t="s">
        <v>746</v>
      </c>
      <c r="C1317" t="s">
        <v>747</v>
      </c>
      <c r="D1317" t="s">
        <v>1019</v>
      </c>
      <c r="E1317" s="13" t="n">
        <v>1</v>
      </c>
      <c r="F1317" s="16" t="n">
        <v>32</v>
      </c>
      <c r="G1317" s="14" t="n">
        <v>0.438371146789077</v>
      </c>
      <c r="H1317" s="15" t="n">
        <v>0.898794046299167</v>
      </c>
    </row>
    <row r="1318">
      <c r="A1318" t="s">
        <v>31</v>
      </c>
      <c r="B1318" t="s">
        <v>748</v>
      </c>
      <c r="C1318" t="s">
        <v>749</v>
      </c>
      <c r="D1318" t="s">
        <v>1019</v>
      </c>
      <c r="E1318" s="13" t="n">
        <v>0.25</v>
      </c>
      <c r="F1318" s="16" t="n">
        <v>90</v>
      </c>
      <c r="G1318" s="14" t="n">
        <v>-0.25</v>
      </c>
      <c r="H1318" s="15" t="n">
        <v>0</v>
      </c>
    </row>
    <row r="1319">
      <c r="A1319" t="s">
        <v>31</v>
      </c>
      <c r="B1319" t="s">
        <v>748</v>
      </c>
      <c r="C1319" t="s">
        <v>750</v>
      </c>
      <c r="D1319" t="s">
        <v>1019</v>
      </c>
      <c r="E1319" s="13" t="n">
        <v>0</v>
      </c>
      <c r="F1319" s="16" t="n">
        <v>162</v>
      </c>
      <c r="G1319" s="14" t="n">
        <v>0</v>
      </c>
      <c r="H1319" s="15" t="n">
        <v>0</v>
      </c>
    </row>
    <row r="1320">
      <c r="A1320" t="s">
        <v>30</v>
      </c>
      <c r="B1320" t="s">
        <v>751</v>
      </c>
      <c r="C1320" t="s">
        <v>752</v>
      </c>
      <c r="D1320" t="s">
        <v>1019</v>
      </c>
      <c r="E1320" s="13" t="n">
        <v>0</v>
      </c>
      <c r="F1320" s="16" t="n">
        <v>14</v>
      </c>
      <c r="G1320" s="14" t="n">
        <v>0</v>
      </c>
      <c r="H1320" s="15" t="n">
        <v>0</v>
      </c>
    </row>
    <row r="1321">
      <c r="A1321" t="s">
        <v>30</v>
      </c>
      <c r="B1321" t="s">
        <v>753</v>
      </c>
      <c r="C1321" t="s">
        <v>754</v>
      </c>
      <c r="D1321" t="s">
        <v>1019</v>
      </c>
      <c r="E1321" s="13" t="n">
        <v>0.5</v>
      </c>
      <c r="F1321" s="16" t="n">
        <v>84</v>
      </c>
      <c r="G1321" s="14" t="n">
        <v>-0.489073800366903</v>
      </c>
      <c r="H1321" s="15" t="n">
        <v>0.10395584540888</v>
      </c>
    </row>
    <row r="1322">
      <c r="A1322" t="s">
        <v>30</v>
      </c>
      <c r="B1322" t="s">
        <v>753</v>
      </c>
      <c r="C1322" t="s">
        <v>755</v>
      </c>
      <c r="D1322" t="s">
        <v>1019</v>
      </c>
      <c r="E1322" s="13" t="n">
        <v>0.75</v>
      </c>
      <c r="F1322" s="16" t="n">
        <v>91</v>
      </c>
      <c r="G1322" s="14" t="n">
        <v>-0.749543120264322</v>
      </c>
      <c r="H1322" s="15" t="n">
        <v>-0.0261746225268759</v>
      </c>
    </row>
    <row r="1323">
      <c r="A1323" t="s">
        <v>30</v>
      </c>
      <c r="B1323" t="s">
        <v>756</v>
      </c>
      <c r="C1323" t="s">
        <v>757</v>
      </c>
      <c r="D1323" t="s">
        <v>1019</v>
      </c>
      <c r="E1323" s="13" t="n">
        <v>0.5</v>
      </c>
      <c r="F1323" s="16" t="n">
        <v>71</v>
      </c>
      <c r="G1323" s="14" t="n">
        <v>-0.394005376803361</v>
      </c>
      <c r="H1323" s="15" t="n">
        <v>0.307830737662829</v>
      </c>
    </row>
    <row r="1324">
      <c r="A1324" t="s">
        <v>31</v>
      </c>
      <c r="B1324" t="s">
        <v>758</v>
      </c>
      <c r="C1324" t="s">
        <v>759</v>
      </c>
      <c r="D1324" t="s">
        <v>1019</v>
      </c>
      <c r="E1324" s="13" t="n">
        <v>0.25</v>
      </c>
      <c r="F1324" s="16" t="n">
        <v>119</v>
      </c>
      <c r="G1324" s="14" t="n">
        <v>-0.132479816058301</v>
      </c>
      <c r="H1324" s="15" t="n">
        <v>-0.212012024039107</v>
      </c>
    </row>
    <row r="1325">
      <c r="A1325" t="s">
        <v>30</v>
      </c>
      <c r="B1325" t="s">
        <v>760</v>
      </c>
      <c r="C1325" t="s">
        <v>761</v>
      </c>
      <c r="D1325" t="s">
        <v>1019</v>
      </c>
      <c r="E1325" s="13" t="n">
        <v>1.5</v>
      </c>
      <c r="F1325" s="16" t="n">
        <v>145</v>
      </c>
      <c r="G1325" s="14" t="n">
        <v>0.513030214988504</v>
      </c>
      <c r="H1325" s="15" t="n">
        <v>-1.40953893117886</v>
      </c>
    </row>
    <row r="1326">
      <c r="A1326" t="s">
        <v>30</v>
      </c>
      <c r="B1326" t="s">
        <v>760</v>
      </c>
      <c r="C1326" t="s">
        <v>762</v>
      </c>
      <c r="D1326" t="s">
        <v>1019</v>
      </c>
      <c r="E1326" s="13" t="n">
        <v>0.5</v>
      </c>
      <c r="F1326" s="16" t="n">
        <v>167</v>
      </c>
      <c r="G1326" s="14" t="n">
        <v>0.449397023149583</v>
      </c>
      <c r="H1326" s="15" t="n">
        <v>-0.219185573394539</v>
      </c>
    </row>
    <row r="1327">
      <c r="A1327" t="s">
        <v>31</v>
      </c>
      <c r="B1327" t="s">
        <v>763</v>
      </c>
      <c r="C1327" t="s">
        <v>764</v>
      </c>
      <c r="D1327" t="s">
        <v>1019</v>
      </c>
      <c r="E1327" s="13" t="n">
        <v>0.25</v>
      </c>
      <c r="F1327" s="16" t="n">
        <v>133</v>
      </c>
      <c r="G1327" s="14" t="n">
        <v>-0.0174391184360314</v>
      </c>
      <c r="H1327" s="15" t="n">
        <v>-0.249391012564956</v>
      </c>
    </row>
    <row r="1328">
      <c r="A1328" t="s">
        <v>31</v>
      </c>
      <c r="B1328" t="s">
        <v>765</v>
      </c>
      <c r="C1328" t="s">
        <v>766</v>
      </c>
      <c r="D1328" t="s">
        <v>1019</v>
      </c>
      <c r="E1328" s="13" t="n">
        <v>0.25</v>
      </c>
      <c r="F1328" s="16" t="n">
        <v>63</v>
      </c>
      <c r="G1328" s="14" t="n">
        <v>-0.146946313073118</v>
      </c>
      <c r="H1328" s="15" t="n">
        <v>0.202254248593737</v>
      </c>
    </row>
    <row r="1329">
      <c r="A1329" t="s">
        <v>31</v>
      </c>
      <c r="B1329" t="s">
        <v>765</v>
      </c>
      <c r="C1329" t="s">
        <v>767</v>
      </c>
      <c r="D1329" t="s">
        <v>1019</v>
      </c>
      <c r="E1329" s="13" t="n">
        <v>0.25</v>
      </c>
      <c r="F1329" s="16" t="n">
        <v>72</v>
      </c>
      <c r="G1329" s="14" t="n">
        <v>-0.202254248593737</v>
      </c>
      <c r="H1329" s="15" t="n">
        <v>0.146946313073118</v>
      </c>
    </row>
    <row r="1330">
      <c r="A1330" t="s">
        <v>31</v>
      </c>
      <c r="B1330" t="s">
        <v>768</v>
      </c>
      <c r="C1330" t="s">
        <v>769</v>
      </c>
      <c r="D1330" t="s">
        <v>1019</v>
      </c>
      <c r="E1330" s="13" t="n">
        <v>0.5</v>
      </c>
      <c r="F1330" s="16" t="n">
        <v>15</v>
      </c>
      <c r="G1330" s="14" t="n">
        <v>0.433012701892219</v>
      </c>
      <c r="H1330" s="15" t="n">
        <v>0.25</v>
      </c>
    </row>
    <row r="1331">
      <c r="A1331" t="s">
        <v>31</v>
      </c>
      <c r="B1331" t="s">
        <v>768</v>
      </c>
      <c r="C1331" t="s">
        <v>770</v>
      </c>
      <c r="D1331" t="s">
        <v>1019</v>
      </c>
      <c r="E1331" s="13" t="n">
        <v>0.25</v>
      </c>
      <c r="F1331" s="16" t="n">
        <v>148</v>
      </c>
      <c r="G1331" s="14" t="n">
        <v>0.109592786697269</v>
      </c>
      <c r="H1331" s="15" t="n">
        <v>-0.224698511574792</v>
      </c>
    </row>
    <row r="1332">
      <c r="A1332" t="s">
        <v>30</v>
      </c>
      <c r="B1332" t="s">
        <v>771</v>
      </c>
      <c r="C1332" t="s">
        <v>772</v>
      </c>
      <c r="D1332" t="s">
        <v>1019</v>
      </c>
      <c r="E1332" s="13" t="n">
        <v>0.75</v>
      </c>
      <c r="F1332" s="16" t="n">
        <v>150</v>
      </c>
      <c r="G1332" s="14" t="n">
        <v>0.375</v>
      </c>
      <c r="H1332" s="15" t="n">
        <v>-0.649519052838329</v>
      </c>
    </row>
    <row r="1333">
      <c r="A1333" t="s">
        <v>30</v>
      </c>
      <c r="B1333" t="s">
        <v>771</v>
      </c>
      <c r="C1333" t="s">
        <v>773</v>
      </c>
      <c r="D1333" t="s">
        <v>1019</v>
      </c>
      <c r="E1333" s="13" t="n">
        <v>0.25</v>
      </c>
      <c r="F1333" s="16" t="n">
        <v>168</v>
      </c>
      <c r="G1333" s="14" t="n">
        <v>0.22838636441065</v>
      </c>
      <c r="H1333" s="15" t="n">
        <v>-0.10168416076895</v>
      </c>
    </row>
    <row r="1334">
      <c r="A1334" t="s">
        <v>30</v>
      </c>
      <c r="B1334" t="s">
        <v>774</v>
      </c>
      <c r="C1334" t="s">
        <v>775</v>
      </c>
      <c r="D1334" t="s">
        <v>1019</v>
      </c>
      <c r="E1334" s="13" t="n">
        <v>0.25</v>
      </c>
      <c r="F1334" s="16" t="n">
        <v>166</v>
      </c>
      <c r="G1334" s="14" t="n">
        <v>0.220736898214732</v>
      </c>
      <c r="H1334" s="15" t="n">
        <v>-0.117367890696473</v>
      </c>
    </row>
    <row r="1335">
      <c r="A1335" t="s">
        <v>31</v>
      </c>
      <c r="B1335" t="s">
        <v>776</v>
      </c>
      <c r="C1335" t="s">
        <v>777</v>
      </c>
      <c r="D1335" t="s">
        <v>1019</v>
      </c>
      <c r="E1335" s="13" t="n">
        <v>0</v>
      </c>
      <c r="F1335" s="16" t="n">
        <v>154</v>
      </c>
      <c r="G1335" s="14" t="n">
        <v>0</v>
      </c>
      <c r="H1335" s="15" t="n">
        <v>0</v>
      </c>
    </row>
    <row r="1336">
      <c r="A1336" t="s">
        <v>30</v>
      </c>
      <c r="B1336" t="s">
        <v>778</v>
      </c>
      <c r="C1336" t="s">
        <v>779</v>
      </c>
      <c r="D1336" t="s">
        <v>1019</v>
      </c>
      <c r="E1336" s="13" t="n">
        <v>0</v>
      </c>
      <c r="F1336" s="16" t="n">
        <v>137</v>
      </c>
      <c r="G1336" s="14" t="n">
        <v>0</v>
      </c>
      <c r="H1336" s="15" t="n">
        <v>0</v>
      </c>
    </row>
    <row r="1337">
      <c r="A1337" t="s">
        <v>30</v>
      </c>
      <c r="B1337" t="s">
        <v>778</v>
      </c>
      <c r="C1337" t="s">
        <v>780</v>
      </c>
      <c r="D1337" t="s">
        <v>1019</v>
      </c>
      <c r="E1337" s="13" t="n">
        <v>0</v>
      </c>
      <c r="F1337" s="16" t="n">
        <v>31</v>
      </c>
      <c r="G1337" s="14" t="n">
        <v>0</v>
      </c>
      <c r="H1337" s="15" t="n">
        <v>0</v>
      </c>
    </row>
    <row r="1338">
      <c r="A1338" t="s">
        <v>31</v>
      </c>
      <c r="B1338" t="s">
        <v>781</v>
      </c>
      <c r="C1338" t="s">
        <v>782</v>
      </c>
      <c r="D1338" t="s">
        <v>1019</v>
      </c>
      <c r="E1338" s="13" t="n">
        <v>0.25</v>
      </c>
      <c r="F1338" s="16" t="n">
        <v>152</v>
      </c>
      <c r="G1338" s="14" t="n">
        <v>0.139798225867687</v>
      </c>
      <c r="H1338" s="15" t="n">
        <v>-0.20725939313876</v>
      </c>
    </row>
    <row r="1339">
      <c r="A1339" t="s">
        <v>31</v>
      </c>
      <c r="B1339" t="s">
        <v>781</v>
      </c>
      <c r="C1339" t="s">
        <v>783</v>
      </c>
      <c r="D1339" t="s">
        <v>1019</v>
      </c>
      <c r="E1339" s="13" t="n">
        <v>0</v>
      </c>
      <c r="F1339" s="16" t="n">
        <v>142</v>
      </c>
      <c r="G1339" s="14" t="n">
        <v>0</v>
      </c>
      <c r="H1339" s="15" t="n">
        <v>0</v>
      </c>
    </row>
    <row r="1340">
      <c r="A1340" t="s">
        <v>31</v>
      </c>
      <c r="B1340" t="s">
        <v>784</v>
      </c>
      <c r="C1340" t="s">
        <v>785</v>
      </c>
      <c r="D1340" t="s">
        <v>1019</v>
      </c>
      <c r="E1340" s="13" t="n">
        <v>0.25</v>
      </c>
      <c r="F1340" s="16" t="n">
        <v>9</v>
      </c>
      <c r="G1340" s="14" t="n">
        <v>0.237764129073788</v>
      </c>
      <c r="H1340" s="15" t="n">
        <v>0.0772542485937368</v>
      </c>
    </row>
    <row r="1341">
      <c r="A1341" t="s">
        <v>31</v>
      </c>
      <c r="B1341" t="s">
        <v>784</v>
      </c>
      <c r="C1341" t="s">
        <v>786</v>
      </c>
      <c r="D1341" t="s">
        <v>1019</v>
      </c>
      <c r="E1341" s="13" t="n">
        <v>0.25</v>
      </c>
      <c r="F1341" s="16" t="n">
        <v>157</v>
      </c>
      <c r="G1341" s="14" t="n">
        <v>0.173664592614749</v>
      </c>
      <c r="H1341" s="15" t="n">
        <v>-0.179834950084663</v>
      </c>
    </row>
    <row r="1342">
      <c r="A1342" t="s">
        <v>31</v>
      </c>
      <c r="B1342" t="s">
        <v>787</v>
      </c>
      <c r="C1342" t="s">
        <v>788</v>
      </c>
      <c r="D1342" t="s">
        <v>1019</v>
      </c>
      <c r="E1342" s="13" t="n">
        <v>0</v>
      </c>
      <c r="F1342" s="16" t="n">
        <v>10</v>
      </c>
      <c r="G1342" s="14" t="n">
        <v>0</v>
      </c>
      <c r="H1342" s="15" t="n">
        <v>0</v>
      </c>
    </row>
    <row r="1343">
      <c r="A1343" t="s">
        <v>31</v>
      </c>
      <c r="B1343" t="s">
        <v>787</v>
      </c>
      <c r="C1343" t="s">
        <v>789</v>
      </c>
      <c r="D1343" t="s">
        <v>1019</v>
      </c>
      <c r="E1343" s="13" t="n">
        <v>0.25</v>
      </c>
      <c r="F1343" s="16" t="n">
        <v>92</v>
      </c>
      <c r="G1343" s="14" t="n">
        <v>-0.249391012564956</v>
      </c>
      <c r="H1343" s="15" t="n">
        <v>-0.0174391184360313</v>
      </c>
    </row>
    <row r="1344">
      <c r="A1344" t="s">
        <v>31</v>
      </c>
      <c r="B1344" t="s">
        <v>790</v>
      </c>
      <c r="C1344" t="s">
        <v>791</v>
      </c>
      <c r="D1344" t="s">
        <v>1019</v>
      </c>
      <c r="E1344" s="13" t="n">
        <v>0</v>
      </c>
      <c r="F1344" s="16" t="n">
        <v>166</v>
      </c>
      <c r="G1344" s="14" t="n">
        <v>0</v>
      </c>
      <c r="H1344" s="15" t="n">
        <v>0</v>
      </c>
    </row>
    <row r="1345">
      <c r="A1345" t="s">
        <v>31</v>
      </c>
      <c r="B1345" t="s">
        <v>790</v>
      </c>
      <c r="C1345" t="s">
        <v>792</v>
      </c>
      <c r="D1345" t="s">
        <v>1019</v>
      </c>
      <c r="E1345" s="13" t="n">
        <v>0.25</v>
      </c>
      <c r="F1345" s="16" t="n">
        <v>141</v>
      </c>
      <c r="G1345" s="14" t="n">
        <v>0.0519779227044399</v>
      </c>
      <c r="H1345" s="15" t="n">
        <v>-0.244536900183451</v>
      </c>
    </row>
    <row r="1346">
      <c r="A1346" t="s">
        <v>31</v>
      </c>
      <c r="B1346" t="s">
        <v>793</v>
      </c>
      <c r="C1346" t="s">
        <v>794</v>
      </c>
      <c r="D1346" t="s">
        <v>1019</v>
      </c>
      <c r="E1346" s="13" t="n">
        <v>0.25</v>
      </c>
      <c r="F1346" s="16" t="n">
        <v>92</v>
      </c>
      <c r="G1346" s="14" t="n">
        <v>-0.249391012564956</v>
      </c>
      <c r="H1346" s="15" t="n">
        <v>-0.0174391184360313</v>
      </c>
    </row>
    <row r="1347">
      <c r="A1347" t="s">
        <v>31</v>
      </c>
      <c r="B1347" t="s">
        <v>793</v>
      </c>
      <c r="C1347" t="s">
        <v>795</v>
      </c>
      <c r="D1347" t="s">
        <v>1019</v>
      </c>
      <c r="E1347" s="13" t="n">
        <v>0.25</v>
      </c>
      <c r="F1347" s="16" t="n">
        <v>154</v>
      </c>
      <c r="G1347" s="14" t="n">
        <v>0.153915368831414</v>
      </c>
      <c r="H1347" s="15" t="n">
        <v>-0.197002688401681</v>
      </c>
    </row>
    <row r="1348">
      <c r="A1348" t="s">
        <v>30</v>
      </c>
      <c r="B1348" t="s">
        <v>796</v>
      </c>
      <c r="C1348" t="s">
        <v>797</v>
      </c>
      <c r="D1348" t="s">
        <v>1019</v>
      </c>
      <c r="E1348" s="13" t="n">
        <v>0.5</v>
      </c>
      <c r="F1348" s="16" t="n">
        <v>69</v>
      </c>
      <c r="G1348" s="14" t="n">
        <v>-0.371572412738697</v>
      </c>
      <c r="H1348" s="15" t="n">
        <v>0.334565303179429</v>
      </c>
    </row>
    <row r="1349">
      <c r="A1349" t="s">
        <v>30</v>
      </c>
      <c r="B1349" t="s">
        <v>796</v>
      </c>
      <c r="C1349" t="s">
        <v>798</v>
      </c>
      <c r="D1349" t="s">
        <v>1019</v>
      </c>
      <c r="E1349" s="13" t="n">
        <v>0.25</v>
      </c>
      <c r="F1349" s="16" t="n">
        <v>70</v>
      </c>
      <c r="G1349" s="14" t="n">
        <v>-0.191511110779744</v>
      </c>
      <c r="H1349" s="15" t="n">
        <v>0.160696902421635</v>
      </c>
    </row>
    <row r="1350">
      <c r="A1350" t="s">
        <v>31</v>
      </c>
      <c r="B1350" t="s">
        <v>799</v>
      </c>
      <c r="C1350" t="s">
        <v>800</v>
      </c>
      <c r="D1350" t="s">
        <v>1019</v>
      </c>
      <c r="E1350" s="13" t="n">
        <v>0</v>
      </c>
      <c r="F1350" s="16" t="n">
        <v>62</v>
      </c>
      <c r="G1350" s="14" t="n">
        <v>0</v>
      </c>
      <c r="H1350" s="15" t="n">
        <v>0</v>
      </c>
    </row>
    <row r="1351">
      <c r="A1351" t="s">
        <v>30</v>
      </c>
      <c r="B1351" t="s">
        <v>801</v>
      </c>
      <c r="C1351" t="s">
        <v>802</v>
      </c>
      <c r="D1351" t="s">
        <v>1019</v>
      </c>
      <c r="E1351" s="13" t="n">
        <v>0.25</v>
      </c>
      <c r="F1351" s="16" t="n">
        <v>32</v>
      </c>
      <c r="G1351" s="14" t="n">
        <v>0.109592786697269</v>
      </c>
      <c r="H1351" s="15" t="n">
        <v>0.224698511574792</v>
      </c>
    </row>
    <row r="1352">
      <c r="A1352" t="s">
        <v>30</v>
      </c>
      <c r="B1352" t="s">
        <v>801</v>
      </c>
      <c r="C1352" t="s">
        <v>803</v>
      </c>
      <c r="D1352" t="s">
        <v>1019</v>
      </c>
      <c r="E1352" s="13" t="n">
        <v>0.25</v>
      </c>
      <c r="F1352" s="16" t="n">
        <v>168</v>
      </c>
      <c r="G1352" s="14" t="n">
        <v>0.22838636441065</v>
      </c>
      <c r="H1352" s="15" t="n">
        <v>-0.10168416076895</v>
      </c>
    </row>
    <row r="1353">
      <c r="A1353" t="s">
        <v>30</v>
      </c>
      <c r="B1353" t="s">
        <v>804</v>
      </c>
      <c r="C1353" t="s">
        <v>805</v>
      </c>
      <c r="D1353" t="s">
        <v>1019</v>
      </c>
      <c r="E1353" s="13" t="n">
        <v>0.5</v>
      </c>
      <c r="F1353" s="16" t="n">
        <v>129</v>
      </c>
      <c r="G1353" s="14" t="n">
        <v>-0.10395584540888</v>
      </c>
      <c r="H1353" s="15" t="n">
        <v>-0.489073800366903</v>
      </c>
    </row>
    <row r="1354">
      <c r="A1354" t="s">
        <v>31</v>
      </c>
      <c r="B1354" t="s">
        <v>806</v>
      </c>
      <c r="C1354" t="s">
        <v>807</v>
      </c>
      <c r="D1354" t="s">
        <v>1019</v>
      </c>
      <c r="E1354" s="13" t="n">
        <v>0.25</v>
      </c>
      <c r="F1354" s="16" t="n">
        <v>165</v>
      </c>
      <c r="G1354" s="14" t="n">
        <v>0.21650635094611</v>
      </c>
      <c r="H1354" s="15" t="n">
        <v>-0.125</v>
      </c>
    </row>
    <row r="1355">
      <c r="A1355" t="s">
        <v>31</v>
      </c>
      <c r="B1355" t="s">
        <v>806</v>
      </c>
      <c r="C1355" t="s">
        <v>808</v>
      </c>
      <c r="D1355" t="s">
        <v>1019</v>
      </c>
      <c r="E1355" s="13" t="n">
        <v>0.25</v>
      </c>
      <c r="F1355" s="16" t="n">
        <v>30</v>
      </c>
      <c r="G1355" s="14" t="n">
        <v>0.125</v>
      </c>
      <c r="H1355" s="15" t="n">
        <v>0.21650635094611</v>
      </c>
    </row>
    <row r="1356">
      <c r="A1356" t="s">
        <v>30</v>
      </c>
      <c r="B1356" t="s">
        <v>809</v>
      </c>
      <c r="C1356" t="s">
        <v>810</v>
      </c>
      <c r="D1356" t="s">
        <v>1019</v>
      </c>
      <c r="E1356" s="13" t="n">
        <v>0.25</v>
      </c>
      <c r="F1356" s="16" t="n">
        <v>124</v>
      </c>
      <c r="G1356" s="14" t="n">
        <v>-0.0936516483539781</v>
      </c>
      <c r="H1356" s="15" t="n">
        <v>-0.231795963641697</v>
      </c>
    </row>
    <row r="1357">
      <c r="A1357" t="s">
        <v>31</v>
      </c>
      <c r="B1357" t="s">
        <v>811</v>
      </c>
      <c r="C1357" t="s">
        <v>812</v>
      </c>
      <c r="D1357" t="s">
        <v>1019</v>
      </c>
      <c r="E1357" s="13" t="n">
        <v>0.25</v>
      </c>
      <c r="F1357" s="16" t="n">
        <v>17</v>
      </c>
      <c r="G1357" s="14" t="n">
        <v>0.20725939313876</v>
      </c>
      <c r="H1357" s="15" t="n">
        <v>0.139798225867687</v>
      </c>
    </row>
    <row r="1358">
      <c r="A1358" t="s">
        <v>30</v>
      </c>
      <c r="B1358" t="s">
        <v>813</v>
      </c>
      <c r="C1358" t="s">
        <v>814</v>
      </c>
      <c r="D1358" t="s">
        <v>1019</v>
      </c>
      <c r="E1358" s="13" t="n">
        <v>0</v>
      </c>
      <c r="F1358" s="16" t="n">
        <v>138</v>
      </c>
      <c r="G1358" s="14" t="n">
        <v>0</v>
      </c>
      <c r="H1358" s="15" t="n">
        <v>0</v>
      </c>
    </row>
    <row r="1359">
      <c r="A1359" t="s">
        <v>30</v>
      </c>
      <c r="B1359" t="s">
        <v>813</v>
      </c>
      <c r="C1359" t="s">
        <v>815</v>
      </c>
      <c r="D1359" t="s">
        <v>1019</v>
      </c>
      <c r="E1359" s="13" t="n">
        <v>0.25</v>
      </c>
      <c r="F1359" s="16" t="n">
        <v>121</v>
      </c>
      <c r="G1359" s="14" t="n">
        <v>-0.117367890696473</v>
      </c>
      <c r="H1359" s="15" t="n">
        <v>-0.220736898214732</v>
      </c>
    </row>
    <row r="1360">
      <c r="A1360" t="s">
        <v>31</v>
      </c>
      <c r="B1360" t="s">
        <v>816</v>
      </c>
      <c r="C1360" t="s">
        <v>817</v>
      </c>
      <c r="D1360" t="s">
        <v>1019</v>
      </c>
      <c r="E1360" s="13" t="n">
        <v>0.25</v>
      </c>
      <c r="F1360" s="16" t="n">
        <v>97</v>
      </c>
      <c r="G1360" s="14" t="n">
        <v>-0.242573931568999</v>
      </c>
      <c r="H1360" s="15" t="n">
        <v>-0.0604804738999169</v>
      </c>
    </row>
    <row r="1361">
      <c r="A1361" t="s">
        <v>31</v>
      </c>
      <c r="B1361" t="s">
        <v>816</v>
      </c>
      <c r="C1361" t="s">
        <v>818</v>
      </c>
      <c r="D1361" t="s">
        <v>1019</v>
      </c>
      <c r="E1361" s="13" t="n">
        <v>0.25</v>
      </c>
      <c r="F1361" s="16" t="n">
        <v>86</v>
      </c>
      <c r="G1361" s="14" t="n">
        <v>-0.247567017185393</v>
      </c>
      <c r="H1361" s="15" t="n">
        <v>0.0347932752400163</v>
      </c>
    </row>
    <row r="1362">
      <c r="A1362" t="s">
        <v>31</v>
      </c>
      <c r="B1362" t="s">
        <v>819</v>
      </c>
      <c r="C1362" t="s">
        <v>820</v>
      </c>
      <c r="D1362" t="s">
        <v>1019</v>
      </c>
      <c r="E1362" s="13" t="n">
        <v>0.25</v>
      </c>
      <c r="F1362" s="16" t="n">
        <v>42</v>
      </c>
      <c r="G1362" s="14" t="n">
        <v>0.0261321158169134</v>
      </c>
      <c r="H1362" s="15" t="n">
        <v>0.248630473842068</v>
      </c>
    </row>
    <row r="1363">
      <c r="A1363" t="s">
        <v>31</v>
      </c>
      <c r="B1363" t="s">
        <v>819</v>
      </c>
      <c r="C1363" t="s">
        <v>821</v>
      </c>
      <c r="D1363" t="s">
        <v>1019</v>
      </c>
      <c r="E1363" s="13" t="n">
        <v>0.25</v>
      </c>
      <c r="F1363" s="16" t="n">
        <v>121</v>
      </c>
      <c r="G1363" s="14" t="n">
        <v>-0.117367890696473</v>
      </c>
      <c r="H1363" s="15" t="n">
        <v>-0.220736898214732</v>
      </c>
    </row>
    <row r="1364">
      <c r="A1364" t="s">
        <v>31</v>
      </c>
      <c r="B1364" t="s">
        <v>822</v>
      </c>
      <c r="C1364" t="s">
        <v>823</v>
      </c>
      <c r="D1364" t="s">
        <v>1019</v>
      </c>
      <c r="E1364" s="13" t="n">
        <v>0.25</v>
      </c>
      <c r="F1364" s="16" t="n">
        <v>21</v>
      </c>
      <c r="G1364" s="14" t="n">
        <v>0.185786206369349</v>
      </c>
      <c r="H1364" s="15" t="n">
        <v>0.167282651589715</v>
      </c>
    </row>
    <row r="1365">
      <c r="A1365" t="s">
        <v>31</v>
      </c>
      <c r="B1365" t="s">
        <v>822</v>
      </c>
      <c r="C1365" t="s">
        <v>824</v>
      </c>
      <c r="D1365" t="s">
        <v>1019</v>
      </c>
      <c r="E1365" s="13" t="n">
        <v>0.25</v>
      </c>
      <c r="F1365" s="16" t="n">
        <v>173</v>
      </c>
      <c r="G1365" s="14" t="n">
        <v>0.242573931568999</v>
      </c>
      <c r="H1365" s="15" t="n">
        <v>-0.0604804738999169</v>
      </c>
    </row>
    <row r="1366">
      <c r="A1366" t="s">
        <v>31</v>
      </c>
      <c r="B1366" t="s">
        <v>825</v>
      </c>
      <c r="C1366" t="s">
        <v>826</v>
      </c>
      <c r="D1366" t="s">
        <v>1019</v>
      </c>
      <c r="E1366" s="13" t="n">
        <v>0.75</v>
      </c>
      <c r="F1366" s="16" t="n">
        <v>58</v>
      </c>
      <c r="G1366" s="14" t="n">
        <v>-0.328778360091808</v>
      </c>
      <c r="H1366" s="15" t="n">
        <v>0.674095534724375</v>
      </c>
    </row>
    <row r="1367">
      <c r="A1367" t="s">
        <v>31</v>
      </c>
      <c r="B1367" t="s">
        <v>825</v>
      </c>
      <c r="C1367" t="s">
        <v>827</v>
      </c>
      <c r="D1367" t="s">
        <v>1019</v>
      </c>
      <c r="E1367" s="13" t="n">
        <v>0.25</v>
      </c>
      <c r="F1367" s="16" t="n">
        <v>122</v>
      </c>
      <c r="G1367" s="14" t="n">
        <v>-0.109592786697269</v>
      </c>
      <c r="H1367" s="15" t="n">
        <v>-0.224698511574792</v>
      </c>
    </row>
    <row r="1368">
      <c r="A1368" t="s">
        <v>30</v>
      </c>
      <c r="B1368" t="s">
        <v>828</v>
      </c>
      <c r="C1368" t="s">
        <v>829</v>
      </c>
      <c r="D1368" t="s">
        <v>1019</v>
      </c>
      <c r="E1368" s="13" t="n">
        <v>0.25</v>
      </c>
      <c r="F1368" s="16" t="n">
        <v>48</v>
      </c>
      <c r="G1368" s="14" t="n">
        <v>-0.0261321158169133</v>
      </c>
      <c r="H1368" s="15" t="n">
        <v>0.248630473842068</v>
      </c>
    </row>
    <row r="1369">
      <c r="A1369" t="s">
        <v>30</v>
      </c>
      <c r="B1369" t="s">
        <v>830</v>
      </c>
      <c r="C1369" t="s">
        <v>831</v>
      </c>
      <c r="D1369" t="s">
        <v>1019</v>
      </c>
      <c r="E1369" s="13" t="n">
        <v>0.25</v>
      </c>
      <c r="F1369" s="16" t="n">
        <v>33</v>
      </c>
      <c r="G1369" s="14" t="n">
        <v>0.10168416076895</v>
      </c>
      <c r="H1369" s="15" t="n">
        <v>0.22838636441065</v>
      </c>
    </row>
    <row r="1370">
      <c r="A1370" t="s">
        <v>30</v>
      </c>
      <c r="B1370" t="s">
        <v>830</v>
      </c>
      <c r="C1370" t="s">
        <v>832</v>
      </c>
      <c r="D1370" t="s">
        <v>1019</v>
      </c>
      <c r="E1370" s="13" t="n">
        <v>0</v>
      </c>
      <c r="F1370" s="16" t="n">
        <v>71</v>
      </c>
      <c r="G1370" s="14" t="n">
        <v>0</v>
      </c>
      <c r="H1370" s="15" t="n">
        <v>0</v>
      </c>
    </row>
    <row r="1371">
      <c r="A1371" t="s">
        <v>30</v>
      </c>
      <c r="B1371" t="s">
        <v>833</v>
      </c>
      <c r="C1371" t="s">
        <v>834</v>
      </c>
      <c r="D1371" t="s">
        <v>1019</v>
      </c>
      <c r="E1371" s="13" t="n">
        <v>0.25</v>
      </c>
      <c r="F1371" s="16" t="n">
        <v>103</v>
      </c>
      <c r="G1371" s="14" t="n">
        <v>-0.224698511574792</v>
      </c>
      <c r="H1371" s="15" t="n">
        <v>-0.109592786697269</v>
      </c>
    </row>
    <row r="1372">
      <c r="A1372" t="s">
        <v>30</v>
      </c>
      <c r="B1372" t="s">
        <v>833</v>
      </c>
      <c r="C1372" t="s">
        <v>835</v>
      </c>
      <c r="D1372" t="s">
        <v>1019</v>
      </c>
      <c r="E1372" s="13" t="n">
        <v>0.25</v>
      </c>
      <c r="F1372" s="16" t="n">
        <v>137</v>
      </c>
      <c r="G1372" s="14" t="n">
        <v>0.0174391184360313</v>
      </c>
      <c r="H1372" s="15" t="n">
        <v>-0.249391012564956</v>
      </c>
    </row>
    <row r="1373">
      <c r="A1373" t="s">
        <v>31</v>
      </c>
      <c r="B1373" t="s">
        <v>836</v>
      </c>
      <c r="C1373" t="s">
        <v>837</v>
      </c>
      <c r="D1373" t="s">
        <v>1019</v>
      </c>
      <c r="E1373" s="13" t="n">
        <v>0.25</v>
      </c>
      <c r="F1373" s="16" t="n">
        <v>86</v>
      </c>
      <c r="G1373" s="14" t="n">
        <v>-0.247567017185393</v>
      </c>
      <c r="H1373" s="15" t="n">
        <v>0.0347932752400163</v>
      </c>
    </row>
    <row r="1374">
      <c r="A1374" t="s">
        <v>31</v>
      </c>
      <c r="B1374" t="s">
        <v>836</v>
      </c>
      <c r="C1374" t="s">
        <v>838</v>
      </c>
      <c r="D1374" t="s">
        <v>1019</v>
      </c>
      <c r="E1374" s="13" t="n">
        <v>0.25</v>
      </c>
      <c r="F1374" s="16" t="n">
        <v>130</v>
      </c>
      <c r="G1374" s="14" t="n">
        <v>-0.0434120444167326</v>
      </c>
      <c r="H1374" s="15" t="n">
        <v>-0.246201938253052</v>
      </c>
    </row>
    <row r="1375">
      <c r="A1375" t="s">
        <v>31</v>
      </c>
      <c r="B1375" t="s">
        <v>839</v>
      </c>
      <c r="C1375" t="s">
        <v>840</v>
      </c>
      <c r="D1375" t="s">
        <v>1019</v>
      </c>
      <c r="E1375" s="13" t="n">
        <v>0.25</v>
      </c>
      <c r="F1375" s="16" t="n">
        <v>35</v>
      </c>
      <c r="G1375" s="14" t="n">
        <v>0.0855050358314172</v>
      </c>
      <c r="H1375" s="15" t="n">
        <v>0.234923155196477</v>
      </c>
    </row>
    <row r="1376">
      <c r="A1376" t="s">
        <v>30</v>
      </c>
      <c r="B1376" t="s">
        <v>841</v>
      </c>
      <c r="C1376" t="s">
        <v>842</v>
      </c>
      <c r="D1376" t="s">
        <v>1019</v>
      </c>
      <c r="E1376" s="13" t="n">
        <v>0</v>
      </c>
      <c r="F1376" s="16" t="n">
        <v>132</v>
      </c>
      <c r="G1376" s="14" t="n">
        <v>0</v>
      </c>
      <c r="H1376" s="15" t="n">
        <v>0</v>
      </c>
    </row>
    <row r="1377">
      <c r="A1377" t="s">
        <v>30</v>
      </c>
      <c r="B1377" t="s">
        <v>841</v>
      </c>
      <c r="C1377" t="s">
        <v>843</v>
      </c>
      <c r="D1377" t="s">
        <v>1019</v>
      </c>
      <c r="E1377" s="13" t="n">
        <v>0</v>
      </c>
      <c r="F1377" s="16" t="n">
        <v>1</v>
      </c>
      <c r="G1377" s="14" t="n">
        <v>0</v>
      </c>
      <c r="H1377" s="15" t="n">
        <v>0</v>
      </c>
    </row>
    <row r="1378">
      <c r="A1378" t="s">
        <v>30</v>
      </c>
      <c r="B1378" t="s">
        <v>844</v>
      </c>
      <c r="C1378" t="s">
        <v>845</v>
      </c>
      <c r="D1378" t="s">
        <v>1019</v>
      </c>
      <c r="E1378" s="13" t="n">
        <v>0.25</v>
      </c>
      <c r="F1378" s="16" t="n">
        <v>55</v>
      </c>
      <c r="G1378" s="14" t="n">
        <v>-0.0855050358314172</v>
      </c>
      <c r="H1378" s="15" t="n">
        <v>0.234923155196477</v>
      </c>
    </row>
    <row r="1379">
      <c r="A1379" t="s">
        <v>30</v>
      </c>
      <c r="B1379" t="s">
        <v>846</v>
      </c>
      <c r="C1379" t="s">
        <v>847</v>
      </c>
      <c r="D1379" t="s">
        <v>1019</v>
      </c>
      <c r="E1379" s="13" t="n">
        <v>0.25</v>
      </c>
      <c r="F1379" s="16" t="n">
        <v>42</v>
      </c>
      <c r="G1379" s="14" t="n">
        <v>0.0261321158169134</v>
      </c>
      <c r="H1379" s="15" t="n">
        <v>0.248630473842068</v>
      </c>
    </row>
    <row r="1380">
      <c r="A1380" t="s">
        <v>31</v>
      </c>
      <c r="B1380" t="s">
        <v>848</v>
      </c>
      <c r="C1380" t="s">
        <v>849</v>
      </c>
      <c r="D1380" t="s">
        <v>1019</v>
      </c>
      <c r="E1380" s="13" t="n">
        <v>0.5</v>
      </c>
      <c r="F1380" s="16" t="n">
        <v>112</v>
      </c>
      <c r="G1380" s="14" t="n">
        <v>-0.359669900169326</v>
      </c>
      <c r="H1380" s="15" t="n">
        <v>-0.347329185229499</v>
      </c>
    </row>
    <row r="1381">
      <c r="A1381" t="s">
        <v>31</v>
      </c>
      <c r="B1381" t="s">
        <v>848</v>
      </c>
      <c r="C1381" t="s">
        <v>850</v>
      </c>
      <c r="D1381" t="s">
        <v>1019</v>
      </c>
      <c r="E1381" s="13" t="n">
        <v>0.25</v>
      </c>
      <c r="F1381" s="16" t="n">
        <v>75</v>
      </c>
      <c r="G1381" s="14" t="n">
        <v>-0.21650635094611</v>
      </c>
      <c r="H1381" s="15" t="n">
        <v>0.125</v>
      </c>
    </row>
    <row r="1382">
      <c r="A1382" t="s">
        <v>31</v>
      </c>
      <c r="B1382" t="s">
        <v>851</v>
      </c>
      <c r="C1382" t="s">
        <v>852</v>
      </c>
      <c r="D1382" t="s">
        <v>1019</v>
      </c>
      <c r="E1382" s="13" t="n">
        <v>0.25</v>
      </c>
      <c r="F1382" s="16" t="n">
        <v>121</v>
      </c>
      <c r="G1382" s="14" t="n">
        <v>-0.117367890696473</v>
      </c>
      <c r="H1382" s="15" t="n">
        <v>-0.220736898214732</v>
      </c>
    </row>
    <row r="1383">
      <c r="A1383" t="s">
        <v>31</v>
      </c>
      <c r="B1383" t="s">
        <v>851</v>
      </c>
      <c r="C1383" t="s">
        <v>853</v>
      </c>
      <c r="D1383" t="s">
        <v>1019</v>
      </c>
      <c r="E1383" s="13" t="n">
        <v>0.5</v>
      </c>
      <c r="F1383" s="16" t="n">
        <v>60</v>
      </c>
      <c r="G1383" s="14" t="n">
        <v>-0.25</v>
      </c>
      <c r="H1383" s="15" t="n">
        <v>0.433012701892219</v>
      </c>
    </row>
    <row r="1384">
      <c r="A1384" t="s">
        <v>30</v>
      </c>
      <c r="B1384" t="s">
        <v>854</v>
      </c>
      <c r="C1384" t="s">
        <v>855</v>
      </c>
      <c r="D1384" t="s">
        <v>1019</v>
      </c>
      <c r="E1384" s="13" t="n">
        <v>0.75</v>
      </c>
      <c r="F1384" s="16" t="n">
        <v>41</v>
      </c>
      <c r="G1384" s="14" t="n">
        <v>0.104379825720049</v>
      </c>
      <c r="H1384" s="15" t="n">
        <v>0.742701051556178</v>
      </c>
    </row>
    <row r="1385">
      <c r="A1385" t="s">
        <v>31</v>
      </c>
      <c r="B1385" t="s">
        <v>856</v>
      </c>
      <c r="C1385" t="s">
        <v>857</v>
      </c>
      <c r="D1385" t="s">
        <v>1019</v>
      </c>
      <c r="E1385" s="13" t="n">
        <v>0.25</v>
      </c>
      <c r="F1385" s="16" t="n">
        <v>92</v>
      </c>
      <c r="G1385" s="14" t="n">
        <v>-0.249391012564956</v>
      </c>
      <c r="H1385" s="15" t="n">
        <v>-0.0174391184360313</v>
      </c>
    </row>
    <row r="1386">
      <c r="A1386" t="s">
        <v>31</v>
      </c>
      <c r="B1386" t="s">
        <v>856</v>
      </c>
      <c r="C1386" t="s">
        <v>858</v>
      </c>
      <c r="D1386" t="s">
        <v>1019</v>
      </c>
      <c r="E1386" s="13" t="n">
        <v>0.25</v>
      </c>
      <c r="F1386" s="16" t="n">
        <v>57</v>
      </c>
      <c r="G1386" s="14" t="n">
        <v>-0.10168416076895</v>
      </c>
      <c r="H1386" s="15" t="n">
        <v>0.22838636441065</v>
      </c>
    </row>
    <row r="1387">
      <c r="A1387" t="s">
        <v>31</v>
      </c>
      <c r="B1387" t="s">
        <v>859</v>
      </c>
      <c r="C1387" t="s">
        <v>860</v>
      </c>
      <c r="D1387" t="s">
        <v>1019</v>
      </c>
      <c r="E1387" s="13" t="n">
        <v>0.25</v>
      </c>
      <c r="F1387" s="16" t="n">
        <v>45</v>
      </c>
      <c r="G1387" s="14" t="n">
        <v>0</v>
      </c>
      <c r="H1387" s="15" t="n">
        <v>0.25</v>
      </c>
    </row>
    <row r="1388">
      <c r="A1388" t="s">
        <v>31</v>
      </c>
      <c r="B1388" t="s">
        <v>859</v>
      </c>
      <c r="C1388" t="s">
        <v>861</v>
      </c>
      <c r="D1388" t="s">
        <v>1019</v>
      </c>
      <c r="E1388" s="13" t="n">
        <v>0.25</v>
      </c>
      <c r="F1388" s="16" t="n">
        <v>122</v>
      </c>
      <c r="G1388" s="14" t="n">
        <v>-0.109592786697269</v>
      </c>
      <c r="H1388" s="15" t="n">
        <v>-0.224698511574792</v>
      </c>
    </row>
    <row r="1389">
      <c r="A1389" t="s">
        <v>30</v>
      </c>
      <c r="B1389" t="s">
        <v>862</v>
      </c>
      <c r="C1389" t="s">
        <v>863</v>
      </c>
      <c r="D1389" t="s">
        <v>1019</v>
      </c>
      <c r="E1389" s="13" t="n">
        <v>0.5</v>
      </c>
      <c r="F1389" s="16" t="n">
        <v>37</v>
      </c>
      <c r="G1389" s="14" t="n">
        <v>0.1378186779085</v>
      </c>
      <c r="H1389" s="15" t="n">
        <v>0.480630847969159</v>
      </c>
    </row>
    <row r="1390">
      <c r="A1390" t="s">
        <v>30</v>
      </c>
      <c r="B1390" t="s">
        <v>864</v>
      </c>
      <c r="C1390" t="s">
        <v>865</v>
      </c>
      <c r="D1390" t="s">
        <v>1019</v>
      </c>
      <c r="E1390" s="13" t="n">
        <v>0</v>
      </c>
      <c r="F1390" s="16" t="n">
        <v>66</v>
      </c>
      <c r="G1390" s="14" t="n">
        <v>0</v>
      </c>
      <c r="H1390" s="15" t="n">
        <v>0</v>
      </c>
    </row>
    <row r="1391">
      <c r="A1391" t="s">
        <v>30</v>
      </c>
      <c r="B1391" t="s">
        <v>864</v>
      </c>
      <c r="C1391" t="s">
        <v>866</v>
      </c>
      <c r="D1391" t="s">
        <v>1019</v>
      </c>
      <c r="E1391" s="13" t="n">
        <v>0.25</v>
      </c>
      <c r="F1391" s="16" t="n">
        <v>22</v>
      </c>
      <c r="G1391" s="14" t="n">
        <v>0.179834950084663</v>
      </c>
      <c r="H1391" s="15" t="n">
        <v>0.173664592614749</v>
      </c>
    </row>
    <row r="1392">
      <c r="A1392" t="s">
        <v>30</v>
      </c>
      <c r="B1392" t="s">
        <v>867</v>
      </c>
      <c r="C1392" t="s">
        <v>868</v>
      </c>
      <c r="D1392" t="s">
        <v>1019</v>
      </c>
      <c r="E1392" s="13" t="n">
        <v>0.25</v>
      </c>
      <c r="F1392" s="16" t="n">
        <v>66</v>
      </c>
      <c r="G1392" s="14" t="n">
        <v>-0.167282651589714</v>
      </c>
      <c r="H1392" s="15" t="n">
        <v>0.185786206369349</v>
      </c>
    </row>
    <row r="1393">
      <c r="A1393" t="s">
        <v>30</v>
      </c>
      <c r="B1393" t="s">
        <v>869</v>
      </c>
      <c r="C1393" t="s">
        <v>870</v>
      </c>
      <c r="D1393" t="s">
        <v>1019</v>
      </c>
      <c r="E1393" s="13" t="n">
        <v>0</v>
      </c>
      <c r="F1393" s="16" t="n">
        <v>166</v>
      </c>
      <c r="G1393" s="14" t="n">
        <v>0</v>
      </c>
      <c r="H1393" s="15" t="n">
        <v>0</v>
      </c>
    </row>
    <row r="1394">
      <c r="A1394" t="s">
        <v>30</v>
      </c>
      <c r="B1394" t="s">
        <v>871</v>
      </c>
      <c r="C1394" t="s">
        <v>872</v>
      </c>
      <c r="D1394" t="s">
        <v>1019</v>
      </c>
      <c r="E1394" s="13" t="n">
        <v>0.5</v>
      </c>
      <c r="F1394" s="16" t="n">
        <v>78</v>
      </c>
      <c r="G1394" s="14" t="n">
        <v>-0.4567727288213</v>
      </c>
      <c r="H1394" s="15" t="n">
        <v>0.2033683215379</v>
      </c>
    </row>
    <row r="1395">
      <c r="A1395" t="s">
        <v>30</v>
      </c>
      <c r="B1395" t="s">
        <v>871</v>
      </c>
      <c r="C1395" t="s">
        <v>873</v>
      </c>
      <c r="D1395" t="s">
        <v>1019</v>
      </c>
      <c r="E1395" s="13" t="n">
        <v>0.5</v>
      </c>
      <c r="F1395" s="16" t="n">
        <v>130</v>
      </c>
      <c r="G1395" s="14" t="n">
        <v>-0.0868240888334652</v>
      </c>
      <c r="H1395" s="15" t="n">
        <v>-0.492403876506104</v>
      </c>
    </row>
    <row r="1396">
      <c r="A1396" t="s">
        <v>31</v>
      </c>
      <c r="B1396" t="s">
        <v>874</v>
      </c>
      <c r="C1396" t="s">
        <v>875</v>
      </c>
      <c r="D1396" t="s">
        <v>1019</v>
      </c>
      <c r="E1396" s="13" t="n">
        <v>0</v>
      </c>
      <c r="F1396" s="16" t="n">
        <v>171</v>
      </c>
      <c r="G1396" s="14" t="n">
        <v>0</v>
      </c>
      <c r="H1396" s="15" t="n">
        <v>0</v>
      </c>
    </row>
    <row r="1397">
      <c r="A1397" t="s">
        <v>31</v>
      </c>
      <c r="B1397" t="s">
        <v>876</v>
      </c>
      <c r="C1397" t="s">
        <v>877</v>
      </c>
      <c r="D1397" t="s">
        <v>1019</v>
      </c>
      <c r="E1397" s="13" t="n">
        <v>0.25</v>
      </c>
      <c r="F1397" s="16" t="n">
        <v>139</v>
      </c>
      <c r="G1397" s="14" t="n">
        <v>0.0347932752400164</v>
      </c>
      <c r="H1397" s="15" t="n">
        <v>-0.247567017185393</v>
      </c>
    </row>
    <row r="1398">
      <c r="A1398" t="s">
        <v>30</v>
      </c>
      <c r="B1398" t="s">
        <v>878</v>
      </c>
      <c r="C1398" t="s">
        <v>879</v>
      </c>
      <c r="D1398" t="s">
        <v>1019</v>
      </c>
      <c r="E1398" s="13" t="n">
        <v>0.5</v>
      </c>
      <c r="F1398" s="16" t="n">
        <v>1</v>
      </c>
      <c r="G1398" s="14" t="n">
        <v>0.499695413509548</v>
      </c>
      <c r="H1398" s="15" t="n">
        <v>0.0174497483512505</v>
      </c>
    </row>
    <row r="1399">
      <c r="A1399" t="s">
        <v>30</v>
      </c>
      <c r="B1399" t="s">
        <v>878</v>
      </c>
      <c r="C1399" t="s">
        <v>880</v>
      </c>
      <c r="D1399" t="s">
        <v>1019</v>
      </c>
      <c r="E1399" s="13" t="n">
        <v>0.25</v>
      </c>
      <c r="F1399" s="16" t="n">
        <v>177</v>
      </c>
      <c r="G1399" s="14" t="n">
        <v>0.248630473842068</v>
      </c>
      <c r="H1399" s="15" t="n">
        <v>-0.0261321158169134</v>
      </c>
    </row>
    <row r="1400">
      <c r="A1400" t="s">
        <v>31</v>
      </c>
      <c r="B1400" t="s">
        <v>881</v>
      </c>
      <c r="C1400" t="s">
        <v>882</v>
      </c>
      <c r="D1400" t="s">
        <v>1019</v>
      </c>
      <c r="E1400" s="13" t="n">
        <v>0</v>
      </c>
      <c r="F1400" s="16" t="n">
        <v>114</v>
      </c>
      <c r="G1400" s="14" t="n">
        <v>0</v>
      </c>
      <c r="H1400" s="15" t="n">
        <v>0</v>
      </c>
    </row>
    <row r="1401">
      <c r="A1401" t="s">
        <v>31</v>
      </c>
      <c r="B1401" t="s">
        <v>881</v>
      </c>
      <c r="C1401" t="s">
        <v>883</v>
      </c>
      <c r="D1401" t="s">
        <v>1019</v>
      </c>
      <c r="E1401" s="13" t="n">
        <v>0.25</v>
      </c>
      <c r="F1401" s="16" t="n">
        <v>138</v>
      </c>
      <c r="G1401" s="14" t="n">
        <v>0.0261321158169135</v>
      </c>
      <c r="H1401" s="15" t="n">
        <v>-0.248630473842068</v>
      </c>
    </row>
    <row r="1402">
      <c r="A1402" t="s">
        <v>30</v>
      </c>
      <c r="B1402" t="s">
        <v>884</v>
      </c>
      <c r="C1402" t="s">
        <v>885</v>
      </c>
      <c r="D1402" t="s">
        <v>1019</v>
      </c>
      <c r="E1402" s="13" t="n">
        <v>0.75</v>
      </c>
      <c r="F1402" s="16" t="n">
        <v>62</v>
      </c>
      <c r="G1402" s="14" t="n">
        <v>-0.41939467760306</v>
      </c>
      <c r="H1402" s="15" t="n">
        <v>0.621778179416281</v>
      </c>
    </row>
    <row r="1403">
      <c r="A1403" t="s">
        <v>30</v>
      </c>
      <c r="B1403" t="s">
        <v>884</v>
      </c>
      <c r="C1403" t="s">
        <v>886</v>
      </c>
      <c r="D1403" t="s">
        <v>1019</v>
      </c>
      <c r="E1403" s="13" t="n">
        <v>0.75</v>
      </c>
      <c r="F1403" s="16" t="n">
        <v>116</v>
      </c>
      <c r="G1403" s="14" t="n">
        <v>-0.461746106494244</v>
      </c>
      <c r="H1403" s="15" t="n">
        <v>-0.591008065205042</v>
      </c>
    </row>
    <row r="1404">
      <c r="A1404" t="s">
        <v>30</v>
      </c>
      <c r="B1404" t="s">
        <v>887</v>
      </c>
      <c r="C1404" t="s">
        <v>888</v>
      </c>
      <c r="D1404" t="s">
        <v>1019</v>
      </c>
      <c r="E1404" s="13" t="n">
        <v>0.25</v>
      </c>
      <c r="F1404" s="16" t="n">
        <v>138</v>
      </c>
      <c r="G1404" s="14" t="n">
        <v>0.0261321158169135</v>
      </c>
      <c r="H1404" s="15" t="n">
        <v>-0.248630473842068</v>
      </c>
    </row>
    <row r="1405">
      <c r="A1405" t="s">
        <v>30</v>
      </c>
      <c r="B1405" t="s">
        <v>887</v>
      </c>
      <c r="C1405" t="s">
        <v>889</v>
      </c>
      <c r="D1405" t="s">
        <v>1019</v>
      </c>
      <c r="E1405" s="13" t="n">
        <v>0.5</v>
      </c>
      <c r="F1405" s="16" t="n">
        <v>87</v>
      </c>
      <c r="G1405" s="14" t="n">
        <v>-0.497260947684137</v>
      </c>
      <c r="H1405" s="15" t="n">
        <v>0.0522642316338269</v>
      </c>
    </row>
    <row r="1406">
      <c r="A1406" t="s">
        <v>30</v>
      </c>
      <c r="B1406" t="s">
        <v>890</v>
      </c>
      <c r="C1406" t="s">
        <v>891</v>
      </c>
      <c r="D1406" t="s">
        <v>1019</v>
      </c>
      <c r="E1406" s="13" t="n">
        <v>0.25</v>
      </c>
      <c r="F1406" s="16" t="n">
        <v>67</v>
      </c>
      <c r="G1406" s="14" t="n">
        <v>-0.173664592614749</v>
      </c>
      <c r="H1406" s="15" t="n">
        <v>0.179834950084663</v>
      </c>
    </row>
    <row r="1407">
      <c r="A1407" t="s">
        <v>30</v>
      </c>
      <c r="B1407" t="s">
        <v>890</v>
      </c>
      <c r="C1407" t="s">
        <v>892</v>
      </c>
      <c r="D1407" t="s">
        <v>1019</v>
      </c>
      <c r="E1407" s="13" t="n">
        <v>0</v>
      </c>
      <c r="F1407" s="16" t="n">
        <v>110</v>
      </c>
      <c r="G1407" s="14" t="n">
        <v>0</v>
      </c>
      <c r="H1407" s="15" t="n">
        <v>0</v>
      </c>
    </row>
    <row r="1408">
      <c r="A1408" t="s">
        <v>30</v>
      </c>
      <c r="B1408" t="s">
        <v>893</v>
      </c>
      <c r="C1408" t="s">
        <v>894</v>
      </c>
      <c r="D1408" t="s">
        <v>1019</v>
      </c>
      <c r="E1408" s="13" t="n">
        <v>0.25</v>
      </c>
      <c r="F1408" s="16" t="n">
        <v>144</v>
      </c>
      <c r="G1408" s="14" t="n">
        <v>0.0772542485937368</v>
      </c>
      <c r="H1408" s="15" t="n">
        <v>-0.237764129073788</v>
      </c>
    </row>
    <row r="1409">
      <c r="A1409" t="s">
        <v>30</v>
      </c>
      <c r="B1409" t="s">
        <v>893</v>
      </c>
      <c r="C1409" t="s">
        <v>895</v>
      </c>
      <c r="D1409" t="s">
        <v>1019</v>
      </c>
      <c r="E1409" s="13" t="n">
        <v>0.25</v>
      </c>
      <c r="F1409" s="16" t="n">
        <v>64</v>
      </c>
      <c r="G1409" s="14" t="n">
        <v>-0.153915368831415</v>
      </c>
      <c r="H1409" s="15" t="n">
        <v>0.197002688401681</v>
      </c>
    </row>
    <row r="1410">
      <c r="A1410" t="s">
        <v>31</v>
      </c>
      <c r="B1410" t="s">
        <v>896</v>
      </c>
      <c r="C1410" t="s">
        <v>897</v>
      </c>
      <c r="D1410" t="s">
        <v>1019</v>
      </c>
      <c r="E1410" s="13" t="n">
        <v>0.25</v>
      </c>
      <c r="F1410" s="16" t="n">
        <v>18</v>
      </c>
      <c r="G1410" s="14" t="n">
        <v>0.202254248593737</v>
      </c>
      <c r="H1410" s="15" t="n">
        <v>0.146946313073118</v>
      </c>
    </row>
    <row r="1411">
      <c r="A1411" t="s">
        <v>31</v>
      </c>
      <c r="B1411" t="s">
        <v>896</v>
      </c>
      <c r="C1411" t="s">
        <v>898</v>
      </c>
      <c r="D1411" t="s">
        <v>1019</v>
      </c>
      <c r="E1411" s="13" t="n">
        <v>0.25</v>
      </c>
      <c r="F1411" s="16" t="n">
        <v>165</v>
      </c>
      <c r="G1411" s="14" t="n">
        <v>0.21650635094611</v>
      </c>
      <c r="H1411" s="15" t="n">
        <v>-0.125</v>
      </c>
    </row>
    <row r="1412">
      <c r="A1412" t="s">
        <v>30</v>
      </c>
      <c r="B1412" t="s">
        <v>899</v>
      </c>
      <c r="C1412" t="s">
        <v>900</v>
      </c>
      <c r="D1412" t="s">
        <v>1019</v>
      </c>
      <c r="E1412" s="13" t="n">
        <v>0.25</v>
      </c>
      <c r="F1412" s="16" t="n">
        <v>158</v>
      </c>
      <c r="G1412" s="14" t="n">
        <v>0.179834950084663</v>
      </c>
      <c r="H1412" s="15" t="n">
        <v>-0.173664592614749</v>
      </c>
    </row>
    <row r="1413">
      <c r="A1413" t="s">
        <v>30</v>
      </c>
      <c r="B1413" t="s">
        <v>899</v>
      </c>
      <c r="C1413" t="s">
        <v>901</v>
      </c>
      <c r="D1413" t="s">
        <v>1019</v>
      </c>
      <c r="E1413" s="13" t="n">
        <v>0.25</v>
      </c>
      <c r="F1413" s="16" t="n">
        <v>131</v>
      </c>
      <c r="G1413" s="14" t="n">
        <v>-0.0347932752400165</v>
      </c>
      <c r="H1413" s="15" t="n">
        <v>-0.247567017185393</v>
      </c>
    </row>
    <row r="1414">
      <c r="A1414" t="s">
        <v>30</v>
      </c>
      <c r="B1414" t="s">
        <v>902</v>
      </c>
      <c r="C1414" t="s">
        <v>903</v>
      </c>
      <c r="D1414" t="s">
        <v>1019</v>
      </c>
      <c r="E1414" s="13" t="n">
        <v>0.25</v>
      </c>
      <c r="F1414" s="16" t="n">
        <v>27</v>
      </c>
      <c r="G1414" s="14" t="n">
        <v>0.146946313073118</v>
      </c>
      <c r="H1414" s="15" t="n">
        <v>0.202254248593737</v>
      </c>
    </row>
    <row r="1415">
      <c r="A1415" t="s">
        <v>31</v>
      </c>
      <c r="B1415" t="s">
        <v>904</v>
      </c>
      <c r="C1415" t="s">
        <v>905</v>
      </c>
      <c r="D1415" t="s">
        <v>1019</v>
      </c>
      <c r="E1415" s="13" t="n">
        <v>0</v>
      </c>
      <c r="F1415" s="16" t="n">
        <v>23</v>
      </c>
      <c r="G1415" s="14" t="n">
        <v>0</v>
      </c>
      <c r="H1415" s="15" t="n">
        <v>0</v>
      </c>
    </row>
    <row r="1416">
      <c r="A1416" t="s">
        <v>31</v>
      </c>
      <c r="B1416" t="s">
        <v>904</v>
      </c>
      <c r="C1416" t="s">
        <v>906</v>
      </c>
      <c r="D1416" t="s">
        <v>1019</v>
      </c>
      <c r="E1416" s="13" t="n">
        <v>0.25</v>
      </c>
      <c r="F1416" s="16" t="n">
        <v>141</v>
      </c>
      <c r="G1416" s="14" t="n">
        <v>0.0519779227044399</v>
      </c>
      <c r="H1416" s="15" t="n">
        <v>-0.244536900183451</v>
      </c>
    </row>
    <row r="1417">
      <c r="A1417" t="s">
        <v>30</v>
      </c>
      <c r="B1417" t="s">
        <v>907</v>
      </c>
      <c r="C1417" t="s">
        <v>908</v>
      </c>
      <c r="D1417" t="s">
        <v>1019</v>
      </c>
      <c r="E1417" s="13" t="n">
        <v>0</v>
      </c>
      <c r="F1417" s="16" t="n">
        <v>108</v>
      </c>
      <c r="G1417" s="14" t="n">
        <v>0</v>
      </c>
      <c r="H1417" s="15" t="n">
        <v>0</v>
      </c>
    </row>
    <row r="1418">
      <c r="A1418" t="s">
        <v>30</v>
      </c>
      <c r="B1418" t="s">
        <v>907</v>
      </c>
      <c r="C1418" t="s">
        <v>909</v>
      </c>
      <c r="D1418" t="s">
        <v>1019</v>
      </c>
      <c r="E1418" s="13" t="n">
        <v>0</v>
      </c>
      <c r="F1418" s="16" t="n">
        <v>97</v>
      </c>
      <c r="G1418" s="14" t="n">
        <v>0</v>
      </c>
      <c r="H1418" s="15" t="n">
        <v>0</v>
      </c>
    </row>
    <row r="1419">
      <c r="A1419" t="s">
        <v>31</v>
      </c>
      <c r="B1419" t="s">
        <v>910</v>
      </c>
      <c r="C1419" t="s">
        <v>911</v>
      </c>
      <c r="D1419" t="s">
        <v>1019</v>
      </c>
      <c r="E1419" s="13" t="n">
        <v>0</v>
      </c>
      <c r="F1419" s="16" t="n">
        <v>167</v>
      </c>
      <c r="G1419" s="14" t="n">
        <v>0</v>
      </c>
      <c r="H1419" s="15" t="n">
        <v>0</v>
      </c>
    </row>
    <row r="1420">
      <c r="A1420" t="s">
        <v>31</v>
      </c>
      <c r="B1420" t="s">
        <v>910</v>
      </c>
      <c r="C1420" t="s">
        <v>912</v>
      </c>
      <c r="D1420" t="s">
        <v>1019</v>
      </c>
      <c r="E1420" s="13" t="n">
        <v>0</v>
      </c>
      <c r="F1420" s="16" t="n">
        <v>163</v>
      </c>
      <c r="G1420" s="14" t="n">
        <v>0</v>
      </c>
      <c r="H1420" s="15" t="n">
        <v>0</v>
      </c>
    </row>
    <row r="1421">
      <c r="A1421" t="s">
        <v>30</v>
      </c>
      <c r="B1421" t="s">
        <v>913</v>
      </c>
      <c r="C1421" t="s">
        <v>914</v>
      </c>
      <c r="D1421" t="s">
        <v>1019</v>
      </c>
      <c r="E1421" s="13" t="n">
        <v>0.25</v>
      </c>
      <c r="F1421" s="16" t="n">
        <v>162</v>
      </c>
      <c r="G1421" s="14" t="n">
        <v>0.202254248593737</v>
      </c>
      <c r="H1421" s="15" t="n">
        <v>-0.146946313073118</v>
      </c>
    </row>
    <row r="1422">
      <c r="A1422" t="s">
        <v>30</v>
      </c>
      <c r="B1422" t="s">
        <v>913</v>
      </c>
      <c r="C1422" t="s">
        <v>915</v>
      </c>
      <c r="D1422" t="s">
        <v>1019</v>
      </c>
      <c r="E1422" s="13" t="n">
        <v>0</v>
      </c>
      <c r="F1422" s="16" t="n">
        <v>132</v>
      </c>
      <c r="G1422" s="14" t="n">
        <v>0</v>
      </c>
      <c r="H1422" s="15" t="n">
        <v>0</v>
      </c>
    </row>
    <row r="1423">
      <c r="A1423" t="s">
        <v>31</v>
      </c>
      <c r="B1423" t="s">
        <v>916</v>
      </c>
      <c r="C1423" t="s">
        <v>917</v>
      </c>
      <c r="D1423" t="s">
        <v>1019</v>
      </c>
      <c r="E1423" s="13" t="n">
        <v>0.25</v>
      </c>
      <c r="F1423" s="16" t="n">
        <v>20</v>
      </c>
      <c r="G1423" s="14" t="n">
        <v>0.191511110779745</v>
      </c>
      <c r="H1423" s="15" t="n">
        <v>0.160696902421635</v>
      </c>
    </row>
    <row r="1424">
      <c r="A1424" t="s">
        <v>30</v>
      </c>
      <c r="B1424" t="s">
        <v>918</v>
      </c>
      <c r="C1424" t="s">
        <v>919</v>
      </c>
      <c r="D1424" t="s">
        <v>1019</v>
      </c>
      <c r="E1424" s="13" t="n">
        <v>0</v>
      </c>
      <c r="F1424" s="16" t="n">
        <v>142</v>
      </c>
      <c r="G1424" s="14" t="n">
        <v>0</v>
      </c>
      <c r="H1424" s="15" t="n">
        <v>0</v>
      </c>
    </row>
    <row r="1425">
      <c r="A1425" t="s">
        <v>30</v>
      </c>
      <c r="B1425" t="s">
        <v>918</v>
      </c>
      <c r="C1425" t="s">
        <v>920</v>
      </c>
      <c r="D1425" t="s">
        <v>1019</v>
      </c>
      <c r="E1425" s="13" t="n">
        <v>0.25</v>
      </c>
      <c r="F1425" s="16" t="n">
        <v>48</v>
      </c>
      <c r="G1425" s="14" t="n">
        <v>-0.0261321158169133</v>
      </c>
      <c r="H1425" s="15" t="n">
        <v>0.248630473842068</v>
      </c>
    </row>
    <row r="1426">
      <c r="A1426" t="s">
        <v>30</v>
      </c>
      <c r="B1426" t="s">
        <v>921</v>
      </c>
      <c r="C1426" t="s">
        <v>922</v>
      </c>
      <c r="D1426" t="s">
        <v>1019</v>
      </c>
      <c r="E1426" s="13" t="n">
        <v>0.25</v>
      </c>
      <c r="F1426" s="16" t="n">
        <v>51</v>
      </c>
      <c r="G1426" s="14" t="n">
        <v>-0.0519779227044398</v>
      </c>
      <c r="H1426" s="15" t="n">
        <v>0.244536900183451</v>
      </c>
    </row>
    <row r="1427">
      <c r="A1427" t="s">
        <v>30</v>
      </c>
      <c r="B1427" t="s">
        <v>923</v>
      </c>
      <c r="C1427" t="s">
        <v>924</v>
      </c>
      <c r="D1427" t="s">
        <v>1019</v>
      </c>
      <c r="E1427" s="13" t="n">
        <v>0.25</v>
      </c>
      <c r="F1427" s="16" t="n">
        <v>156</v>
      </c>
      <c r="G1427" s="14" t="n">
        <v>0.167282651589715</v>
      </c>
      <c r="H1427" s="15" t="n">
        <v>-0.185786206369349</v>
      </c>
    </row>
    <row r="1428">
      <c r="A1428" t="s">
        <v>30</v>
      </c>
      <c r="B1428" t="s">
        <v>923</v>
      </c>
      <c r="C1428" t="s">
        <v>925</v>
      </c>
      <c r="D1428" t="s">
        <v>1019</v>
      </c>
      <c r="E1428" s="13" t="n">
        <v>0</v>
      </c>
      <c r="F1428" s="16" t="n">
        <v>31</v>
      </c>
      <c r="G1428" s="14" t="n">
        <v>0</v>
      </c>
      <c r="H1428" s="15" t="n">
        <v>0</v>
      </c>
    </row>
    <row r="1429">
      <c r="A1429" t="s">
        <v>30</v>
      </c>
      <c r="B1429" t="s">
        <v>926</v>
      </c>
      <c r="C1429" t="s">
        <v>927</v>
      </c>
      <c r="D1429" t="s">
        <v>1019</v>
      </c>
      <c r="E1429" s="13" t="n">
        <v>0.25</v>
      </c>
      <c r="F1429" s="16" t="n">
        <v>6</v>
      </c>
      <c r="G1429" s="14" t="n">
        <v>0.244536900183451</v>
      </c>
      <c r="H1429" s="15" t="n">
        <v>0.0519779227044398</v>
      </c>
    </row>
    <row r="1430">
      <c r="A1430" t="s">
        <v>30</v>
      </c>
      <c r="B1430" t="s">
        <v>928</v>
      </c>
      <c r="C1430" t="s">
        <v>929</v>
      </c>
      <c r="D1430" t="s">
        <v>1019</v>
      </c>
      <c r="E1430" s="13" t="n">
        <v>0</v>
      </c>
      <c r="F1430" s="16" t="n">
        <v>9</v>
      </c>
      <c r="G1430" s="14" t="n">
        <v>0</v>
      </c>
      <c r="H1430" s="15" t="n">
        <v>0</v>
      </c>
    </row>
    <row r="1431">
      <c r="A1431" t="s">
        <v>30</v>
      </c>
      <c r="B1431" t="s">
        <v>928</v>
      </c>
      <c r="C1431" t="s">
        <v>930</v>
      </c>
      <c r="D1431" t="s">
        <v>1019</v>
      </c>
      <c r="E1431" s="13" t="n">
        <v>0.25</v>
      </c>
      <c r="F1431" s="16" t="n">
        <v>55</v>
      </c>
      <c r="G1431" s="14" t="n">
        <v>-0.0855050358314172</v>
      </c>
      <c r="H1431" s="15" t="n">
        <v>0.234923155196477</v>
      </c>
    </row>
    <row r="1432">
      <c r="A1432" t="s">
        <v>30</v>
      </c>
      <c r="B1432" t="s">
        <v>931</v>
      </c>
      <c r="C1432" t="s">
        <v>932</v>
      </c>
      <c r="D1432" t="s">
        <v>1019</v>
      </c>
      <c r="E1432" s="13" t="n">
        <v>0.25</v>
      </c>
      <c r="F1432" s="16" t="n">
        <v>160</v>
      </c>
      <c r="G1432" s="14" t="n">
        <v>0.191511110779744</v>
      </c>
      <c r="H1432" s="15" t="n">
        <v>-0.160696902421635</v>
      </c>
    </row>
    <row r="1433">
      <c r="A1433" t="s">
        <v>30</v>
      </c>
      <c r="B1433" t="s">
        <v>931</v>
      </c>
      <c r="C1433" t="s">
        <v>933</v>
      </c>
      <c r="D1433" t="s">
        <v>1019</v>
      </c>
      <c r="E1433" s="13" t="n">
        <v>0.25</v>
      </c>
      <c r="F1433" s="16" t="n">
        <v>20</v>
      </c>
      <c r="G1433" s="14" t="n">
        <v>0.191511110779745</v>
      </c>
      <c r="H1433" s="15" t="n">
        <v>0.160696902421635</v>
      </c>
    </row>
    <row r="1434">
      <c r="A1434" t="s">
        <v>31</v>
      </c>
      <c r="B1434" t="s">
        <v>934</v>
      </c>
      <c r="C1434" t="s">
        <v>935</v>
      </c>
      <c r="D1434" t="s">
        <v>1019</v>
      </c>
      <c r="E1434" s="13" t="n">
        <v>0</v>
      </c>
      <c r="F1434" s="16" t="n">
        <v>32</v>
      </c>
      <c r="G1434" s="14" t="n">
        <v>0</v>
      </c>
      <c r="H1434" s="15" t="n">
        <v>0</v>
      </c>
    </row>
    <row r="1435">
      <c r="A1435" t="s">
        <v>30</v>
      </c>
      <c r="B1435" t="s">
        <v>936</v>
      </c>
      <c r="C1435" t="s">
        <v>937</v>
      </c>
      <c r="D1435" t="s">
        <v>1019</v>
      </c>
      <c r="E1435" s="13" t="n">
        <v>0.25</v>
      </c>
      <c r="F1435" s="16" t="n">
        <v>67</v>
      </c>
      <c r="G1435" s="14" t="n">
        <v>-0.173664592614749</v>
      </c>
      <c r="H1435" s="15" t="n">
        <v>0.179834950084663</v>
      </c>
    </row>
    <row r="1436">
      <c r="A1436" t="s">
        <v>30</v>
      </c>
      <c r="B1436" t="s">
        <v>936</v>
      </c>
      <c r="C1436" t="s">
        <v>938</v>
      </c>
      <c r="D1436" t="s">
        <v>1019</v>
      </c>
      <c r="E1436" s="13" t="n">
        <v>0.25</v>
      </c>
      <c r="F1436" s="16" t="n">
        <v>132</v>
      </c>
      <c r="G1436" s="14" t="n">
        <v>-0.0261321158169136</v>
      </c>
      <c r="H1436" s="15" t="n">
        <v>-0.248630473842068</v>
      </c>
    </row>
    <row r="1437">
      <c r="A1437" t="s">
        <v>31</v>
      </c>
      <c r="B1437" t="s">
        <v>939</v>
      </c>
      <c r="C1437" t="s">
        <v>940</v>
      </c>
      <c r="D1437" t="s">
        <v>1019</v>
      </c>
      <c r="E1437" s="13" t="n">
        <v>0.25</v>
      </c>
      <c r="F1437" s="16" t="n">
        <v>174</v>
      </c>
      <c r="G1437" s="14" t="n">
        <v>0.244536900183451</v>
      </c>
      <c r="H1437" s="15" t="n">
        <v>-0.0519779227044398</v>
      </c>
    </row>
    <row r="1438">
      <c r="A1438" t="s">
        <v>31</v>
      </c>
      <c r="B1438" t="s">
        <v>939</v>
      </c>
      <c r="C1438" t="s">
        <v>941</v>
      </c>
      <c r="D1438" t="s">
        <v>1019</v>
      </c>
      <c r="E1438" s="13" t="n">
        <v>0.25</v>
      </c>
      <c r="F1438" s="16" t="n">
        <v>138</v>
      </c>
      <c r="G1438" s="14" t="n">
        <v>0.0261321158169135</v>
      </c>
      <c r="H1438" s="15" t="n">
        <v>-0.248630473842068</v>
      </c>
    </row>
    <row r="1439">
      <c r="A1439" t="s">
        <v>31</v>
      </c>
      <c r="B1439" t="s">
        <v>942</v>
      </c>
      <c r="C1439" t="s">
        <v>943</v>
      </c>
      <c r="D1439" t="s">
        <v>1019</v>
      </c>
      <c r="E1439" s="13" t="n">
        <v>0.25</v>
      </c>
      <c r="F1439" s="16" t="n">
        <v>99</v>
      </c>
      <c r="G1439" s="14" t="n">
        <v>-0.237764129073788</v>
      </c>
      <c r="H1439" s="15" t="n">
        <v>-0.077254248593737</v>
      </c>
    </row>
    <row r="1440">
      <c r="A1440" t="s">
        <v>31</v>
      </c>
      <c r="B1440" t="s">
        <v>942</v>
      </c>
      <c r="C1440" t="s">
        <v>944</v>
      </c>
      <c r="D1440" t="s">
        <v>1019</v>
      </c>
      <c r="E1440" s="13" t="n">
        <v>0.25</v>
      </c>
      <c r="F1440" s="16" t="n">
        <v>44</v>
      </c>
      <c r="G1440" s="14" t="n">
        <v>0.00872487417562527</v>
      </c>
      <c r="H1440" s="15" t="n">
        <v>0.249847706754774</v>
      </c>
    </row>
    <row r="1441">
      <c r="A1441" t="s">
        <v>30</v>
      </c>
      <c r="B1441" t="s">
        <v>945</v>
      </c>
      <c r="C1441" t="s">
        <v>946</v>
      </c>
      <c r="D1441" t="s">
        <v>1019</v>
      </c>
      <c r="E1441" s="13" t="n">
        <v>0.25</v>
      </c>
      <c r="F1441" s="16" t="n">
        <v>161</v>
      </c>
      <c r="G1441" s="14" t="n">
        <v>0.197002688401681</v>
      </c>
      <c r="H1441" s="15" t="n">
        <v>-0.153915368831415</v>
      </c>
    </row>
    <row r="1442">
      <c r="A1442" t="s">
        <v>30</v>
      </c>
      <c r="B1442" t="s">
        <v>945</v>
      </c>
      <c r="C1442" t="s">
        <v>947</v>
      </c>
      <c r="D1442" t="s">
        <v>1019</v>
      </c>
      <c r="E1442" s="13" t="n">
        <v>0.25</v>
      </c>
      <c r="F1442" s="16" t="n">
        <v>46</v>
      </c>
      <c r="G1442" s="14" t="n">
        <v>-0.00872487417562518</v>
      </c>
      <c r="H1442" s="15" t="n">
        <v>0.249847706754774</v>
      </c>
    </row>
    <row r="1443">
      <c r="A1443" t="s">
        <v>30</v>
      </c>
      <c r="B1443" t="s">
        <v>948</v>
      </c>
      <c r="C1443" t="s">
        <v>949</v>
      </c>
      <c r="D1443" t="s">
        <v>1019</v>
      </c>
      <c r="E1443" s="13" t="n">
        <v>0</v>
      </c>
      <c r="F1443" s="16" t="n">
        <v>80</v>
      </c>
      <c r="G1443" s="14" t="n">
        <v>0</v>
      </c>
      <c r="H1443" s="15" t="n">
        <v>0</v>
      </c>
    </row>
    <row r="1444">
      <c r="A1444" t="s">
        <v>30</v>
      </c>
      <c r="B1444" t="s">
        <v>948</v>
      </c>
      <c r="C1444" t="s">
        <v>950</v>
      </c>
      <c r="D1444" t="s">
        <v>1019</v>
      </c>
      <c r="E1444" s="13" t="n">
        <v>0.25</v>
      </c>
      <c r="F1444" s="16" t="n">
        <v>75</v>
      </c>
      <c r="G1444" s="14" t="n">
        <v>-0.21650635094611</v>
      </c>
      <c r="H1444" s="15" t="n">
        <v>0.125</v>
      </c>
    </row>
    <row r="1445">
      <c r="A1445" t="s">
        <v>30</v>
      </c>
      <c r="B1445" t="s">
        <v>951</v>
      </c>
      <c r="C1445" t="s">
        <v>952</v>
      </c>
      <c r="D1445" t="s">
        <v>1019</v>
      </c>
      <c r="E1445" s="13" t="n">
        <v>0.25</v>
      </c>
      <c r="F1445" s="16" t="n">
        <v>91</v>
      </c>
      <c r="G1445" s="14" t="n">
        <v>-0.249847706754774</v>
      </c>
      <c r="H1445" s="15" t="n">
        <v>-0.00872487417562529</v>
      </c>
    </row>
    <row r="1446">
      <c r="A1446" t="s">
        <v>31</v>
      </c>
      <c r="B1446" t="s">
        <v>953</v>
      </c>
      <c r="C1446" t="s">
        <v>954</v>
      </c>
      <c r="D1446" t="s">
        <v>1019</v>
      </c>
      <c r="E1446" s="13" t="n">
        <v>0.25</v>
      </c>
      <c r="F1446" s="16" t="n">
        <v>66</v>
      </c>
      <c r="G1446" s="14" t="n">
        <v>-0.167282651589714</v>
      </c>
      <c r="H1446" s="15" t="n">
        <v>0.185786206369349</v>
      </c>
    </row>
    <row r="1447">
      <c r="A1447" t="s">
        <v>31</v>
      </c>
      <c r="B1447" t="s">
        <v>953</v>
      </c>
      <c r="C1447" t="s">
        <v>955</v>
      </c>
      <c r="D1447" t="s">
        <v>1019</v>
      </c>
      <c r="E1447" s="13" t="n">
        <v>0.25</v>
      </c>
      <c r="F1447" s="16" t="n">
        <v>47</v>
      </c>
      <c r="G1447" s="14" t="n">
        <v>-0.0174391184360313</v>
      </c>
      <c r="H1447" s="15" t="n">
        <v>0.249391012564956</v>
      </c>
    </row>
    <row r="1448">
      <c r="A1448" t="s">
        <v>30</v>
      </c>
      <c r="B1448" t="s">
        <v>956</v>
      </c>
      <c r="C1448" t="s">
        <v>957</v>
      </c>
      <c r="D1448" t="s">
        <v>1019</v>
      </c>
      <c r="E1448" s="13" t="n">
        <v>0.5</v>
      </c>
      <c r="F1448" s="16" t="n">
        <v>154</v>
      </c>
      <c r="G1448" s="14" t="n">
        <v>0.307830737662829</v>
      </c>
      <c r="H1448" s="15" t="n">
        <v>-0.394005376803361</v>
      </c>
    </row>
    <row r="1449">
      <c r="A1449" t="s">
        <v>30</v>
      </c>
      <c r="B1449" t="s">
        <v>958</v>
      </c>
      <c r="C1449" t="s">
        <v>959</v>
      </c>
      <c r="D1449" t="s">
        <v>1019</v>
      </c>
      <c r="E1449" s="13" t="n">
        <v>0.25</v>
      </c>
      <c r="F1449" s="16" t="n">
        <v>95</v>
      </c>
      <c r="G1449" s="14" t="n">
        <v>-0.246201938253052</v>
      </c>
      <c r="H1449" s="15" t="n">
        <v>-0.0434120444167327</v>
      </c>
    </row>
    <row r="1450">
      <c r="A1450" t="s">
        <v>30</v>
      </c>
      <c r="B1450" t="s">
        <v>394</v>
      </c>
      <c r="C1450" t="s">
        <v>395</v>
      </c>
      <c r="D1450" t="s">
        <v>1020</v>
      </c>
      <c r="E1450" s="13" t="n">
        <v>0.5</v>
      </c>
      <c r="F1450" s="16" t="n">
        <v>139</v>
      </c>
      <c r="G1450" s="14" t="n">
        <v>0.0695865504800327</v>
      </c>
      <c r="H1450" s="15" t="n">
        <v>-0.495134034370785</v>
      </c>
    </row>
    <row r="1451">
      <c r="A1451" t="s">
        <v>30</v>
      </c>
      <c r="B1451" t="s">
        <v>394</v>
      </c>
      <c r="C1451" t="s">
        <v>397</v>
      </c>
      <c r="D1451" t="s">
        <v>1020</v>
      </c>
      <c r="E1451" s="13" t="n">
        <v>0.75</v>
      </c>
      <c r="F1451" s="16" t="n">
        <v>41</v>
      </c>
      <c r="G1451" s="14" t="n">
        <v>0.104379825720049</v>
      </c>
      <c r="H1451" s="15" t="n">
        <v>0.742701051556178</v>
      </c>
    </row>
    <row r="1452">
      <c r="A1452" t="s">
        <v>30</v>
      </c>
      <c r="B1452" t="s">
        <v>398</v>
      </c>
      <c r="C1452" t="s">
        <v>399</v>
      </c>
      <c r="D1452" t="s">
        <v>1020</v>
      </c>
      <c r="E1452" s="13" t="n">
        <v>0.75</v>
      </c>
      <c r="F1452" s="16" t="n">
        <v>70</v>
      </c>
      <c r="G1452" s="14" t="n">
        <v>-0.574533332339233</v>
      </c>
      <c r="H1452" s="15" t="n">
        <v>0.482090707264905</v>
      </c>
    </row>
    <row r="1453">
      <c r="A1453" t="s">
        <v>31</v>
      </c>
      <c r="B1453" t="s">
        <v>400</v>
      </c>
      <c r="C1453" t="s">
        <v>401</v>
      </c>
      <c r="D1453" t="s">
        <v>1020</v>
      </c>
      <c r="E1453" s="13" t="n">
        <v>0.5</v>
      </c>
      <c r="F1453" s="16" t="n">
        <v>5</v>
      </c>
      <c r="G1453" s="14" t="n">
        <v>0.492403876506104</v>
      </c>
      <c r="H1453" s="15" t="n">
        <v>0.0868240888334652</v>
      </c>
    </row>
    <row r="1454">
      <c r="A1454" t="s">
        <v>31</v>
      </c>
      <c r="B1454" t="s">
        <v>400</v>
      </c>
      <c r="C1454" t="s">
        <v>402</v>
      </c>
      <c r="D1454" t="s">
        <v>1020</v>
      </c>
      <c r="E1454" s="13" t="n">
        <v>0.25</v>
      </c>
      <c r="F1454" s="16" t="n">
        <v>172</v>
      </c>
      <c r="G1454" s="14" t="n">
        <v>0.24031542398458</v>
      </c>
      <c r="H1454" s="15" t="n">
        <v>-0.0689093389542497</v>
      </c>
    </row>
    <row r="1455">
      <c r="A1455" t="s">
        <v>30</v>
      </c>
      <c r="B1455" t="s">
        <v>403</v>
      </c>
      <c r="C1455" t="s">
        <v>404</v>
      </c>
      <c r="D1455" t="s">
        <v>1020</v>
      </c>
      <c r="E1455" s="13" t="n">
        <v>0.5</v>
      </c>
      <c r="F1455" s="16" t="n">
        <v>179</v>
      </c>
      <c r="G1455" s="14" t="n">
        <v>0.499695413509548</v>
      </c>
      <c r="H1455" s="15" t="n">
        <v>-0.0174497483512504</v>
      </c>
    </row>
    <row r="1456">
      <c r="A1456" t="s">
        <v>30</v>
      </c>
      <c r="B1456" t="s">
        <v>403</v>
      </c>
      <c r="C1456" t="s">
        <v>405</v>
      </c>
      <c r="D1456" t="s">
        <v>1020</v>
      </c>
      <c r="E1456" s="13" t="n">
        <v>1</v>
      </c>
      <c r="F1456" s="16" t="n">
        <v>170</v>
      </c>
      <c r="G1456" s="14" t="n">
        <v>0.939692620785908</v>
      </c>
      <c r="H1456" s="15" t="n">
        <v>-0.342020143325669</v>
      </c>
    </row>
    <row r="1457">
      <c r="A1457" t="s">
        <v>31</v>
      </c>
      <c r="B1457" t="s">
        <v>406</v>
      </c>
      <c r="C1457" t="s">
        <v>407</v>
      </c>
      <c r="D1457" t="s">
        <v>1020</v>
      </c>
      <c r="E1457" s="13" t="n">
        <v>0.25</v>
      </c>
      <c r="F1457" s="16" t="n">
        <v>9</v>
      </c>
      <c r="G1457" s="14" t="n">
        <v>0.237764129073788</v>
      </c>
      <c r="H1457" s="15" t="n">
        <v>0.0772542485937368</v>
      </c>
    </row>
    <row r="1458">
      <c r="A1458" t="s">
        <v>30</v>
      </c>
      <c r="B1458" t="s">
        <v>408</v>
      </c>
      <c r="C1458" t="s">
        <v>409</v>
      </c>
      <c r="D1458" t="s">
        <v>1020</v>
      </c>
      <c r="E1458" s="13" t="n">
        <v>0.75</v>
      </c>
      <c r="F1458" s="16" t="n">
        <v>95</v>
      </c>
      <c r="G1458" s="14" t="n">
        <v>-0.738605814759156</v>
      </c>
      <c r="H1458" s="15" t="n">
        <v>-0.130236133250198</v>
      </c>
    </row>
    <row r="1459">
      <c r="A1459" t="s">
        <v>30</v>
      </c>
      <c r="B1459" t="s">
        <v>408</v>
      </c>
      <c r="C1459" t="s">
        <v>410</v>
      </c>
      <c r="D1459" t="s">
        <v>1020</v>
      </c>
      <c r="E1459" s="13" t="n">
        <v>0.5</v>
      </c>
      <c r="F1459" s="16" t="n">
        <v>106</v>
      </c>
      <c r="G1459" s="14" t="n">
        <v>-0.424024048078213</v>
      </c>
      <c r="H1459" s="15" t="n">
        <v>-0.264959632116602</v>
      </c>
    </row>
    <row r="1460">
      <c r="A1460" t="s">
        <v>30</v>
      </c>
      <c r="B1460" t="s">
        <v>411</v>
      </c>
      <c r="C1460" t="s">
        <v>412</v>
      </c>
      <c r="D1460" t="s">
        <v>1020</v>
      </c>
      <c r="E1460" s="13" t="n">
        <v>0.75</v>
      </c>
      <c r="F1460" s="16" t="n">
        <v>4</v>
      </c>
      <c r="G1460" s="14" t="n">
        <v>0.742701051556178</v>
      </c>
      <c r="H1460" s="15" t="n">
        <v>0.104379825720049</v>
      </c>
    </row>
    <row r="1461">
      <c r="A1461" t="s">
        <v>30</v>
      </c>
      <c r="B1461" t="s">
        <v>413</v>
      </c>
      <c r="C1461" t="s">
        <v>414</v>
      </c>
      <c r="D1461" t="s">
        <v>1020</v>
      </c>
      <c r="E1461" s="13" t="n">
        <v>1.75</v>
      </c>
      <c r="F1461" s="16" t="n">
        <v>23</v>
      </c>
      <c r="G1461" s="14" t="n">
        <v>1.21565214830325</v>
      </c>
      <c r="H1461" s="15" t="n">
        <v>1.25884465059264</v>
      </c>
    </row>
    <row r="1462">
      <c r="A1462" t="s">
        <v>30</v>
      </c>
      <c r="B1462" t="s">
        <v>413</v>
      </c>
      <c r="C1462" t="s">
        <v>415</v>
      </c>
      <c r="D1462" t="s">
        <v>1020</v>
      </c>
      <c r="E1462" s="13" t="n">
        <v>1.5</v>
      </c>
      <c r="F1462" s="16" t="n">
        <v>172</v>
      </c>
      <c r="G1462" s="14" t="n">
        <v>1.44189254390748</v>
      </c>
      <c r="H1462" s="15" t="n">
        <v>-0.413456033725498</v>
      </c>
    </row>
    <row r="1463">
      <c r="A1463" t="s">
        <v>30</v>
      </c>
      <c r="B1463" t="s">
        <v>416</v>
      </c>
      <c r="C1463" t="s">
        <v>417</v>
      </c>
      <c r="D1463" t="s">
        <v>1020</v>
      </c>
      <c r="E1463" s="13" t="n">
        <v>1.25</v>
      </c>
      <c r="F1463" s="16" t="n">
        <v>171</v>
      </c>
      <c r="G1463" s="14" t="n">
        <v>1.18882064536894</v>
      </c>
      <c r="H1463" s="15" t="n">
        <v>-0.386271242968685</v>
      </c>
    </row>
    <row r="1464">
      <c r="A1464" t="s">
        <v>30</v>
      </c>
      <c r="B1464" t="s">
        <v>416</v>
      </c>
      <c r="C1464" t="s">
        <v>418</v>
      </c>
      <c r="D1464" t="s">
        <v>1020</v>
      </c>
      <c r="E1464" s="13" t="n">
        <v>0.5</v>
      </c>
      <c r="F1464" s="16" t="n">
        <v>22</v>
      </c>
      <c r="G1464" s="14" t="n">
        <v>0.359669900169326</v>
      </c>
      <c r="H1464" s="15" t="n">
        <v>0.347329185229499</v>
      </c>
    </row>
    <row r="1465">
      <c r="A1465" t="s">
        <v>30</v>
      </c>
      <c r="B1465" t="s">
        <v>419</v>
      </c>
      <c r="C1465" t="s">
        <v>420</v>
      </c>
      <c r="D1465" t="s">
        <v>1020</v>
      </c>
      <c r="E1465" s="13" t="n">
        <v>0.25</v>
      </c>
      <c r="F1465" s="16" t="n">
        <v>165</v>
      </c>
      <c r="G1465" s="14" t="n">
        <v>0.21650635094611</v>
      </c>
      <c r="H1465" s="15" t="n">
        <v>-0.125</v>
      </c>
    </row>
    <row r="1466">
      <c r="A1466" t="s">
        <v>31</v>
      </c>
      <c r="B1466" t="s">
        <v>421</v>
      </c>
      <c r="C1466" t="s">
        <v>422</v>
      </c>
      <c r="D1466" t="s">
        <v>1020</v>
      </c>
      <c r="E1466" s="13" t="n">
        <v>0.75</v>
      </c>
      <c r="F1466" s="16" t="n">
        <v>177</v>
      </c>
      <c r="G1466" s="14" t="n">
        <v>0.745891421526205</v>
      </c>
      <c r="H1466" s="15" t="n">
        <v>-0.0783963474507403</v>
      </c>
    </row>
    <row r="1467">
      <c r="A1467" t="s">
        <v>31</v>
      </c>
      <c r="B1467" t="s">
        <v>421</v>
      </c>
      <c r="C1467" t="s">
        <v>423</v>
      </c>
      <c r="D1467" t="s">
        <v>1020</v>
      </c>
      <c r="E1467" s="13" t="n">
        <v>0.25</v>
      </c>
      <c r="F1467" s="16" t="n">
        <v>14</v>
      </c>
      <c r="G1467" s="14" t="n">
        <v>0.220736898214732</v>
      </c>
      <c r="H1467" s="15" t="n">
        <v>0.117367890696473</v>
      </c>
    </row>
    <row r="1468">
      <c r="A1468" t="s">
        <v>31</v>
      </c>
      <c r="B1468" t="s">
        <v>424</v>
      </c>
      <c r="C1468" t="s">
        <v>425</v>
      </c>
      <c r="D1468" t="s">
        <v>1020</v>
      </c>
      <c r="E1468" s="13" t="n">
        <v>0.5</v>
      </c>
      <c r="F1468" s="16" t="n">
        <v>124</v>
      </c>
      <c r="G1468" s="14" t="n">
        <v>-0.187303296707956</v>
      </c>
      <c r="H1468" s="15" t="n">
        <v>-0.463591927283394</v>
      </c>
    </row>
    <row r="1469">
      <c r="A1469" t="s">
        <v>31</v>
      </c>
      <c r="B1469" t="s">
        <v>424</v>
      </c>
      <c r="C1469" t="s">
        <v>426</v>
      </c>
      <c r="D1469" t="s">
        <v>1020</v>
      </c>
      <c r="E1469" s="13" t="n">
        <v>0.25</v>
      </c>
      <c r="F1469" s="16" t="n">
        <v>59</v>
      </c>
      <c r="G1469" s="14" t="n">
        <v>-0.117367890696473</v>
      </c>
      <c r="H1469" s="15" t="n">
        <v>0.220736898214732</v>
      </c>
    </row>
    <row r="1470">
      <c r="A1470" t="s">
        <v>30</v>
      </c>
      <c r="B1470" t="s">
        <v>427</v>
      </c>
      <c r="C1470" t="s">
        <v>428</v>
      </c>
      <c r="D1470" t="s">
        <v>1020</v>
      </c>
      <c r="E1470" s="13" t="n">
        <v>0.75</v>
      </c>
      <c r="F1470" s="16" t="n">
        <v>50</v>
      </c>
      <c r="G1470" s="14" t="n">
        <v>-0.130236133250198</v>
      </c>
      <c r="H1470" s="15" t="n">
        <v>0.738605814759156</v>
      </c>
    </row>
    <row r="1471">
      <c r="A1471" t="s">
        <v>30</v>
      </c>
      <c r="B1471" t="s">
        <v>429</v>
      </c>
      <c r="C1471" t="s">
        <v>430</v>
      </c>
      <c r="D1471" t="s">
        <v>1020</v>
      </c>
      <c r="E1471" s="13" t="n">
        <v>0.5</v>
      </c>
      <c r="F1471" s="16" t="n">
        <v>85</v>
      </c>
      <c r="G1471" s="14" t="n">
        <v>-0.492403876506104</v>
      </c>
      <c r="H1471" s="15" t="n">
        <v>0.0868240888334653</v>
      </c>
    </row>
    <row r="1472">
      <c r="A1472" t="s">
        <v>31</v>
      </c>
      <c r="B1472" t="s">
        <v>431</v>
      </c>
      <c r="C1472" t="s">
        <v>432</v>
      </c>
      <c r="D1472" t="s">
        <v>1020</v>
      </c>
      <c r="E1472" s="13" t="n">
        <v>0.75</v>
      </c>
      <c r="F1472" s="16" t="n">
        <v>89</v>
      </c>
      <c r="G1472" s="14" t="n">
        <v>-0.749543120264322</v>
      </c>
      <c r="H1472" s="15" t="n">
        <v>0.0261746225268759</v>
      </c>
    </row>
    <row r="1473">
      <c r="A1473" t="s">
        <v>31</v>
      </c>
      <c r="B1473" t="s">
        <v>431</v>
      </c>
      <c r="C1473" t="s">
        <v>433</v>
      </c>
      <c r="D1473" t="s">
        <v>1020</v>
      </c>
      <c r="E1473" s="13" t="n">
        <v>1.5</v>
      </c>
      <c r="F1473" s="16" t="n">
        <v>98</v>
      </c>
      <c r="G1473" s="14" t="n">
        <v>-1.44189254390748</v>
      </c>
      <c r="H1473" s="15" t="n">
        <v>-0.413456033725498</v>
      </c>
    </row>
    <row r="1474">
      <c r="A1474" t="s">
        <v>30</v>
      </c>
      <c r="B1474" t="s">
        <v>434</v>
      </c>
      <c r="C1474" t="s">
        <v>435</v>
      </c>
      <c r="D1474" t="s">
        <v>1020</v>
      </c>
      <c r="E1474" s="13" t="n">
        <v>1.5</v>
      </c>
      <c r="F1474" s="16" t="n">
        <v>57</v>
      </c>
      <c r="G1474" s="14" t="n">
        <v>-0.6101049646137</v>
      </c>
      <c r="H1474" s="15" t="n">
        <v>1.3703181864639</v>
      </c>
    </row>
    <row r="1475">
      <c r="A1475" t="s">
        <v>30</v>
      </c>
      <c r="B1475" t="s">
        <v>434</v>
      </c>
      <c r="C1475" t="s">
        <v>436</v>
      </c>
      <c r="D1475" t="s">
        <v>1020</v>
      </c>
      <c r="E1475" s="13" t="n">
        <v>1</v>
      </c>
      <c r="F1475" s="16" t="n">
        <v>128</v>
      </c>
      <c r="G1475" s="14" t="n">
        <v>-0.241921895599668</v>
      </c>
      <c r="H1475" s="15" t="n">
        <v>-0.970295726275996</v>
      </c>
    </row>
    <row r="1476">
      <c r="A1476" t="s">
        <v>30</v>
      </c>
      <c r="B1476" t="s">
        <v>437</v>
      </c>
      <c r="C1476" t="s">
        <v>438</v>
      </c>
      <c r="D1476" t="s">
        <v>1020</v>
      </c>
      <c r="E1476" s="13" t="n">
        <v>1.25</v>
      </c>
      <c r="F1476" s="16" t="n">
        <v>15</v>
      </c>
      <c r="G1476" s="14" t="n">
        <v>1.08253175473055</v>
      </c>
      <c r="H1476" s="15" t="n">
        <v>0.625</v>
      </c>
    </row>
    <row r="1477">
      <c r="A1477" t="s">
        <v>30</v>
      </c>
      <c r="B1477" t="s">
        <v>437</v>
      </c>
      <c r="C1477" t="s">
        <v>439</v>
      </c>
      <c r="D1477" t="s">
        <v>1020</v>
      </c>
      <c r="E1477" s="13" t="n">
        <v>0.5</v>
      </c>
      <c r="F1477" s="16" t="n">
        <v>6</v>
      </c>
      <c r="G1477" s="14" t="n">
        <v>0.489073800366903</v>
      </c>
      <c r="H1477" s="15" t="n">
        <v>0.10395584540888</v>
      </c>
    </row>
    <row r="1478">
      <c r="A1478" t="s">
        <v>30</v>
      </c>
      <c r="B1478" t="s">
        <v>440</v>
      </c>
      <c r="C1478" t="s">
        <v>441</v>
      </c>
      <c r="D1478" t="s">
        <v>1020</v>
      </c>
      <c r="E1478" s="13" t="n">
        <v>1.75</v>
      </c>
      <c r="F1478" s="16" t="n">
        <v>23</v>
      </c>
      <c r="G1478" s="14" t="n">
        <v>1.21565214830325</v>
      </c>
      <c r="H1478" s="15" t="n">
        <v>1.25884465059264</v>
      </c>
    </row>
    <row r="1479">
      <c r="A1479" t="s">
        <v>30</v>
      </c>
      <c r="B1479" t="s">
        <v>440</v>
      </c>
      <c r="C1479" t="s">
        <v>442</v>
      </c>
      <c r="D1479" t="s">
        <v>1020</v>
      </c>
      <c r="E1479" s="13" t="n">
        <v>0.75</v>
      </c>
      <c r="F1479" s="16" t="n">
        <v>149</v>
      </c>
      <c r="G1479" s="14" t="n">
        <v>0.352103672089418</v>
      </c>
      <c r="H1479" s="15" t="n">
        <v>-0.662210694644195</v>
      </c>
    </row>
    <row r="1480">
      <c r="A1480" t="s">
        <v>30</v>
      </c>
      <c r="B1480" t="s">
        <v>443</v>
      </c>
      <c r="C1480" t="s">
        <v>444</v>
      </c>
      <c r="D1480" t="s">
        <v>1020</v>
      </c>
      <c r="E1480" s="13" t="n">
        <v>1.75</v>
      </c>
      <c r="F1480" s="16" t="n">
        <v>108</v>
      </c>
      <c r="G1480" s="14" t="n">
        <v>-1.41577974015616</v>
      </c>
      <c r="H1480" s="15" t="n">
        <v>-1.02862419151183</v>
      </c>
    </row>
    <row r="1481">
      <c r="A1481" t="s">
        <v>30</v>
      </c>
      <c r="B1481" t="s">
        <v>443</v>
      </c>
      <c r="C1481" t="s">
        <v>445</v>
      </c>
      <c r="D1481" t="s">
        <v>1020</v>
      </c>
      <c r="E1481" s="13" t="n">
        <v>1</v>
      </c>
      <c r="F1481" s="16" t="n">
        <v>67</v>
      </c>
      <c r="G1481" s="14" t="n">
        <v>-0.694658370458997</v>
      </c>
      <c r="H1481" s="15" t="n">
        <v>0.719339800338651</v>
      </c>
    </row>
    <row r="1482">
      <c r="A1482" t="s">
        <v>31</v>
      </c>
      <c r="B1482" t="s">
        <v>446</v>
      </c>
      <c r="C1482" t="s">
        <v>447</v>
      </c>
      <c r="D1482" t="s">
        <v>1020</v>
      </c>
      <c r="E1482" s="13" t="n">
        <v>1.5</v>
      </c>
      <c r="F1482" s="16" t="n">
        <v>171</v>
      </c>
      <c r="G1482" s="14" t="n">
        <v>1.42658477444273</v>
      </c>
      <c r="H1482" s="15" t="n">
        <v>-0.463525491562422</v>
      </c>
    </row>
    <row r="1483">
      <c r="A1483" t="s">
        <v>30</v>
      </c>
      <c r="B1483" t="s">
        <v>448</v>
      </c>
      <c r="C1483" t="s">
        <v>449</v>
      </c>
      <c r="D1483" t="s">
        <v>1020</v>
      </c>
      <c r="E1483" s="13" t="n">
        <v>1</v>
      </c>
      <c r="F1483" s="16" t="n">
        <v>109</v>
      </c>
      <c r="G1483" s="14" t="n">
        <v>-0.788010753606722</v>
      </c>
      <c r="H1483" s="15" t="n">
        <v>-0.615661475325658</v>
      </c>
    </row>
    <row r="1484">
      <c r="A1484" t="s">
        <v>31</v>
      </c>
      <c r="B1484" t="s">
        <v>450</v>
      </c>
      <c r="C1484" t="s">
        <v>451</v>
      </c>
      <c r="D1484" t="s">
        <v>1020</v>
      </c>
      <c r="E1484" s="13" t="n">
        <v>1.75</v>
      </c>
      <c r="F1484" s="16" t="n">
        <v>4</v>
      </c>
      <c r="G1484" s="14" t="n">
        <v>1.73296912029775</v>
      </c>
      <c r="H1484" s="15" t="n">
        <v>0.243552926680115</v>
      </c>
    </row>
    <row r="1485">
      <c r="A1485" t="s">
        <v>31</v>
      </c>
      <c r="B1485" t="s">
        <v>450</v>
      </c>
      <c r="C1485" t="s">
        <v>452</v>
      </c>
      <c r="D1485" t="s">
        <v>1020</v>
      </c>
      <c r="E1485" s="13" t="n">
        <v>1</v>
      </c>
      <c r="F1485" s="16" t="n">
        <v>2</v>
      </c>
      <c r="G1485" s="14" t="n">
        <v>0.997564050259824</v>
      </c>
      <c r="H1485" s="15" t="n">
        <v>0.0697564737441253</v>
      </c>
    </row>
    <row r="1486">
      <c r="A1486" t="s">
        <v>31</v>
      </c>
      <c r="B1486" t="s">
        <v>962</v>
      </c>
      <c r="C1486" t="s">
        <v>963</v>
      </c>
      <c r="D1486" t="s">
        <v>1020</v>
      </c>
      <c r="E1486" s="13" t="n">
        <v>1</v>
      </c>
      <c r="F1486" s="16" t="n">
        <v>177</v>
      </c>
      <c r="G1486" s="14" t="n">
        <v>0.994521895368273</v>
      </c>
      <c r="H1486" s="15" t="n">
        <v>-0.104528463267654</v>
      </c>
    </row>
    <row r="1487">
      <c r="A1487" t="s">
        <v>31</v>
      </c>
      <c r="B1487" t="s">
        <v>962</v>
      </c>
      <c r="C1487" t="s">
        <v>964</v>
      </c>
      <c r="D1487" t="s">
        <v>1020</v>
      </c>
      <c r="E1487" s="13" t="n">
        <v>2.25</v>
      </c>
      <c r="F1487" s="16" t="n">
        <v>7</v>
      </c>
      <c r="G1487" s="14" t="n">
        <v>2.18316538412099</v>
      </c>
      <c r="H1487" s="15" t="n">
        <v>0.544324265099252</v>
      </c>
    </row>
    <row r="1488">
      <c r="A1488" t="s">
        <v>30</v>
      </c>
      <c r="B1488" t="s">
        <v>453</v>
      </c>
      <c r="C1488" t="s">
        <v>454</v>
      </c>
      <c r="D1488" t="s">
        <v>1020</v>
      </c>
      <c r="E1488" s="13" t="n">
        <v>0.25</v>
      </c>
      <c r="F1488" s="16" t="n">
        <v>14</v>
      </c>
      <c r="G1488" s="14" t="n">
        <v>0.220736898214732</v>
      </c>
      <c r="H1488" s="15" t="n">
        <v>0.117367890696473</v>
      </c>
    </row>
    <row r="1489">
      <c r="A1489" t="s">
        <v>30</v>
      </c>
      <c r="B1489" t="s">
        <v>965</v>
      </c>
      <c r="C1489" t="s">
        <v>966</v>
      </c>
      <c r="D1489" t="s">
        <v>1020</v>
      </c>
      <c r="E1489" s="13" t="n">
        <v>0.5</v>
      </c>
      <c r="F1489" s="16" t="n">
        <v>179</v>
      </c>
      <c r="G1489" s="14" t="n">
        <v>0.499695413509548</v>
      </c>
      <c r="H1489" s="15" t="n">
        <v>-0.0174497483512504</v>
      </c>
    </row>
    <row r="1490">
      <c r="A1490" t="s">
        <v>30</v>
      </c>
      <c r="B1490" t="s">
        <v>965</v>
      </c>
      <c r="C1490" t="s">
        <v>967</v>
      </c>
      <c r="D1490" t="s">
        <v>1020</v>
      </c>
      <c r="E1490" s="13" t="n">
        <v>0.5</v>
      </c>
      <c r="F1490" s="16" t="n">
        <v>176</v>
      </c>
      <c r="G1490" s="14" t="n">
        <v>0.495134034370785</v>
      </c>
      <c r="H1490" s="15" t="n">
        <v>-0.0695865504800328</v>
      </c>
    </row>
    <row r="1491">
      <c r="A1491" t="s">
        <v>30</v>
      </c>
      <c r="B1491" t="s">
        <v>455</v>
      </c>
      <c r="C1491" t="s">
        <v>456</v>
      </c>
      <c r="D1491" t="s">
        <v>1020</v>
      </c>
      <c r="E1491" s="13" t="n">
        <v>1.25</v>
      </c>
      <c r="F1491" s="16" t="n">
        <v>2</v>
      </c>
      <c r="G1491" s="14" t="n">
        <v>1.24695506282478</v>
      </c>
      <c r="H1491" s="15" t="n">
        <v>0.0871955921801566</v>
      </c>
    </row>
    <row r="1492">
      <c r="A1492" t="s">
        <v>31</v>
      </c>
      <c r="B1492" t="s">
        <v>457</v>
      </c>
      <c r="C1492" t="s">
        <v>458</v>
      </c>
      <c r="D1492" t="s">
        <v>1020</v>
      </c>
      <c r="E1492" s="13" t="n">
        <v>0.75</v>
      </c>
      <c r="F1492" s="16" t="n">
        <v>82</v>
      </c>
      <c r="G1492" s="14" t="n">
        <v>-0.720946271953739</v>
      </c>
      <c r="H1492" s="15" t="n">
        <v>0.206728016862749</v>
      </c>
    </row>
    <row r="1493">
      <c r="A1493" t="s">
        <v>31</v>
      </c>
      <c r="B1493" t="s">
        <v>459</v>
      </c>
      <c r="C1493" t="s">
        <v>460</v>
      </c>
      <c r="D1493" t="s">
        <v>1020</v>
      </c>
      <c r="E1493" s="13" t="n">
        <v>1.5</v>
      </c>
      <c r="F1493" s="16" t="n">
        <v>38</v>
      </c>
      <c r="G1493" s="14" t="n">
        <v>0.362882843399501</v>
      </c>
      <c r="H1493" s="15" t="n">
        <v>1.45544358941399</v>
      </c>
    </row>
    <row r="1494">
      <c r="A1494" t="s">
        <v>31</v>
      </c>
      <c r="B1494" t="s">
        <v>459</v>
      </c>
      <c r="C1494" t="s">
        <v>461</v>
      </c>
      <c r="D1494" t="s">
        <v>1020</v>
      </c>
      <c r="E1494" s="13" t="n">
        <v>1.5</v>
      </c>
      <c r="F1494" s="16" t="n">
        <v>132</v>
      </c>
      <c r="G1494" s="14" t="n">
        <v>-0.156792694901481</v>
      </c>
      <c r="H1494" s="15" t="n">
        <v>-1.49178284305241</v>
      </c>
    </row>
    <row r="1495">
      <c r="A1495" t="s">
        <v>31</v>
      </c>
      <c r="B1495" t="s">
        <v>462</v>
      </c>
      <c r="C1495" t="s">
        <v>463</v>
      </c>
      <c r="D1495" t="s">
        <v>1020</v>
      </c>
      <c r="E1495" s="13" t="n">
        <v>0.5</v>
      </c>
      <c r="F1495" s="16" t="n">
        <v>169</v>
      </c>
      <c r="G1495" s="14" t="n">
        <v>0.463591927283394</v>
      </c>
      <c r="H1495" s="15" t="n">
        <v>-0.187303296707956</v>
      </c>
    </row>
    <row r="1496">
      <c r="A1496" t="s">
        <v>31</v>
      </c>
      <c r="B1496" t="s">
        <v>462</v>
      </c>
      <c r="C1496" t="s">
        <v>464</v>
      </c>
      <c r="D1496" t="s">
        <v>1020</v>
      </c>
      <c r="E1496" s="13" t="n">
        <v>0.5</v>
      </c>
      <c r="F1496" s="16" t="n">
        <v>9</v>
      </c>
      <c r="G1496" s="14" t="n">
        <v>0.475528258147577</v>
      </c>
      <c r="H1496" s="15" t="n">
        <v>0.154508497187474</v>
      </c>
    </row>
    <row r="1497">
      <c r="A1497" t="s">
        <v>30</v>
      </c>
      <c r="B1497" t="s">
        <v>465</v>
      </c>
      <c r="C1497" t="s">
        <v>466</v>
      </c>
      <c r="D1497" t="s">
        <v>1020</v>
      </c>
      <c r="E1497" s="13" t="n">
        <v>1.5</v>
      </c>
      <c r="F1497" s="16" t="n">
        <v>176</v>
      </c>
      <c r="G1497" s="14" t="n">
        <v>1.48540210311236</v>
      </c>
      <c r="H1497" s="15" t="n">
        <v>-0.208759651440098</v>
      </c>
    </row>
    <row r="1498">
      <c r="A1498" t="s">
        <v>30</v>
      </c>
      <c r="B1498" t="s">
        <v>465</v>
      </c>
      <c r="C1498" t="s">
        <v>467</v>
      </c>
      <c r="D1498" t="s">
        <v>1020</v>
      </c>
      <c r="E1498" s="13" t="n">
        <v>1</v>
      </c>
      <c r="F1498" s="16" t="n">
        <v>21</v>
      </c>
      <c r="G1498" s="14" t="n">
        <v>0.743144825477394</v>
      </c>
      <c r="H1498" s="15" t="n">
        <v>0.669130606358858</v>
      </c>
    </row>
    <row r="1499">
      <c r="A1499" t="s">
        <v>30</v>
      </c>
      <c r="B1499" t="s">
        <v>468</v>
      </c>
      <c r="C1499" t="s">
        <v>469</v>
      </c>
      <c r="D1499" t="s">
        <v>1020</v>
      </c>
      <c r="E1499" s="13" t="n">
        <v>1</v>
      </c>
      <c r="F1499" s="16" t="n">
        <v>167</v>
      </c>
      <c r="G1499" s="14" t="n">
        <v>0.898794046299167</v>
      </c>
      <c r="H1499" s="15" t="n">
        <v>-0.438371146789077</v>
      </c>
    </row>
    <row r="1500">
      <c r="A1500" t="s">
        <v>31</v>
      </c>
      <c r="B1500" t="s">
        <v>470</v>
      </c>
      <c r="C1500" t="s">
        <v>471</v>
      </c>
      <c r="D1500" t="s">
        <v>1020</v>
      </c>
      <c r="E1500" s="13" t="n">
        <v>1.5</v>
      </c>
      <c r="F1500" s="16" t="n">
        <v>179</v>
      </c>
      <c r="G1500" s="14" t="n">
        <v>1.49908624052864</v>
      </c>
      <c r="H1500" s="15" t="n">
        <v>-0.0523492450537513</v>
      </c>
    </row>
    <row r="1501">
      <c r="A1501" t="s">
        <v>30</v>
      </c>
      <c r="B1501" t="s">
        <v>968</v>
      </c>
      <c r="C1501" t="s">
        <v>969</v>
      </c>
      <c r="D1501" t="s">
        <v>1020</v>
      </c>
      <c r="E1501" s="13" t="n">
        <v>0.75</v>
      </c>
      <c r="F1501" s="16" t="n">
        <v>116</v>
      </c>
      <c r="G1501" s="14" t="n">
        <v>-0.461746106494244</v>
      </c>
      <c r="H1501" s="15" t="n">
        <v>-0.591008065205042</v>
      </c>
    </row>
    <row r="1502">
      <c r="A1502" t="s">
        <v>30</v>
      </c>
      <c r="B1502" t="s">
        <v>968</v>
      </c>
      <c r="C1502" t="s">
        <v>970</v>
      </c>
      <c r="D1502" t="s">
        <v>1020</v>
      </c>
      <c r="E1502" s="13" t="n">
        <v>1</v>
      </c>
      <c r="F1502" s="16" t="n">
        <v>59</v>
      </c>
      <c r="G1502" s="14" t="n">
        <v>-0.469471562785891</v>
      </c>
      <c r="H1502" s="15" t="n">
        <v>0.882947592858927</v>
      </c>
    </row>
    <row r="1503">
      <c r="A1503" t="s">
        <v>31</v>
      </c>
      <c r="B1503" t="s">
        <v>472</v>
      </c>
      <c r="C1503" t="s">
        <v>473</v>
      </c>
      <c r="D1503" t="s">
        <v>1020</v>
      </c>
      <c r="E1503" s="13" t="n">
        <v>0.25</v>
      </c>
      <c r="F1503" s="16" t="n">
        <v>167</v>
      </c>
      <c r="G1503" s="14" t="n">
        <v>0.224698511574792</v>
      </c>
      <c r="H1503" s="15" t="n">
        <v>-0.109592786697269</v>
      </c>
    </row>
    <row r="1504">
      <c r="A1504" t="s">
        <v>30</v>
      </c>
      <c r="B1504" t="s">
        <v>474</v>
      </c>
      <c r="C1504" t="s">
        <v>475</v>
      </c>
      <c r="D1504" t="s">
        <v>1020</v>
      </c>
      <c r="E1504" s="13" t="n">
        <v>1</v>
      </c>
      <c r="F1504" s="16" t="n">
        <v>101</v>
      </c>
      <c r="G1504" s="14" t="n">
        <v>-0.927183854566787</v>
      </c>
      <c r="H1504" s="15" t="n">
        <v>-0.374606593415912</v>
      </c>
    </row>
    <row r="1505">
      <c r="A1505" t="s">
        <v>30</v>
      </c>
      <c r="B1505" t="s">
        <v>474</v>
      </c>
      <c r="C1505" t="s">
        <v>476</v>
      </c>
      <c r="D1505" t="s">
        <v>1020</v>
      </c>
      <c r="E1505" s="13" t="n">
        <v>1</v>
      </c>
      <c r="F1505" s="16" t="n">
        <v>83</v>
      </c>
      <c r="G1505" s="14" t="n">
        <v>-0.970295726275996</v>
      </c>
      <c r="H1505" s="15" t="n">
        <v>0.241921895599668</v>
      </c>
    </row>
    <row r="1506">
      <c r="A1506" t="s">
        <v>30</v>
      </c>
      <c r="B1506" t="s">
        <v>477</v>
      </c>
      <c r="C1506" t="s">
        <v>478</v>
      </c>
      <c r="D1506" t="s">
        <v>1020</v>
      </c>
      <c r="E1506" s="13" t="n">
        <v>1</v>
      </c>
      <c r="F1506" s="16" t="n">
        <v>170</v>
      </c>
      <c r="G1506" s="14" t="n">
        <v>0.939692620785908</v>
      </c>
      <c r="H1506" s="15" t="n">
        <v>-0.342020143325669</v>
      </c>
    </row>
    <row r="1507">
      <c r="A1507" t="s">
        <v>30</v>
      </c>
      <c r="B1507" t="s">
        <v>477</v>
      </c>
      <c r="C1507" t="s">
        <v>479</v>
      </c>
      <c r="D1507" t="s">
        <v>1020</v>
      </c>
      <c r="E1507" s="13" t="n">
        <v>1.25</v>
      </c>
      <c r="F1507" s="16" t="n">
        <v>170</v>
      </c>
      <c r="G1507" s="14" t="n">
        <v>1.17461577598239</v>
      </c>
      <c r="H1507" s="15" t="n">
        <v>-0.427525179157086</v>
      </c>
    </row>
    <row r="1508">
      <c r="A1508" t="s">
        <v>30</v>
      </c>
      <c r="B1508" t="s">
        <v>480</v>
      </c>
      <c r="C1508" t="s">
        <v>481</v>
      </c>
      <c r="D1508" t="s">
        <v>1020</v>
      </c>
      <c r="E1508" s="13" t="n">
        <v>1.5</v>
      </c>
      <c r="F1508" s="16" t="n">
        <v>160</v>
      </c>
      <c r="G1508" s="14" t="n">
        <v>1.14906666467847</v>
      </c>
      <c r="H1508" s="15" t="n">
        <v>-0.964181414529809</v>
      </c>
    </row>
    <row r="1509">
      <c r="A1509" t="s">
        <v>30</v>
      </c>
      <c r="B1509" t="s">
        <v>480</v>
      </c>
      <c r="C1509" t="s">
        <v>482</v>
      </c>
      <c r="D1509" t="s">
        <v>1020</v>
      </c>
      <c r="E1509" s="13" t="n">
        <v>0.5</v>
      </c>
      <c r="F1509" s="16" t="n">
        <v>11</v>
      </c>
      <c r="G1509" s="14" t="n">
        <v>0.463591927283394</v>
      </c>
      <c r="H1509" s="15" t="n">
        <v>0.187303296707956</v>
      </c>
    </row>
    <row r="1510">
      <c r="A1510" t="s">
        <v>30</v>
      </c>
      <c r="B1510" t="s">
        <v>483</v>
      </c>
      <c r="C1510" t="s">
        <v>484</v>
      </c>
      <c r="D1510" t="s">
        <v>1020</v>
      </c>
      <c r="E1510" s="13" t="n">
        <v>0.75</v>
      </c>
      <c r="F1510" s="16" t="n">
        <v>19</v>
      </c>
      <c r="G1510" s="14" t="n">
        <v>0.591008065205041</v>
      </c>
      <c r="H1510" s="15" t="n">
        <v>0.461746106494244</v>
      </c>
    </row>
    <row r="1511">
      <c r="A1511" t="s">
        <v>30</v>
      </c>
      <c r="B1511" t="s">
        <v>483</v>
      </c>
      <c r="C1511" t="s">
        <v>485</v>
      </c>
      <c r="D1511" t="s">
        <v>1020</v>
      </c>
      <c r="E1511" s="13" t="n">
        <v>0.5</v>
      </c>
      <c r="F1511" s="16" t="n">
        <v>150</v>
      </c>
      <c r="G1511" s="14" t="n">
        <v>0.25</v>
      </c>
      <c r="H1511" s="15" t="n">
        <v>-0.433012701892219</v>
      </c>
    </row>
    <row r="1512">
      <c r="A1512" t="s">
        <v>30</v>
      </c>
      <c r="B1512" t="s">
        <v>486</v>
      </c>
      <c r="C1512" t="s">
        <v>487</v>
      </c>
      <c r="D1512" t="s">
        <v>1020</v>
      </c>
      <c r="E1512" s="13" t="n">
        <v>2.5</v>
      </c>
      <c r="F1512" s="16" t="n">
        <v>173</v>
      </c>
      <c r="G1512" s="14" t="n">
        <v>2.42573931568999</v>
      </c>
      <c r="H1512" s="15" t="n">
        <v>-0.604804738999169</v>
      </c>
    </row>
    <row r="1513">
      <c r="A1513" t="s">
        <v>30</v>
      </c>
      <c r="B1513" t="s">
        <v>486</v>
      </c>
      <c r="C1513" t="s">
        <v>488</v>
      </c>
      <c r="D1513" t="s">
        <v>1020</v>
      </c>
      <c r="E1513" s="13" t="n">
        <v>1.5</v>
      </c>
      <c r="F1513" s="16" t="n">
        <v>4</v>
      </c>
      <c r="G1513" s="14" t="n">
        <v>1.48540210311236</v>
      </c>
      <c r="H1513" s="15" t="n">
        <v>0.208759651440098</v>
      </c>
    </row>
    <row r="1514">
      <c r="A1514" t="s">
        <v>30</v>
      </c>
      <c r="B1514" t="s">
        <v>489</v>
      </c>
      <c r="C1514" t="s">
        <v>490</v>
      </c>
      <c r="D1514" t="s">
        <v>1020</v>
      </c>
      <c r="E1514" s="13" t="n">
        <v>1.25</v>
      </c>
      <c r="F1514" s="16" t="n">
        <v>44</v>
      </c>
      <c r="G1514" s="14" t="n">
        <v>0.0436243708781264</v>
      </c>
      <c r="H1514" s="15" t="n">
        <v>1.24923853377387</v>
      </c>
    </row>
    <row r="1515">
      <c r="A1515" t="s">
        <v>30</v>
      </c>
      <c r="B1515" t="s">
        <v>489</v>
      </c>
      <c r="C1515" t="s">
        <v>491</v>
      </c>
      <c r="D1515" t="s">
        <v>1020</v>
      </c>
      <c r="E1515" s="13" t="n">
        <v>0.5</v>
      </c>
      <c r="F1515" s="16" t="n">
        <v>142</v>
      </c>
      <c r="G1515" s="14" t="n">
        <v>0.120960947799834</v>
      </c>
      <c r="H1515" s="15" t="n">
        <v>-0.485147863137998</v>
      </c>
    </row>
    <row r="1516">
      <c r="A1516" t="s">
        <v>31</v>
      </c>
      <c r="B1516" t="s">
        <v>492</v>
      </c>
      <c r="C1516" t="s">
        <v>493</v>
      </c>
      <c r="D1516" t="s">
        <v>1020</v>
      </c>
      <c r="E1516" s="13" t="n">
        <v>0.5</v>
      </c>
      <c r="F1516" s="16" t="n">
        <v>13</v>
      </c>
      <c r="G1516" s="14" t="n">
        <v>0.449397023149584</v>
      </c>
      <c r="H1516" s="15" t="n">
        <v>0.219185573394539</v>
      </c>
    </row>
    <row r="1517">
      <c r="A1517" t="s">
        <v>31</v>
      </c>
      <c r="B1517" t="s">
        <v>492</v>
      </c>
      <c r="C1517" t="s">
        <v>494</v>
      </c>
      <c r="D1517" t="s">
        <v>1020</v>
      </c>
      <c r="E1517" s="13" t="n">
        <v>0.5</v>
      </c>
      <c r="F1517" s="16" t="n">
        <v>166</v>
      </c>
      <c r="G1517" s="14" t="n">
        <v>0.441473796429463</v>
      </c>
      <c r="H1517" s="15" t="n">
        <v>-0.234735781392945</v>
      </c>
    </row>
    <row r="1518">
      <c r="A1518" t="s">
        <v>30</v>
      </c>
      <c r="B1518" t="s">
        <v>495</v>
      </c>
      <c r="C1518" t="s">
        <v>496</v>
      </c>
      <c r="D1518" t="s">
        <v>1020</v>
      </c>
      <c r="E1518" s="13" t="n">
        <v>0.5</v>
      </c>
      <c r="F1518" s="16" t="n">
        <v>122</v>
      </c>
      <c r="G1518" s="14" t="n">
        <v>-0.219185573394539</v>
      </c>
      <c r="H1518" s="15" t="n">
        <v>-0.449397023149584</v>
      </c>
    </row>
    <row r="1519">
      <c r="A1519" t="s">
        <v>30</v>
      </c>
      <c r="B1519" t="s">
        <v>497</v>
      </c>
      <c r="C1519" t="s">
        <v>498</v>
      </c>
      <c r="D1519" t="s">
        <v>1020</v>
      </c>
      <c r="E1519" s="13" t="n">
        <v>0.5</v>
      </c>
      <c r="F1519" s="16" t="n">
        <v>11</v>
      </c>
      <c r="G1519" s="14" t="n">
        <v>0.463591927283394</v>
      </c>
      <c r="H1519" s="15" t="n">
        <v>0.187303296707956</v>
      </c>
    </row>
    <row r="1520">
      <c r="A1520" t="s">
        <v>30</v>
      </c>
      <c r="B1520" t="s">
        <v>497</v>
      </c>
      <c r="C1520" t="s">
        <v>499</v>
      </c>
      <c r="D1520" t="s">
        <v>1020</v>
      </c>
      <c r="E1520" s="13" t="n">
        <v>0.75</v>
      </c>
      <c r="F1520" s="16" t="n">
        <v>153</v>
      </c>
      <c r="G1520" s="14" t="n">
        <v>0.440838939219355</v>
      </c>
      <c r="H1520" s="15" t="n">
        <v>-0.606762745781211</v>
      </c>
    </row>
    <row r="1521">
      <c r="A1521" t="s">
        <v>30</v>
      </c>
      <c r="B1521" t="s">
        <v>500</v>
      </c>
      <c r="C1521" t="s">
        <v>501</v>
      </c>
      <c r="D1521" t="s">
        <v>1020</v>
      </c>
      <c r="E1521" s="13" t="n">
        <v>2.25</v>
      </c>
      <c r="F1521" s="16" t="n">
        <v>27</v>
      </c>
      <c r="G1521" s="14" t="n">
        <v>1.32251681765806</v>
      </c>
      <c r="H1521" s="15" t="n">
        <v>1.82028823734363</v>
      </c>
    </row>
    <row r="1522">
      <c r="A1522" t="s">
        <v>30</v>
      </c>
      <c r="B1522" t="s">
        <v>500</v>
      </c>
      <c r="C1522" t="s">
        <v>502</v>
      </c>
      <c r="D1522" t="s">
        <v>1020</v>
      </c>
      <c r="E1522" s="13" t="n">
        <v>2.25</v>
      </c>
      <c r="F1522" s="16" t="n">
        <v>152</v>
      </c>
      <c r="G1522" s="14" t="n">
        <v>1.25818403280918</v>
      </c>
      <c r="H1522" s="15" t="n">
        <v>-1.86533453824884</v>
      </c>
    </row>
    <row r="1523">
      <c r="A1523" t="s">
        <v>31</v>
      </c>
      <c r="B1523" t="s">
        <v>503</v>
      </c>
      <c r="C1523" t="s">
        <v>504</v>
      </c>
      <c r="D1523" t="s">
        <v>1020</v>
      </c>
      <c r="E1523" s="13" t="n">
        <v>0.5</v>
      </c>
      <c r="F1523" s="16" t="n">
        <v>128</v>
      </c>
      <c r="G1523" s="14" t="n">
        <v>-0.120960947799834</v>
      </c>
      <c r="H1523" s="15" t="n">
        <v>-0.485147863137998</v>
      </c>
    </row>
    <row r="1524">
      <c r="A1524" t="s">
        <v>31</v>
      </c>
      <c r="B1524" t="s">
        <v>503</v>
      </c>
      <c r="C1524" t="s">
        <v>505</v>
      </c>
      <c r="D1524" t="s">
        <v>1020</v>
      </c>
      <c r="E1524" s="13" t="n">
        <v>0.75</v>
      </c>
      <c r="F1524" s="16" t="n">
        <v>49</v>
      </c>
      <c r="G1524" s="14" t="n">
        <v>-0.104379825720049</v>
      </c>
      <c r="H1524" s="15" t="n">
        <v>0.742701051556178</v>
      </c>
    </row>
    <row r="1525">
      <c r="A1525" t="s">
        <v>30</v>
      </c>
      <c r="B1525" t="s">
        <v>506</v>
      </c>
      <c r="C1525" t="s">
        <v>507</v>
      </c>
      <c r="D1525" t="s">
        <v>1020</v>
      </c>
      <c r="E1525" s="13" t="n">
        <v>0.75</v>
      </c>
      <c r="F1525" s="16" t="n">
        <v>165</v>
      </c>
      <c r="G1525" s="14" t="n">
        <v>0.649519052838329</v>
      </c>
      <c r="H1525" s="15" t="n">
        <v>-0.375</v>
      </c>
    </row>
    <row r="1526">
      <c r="A1526" t="s">
        <v>30</v>
      </c>
      <c r="B1526" t="s">
        <v>506</v>
      </c>
      <c r="C1526" t="s">
        <v>508</v>
      </c>
      <c r="D1526" t="s">
        <v>1020</v>
      </c>
      <c r="E1526" s="13" t="n">
        <v>2</v>
      </c>
      <c r="F1526" s="16" t="n">
        <v>24</v>
      </c>
      <c r="G1526" s="14" t="n">
        <v>1.33826121271772</v>
      </c>
      <c r="H1526" s="15" t="n">
        <v>1.48628965095479</v>
      </c>
    </row>
    <row r="1527">
      <c r="A1527" t="s">
        <v>31</v>
      </c>
      <c r="B1527" t="s">
        <v>509</v>
      </c>
      <c r="C1527" t="s">
        <v>510</v>
      </c>
      <c r="D1527" t="s">
        <v>1020</v>
      </c>
      <c r="E1527" s="13" t="n">
        <v>0.5</v>
      </c>
      <c r="F1527" s="16" t="n">
        <v>151</v>
      </c>
      <c r="G1527" s="14" t="n">
        <v>0.264959632116602</v>
      </c>
      <c r="H1527" s="15" t="n">
        <v>-0.424024048078213</v>
      </c>
    </row>
    <row r="1528">
      <c r="A1528" t="s">
        <v>31</v>
      </c>
      <c r="B1528" t="s">
        <v>509</v>
      </c>
      <c r="C1528" t="s">
        <v>511</v>
      </c>
      <c r="D1528" t="s">
        <v>1020</v>
      </c>
      <c r="E1528" s="13" t="n">
        <v>0.5</v>
      </c>
      <c r="F1528" s="16" t="n">
        <v>6</v>
      </c>
      <c r="G1528" s="14" t="n">
        <v>0.489073800366903</v>
      </c>
      <c r="H1528" s="15" t="n">
        <v>0.10395584540888</v>
      </c>
    </row>
    <row r="1529">
      <c r="A1529" t="s">
        <v>30</v>
      </c>
      <c r="B1529" t="s">
        <v>512</v>
      </c>
      <c r="C1529" t="s">
        <v>513</v>
      </c>
      <c r="D1529" t="s">
        <v>1020</v>
      </c>
      <c r="E1529" s="13" t="n">
        <v>1</v>
      </c>
      <c r="F1529" s="16" t="n">
        <v>21</v>
      </c>
      <c r="G1529" s="14" t="n">
        <v>0.743144825477394</v>
      </c>
      <c r="H1529" s="15" t="n">
        <v>0.669130606358858</v>
      </c>
    </row>
    <row r="1530">
      <c r="A1530" t="s">
        <v>30</v>
      </c>
      <c r="B1530" t="s">
        <v>512</v>
      </c>
      <c r="C1530" t="s">
        <v>514</v>
      </c>
      <c r="D1530" t="s">
        <v>1020</v>
      </c>
      <c r="E1530" s="13" t="n">
        <v>1.75</v>
      </c>
      <c r="F1530" s="16" t="n">
        <v>164</v>
      </c>
      <c r="G1530" s="14" t="n">
        <v>1.48408416827375</v>
      </c>
      <c r="H1530" s="15" t="n">
        <v>-0.927358712408109</v>
      </c>
    </row>
    <row r="1531">
      <c r="A1531" t="s">
        <v>30</v>
      </c>
      <c r="B1531" t="s">
        <v>971</v>
      </c>
      <c r="C1531" t="s">
        <v>972</v>
      </c>
      <c r="D1531" t="s">
        <v>1020</v>
      </c>
      <c r="E1531" s="13" t="n">
        <v>0.75</v>
      </c>
      <c r="F1531" s="16" t="n">
        <v>9</v>
      </c>
      <c r="G1531" s="14" t="n">
        <v>0.713292387221365</v>
      </c>
      <c r="H1531" s="15" t="n">
        <v>0.231762745781211</v>
      </c>
    </row>
    <row r="1532">
      <c r="A1532" t="s">
        <v>30</v>
      </c>
      <c r="B1532" t="s">
        <v>515</v>
      </c>
      <c r="C1532" t="s">
        <v>516</v>
      </c>
      <c r="D1532" t="s">
        <v>1020</v>
      </c>
      <c r="E1532" s="13" t="n">
        <v>0.5</v>
      </c>
      <c r="F1532" s="16" t="n">
        <v>174</v>
      </c>
      <c r="G1532" s="14" t="n">
        <v>0.489073800366903</v>
      </c>
      <c r="H1532" s="15" t="n">
        <v>-0.10395584540888</v>
      </c>
    </row>
    <row r="1533">
      <c r="A1533" t="s">
        <v>30</v>
      </c>
      <c r="B1533" t="s">
        <v>515</v>
      </c>
      <c r="C1533" t="s">
        <v>517</v>
      </c>
      <c r="D1533" t="s">
        <v>1020</v>
      </c>
      <c r="E1533" s="13" t="n">
        <v>0.5</v>
      </c>
      <c r="F1533" s="16" t="n">
        <v>2</v>
      </c>
      <c r="G1533" s="14" t="n">
        <v>0.498782025129912</v>
      </c>
      <c r="H1533" s="15" t="n">
        <v>0.0348782368720627</v>
      </c>
    </row>
    <row r="1534">
      <c r="A1534" t="s">
        <v>30</v>
      </c>
      <c r="B1534" t="s">
        <v>518</v>
      </c>
      <c r="C1534" t="s">
        <v>519</v>
      </c>
      <c r="D1534" t="s">
        <v>1020</v>
      </c>
      <c r="E1534" s="13" t="n">
        <v>0.5</v>
      </c>
      <c r="F1534" s="16" t="n">
        <v>18</v>
      </c>
      <c r="G1534" s="14" t="n">
        <v>0.404508497187474</v>
      </c>
      <c r="H1534" s="15" t="n">
        <v>0.293892626146237</v>
      </c>
    </row>
    <row r="1535">
      <c r="A1535" t="s">
        <v>30</v>
      </c>
      <c r="B1535" t="s">
        <v>518</v>
      </c>
      <c r="C1535" t="s">
        <v>520</v>
      </c>
      <c r="D1535" t="s">
        <v>1020</v>
      </c>
      <c r="E1535" s="13" t="n">
        <v>0.75</v>
      </c>
      <c r="F1535" s="16" t="n">
        <v>171</v>
      </c>
      <c r="G1535" s="14" t="n">
        <v>0.713292387221365</v>
      </c>
      <c r="H1535" s="15" t="n">
        <v>-0.231762745781211</v>
      </c>
    </row>
    <row r="1536">
      <c r="A1536" t="s">
        <v>31</v>
      </c>
      <c r="B1536" t="s">
        <v>521</v>
      </c>
      <c r="C1536" t="s">
        <v>522</v>
      </c>
      <c r="D1536" t="s">
        <v>1020</v>
      </c>
      <c r="E1536" s="13" t="n">
        <v>1</v>
      </c>
      <c r="F1536" s="16" t="n">
        <v>1</v>
      </c>
      <c r="G1536" s="14" t="n">
        <v>0.999390827019096</v>
      </c>
      <c r="H1536" s="15" t="n">
        <v>0.034899496702501</v>
      </c>
    </row>
    <row r="1537">
      <c r="A1537" t="s">
        <v>31</v>
      </c>
      <c r="B1537" t="s">
        <v>521</v>
      </c>
      <c r="C1537" t="s">
        <v>523</v>
      </c>
      <c r="D1537" t="s">
        <v>1020</v>
      </c>
      <c r="E1537" s="13" t="n">
        <v>1</v>
      </c>
      <c r="F1537" s="16" t="n">
        <v>166</v>
      </c>
      <c r="G1537" s="14" t="n">
        <v>0.882947592858927</v>
      </c>
      <c r="H1537" s="15" t="n">
        <v>-0.46947156278589</v>
      </c>
    </row>
    <row r="1538">
      <c r="A1538" t="s">
        <v>31</v>
      </c>
      <c r="B1538" t="s">
        <v>524</v>
      </c>
      <c r="C1538" t="s">
        <v>525</v>
      </c>
      <c r="D1538" t="s">
        <v>1020</v>
      </c>
      <c r="E1538" s="13" t="n">
        <v>0.75</v>
      </c>
      <c r="F1538" s="16" t="n">
        <v>166</v>
      </c>
      <c r="G1538" s="14" t="n">
        <v>0.662210694644195</v>
      </c>
      <c r="H1538" s="15" t="n">
        <v>-0.352103672089418</v>
      </c>
    </row>
    <row r="1539">
      <c r="A1539" t="s">
        <v>31</v>
      </c>
      <c r="B1539" t="s">
        <v>524</v>
      </c>
      <c r="C1539" t="s">
        <v>526</v>
      </c>
      <c r="D1539" t="s">
        <v>1020</v>
      </c>
      <c r="E1539" s="13" t="n">
        <v>1</v>
      </c>
      <c r="F1539" s="16" t="n">
        <v>14</v>
      </c>
      <c r="G1539" s="14" t="n">
        <v>0.882947592858927</v>
      </c>
      <c r="H1539" s="15" t="n">
        <v>0.469471562785891</v>
      </c>
    </row>
    <row r="1540">
      <c r="A1540" t="s">
        <v>31</v>
      </c>
      <c r="B1540" t="s">
        <v>527</v>
      </c>
      <c r="C1540" t="s">
        <v>528</v>
      </c>
      <c r="D1540" t="s">
        <v>1020</v>
      </c>
      <c r="E1540" s="13" t="n">
        <v>1.25</v>
      </c>
      <c r="F1540" s="16" t="n">
        <v>157</v>
      </c>
      <c r="G1540" s="14" t="n">
        <v>0.868322963073747</v>
      </c>
      <c r="H1540" s="15" t="n">
        <v>-0.899174750423314</v>
      </c>
    </row>
    <row r="1541">
      <c r="A1541" t="s">
        <v>31</v>
      </c>
      <c r="B1541" t="s">
        <v>527</v>
      </c>
      <c r="C1541" t="s">
        <v>529</v>
      </c>
      <c r="D1541" t="s">
        <v>1020</v>
      </c>
      <c r="E1541" s="13" t="n">
        <v>0.25</v>
      </c>
      <c r="F1541" s="16" t="n">
        <v>13</v>
      </c>
      <c r="G1541" s="14" t="n">
        <v>0.224698511574792</v>
      </c>
      <c r="H1541" s="15" t="n">
        <v>0.109592786697269</v>
      </c>
    </row>
    <row r="1542">
      <c r="A1542" t="s">
        <v>31</v>
      </c>
      <c r="B1542" t="s">
        <v>530</v>
      </c>
      <c r="C1542" t="s">
        <v>531</v>
      </c>
      <c r="D1542" t="s">
        <v>1020</v>
      </c>
      <c r="E1542" s="13" t="n">
        <v>1.75</v>
      </c>
      <c r="F1542" s="16" t="n">
        <v>7</v>
      </c>
      <c r="G1542" s="14" t="n">
        <v>1.69801752098299</v>
      </c>
      <c r="H1542" s="15" t="n">
        <v>0.423363317299419</v>
      </c>
    </row>
    <row r="1543">
      <c r="A1543" t="s">
        <v>31</v>
      </c>
      <c r="B1543" t="s">
        <v>530</v>
      </c>
      <c r="C1543" t="s">
        <v>532</v>
      </c>
      <c r="D1543" t="s">
        <v>1020</v>
      </c>
      <c r="E1543" s="13" t="n">
        <v>1</v>
      </c>
      <c r="F1543" s="16" t="n">
        <v>0</v>
      </c>
      <c r="G1543" s="14" t="n">
        <v>1</v>
      </c>
      <c r="H1543" s="15" t="n">
        <v>0</v>
      </c>
    </row>
    <row r="1544">
      <c r="A1544" t="s">
        <v>31</v>
      </c>
      <c r="B1544" t="s">
        <v>533</v>
      </c>
      <c r="C1544" t="s">
        <v>534</v>
      </c>
      <c r="D1544" t="s">
        <v>1020</v>
      </c>
      <c r="E1544" s="13" t="n">
        <v>0.5</v>
      </c>
      <c r="F1544" s="16" t="n">
        <v>17</v>
      </c>
      <c r="G1544" s="14" t="n">
        <v>0.414518786277521</v>
      </c>
      <c r="H1544" s="15" t="n">
        <v>0.279596451735373</v>
      </c>
    </row>
    <row r="1545">
      <c r="A1545" t="s">
        <v>31</v>
      </c>
      <c r="B1545" t="s">
        <v>535</v>
      </c>
      <c r="C1545" t="s">
        <v>536</v>
      </c>
      <c r="D1545" t="s">
        <v>1020</v>
      </c>
      <c r="E1545" s="13" t="n">
        <v>0.25</v>
      </c>
      <c r="F1545" s="16" t="n">
        <v>94</v>
      </c>
      <c r="G1545" s="14" t="n">
        <v>-0.247567017185393</v>
      </c>
      <c r="H1545" s="15" t="n">
        <v>-0.0347932752400164</v>
      </c>
    </row>
    <row r="1546">
      <c r="A1546" t="s">
        <v>31</v>
      </c>
      <c r="B1546" t="s">
        <v>535</v>
      </c>
      <c r="C1546" t="s">
        <v>537</v>
      </c>
      <c r="D1546" t="s">
        <v>1020</v>
      </c>
      <c r="E1546" s="13" t="n">
        <v>0.25</v>
      </c>
      <c r="F1546" s="16" t="n">
        <v>89</v>
      </c>
      <c r="G1546" s="14" t="n">
        <v>-0.249847706754774</v>
      </c>
      <c r="H1546" s="15" t="n">
        <v>0.00872487417562529</v>
      </c>
    </row>
    <row r="1547">
      <c r="A1547" t="s">
        <v>30</v>
      </c>
      <c r="B1547" t="s">
        <v>538</v>
      </c>
      <c r="C1547" t="s">
        <v>539</v>
      </c>
      <c r="D1547" t="s">
        <v>1020</v>
      </c>
      <c r="E1547" s="13" t="n">
        <v>1</v>
      </c>
      <c r="F1547" s="16" t="n">
        <v>156</v>
      </c>
      <c r="G1547" s="14" t="n">
        <v>0.669130606358858</v>
      </c>
      <c r="H1547" s="15" t="n">
        <v>-0.743144825477394</v>
      </c>
    </row>
    <row r="1548">
      <c r="A1548" t="s">
        <v>30</v>
      </c>
      <c r="B1548" t="s">
        <v>538</v>
      </c>
      <c r="C1548" t="s">
        <v>540</v>
      </c>
      <c r="D1548" t="s">
        <v>1020</v>
      </c>
      <c r="E1548" s="13" t="n">
        <v>1.25</v>
      </c>
      <c r="F1548" s="16" t="n">
        <v>7</v>
      </c>
      <c r="G1548" s="14" t="n">
        <v>1.212869657845</v>
      </c>
      <c r="H1548" s="15" t="n">
        <v>0.302402369499585</v>
      </c>
    </row>
    <row r="1549">
      <c r="A1549" t="s">
        <v>30</v>
      </c>
      <c r="B1549" t="s">
        <v>541</v>
      </c>
      <c r="C1549" t="s">
        <v>542</v>
      </c>
      <c r="D1549" t="s">
        <v>1020</v>
      </c>
      <c r="E1549" s="13" t="n">
        <v>0.25</v>
      </c>
      <c r="F1549" s="16" t="n">
        <v>52</v>
      </c>
      <c r="G1549" s="14" t="n">
        <v>-0.0604804738999169</v>
      </c>
      <c r="H1549" s="15" t="n">
        <v>0.242573931568999</v>
      </c>
    </row>
    <row r="1550">
      <c r="A1550" t="s">
        <v>30</v>
      </c>
      <c r="B1550" t="s">
        <v>541</v>
      </c>
      <c r="C1550" t="s">
        <v>543</v>
      </c>
      <c r="D1550" t="s">
        <v>1020</v>
      </c>
      <c r="E1550" s="13" t="n">
        <v>0.25</v>
      </c>
      <c r="F1550" s="16" t="n">
        <v>133</v>
      </c>
      <c r="G1550" s="14" t="n">
        <v>-0.0174391184360314</v>
      </c>
      <c r="H1550" s="15" t="n">
        <v>-0.249391012564956</v>
      </c>
    </row>
    <row r="1551">
      <c r="A1551" t="s">
        <v>31</v>
      </c>
      <c r="B1551" t="s">
        <v>973</v>
      </c>
      <c r="C1551" t="s">
        <v>974</v>
      </c>
      <c r="D1551" t="s">
        <v>1020</v>
      </c>
      <c r="E1551" s="13" t="n">
        <v>0.75</v>
      </c>
      <c r="F1551" s="16" t="n">
        <v>171</v>
      </c>
      <c r="G1551" s="14" t="n">
        <v>0.713292387221365</v>
      </c>
      <c r="H1551" s="15" t="n">
        <v>-0.231762745781211</v>
      </c>
    </row>
    <row r="1552">
      <c r="A1552" t="s">
        <v>31</v>
      </c>
      <c r="B1552" t="s">
        <v>973</v>
      </c>
      <c r="C1552" t="s">
        <v>975</v>
      </c>
      <c r="D1552" t="s">
        <v>1020</v>
      </c>
      <c r="E1552" s="13" t="n">
        <v>1</v>
      </c>
      <c r="F1552" s="16" t="n">
        <v>178</v>
      </c>
      <c r="G1552" s="14" t="n">
        <v>0.997564050259824</v>
      </c>
      <c r="H1552" s="15" t="n">
        <v>-0.0697564737441251</v>
      </c>
    </row>
    <row r="1553">
      <c r="A1553" t="s">
        <v>31</v>
      </c>
      <c r="B1553" t="s">
        <v>544</v>
      </c>
      <c r="C1553" t="s">
        <v>545</v>
      </c>
      <c r="D1553" t="s">
        <v>1020</v>
      </c>
      <c r="E1553" s="13" t="n">
        <v>0.5</v>
      </c>
      <c r="F1553" s="16" t="n">
        <v>152</v>
      </c>
      <c r="G1553" s="14" t="n">
        <v>0.279596451735374</v>
      </c>
      <c r="H1553" s="15" t="n">
        <v>-0.414518786277521</v>
      </c>
    </row>
    <row r="1554">
      <c r="A1554" t="s">
        <v>31</v>
      </c>
      <c r="B1554" t="s">
        <v>544</v>
      </c>
      <c r="C1554" t="s">
        <v>546</v>
      </c>
      <c r="D1554" t="s">
        <v>1020</v>
      </c>
      <c r="E1554" s="13" t="n">
        <v>0.5</v>
      </c>
      <c r="F1554" s="16" t="n">
        <v>43</v>
      </c>
      <c r="G1554" s="14" t="n">
        <v>0.0348782368720626</v>
      </c>
      <c r="H1554" s="15" t="n">
        <v>0.498782025129912</v>
      </c>
    </row>
    <row r="1555">
      <c r="A1555" t="s">
        <v>30</v>
      </c>
      <c r="B1555" t="s">
        <v>547</v>
      </c>
      <c r="C1555" t="s">
        <v>548</v>
      </c>
      <c r="D1555" t="s">
        <v>1020</v>
      </c>
      <c r="E1555" s="13" t="n">
        <v>0.5</v>
      </c>
      <c r="F1555" s="16" t="n">
        <v>176</v>
      </c>
      <c r="G1555" s="14" t="n">
        <v>0.495134034370785</v>
      </c>
      <c r="H1555" s="15" t="n">
        <v>-0.0695865504800328</v>
      </c>
    </row>
    <row r="1556">
      <c r="A1556" t="s">
        <v>30</v>
      </c>
      <c r="B1556" t="s">
        <v>547</v>
      </c>
      <c r="C1556" t="s">
        <v>549</v>
      </c>
      <c r="D1556" t="s">
        <v>1020</v>
      </c>
      <c r="E1556" s="13" t="n">
        <v>0.5</v>
      </c>
      <c r="F1556" s="16" t="n">
        <v>11</v>
      </c>
      <c r="G1556" s="14" t="n">
        <v>0.463591927283394</v>
      </c>
      <c r="H1556" s="15" t="n">
        <v>0.187303296707956</v>
      </c>
    </row>
    <row r="1557">
      <c r="A1557" t="s">
        <v>31</v>
      </c>
      <c r="B1557" t="s">
        <v>550</v>
      </c>
      <c r="C1557" t="s">
        <v>551</v>
      </c>
      <c r="D1557" t="s">
        <v>1020</v>
      </c>
      <c r="E1557" s="13" t="n">
        <v>0.25</v>
      </c>
      <c r="F1557" s="16" t="n">
        <v>4</v>
      </c>
      <c r="G1557" s="14" t="n">
        <v>0.247567017185393</v>
      </c>
      <c r="H1557" s="15" t="n">
        <v>0.0347932752400164</v>
      </c>
    </row>
    <row r="1558">
      <c r="A1558" t="s">
        <v>31</v>
      </c>
      <c r="B1558" t="s">
        <v>552</v>
      </c>
      <c r="C1558" t="s">
        <v>553</v>
      </c>
      <c r="D1558" t="s">
        <v>1020</v>
      </c>
      <c r="E1558" s="13" t="n">
        <v>0.5</v>
      </c>
      <c r="F1558" s="16" t="n">
        <v>141</v>
      </c>
      <c r="G1558" s="14" t="n">
        <v>0.10395584540888</v>
      </c>
      <c r="H1558" s="15" t="n">
        <v>-0.489073800366903</v>
      </c>
    </row>
    <row r="1559">
      <c r="A1559" t="s">
        <v>30</v>
      </c>
      <c r="B1559" t="s">
        <v>554</v>
      </c>
      <c r="C1559" t="s">
        <v>555</v>
      </c>
      <c r="D1559" t="s">
        <v>1020</v>
      </c>
      <c r="E1559" s="13" t="n">
        <v>1</v>
      </c>
      <c r="F1559" s="16" t="n">
        <v>100</v>
      </c>
      <c r="G1559" s="14" t="n">
        <v>-0.939692620785908</v>
      </c>
      <c r="H1559" s="15" t="n">
        <v>-0.342020143325669</v>
      </c>
    </row>
    <row r="1560">
      <c r="A1560" t="s">
        <v>30</v>
      </c>
      <c r="B1560" t="s">
        <v>554</v>
      </c>
      <c r="C1560" t="s">
        <v>556</v>
      </c>
      <c r="D1560" t="s">
        <v>1020</v>
      </c>
      <c r="E1560" s="13" t="n">
        <v>0.75</v>
      </c>
      <c r="F1560" s="16" t="n">
        <v>86</v>
      </c>
      <c r="G1560" s="14" t="n">
        <v>-0.742701051556178</v>
      </c>
      <c r="H1560" s="15" t="n">
        <v>0.104379825720049</v>
      </c>
    </row>
    <row r="1561">
      <c r="A1561" t="s">
        <v>30</v>
      </c>
      <c r="B1561" t="s">
        <v>976</v>
      </c>
      <c r="C1561" t="s">
        <v>977</v>
      </c>
      <c r="D1561" t="s">
        <v>1020</v>
      </c>
      <c r="E1561" s="13" t="n">
        <v>0.75</v>
      </c>
      <c r="F1561" s="16" t="n">
        <v>177</v>
      </c>
      <c r="G1561" s="14" t="n">
        <v>0.745891421526205</v>
      </c>
      <c r="H1561" s="15" t="n">
        <v>-0.0783963474507403</v>
      </c>
    </row>
    <row r="1562">
      <c r="A1562" t="s">
        <v>30</v>
      </c>
      <c r="B1562" t="s">
        <v>976</v>
      </c>
      <c r="C1562" t="s">
        <v>978</v>
      </c>
      <c r="D1562" t="s">
        <v>1020</v>
      </c>
      <c r="E1562" s="13" t="n">
        <v>0.5</v>
      </c>
      <c r="F1562" s="16" t="n">
        <v>19</v>
      </c>
      <c r="G1562" s="14" t="n">
        <v>0.394005376803361</v>
      </c>
      <c r="H1562" s="15" t="n">
        <v>0.307830737662829</v>
      </c>
    </row>
    <row r="1563">
      <c r="A1563" t="s">
        <v>30</v>
      </c>
      <c r="B1563" t="s">
        <v>557</v>
      </c>
      <c r="C1563" t="s">
        <v>558</v>
      </c>
      <c r="D1563" t="s">
        <v>1020</v>
      </c>
      <c r="E1563" s="13" t="n">
        <v>3</v>
      </c>
      <c r="F1563" s="16" t="n">
        <v>158</v>
      </c>
      <c r="G1563" s="14" t="n">
        <v>2.15801940101595</v>
      </c>
      <c r="H1563" s="15" t="n">
        <v>-2.08397511137699</v>
      </c>
    </row>
    <row r="1564">
      <c r="A1564" t="s">
        <v>30</v>
      </c>
      <c r="B1564" t="s">
        <v>557</v>
      </c>
      <c r="C1564" t="s">
        <v>559</v>
      </c>
      <c r="D1564" t="s">
        <v>1020</v>
      </c>
      <c r="E1564" s="13" t="n">
        <v>1.75</v>
      </c>
      <c r="F1564" s="16" t="n">
        <v>24</v>
      </c>
      <c r="G1564" s="14" t="n">
        <v>1.170978561128</v>
      </c>
      <c r="H1564" s="15" t="n">
        <v>1.30050344458544</v>
      </c>
    </row>
    <row r="1565">
      <c r="A1565" t="s">
        <v>30</v>
      </c>
      <c r="B1565" t="s">
        <v>560</v>
      </c>
      <c r="C1565" t="s">
        <v>561</v>
      </c>
      <c r="D1565" t="s">
        <v>1020</v>
      </c>
      <c r="E1565" s="13" t="n">
        <v>1.25</v>
      </c>
      <c r="F1565" s="16" t="n">
        <v>179</v>
      </c>
      <c r="G1565" s="14" t="n">
        <v>1.24923853377387</v>
      </c>
      <c r="H1565" s="15" t="n">
        <v>-0.0436243708781261</v>
      </c>
    </row>
    <row r="1566">
      <c r="A1566" t="s">
        <v>31</v>
      </c>
      <c r="B1566" t="s">
        <v>562</v>
      </c>
      <c r="C1566" t="s">
        <v>563</v>
      </c>
      <c r="D1566" t="s">
        <v>1020</v>
      </c>
      <c r="E1566" s="13" t="n">
        <v>0.75</v>
      </c>
      <c r="F1566" s="16" t="n">
        <v>4</v>
      </c>
      <c r="G1566" s="14" t="n">
        <v>0.742701051556178</v>
      </c>
      <c r="H1566" s="15" t="n">
        <v>0.104379825720049</v>
      </c>
    </row>
    <row r="1567">
      <c r="A1567" t="s">
        <v>30</v>
      </c>
      <c r="B1567" t="s">
        <v>564</v>
      </c>
      <c r="C1567" t="s">
        <v>565</v>
      </c>
      <c r="D1567" t="s">
        <v>1020</v>
      </c>
      <c r="E1567" s="13" t="n">
        <v>0.5</v>
      </c>
      <c r="F1567" s="16" t="n">
        <v>18</v>
      </c>
      <c r="G1567" s="14" t="n">
        <v>0.404508497187474</v>
      </c>
      <c r="H1567" s="15" t="n">
        <v>0.293892626146237</v>
      </c>
    </row>
    <row r="1568">
      <c r="A1568" t="s">
        <v>30</v>
      </c>
      <c r="B1568" t="s">
        <v>564</v>
      </c>
      <c r="C1568" t="s">
        <v>566</v>
      </c>
      <c r="D1568" t="s">
        <v>1020</v>
      </c>
      <c r="E1568" s="13" t="n">
        <v>1</v>
      </c>
      <c r="F1568" s="16" t="n">
        <v>162</v>
      </c>
      <c r="G1568" s="14" t="n">
        <v>0.809016994374947</v>
      </c>
      <c r="H1568" s="15" t="n">
        <v>-0.587785252292473</v>
      </c>
    </row>
    <row r="1569">
      <c r="A1569" t="s">
        <v>31</v>
      </c>
      <c r="B1569" t="s">
        <v>979</v>
      </c>
      <c r="C1569" t="s">
        <v>980</v>
      </c>
      <c r="D1569" t="s">
        <v>1020</v>
      </c>
      <c r="E1569" s="13" t="n">
        <v>0.5</v>
      </c>
      <c r="F1569" s="16" t="n">
        <v>130</v>
      </c>
      <c r="G1569" s="14" t="n">
        <v>-0.0868240888334652</v>
      </c>
      <c r="H1569" s="15" t="n">
        <v>-0.492403876506104</v>
      </c>
    </row>
    <row r="1570">
      <c r="A1570" t="s">
        <v>31</v>
      </c>
      <c r="B1570" t="s">
        <v>979</v>
      </c>
      <c r="C1570" t="s">
        <v>981</v>
      </c>
      <c r="D1570" t="s">
        <v>1020</v>
      </c>
      <c r="E1570" s="13" t="n">
        <v>1</v>
      </c>
      <c r="F1570" s="16" t="n">
        <v>44</v>
      </c>
      <c r="G1570" s="14" t="n">
        <v>0.0348994967025011</v>
      </c>
      <c r="H1570" s="15" t="n">
        <v>0.999390827019096</v>
      </c>
    </row>
    <row r="1571">
      <c r="A1571" t="s">
        <v>31</v>
      </c>
      <c r="B1571" t="s">
        <v>567</v>
      </c>
      <c r="C1571" t="s">
        <v>568</v>
      </c>
      <c r="D1571" t="s">
        <v>1020</v>
      </c>
      <c r="E1571" s="13" t="n">
        <v>0.25</v>
      </c>
      <c r="F1571" s="16" t="n">
        <v>177</v>
      </c>
      <c r="G1571" s="14" t="n">
        <v>0.248630473842068</v>
      </c>
      <c r="H1571" s="15" t="n">
        <v>-0.0261321158169134</v>
      </c>
    </row>
    <row r="1572">
      <c r="A1572" t="s">
        <v>31</v>
      </c>
      <c r="B1572" t="s">
        <v>567</v>
      </c>
      <c r="C1572" t="s">
        <v>569</v>
      </c>
      <c r="D1572" t="s">
        <v>1020</v>
      </c>
      <c r="E1572" s="13" t="n">
        <v>1</v>
      </c>
      <c r="F1572" s="16" t="n">
        <v>6</v>
      </c>
      <c r="G1572" s="14" t="n">
        <v>0.978147600733806</v>
      </c>
      <c r="H1572" s="15" t="n">
        <v>0.207911690817759</v>
      </c>
    </row>
    <row r="1573">
      <c r="A1573" t="s">
        <v>31</v>
      </c>
      <c r="B1573" t="s">
        <v>570</v>
      </c>
      <c r="C1573" t="s">
        <v>571</v>
      </c>
      <c r="D1573" t="s">
        <v>1020</v>
      </c>
      <c r="E1573" s="13" t="n">
        <v>0.75</v>
      </c>
      <c r="F1573" s="16" t="n">
        <v>178</v>
      </c>
      <c r="G1573" s="14" t="n">
        <v>0.748173037694868</v>
      </c>
      <c r="H1573" s="15" t="n">
        <v>-0.0523173553080938</v>
      </c>
    </row>
    <row r="1574">
      <c r="A1574" t="s">
        <v>31</v>
      </c>
      <c r="B1574" t="s">
        <v>570</v>
      </c>
      <c r="C1574" t="s">
        <v>572</v>
      </c>
      <c r="D1574" t="s">
        <v>1020</v>
      </c>
      <c r="E1574" s="13" t="n">
        <v>0.5</v>
      </c>
      <c r="F1574" s="16" t="n">
        <v>5</v>
      </c>
      <c r="G1574" s="14" t="n">
        <v>0.492403876506104</v>
      </c>
      <c r="H1574" s="15" t="n">
        <v>0.0868240888334652</v>
      </c>
    </row>
    <row r="1575">
      <c r="A1575" t="s">
        <v>30</v>
      </c>
      <c r="B1575" t="s">
        <v>982</v>
      </c>
      <c r="C1575" t="s">
        <v>983</v>
      </c>
      <c r="D1575" t="s">
        <v>1020</v>
      </c>
      <c r="E1575" s="13" t="n">
        <v>0.25</v>
      </c>
      <c r="F1575" s="16" t="n">
        <v>36</v>
      </c>
      <c r="G1575" s="14" t="n">
        <v>0.0772542485937369</v>
      </c>
      <c r="H1575" s="15" t="n">
        <v>0.237764129073788</v>
      </c>
    </row>
    <row r="1576">
      <c r="A1576" t="s">
        <v>30</v>
      </c>
      <c r="B1576" t="s">
        <v>982</v>
      </c>
      <c r="C1576" t="s">
        <v>984</v>
      </c>
      <c r="D1576" t="s">
        <v>1020</v>
      </c>
      <c r="E1576" s="13" t="n">
        <v>0.5</v>
      </c>
      <c r="F1576" s="16" t="n">
        <v>145</v>
      </c>
      <c r="G1576" s="14" t="n">
        <v>0.171010071662834</v>
      </c>
      <c r="H1576" s="15" t="n">
        <v>-0.469846310392954</v>
      </c>
    </row>
    <row r="1577">
      <c r="A1577" t="s">
        <v>30</v>
      </c>
      <c r="B1577" t="s">
        <v>573</v>
      </c>
      <c r="C1577" t="s">
        <v>574</v>
      </c>
      <c r="D1577" t="s">
        <v>1020</v>
      </c>
      <c r="E1577" s="13" t="n">
        <v>1.75</v>
      </c>
      <c r="F1577" s="16" t="n">
        <v>179</v>
      </c>
      <c r="G1577" s="14" t="n">
        <v>1.74893394728342</v>
      </c>
      <c r="H1577" s="15" t="n">
        <v>-0.0610741192293765</v>
      </c>
    </row>
    <row r="1578">
      <c r="A1578" t="s">
        <v>30</v>
      </c>
      <c r="B1578" t="s">
        <v>573</v>
      </c>
      <c r="C1578" t="s">
        <v>575</v>
      </c>
      <c r="D1578" t="s">
        <v>1020</v>
      </c>
      <c r="E1578" s="13" t="n">
        <v>2</v>
      </c>
      <c r="F1578" s="16" t="n">
        <v>1</v>
      </c>
      <c r="G1578" s="14" t="n">
        <v>1.99878165403819</v>
      </c>
      <c r="H1578" s="15" t="n">
        <v>0.0697989934050019</v>
      </c>
    </row>
    <row r="1579">
      <c r="A1579" t="s">
        <v>30</v>
      </c>
      <c r="B1579" t="s">
        <v>576</v>
      </c>
      <c r="C1579" t="s">
        <v>577</v>
      </c>
      <c r="D1579" t="s">
        <v>1020</v>
      </c>
      <c r="E1579" s="13" t="n">
        <v>1</v>
      </c>
      <c r="F1579" s="16" t="n">
        <v>12</v>
      </c>
      <c r="G1579" s="14" t="n">
        <v>0.913545457642601</v>
      </c>
      <c r="H1579" s="15" t="n">
        <v>0.4067366430758</v>
      </c>
    </row>
    <row r="1580">
      <c r="A1580" t="s">
        <v>30</v>
      </c>
      <c r="B1580" t="s">
        <v>576</v>
      </c>
      <c r="C1580" t="s">
        <v>578</v>
      </c>
      <c r="D1580" t="s">
        <v>1020</v>
      </c>
      <c r="E1580" s="13" t="n">
        <v>1</v>
      </c>
      <c r="F1580" s="16" t="n">
        <v>174</v>
      </c>
      <c r="G1580" s="14" t="n">
        <v>0.978147600733806</v>
      </c>
      <c r="H1580" s="15" t="n">
        <v>-0.207911690817759</v>
      </c>
    </row>
    <row r="1581">
      <c r="A1581" t="s">
        <v>31</v>
      </c>
      <c r="B1581" t="s">
        <v>579</v>
      </c>
      <c r="C1581" t="s">
        <v>580</v>
      </c>
      <c r="D1581" t="s">
        <v>1020</v>
      </c>
      <c r="E1581" s="13" t="n">
        <v>0.25</v>
      </c>
      <c r="F1581" s="16" t="n">
        <v>175</v>
      </c>
      <c r="G1581" s="14" t="n">
        <v>0.246201938253052</v>
      </c>
      <c r="H1581" s="15" t="n">
        <v>-0.0434120444167326</v>
      </c>
    </row>
    <row r="1582">
      <c r="A1582" t="s">
        <v>31</v>
      </c>
      <c r="B1582" t="s">
        <v>579</v>
      </c>
      <c r="C1582" t="s">
        <v>581</v>
      </c>
      <c r="D1582" t="s">
        <v>1020</v>
      </c>
      <c r="E1582" s="13" t="n">
        <v>0.25</v>
      </c>
      <c r="F1582" s="16" t="n">
        <v>15</v>
      </c>
      <c r="G1582" s="14" t="n">
        <v>0.21650635094611</v>
      </c>
      <c r="H1582" s="15" t="n">
        <v>0.125</v>
      </c>
    </row>
    <row r="1583">
      <c r="A1583" t="s">
        <v>30</v>
      </c>
      <c r="B1583" t="s">
        <v>582</v>
      </c>
      <c r="C1583" t="s">
        <v>583</v>
      </c>
      <c r="D1583" t="s">
        <v>1020</v>
      </c>
      <c r="E1583" s="13" t="n">
        <v>1</v>
      </c>
      <c r="F1583" s="16" t="n">
        <v>174</v>
      </c>
      <c r="G1583" s="14" t="n">
        <v>0.978147600733806</v>
      </c>
      <c r="H1583" s="15" t="n">
        <v>-0.207911690817759</v>
      </c>
    </row>
    <row r="1584">
      <c r="A1584" t="s">
        <v>31</v>
      </c>
      <c r="B1584" t="s">
        <v>584</v>
      </c>
      <c r="C1584" t="s">
        <v>585</v>
      </c>
      <c r="D1584" t="s">
        <v>1020</v>
      </c>
      <c r="E1584" s="13" t="n">
        <v>0.5</v>
      </c>
      <c r="F1584" s="16" t="n">
        <v>82</v>
      </c>
      <c r="G1584" s="14" t="n">
        <v>-0.480630847969159</v>
      </c>
      <c r="H1584" s="15" t="n">
        <v>0.1378186779085</v>
      </c>
    </row>
    <row r="1585">
      <c r="A1585" t="s">
        <v>31</v>
      </c>
      <c r="B1585" t="s">
        <v>586</v>
      </c>
      <c r="C1585" t="s">
        <v>587</v>
      </c>
      <c r="D1585" t="s">
        <v>1020</v>
      </c>
      <c r="E1585" s="13" t="n">
        <v>0.75</v>
      </c>
      <c r="F1585" s="16" t="n">
        <v>168</v>
      </c>
      <c r="G1585" s="14" t="n">
        <v>0.685159093231951</v>
      </c>
      <c r="H1585" s="15" t="n">
        <v>-0.30505248230685</v>
      </c>
    </row>
    <row r="1586">
      <c r="A1586" t="s">
        <v>31</v>
      </c>
      <c r="B1586" t="s">
        <v>586</v>
      </c>
      <c r="C1586" t="s">
        <v>588</v>
      </c>
      <c r="D1586" t="s">
        <v>1020</v>
      </c>
      <c r="E1586" s="13" t="n">
        <v>0.75</v>
      </c>
      <c r="F1586" s="16" t="n">
        <v>16</v>
      </c>
      <c r="G1586" s="14" t="n">
        <v>0.636036072117319</v>
      </c>
      <c r="H1586" s="15" t="n">
        <v>0.397439448174904</v>
      </c>
    </row>
    <row r="1587">
      <c r="A1587" t="s">
        <v>31</v>
      </c>
      <c r="B1587" t="s">
        <v>589</v>
      </c>
      <c r="C1587" t="s">
        <v>590</v>
      </c>
      <c r="D1587" t="s">
        <v>1020</v>
      </c>
      <c r="E1587" s="13" t="n">
        <v>0.75</v>
      </c>
      <c r="F1587" s="16" t="n">
        <v>9</v>
      </c>
      <c r="G1587" s="14" t="n">
        <v>0.713292387221365</v>
      </c>
      <c r="H1587" s="15" t="n">
        <v>0.231762745781211</v>
      </c>
    </row>
    <row r="1588">
      <c r="A1588" t="s">
        <v>31</v>
      </c>
      <c r="B1588" t="s">
        <v>589</v>
      </c>
      <c r="C1588" t="s">
        <v>591</v>
      </c>
      <c r="D1588" t="s">
        <v>1020</v>
      </c>
      <c r="E1588" s="13" t="n">
        <v>0.5</v>
      </c>
      <c r="F1588" s="16" t="n">
        <v>164</v>
      </c>
      <c r="G1588" s="14" t="n">
        <v>0.424024048078213</v>
      </c>
      <c r="H1588" s="15" t="n">
        <v>-0.264959632116603</v>
      </c>
    </row>
    <row r="1589">
      <c r="A1589" t="s">
        <v>30</v>
      </c>
      <c r="B1589" t="s">
        <v>985</v>
      </c>
      <c r="C1589" t="s">
        <v>986</v>
      </c>
      <c r="D1589" t="s">
        <v>1020</v>
      </c>
      <c r="E1589" s="13" t="n">
        <v>0.75</v>
      </c>
      <c r="F1589" s="16" t="n">
        <v>172</v>
      </c>
      <c r="G1589" s="14" t="n">
        <v>0.720946271953739</v>
      </c>
      <c r="H1589" s="15" t="n">
        <v>-0.206728016862749</v>
      </c>
    </row>
    <row r="1590">
      <c r="A1590" t="s">
        <v>31</v>
      </c>
      <c r="B1590" t="s">
        <v>987</v>
      </c>
      <c r="C1590" t="s">
        <v>988</v>
      </c>
      <c r="D1590" t="s">
        <v>1020</v>
      </c>
      <c r="E1590" s="13" t="n">
        <v>1.25</v>
      </c>
      <c r="F1590" s="16" t="n">
        <v>158</v>
      </c>
      <c r="G1590" s="14" t="n">
        <v>0.899174750423314</v>
      </c>
      <c r="H1590" s="15" t="n">
        <v>-0.868322963073747</v>
      </c>
    </row>
    <row r="1591">
      <c r="A1591" t="s">
        <v>30</v>
      </c>
      <c r="B1591" t="s">
        <v>592</v>
      </c>
      <c r="C1591" t="s">
        <v>593</v>
      </c>
      <c r="D1591" t="s">
        <v>1020</v>
      </c>
      <c r="E1591" s="13" t="n">
        <v>1.25</v>
      </c>
      <c r="F1591" s="16" t="n">
        <v>13</v>
      </c>
      <c r="G1591" s="14" t="n">
        <v>1.12349255787396</v>
      </c>
      <c r="H1591" s="15" t="n">
        <v>0.547963933486347</v>
      </c>
    </row>
    <row r="1592">
      <c r="A1592" t="s">
        <v>30</v>
      </c>
      <c r="B1592" t="s">
        <v>592</v>
      </c>
      <c r="C1592" t="s">
        <v>594</v>
      </c>
      <c r="D1592" t="s">
        <v>1020</v>
      </c>
      <c r="E1592" s="13" t="n">
        <v>1</v>
      </c>
      <c r="F1592" s="16" t="n">
        <v>178</v>
      </c>
      <c r="G1592" s="14" t="n">
        <v>0.997564050259824</v>
      </c>
      <c r="H1592" s="15" t="n">
        <v>-0.0697564737441251</v>
      </c>
    </row>
    <row r="1593">
      <c r="A1593" t="s">
        <v>30</v>
      </c>
      <c r="B1593" t="s">
        <v>595</v>
      </c>
      <c r="C1593" t="s">
        <v>596</v>
      </c>
      <c r="D1593" t="s">
        <v>1020</v>
      </c>
      <c r="E1593" s="13" t="n">
        <v>3.5</v>
      </c>
      <c r="F1593" s="16" t="n">
        <v>156</v>
      </c>
      <c r="G1593" s="14" t="n">
        <v>2.341957122256</v>
      </c>
      <c r="H1593" s="15" t="n">
        <v>-2.60100688917088</v>
      </c>
    </row>
    <row r="1594">
      <c r="A1594" t="s">
        <v>30</v>
      </c>
      <c r="B1594" t="s">
        <v>595</v>
      </c>
      <c r="C1594" t="s">
        <v>597</v>
      </c>
      <c r="D1594" t="s">
        <v>1020</v>
      </c>
      <c r="E1594" s="13" t="n">
        <v>3</v>
      </c>
      <c r="F1594" s="16" t="n">
        <v>19</v>
      </c>
      <c r="G1594" s="14" t="n">
        <v>2.36403226082017</v>
      </c>
      <c r="H1594" s="15" t="n">
        <v>1.84698442597697</v>
      </c>
    </row>
    <row r="1595">
      <c r="A1595" t="s">
        <v>31</v>
      </c>
      <c r="B1595" t="s">
        <v>598</v>
      </c>
      <c r="C1595" t="s">
        <v>599</v>
      </c>
      <c r="D1595" t="s">
        <v>1020</v>
      </c>
      <c r="E1595" s="13" t="n">
        <v>0.5</v>
      </c>
      <c r="F1595" s="16" t="n">
        <v>10</v>
      </c>
      <c r="G1595" s="14" t="n">
        <v>0.469846310392954</v>
      </c>
      <c r="H1595" s="15" t="n">
        <v>0.171010071662834</v>
      </c>
    </row>
    <row r="1596">
      <c r="A1596" t="s">
        <v>31</v>
      </c>
      <c r="B1596" t="s">
        <v>598</v>
      </c>
      <c r="C1596" t="s">
        <v>600</v>
      </c>
      <c r="D1596" t="s">
        <v>1020</v>
      </c>
      <c r="E1596" s="13" t="n">
        <v>0.5</v>
      </c>
      <c r="F1596" s="16" t="n">
        <v>154</v>
      </c>
      <c r="G1596" s="14" t="n">
        <v>0.307830737662829</v>
      </c>
      <c r="H1596" s="15" t="n">
        <v>-0.394005376803361</v>
      </c>
    </row>
    <row r="1597">
      <c r="A1597" t="s">
        <v>30</v>
      </c>
      <c r="B1597" t="s">
        <v>601</v>
      </c>
      <c r="C1597" t="s">
        <v>602</v>
      </c>
      <c r="D1597" t="s">
        <v>1020</v>
      </c>
      <c r="E1597" s="13" t="n">
        <v>0.5</v>
      </c>
      <c r="F1597" s="16" t="n">
        <v>156</v>
      </c>
      <c r="G1597" s="14" t="n">
        <v>0.334565303179429</v>
      </c>
      <c r="H1597" s="15" t="n">
        <v>-0.371572412738697</v>
      </c>
    </row>
    <row r="1598">
      <c r="A1598" t="s">
        <v>30</v>
      </c>
      <c r="B1598" t="s">
        <v>601</v>
      </c>
      <c r="C1598" t="s">
        <v>603</v>
      </c>
      <c r="D1598" t="s">
        <v>1020</v>
      </c>
      <c r="E1598" s="13" t="n">
        <v>0.5</v>
      </c>
      <c r="F1598" s="16" t="n">
        <v>11</v>
      </c>
      <c r="G1598" s="14" t="n">
        <v>0.463591927283394</v>
      </c>
      <c r="H1598" s="15" t="n">
        <v>0.187303296707956</v>
      </c>
    </row>
    <row r="1599">
      <c r="A1599" t="s">
        <v>31</v>
      </c>
      <c r="B1599" t="s">
        <v>989</v>
      </c>
      <c r="C1599" t="s">
        <v>990</v>
      </c>
      <c r="D1599" t="s">
        <v>1020</v>
      </c>
      <c r="E1599" s="13" t="n">
        <v>0.75</v>
      </c>
      <c r="F1599" s="16" t="n">
        <v>157</v>
      </c>
      <c r="G1599" s="14" t="n">
        <v>0.520993777844248</v>
      </c>
      <c r="H1599" s="15" t="n">
        <v>-0.539504850253988</v>
      </c>
    </row>
    <row r="1600">
      <c r="A1600" t="s">
        <v>31</v>
      </c>
      <c r="B1600" t="s">
        <v>989</v>
      </c>
      <c r="C1600" t="s">
        <v>991</v>
      </c>
      <c r="D1600" t="s">
        <v>1020</v>
      </c>
      <c r="E1600" s="13" t="n">
        <v>0.5</v>
      </c>
      <c r="F1600" s="16" t="n">
        <v>20</v>
      </c>
      <c r="G1600" s="14" t="n">
        <v>0.383022221559489</v>
      </c>
      <c r="H1600" s="15" t="n">
        <v>0.32139380484327</v>
      </c>
    </row>
    <row r="1601">
      <c r="A1601" t="s">
        <v>31</v>
      </c>
      <c r="B1601" t="s">
        <v>604</v>
      </c>
      <c r="C1601" t="s">
        <v>605</v>
      </c>
      <c r="D1601" t="s">
        <v>1020</v>
      </c>
      <c r="E1601" s="13" t="n">
        <v>0.75</v>
      </c>
      <c r="F1601" s="16" t="n">
        <v>170</v>
      </c>
      <c r="G1601" s="14" t="n">
        <v>0.704769465589431</v>
      </c>
      <c r="H1601" s="15" t="n">
        <v>-0.256515107494252</v>
      </c>
    </row>
    <row r="1602">
      <c r="A1602" t="s">
        <v>31</v>
      </c>
      <c r="B1602" t="s">
        <v>604</v>
      </c>
      <c r="C1602" t="s">
        <v>606</v>
      </c>
      <c r="D1602" t="s">
        <v>1020</v>
      </c>
      <c r="E1602" s="13" t="n">
        <v>0.75</v>
      </c>
      <c r="F1602" s="16" t="n">
        <v>6</v>
      </c>
      <c r="G1602" s="14" t="n">
        <v>0.733610700550354</v>
      </c>
      <c r="H1602" s="15" t="n">
        <v>0.155933768113319</v>
      </c>
    </row>
    <row r="1603">
      <c r="A1603" t="s">
        <v>30</v>
      </c>
      <c r="B1603" t="s">
        <v>607</v>
      </c>
      <c r="C1603" t="s">
        <v>608</v>
      </c>
      <c r="D1603" t="s">
        <v>1020</v>
      </c>
      <c r="E1603" s="13" t="n">
        <v>0.5</v>
      </c>
      <c r="F1603" s="16" t="n">
        <v>41</v>
      </c>
      <c r="G1603" s="14" t="n">
        <v>0.0695865504800327</v>
      </c>
      <c r="H1603" s="15" t="n">
        <v>0.495134034370785</v>
      </c>
    </row>
    <row r="1604">
      <c r="A1604" t="s">
        <v>30</v>
      </c>
      <c r="B1604" t="s">
        <v>609</v>
      </c>
      <c r="C1604" t="s">
        <v>610</v>
      </c>
      <c r="D1604" t="s">
        <v>1020</v>
      </c>
      <c r="E1604" s="13" t="n">
        <v>0.75</v>
      </c>
      <c r="F1604" s="16" t="n">
        <v>100</v>
      </c>
      <c r="G1604" s="14" t="n">
        <v>-0.704769465589431</v>
      </c>
      <c r="H1604" s="15" t="n">
        <v>-0.256515107494252</v>
      </c>
    </row>
    <row r="1605">
      <c r="A1605" t="s">
        <v>30</v>
      </c>
      <c r="B1605" t="s">
        <v>609</v>
      </c>
      <c r="C1605" t="s">
        <v>611</v>
      </c>
      <c r="D1605" t="s">
        <v>1020</v>
      </c>
      <c r="E1605" s="13" t="n">
        <v>0.5</v>
      </c>
      <c r="F1605" s="16" t="n">
        <v>96</v>
      </c>
      <c r="G1605" s="14" t="n">
        <v>-0.489073800366903</v>
      </c>
      <c r="H1605" s="15" t="n">
        <v>-0.10395584540888</v>
      </c>
    </row>
    <row r="1606">
      <c r="A1606" t="s">
        <v>30</v>
      </c>
      <c r="B1606" t="s">
        <v>612</v>
      </c>
      <c r="C1606" t="s">
        <v>613</v>
      </c>
      <c r="D1606" t="s">
        <v>1020</v>
      </c>
      <c r="E1606" s="13" t="n">
        <v>0.75</v>
      </c>
      <c r="F1606" s="16" t="n">
        <v>31</v>
      </c>
      <c r="G1606" s="14" t="n">
        <v>0.352103672089418</v>
      </c>
      <c r="H1606" s="15" t="n">
        <v>0.662210694644195</v>
      </c>
    </row>
    <row r="1607">
      <c r="A1607" t="s">
        <v>30</v>
      </c>
      <c r="B1607" t="s">
        <v>612</v>
      </c>
      <c r="C1607" t="s">
        <v>614</v>
      </c>
      <c r="D1607" t="s">
        <v>1020</v>
      </c>
      <c r="E1607" s="13" t="n">
        <v>0.25</v>
      </c>
      <c r="F1607" s="16" t="n">
        <v>156</v>
      </c>
      <c r="G1607" s="14" t="n">
        <v>0.167282651589715</v>
      </c>
      <c r="H1607" s="15" t="n">
        <v>-0.185786206369349</v>
      </c>
    </row>
    <row r="1608">
      <c r="A1608" t="s">
        <v>30</v>
      </c>
      <c r="B1608" t="s">
        <v>615</v>
      </c>
      <c r="C1608" t="s">
        <v>616</v>
      </c>
      <c r="D1608" t="s">
        <v>1020</v>
      </c>
      <c r="E1608" s="13" t="n">
        <v>2</v>
      </c>
      <c r="F1608" s="16" t="n">
        <v>23</v>
      </c>
      <c r="G1608" s="14" t="n">
        <v>1.38931674091799</v>
      </c>
      <c r="H1608" s="15" t="n">
        <v>1.4386796006773</v>
      </c>
    </row>
    <row r="1609">
      <c r="A1609" t="s">
        <v>30</v>
      </c>
      <c r="B1609" t="s">
        <v>617</v>
      </c>
      <c r="C1609" t="s">
        <v>618</v>
      </c>
      <c r="D1609" t="s">
        <v>1020</v>
      </c>
      <c r="E1609" s="13" t="n">
        <v>0.5</v>
      </c>
      <c r="F1609" s="16" t="n">
        <v>140</v>
      </c>
      <c r="G1609" s="14" t="n">
        <v>0.086824088833465</v>
      </c>
      <c r="H1609" s="15" t="n">
        <v>-0.492403876506104</v>
      </c>
    </row>
    <row r="1610">
      <c r="A1610" t="s">
        <v>30</v>
      </c>
      <c r="B1610" t="s">
        <v>617</v>
      </c>
      <c r="C1610" t="s">
        <v>619</v>
      </c>
      <c r="D1610" t="s">
        <v>1020</v>
      </c>
      <c r="E1610" s="13" t="n">
        <v>0.25</v>
      </c>
      <c r="F1610" s="16" t="n">
        <v>42</v>
      </c>
      <c r="G1610" s="14" t="n">
        <v>0.0261321158169134</v>
      </c>
      <c r="H1610" s="15" t="n">
        <v>0.248630473842068</v>
      </c>
    </row>
    <row r="1611">
      <c r="A1611" t="s">
        <v>30</v>
      </c>
      <c r="B1611" t="s">
        <v>620</v>
      </c>
      <c r="C1611" t="s">
        <v>621</v>
      </c>
      <c r="D1611" t="s">
        <v>1020</v>
      </c>
      <c r="E1611" s="13" t="n">
        <v>0.75</v>
      </c>
      <c r="F1611" s="16" t="n">
        <v>4</v>
      </c>
      <c r="G1611" s="14" t="n">
        <v>0.742701051556178</v>
      </c>
      <c r="H1611" s="15" t="n">
        <v>0.104379825720049</v>
      </c>
    </row>
    <row r="1612">
      <c r="A1612" t="s">
        <v>30</v>
      </c>
      <c r="B1612" t="s">
        <v>620</v>
      </c>
      <c r="C1612" t="s">
        <v>622</v>
      </c>
      <c r="D1612" t="s">
        <v>1020</v>
      </c>
      <c r="E1612" s="13" t="n">
        <v>1.25</v>
      </c>
      <c r="F1612" s="16" t="n">
        <v>2</v>
      </c>
      <c r="G1612" s="14" t="n">
        <v>1.24695506282478</v>
      </c>
      <c r="H1612" s="15" t="n">
        <v>0.0871955921801566</v>
      </c>
    </row>
    <row r="1613">
      <c r="A1613" t="s">
        <v>30</v>
      </c>
      <c r="B1613" t="s">
        <v>623</v>
      </c>
      <c r="C1613" t="s">
        <v>624</v>
      </c>
      <c r="D1613" t="s">
        <v>1020</v>
      </c>
      <c r="E1613" s="13" t="n">
        <v>0.5</v>
      </c>
      <c r="F1613" s="16" t="n">
        <v>107</v>
      </c>
      <c r="G1613" s="14" t="n">
        <v>-0.414518786277521</v>
      </c>
      <c r="H1613" s="15" t="n">
        <v>-0.279596451735373</v>
      </c>
    </row>
    <row r="1614">
      <c r="A1614" t="s">
        <v>30</v>
      </c>
      <c r="B1614" t="s">
        <v>625</v>
      </c>
      <c r="C1614" t="s">
        <v>626</v>
      </c>
      <c r="D1614" t="s">
        <v>1020</v>
      </c>
      <c r="E1614" s="13" t="n">
        <v>0.25</v>
      </c>
      <c r="F1614" s="16" t="n">
        <v>170</v>
      </c>
      <c r="G1614" s="14" t="n">
        <v>0.234923155196477</v>
      </c>
      <c r="H1614" s="15" t="n">
        <v>-0.0855050358314172</v>
      </c>
    </row>
    <row r="1615">
      <c r="A1615" t="s">
        <v>30</v>
      </c>
      <c r="B1615" t="s">
        <v>625</v>
      </c>
      <c r="C1615" t="s">
        <v>627</v>
      </c>
      <c r="D1615" t="s">
        <v>1020</v>
      </c>
      <c r="E1615" s="13" t="n">
        <v>0.25</v>
      </c>
      <c r="F1615" s="16" t="n">
        <v>179</v>
      </c>
      <c r="G1615" s="14" t="n">
        <v>0.249847706754774</v>
      </c>
      <c r="H1615" s="15" t="n">
        <v>-0.00872487417562521</v>
      </c>
    </row>
    <row r="1616">
      <c r="A1616" t="s">
        <v>30</v>
      </c>
      <c r="B1616" t="s">
        <v>628</v>
      </c>
      <c r="C1616" t="s">
        <v>629</v>
      </c>
      <c r="D1616" t="s">
        <v>1020</v>
      </c>
      <c r="E1616" s="13" t="n">
        <v>1.25</v>
      </c>
      <c r="F1616" s="16" t="n">
        <v>156</v>
      </c>
      <c r="G1616" s="14" t="n">
        <v>0.836413257948573</v>
      </c>
      <c r="H1616" s="15" t="n">
        <v>-0.928931031846743</v>
      </c>
    </row>
    <row r="1617">
      <c r="A1617" t="s">
        <v>30</v>
      </c>
      <c r="B1617" t="s">
        <v>628</v>
      </c>
      <c r="C1617" t="s">
        <v>630</v>
      </c>
      <c r="D1617" t="s">
        <v>1020</v>
      </c>
      <c r="E1617" s="13" t="n">
        <v>2</v>
      </c>
      <c r="F1617" s="16" t="n">
        <v>36</v>
      </c>
      <c r="G1617" s="14" t="n">
        <v>0.618033988749895</v>
      </c>
      <c r="H1617" s="15" t="n">
        <v>1.90211303259031</v>
      </c>
    </row>
    <row r="1618">
      <c r="A1618" t="s">
        <v>31</v>
      </c>
      <c r="B1618" t="s">
        <v>631</v>
      </c>
      <c r="C1618" t="s">
        <v>632</v>
      </c>
      <c r="D1618" t="s">
        <v>1020</v>
      </c>
      <c r="E1618" s="13" t="n">
        <v>0.5</v>
      </c>
      <c r="F1618" s="16" t="n">
        <v>8</v>
      </c>
      <c r="G1618" s="14" t="n">
        <v>0.480630847969159</v>
      </c>
      <c r="H1618" s="15" t="n">
        <v>0.1378186779085</v>
      </c>
    </row>
    <row r="1619">
      <c r="A1619" t="s">
        <v>31</v>
      </c>
      <c r="B1619" t="s">
        <v>633</v>
      </c>
      <c r="C1619" t="s">
        <v>634</v>
      </c>
      <c r="D1619" t="s">
        <v>1020</v>
      </c>
      <c r="E1619" s="13" t="n">
        <v>0.25</v>
      </c>
      <c r="F1619" s="16" t="n">
        <v>175</v>
      </c>
      <c r="G1619" s="14" t="n">
        <v>0.246201938253052</v>
      </c>
      <c r="H1619" s="15" t="n">
        <v>-0.0434120444167326</v>
      </c>
    </row>
    <row r="1620">
      <c r="A1620" t="s">
        <v>31</v>
      </c>
      <c r="B1620" t="s">
        <v>635</v>
      </c>
      <c r="C1620" t="s">
        <v>636</v>
      </c>
      <c r="D1620" t="s">
        <v>1020</v>
      </c>
      <c r="E1620" s="13" t="n">
        <v>1.25</v>
      </c>
      <c r="F1620" s="16" t="n">
        <v>6</v>
      </c>
      <c r="G1620" s="14" t="n">
        <v>1.22268450091726</v>
      </c>
      <c r="H1620" s="15" t="n">
        <v>0.259889613522199</v>
      </c>
    </row>
    <row r="1621">
      <c r="A1621" t="s">
        <v>30</v>
      </c>
      <c r="B1621" t="s">
        <v>637</v>
      </c>
      <c r="C1621" t="s">
        <v>638</v>
      </c>
      <c r="D1621" t="s">
        <v>1020</v>
      </c>
      <c r="E1621" s="13" t="n">
        <v>0.75</v>
      </c>
      <c r="F1621" s="16" t="n">
        <v>35</v>
      </c>
      <c r="G1621" s="14" t="n">
        <v>0.256515107494252</v>
      </c>
      <c r="H1621" s="15" t="n">
        <v>0.704769465589431</v>
      </c>
    </row>
    <row r="1622">
      <c r="A1622" t="s">
        <v>30</v>
      </c>
      <c r="B1622" t="s">
        <v>637</v>
      </c>
      <c r="C1622" t="s">
        <v>639</v>
      </c>
      <c r="D1622" t="s">
        <v>1020</v>
      </c>
      <c r="E1622" s="13" t="n">
        <v>0.5</v>
      </c>
      <c r="F1622" s="16" t="n">
        <v>143</v>
      </c>
      <c r="G1622" s="14" t="n">
        <v>0.137818677908499</v>
      </c>
      <c r="H1622" s="15" t="n">
        <v>-0.480630847969159</v>
      </c>
    </row>
    <row r="1623">
      <c r="A1623" t="s">
        <v>30</v>
      </c>
      <c r="B1623" t="s">
        <v>640</v>
      </c>
      <c r="C1623" t="s">
        <v>641</v>
      </c>
      <c r="D1623" t="s">
        <v>1020</v>
      </c>
      <c r="E1623" s="13" t="n">
        <v>0.5</v>
      </c>
      <c r="F1623" s="16" t="n">
        <v>68</v>
      </c>
      <c r="G1623" s="14" t="n">
        <v>-0.359669900169325</v>
      </c>
      <c r="H1623" s="15" t="n">
        <v>0.347329185229499</v>
      </c>
    </row>
    <row r="1624">
      <c r="A1624" t="s">
        <v>31</v>
      </c>
      <c r="B1624" t="s">
        <v>642</v>
      </c>
      <c r="C1624" t="s">
        <v>643</v>
      </c>
      <c r="D1624" t="s">
        <v>1020</v>
      </c>
      <c r="E1624" s="13" t="n">
        <v>1.25</v>
      </c>
      <c r="F1624" s="16" t="n">
        <v>78</v>
      </c>
      <c r="G1624" s="14" t="n">
        <v>-1.14193182205325</v>
      </c>
      <c r="H1624" s="15" t="n">
        <v>0.50842080384475</v>
      </c>
    </row>
    <row r="1625">
      <c r="A1625" t="s">
        <v>31</v>
      </c>
      <c r="B1625" t="s">
        <v>642</v>
      </c>
      <c r="C1625" t="s">
        <v>644</v>
      </c>
      <c r="D1625" t="s">
        <v>1020</v>
      </c>
      <c r="E1625" s="13" t="n">
        <v>0.75</v>
      </c>
      <c r="F1625" s="16" t="n">
        <v>93</v>
      </c>
      <c r="G1625" s="14" t="n">
        <v>-0.745891421526205</v>
      </c>
      <c r="H1625" s="15" t="n">
        <v>-0.0783963474507403</v>
      </c>
    </row>
    <row r="1626">
      <c r="A1626" t="s">
        <v>31</v>
      </c>
      <c r="B1626" t="s">
        <v>992</v>
      </c>
      <c r="C1626" t="s">
        <v>993</v>
      </c>
      <c r="D1626" t="s">
        <v>1020</v>
      </c>
      <c r="E1626" s="13" t="n">
        <v>0.5</v>
      </c>
      <c r="F1626" s="16" t="n">
        <v>170</v>
      </c>
      <c r="G1626" s="14" t="n">
        <v>0.469846310392954</v>
      </c>
      <c r="H1626" s="15" t="n">
        <v>-0.171010071662834</v>
      </c>
    </row>
    <row r="1627">
      <c r="A1627" t="s">
        <v>31</v>
      </c>
      <c r="B1627" t="s">
        <v>992</v>
      </c>
      <c r="C1627" t="s">
        <v>994</v>
      </c>
      <c r="D1627" t="s">
        <v>1020</v>
      </c>
      <c r="E1627" s="13" t="n">
        <v>0.25</v>
      </c>
      <c r="F1627" s="16" t="n">
        <v>14</v>
      </c>
      <c r="G1627" s="14" t="n">
        <v>0.220736898214732</v>
      </c>
      <c r="H1627" s="15" t="n">
        <v>0.117367890696473</v>
      </c>
    </row>
    <row r="1628">
      <c r="A1628" t="s">
        <v>30</v>
      </c>
      <c r="B1628" t="s">
        <v>995</v>
      </c>
      <c r="C1628" t="s">
        <v>996</v>
      </c>
      <c r="D1628" t="s">
        <v>1020</v>
      </c>
      <c r="E1628" s="13" t="n">
        <v>1.25</v>
      </c>
      <c r="F1628" s="16" t="n">
        <v>118</v>
      </c>
      <c r="G1628" s="14" t="n">
        <v>-0.698991129338434</v>
      </c>
      <c r="H1628" s="15" t="n">
        <v>-1.0362969656938</v>
      </c>
    </row>
    <row r="1629">
      <c r="A1629" t="s">
        <v>30</v>
      </c>
      <c r="B1629" t="s">
        <v>995</v>
      </c>
      <c r="C1629" t="s">
        <v>997</v>
      </c>
      <c r="D1629" t="s">
        <v>1020</v>
      </c>
      <c r="E1629" s="13" t="n">
        <v>0.75</v>
      </c>
      <c r="F1629" s="16" t="n">
        <v>45</v>
      </c>
      <c r="G1629" s="14" t="n">
        <v>0</v>
      </c>
      <c r="H1629" s="15" t="n">
        <v>0.75</v>
      </c>
    </row>
    <row r="1630">
      <c r="A1630" t="s">
        <v>30</v>
      </c>
      <c r="B1630" t="s">
        <v>645</v>
      </c>
      <c r="C1630" t="s">
        <v>646</v>
      </c>
      <c r="D1630" t="s">
        <v>1020</v>
      </c>
      <c r="E1630" s="13" t="n">
        <v>1.25</v>
      </c>
      <c r="F1630" s="16" t="n">
        <v>79</v>
      </c>
      <c r="G1630" s="14" t="n">
        <v>-1.15897981820848</v>
      </c>
      <c r="H1630" s="15" t="n">
        <v>0.46825824176989</v>
      </c>
    </row>
    <row r="1631">
      <c r="A1631" t="s">
        <v>30</v>
      </c>
      <c r="B1631" t="s">
        <v>647</v>
      </c>
      <c r="C1631" t="s">
        <v>648</v>
      </c>
      <c r="D1631" t="s">
        <v>1020</v>
      </c>
      <c r="E1631" s="13" t="n">
        <v>0.75</v>
      </c>
      <c r="F1631" s="16" t="n">
        <v>81</v>
      </c>
      <c r="G1631" s="14" t="n">
        <v>-0.713292387221365</v>
      </c>
      <c r="H1631" s="15" t="n">
        <v>0.231762745781211</v>
      </c>
    </row>
    <row r="1632">
      <c r="A1632" t="s">
        <v>30</v>
      </c>
      <c r="B1632" t="s">
        <v>647</v>
      </c>
      <c r="C1632" t="s">
        <v>649</v>
      </c>
      <c r="D1632" t="s">
        <v>1020</v>
      </c>
      <c r="E1632" s="13" t="n">
        <v>0.75</v>
      </c>
      <c r="F1632" s="16" t="n">
        <v>93</v>
      </c>
      <c r="G1632" s="14" t="n">
        <v>-0.745891421526205</v>
      </c>
      <c r="H1632" s="15" t="n">
        <v>-0.0783963474507403</v>
      </c>
    </row>
    <row r="1633">
      <c r="A1633" t="s">
        <v>31</v>
      </c>
      <c r="B1633" t="s">
        <v>650</v>
      </c>
      <c r="C1633" t="s">
        <v>651</v>
      </c>
      <c r="D1633" t="s">
        <v>1020</v>
      </c>
      <c r="E1633" s="13" t="n">
        <v>1.25</v>
      </c>
      <c r="F1633" s="16" t="n">
        <v>98</v>
      </c>
      <c r="G1633" s="14" t="n">
        <v>-1.2015771199229</v>
      </c>
      <c r="H1633" s="15" t="n">
        <v>-0.344546694771249</v>
      </c>
    </row>
    <row r="1634">
      <c r="A1634" t="s">
        <v>31</v>
      </c>
      <c r="B1634" t="s">
        <v>650</v>
      </c>
      <c r="C1634" t="s">
        <v>652</v>
      </c>
      <c r="D1634" t="s">
        <v>1020</v>
      </c>
      <c r="E1634" s="13" t="n">
        <v>0.5</v>
      </c>
      <c r="F1634" s="16" t="n">
        <v>81</v>
      </c>
      <c r="G1634" s="14" t="n">
        <v>-0.475528258147577</v>
      </c>
      <c r="H1634" s="15" t="n">
        <v>0.154508497187474</v>
      </c>
    </row>
    <row r="1635">
      <c r="A1635" t="s">
        <v>31</v>
      </c>
      <c r="B1635" t="s">
        <v>653</v>
      </c>
      <c r="C1635" t="s">
        <v>654</v>
      </c>
      <c r="D1635" t="s">
        <v>1020</v>
      </c>
      <c r="E1635" s="13" t="n">
        <v>0.5</v>
      </c>
      <c r="F1635" s="16" t="n">
        <v>160</v>
      </c>
      <c r="G1635" s="14" t="n">
        <v>0.383022221559489</v>
      </c>
      <c r="H1635" s="15" t="n">
        <v>-0.32139380484327</v>
      </c>
    </row>
    <row r="1636">
      <c r="A1636" t="s">
        <v>31</v>
      </c>
      <c r="B1636" t="s">
        <v>653</v>
      </c>
      <c r="C1636" t="s">
        <v>655</v>
      </c>
      <c r="D1636" t="s">
        <v>1020</v>
      </c>
      <c r="E1636" s="13" t="n">
        <v>1</v>
      </c>
      <c r="F1636" s="16" t="n">
        <v>25</v>
      </c>
      <c r="G1636" s="14" t="n">
        <v>0.642787609686539</v>
      </c>
      <c r="H1636" s="15" t="n">
        <v>0.766044443118978</v>
      </c>
    </row>
    <row r="1637">
      <c r="A1637" t="s">
        <v>30</v>
      </c>
      <c r="B1637" t="s">
        <v>656</v>
      </c>
      <c r="C1637" t="s">
        <v>657</v>
      </c>
      <c r="D1637" t="s">
        <v>1020</v>
      </c>
      <c r="E1637" s="13" t="n">
        <v>0.25</v>
      </c>
      <c r="F1637" s="16" t="n">
        <v>13</v>
      </c>
      <c r="G1637" s="14" t="n">
        <v>0.224698511574792</v>
      </c>
      <c r="H1637" s="15" t="n">
        <v>0.109592786697269</v>
      </c>
    </row>
    <row r="1638">
      <c r="A1638" t="s">
        <v>30</v>
      </c>
      <c r="B1638" t="s">
        <v>656</v>
      </c>
      <c r="C1638" t="s">
        <v>658</v>
      </c>
      <c r="D1638" t="s">
        <v>1020</v>
      </c>
      <c r="E1638" s="13" t="n">
        <v>1</v>
      </c>
      <c r="F1638" s="16" t="n">
        <v>0</v>
      </c>
      <c r="G1638" s="14" t="n">
        <v>1</v>
      </c>
      <c r="H1638" s="15" t="n">
        <v>0</v>
      </c>
    </row>
    <row r="1639">
      <c r="A1639" t="s">
        <v>30</v>
      </c>
      <c r="B1639" t="s">
        <v>659</v>
      </c>
      <c r="C1639" t="s">
        <v>660</v>
      </c>
      <c r="D1639" t="s">
        <v>1020</v>
      </c>
      <c r="E1639" s="13" t="n">
        <v>1</v>
      </c>
      <c r="F1639" s="16" t="n">
        <v>4</v>
      </c>
      <c r="G1639" s="14" t="n">
        <v>0.99026806874157</v>
      </c>
      <c r="H1639" s="15" t="n">
        <v>0.139173100960065</v>
      </c>
    </row>
    <row r="1640">
      <c r="A1640" t="s">
        <v>31</v>
      </c>
      <c r="B1640" t="s">
        <v>661</v>
      </c>
      <c r="C1640" t="s">
        <v>662</v>
      </c>
      <c r="D1640" t="s">
        <v>1020</v>
      </c>
      <c r="E1640" s="13" t="n">
        <v>0.75</v>
      </c>
      <c r="F1640" s="16" t="n">
        <v>125</v>
      </c>
      <c r="G1640" s="14" t="n">
        <v>-0.256515107494252</v>
      </c>
      <c r="H1640" s="15" t="n">
        <v>-0.704769465589431</v>
      </c>
    </row>
    <row r="1641">
      <c r="A1641" t="s">
        <v>31</v>
      </c>
      <c r="B1641" t="s">
        <v>661</v>
      </c>
      <c r="C1641" t="s">
        <v>663</v>
      </c>
      <c r="D1641" t="s">
        <v>1020</v>
      </c>
      <c r="E1641" s="13" t="n">
        <v>0.5</v>
      </c>
      <c r="F1641" s="16" t="n">
        <v>69</v>
      </c>
      <c r="G1641" s="14" t="n">
        <v>-0.371572412738697</v>
      </c>
      <c r="H1641" s="15" t="n">
        <v>0.334565303179429</v>
      </c>
    </row>
    <row r="1642">
      <c r="A1642" t="s">
        <v>30</v>
      </c>
      <c r="B1642" t="s">
        <v>664</v>
      </c>
      <c r="C1642" t="s">
        <v>665</v>
      </c>
      <c r="D1642" t="s">
        <v>1020</v>
      </c>
      <c r="E1642" s="13" t="n">
        <v>0.75</v>
      </c>
      <c r="F1642" s="16" t="n">
        <v>8</v>
      </c>
      <c r="G1642" s="14" t="n">
        <v>0.720946271953739</v>
      </c>
      <c r="H1642" s="15" t="n">
        <v>0.206728016862749</v>
      </c>
    </row>
    <row r="1643">
      <c r="A1643" t="s">
        <v>30</v>
      </c>
      <c r="B1643" t="s">
        <v>664</v>
      </c>
      <c r="C1643" t="s">
        <v>666</v>
      </c>
      <c r="D1643" t="s">
        <v>1020</v>
      </c>
      <c r="E1643" s="13" t="n">
        <v>1.75</v>
      </c>
      <c r="F1643" s="16" t="n">
        <v>168</v>
      </c>
      <c r="G1643" s="14" t="n">
        <v>1.59870455087455</v>
      </c>
      <c r="H1643" s="15" t="n">
        <v>-0.71178912538265</v>
      </c>
    </row>
    <row r="1644">
      <c r="A1644" t="s">
        <v>30</v>
      </c>
      <c r="B1644" t="s">
        <v>667</v>
      </c>
      <c r="C1644" t="s">
        <v>668</v>
      </c>
      <c r="D1644" t="s">
        <v>1020</v>
      </c>
      <c r="E1644" s="13" t="n">
        <v>1.25</v>
      </c>
      <c r="F1644" s="16" t="n">
        <v>13</v>
      </c>
      <c r="G1644" s="14" t="n">
        <v>1.12349255787396</v>
      </c>
      <c r="H1644" s="15" t="n">
        <v>0.547963933486347</v>
      </c>
    </row>
    <row r="1645">
      <c r="A1645" t="s">
        <v>30</v>
      </c>
      <c r="B1645" t="s">
        <v>669</v>
      </c>
      <c r="C1645" t="s">
        <v>670</v>
      </c>
      <c r="D1645" t="s">
        <v>1020</v>
      </c>
      <c r="E1645" s="13" t="n">
        <v>0.75</v>
      </c>
      <c r="F1645" s="16" t="n">
        <v>2</v>
      </c>
      <c r="G1645" s="14" t="n">
        <v>0.748173037694868</v>
      </c>
      <c r="H1645" s="15" t="n">
        <v>0.052317355308094</v>
      </c>
    </row>
    <row r="1646">
      <c r="A1646" t="s">
        <v>30</v>
      </c>
      <c r="B1646" t="s">
        <v>669</v>
      </c>
      <c r="C1646" t="s">
        <v>671</v>
      </c>
      <c r="D1646" t="s">
        <v>1020</v>
      </c>
      <c r="E1646" s="13" t="n">
        <v>0.75</v>
      </c>
      <c r="F1646" s="16" t="n">
        <v>0</v>
      </c>
      <c r="G1646" s="14" t="n">
        <v>0.75</v>
      </c>
      <c r="H1646" s="15" t="n">
        <v>0</v>
      </c>
    </row>
    <row r="1647">
      <c r="A1647" t="s">
        <v>31</v>
      </c>
      <c r="B1647" t="s">
        <v>672</v>
      </c>
      <c r="C1647" t="s">
        <v>673</v>
      </c>
      <c r="D1647" t="s">
        <v>1020</v>
      </c>
      <c r="E1647" s="13" t="n">
        <v>1.75</v>
      </c>
      <c r="F1647" s="16" t="n">
        <v>6</v>
      </c>
      <c r="G1647" s="14" t="n">
        <v>1.71175830128416</v>
      </c>
      <c r="H1647" s="15" t="n">
        <v>0.363845458931079</v>
      </c>
    </row>
    <row r="1648">
      <c r="A1648" t="s">
        <v>31</v>
      </c>
      <c r="B1648" t="s">
        <v>672</v>
      </c>
      <c r="C1648" t="s">
        <v>674</v>
      </c>
      <c r="D1648" t="s">
        <v>1020</v>
      </c>
      <c r="E1648" s="13" t="n">
        <v>1.25</v>
      </c>
      <c r="F1648" s="16" t="n">
        <v>8</v>
      </c>
      <c r="G1648" s="14" t="n">
        <v>1.2015771199229</v>
      </c>
      <c r="H1648" s="15" t="n">
        <v>0.344546694771249</v>
      </c>
    </row>
    <row r="1649">
      <c r="A1649" t="s">
        <v>31</v>
      </c>
      <c r="B1649" t="s">
        <v>675</v>
      </c>
      <c r="C1649" t="s">
        <v>676</v>
      </c>
      <c r="D1649" t="s">
        <v>1020</v>
      </c>
      <c r="E1649" s="13" t="n">
        <v>1</v>
      </c>
      <c r="F1649" s="16" t="n">
        <v>73</v>
      </c>
      <c r="G1649" s="14" t="n">
        <v>-0.829037572555042</v>
      </c>
      <c r="H1649" s="15" t="n">
        <v>0.559192903470747</v>
      </c>
    </row>
    <row r="1650">
      <c r="A1650" t="s">
        <v>31</v>
      </c>
      <c r="B1650" t="s">
        <v>677</v>
      </c>
      <c r="C1650" t="s">
        <v>678</v>
      </c>
      <c r="D1650" t="s">
        <v>1020</v>
      </c>
      <c r="E1650" s="13" t="n">
        <v>1.25</v>
      </c>
      <c r="F1650" s="16" t="n">
        <v>168</v>
      </c>
      <c r="G1650" s="14" t="n">
        <v>1.14193182205325</v>
      </c>
      <c r="H1650" s="15" t="n">
        <v>-0.50842080384475</v>
      </c>
    </row>
    <row r="1651">
      <c r="A1651" t="s">
        <v>31</v>
      </c>
      <c r="B1651" t="s">
        <v>679</v>
      </c>
      <c r="C1651" t="s">
        <v>680</v>
      </c>
      <c r="D1651" t="s">
        <v>1020</v>
      </c>
      <c r="E1651" s="13" t="n">
        <v>0.75</v>
      </c>
      <c r="F1651" s="16" t="n">
        <v>50</v>
      </c>
      <c r="G1651" s="14" t="n">
        <v>-0.130236133250198</v>
      </c>
      <c r="H1651" s="15" t="n">
        <v>0.738605814759156</v>
      </c>
    </row>
    <row r="1652">
      <c r="A1652" t="s">
        <v>31</v>
      </c>
      <c r="B1652" t="s">
        <v>679</v>
      </c>
      <c r="C1652" t="s">
        <v>681</v>
      </c>
      <c r="D1652" t="s">
        <v>1020</v>
      </c>
      <c r="E1652" s="13" t="n">
        <v>1.25</v>
      </c>
      <c r="F1652" s="16" t="n">
        <v>132</v>
      </c>
      <c r="G1652" s="14" t="n">
        <v>-0.130660579084568</v>
      </c>
      <c r="H1652" s="15" t="n">
        <v>-1.24315236921034</v>
      </c>
    </row>
    <row r="1653">
      <c r="A1653" t="s">
        <v>31</v>
      </c>
      <c r="B1653" t="s">
        <v>682</v>
      </c>
      <c r="C1653" t="s">
        <v>683</v>
      </c>
      <c r="D1653" t="s">
        <v>1020</v>
      </c>
      <c r="E1653" s="13" t="n">
        <v>1.5</v>
      </c>
      <c r="F1653" s="16" t="n">
        <v>177</v>
      </c>
      <c r="G1653" s="14" t="n">
        <v>1.49178284305241</v>
      </c>
      <c r="H1653" s="15" t="n">
        <v>-0.156792694901481</v>
      </c>
    </row>
    <row r="1654">
      <c r="A1654" t="s">
        <v>31</v>
      </c>
      <c r="B1654" t="s">
        <v>682</v>
      </c>
      <c r="C1654" t="s">
        <v>684</v>
      </c>
      <c r="D1654" t="s">
        <v>1020</v>
      </c>
      <c r="E1654" s="13" t="n">
        <v>1.5</v>
      </c>
      <c r="F1654" s="16" t="n">
        <v>153</v>
      </c>
      <c r="G1654" s="14" t="n">
        <v>0.881677878438709</v>
      </c>
      <c r="H1654" s="15" t="n">
        <v>-1.21352549156242</v>
      </c>
    </row>
    <row r="1655">
      <c r="A1655" t="s">
        <v>30</v>
      </c>
      <c r="B1655" t="s">
        <v>685</v>
      </c>
      <c r="C1655" t="s">
        <v>686</v>
      </c>
      <c r="D1655" t="s">
        <v>1020</v>
      </c>
      <c r="E1655" s="13" t="n">
        <v>0.5</v>
      </c>
      <c r="F1655" s="16" t="n">
        <v>44</v>
      </c>
      <c r="G1655" s="14" t="n">
        <v>0.0174497483512505</v>
      </c>
      <c r="H1655" s="15" t="n">
        <v>0.499695413509548</v>
      </c>
    </row>
    <row r="1656">
      <c r="A1656" t="s">
        <v>30</v>
      </c>
      <c r="B1656" t="s">
        <v>685</v>
      </c>
      <c r="C1656" t="s">
        <v>687</v>
      </c>
      <c r="D1656" t="s">
        <v>1020</v>
      </c>
      <c r="E1656" s="13" t="n">
        <v>0.5</v>
      </c>
      <c r="F1656" s="16" t="n">
        <v>125</v>
      </c>
      <c r="G1656" s="14" t="n">
        <v>-0.171010071662835</v>
      </c>
      <c r="H1656" s="15" t="n">
        <v>-0.469846310392954</v>
      </c>
    </row>
    <row r="1657">
      <c r="A1657" t="s">
        <v>31</v>
      </c>
      <c r="B1657" t="s">
        <v>688</v>
      </c>
      <c r="C1657" t="s">
        <v>689</v>
      </c>
      <c r="D1657" t="s">
        <v>1020</v>
      </c>
      <c r="E1657" s="13" t="n">
        <v>0.5</v>
      </c>
      <c r="F1657" s="16" t="n">
        <v>140</v>
      </c>
      <c r="G1657" s="14" t="n">
        <v>0.086824088833465</v>
      </c>
      <c r="H1657" s="15" t="n">
        <v>-0.492403876506104</v>
      </c>
    </row>
    <row r="1658">
      <c r="A1658" t="s">
        <v>31</v>
      </c>
      <c r="B1658" t="s">
        <v>688</v>
      </c>
      <c r="C1658" t="s">
        <v>690</v>
      </c>
      <c r="D1658" t="s">
        <v>1020</v>
      </c>
      <c r="E1658" s="13" t="n">
        <v>0.75</v>
      </c>
      <c r="F1658" s="16" t="n">
        <v>41</v>
      </c>
      <c r="G1658" s="14" t="n">
        <v>0.104379825720049</v>
      </c>
      <c r="H1658" s="15" t="n">
        <v>0.742701051556178</v>
      </c>
    </row>
    <row r="1659">
      <c r="A1659" t="s">
        <v>31</v>
      </c>
      <c r="B1659" t="s">
        <v>691</v>
      </c>
      <c r="C1659" t="s">
        <v>692</v>
      </c>
      <c r="D1659" t="s">
        <v>1020</v>
      </c>
      <c r="E1659" s="13" t="n">
        <v>1.25</v>
      </c>
      <c r="F1659" s="16" t="n">
        <v>2</v>
      </c>
      <c r="G1659" s="14" t="n">
        <v>1.24695506282478</v>
      </c>
      <c r="H1659" s="15" t="n">
        <v>0.0871955921801566</v>
      </c>
    </row>
    <row r="1660">
      <c r="A1660" t="s">
        <v>31</v>
      </c>
      <c r="B1660" t="s">
        <v>691</v>
      </c>
      <c r="C1660" t="s">
        <v>693</v>
      </c>
      <c r="D1660" t="s">
        <v>1020</v>
      </c>
      <c r="E1660" s="13" t="n">
        <v>1.5</v>
      </c>
      <c r="F1660" s="16" t="n">
        <v>165</v>
      </c>
      <c r="G1660" s="14" t="n">
        <v>1.29903810567666</v>
      </c>
      <c r="H1660" s="15" t="n">
        <v>-0.75</v>
      </c>
    </row>
    <row r="1661">
      <c r="A1661" t="s">
        <v>31</v>
      </c>
      <c r="B1661" t="s">
        <v>694</v>
      </c>
      <c r="C1661" t="s">
        <v>695</v>
      </c>
      <c r="D1661" t="s">
        <v>1020</v>
      </c>
      <c r="E1661" s="13" t="n">
        <v>0.25</v>
      </c>
      <c r="F1661" s="16" t="n">
        <v>90</v>
      </c>
      <c r="G1661" s="14" t="n">
        <v>-0.25</v>
      </c>
      <c r="H1661" s="15" t="n">
        <v>0</v>
      </c>
    </row>
    <row r="1662">
      <c r="A1662" t="s">
        <v>31</v>
      </c>
      <c r="B1662" t="s">
        <v>696</v>
      </c>
      <c r="C1662" t="s">
        <v>697</v>
      </c>
      <c r="D1662" t="s">
        <v>1020</v>
      </c>
      <c r="E1662" s="13" t="n">
        <v>1</v>
      </c>
      <c r="F1662" s="16" t="n">
        <v>82</v>
      </c>
      <c r="G1662" s="14" t="n">
        <v>-0.961261695938319</v>
      </c>
      <c r="H1662" s="15" t="n">
        <v>0.275637355816999</v>
      </c>
    </row>
    <row r="1663">
      <c r="A1663" t="s">
        <v>31</v>
      </c>
      <c r="B1663" t="s">
        <v>696</v>
      </c>
      <c r="C1663" t="s">
        <v>698</v>
      </c>
      <c r="D1663" t="s">
        <v>1020</v>
      </c>
      <c r="E1663" s="13" t="n">
        <v>1</v>
      </c>
      <c r="F1663" s="16" t="n">
        <v>80</v>
      </c>
      <c r="G1663" s="14" t="n">
        <v>-0.939692620785908</v>
      </c>
      <c r="H1663" s="15" t="n">
        <v>0.342020143325669</v>
      </c>
    </row>
    <row r="1664">
      <c r="A1664" t="s">
        <v>30</v>
      </c>
      <c r="B1664" t="s">
        <v>699</v>
      </c>
      <c r="C1664" t="s">
        <v>700</v>
      </c>
      <c r="D1664" t="s">
        <v>1020</v>
      </c>
      <c r="E1664" s="13" t="n">
        <v>1.25</v>
      </c>
      <c r="F1664" s="16" t="n">
        <v>16</v>
      </c>
      <c r="G1664" s="14" t="n">
        <v>1.06006012019553</v>
      </c>
      <c r="H1664" s="15" t="n">
        <v>0.662399080291506</v>
      </c>
    </row>
    <row r="1665">
      <c r="A1665" t="s">
        <v>30</v>
      </c>
      <c r="B1665" t="s">
        <v>699</v>
      </c>
      <c r="C1665" t="s">
        <v>701</v>
      </c>
      <c r="D1665" t="s">
        <v>1020</v>
      </c>
      <c r="E1665" s="13" t="n">
        <v>1.5</v>
      </c>
      <c r="F1665" s="16" t="n">
        <v>166</v>
      </c>
      <c r="G1665" s="14" t="n">
        <v>1.32442138928839</v>
      </c>
      <c r="H1665" s="15" t="n">
        <v>-0.704207344178836</v>
      </c>
    </row>
    <row r="1666">
      <c r="A1666" t="s">
        <v>31</v>
      </c>
      <c r="B1666" t="s">
        <v>702</v>
      </c>
      <c r="C1666" t="s">
        <v>703</v>
      </c>
      <c r="D1666" t="s">
        <v>1020</v>
      </c>
      <c r="E1666" s="13" t="n">
        <v>0.5</v>
      </c>
      <c r="F1666" s="16" t="n">
        <v>165</v>
      </c>
      <c r="G1666" s="14" t="n">
        <v>0.433012701892219</v>
      </c>
      <c r="H1666" s="15" t="n">
        <v>-0.25</v>
      </c>
    </row>
    <row r="1667">
      <c r="A1667" t="s">
        <v>30</v>
      </c>
      <c r="B1667" t="s">
        <v>704</v>
      </c>
      <c r="C1667" t="s">
        <v>705</v>
      </c>
      <c r="D1667" t="s">
        <v>1020</v>
      </c>
      <c r="E1667" s="13" t="n">
        <v>0.75</v>
      </c>
      <c r="F1667" s="16" t="n">
        <v>7</v>
      </c>
      <c r="G1667" s="14" t="n">
        <v>0.727721794706997</v>
      </c>
      <c r="H1667" s="15" t="n">
        <v>0.181441421699751</v>
      </c>
    </row>
    <row r="1668">
      <c r="A1668" t="s">
        <v>30</v>
      </c>
      <c r="B1668" t="s">
        <v>706</v>
      </c>
      <c r="C1668" t="s">
        <v>707</v>
      </c>
      <c r="D1668" t="s">
        <v>1020</v>
      </c>
      <c r="E1668" s="13" t="n">
        <v>0.75</v>
      </c>
      <c r="F1668" s="16" t="n">
        <v>89</v>
      </c>
      <c r="G1668" s="14" t="n">
        <v>-0.749543120264322</v>
      </c>
      <c r="H1668" s="15" t="n">
        <v>0.0261746225268759</v>
      </c>
    </row>
    <row r="1669">
      <c r="A1669" t="s">
        <v>30</v>
      </c>
      <c r="B1669" t="s">
        <v>708</v>
      </c>
      <c r="C1669" t="s">
        <v>709</v>
      </c>
      <c r="D1669" t="s">
        <v>1020</v>
      </c>
      <c r="E1669" s="13" t="n">
        <v>0.5</v>
      </c>
      <c r="F1669" s="16" t="n">
        <v>165</v>
      </c>
      <c r="G1669" s="14" t="n">
        <v>0.433012701892219</v>
      </c>
      <c r="H1669" s="15" t="n">
        <v>-0.25</v>
      </c>
    </row>
    <row r="1670">
      <c r="A1670" t="s">
        <v>30</v>
      </c>
      <c r="B1670" t="s">
        <v>708</v>
      </c>
      <c r="C1670" t="s">
        <v>710</v>
      </c>
      <c r="D1670" t="s">
        <v>1020</v>
      </c>
      <c r="E1670" s="13" t="n">
        <v>0.5</v>
      </c>
      <c r="F1670" s="16" t="n">
        <v>21</v>
      </c>
      <c r="G1670" s="14" t="n">
        <v>0.371572412738697</v>
      </c>
      <c r="H1670" s="15" t="n">
        <v>0.334565303179429</v>
      </c>
    </row>
    <row r="1671">
      <c r="A1671" t="s">
        <v>31</v>
      </c>
      <c r="B1671" t="s">
        <v>711</v>
      </c>
      <c r="C1671" t="s">
        <v>712</v>
      </c>
      <c r="D1671" t="s">
        <v>1020</v>
      </c>
      <c r="E1671" s="13" t="n">
        <v>1.25</v>
      </c>
      <c r="F1671" s="16" t="n">
        <v>5</v>
      </c>
      <c r="G1671" s="14" t="n">
        <v>1.23100969126526</v>
      </c>
      <c r="H1671" s="15" t="n">
        <v>0.217060222083663</v>
      </c>
    </row>
    <row r="1672">
      <c r="A1672" t="s">
        <v>30</v>
      </c>
      <c r="B1672" t="s">
        <v>713</v>
      </c>
      <c r="C1672" t="s">
        <v>714</v>
      </c>
      <c r="D1672" t="s">
        <v>1020</v>
      </c>
      <c r="E1672" s="13" t="n">
        <v>1</v>
      </c>
      <c r="F1672" s="16" t="n">
        <v>167</v>
      </c>
      <c r="G1672" s="14" t="n">
        <v>0.898794046299167</v>
      </c>
      <c r="H1672" s="15" t="n">
        <v>-0.438371146789077</v>
      </c>
    </row>
    <row r="1673">
      <c r="A1673" t="s">
        <v>30</v>
      </c>
      <c r="B1673" t="s">
        <v>715</v>
      </c>
      <c r="C1673" t="s">
        <v>716</v>
      </c>
      <c r="D1673" t="s">
        <v>1020</v>
      </c>
      <c r="E1673" s="13" t="n">
        <v>0.5</v>
      </c>
      <c r="F1673" s="16" t="n">
        <v>10</v>
      </c>
      <c r="G1673" s="14" t="n">
        <v>0.469846310392954</v>
      </c>
      <c r="H1673" s="15" t="n">
        <v>0.171010071662834</v>
      </c>
    </row>
    <row r="1674">
      <c r="A1674" t="s">
        <v>31</v>
      </c>
      <c r="B1674" t="s">
        <v>717</v>
      </c>
      <c r="C1674" t="s">
        <v>718</v>
      </c>
      <c r="D1674" t="s">
        <v>1020</v>
      </c>
      <c r="E1674" s="13" t="n">
        <v>0.5</v>
      </c>
      <c r="F1674" s="16" t="n">
        <v>14</v>
      </c>
      <c r="G1674" s="14" t="n">
        <v>0.441473796429463</v>
      </c>
      <c r="H1674" s="15" t="n">
        <v>0.234735781392945</v>
      </c>
    </row>
    <row r="1675">
      <c r="A1675" t="s">
        <v>30</v>
      </c>
      <c r="B1675" t="s">
        <v>719</v>
      </c>
      <c r="C1675" t="s">
        <v>720</v>
      </c>
      <c r="D1675" t="s">
        <v>1020</v>
      </c>
      <c r="E1675" s="13" t="n">
        <v>0.75</v>
      </c>
      <c r="F1675" s="16" t="n">
        <v>145</v>
      </c>
      <c r="G1675" s="14" t="n">
        <v>0.256515107494252</v>
      </c>
      <c r="H1675" s="15" t="n">
        <v>-0.704769465589431</v>
      </c>
    </row>
    <row r="1676">
      <c r="A1676" t="s">
        <v>30</v>
      </c>
      <c r="B1676" t="s">
        <v>719</v>
      </c>
      <c r="C1676" t="s">
        <v>721</v>
      </c>
      <c r="D1676" t="s">
        <v>1020</v>
      </c>
      <c r="E1676" s="13" t="n">
        <v>1.25</v>
      </c>
      <c r="F1676" s="16" t="n">
        <v>31</v>
      </c>
      <c r="G1676" s="14" t="n">
        <v>0.586839453482364</v>
      </c>
      <c r="H1676" s="15" t="n">
        <v>1.10368449107366</v>
      </c>
    </row>
    <row r="1677">
      <c r="A1677" t="s">
        <v>30</v>
      </c>
      <c r="B1677" t="s">
        <v>722</v>
      </c>
      <c r="C1677" t="s">
        <v>723</v>
      </c>
      <c r="D1677" t="s">
        <v>1020</v>
      </c>
      <c r="E1677" s="13" t="n">
        <v>0.5</v>
      </c>
      <c r="F1677" s="16" t="n">
        <v>166</v>
      </c>
      <c r="G1677" s="14" t="n">
        <v>0.441473796429463</v>
      </c>
      <c r="H1677" s="15" t="n">
        <v>-0.234735781392945</v>
      </c>
    </row>
    <row r="1678">
      <c r="A1678" t="s">
        <v>30</v>
      </c>
      <c r="B1678" t="s">
        <v>722</v>
      </c>
      <c r="C1678" t="s">
        <v>724</v>
      </c>
      <c r="D1678" t="s">
        <v>1020</v>
      </c>
      <c r="E1678" s="13" t="n">
        <v>0.25</v>
      </c>
      <c r="F1678" s="16" t="n">
        <v>12</v>
      </c>
      <c r="G1678" s="14" t="n">
        <v>0.22838636441065</v>
      </c>
      <c r="H1678" s="15" t="n">
        <v>0.10168416076895</v>
      </c>
    </row>
    <row r="1679">
      <c r="A1679" t="s">
        <v>30</v>
      </c>
      <c r="B1679" t="s">
        <v>998</v>
      </c>
      <c r="C1679" t="s">
        <v>999</v>
      </c>
      <c r="D1679" t="s">
        <v>1020</v>
      </c>
      <c r="E1679" s="13" t="n">
        <v>0.5</v>
      </c>
      <c r="F1679" s="16" t="n">
        <v>160</v>
      </c>
      <c r="G1679" s="14" t="n">
        <v>0.383022221559489</v>
      </c>
      <c r="H1679" s="15" t="n">
        <v>-0.32139380484327</v>
      </c>
    </row>
    <row r="1680">
      <c r="A1680" t="s">
        <v>30</v>
      </c>
      <c r="B1680" t="s">
        <v>998</v>
      </c>
      <c r="C1680" t="s">
        <v>1000</v>
      </c>
      <c r="D1680" t="s">
        <v>1020</v>
      </c>
      <c r="E1680" s="13" t="n">
        <v>0.5</v>
      </c>
      <c r="F1680" s="16" t="n">
        <v>23</v>
      </c>
      <c r="G1680" s="14" t="n">
        <v>0.347329185229499</v>
      </c>
      <c r="H1680" s="15" t="n">
        <v>0.359669900169326</v>
      </c>
    </row>
    <row r="1681">
      <c r="A1681" t="s">
        <v>30</v>
      </c>
      <c r="B1681" t="s">
        <v>725</v>
      </c>
      <c r="C1681" t="s">
        <v>726</v>
      </c>
      <c r="D1681" t="s">
        <v>1020</v>
      </c>
      <c r="E1681" s="13" t="n">
        <v>0.25</v>
      </c>
      <c r="F1681" s="16" t="n">
        <v>35</v>
      </c>
      <c r="G1681" s="14" t="n">
        <v>0.0855050358314172</v>
      </c>
      <c r="H1681" s="15" t="n">
        <v>0.234923155196477</v>
      </c>
    </row>
    <row r="1682">
      <c r="A1682" t="s">
        <v>30</v>
      </c>
      <c r="B1682" t="s">
        <v>725</v>
      </c>
      <c r="C1682" t="s">
        <v>727</v>
      </c>
      <c r="D1682" t="s">
        <v>1020</v>
      </c>
      <c r="E1682" s="13" t="n">
        <v>0.25</v>
      </c>
      <c r="F1682" s="16" t="n">
        <v>147</v>
      </c>
      <c r="G1682" s="14" t="n">
        <v>0.10168416076895</v>
      </c>
      <c r="H1682" s="15" t="n">
        <v>-0.22838636441065</v>
      </c>
    </row>
    <row r="1683">
      <c r="A1683" t="s">
        <v>31</v>
      </c>
      <c r="B1683" t="s">
        <v>728</v>
      </c>
      <c r="C1683" t="s">
        <v>729</v>
      </c>
      <c r="D1683" t="s">
        <v>1020</v>
      </c>
      <c r="E1683" s="13" t="n">
        <v>0.75</v>
      </c>
      <c r="F1683" s="16" t="n">
        <v>160</v>
      </c>
      <c r="G1683" s="14" t="n">
        <v>0.574533332339233</v>
      </c>
      <c r="H1683" s="15" t="n">
        <v>-0.482090707264905</v>
      </c>
    </row>
    <row r="1684">
      <c r="A1684" t="s">
        <v>31</v>
      </c>
      <c r="B1684" t="s">
        <v>728</v>
      </c>
      <c r="C1684" t="s">
        <v>730</v>
      </c>
      <c r="D1684" t="s">
        <v>1020</v>
      </c>
      <c r="E1684" s="13" t="n">
        <v>0.75</v>
      </c>
      <c r="F1684" s="16" t="n">
        <v>21</v>
      </c>
      <c r="G1684" s="14" t="n">
        <v>0.557358619108046</v>
      </c>
      <c r="H1684" s="15" t="n">
        <v>0.501847954769144</v>
      </c>
    </row>
    <row r="1685">
      <c r="A1685" t="s">
        <v>30</v>
      </c>
      <c r="B1685" t="s">
        <v>731</v>
      </c>
      <c r="C1685" t="s">
        <v>732</v>
      </c>
      <c r="D1685" t="s">
        <v>1020</v>
      </c>
      <c r="E1685" s="13" t="n">
        <v>0.25</v>
      </c>
      <c r="F1685" s="16" t="n">
        <v>97</v>
      </c>
      <c r="G1685" s="14" t="n">
        <v>-0.242573931568999</v>
      </c>
      <c r="H1685" s="15" t="n">
        <v>-0.0604804738999169</v>
      </c>
    </row>
    <row r="1686">
      <c r="A1686" t="s">
        <v>30</v>
      </c>
      <c r="B1686" t="s">
        <v>731</v>
      </c>
      <c r="C1686" t="s">
        <v>733</v>
      </c>
      <c r="D1686" t="s">
        <v>1020</v>
      </c>
      <c r="E1686" s="13" t="n">
        <v>0.75</v>
      </c>
      <c r="F1686" s="16" t="n">
        <v>93</v>
      </c>
      <c r="G1686" s="14" t="n">
        <v>-0.745891421526205</v>
      </c>
      <c r="H1686" s="15" t="n">
        <v>-0.0783963474507403</v>
      </c>
    </row>
    <row r="1687">
      <c r="A1687" t="s">
        <v>30</v>
      </c>
      <c r="B1687" t="s">
        <v>734</v>
      </c>
      <c r="C1687" t="s">
        <v>735</v>
      </c>
      <c r="D1687" t="s">
        <v>1020</v>
      </c>
      <c r="E1687" s="13" t="n">
        <v>0.75</v>
      </c>
      <c r="F1687" s="16" t="n">
        <v>166</v>
      </c>
      <c r="G1687" s="14" t="n">
        <v>0.662210694644195</v>
      </c>
      <c r="H1687" s="15" t="n">
        <v>-0.352103672089418</v>
      </c>
    </row>
    <row r="1688">
      <c r="A1688" t="s">
        <v>30</v>
      </c>
      <c r="B1688" t="s">
        <v>734</v>
      </c>
      <c r="C1688" t="s">
        <v>736</v>
      </c>
      <c r="D1688" t="s">
        <v>1020</v>
      </c>
      <c r="E1688" s="13" t="n">
        <v>1</v>
      </c>
      <c r="F1688" s="16" t="n">
        <v>0</v>
      </c>
      <c r="G1688" s="14" t="n">
        <v>1</v>
      </c>
      <c r="H1688" s="15" t="n">
        <v>0</v>
      </c>
    </row>
    <row r="1689">
      <c r="A1689" t="s">
        <v>30</v>
      </c>
      <c r="B1689" t="s">
        <v>737</v>
      </c>
      <c r="C1689" t="s">
        <v>738</v>
      </c>
      <c r="D1689" t="s">
        <v>1020</v>
      </c>
      <c r="E1689" s="13" t="n">
        <v>1.75</v>
      </c>
      <c r="F1689" s="16" t="n">
        <v>61</v>
      </c>
      <c r="G1689" s="14" t="n">
        <v>-0.927358712408108</v>
      </c>
      <c r="H1689" s="15" t="n">
        <v>1.48408416827375</v>
      </c>
    </row>
    <row r="1690">
      <c r="A1690" t="s">
        <v>30</v>
      </c>
      <c r="B1690" t="s">
        <v>737</v>
      </c>
      <c r="C1690" t="s">
        <v>739</v>
      </c>
      <c r="D1690" t="s">
        <v>1020</v>
      </c>
      <c r="E1690" s="13" t="n">
        <v>2</v>
      </c>
      <c r="F1690" s="16" t="n">
        <v>134</v>
      </c>
      <c r="G1690" s="14" t="n">
        <v>-0.0697989934050015</v>
      </c>
      <c r="H1690" s="15" t="n">
        <v>-1.99878165403819</v>
      </c>
    </row>
    <row r="1691">
      <c r="A1691" t="s">
        <v>31</v>
      </c>
      <c r="B1691" t="s">
        <v>740</v>
      </c>
      <c r="C1691" t="s">
        <v>741</v>
      </c>
      <c r="D1691" t="s">
        <v>1020</v>
      </c>
      <c r="E1691" s="13" t="n">
        <v>0.75</v>
      </c>
      <c r="F1691" s="16" t="n">
        <v>21</v>
      </c>
      <c r="G1691" s="14" t="n">
        <v>0.557358619108046</v>
      </c>
      <c r="H1691" s="15" t="n">
        <v>0.501847954769144</v>
      </c>
    </row>
    <row r="1692">
      <c r="A1692" t="s">
        <v>31</v>
      </c>
      <c r="B1692" t="s">
        <v>740</v>
      </c>
      <c r="C1692" t="s">
        <v>742</v>
      </c>
      <c r="D1692" t="s">
        <v>1020</v>
      </c>
      <c r="E1692" s="13" t="n">
        <v>0.5</v>
      </c>
      <c r="F1692" s="16" t="n">
        <v>166</v>
      </c>
      <c r="G1692" s="14" t="n">
        <v>0.441473796429463</v>
      </c>
      <c r="H1692" s="15" t="n">
        <v>-0.234735781392945</v>
      </c>
    </row>
    <row r="1693">
      <c r="A1693" t="s">
        <v>30</v>
      </c>
      <c r="B1693" t="s">
        <v>743</v>
      </c>
      <c r="C1693" t="s">
        <v>744</v>
      </c>
      <c r="D1693" t="s">
        <v>1020</v>
      </c>
      <c r="E1693" s="13" t="n">
        <v>1.5</v>
      </c>
      <c r="F1693" s="16" t="n">
        <v>171</v>
      </c>
      <c r="G1693" s="14" t="n">
        <v>1.42658477444273</v>
      </c>
      <c r="H1693" s="15" t="n">
        <v>-0.463525491562422</v>
      </c>
    </row>
    <row r="1694">
      <c r="A1694" t="s">
        <v>30</v>
      </c>
      <c r="B1694" t="s">
        <v>743</v>
      </c>
      <c r="C1694" t="s">
        <v>745</v>
      </c>
      <c r="D1694" t="s">
        <v>1020</v>
      </c>
      <c r="E1694" s="13" t="n">
        <v>1</v>
      </c>
      <c r="F1694" s="16" t="n">
        <v>15</v>
      </c>
      <c r="G1694" s="14" t="n">
        <v>0.866025403784439</v>
      </c>
      <c r="H1694" s="15" t="n">
        <v>0.5</v>
      </c>
    </row>
    <row r="1695">
      <c r="A1695" t="s">
        <v>30</v>
      </c>
      <c r="B1695" t="s">
        <v>1001</v>
      </c>
      <c r="C1695" t="s">
        <v>1002</v>
      </c>
      <c r="D1695" t="s">
        <v>1020</v>
      </c>
      <c r="E1695" s="13" t="n">
        <v>0.25</v>
      </c>
      <c r="F1695" s="16" t="n">
        <v>7</v>
      </c>
      <c r="G1695" s="14" t="n">
        <v>0.242573931568999</v>
      </c>
      <c r="H1695" s="15" t="n">
        <v>0.0604804738999169</v>
      </c>
    </row>
    <row r="1696">
      <c r="A1696" t="s">
        <v>30</v>
      </c>
      <c r="B1696" t="s">
        <v>1001</v>
      </c>
      <c r="C1696" t="s">
        <v>1003</v>
      </c>
      <c r="D1696" t="s">
        <v>1020</v>
      </c>
      <c r="E1696" s="13" t="n">
        <v>0.25</v>
      </c>
      <c r="F1696" s="16" t="n">
        <v>169</v>
      </c>
      <c r="G1696" s="14" t="n">
        <v>0.231795963641697</v>
      </c>
      <c r="H1696" s="15" t="n">
        <v>-0.093651648353978</v>
      </c>
    </row>
    <row r="1697">
      <c r="A1697" t="s">
        <v>30</v>
      </c>
      <c r="B1697" t="s">
        <v>746</v>
      </c>
      <c r="C1697" t="s">
        <v>747</v>
      </c>
      <c r="D1697" t="s">
        <v>1020</v>
      </c>
      <c r="E1697" s="13" t="n">
        <v>2.75</v>
      </c>
      <c r="F1697" s="16" t="n">
        <v>154</v>
      </c>
      <c r="G1697" s="14" t="n">
        <v>1.69306905714556</v>
      </c>
      <c r="H1697" s="15" t="n">
        <v>-2.16702957241849</v>
      </c>
    </row>
    <row r="1698">
      <c r="A1698" t="s">
        <v>31</v>
      </c>
      <c r="B1698" t="s">
        <v>748</v>
      </c>
      <c r="C1698" t="s">
        <v>749</v>
      </c>
      <c r="D1698" t="s">
        <v>1020</v>
      </c>
      <c r="E1698" s="13" t="n">
        <v>0.75</v>
      </c>
      <c r="F1698" s="16" t="n">
        <v>43</v>
      </c>
      <c r="G1698" s="14" t="n">
        <v>0.0523173553080939</v>
      </c>
      <c r="H1698" s="15" t="n">
        <v>0.748173037694868</v>
      </c>
    </row>
    <row r="1699">
      <c r="A1699" t="s">
        <v>31</v>
      </c>
      <c r="B1699" t="s">
        <v>748</v>
      </c>
      <c r="C1699" t="s">
        <v>750</v>
      </c>
      <c r="D1699" t="s">
        <v>1020</v>
      </c>
      <c r="E1699" s="13" t="n">
        <v>0.5</v>
      </c>
      <c r="F1699" s="16" t="n">
        <v>141</v>
      </c>
      <c r="G1699" s="14" t="n">
        <v>0.10395584540888</v>
      </c>
      <c r="H1699" s="15" t="n">
        <v>-0.489073800366903</v>
      </c>
    </row>
    <row r="1700">
      <c r="A1700" t="s">
        <v>30</v>
      </c>
      <c r="B1700" t="s">
        <v>751</v>
      </c>
      <c r="C1700" t="s">
        <v>752</v>
      </c>
      <c r="D1700" t="s">
        <v>1020</v>
      </c>
      <c r="E1700" s="13" t="n">
        <v>0.75</v>
      </c>
      <c r="F1700" s="16" t="n">
        <v>14</v>
      </c>
      <c r="G1700" s="14" t="n">
        <v>0.662210694644195</v>
      </c>
      <c r="H1700" s="15" t="n">
        <v>0.352103672089418</v>
      </c>
    </row>
    <row r="1701">
      <c r="A1701" t="s">
        <v>30</v>
      </c>
      <c r="B1701" t="s">
        <v>753</v>
      </c>
      <c r="C1701" t="s">
        <v>754</v>
      </c>
      <c r="D1701" t="s">
        <v>1020</v>
      </c>
      <c r="E1701" s="13" t="n">
        <v>1.25</v>
      </c>
      <c r="F1701" s="16" t="n">
        <v>16</v>
      </c>
      <c r="G1701" s="14" t="n">
        <v>1.06006012019553</v>
      </c>
      <c r="H1701" s="15" t="n">
        <v>0.662399080291506</v>
      </c>
    </row>
    <row r="1702">
      <c r="A1702" t="s">
        <v>30</v>
      </c>
      <c r="B1702" t="s">
        <v>753</v>
      </c>
      <c r="C1702" t="s">
        <v>755</v>
      </c>
      <c r="D1702" t="s">
        <v>1020</v>
      </c>
      <c r="E1702" s="13" t="n">
        <v>1.5</v>
      </c>
      <c r="F1702" s="16" t="n">
        <v>156</v>
      </c>
      <c r="G1702" s="14" t="n">
        <v>1.00369590953829</v>
      </c>
      <c r="H1702" s="15" t="n">
        <v>-1.11471723821609</v>
      </c>
    </row>
    <row r="1703">
      <c r="A1703" t="s">
        <v>30</v>
      </c>
      <c r="B1703" t="s">
        <v>756</v>
      </c>
      <c r="C1703" t="s">
        <v>757</v>
      </c>
      <c r="D1703" t="s">
        <v>1020</v>
      </c>
      <c r="E1703" s="13" t="n">
        <v>1.25</v>
      </c>
      <c r="F1703" s="16" t="n">
        <v>4</v>
      </c>
      <c r="G1703" s="14" t="n">
        <v>1.23783508592696</v>
      </c>
      <c r="H1703" s="15" t="n">
        <v>0.173966376200082</v>
      </c>
    </row>
    <row r="1704">
      <c r="A1704" t="s">
        <v>31</v>
      </c>
      <c r="B1704" t="s">
        <v>758</v>
      </c>
      <c r="C1704" t="s">
        <v>759</v>
      </c>
      <c r="D1704" t="s">
        <v>1020</v>
      </c>
      <c r="E1704" s="13" t="n">
        <v>0</v>
      </c>
      <c r="F1704" s="16" t="n">
        <v>104</v>
      </c>
      <c r="G1704" s="14" t="n">
        <v>0</v>
      </c>
      <c r="H1704" s="15" t="n">
        <v>0</v>
      </c>
    </row>
    <row r="1705">
      <c r="A1705" t="s">
        <v>30</v>
      </c>
      <c r="B1705" t="s">
        <v>760</v>
      </c>
      <c r="C1705" t="s">
        <v>761</v>
      </c>
      <c r="D1705" t="s">
        <v>1020</v>
      </c>
      <c r="E1705" s="13" t="n">
        <v>3</v>
      </c>
      <c r="F1705" s="16" t="n">
        <v>8</v>
      </c>
      <c r="G1705" s="14" t="n">
        <v>2.88378508781496</v>
      </c>
      <c r="H1705" s="15" t="n">
        <v>0.826912067450998</v>
      </c>
    </row>
    <row r="1706">
      <c r="A1706" t="s">
        <v>30</v>
      </c>
      <c r="B1706" t="s">
        <v>760</v>
      </c>
      <c r="C1706" t="s">
        <v>762</v>
      </c>
      <c r="D1706" t="s">
        <v>1020</v>
      </c>
      <c r="E1706" s="13" t="n">
        <v>2.25</v>
      </c>
      <c r="F1706" s="16" t="n">
        <v>10</v>
      </c>
      <c r="G1706" s="14" t="n">
        <v>2.11430839676829</v>
      </c>
      <c r="H1706" s="15" t="n">
        <v>0.769545322482755</v>
      </c>
    </row>
    <row r="1707">
      <c r="A1707" t="s">
        <v>31</v>
      </c>
      <c r="B1707" t="s">
        <v>763</v>
      </c>
      <c r="C1707" t="s">
        <v>764</v>
      </c>
      <c r="D1707" t="s">
        <v>1020</v>
      </c>
      <c r="E1707" s="13" t="n">
        <v>0.25</v>
      </c>
      <c r="F1707" s="16" t="n">
        <v>23</v>
      </c>
      <c r="G1707" s="14" t="n">
        <v>0.173664592614749</v>
      </c>
      <c r="H1707" s="15" t="n">
        <v>0.179834950084663</v>
      </c>
    </row>
    <row r="1708">
      <c r="A1708" t="s">
        <v>31</v>
      </c>
      <c r="B1708" t="s">
        <v>765</v>
      </c>
      <c r="C1708" t="s">
        <v>766</v>
      </c>
      <c r="D1708" t="s">
        <v>1020</v>
      </c>
      <c r="E1708" s="13" t="n">
        <v>0.75</v>
      </c>
      <c r="F1708" s="16" t="n">
        <v>163</v>
      </c>
      <c r="G1708" s="14" t="n">
        <v>0.621778179416281</v>
      </c>
      <c r="H1708" s="15" t="n">
        <v>-0.41939467760306</v>
      </c>
    </row>
    <row r="1709">
      <c r="A1709" t="s">
        <v>31</v>
      </c>
      <c r="B1709" t="s">
        <v>765</v>
      </c>
      <c r="C1709" t="s">
        <v>767</v>
      </c>
      <c r="D1709" t="s">
        <v>1020</v>
      </c>
      <c r="E1709" s="13" t="n">
        <v>0.75</v>
      </c>
      <c r="F1709" s="16" t="n">
        <v>5</v>
      </c>
      <c r="G1709" s="14" t="n">
        <v>0.738605814759156</v>
      </c>
      <c r="H1709" s="15" t="n">
        <v>0.130236133250198</v>
      </c>
    </row>
    <row r="1710">
      <c r="A1710" t="s">
        <v>31</v>
      </c>
      <c r="B1710" t="s">
        <v>768</v>
      </c>
      <c r="C1710" t="s">
        <v>769</v>
      </c>
      <c r="D1710" t="s">
        <v>1020</v>
      </c>
      <c r="E1710" s="13" t="n">
        <v>1.5</v>
      </c>
      <c r="F1710" s="16" t="n">
        <v>124</v>
      </c>
      <c r="G1710" s="14" t="n">
        <v>-0.561909890123868</v>
      </c>
      <c r="H1710" s="15" t="n">
        <v>-1.39077578185018</v>
      </c>
    </row>
    <row r="1711">
      <c r="A1711" t="s">
        <v>31</v>
      </c>
      <c r="B1711" t="s">
        <v>768</v>
      </c>
      <c r="C1711" t="s">
        <v>770</v>
      </c>
      <c r="D1711" t="s">
        <v>1020</v>
      </c>
      <c r="E1711" s="13" t="n">
        <v>1</v>
      </c>
      <c r="F1711" s="16" t="n">
        <v>55</v>
      </c>
      <c r="G1711" s="14" t="n">
        <v>-0.342020143325669</v>
      </c>
      <c r="H1711" s="15" t="n">
        <v>0.939692620785908</v>
      </c>
    </row>
    <row r="1712">
      <c r="A1712" t="s">
        <v>30</v>
      </c>
      <c r="B1712" t="s">
        <v>771</v>
      </c>
      <c r="C1712" t="s">
        <v>772</v>
      </c>
      <c r="D1712" t="s">
        <v>1020</v>
      </c>
      <c r="E1712" s="13" t="n">
        <v>2.25</v>
      </c>
      <c r="F1712" s="16" t="n">
        <v>79</v>
      </c>
      <c r="G1712" s="14" t="n">
        <v>-2.08616367277527</v>
      </c>
      <c r="H1712" s="15" t="n">
        <v>0.842864835185803</v>
      </c>
    </row>
    <row r="1713">
      <c r="A1713" t="s">
        <v>30</v>
      </c>
      <c r="B1713" t="s">
        <v>771</v>
      </c>
      <c r="C1713" t="s">
        <v>773</v>
      </c>
      <c r="D1713" t="s">
        <v>1020</v>
      </c>
      <c r="E1713" s="13" t="n">
        <v>1.75</v>
      </c>
      <c r="F1713" s="16" t="n">
        <v>91</v>
      </c>
      <c r="G1713" s="14" t="n">
        <v>-1.74893394728342</v>
      </c>
      <c r="H1713" s="15" t="n">
        <v>-0.061074119229377</v>
      </c>
    </row>
    <row r="1714">
      <c r="A1714" t="s">
        <v>30</v>
      </c>
      <c r="B1714" t="s">
        <v>774</v>
      </c>
      <c r="C1714" t="s">
        <v>775</v>
      </c>
      <c r="D1714" t="s">
        <v>1020</v>
      </c>
      <c r="E1714" s="13" t="n">
        <v>0.5</v>
      </c>
      <c r="F1714" s="16" t="n">
        <v>91</v>
      </c>
      <c r="G1714" s="14" t="n">
        <v>-0.499695413509548</v>
      </c>
      <c r="H1714" s="15" t="n">
        <v>-0.0174497483512506</v>
      </c>
    </row>
    <row r="1715">
      <c r="A1715" t="s">
        <v>31</v>
      </c>
      <c r="B1715" t="s">
        <v>776</v>
      </c>
      <c r="C1715" t="s">
        <v>777</v>
      </c>
      <c r="D1715" t="s">
        <v>1020</v>
      </c>
      <c r="E1715" s="13" t="n">
        <v>0.25</v>
      </c>
      <c r="F1715" s="16" t="n">
        <v>4</v>
      </c>
      <c r="G1715" s="14" t="n">
        <v>0.247567017185393</v>
      </c>
      <c r="H1715" s="15" t="n">
        <v>0.0347932752400164</v>
      </c>
    </row>
    <row r="1716">
      <c r="A1716" t="s">
        <v>30</v>
      </c>
      <c r="B1716" t="s">
        <v>778</v>
      </c>
      <c r="C1716" t="s">
        <v>779</v>
      </c>
      <c r="D1716" t="s">
        <v>1020</v>
      </c>
      <c r="E1716" s="13" t="n">
        <v>0.75</v>
      </c>
      <c r="F1716" s="16" t="n">
        <v>168</v>
      </c>
      <c r="G1716" s="14" t="n">
        <v>0.685159093231951</v>
      </c>
      <c r="H1716" s="15" t="n">
        <v>-0.30505248230685</v>
      </c>
    </row>
    <row r="1717">
      <c r="A1717" t="s">
        <v>30</v>
      </c>
      <c r="B1717" t="s">
        <v>778</v>
      </c>
      <c r="C1717" t="s">
        <v>780</v>
      </c>
      <c r="D1717" t="s">
        <v>1020</v>
      </c>
      <c r="E1717" s="13" t="n">
        <v>0.75</v>
      </c>
      <c r="F1717" s="16" t="n">
        <v>17</v>
      </c>
      <c r="G1717" s="14" t="n">
        <v>0.621778179416281</v>
      </c>
      <c r="H1717" s="15" t="n">
        <v>0.41939467760306</v>
      </c>
    </row>
    <row r="1718">
      <c r="A1718" t="s">
        <v>31</v>
      </c>
      <c r="B1718" t="s">
        <v>781</v>
      </c>
      <c r="C1718" t="s">
        <v>782</v>
      </c>
      <c r="D1718" t="s">
        <v>1020</v>
      </c>
      <c r="E1718" s="13" t="n">
        <v>0.5</v>
      </c>
      <c r="F1718" s="16" t="n">
        <v>95</v>
      </c>
      <c r="G1718" s="14" t="n">
        <v>-0.492403876506104</v>
      </c>
      <c r="H1718" s="15" t="n">
        <v>-0.0868240888334653</v>
      </c>
    </row>
    <row r="1719">
      <c r="A1719" t="s">
        <v>31</v>
      </c>
      <c r="B1719" t="s">
        <v>781</v>
      </c>
      <c r="C1719" t="s">
        <v>783</v>
      </c>
      <c r="D1719" t="s">
        <v>1020</v>
      </c>
      <c r="E1719" s="13" t="n">
        <v>0.25</v>
      </c>
      <c r="F1719" s="16" t="n">
        <v>85</v>
      </c>
      <c r="G1719" s="14" t="n">
        <v>-0.246201938253052</v>
      </c>
      <c r="H1719" s="15" t="n">
        <v>0.0434120444167327</v>
      </c>
    </row>
    <row r="1720">
      <c r="A1720" t="s">
        <v>31</v>
      </c>
      <c r="B1720" t="s">
        <v>784</v>
      </c>
      <c r="C1720" t="s">
        <v>785</v>
      </c>
      <c r="D1720" t="s">
        <v>1020</v>
      </c>
      <c r="E1720" s="13" t="n">
        <v>0.75</v>
      </c>
      <c r="F1720" s="16" t="n">
        <v>129</v>
      </c>
      <c r="G1720" s="14" t="n">
        <v>-0.15593376811332</v>
      </c>
      <c r="H1720" s="15" t="n">
        <v>-0.733610700550354</v>
      </c>
    </row>
    <row r="1721">
      <c r="A1721" t="s">
        <v>31</v>
      </c>
      <c r="B1721" t="s">
        <v>784</v>
      </c>
      <c r="C1721" t="s">
        <v>786</v>
      </c>
      <c r="D1721" t="s">
        <v>1020</v>
      </c>
      <c r="E1721" s="13" t="n">
        <v>0.75</v>
      </c>
      <c r="F1721" s="16" t="n">
        <v>64</v>
      </c>
      <c r="G1721" s="14" t="n">
        <v>-0.461746106494244</v>
      </c>
      <c r="H1721" s="15" t="n">
        <v>0.591008065205042</v>
      </c>
    </row>
    <row r="1722">
      <c r="A1722" t="s">
        <v>31</v>
      </c>
      <c r="B1722" t="s">
        <v>787</v>
      </c>
      <c r="C1722" t="s">
        <v>788</v>
      </c>
      <c r="D1722" t="s">
        <v>1020</v>
      </c>
      <c r="E1722" s="13" t="n">
        <v>0.5</v>
      </c>
      <c r="F1722" s="16" t="n">
        <v>5</v>
      </c>
      <c r="G1722" s="14" t="n">
        <v>0.492403876506104</v>
      </c>
      <c r="H1722" s="15" t="n">
        <v>0.0868240888334652</v>
      </c>
    </row>
    <row r="1723">
      <c r="A1723" t="s">
        <v>31</v>
      </c>
      <c r="B1723" t="s">
        <v>787</v>
      </c>
      <c r="C1723" t="s">
        <v>789</v>
      </c>
      <c r="D1723" t="s">
        <v>1020</v>
      </c>
      <c r="E1723" s="13" t="n">
        <v>1.25</v>
      </c>
      <c r="F1723" s="16" t="n">
        <v>6</v>
      </c>
      <c r="G1723" s="14" t="n">
        <v>1.22268450091726</v>
      </c>
      <c r="H1723" s="15" t="n">
        <v>0.259889613522199</v>
      </c>
    </row>
    <row r="1724">
      <c r="A1724" t="s">
        <v>31</v>
      </c>
      <c r="B1724" t="s">
        <v>790</v>
      </c>
      <c r="C1724" t="s">
        <v>791</v>
      </c>
      <c r="D1724" t="s">
        <v>1020</v>
      </c>
      <c r="E1724" s="13" t="n">
        <v>0.5</v>
      </c>
      <c r="F1724" s="16" t="n">
        <v>101</v>
      </c>
      <c r="G1724" s="14" t="n">
        <v>-0.463591927283394</v>
      </c>
      <c r="H1724" s="15" t="n">
        <v>-0.187303296707956</v>
      </c>
    </row>
    <row r="1725">
      <c r="A1725" t="s">
        <v>31</v>
      </c>
      <c r="B1725" t="s">
        <v>790</v>
      </c>
      <c r="C1725" t="s">
        <v>792</v>
      </c>
      <c r="D1725" t="s">
        <v>1020</v>
      </c>
      <c r="E1725" s="13" t="n">
        <v>0.5</v>
      </c>
      <c r="F1725" s="16" t="n">
        <v>78</v>
      </c>
      <c r="G1725" s="14" t="n">
        <v>-0.4567727288213</v>
      </c>
      <c r="H1725" s="15" t="n">
        <v>0.2033683215379</v>
      </c>
    </row>
    <row r="1726">
      <c r="A1726" t="s">
        <v>31</v>
      </c>
      <c r="B1726" t="s">
        <v>793</v>
      </c>
      <c r="C1726" t="s">
        <v>794</v>
      </c>
      <c r="D1726" t="s">
        <v>1020</v>
      </c>
      <c r="E1726" s="13" t="n">
        <v>1.5</v>
      </c>
      <c r="F1726" s="16" t="n">
        <v>160</v>
      </c>
      <c r="G1726" s="14" t="n">
        <v>1.14906666467847</v>
      </c>
      <c r="H1726" s="15" t="n">
        <v>-0.964181414529809</v>
      </c>
    </row>
    <row r="1727">
      <c r="A1727" t="s">
        <v>31</v>
      </c>
      <c r="B1727" t="s">
        <v>793</v>
      </c>
      <c r="C1727" t="s">
        <v>795</v>
      </c>
      <c r="D1727" t="s">
        <v>1020</v>
      </c>
      <c r="E1727" s="13" t="n">
        <v>0.5</v>
      </c>
      <c r="F1727" s="16" t="n">
        <v>11</v>
      </c>
      <c r="G1727" s="14" t="n">
        <v>0.463591927283394</v>
      </c>
      <c r="H1727" s="15" t="n">
        <v>0.187303296707956</v>
      </c>
    </row>
    <row r="1728">
      <c r="A1728" t="s">
        <v>30</v>
      </c>
      <c r="B1728" t="s">
        <v>796</v>
      </c>
      <c r="C1728" t="s">
        <v>797</v>
      </c>
      <c r="D1728" t="s">
        <v>1020</v>
      </c>
      <c r="E1728" s="13" t="n">
        <v>1</v>
      </c>
      <c r="F1728" s="16" t="n">
        <v>0</v>
      </c>
      <c r="G1728" s="14" t="n">
        <v>1</v>
      </c>
      <c r="H1728" s="15" t="n">
        <v>0</v>
      </c>
    </row>
    <row r="1729">
      <c r="A1729" t="s">
        <v>30</v>
      </c>
      <c r="B1729" t="s">
        <v>796</v>
      </c>
      <c r="C1729" t="s">
        <v>798</v>
      </c>
      <c r="D1729" t="s">
        <v>1020</v>
      </c>
      <c r="E1729" s="13" t="n">
        <v>0.75</v>
      </c>
      <c r="F1729" s="16" t="n">
        <v>176</v>
      </c>
      <c r="G1729" s="14" t="n">
        <v>0.742701051556178</v>
      </c>
      <c r="H1729" s="15" t="n">
        <v>-0.104379825720049</v>
      </c>
    </row>
    <row r="1730">
      <c r="A1730" t="s">
        <v>31</v>
      </c>
      <c r="B1730" t="s">
        <v>799</v>
      </c>
      <c r="C1730" t="s">
        <v>800</v>
      </c>
      <c r="D1730" t="s">
        <v>1020</v>
      </c>
      <c r="E1730" s="13" t="n">
        <v>0.25</v>
      </c>
      <c r="F1730" s="16" t="n">
        <v>96</v>
      </c>
      <c r="G1730" s="14" t="n">
        <v>-0.244536900183451</v>
      </c>
      <c r="H1730" s="15" t="n">
        <v>-0.0519779227044398</v>
      </c>
    </row>
    <row r="1731">
      <c r="A1731" t="s">
        <v>30</v>
      </c>
      <c r="B1731" t="s">
        <v>801</v>
      </c>
      <c r="C1731" t="s">
        <v>802</v>
      </c>
      <c r="D1731" t="s">
        <v>1020</v>
      </c>
      <c r="E1731" s="13" t="n">
        <v>0.25</v>
      </c>
      <c r="F1731" s="16" t="n">
        <v>129</v>
      </c>
      <c r="G1731" s="14" t="n">
        <v>-0.0519779227044399</v>
      </c>
      <c r="H1731" s="15" t="n">
        <v>-0.244536900183451</v>
      </c>
    </row>
    <row r="1732">
      <c r="A1732" t="s">
        <v>30</v>
      </c>
      <c r="B1732" t="s">
        <v>801</v>
      </c>
      <c r="C1732" t="s">
        <v>803</v>
      </c>
      <c r="D1732" t="s">
        <v>1020</v>
      </c>
      <c r="E1732" s="13" t="n">
        <v>0.5</v>
      </c>
      <c r="F1732" s="16" t="n">
        <v>60</v>
      </c>
      <c r="G1732" s="14" t="n">
        <v>-0.25</v>
      </c>
      <c r="H1732" s="15" t="n">
        <v>0.433012701892219</v>
      </c>
    </row>
    <row r="1733">
      <c r="A1733" t="s">
        <v>30</v>
      </c>
      <c r="B1733" t="s">
        <v>804</v>
      </c>
      <c r="C1733" t="s">
        <v>805</v>
      </c>
      <c r="D1733" t="s">
        <v>1020</v>
      </c>
      <c r="E1733" s="13" t="n">
        <v>0.75</v>
      </c>
      <c r="F1733" s="16" t="n">
        <v>167</v>
      </c>
      <c r="G1733" s="14" t="n">
        <v>0.674095534724375</v>
      </c>
      <c r="H1733" s="15" t="n">
        <v>-0.328778360091808</v>
      </c>
    </row>
    <row r="1734">
      <c r="A1734" t="s">
        <v>31</v>
      </c>
      <c r="B1734" t="s">
        <v>806</v>
      </c>
      <c r="C1734" t="s">
        <v>807</v>
      </c>
      <c r="D1734" t="s">
        <v>1020</v>
      </c>
      <c r="E1734" s="13" t="n">
        <v>0.5</v>
      </c>
      <c r="F1734" s="16" t="n">
        <v>72</v>
      </c>
      <c r="G1734" s="14" t="n">
        <v>-0.404508497187474</v>
      </c>
      <c r="H1734" s="15" t="n">
        <v>0.293892626146237</v>
      </c>
    </row>
    <row r="1735">
      <c r="A1735" t="s">
        <v>31</v>
      </c>
      <c r="B1735" t="s">
        <v>806</v>
      </c>
      <c r="C1735" t="s">
        <v>808</v>
      </c>
      <c r="D1735" t="s">
        <v>1020</v>
      </c>
      <c r="E1735" s="13" t="n">
        <v>0.5</v>
      </c>
      <c r="F1735" s="16" t="n">
        <v>111</v>
      </c>
      <c r="G1735" s="14" t="n">
        <v>-0.371572412738697</v>
      </c>
      <c r="H1735" s="15" t="n">
        <v>-0.334565303179429</v>
      </c>
    </row>
    <row r="1736">
      <c r="A1736" t="s">
        <v>30</v>
      </c>
      <c r="B1736" t="s">
        <v>809</v>
      </c>
      <c r="C1736" t="s">
        <v>810</v>
      </c>
      <c r="D1736" t="s">
        <v>1020</v>
      </c>
      <c r="E1736" s="13" t="n">
        <v>1.5</v>
      </c>
      <c r="F1736" s="16" t="n">
        <v>8</v>
      </c>
      <c r="G1736" s="14" t="n">
        <v>1.44189254390748</v>
      </c>
      <c r="H1736" s="15" t="n">
        <v>0.413456033725499</v>
      </c>
    </row>
    <row r="1737">
      <c r="A1737" t="s">
        <v>31</v>
      </c>
      <c r="B1737" t="s">
        <v>811</v>
      </c>
      <c r="C1737" t="s">
        <v>812</v>
      </c>
      <c r="D1737" t="s">
        <v>1020</v>
      </c>
      <c r="E1737" s="13" t="n">
        <v>0.25</v>
      </c>
      <c r="F1737" s="16" t="n">
        <v>1</v>
      </c>
      <c r="G1737" s="14" t="n">
        <v>0.249847706754774</v>
      </c>
      <c r="H1737" s="15" t="n">
        <v>0.00872487417562524</v>
      </c>
    </row>
    <row r="1738">
      <c r="A1738" t="s">
        <v>30</v>
      </c>
      <c r="B1738" t="s">
        <v>813</v>
      </c>
      <c r="C1738" t="s">
        <v>814</v>
      </c>
      <c r="D1738" t="s">
        <v>1020</v>
      </c>
      <c r="E1738" s="13" t="n">
        <v>0.75</v>
      </c>
      <c r="F1738" s="16" t="n">
        <v>171</v>
      </c>
      <c r="G1738" s="14" t="n">
        <v>0.713292387221365</v>
      </c>
      <c r="H1738" s="15" t="n">
        <v>-0.231762745781211</v>
      </c>
    </row>
    <row r="1739">
      <c r="A1739" t="s">
        <v>30</v>
      </c>
      <c r="B1739" t="s">
        <v>813</v>
      </c>
      <c r="C1739" t="s">
        <v>815</v>
      </c>
      <c r="D1739" t="s">
        <v>1020</v>
      </c>
      <c r="E1739" s="13" t="n">
        <v>0.5</v>
      </c>
      <c r="F1739" s="16" t="n">
        <v>6</v>
      </c>
      <c r="G1739" s="14" t="n">
        <v>0.489073800366903</v>
      </c>
      <c r="H1739" s="15" t="n">
        <v>0.10395584540888</v>
      </c>
    </row>
    <row r="1740">
      <c r="A1740" t="s">
        <v>31</v>
      </c>
      <c r="B1740" t="s">
        <v>816</v>
      </c>
      <c r="C1740" t="s">
        <v>817</v>
      </c>
      <c r="D1740" t="s">
        <v>1020</v>
      </c>
      <c r="E1740" s="13" t="n">
        <v>0.5</v>
      </c>
      <c r="F1740" s="16" t="n">
        <v>175</v>
      </c>
      <c r="G1740" s="14" t="n">
        <v>0.492403876506104</v>
      </c>
      <c r="H1740" s="15" t="n">
        <v>-0.0868240888334652</v>
      </c>
    </row>
    <row r="1741">
      <c r="A1741" t="s">
        <v>31</v>
      </c>
      <c r="B1741" t="s">
        <v>816</v>
      </c>
      <c r="C1741" t="s">
        <v>818</v>
      </c>
      <c r="D1741" t="s">
        <v>1020</v>
      </c>
      <c r="E1741" s="13" t="n">
        <v>0.25</v>
      </c>
      <c r="F1741" s="16" t="n">
        <v>2</v>
      </c>
      <c r="G1741" s="14" t="n">
        <v>0.249391012564956</v>
      </c>
      <c r="H1741" s="15" t="n">
        <v>0.0174391184360313</v>
      </c>
    </row>
    <row r="1742">
      <c r="A1742" t="s">
        <v>31</v>
      </c>
      <c r="B1742" t="s">
        <v>819</v>
      </c>
      <c r="C1742" t="s">
        <v>820</v>
      </c>
      <c r="D1742" t="s">
        <v>1020</v>
      </c>
      <c r="E1742" s="13" t="n">
        <v>0.75</v>
      </c>
      <c r="F1742" s="16" t="n">
        <v>94</v>
      </c>
      <c r="G1742" s="14" t="n">
        <v>-0.742701051556178</v>
      </c>
      <c r="H1742" s="15" t="n">
        <v>-0.104379825720049</v>
      </c>
    </row>
    <row r="1743">
      <c r="A1743" t="s">
        <v>31</v>
      </c>
      <c r="B1743" t="s">
        <v>819</v>
      </c>
      <c r="C1743" t="s">
        <v>821</v>
      </c>
      <c r="D1743" t="s">
        <v>1020</v>
      </c>
      <c r="E1743" s="13" t="n">
        <v>1</v>
      </c>
      <c r="F1743" s="16" t="n">
        <v>75</v>
      </c>
      <c r="G1743" s="14" t="n">
        <v>-0.866025403784439</v>
      </c>
      <c r="H1743" s="15" t="n">
        <v>0.5</v>
      </c>
    </row>
    <row r="1744">
      <c r="A1744" t="s">
        <v>31</v>
      </c>
      <c r="B1744" t="s">
        <v>822</v>
      </c>
      <c r="C1744" t="s">
        <v>823</v>
      </c>
      <c r="D1744" t="s">
        <v>1020</v>
      </c>
      <c r="E1744" s="13" t="n">
        <v>0.75</v>
      </c>
      <c r="F1744" s="16" t="n">
        <v>93</v>
      </c>
      <c r="G1744" s="14" t="n">
        <v>-0.745891421526205</v>
      </c>
      <c r="H1744" s="15" t="n">
        <v>-0.0783963474507403</v>
      </c>
    </row>
    <row r="1745">
      <c r="A1745" t="s">
        <v>31</v>
      </c>
      <c r="B1745" t="s">
        <v>822</v>
      </c>
      <c r="C1745" t="s">
        <v>824</v>
      </c>
      <c r="D1745" t="s">
        <v>1020</v>
      </c>
      <c r="E1745" s="13" t="n">
        <v>0.5</v>
      </c>
      <c r="F1745" s="16" t="n">
        <v>80</v>
      </c>
      <c r="G1745" s="14" t="n">
        <v>-0.469846310392954</v>
      </c>
      <c r="H1745" s="15" t="n">
        <v>0.171010071662834</v>
      </c>
    </row>
    <row r="1746">
      <c r="A1746" t="s">
        <v>31</v>
      </c>
      <c r="B1746" t="s">
        <v>825</v>
      </c>
      <c r="C1746" t="s">
        <v>826</v>
      </c>
      <c r="D1746" t="s">
        <v>1020</v>
      </c>
      <c r="E1746" s="13" t="n">
        <v>1.5</v>
      </c>
      <c r="F1746" s="16" t="n">
        <v>173</v>
      </c>
      <c r="G1746" s="14" t="n">
        <v>1.45544358941399</v>
      </c>
      <c r="H1746" s="15" t="n">
        <v>-0.362882843399501</v>
      </c>
    </row>
    <row r="1747">
      <c r="A1747" t="s">
        <v>31</v>
      </c>
      <c r="B1747" t="s">
        <v>825</v>
      </c>
      <c r="C1747" t="s">
        <v>827</v>
      </c>
      <c r="D1747" t="s">
        <v>1020</v>
      </c>
      <c r="E1747" s="13" t="n">
        <v>1</v>
      </c>
      <c r="F1747" s="16" t="n">
        <v>19</v>
      </c>
      <c r="G1747" s="14" t="n">
        <v>0.788010753606722</v>
      </c>
      <c r="H1747" s="15" t="n">
        <v>0.615661475325658</v>
      </c>
    </row>
    <row r="1748">
      <c r="A1748" t="s">
        <v>30</v>
      </c>
      <c r="B1748" t="s">
        <v>828</v>
      </c>
      <c r="C1748" t="s">
        <v>829</v>
      </c>
      <c r="D1748" t="s">
        <v>1020</v>
      </c>
      <c r="E1748" s="13" t="n">
        <v>0.75</v>
      </c>
      <c r="F1748" s="16" t="n">
        <v>179</v>
      </c>
      <c r="G1748" s="14" t="n">
        <v>0.749543120264322</v>
      </c>
      <c r="H1748" s="15" t="n">
        <v>-0.0261746225268756</v>
      </c>
    </row>
    <row r="1749">
      <c r="A1749" t="s">
        <v>30</v>
      </c>
      <c r="B1749" t="s">
        <v>830</v>
      </c>
      <c r="C1749" t="s">
        <v>831</v>
      </c>
      <c r="D1749" t="s">
        <v>1020</v>
      </c>
      <c r="E1749" s="13" t="n">
        <v>1.5</v>
      </c>
      <c r="F1749" s="16" t="n">
        <v>7</v>
      </c>
      <c r="G1749" s="14" t="n">
        <v>1.45544358941399</v>
      </c>
      <c r="H1749" s="15" t="n">
        <v>0.362882843399502</v>
      </c>
    </row>
    <row r="1750">
      <c r="A1750" t="s">
        <v>30</v>
      </c>
      <c r="B1750" t="s">
        <v>830</v>
      </c>
      <c r="C1750" t="s">
        <v>832</v>
      </c>
      <c r="D1750" t="s">
        <v>1020</v>
      </c>
      <c r="E1750" s="13" t="n">
        <v>1</v>
      </c>
      <c r="F1750" s="16" t="n">
        <v>4</v>
      </c>
      <c r="G1750" s="14" t="n">
        <v>0.99026806874157</v>
      </c>
      <c r="H1750" s="15" t="n">
        <v>0.139173100960065</v>
      </c>
    </row>
    <row r="1751">
      <c r="A1751" t="s">
        <v>30</v>
      </c>
      <c r="B1751" t="s">
        <v>833</v>
      </c>
      <c r="C1751" t="s">
        <v>834</v>
      </c>
      <c r="D1751" t="s">
        <v>1020</v>
      </c>
      <c r="E1751" s="13" t="n">
        <v>0.75</v>
      </c>
      <c r="F1751" s="16" t="n">
        <v>152</v>
      </c>
      <c r="G1751" s="14" t="n">
        <v>0.41939467760306</v>
      </c>
      <c r="H1751" s="15" t="n">
        <v>-0.621778179416281</v>
      </c>
    </row>
    <row r="1752">
      <c r="A1752" t="s">
        <v>30</v>
      </c>
      <c r="B1752" t="s">
        <v>833</v>
      </c>
      <c r="C1752" t="s">
        <v>835</v>
      </c>
      <c r="D1752" t="s">
        <v>1020</v>
      </c>
      <c r="E1752" s="13" t="n">
        <v>1</v>
      </c>
      <c r="F1752" s="16" t="n">
        <v>29</v>
      </c>
      <c r="G1752" s="14" t="n">
        <v>0.529919264233205</v>
      </c>
      <c r="H1752" s="15" t="n">
        <v>0.848048096156426</v>
      </c>
    </row>
    <row r="1753">
      <c r="A1753" t="s">
        <v>31</v>
      </c>
      <c r="B1753" t="s">
        <v>836</v>
      </c>
      <c r="C1753" t="s">
        <v>837</v>
      </c>
      <c r="D1753" t="s">
        <v>1020</v>
      </c>
      <c r="E1753" s="13" t="n">
        <v>1</v>
      </c>
      <c r="F1753" s="16" t="n">
        <v>168</v>
      </c>
      <c r="G1753" s="14" t="n">
        <v>0.913545457642601</v>
      </c>
      <c r="H1753" s="15" t="n">
        <v>-0.4067366430758</v>
      </c>
    </row>
    <row r="1754">
      <c r="A1754" t="s">
        <v>31</v>
      </c>
      <c r="B1754" t="s">
        <v>836</v>
      </c>
      <c r="C1754" t="s">
        <v>838</v>
      </c>
      <c r="D1754" t="s">
        <v>1020</v>
      </c>
      <c r="E1754" s="13" t="n">
        <v>0.75</v>
      </c>
      <c r="F1754" s="16" t="n">
        <v>8</v>
      </c>
      <c r="G1754" s="14" t="n">
        <v>0.720946271953739</v>
      </c>
      <c r="H1754" s="15" t="n">
        <v>0.206728016862749</v>
      </c>
    </row>
    <row r="1755">
      <c r="A1755" t="s">
        <v>31</v>
      </c>
      <c r="B1755" t="s">
        <v>839</v>
      </c>
      <c r="C1755" t="s">
        <v>840</v>
      </c>
      <c r="D1755" t="s">
        <v>1020</v>
      </c>
      <c r="E1755" s="13" t="n">
        <v>1.25</v>
      </c>
      <c r="F1755" s="16" t="n">
        <v>6</v>
      </c>
      <c r="G1755" s="14" t="n">
        <v>1.22268450091726</v>
      </c>
      <c r="H1755" s="15" t="n">
        <v>0.259889613522199</v>
      </c>
    </row>
    <row r="1756">
      <c r="A1756" t="s">
        <v>30</v>
      </c>
      <c r="B1756" t="s">
        <v>1004</v>
      </c>
      <c r="C1756" t="s">
        <v>1005</v>
      </c>
      <c r="D1756" t="s">
        <v>1020</v>
      </c>
      <c r="E1756" s="13" t="n">
        <v>1.75</v>
      </c>
      <c r="F1756" s="16" t="n">
        <v>71</v>
      </c>
      <c r="G1756" s="14" t="n">
        <v>-1.37901881881176</v>
      </c>
      <c r="H1756" s="15" t="n">
        <v>1.0774075818199</v>
      </c>
    </row>
    <row r="1757">
      <c r="A1757" t="s">
        <v>30</v>
      </c>
      <c r="B1757" t="s">
        <v>1004</v>
      </c>
      <c r="C1757" t="s">
        <v>1006</v>
      </c>
      <c r="D1757" t="s">
        <v>1020</v>
      </c>
      <c r="E1757" s="13" t="n">
        <v>0.75</v>
      </c>
      <c r="F1757" s="16" t="n">
        <v>116</v>
      </c>
      <c r="G1757" s="14" t="n">
        <v>-0.461746106494244</v>
      </c>
      <c r="H1757" s="15" t="n">
        <v>-0.591008065205042</v>
      </c>
    </row>
    <row r="1758">
      <c r="A1758" t="s">
        <v>30</v>
      </c>
      <c r="B1758" t="s">
        <v>1007</v>
      </c>
      <c r="C1758" t="s">
        <v>1008</v>
      </c>
      <c r="D1758" t="s">
        <v>1020</v>
      </c>
      <c r="E1758" s="13" t="n">
        <v>2.25</v>
      </c>
      <c r="F1758" s="16" t="n">
        <v>6</v>
      </c>
      <c r="G1758" s="14" t="n">
        <v>2.20083210165106</v>
      </c>
      <c r="H1758" s="15" t="n">
        <v>0.467801304339958</v>
      </c>
    </row>
    <row r="1759">
      <c r="A1759" t="s">
        <v>30</v>
      </c>
      <c r="B1759" t="s">
        <v>841</v>
      </c>
      <c r="C1759" t="s">
        <v>842</v>
      </c>
      <c r="D1759" t="s">
        <v>1020</v>
      </c>
      <c r="E1759" s="13" t="n">
        <v>0.25</v>
      </c>
      <c r="F1759" s="16" t="n">
        <v>175</v>
      </c>
      <c r="G1759" s="14" t="n">
        <v>0.246201938253052</v>
      </c>
      <c r="H1759" s="15" t="n">
        <v>-0.0434120444167326</v>
      </c>
    </row>
    <row r="1760">
      <c r="A1760" t="s">
        <v>30</v>
      </c>
      <c r="B1760" t="s">
        <v>841</v>
      </c>
      <c r="C1760" t="s">
        <v>843</v>
      </c>
      <c r="D1760" t="s">
        <v>1020</v>
      </c>
      <c r="E1760" s="13" t="n">
        <v>0.25</v>
      </c>
      <c r="F1760" s="16" t="n">
        <v>1</v>
      </c>
      <c r="G1760" s="14" t="n">
        <v>0.249847706754774</v>
      </c>
      <c r="H1760" s="15" t="n">
        <v>0.00872487417562524</v>
      </c>
    </row>
    <row r="1761">
      <c r="A1761" t="s">
        <v>30</v>
      </c>
      <c r="B1761" t="s">
        <v>844</v>
      </c>
      <c r="C1761" t="s">
        <v>845</v>
      </c>
      <c r="D1761" t="s">
        <v>1020</v>
      </c>
      <c r="E1761" s="13" t="n">
        <v>0</v>
      </c>
      <c r="F1761" s="16" t="n">
        <v>154</v>
      </c>
      <c r="G1761" s="14" t="n">
        <v>0</v>
      </c>
      <c r="H1761" s="15" t="n">
        <v>0</v>
      </c>
    </row>
    <row r="1762">
      <c r="A1762" t="s">
        <v>30</v>
      </c>
      <c r="B1762" t="s">
        <v>846</v>
      </c>
      <c r="C1762" t="s">
        <v>847</v>
      </c>
      <c r="D1762" t="s">
        <v>1020</v>
      </c>
      <c r="E1762" s="13" t="n">
        <v>1</v>
      </c>
      <c r="F1762" s="16" t="n">
        <v>88</v>
      </c>
      <c r="G1762" s="14" t="n">
        <v>-0.997564050259824</v>
      </c>
      <c r="H1762" s="15" t="n">
        <v>0.0697564737441255</v>
      </c>
    </row>
    <row r="1763">
      <c r="A1763" t="s">
        <v>31</v>
      </c>
      <c r="B1763" t="s">
        <v>848</v>
      </c>
      <c r="C1763" t="s">
        <v>849</v>
      </c>
      <c r="D1763" t="s">
        <v>1020</v>
      </c>
      <c r="E1763" s="13" t="n">
        <v>0.75</v>
      </c>
      <c r="F1763" s="16" t="n">
        <v>178</v>
      </c>
      <c r="G1763" s="14" t="n">
        <v>0.748173037694868</v>
      </c>
      <c r="H1763" s="15" t="n">
        <v>-0.0523173553080938</v>
      </c>
    </row>
    <row r="1764">
      <c r="A1764" t="s">
        <v>31</v>
      </c>
      <c r="B1764" t="s">
        <v>848</v>
      </c>
      <c r="C1764" t="s">
        <v>850</v>
      </c>
      <c r="D1764" t="s">
        <v>1020</v>
      </c>
      <c r="E1764" s="13" t="n">
        <v>0.25</v>
      </c>
      <c r="F1764" s="16" t="n">
        <v>0</v>
      </c>
      <c r="G1764" s="14" t="n">
        <v>0.25</v>
      </c>
      <c r="H1764" s="15" t="n">
        <v>0</v>
      </c>
    </row>
    <row r="1765">
      <c r="A1765" t="s">
        <v>31</v>
      </c>
      <c r="B1765" t="s">
        <v>851</v>
      </c>
      <c r="C1765" t="s">
        <v>852</v>
      </c>
      <c r="D1765" t="s">
        <v>1020</v>
      </c>
      <c r="E1765" s="13" t="n">
        <v>0.25</v>
      </c>
      <c r="F1765" s="16" t="n">
        <v>64</v>
      </c>
      <c r="G1765" s="14" t="n">
        <v>-0.153915368831415</v>
      </c>
      <c r="H1765" s="15" t="n">
        <v>0.197002688401681</v>
      </c>
    </row>
    <row r="1766">
      <c r="A1766" t="s">
        <v>31</v>
      </c>
      <c r="B1766" t="s">
        <v>851</v>
      </c>
      <c r="C1766" t="s">
        <v>853</v>
      </c>
      <c r="D1766" t="s">
        <v>1020</v>
      </c>
      <c r="E1766" s="13" t="n">
        <v>1</v>
      </c>
      <c r="F1766" s="16" t="n">
        <v>127</v>
      </c>
      <c r="G1766" s="14" t="n">
        <v>-0.275637355816999</v>
      </c>
      <c r="H1766" s="15" t="n">
        <v>-0.961261695938319</v>
      </c>
    </row>
    <row r="1767">
      <c r="A1767" t="s">
        <v>30</v>
      </c>
      <c r="B1767" t="s">
        <v>854</v>
      </c>
      <c r="C1767" t="s">
        <v>855</v>
      </c>
      <c r="D1767" t="s">
        <v>1020</v>
      </c>
      <c r="E1767" s="13" t="n">
        <v>1</v>
      </c>
      <c r="F1767" s="16" t="n">
        <v>164</v>
      </c>
      <c r="G1767" s="14" t="n">
        <v>0.848048096156426</v>
      </c>
      <c r="H1767" s="15" t="n">
        <v>-0.529919264233205</v>
      </c>
    </row>
    <row r="1768">
      <c r="A1768" t="s">
        <v>31</v>
      </c>
      <c r="B1768" t="s">
        <v>856</v>
      </c>
      <c r="C1768" t="s">
        <v>857</v>
      </c>
      <c r="D1768" t="s">
        <v>1020</v>
      </c>
      <c r="E1768" s="13" t="n">
        <v>1.25</v>
      </c>
      <c r="F1768" s="16" t="n">
        <v>2</v>
      </c>
      <c r="G1768" s="14" t="n">
        <v>1.24695506282478</v>
      </c>
      <c r="H1768" s="15" t="n">
        <v>0.0871955921801566</v>
      </c>
    </row>
    <row r="1769">
      <c r="A1769" t="s">
        <v>31</v>
      </c>
      <c r="B1769" t="s">
        <v>856</v>
      </c>
      <c r="C1769" t="s">
        <v>858</v>
      </c>
      <c r="D1769" t="s">
        <v>1020</v>
      </c>
      <c r="E1769" s="13" t="n">
        <v>1.25</v>
      </c>
      <c r="F1769" s="16" t="n">
        <v>163</v>
      </c>
      <c r="G1769" s="14" t="n">
        <v>1.0362969656938</v>
      </c>
      <c r="H1769" s="15" t="n">
        <v>-0.698991129338433</v>
      </c>
    </row>
    <row r="1770">
      <c r="A1770" t="s">
        <v>31</v>
      </c>
      <c r="B1770" t="s">
        <v>859</v>
      </c>
      <c r="C1770" t="s">
        <v>860</v>
      </c>
      <c r="D1770" t="s">
        <v>1020</v>
      </c>
      <c r="E1770" s="13" t="n">
        <v>0.25</v>
      </c>
      <c r="F1770" s="16" t="n">
        <v>172</v>
      </c>
      <c r="G1770" s="14" t="n">
        <v>0.24031542398458</v>
      </c>
      <c r="H1770" s="15" t="n">
        <v>-0.0689093389542497</v>
      </c>
    </row>
    <row r="1771">
      <c r="A1771" t="s">
        <v>31</v>
      </c>
      <c r="B1771" t="s">
        <v>859</v>
      </c>
      <c r="C1771" t="s">
        <v>861</v>
      </c>
      <c r="D1771" t="s">
        <v>1020</v>
      </c>
      <c r="E1771" s="13" t="n">
        <v>0.5</v>
      </c>
      <c r="F1771" s="16" t="n">
        <v>3</v>
      </c>
      <c r="G1771" s="14" t="n">
        <v>0.497260947684137</v>
      </c>
      <c r="H1771" s="15" t="n">
        <v>0.0522642316338267</v>
      </c>
    </row>
    <row r="1772">
      <c r="A1772" t="s">
        <v>30</v>
      </c>
      <c r="B1772" t="s">
        <v>862</v>
      </c>
      <c r="C1772" t="s">
        <v>863</v>
      </c>
      <c r="D1772" t="s">
        <v>1020</v>
      </c>
      <c r="E1772" s="13" t="n">
        <v>0.5</v>
      </c>
      <c r="F1772" s="16" t="n">
        <v>163</v>
      </c>
      <c r="G1772" s="14" t="n">
        <v>0.414518786277521</v>
      </c>
      <c r="H1772" s="15" t="n">
        <v>-0.279596451735373</v>
      </c>
    </row>
    <row r="1773">
      <c r="A1773" t="s">
        <v>30</v>
      </c>
      <c r="B1773" t="s">
        <v>864</v>
      </c>
      <c r="C1773" t="s">
        <v>865</v>
      </c>
      <c r="D1773" t="s">
        <v>1020</v>
      </c>
      <c r="E1773" s="13" t="n">
        <v>0.75</v>
      </c>
      <c r="F1773" s="16" t="n">
        <v>26</v>
      </c>
      <c r="G1773" s="14" t="n">
        <v>0.461746106494244</v>
      </c>
      <c r="H1773" s="15" t="n">
        <v>0.591008065205041</v>
      </c>
    </row>
    <row r="1774">
      <c r="A1774" t="s">
        <v>30</v>
      </c>
      <c r="B1774" t="s">
        <v>864</v>
      </c>
      <c r="C1774" t="s">
        <v>866</v>
      </c>
      <c r="D1774" t="s">
        <v>1020</v>
      </c>
      <c r="E1774" s="13" t="n">
        <v>1.75</v>
      </c>
      <c r="F1774" s="16" t="n">
        <v>148</v>
      </c>
      <c r="G1774" s="14" t="n">
        <v>0.767149506880885</v>
      </c>
      <c r="H1774" s="15" t="n">
        <v>-1.57288958102354</v>
      </c>
    </row>
    <row r="1775">
      <c r="A1775" t="s">
        <v>30</v>
      </c>
      <c r="B1775" t="s">
        <v>867</v>
      </c>
      <c r="C1775" t="s">
        <v>868</v>
      </c>
      <c r="D1775" t="s">
        <v>1020</v>
      </c>
      <c r="E1775" s="13" t="n">
        <v>0.75</v>
      </c>
      <c r="F1775" s="16" t="n">
        <v>38</v>
      </c>
      <c r="G1775" s="14" t="n">
        <v>0.181441421699751</v>
      </c>
      <c r="H1775" s="15" t="n">
        <v>0.727721794706997</v>
      </c>
    </row>
    <row r="1776">
      <c r="A1776" t="s">
        <v>30</v>
      </c>
      <c r="B1776" t="s">
        <v>869</v>
      </c>
      <c r="C1776" t="s">
        <v>870</v>
      </c>
      <c r="D1776" t="s">
        <v>1020</v>
      </c>
      <c r="E1776" s="13" t="n">
        <v>0.25</v>
      </c>
      <c r="F1776" s="16" t="n">
        <v>97</v>
      </c>
      <c r="G1776" s="14" t="n">
        <v>-0.242573931568999</v>
      </c>
      <c r="H1776" s="15" t="n">
        <v>-0.0604804738999169</v>
      </c>
    </row>
    <row r="1777">
      <c r="A1777" t="s">
        <v>30</v>
      </c>
      <c r="B1777" t="s">
        <v>871</v>
      </c>
      <c r="C1777" t="s">
        <v>872</v>
      </c>
      <c r="D1777" t="s">
        <v>1020</v>
      </c>
      <c r="E1777" s="13" t="n">
        <v>1.25</v>
      </c>
      <c r="F1777" s="16" t="n">
        <v>3</v>
      </c>
      <c r="G1777" s="14" t="n">
        <v>1.24315236921034</v>
      </c>
      <c r="H1777" s="15" t="n">
        <v>0.130660579084567</v>
      </c>
    </row>
    <row r="1778">
      <c r="A1778" t="s">
        <v>30</v>
      </c>
      <c r="B1778" t="s">
        <v>871</v>
      </c>
      <c r="C1778" t="s">
        <v>873</v>
      </c>
      <c r="D1778" t="s">
        <v>1020</v>
      </c>
      <c r="E1778" s="13" t="n">
        <v>1.5</v>
      </c>
      <c r="F1778" s="16" t="n">
        <v>16</v>
      </c>
      <c r="G1778" s="14" t="n">
        <v>1.27207214423464</v>
      </c>
      <c r="H1778" s="15" t="n">
        <v>0.794878896349807</v>
      </c>
    </row>
    <row r="1779">
      <c r="A1779" t="s">
        <v>31</v>
      </c>
      <c r="B1779" t="s">
        <v>874</v>
      </c>
      <c r="C1779" t="s">
        <v>875</v>
      </c>
      <c r="D1779" t="s">
        <v>1020</v>
      </c>
      <c r="E1779" s="13" t="n">
        <v>1</v>
      </c>
      <c r="F1779" s="16" t="n">
        <v>14</v>
      </c>
      <c r="G1779" s="14" t="n">
        <v>0.882947592858927</v>
      </c>
      <c r="H1779" s="15" t="n">
        <v>0.469471562785891</v>
      </c>
    </row>
    <row r="1780">
      <c r="A1780" t="s">
        <v>31</v>
      </c>
      <c r="B1780" t="s">
        <v>876</v>
      </c>
      <c r="C1780" t="s">
        <v>877</v>
      </c>
      <c r="D1780" t="s">
        <v>1020</v>
      </c>
      <c r="E1780" s="13" t="n">
        <v>0.75</v>
      </c>
      <c r="F1780" s="16" t="n">
        <v>91</v>
      </c>
      <c r="G1780" s="14" t="n">
        <v>-0.749543120264322</v>
      </c>
      <c r="H1780" s="15" t="n">
        <v>-0.0261746225268759</v>
      </c>
    </row>
    <row r="1781">
      <c r="A1781" t="s">
        <v>30</v>
      </c>
      <c r="B1781" t="s">
        <v>878</v>
      </c>
      <c r="C1781" t="s">
        <v>879</v>
      </c>
      <c r="D1781" t="s">
        <v>1020</v>
      </c>
      <c r="E1781" s="13" t="n">
        <v>0.5</v>
      </c>
      <c r="F1781" s="16" t="n">
        <v>42</v>
      </c>
      <c r="G1781" s="14" t="n">
        <v>0.0522642316338267</v>
      </c>
      <c r="H1781" s="15" t="n">
        <v>0.497260947684137</v>
      </c>
    </row>
    <row r="1782">
      <c r="A1782" t="s">
        <v>30</v>
      </c>
      <c r="B1782" t="s">
        <v>878</v>
      </c>
      <c r="C1782" t="s">
        <v>880</v>
      </c>
      <c r="D1782" t="s">
        <v>1020</v>
      </c>
      <c r="E1782" s="13" t="n">
        <v>0.75</v>
      </c>
      <c r="F1782" s="16" t="n">
        <v>139</v>
      </c>
      <c r="G1782" s="14" t="n">
        <v>0.104379825720049</v>
      </c>
      <c r="H1782" s="15" t="n">
        <v>-0.742701051556178</v>
      </c>
    </row>
    <row r="1783">
      <c r="A1783" t="s">
        <v>30</v>
      </c>
      <c r="B1783" t="s">
        <v>1009</v>
      </c>
      <c r="C1783" t="s">
        <v>1010</v>
      </c>
      <c r="D1783" t="s">
        <v>1020</v>
      </c>
      <c r="E1783" s="13" t="n">
        <v>1</v>
      </c>
      <c r="F1783" s="16" t="n">
        <v>129</v>
      </c>
      <c r="G1783" s="14" t="n">
        <v>-0.20791169081776</v>
      </c>
      <c r="H1783" s="15" t="n">
        <v>-0.978147600733806</v>
      </c>
    </row>
    <row r="1784">
      <c r="A1784" t="s">
        <v>30</v>
      </c>
      <c r="B1784" t="s">
        <v>1009</v>
      </c>
      <c r="C1784" t="s">
        <v>1011</v>
      </c>
      <c r="D1784" t="s">
        <v>1020</v>
      </c>
      <c r="E1784" s="13" t="n">
        <v>0.75</v>
      </c>
      <c r="F1784" s="16" t="n">
        <v>54</v>
      </c>
      <c r="G1784" s="14" t="n">
        <v>-0.231762745781211</v>
      </c>
      <c r="H1784" s="15" t="n">
        <v>0.713292387221365</v>
      </c>
    </row>
    <row r="1785">
      <c r="A1785" t="s">
        <v>31</v>
      </c>
      <c r="B1785" t="s">
        <v>881</v>
      </c>
      <c r="C1785" t="s">
        <v>882</v>
      </c>
      <c r="D1785" t="s">
        <v>1020</v>
      </c>
      <c r="E1785" s="13" t="n">
        <v>0.25</v>
      </c>
      <c r="F1785" s="16" t="n">
        <v>9</v>
      </c>
      <c r="G1785" s="14" t="n">
        <v>0.237764129073788</v>
      </c>
      <c r="H1785" s="15" t="n">
        <v>0.0772542485937368</v>
      </c>
    </row>
    <row r="1786">
      <c r="A1786" t="s">
        <v>31</v>
      </c>
      <c r="B1786" t="s">
        <v>881</v>
      </c>
      <c r="C1786" t="s">
        <v>883</v>
      </c>
      <c r="D1786" t="s">
        <v>1020</v>
      </c>
      <c r="E1786" s="13" t="n">
        <v>0.5</v>
      </c>
      <c r="F1786" s="16" t="n">
        <v>3</v>
      </c>
      <c r="G1786" s="14" t="n">
        <v>0.497260947684137</v>
      </c>
      <c r="H1786" s="15" t="n">
        <v>0.0522642316338267</v>
      </c>
    </row>
    <row r="1787">
      <c r="A1787" t="s">
        <v>30</v>
      </c>
      <c r="B1787" t="s">
        <v>884</v>
      </c>
      <c r="C1787" t="s">
        <v>885</v>
      </c>
      <c r="D1787" t="s">
        <v>1020</v>
      </c>
      <c r="E1787" s="13" t="n">
        <v>1.25</v>
      </c>
      <c r="F1787" s="16" t="n">
        <v>0</v>
      </c>
      <c r="G1787" s="14" t="n">
        <v>1.25</v>
      </c>
      <c r="H1787" s="15" t="n">
        <v>0</v>
      </c>
    </row>
    <row r="1788">
      <c r="A1788" t="s">
        <v>30</v>
      </c>
      <c r="B1788" t="s">
        <v>884</v>
      </c>
      <c r="C1788" t="s">
        <v>886</v>
      </c>
      <c r="D1788" t="s">
        <v>1020</v>
      </c>
      <c r="E1788" s="13" t="n">
        <v>1.25</v>
      </c>
      <c r="F1788" s="16" t="n">
        <v>171</v>
      </c>
      <c r="G1788" s="14" t="n">
        <v>1.18882064536894</v>
      </c>
      <c r="H1788" s="15" t="n">
        <v>-0.386271242968685</v>
      </c>
    </row>
    <row r="1789">
      <c r="A1789" t="s">
        <v>30</v>
      </c>
      <c r="B1789" t="s">
        <v>887</v>
      </c>
      <c r="C1789" t="s">
        <v>888</v>
      </c>
      <c r="D1789" t="s">
        <v>1020</v>
      </c>
      <c r="E1789" s="13" t="n">
        <v>1</v>
      </c>
      <c r="F1789" s="16" t="n">
        <v>18</v>
      </c>
      <c r="G1789" s="14" t="n">
        <v>0.809016994374947</v>
      </c>
      <c r="H1789" s="15" t="n">
        <v>0.587785252292473</v>
      </c>
    </row>
    <row r="1790">
      <c r="A1790" t="s">
        <v>30</v>
      </c>
      <c r="B1790" t="s">
        <v>887</v>
      </c>
      <c r="C1790" t="s">
        <v>889</v>
      </c>
      <c r="D1790" t="s">
        <v>1020</v>
      </c>
      <c r="E1790" s="13" t="n">
        <v>1.5</v>
      </c>
      <c r="F1790" s="16" t="n">
        <v>157</v>
      </c>
      <c r="G1790" s="14" t="n">
        <v>1.0419875556885</v>
      </c>
      <c r="H1790" s="15" t="n">
        <v>-1.07900970050798</v>
      </c>
    </row>
    <row r="1791">
      <c r="A1791" t="s">
        <v>30</v>
      </c>
      <c r="B1791" t="s">
        <v>890</v>
      </c>
      <c r="C1791" t="s">
        <v>891</v>
      </c>
      <c r="D1791" t="s">
        <v>1020</v>
      </c>
      <c r="E1791" s="13" t="n">
        <v>1.5</v>
      </c>
      <c r="F1791" s="16" t="n">
        <v>165</v>
      </c>
      <c r="G1791" s="14" t="n">
        <v>1.29903810567666</v>
      </c>
      <c r="H1791" s="15" t="n">
        <v>-0.75</v>
      </c>
    </row>
    <row r="1792">
      <c r="A1792" t="s">
        <v>30</v>
      </c>
      <c r="B1792" t="s">
        <v>890</v>
      </c>
      <c r="C1792" t="s">
        <v>892</v>
      </c>
      <c r="D1792" t="s">
        <v>1020</v>
      </c>
      <c r="E1792" s="13" t="n">
        <v>0.75</v>
      </c>
      <c r="F1792" s="16" t="n">
        <v>15</v>
      </c>
      <c r="G1792" s="14" t="n">
        <v>0.649519052838329</v>
      </c>
      <c r="H1792" s="15" t="n">
        <v>0.375</v>
      </c>
    </row>
    <row r="1793">
      <c r="A1793" t="s">
        <v>30</v>
      </c>
      <c r="B1793" t="s">
        <v>893</v>
      </c>
      <c r="C1793" t="s">
        <v>894</v>
      </c>
      <c r="D1793" t="s">
        <v>1020</v>
      </c>
      <c r="E1793" s="13" t="n">
        <v>0.5</v>
      </c>
      <c r="F1793" s="16" t="n">
        <v>84</v>
      </c>
      <c r="G1793" s="14" t="n">
        <v>-0.489073800366903</v>
      </c>
      <c r="H1793" s="15" t="n">
        <v>0.10395584540888</v>
      </c>
    </row>
    <row r="1794">
      <c r="A1794" t="s">
        <v>30</v>
      </c>
      <c r="B1794" t="s">
        <v>893</v>
      </c>
      <c r="C1794" t="s">
        <v>895</v>
      </c>
      <c r="D1794" t="s">
        <v>1020</v>
      </c>
      <c r="E1794" s="13" t="n">
        <v>0.25</v>
      </c>
      <c r="F1794" s="16" t="n">
        <v>83</v>
      </c>
      <c r="G1794" s="14" t="n">
        <v>-0.242573931568999</v>
      </c>
      <c r="H1794" s="15" t="n">
        <v>0.0604804738999169</v>
      </c>
    </row>
    <row r="1795">
      <c r="A1795" t="s">
        <v>31</v>
      </c>
      <c r="B1795" t="s">
        <v>896</v>
      </c>
      <c r="C1795" t="s">
        <v>897</v>
      </c>
      <c r="D1795" t="s">
        <v>1020</v>
      </c>
      <c r="E1795" s="13" t="n">
        <v>0.25</v>
      </c>
      <c r="F1795" s="16" t="n">
        <v>21</v>
      </c>
      <c r="G1795" s="14" t="n">
        <v>0.185786206369349</v>
      </c>
      <c r="H1795" s="15" t="n">
        <v>0.167282651589715</v>
      </c>
    </row>
    <row r="1796">
      <c r="A1796" t="s">
        <v>31</v>
      </c>
      <c r="B1796" t="s">
        <v>896</v>
      </c>
      <c r="C1796" t="s">
        <v>898</v>
      </c>
      <c r="D1796" t="s">
        <v>1020</v>
      </c>
      <c r="E1796" s="13" t="n">
        <v>0.25</v>
      </c>
      <c r="F1796" s="16" t="n">
        <v>146</v>
      </c>
      <c r="G1796" s="14" t="n">
        <v>0.093651648353978</v>
      </c>
      <c r="H1796" s="15" t="n">
        <v>-0.231795963641697</v>
      </c>
    </row>
    <row r="1797">
      <c r="A1797" t="s">
        <v>30</v>
      </c>
      <c r="B1797" t="s">
        <v>899</v>
      </c>
      <c r="C1797" t="s">
        <v>900</v>
      </c>
      <c r="D1797" t="s">
        <v>1020</v>
      </c>
      <c r="E1797" s="13" t="n">
        <v>0.75</v>
      </c>
      <c r="F1797" s="16" t="n">
        <v>10</v>
      </c>
      <c r="G1797" s="14" t="n">
        <v>0.704769465589431</v>
      </c>
      <c r="H1797" s="15" t="n">
        <v>0.256515107494252</v>
      </c>
    </row>
    <row r="1798">
      <c r="A1798" t="s">
        <v>30</v>
      </c>
      <c r="B1798" t="s">
        <v>899</v>
      </c>
      <c r="C1798" t="s">
        <v>901</v>
      </c>
      <c r="D1798" t="s">
        <v>1020</v>
      </c>
      <c r="E1798" s="13" t="n">
        <v>1.25</v>
      </c>
      <c r="F1798" s="16" t="n">
        <v>171</v>
      </c>
      <c r="G1798" s="14" t="n">
        <v>1.18882064536894</v>
      </c>
      <c r="H1798" s="15" t="n">
        <v>-0.386271242968685</v>
      </c>
    </row>
    <row r="1799">
      <c r="A1799" t="s">
        <v>30</v>
      </c>
      <c r="B1799" t="s">
        <v>902</v>
      </c>
      <c r="C1799" t="s">
        <v>903</v>
      </c>
      <c r="D1799" t="s">
        <v>1020</v>
      </c>
      <c r="E1799" s="13" t="n">
        <v>0.25</v>
      </c>
      <c r="F1799" s="16" t="n">
        <v>165</v>
      </c>
      <c r="G1799" s="14" t="n">
        <v>0.21650635094611</v>
      </c>
      <c r="H1799" s="15" t="n">
        <v>-0.125</v>
      </c>
    </row>
    <row r="1800">
      <c r="A1800" t="s">
        <v>31</v>
      </c>
      <c r="B1800" t="s">
        <v>904</v>
      </c>
      <c r="C1800" t="s">
        <v>905</v>
      </c>
      <c r="D1800" t="s">
        <v>1020</v>
      </c>
      <c r="E1800" s="13" t="n">
        <v>0.75</v>
      </c>
      <c r="F1800" s="16" t="n">
        <v>89</v>
      </c>
      <c r="G1800" s="14" t="n">
        <v>-0.749543120264322</v>
      </c>
      <c r="H1800" s="15" t="n">
        <v>0.0261746225268759</v>
      </c>
    </row>
    <row r="1801">
      <c r="A1801" t="s">
        <v>31</v>
      </c>
      <c r="B1801" t="s">
        <v>904</v>
      </c>
      <c r="C1801" t="s">
        <v>906</v>
      </c>
      <c r="D1801" t="s">
        <v>1020</v>
      </c>
      <c r="E1801" s="13" t="n">
        <v>0.5</v>
      </c>
      <c r="F1801" s="16" t="n">
        <v>102</v>
      </c>
      <c r="G1801" s="14" t="n">
        <v>-0.456772728821301</v>
      </c>
      <c r="H1801" s="15" t="n">
        <v>-0.2033683215379</v>
      </c>
    </row>
    <row r="1802">
      <c r="A1802" t="s">
        <v>30</v>
      </c>
      <c r="B1802" t="s">
        <v>907</v>
      </c>
      <c r="C1802" t="s">
        <v>908</v>
      </c>
      <c r="D1802" t="s">
        <v>1020</v>
      </c>
      <c r="E1802" s="13" t="n">
        <v>0.5</v>
      </c>
      <c r="F1802" s="16" t="n">
        <v>157</v>
      </c>
      <c r="G1802" s="14" t="n">
        <v>0.347329185229499</v>
      </c>
      <c r="H1802" s="15" t="n">
        <v>-0.359669900169326</v>
      </c>
    </row>
    <row r="1803">
      <c r="A1803" t="s">
        <v>30</v>
      </c>
      <c r="B1803" t="s">
        <v>907</v>
      </c>
      <c r="C1803" t="s">
        <v>909</v>
      </c>
      <c r="D1803" t="s">
        <v>1020</v>
      </c>
      <c r="E1803" s="13" t="n">
        <v>0.75</v>
      </c>
      <c r="F1803" s="16" t="n">
        <v>28</v>
      </c>
      <c r="G1803" s="14" t="n">
        <v>0.41939467760306</v>
      </c>
      <c r="H1803" s="15" t="n">
        <v>0.621778179416281</v>
      </c>
    </row>
    <row r="1804">
      <c r="A1804" t="s">
        <v>31</v>
      </c>
      <c r="B1804" t="s">
        <v>910</v>
      </c>
      <c r="C1804" t="s">
        <v>911</v>
      </c>
      <c r="D1804" t="s">
        <v>1020</v>
      </c>
      <c r="E1804" s="13" t="n">
        <v>0.25</v>
      </c>
      <c r="F1804" s="16" t="n">
        <v>0</v>
      </c>
      <c r="G1804" s="14" t="n">
        <v>0.25</v>
      </c>
      <c r="H1804" s="15" t="n">
        <v>0</v>
      </c>
    </row>
    <row r="1805">
      <c r="A1805" t="s">
        <v>31</v>
      </c>
      <c r="B1805" t="s">
        <v>910</v>
      </c>
      <c r="C1805" t="s">
        <v>912</v>
      </c>
      <c r="D1805" t="s">
        <v>1020</v>
      </c>
      <c r="E1805" s="13" t="n">
        <v>0.5</v>
      </c>
      <c r="F1805" s="16" t="n">
        <v>19</v>
      </c>
      <c r="G1805" s="14" t="n">
        <v>0.394005376803361</v>
      </c>
      <c r="H1805" s="15" t="n">
        <v>0.307830737662829</v>
      </c>
    </row>
    <row r="1806">
      <c r="A1806" t="s">
        <v>30</v>
      </c>
      <c r="B1806" t="s">
        <v>913</v>
      </c>
      <c r="C1806" t="s">
        <v>914</v>
      </c>
      <c r="D1806" t="s">
        <v>1020</v>
      </c>
      <c r="E1806" s="13" t="n">
        <v>0.5</v>
      </c>
      <c r="F1806" s="16" t="n">
        <v>53</v>
      </c>
      <c r="G1806" s="14" t="n">
        <v>-0.1378186779085</v>
      </c>
      <c r="H1806" s="15" t="n">
        <v>0.480630847969159</v>
      </c>
    </row>
    <row r="1807">
      <c r="A1807" t="s">
        <v>30</v>
      </c>
      <c r="B1807" t="s">
        <v>913</v>
      </c>
      <c r="C1807" t="s">
        <v>915</v>
      </c>
      <c r="D1807" t="s">
        <v>1020</v>
      </c>
      <c r="E1807" s="13" t="n">
        <v>0.25</v>
      </c>
      <c r="F1807" s="16" t="n">
        <v>130</v>
      </c>
      <c r="G1807" s="14" t="n">
        <v>-0.0434120444167326</v>
      </c>
      <c r="H1807" s="15" t="n">
        <v>-0.246201938253052</v>
      </c>
    </row>
    <row r="1808">
      <c r="A1808" t="s">
        <v>31</v>
      </c>
      <c r="B1808" t="s">
        <v>1012</v>
      </c>
      <c r="C1808" t="s">
        <v>1013</v>
      </c>
      <c r="D1808" t="s">
        <v>1020</v>
      </c>
      <c r="E1808" s="13" t="n">
        <v>2.75</v>
      </c>
      <c r="F1808" s="16" t="n">
        <v>172</v>
      </c>
      <c r="G1808" s="14" t="n">
        <v>2.64346966383038</v>
      </c>
      <c r="H1808" s="15" t="n">
        <v>-0.758002728496747</v>
      </c>
    </row>
    <row r="1809">
      <c r="A1809" t="s">
        <v>31</v>
      </c>
      <c r="B1809" t="s">
        <v>916</v>
      </c>
      <c r="C1809" t="s">
        <v>917</v>
      </c>
      <c r="D1809" t="s">
        <v>1020</v>
      </c>
      <c r="E1809" s="13" t="n">
        <v>0.5</v>
      </c>
      <c r="F1809" s="16" t="n">
        <v>85</v>
      </c>
      <c r="G1809" s="14" t="n">
        <v>-0.492403876506104</v>
      </c>
      <c r="H1809" s="15" t="n">
        <v>0.0868240888334653</v>
      </c>
    </row>
    <row r="1810">
      <c r="A1810" t="s">
        <v>30</v>
      </c>
      <c r="B1810" t="s">
        <v>1014</v>
      </c>
      <c r="C1810" t="s">
        <v>1015</v>
      </c>
      <c r="D1810" t="s">
        <v>1020</v>
      </c>
      <c r="E1810" s="13" t="n">
        <v>0.5</v>
      </c>
      <c r="F1810" s="16" t="n">
        <v>126</v>
      </c>
      <c r="G1810" s="14" t="n">
        <v>-0.154508497187474</v>
      </c>
      <c r="H1810" s="15" t="n">
        <v>-0.475528258147577</v>
      </c>
    </row>
    <row r="1811">
      <c r="A1811" t="s">
        <v>30</v>
      </c>
      <c r="B1811" t="s">
        <v>918</v>
      </c>
      <c r="C1811" t="s">
        <v>919</v>
      </c>
      <c r="D1811" t="s">
        <v>1020</v>
      </c>
      <c r="E1811" s="13" t="n">
        <v>0.25</v>
      </c>
      <c r="F1811" s="16" t="n">
        <v>9</v>
      </c>
      <c r="G1811" s="14" t="n">
        <v>0.237764129073788</v>
      </c>
      <c r="H1811" s="15" t="n">
        <v>0.0772542485937368</v>
      </c>
    </row>
    <row r="1812">
      <c r="A1812" t="s">
        <v>30</v>
      </c>
      <c r="B1812" t="s">
        <v>918</v>
      </c>
      <c r="C1812" t="s">
        <v>920</v>
      </c>
      <c r="D1812" t="s">
        <v>1020</v>
      </c>
      <c r="E1812" s="13" t="n">
        <v>0.5</v>
      </c>
      <c r="F1812" s="16" t="n">
        <v>165</v>
      </c>
      <c r="G1812" s="14" t="n">
        <v>0.433012701892219</v>
      </c>
      <c r="H1812" s="15" t="n">
        <v>-0.25</v>
      </c>
    </row>
    <row r="1813">
      <c r="A1813" t="s">
        <v>30</v>
      </c>
      <c r="B1813" t="s">
        <v>921</v>
      </c>
      <c r="C1813" t="s">
        <v>922</v>
      </c>
      <c r="D1813" t="s">
        <v>1020</v>
      </c>
      <c r="E1813" s="13" t="n">
        <v>0.5</v>
      </c>
      <c r="F1813" s="16" t="n">
        <v>4</v>
      </c>
      <c r="G1813" s="14" t="n">
        <v>0.495134034370785</v>
      </c>
      <c r="H1813" s="15" t="n">
        <v>0.0695865504800327</v>
      </c>
    </row>
    <row r="1814">
      <c r="A1814" t="s">
        <v>30</v>
      </c>
      <c r="B1814" t="s">
        <v>923</v>
      </c>
      <c r="C1814" t="s">
        <v>924</v>
      </c>
      <c r="D1814" t="s">
        <v>1020</v>
      </c>
      <c r="E1814" s="13" t="n">
        <v>0.25</v>
      </c>
      <c r="F1814" s="16" t="n">
        <v>10</v>
      </c>
      <c r="G1814" s="14" t="n">
        <v>0.234923155196477</v>
      </c>
      <c r="H1814" s="15" t="n">
        <v>0.0855050358314172</v>
      </c>
    </row>
    <row r="1815">
      <c r="A1815" t="s">
        <v>30</v>
      </c>
      <c r="B1815" t="s">
        <v>923</v>
      </c>
      <c r="C1815" t="s">
        <v>925</v>
      </c>
      <c r="D1815" t="s">
        <v>1020</v>
      </c>
      <c r="E1815" s="13" t="n">
        <v>0.25</v>
      </c>
      <c r="F1815" s="16" t="n">
        <v>174</v>
      </c>
      <c r="G1815" s="14" t="n">
        <v>0.244536900183451</v>
      </c>
      <c r="H1815" s="15" t="n">
        <v>-0.0519779227044398</v>
      </c>
    </row>
    <row r="1816">
      <c r="A1816" t="s">
        <v>30</v>
      </c>
      <c r="B1816" t="s">
        <v>926</v>
      </c>
      <c r="C1816" t="s">
        <v>927</v>
      </c>
      <c r="D1816" t="s">
        <v>1020</v>
      </c>
      <c r="E1816" s="13" t="n">
        <v>0.5</v>
      </c>
      <c r="F1816" s="16" t="n">
        <v>162</v>
      </c>
      <c r="G1816" s="14" t="n">
        <v>0.404508497187474</v>
      </c>
      <c r="H1816" s="15" t="n">
        <v>-0.293892626146237</v>
      </c>
    </row>
    <row r="1817">
      <c r="A1817" t="s">
        <v>30</v>
      </c>
      <c r="B1817" t="s">
        <v>928</v>
      </c>
      <c r="C1817" t="s">
        <v>929</v>
      </c>
      <c r="D1817" t="s">
        <v>1020</v>
      </c>
      <c r="E1817" s="13" t="n">
        <v>0.25</v>
      </c>
      <c r="F1817" s="16" t="n">
        <v>48</v>
      </c>
      <c r="G1817" s="14" t="n">
        <v>-0.0261321158169133</v>
      </c>
      <c r="H1817" s="15" t="n">
        <v>0.248630473842068</v>
      </c>
    </row>
    <row r="1818">
      <c r="A1818" t="s">
        <v>30</v>
      </c>
      <c r="B1818" t="s">
        <v>928</v>
      </c>
      <c r="C1818" t="s">
        <v>930</v>
      </c>
      <c r="D1818" t="s">
        <v>1020</v>
      </c>
      <c r="E1818" s="13" t="n">
        <v>0.5</v>
      </c>
      <c r="F1818" s="16" t="n">
        <v>141</v>
      </c>
      <c r="G1818" s="14" t="n">
        <v>0.10395584540888</v>
      </c>
      <c r="H1818" s="15" t="n">
        <v>-0.489073800366903</v>
      </c>
    </row>
    <row r="1819">
      <c r="A1819" t="s">
        <v>30</v>
      </c>
      <c r="B1819" t="s">
        <v>931</v>
      </c>
      <c r="C1819" t="s">
        <v>932</v>
      </c>
      <c r="D1819" t="s">
        <v>1020</v>
      </c>
      <c r="E1819" s="13" t="n">
        <v>0.5</v>
      </c>
      <c r="F1819" s="16" t="n">
        <v>3</v>
      </c>
      <c r="G1819" s="14" t="n">
        <v>0.497260947684137</v>
      </c>
      <c r="H1819" s="15" t="n">
        <v>0.0522642316338267</v>
      </c>
    </row>
    <row r="1820">
      <c r="A1820" t="s">
        <v>30</v>
      </c>
      <c r="B1820" t="s">
        <v>931</v>
      </c>
      <c r="C1820" t="s">
        <v>933</v>
      </c>
      <c r="D1820" t="s">
        <v>1020</v>
      </c>
      <c r="E1820" s="13" t="n">
        <v>0.5</v>
      </c>
      <c r="F1820" s="16" t="n">
        <v>177</v>
      </c>
      <c r="G1820" s="14" t="n">
        <v>0.497260947684137</v>
      </c>
      <c r="H1820" s="15" t="n">
        <v>-0.0522642316338269</v>
      </c>
    </row>
    <row r="1821">
      <c r="A1821" t="s">
        <v>31</v>
      </c>
      <c r="B1821" t="s">
        <v>934</v>
      </c>
      <c r="C1821" t="s">
        <v>935</v>
      </c>
      <c r="D1821" t="s">
        <v>1020</v>
      </c>
      <c r="E1821" s="13" t="n">
        <v>1</v>
      </c>
      <c r="F1821" s="16" t="n">
        <v>95</v>
      </c>
      <c r="G1821" s="14" t="n">
        <v>-0.984807753012208</v>
      </c>
      <c r="H1821" s="15" t="n">
        <v>-0.173648177666931</v>
      </c>
    </row>
    <row r="1822">
      <c r="A1822" t="s">
        <v>30</v>
      </c>
      <c r="B1822" t="s">
        <v>936</v>
      </c>
      <c r="C1822" t="s">
        <v>937</v>
      </c>
      <c r="D1822" t="s">
        <v>1020</v>
      </c>
      <c r="E1822" s="13" t="n">
        <v>0.5</v>
      </c>
      <c r="F1822" s="16" t="n">
        <v>12</v>
      </c>
      <c r="G1822" s="14" t="n">
        <v>0.4567727288213</v>
      </c>
      <c r="H1822" s="15" t="n">
        <v>0.2033683215379</v>
      </c>
    </row>
    <row r="1823">
      <c r="A1823" t="s">
        <v>30</v>
      </c>
      <c r="B1823" t="s">
        <v>936</v>
      </c>
      <c r="C1823" t="s">
        <v>938</v>
      </c>
      <c r="D1823" t="s">
        <v>1020</v>
      </c>
      <c r="E1823" s="13" t="n">
        <v>0.75</v>
      </c>
      <c r="F1823" s="16" t="n">
        <v>171</v>
      </c>
      <c r="G1823" s="14" t="n">
        <v>0.713292387221365</v>
      </c>
      <c r="H1823" s="15" t="n">
        <v>-0.231762745781211</v>
      </c>
    </row>
    <row r="1824">
      <c r="A1824" t="s">
        <v>31</v>
      </c>
      <c r="B1824" t="s">
        <v>939</v>
      </c>
      <c r="C1824" t="s">
        <v>940</v>
      </c>
      <c r="D1824" t="s">
        <v>1020</v>
      </c>
      <c r="E1824" s="13" t="n">
        <v>0.75</v>
      </c>
      <c r="F1824" s="16" t="n">
        <v>104</v>
      </c>
      <c r="G1824" s="14" t="n">
        <v>-0.662210694644195</v>
      </c>
      <c r="H1824" s="15" t="n">
        <v>-0.352103672089418</v>
      </c>
    </row>
    <row r="1825">
      <c r="A1825" t="s">
        <v>31</v>
      </c>
      <c r="B1825" t="s">
        <v>939</v>
      </c>
      <c r="C1825" t="s">
        <v>941</v>
      </c>
      <c r="D1825" t="s">
        <v>1020</v>
      </c>
      <c r="E1825" s="13" t="n">
        <v>0.5</v>
      </c>
      <c r="F1825" s="16" t="n">
        <v>77</v>
      </c>
      <c r="G1825" s="14" t="n">
        <v>-0.449397023149583</v>
      </c>
      <c r="H1825" s="15" t="n">
        <v>0.219185573394539</v>
      </c>
    </row>
    <row r="1826">
      <c r="A1826" t="s">
        <v>31</v>
      </c>
      <c r="B1826" t="s">
        <v>942</v>
      </c>
      <c r="C1826" t="s">
        <v>943</v>
      </c>
      <c r="D1826" t="s">
        <v>1020</v>
      </c>
      <c r="E1826" s="13" t="n">
        <v>1.75</v>
      </c>
      <c r="F1826" s="16" t="n">
        <v>65</v>
      </c>
      <c r="G1826" s="14" t="n">
        <v>-1.12487831695144</v>
      </c>
      <c r="H1826" s="15" t="n">
        <v>1.34057777545821</v>
      </c>
    </row>
    <row r="1827">
      <c r="A1827" t="s">
        <v>31</v>
      </c>
      <c r="B1827" t="s">
        <v>942</v>
      </c>
      <c r="C1827" t="s">
        <v>944</v>
      </c>
      <c r="D1827" t="s">
        <v>1020</v>
      </c>
      <c r="E1827" s="13" t="n">
        <v>1.25</v>
      </c>
      <c r="F1827" s="16" t="n">
        <v>107</v>
      </c>
      <c r="G1827" s="14" t="n">
        <v>-1.0362969656938</v>
      </c>
      <c r="H1827" s="15" t="n">
        <v>-0.698991129338434</v>
      </c>
    </row>
    <row r="1828">
      <c r="A1828" t="s">
        <v>30</v>
      </c>
      <c r="B1828" t="s">
        <v>945</v>
      </c>
      <c r="C1828" t="s">
        <v>946</v>
      </c>
      <c r="D1828" t="s">
        <v>1020</v>
      </c>
      <c r="E1828" s="13" t="n">
        <v>0.75</v>
      </c>
      <c r="F1828" s="16" t="n">
        <v>131</v>
      </c>
      <c r="G1828" s="14" t="n">
        <v>-0.104379825720049</v>
      </c>
      <c r="H1828" s="15" t="n">
        <v>-0.742701051556178</v>
      </c>
    </row>
    <row r="1829">
      <c r="A1829" t="s">
        <v>30</v>
      </c>
      <c r="B1829" t="s">
        <v>945</v>
      </c>
      <c r="C1829" t="s">
        <v>947</v>
      </c>
      <c r="D1829" t="s">
        <v>1020</v>
      </c>
      <c r="E1829" s="13" t="n">
        <v>0.25</v>
      </c>
      <c r="F1829" s="16" t="n">
        <v>53</v>
      </c>
      <c r="G1829" s="14" t="n">
        <v>-0.0689093389542498</v>
      </c>
      <c r="H1829" s="15" t="n">
        <v>0.24031542398458</v>
      </c>
    </row>
    <row r="1830">
      <c r="A1830" t="s">
        <v>30</v>
      </c>
      <c r="B1830" t="s">
        <v>948</v>
      </c>
      <c r="C1830" t="s">
        <v>949</v>
      </c>
      <c r="D1830" t="s">
        <v>1020</v>
      </c>
      <c r="E1830" s="13" t="n">
        <v>0.75</v>
      </c>
      <c r="F1830" s="16" t="n">
        <v>173</v>
      </c>
      <c r="G1830" s="14" t="n">
        <v>0.727721794706997</v>
      </c>
      <c r="H1830" s="15" t="n">
        <v>-0.181441421699751</v>
      </c>
    </row>
    <row r="1831">
      <c r="A1831" t="s">
        <v>30</v>
      </c>
      <c r="B1831" t="s">
        <v>948</v>
      </c>
      <c r="C1831" t="s">
        <v>950</v>
      </c>
      <c r="D1831" t="s">
        <v>1020</v>
      </c>
      <c r="E1831" s="13" t="n">
        <v>0.5</v>
      </c>
      <c r="F1831" s="16" t="n">
        <v>14</v>
      </c>
      <c r="G1831" s="14" t="n">
        <v>0.441473796429463</v>
      </c>
      <c r="H1831" s="15" t="n">
        <v>0.234735781392945</v>
      </c>
    </row>
    <row r="1832">
      <c r="A1832" t="s">
        <v>31</v>
      </c>
      <c r="B1832" t="s">
        <v>1016</v>
      </c>
      <c r="C1832" t="s">
        <v>1017</v>
      </c>
      <c r="D1832" t="s">
        <v>1020</v>
      </c>
      <c r="E1832" s="13" t="n">
        <v>0.75</v>
      </c>
      <c r="F1832" s="16" t="n">
        <v>12</v>
      </c>
      <c r="G1832" s="14" t="n">
        <v>0.685159093231951</v>
      </c>
      <c r="H1832" s="15" t="n">
        <v>0.30505248230685</v>
      </c>
    </row>
    <row r="1833">
      <c r="A1833" t="s">
        <v>31</v>
      </c>
      <c r="B1833" t="s">
        <v>1016</v>
      </c>
      <c r="C1833" t="s">
        <v>1018</v>
      </c>
      <c r="D1833" t="s">
        <v>1020</v>
      </c>
      <c r="E1833" s="13" t="n">
        <v>0.75</v>
      </c>
      <c r="F1833" s="16" t="n">
        <v>5</v>
      </c>
      <c r="G1833" s="14" t="n">
        <v>0.738605814759156</v>
      </c>
      <c r="H1833" s="15" t="n">
        <v>0.130236133250198</v>
      </c>
    </row>
    <row r="1834">
      <c r="A1834" t="s">
        <v>30</v>
      </c>
      <c r="B1834" t="s">
        <v>951</v>
      </c>
      <c r="C1834" t="s">
        <v>952</v>
      </c>
      <c r="D1834" t="s">
        <v>1020</v>
      </c>
      <c r="E1834" s="13" t="n">
        <v>0.5</v>
      </c>
      <c r="F1834" s="16" t="n">
        <v>152</v>
      </c>
      <c r="G1834" s="14" t="n">
        <v>0.279596451735374</v>
      </c>
      <c r="H1834" s="15" t="n">
        <v>-0.414518786277521</v>
      </c>
    </row>
    <row r="1835">
      <c r="A1835" t="s">
        <v>31</v>
      </c>
      <c r="B1835" t="s">
        <v>953</v>
      </c>
      <c r="C1835" t="s">
        <v>954</v>
      </c>
      <c r="D1835" t="s">
        <v>1020</v>
      </c>
      <c r="E1835" s="13" t="n">
        <v>1.25</v>
      </c>
      <c r="F1835" s="16" t="n">
        <v>22</v>
      </c>
      <c r="G1835" s="14" t="n">
        <v>0.899174750423314</v>
      </c>
      <c r="H1835" s="15" t="n">
        <v>0.868322963073747</v>
      </c>
    </row>
    <row r="1836">
      <c r="A1836" t="s">
        <v>31</v>
      </c>
      <c r="B1836" t="s">
        <v>953</v>
      </c>
      <c r="C1836" t="s">
        <v>955</v>
      </c>
      <c r="D1836" t="s">
        <v>1020</v>
      </c>
      <c r="E1836" s="13" t="n">
        <v>1.5</v>
      </c>
      <c r="F1836" s="16" t="n">
        <v>172</v>
      </c>
      <c r="G1836" s="14" t="n">
        <v>1.44189254390748</v>
      </c>
      <c r="H1836" s="15" t="n">
        <v>-0.413456033725498</v>
      </c>
    </row>
    <row r="1837">
      <c r="A1837" t="s">
        <v>30</v>
      </c>
      <c r="B1837" t="s">
        <v>956</v>
      </c>
      <c r="C1837" t="s">
        <v>957</v>
      </c>
      <c r="D1837" t="s">
        <v>1020</v>
      </c>
      <c r="E1837" s="13" t="n">
        <v>0.75</v>
      </c>
      <c r="F1837" s="16" t="n">
        <v>93</v>
      </c>
      <c r="G1837" s="14" t="n">
        <v>-0.745891421526205</v>
      </c>
      <c r="H1837" s="15" t="n">
        <v>-0.0783963474507403</v>
      </c>
    </row>
    <row r="1838">
      <c r="A1838" t="s">
        <v>30</v>
      </c>
      <c r="B1838" t="s">
        <v>958</v>
      </c>
      <c r="C1838" t="s">
        <v>959</v>
      </c>
      <c r="D1838" t="s">
        <v>1020</v>
      </c>
      <c r="E1838" s="13" t="n">
        <v>1.5</v>
      </c>
      <c r="F1838" s="16" t="n">
        <v>166</v>
      </c>
      <c r="G1838" s="14" t="n">
        <v>1.32442138928839</v>
      </c>
      <c r="H1838" s="15" t="n">
        <v>-0.704207344178836</v>
      </c>
    </row>
    <row r="1839">
      <c r="A1839" t="s">
        <v>30</v>
      </c>
      <c r="B1839" t="s">
        <v>394</v>
      </c>
      <c r="C1839" t="s">
        <v>395</v>
      </c>
      <c r="D1839" t="s">
        <v>1021</v>
      </c>
      <c r="E1839" s="13" t="n">
        <v>0.25</v>
      </c>
      <c r="F1839" s="16" t="n">
        <v>27</v>
      </c>
      <c r="G1839" s="14" t="n">
        <v>0.146946313073118</v>
      </c>
      <c r="H1839" s="15" t="n">
        <v>0.202254248593737</v>
      </c>
    </row>
    <row r="1840">
      <c r="A1840" t="s">
        <v>30</v>
      </c>
      <c r="B1840" t="s">
        <v>394</v>
      </c>
      <c r="C1840" t="s">
        <v>397</v>
      </c>
      <c r="D1840" t="s">
        <v>1021</v>
      </c>
      <c r="E1840" s="13" t="n">
        <v>0.25</v>
      </c>
      <c r="F1840" s="16" t="n">
        <v>75</v>
      </c>
      <c r="G1840" s="14" t="n">
        <v>-0.21650635094611</v>
      </c>
      <c r="H1840" s="15" t="n">
        <v>0.125</v>
      </c>
    </row>
    <row r="1841">
      <c r="A1841" t="s">
        <v>30</v>
      </c>
      <c r="B1841" t="s">
        <v>398</v>
      </c>
      <c r="C1841" t="s">
        <v>399</v>
      </c>
      <c r="D1841" t="s">
        <v>1021</v>
      </c>
      <c r="E1841" s="13" t="n">
        <v>0.5</v>
      </c>
      <c r="F1841" s="16" t="n">
        <v>78</v>
      </c>
      <c r="G1841" s="14" t="n">
        <v>-0.4567727288213</v>
      </c>
      <c r="H1841" s="15" t="n">
        <v>0.2033683215379</v>
      </c>
    </row>
    <row r="1842">
      <c r="A1842" t="s">
        <v>31</v>
      </c>
      <c r="B1842" t="s">
        <v>400</v>
      </c>
      <c r="C1842" t="s">
        <v>401</v>
      </c>
      <c r="D1842" t="s">
        <v>1021</v>
      </c>
      <c r="E1842" s="13" t="n">
        <v>0.25</v>
      </c>
      <c r="F1842" s="16" t="n">
        <v>175</v>
      </c>
      <c r="G1842" s="14" t="n">
        <v>0.246201938253052</v>
      </c>
      <c r="H1842" s="15" t="n">
        <v>-0.0434120444167326</v>
      </c>
    </row>
    <row r="1843">
      <c r="A1843" t="s">
        <v>31</v>
      </c>
      <c r="B1843" t="s">
        <v>400</v>
      </c>
      <c r="C1843" t="s">
        <v>402</v>
      </c>
      <c r="D1843" t="s">
        <v>1021</v>
      </c>
      <c r="E1843" s="13" t="n">
        <v>0.25</v>
      </c>
      <c r="F1843" s="16" t="n">
        <v>17</v>
      </c>
      <c r="G1843" s="14" t="n">
        <v>0.20725939313876</v>
      </c>
      <c r="H1843" s="15" t="n">
        <v>0.139798225867687</v>
      </c>
    </row>
    <row r="1844">
      <c r="A1844" t="s">
        <v>30</v>
      </c>
      <c r="B1844" t="s">
        <v>403</v>
      </c>
      <c r="C1844" t="s">
        <v>404</v>
      </c>
      <c r="D1844" t="s">
        <v>1021</v>
      </c>
      <c r="E1844" s="13" t="n">
        <v>0.25</v>
      </c>
      <c r="F1844" s="16" t="n">
        <v>66</v>
      </c>
      <c r="G1844" s="14" t="n">
        <v>-0.167282651589714</v>
      </c>
      <c r="H1844" s="15" t="n">
        <v>0.185786206369349</v>
      </c>
    </row>
    <row r="1845">
      <c r="A1845" t="s">
        <v>30</v>
      </c>
      <c r="B1845" t="s">
        <v>403</v>
      </c>
      <c r="C1845" t="s">
        <v>405</v>
      </c>
      <c r="D1845" t="s">
        <v>1021</v>
      </c>
      <c r="E1845" s="13" t="n">
        <v>0.75</v>
      </c>
      <c r="F1845" s="16" t="n">
        <v>131</v>
      </c>
      <c r="G1845" s="14" t="n">
        <v>-0.104379825720049</v>
      </c>
      <c r="H1845" s="15" t="n">
        <v>-0.742701051556178</v>
      </c>
    </row>
    <row r="1846">
      <c r="A1846" t="s">
        <v>31</v>
      </c>
      <c r="B1846" t="s">
        <v>406</v>
      </c>
      <c r="C1846" t="s">
        <v>407</v>
      </c>
      <c r="D1846" t="s">
        <v>1021</v>
      </c>
      <c r="E1846" s="13" t="n">
        <v>0</v>
      </c>
      <c r="F1846" s="16" t="n">
        <v>100</v>
      </c>
      <c r="G1846" s="14" t="n">
        <v>0</v>
      </c>
      <c r="H1846" s="15" t="n">
        <v>0</v>
      </c>
    </row>
    <row r="1847">
      <c r="A1847" t="s">
        <v>30</v>
      </c>
      <c r="B1847" t="s">
        <v>408</v>
      </c>
      <c r="C1847" t="s">
        <v>409</v>
      </c>
      <c r="D1847" t="s">
        <v>1021</v>
      </c>
      <c r="E1847" s="13" t="n">
        <v>0.25</v>
      </c>
      <c r="F1847" s="16" t="n">
        <v>92</v>
      </c>
      <c r="G1847" s="14" t="n">
        <v>-0.249391012564956</v>
      </c>
      <c r="H1847" s="15" t="n">
        <v>-0.0174391184360313</v>
      </c>
    </row>
    <row r="1848">
      <c r="A1848" t="s">
        <v>30</v>
      </c>
      <c r="B1848" t="s">
        <v>408</v>
      </c>
      <c r="C1848" t="s">
        <v>410</v>
      </c>
      <c r="D1848" t="s">
        <v>1021</v>
      </c>
      <c r="E1848" s="13" t="n">
        <v>0.25</v>
      </c>
      <c r="F1848" s="16" t="n">
        <v>123</v>
      </c>
      <c r="G1848" s="14" t="n">
        <v>-0.10168416076895</v>
      </c>
      <c r="H1848" s="15" t="n">
        <v>-0.22838636441065</v>
      </c>
    </row>
    <row r="1849">
      <c r="A1849" t="s">
        <v>30</v>
      </c>
      <c r="B1849" t="s">
        <v>411</v>
      </c>
      <c r="C1849" t="s">
        <v>412</v>
      </c>
      <c r="D1849" t="s">
        <v>1021</v>
      </c>
      <c r="E1849" s="13" t="n">
        <v>0.25</v>
      </c>
      <c r="F1849" s="16" t="n">
        <v>156</v>
      </c>
      <c r="G1849" s="14" t="n">
        <v>0.167282651589715</v>
      </c>
      <c r="H1849" s="15" t="n">
        <v>-0.185786206369349</v>
      </c>
    </row>
    <row r="1850">
      <c r="A1850" t="s">
        <v>30</v>
      </c>
      <c r="B1850" t="s">
        <v>413</v>
      </c>
      <c r="C1850" t="s">
        <v>414</v>
      </c>
      <c r="D1850" t="s">
        <v>1021</v>
      </c>
      <c r="E1850" s="13" t="n">
        <v>0.25</v>
      </c>
      <c r="F1850" s="16" t="n">
        <v>66</v>
      </c>
      <c r="G1850" s="14" t="n">
        <v>-0.167282651589714</v>
      </c>
      <c r="H1850" s="15" t="n">
        <v>0.185786206369349</v>
      </c>
    </row>
    <row r="1851">
      <c r="A1851" t="s">
        <v>30</v>
      </c>
      <c r="B1851" t="s">
        <v>413</v>
      </c>
      <c r="C1851" t="s">
        <v>415</v>
      </c>
      <c r="D1851" t="s">
        <v>1021</v>
      </c>
      <c r="E1851" s="13" t="n">
        <v>0.25</v>
      </c>
      <c r="F1851" s="16" t="n">
        <v>37</v>
      </c>
      <c r="G1851" s="14" t="n">
        <v>0.0689093389542498</v>
      </c>
      <c r="H1851" s="15" t="n">
        <v>0.24031542398458</v>
      </c>
    </row>
    <row r="1852">
      <c r="A1852" t="s">
        <v>30</v>
      </c>
      <c r="B1852" t="s">
        <v>416</v>
      </c>
      <c r="C1852" t="s">
        <v>417</v>
      </c>
      <c r="D1852" t="s">
        <v>1021</v>
      </c>
      <c r="E1852" s="13" t="n">
        <v>0.25</v>
      </c>
      <c r="F1852" s="16" t="n">
        <v>162</v>
      </c>
      <c r="G1852" s="14" t="n">
        <v>0.202254248593737</v>
      </c>
      <c r="H1852" s="15" t="n">
        <v>-0.146946313073118</v>
      </c>
    </row>
    <row r="1853">
      <c r="A1853" t="s">
        <v>30</v>
      </c>
      <c r="B1853" t="s">
        <v>416</v>
      </c>
      <c r="C1853" t="s">
        <v>418</v>
      </c>
      <c r="D1853" t="s">
        <v>1021</v>
      </c>
      <c r="E1853" s="13" t="n">
        <v>0.25</v>
      </c>
      <c r="F1853" s="16" t="n">
        <v>48</v>
      </c>
      <c r="G1853" s="14" t="n">
        <v>-0.0261321158169133</v>
      </c>
      <c r="H1853" s="15" t="n">
        <v>0.248630473842068</v>
      </c>
    </row>
    <row r="1854">
      <c r="A1854" t="s">
        <v>30</v>
      </c>
      <c r="B1854" t="s">
        <v>419</v>
      </c>
      <c r="C1854" t="s">
        <v>420</v>
      </c>
      <c r="D1854" t="s">
        <v>1021</v>
      </c>
      <c r="E1854" s="13" t="n">
        <v>0</v>
      </c>
      <c r="F1854" s="16" t="n">
        <v>24</v>
      </c>
      <c r="G1854" s="14" t="n">
        <v>0</v>
      </c>
      <c r="H1854" s="15" t="n">
        <v>0</v>
      </c>
    </row>
    <row r="1855">
      <c r="A1855" t="s">
        <v>31</v>
      </c>
      <c r="B1855" t="s">
        <v>421</v>
      </c>
      <c r="C1855" t="s">
        <v>422</v>
      </c>
      <c r="D1855" t="s">
        <v>1021</v>
      </c>
      <c r="E1855" s="13" t="n">
        <v>0.25</v>
      </c>
      <c r="F1855" s="16" t="n">
        <v>136</v>
      </c>
      <c r="G1855" s="14" t="n">
        <v>0.0087248741756251</v>
      </c>
      <c r="H1855" s="15" t="n">
        <v>-0.249847706754774</v>
      </c>
    </row>
    <row r="1856">
      <c r="A1856" t="s">
        <v>31</v>
      </c>
      <c r="B1856" t="s">
        <v>421</v>
      </c>
      <c r="C1856" t="s">
        <v>423</v>
      </c>
      <c r="D1856" t="s">
        <v>1021</v>
      </c>
      <c r="E1856" s="13" t="n">
        <v>0.25</v>
      </c>
      <c r="F1856" s="16" t="n">
        <v>48</v>
      </c>
      <c r="G1856" s="14" t="n">
        <v>-0.0261321158169133</v>
      </c>
      <c r="H1856" s="15" t="n">
        <v>0.248630473842068</v>
      </c>
    </row>
    <row r="1857">
      <c r="A1857" t="s">
        <v>31</v>
      </c>
      <c r="B1857" t="s">
        <v>424</v>
      </c>
      <c r="C1857" t="s">
        <v>425</v>
      </c>
      <c r="D1857" t="s">
        <v>1021</v>
      </c>
      <c r="E1857" s="13" t="n">
        <v>0.5</v>
      </c>
      <c r="F1857" s="16" t="n">
        <v>1</v>
      </c>
      <c r="G1857" s="14" t="n">
        <v>0.499695413509548</v>
      </c>
      <c r="H1857" s="15" t="n">
        <v>0.0174497483512505</v>
      </c>
    </row>
    <row r="1858">
      <c r="A1858" t="s">
        <v>31</v>
      </c>
      <c r="B1858" t="s">
        <v>424</v>
      </c>
      <c r="C1858" t="s">
        <v>426</v>
      </c>
      <c r="D1858" t="s">
        <v>1021</v>
      </c>
      <c r="E1858" s="13" t="n">
        <v>0.25</v>
      </c>
      <c r="F1858" s="16" t="n">
        <v>166</v>
      </c>
      <c r="G1858" s="14" t="n">
        <v>0.220736898214732</v>
      </c>
      <c r="H1858" s="15" t="n">
        <v>-0.117367890696473</v>
      </c>
    </row>
    <row r="1859">
      <c r="A1859" t="s">
        <v>30</v>
      </c>
      <c r="B1859" t="s">
        <v>427</v>
      </c>
      <c r="C1859" t="s">
        <v>428</v>
      </c>
      <c r="D1859" t="s">
        <v>1021</v>
      </c>
      <c r="E1859" s="13" t="n">
        <v>0.5</v>
      </c>
      <c r="F1859" s="16" t="n">
        <v>31</v>
      </c>
      <c r="G1859" s="14" t="n">
        <v>0.234735781392945</v>
      </c>
      <c r="H1859" s="15" t="n">
        <v>0.441473796429463</v>
      </c>
    </row>
    <row r="1860">
      <c r="A1860" t="s">
        <v>30</v>
      </c>
      <c r="B1860" t="s">
        <v>429</v>
      </c>
      <c r="C1860" t="s">
        <v>430</v>
      </c>
      <c r="D1860" t="s">
        <v>1021</v>
      </c>
      <c r="E1860" s="13" t="n">
        <v>0</v>
      </c>
      <c r="F1860" s="16" t="n">
        <v>41</v>
      </c>
      <c r="G1860" s="14" t="n">
        <v>0</v>
      </c>
      <c r="H1860" s="15" t="n">
        <v>0</v>
      </c>
    </row>
    <row r="1861">
      <c r="A1861" t="s">
        <v>31</v>
      </c>
      <c r="B1861" t="s">
        <v>431</v>
      </c>
      <c r="C1861" t="s">
        <v>432</v>
      </c>
      <c r="D1861" t="s">
        <v>1021</v>
      </c>
      <c r="E1861" s="13" t="n">
        <v>0.5</v>
      </c>
      <c r="F1861" s="16" t="n">
        <v>93</v>
      </c>
      <c r="G1861" s="14" t="n">
        <v>-0.497260947684137</v>
      </c>
      <c r="H1861" s="15" t="n">
        <v>-0.0522642316338269</v>
      </c>
    </row>
    <row r="1862">
      <c r="A1862" t="s">
        <v>31</v>
      </c>
      <c r="B1862" t="s">
        <v>431</v>
      </c>
      <c r="C1862" t="s">
        <v>433</v>
      </c>
      <c r="D1862" t="s">
        <v>1021</v>
      </c>
      <c r="E1862" s="13" t="n">
        <v>0.25</v>
      </c>
      <c r="F1862" s="16" t="n">
        <v>97</v>
      </c>
      <c r="G1862" s="14" t="n">
        <v>-0.242573931568999</v>
      </c>
      <c r="H1862" s="15" t="n">
        <v>-0.0604804738999169</v>
      </c>
    </row>
    <row r="1863">
      <c r="A1863" t="s">
        <v>30</v>
      </c>
      <c r="B1863" t="s">
        <v>434</v>
      </c>
      <c r="C1863" t="s">
        <v>435</v>
      </c>
      <c r="D1863" t="s">
        <v>1021</v>
      </c>
      <c r="E1863" s="13" t="n">
        <v>0</v>
      </c>
      <c r="F1863" s="16" t="n">
        <v>174</v>
      </c>
      <c r="G1863" s="14" t="n">
        <v>0</v>
      </c>
      <c r="H1863" s="15" t="n">
        <v>0</v>
      </c>
    </row>
    <row r="1864">
      <c r="A1864" t="s">
        <v>30</v>
      </c>
      <c r="B1864" t="s">
        <v>434</v>
      </c>
      <c r="C1864" t="s">
        <v>436</v>
      </c>
      <c r="D1864" t="s">
        <v>1021</v>
      </c>
      <c r="E1864" s="13" t="n">
        <v>0</v>
      </c>
      <c r="F1864" s="16" t="n">
        <v>132</v>
      </c>
      <c r="G1864" s="14" t="n">
        <v>0</v>
      </c>
      <c r="H1864" s="15" t="n">
        <v>0</v>
      </c>
    </row>
    <row r="1865">
      <c r="A1865" t="s">
        <v>30</v>
      </c>
      <c r="B1865" t="s">
        <v>437</v>
      </c>
      <c r="C1865" t="s">
        <v>438</v>
      </c>
      <c r="D1865" t="s">
        <v>1021</v>
      </c>
      <c r="E1865" s="13" t="n">
        <v>0.5</v>
      </c>
      <c r="F1865" s="16" t="n">
        <v>37</v>
      </c>
      <c r="G1865" s="14" t="n">
        <v>0.1378186779085</v>
      </c>
      <c r="H1865" s="15" t="n">
        <v>0.480630847969159</v>
      </c>
    </row>
    <row r="1866">
      <c r="A1866" t="s">
        <v>30</v>
      </c>
      <c r="B1866" t="s">
        <v>437</v>
      </c>
      <c r="C1866" t="s">
        <v>439</v>
      </c>
      <c r="D1866" t="s">
        <v>1021</v>
      </c>
      <c r="E1866" s="13" t="n">
        <v>0.25</v>
      </c>
      <c r="F1866" s="16" t="n">
        <v>164</v>
      </c>
      <c r="G1866" s="14" t="n">
        <v>0.212012024039106</v>
      </c>
      <c r="H1866" s="15" t="n">
        <v>-0.132479816058301</v>
      </c>
    </row>
    <row r="1867">
      <c r="A1867" t="s">
        <v>30</v>
      </c>
      <c r="B1867" t="s">
        <v>440</v>
      </c>
      <c r="C1867" t="s">
        <v>441</v>
      </c>
      <c r="D1867" t="s">
        <v>1021</v>
      </c>
      <c r="E1867" s="13" t="n">
        <v>0.5</v>
      </c>
      <c r="F1867" s="16" t="n">
        <v>172</v>
      </c>
      <c r="G1867" s="14" t="n">
        <v>0.480630847969159</v>
      </c>
      <c r="H1867" s="15" t="n">
        <v>-0.137818677908499</v>
      </c>
    </row>
    <row r="1868">
      <c r="A1868" t="s">
        <v>30</v>
      </c>
      <c r="B1868" t="s">
        <v>440</v>
      </c>
      <c r="C1868" t="s">
        <v>442</v>
      </c>
      <c r="D1868" t="s">
        <v>1021</v>
      </c>
      <c r="E1868" s="13" t="n">
        <v>0.25</v>
      </c>
      <c r="F1868" s="16" t="n">
        <v>117</v>
      </c>
      <c r="G1868" s="14" t="n">
        <v>-0.146946313073118</v>
      </c>
      <c r="H1868" s="15" t="n">
        <v>-0.202254248593737</v>
      </c>
    </row>
    <row r="1869">
      <c r="A1869" t="s">
        <v>30</v>
      </c>
      <c r="B1869" t="s">
        <v>443</v>
      </c>
      <c r="C1869" t="s">
        <v>444</v>
      </c>
      <c r="D1869" t="s">
        <v>1021</v>
      </c>
      <c r="E1869" s="13" t="n">
        <v>0.25</v>
      </c>
      <c r="F1869" s="16" t="n">
        <v>15</v>
      </c>
      <c r="G1869" s="14" t="n">
        <v>0.21650635094611</v>
      </c>
      <c r="H1869" s="15" t="n">
        <v>0.125</v>
      </c>
    </row>
    <row r="1870">
      <c r="A1870" t="s">
        <v>30</v>
      </c>
      <c r="B1870" t="s">
        <v>443</v>
      </c>
      <c r="C1870" t="s">
        <v>445</v>
      </c>
      <c r="D1870" t="s">
        <v>1021</v>
      </c>
      <c r="E1870" s="13" t="n">
        <v>0.25</v>
      </c>
      <c r="F1870" s="16" t="n">
        <v>161</v>
      </c>
      <c r="G1870" s="14" t="n">
        <v>0.197002688401681</v>
      </c>
      <c r="H1870" s="15" t="n">
        <v>-0.153915368831415</v>
      </c>
    </row>
    <row r="1871">
      <c r="A1871" t="s">
        <v>31</v>
      </c>
      <c r="B1871" t="s">
        <v>446</v>
      </c>
      <c r="C1871" t="s">
        <v>447</v>
      </c>
      <c r="D1871" t="s">
        <v>1021</v>
      </c>
      <c r="E1871" s="13" t="n">
        <v>0.5</v>
      </c>
      <c r="F1871" s="16" t="n">
        <v>4</v>
      </c>
      <c r="G1871" s="14" t="n">
        <v>0.495134034370785</v>
      </c>
      <c r="H1871" s="15" t="n">
        <v>0.0695865504800327</v>
      </c>
    </row>
    <row r="1872">
      <c r="A1872" t="s">
        <v>30</v>
      </c>
      <c r="B1872" t="s">
        <v>448</v>
      </c>
      <c r="C1872" t="s">
        <v>449</v>
      </c>
      <c r="D1872" t="s">
        <v>1021</v>
      </c>
      <c r="E1872" s="13" t="n">
        <v>0</v>
      </c>
      <c r="F1872" s="16" t="n">
        <v>69</v>
      </c>
      <c r="G1872" s="14" t="n">
        <v>0</v>
      </c>
      <c r="H1872" s="15" t="n">
        <v>0</v>
      </c>
    </row>
    <row r="1873">
      <c r="A1873" t="s">
        <v>31</v>
      </c>
      <c r="B1873" t="s">
        <v>450</v>
      </c>
      <c r="C1873" t="s">
        <v>451</v>
      </c>
      <c r="D1873" t="s">
        <v>1021</v>
      </c>
      <c r="E1873" s="13" t="n">
        <v>0.25</v>
      </c>
      <c r="F1873" s="16" t="n">
        <v>87</v>
      </c>
      <c r="G1873" s="14" t="n">
        <v>-0.248630473842068</v>
      </c>
      <c r="H1873" s="15" t="n">
        <v>0.0261321158169134</v>
      </c>
    </row>
    <row r="1874">
      <c r="A1874" t="s">
        <v>31</v>
      </c>
      <c r="B1874" t="s">
        <v>450</v>
      </c>
      <c r="C1874" t="s">
        <v>452</v>
      </c>
      <c r="D1874" t="s">
        <v>1021</v>
      </c>
      <c r="E1874" s="13" t="n">
        <v>0.25</v>
      </c>
      <c r="F1874" s="16" t="n">
        <v>91</v>
      </c>
      <c r="G1874" s="14" t="n">
        <v>-0.249847706754774</v>
      </c>
      <c r="H1874" s="15" t="n">
        <v>-0.00872487417562529</v>
      </c>
    </row>
    <row r="1875">
      <c r="A1875" t="s">
        <v>30</v>
      </c>
      <c r="B1875" t="s">
        <v>453</v>
      </c>
      <c r="C1875" t="s">
        <v>454</v>
      </c>
      <c r="D1875" t="s">
        <v>1021</v>
      </c>
      <c r="E1875" s="13" t="n">
        <v>0.25</v>
      </c>
      <c r="F1875" s="16" t="n">
        <v>84</v>
      </c>
      <c r="G1875" s="14" t="n">
        <v>-0.244536900183451</v>
      </c>
      <c r="H1875" s="15" t="n">
        <v>0.0519779227044398</v>
      </c>
    </row>
    <row r="1876">
      <c r="A1876" t="s">
        <v>30</v>
      </c>
      <c r="B1876" t="s">
        <v>455</v>
      </c>
      <c r="C1876" t="s">
        <v>456</v>
      </c>
      <c r="D1876" t="s">
        <v>1021</v>
      </c>
      <c r="E1876" s="13" t="n">
        <v>0.25</v>
      </c>
      <c r="F1876" s="16" t="n">
        <v>157</v>
      </c>
      <c r="G1876" s="14" t="n">
        <v>0.173664592614749</v>
      </c>
      <c r="H1876" s="15" t="n">
        <v>-0.179834950084663</v>
      </c>
    </row>
    <row r="1877">
      <c r="A1877" t="s">
        <v>31</v>
      </c>
      <c r="B1877" t="s">
        <v>457</v>
      </c>
      <c r="C1877" t="s">
        <v>458</v>
      </c>
      <c r="D1877" t="s">
        <v>1021</v>
      </c>
      <c r="E1877" s="13" t="n">
        <v>0.25</v>
      </c>
      <c r="F1877" s="16" t="n">
        <v>121</v>
      </c>
      <c r="G1877" s="14" t="n">
        <v>-0.117367890696473</v>
      </c>
      <c r="H1877" s="15" t="n">
        <v>-0.220736898214732</v>
      </c>
    </row>
    <row r="1878">
      <c r="A1878" t="s">
        <v>31</v>
      </c>
      <c r="B1878" t="s">
        <v>459</v>
      </c>
      <c r="C1878" t="s">
        <v>460</v>
      </c>
      <c r="D1878" t="s">
        <v>1021</v>
      </c>
      <c r="E1878" s="13" t="n">
        <v>0.5</v>
      </c>
      <c r="F1878" s="16" t="n">
        <v>70</v>
      </c>
      <c r="G1878" s="14" t="n">
        <v>-0.383022221559489</v>
      </c>
      <c r="H1878" s="15" t="n">
        <v>0.32139380484327</v>
      </c>
    </row>
    <row r="1879">
      <c r="A1879" t="s">
        <v>31</v>
      </c>
      <c r="B1879" t="s">
        <v>459</v>
      </c>
      <c r="C1879" t="s">
        <v>461</v>
      </c>
      <c r="D1879" t="s">
        <v>1021</v>
      </c>
      <c r="E1879" s="13" t="n">
        <v>0.25</v>
      </c>
      <c r="F1879" s="16" t="n">
        <v>136</v>
      </c>
      <c r="G1879" s="14" t="n">
        <v>0.0087248741756251</v>
      </c>
      <c r="H1879" s="15" t="n">
        <v>-0.249847706754774</v>
      </c>
    </row>
    <row r="1880">
      <c r="A1880" t="s">
        <v>31</v>
      </c>
      <c r="B1880" t="s">
        <v>462</v>
      </c>
      <c r="C1880" t="s">
        <v>463</v>
      </c>
      <c r="D1880" t="s">
        <v>1021</v>
      </c>
      <c r="E1880" s="13" t="n">
        <v>0.25</v>
      </c>
      <c r="F1880" s="16" t="n">
        <v>176</v>
      </c>
      <c r="G1880" s="14" t="n">
        <v>0.247567017185393</v>
      </c>
      <c r="H1880" s="15" t="n">
        <v>-0.0347932752400164</v>
      </c>
    </row>
    <row r="1881">
      <c r="A1881" t="s">
        <v>31</v>
      </c>
      <c r="B1881" t="s">
        <v>462</v>
      </c>
      <c r="C1881" t="s">
        <v>464</v>
      </c>
      <c r="D1881" t="s">
        <v>1021</v>
      </c>
      <c r="E1881" s="13" t="n">
        <v>0.25</v>
      </c>
      <c r="F1881" s="16" t="n">
        <v>150</v>
      </c>
      <c r="G1881" s="14" t="n">
        <v>0.125</v>
      </c>
      <c r="H1881" s="15" t="n">
        <v>-0.21650635094611</v>
      </c>
    </row>
    <row r="1882">
      <c r="A1882" t="s">
        <v>30</v>
      </c>
      <c r="B1882" t="s">
        <v>465</v>
      </c>
      <c r="C1882" t="s">
        <v>466</v>
      </c>
      <c r="D1882" t="s">
        <v>1021</v>
      </c>
      <c r="E1882" s="13" t="n">
        <v>0.25</v>
      </c>
      <c r="F1882" s="16" t="n">
        <v>20</v>
      </c>
      <c r="G1882" s="14" t="n">
        <v>0.191511110779745</v>
      </c>
      <c r="H1882" s="15" t="n">
        <v>0.160696902421635</v>
      </c>
    </row>
    <row r="1883">
      <c r="A1883" t="s">
        <v>30</v>
      </c>
      <c r="B1883" t="s">
        <v>465</v>
      </c>
      <c r="C1883" t="s">
        <v>467</v>
      </c>
      <c r="D1883" t="s">
        <v>1021</v>
      </c>
      <c r="E1883" s="13" t="n">
        <v>0.25</v>
      </c>
      <c r="F1883" s="16" t="n">
        <v>52</v>
      </c>
      <c r="G1883" s="14" t="n">
        <v>-0.0604804738999169</v>
      </c>
      <c r="H1883" s="15" t="n">
        <v>0.242573931568999</v>
      </c>
    </row>
    <row r="1884">
      <c r="A1884" t="s">
        <v>30</v>
      </c>
      <c r="B1884" t="s">
        <v>468</v>
      </c>
      <c r="C1884" t="s">
        <v>469</v>
      </c>
      <c r="D1884" t="s">
        <v>1021</v>
      </c>
      <c r="E1884" s="13" t="n">
        <v>0.25</v>
      </c>
      <c r="F1884" s="16" t="n">
        <v>142</v>
      </c>
      <c r="G1884" s="14" t="n">
        <v>0.0604804738999169</v>
      </c>
      <c r="H1884" s="15" t="n">
        <v>-0.242573931568999</v>
      </c>
    </row>
    <row r="1885">
      <c r="A1885" t="s">
        <v>31</v>
      </c>
      <c r="B1885" t="s">
        <v>470</v>
      </c>
      <c r="C1885" t="s">
        <v>471</v>
      </c>
      <c r="D1885" t="s">
        <v>1021</v>
      </c>
      <c r="E1885" s="13" t="n">
        <v>0.25</v>
      </c>
      <c r="F1885" s="16" t="n">
        <v>48</v>
      </c>
      <c r="G1885" s="14" t="n">
        <v>-0.0261321158169133</v>
      </c>
      <c r="H1885" s="15" t="n">
        <v>0.248630473842068</v>
      </c>
    </row>
    <row r="1886">
      <c r="A1886" t="s">
        <v>31</v>
      </c>
      <c r="B1886" t="s">
        <v>472</v>
      </c>
      <c r="C1886" t="s">
        <v>473</v>
      </c>
      <c r="D1886" t="s">
        <v>1021</v>
      </c>
      <c r="E1886" s="13" t="n">
        <v>0.25</v>
      </c>
      <c r="F1886" s="16" t="n">
        <v>49</v>
      </c>
      <c r="G1886" s="14" t="n">
        <v>-0.0347932752400163</v>
      </c>
      <c r="H1886" s="15" t="n">
        <v>0.247567017185393</v>
      </c>
    </row>
    <row r="1887">
      <c r="A1887" t="s">
        <v>30</v>
      </c>
      <c r="B1887" t="s">
        <v>474</v>
      </c>
      <c r="C1887" t="s">
        <v>475</v>
      </c>
      <c r="D1887" t="s">
        <v>1021</v>
      </c>
      <c r="E1887" s="13" t="n">
        <v>0</v>
      </c>
      <c r="F1887" s="16" t="n">
        <v>148</v>
      </c>
      <c r="G1887" s="14" t="n">
        <v>0</v>
      </c>
      <c r="H1887" s="15" t="n">
        <v>0</v>
      </c>
    </row>
    <row r="1888">
      <c r="A1888" t="s">
        <v>30</v>
      </c>
      <c r="B1888" t="s">
        <v>474</v>
      </c>
      <c r="C1888" t="s">
        <v>476</v>
      </c>
      <c r="D1888" t="s">
        <v>1021</v>
      </c>
      <c r="E1888" s="13" t="n">
        <v>0.25</v>
      </c>
      <c r="F1888" s="16" t="n">
        <v>165</v>
      </c>
      <c r="G1888" s="14" t="n">
        <v>0.21650635094611</v>
      </c>
      <c r="H1888" s="15" t="n">
        <v>-0.125</v>
      </c>
    </row>
    <row r="1889">
      <c r="A1889" t="s">
        <v>30</v>
      </c>
      <c r="B1889" t="s">
        <v>477</v>
      </c>
      <c r="C1889" t="s">
        <v>478</v>
      </c>
      <c r="D1889" t="s">
        <v>1021</v>
      </c>
      <c r="E1889" s="13" t="n">
        <v>0.25</v>
      </c>
      <c r="F1889" s="16" t="n">
        <v>70</v>
      </c>
      <c r="G1889" s="14" t="n">
        <v>-0.191511110779744</v>
      </c>
      <c r="H1889" s="15" t="n">
        <v>0.160696902421635</v>
      </c>
    </row>
    <row r="1890">
      <c r="A1890" t="s">
        <v>30</v>
      </c>
      <c r="B1890" t="s">
        <v>477</v>
      </c>
      <c r="C1890" t="s">
        <v>479</v>
      </c>
      <c r="D1890" t="s">
        <v>1021</v>
      </c>
      <c r="E1890" s="13" t="n">
        <v>0.25</v>
      </c>
      <c r="F1890" s="16" t="n">
        <v>108</v>
      </c>
      <c r="G1890" s="14" t="n">
        <v>-0.202254248593737</v>
      </c>
      <c r="H1890" s="15" t="n">
        <v>-0.146946313073118</v>
      </c>
    </row>
    <row r="1891">
      <c r="A1891" t="s">
        <v>30</v>
      </c>
      <c r="B1891" t="s">
        <v>480</v>
      </c>
      <c r="C1891" t="s">
        <v>481</v>
      </c>
      <c r="D1891" t="s">
        <v>1021</v>
      </c>
      <c r="E1891" s="13" t="n">
        <v>0.5</v>
      </c>
      <c r="F1891" s="16" t="n">
        <v>106</v>
      </c>
      <c r="G1891" s="14" t="n">
        <v>-0.424024048078213</v>
      </c>
      <c r="H1891" s="15" t="n">
        <v>-0.264959632116602</v>
      </c>
    </row>
    <row r="1892">
      <c r="A1892" t="s">
        <v>30</v>
      </c>
      <c r="B1892" t="s">
        <v>480</v>
      </c>
      <c r="C1892" t="s">
        <v>482</v>
      </c>
      <c r="D1892" t="s">
        <v>1021</v>
      </c>
      <c r="E1892" s="13" t="n">
        <v>0</v>
      </c>
      <c r="F1892" s="16" t="n">
        <v>21</v>
      </c>
      <c r="G1892" s="14" t="n">
        <v>0</v>
      </c>
      <c r="H1892" s="15" t="n">
        <v>0</v>
      </c>
    </row>
    <row r="1893">
      <c r="A1893" t="s">
        <v>30</v>
      </c>
      <c r="B1893" t="s">
        <v>483</v>
      </c>
      <c r="C1893" t="s">
        <v>484</v>
      </c>
      <c r="D1893" t="s">
        <v>1021</v>
      </c>
      <c r="E1893" s="13" t="n">
        <v>0.5</v>
      </c>
      <c r="F1893" s="16" t="n">
        <v>43</v>
      </c>
      <c r="G1893" s="14" t="n">
        <v>0.0348782368720626</v>
      </c>
      <c r="H1893" s="15" t="n">
        <v>0.498782025129912</v>
      </c>
    </row>
    <row r="1894">
      <c r="A1894" t="s">
        <v>30</v>
      </c>
      <c r="B1894" t="s">
        <v>483</v>
      </c>
      <c r="C1894" t="s">
        <v>485</v>
      </c>
      <c r="D1894" t="s">
        <v>1021</v>
      </c>
      <c r="E1894" s="13" t="n">
        <v>0.25</v>
      </c>
      <c r="F1894" s="16" t="n">
        <v>148</v>
      </c>
      <c r="G1894" s="14" t="n">
        <v>0.109592786697269</v>
      </c>
      <c r="H1894" s="15" t="n">
        <v>-0.224698511574792</v>
      </c>
    </row>
    <row r="1895">
      <c r="A1895" t="s">
        <v>30</v>
      </c>
      <c r="B1895" t="s">
        <v>486</v>
      </c>
      <c r="C1895" t="s">
        <v>487</v>
      </c>
      <c r="D1895" t="s">
        <v>1021</v>
      </c>
      <c r="E1895" s="13" t="n">
        <v>0.25</v>
      </c>
      <c r="F1895" s="16" t="n">
        <v>156</v>
      </c>
      <c r="G1895" s="14" t="n">
        <v>0.167282651589715</v>
      </c>
      <c r="H1895" s="15" t="n">
        <v>-0.185786206369349</v>
      </c>
    </row>
    <row r="1896">
      <c r="A1896" t="s">
        <v>30</v>
      </c>
      <c r="B1896" t="s">
        <v>486</v>
      </c>
      <c r="C1896" t="s">
        <v>488</v>
      </c>
      <c r="D1896" t="s">
        <v>1021</v>
      </c>
      <c r="E1896" s="13" t="n">
        <v>0</v>
      </c>
      <c r="F1896" s="16" t="n">
        <v>88</v>
      </c>
      <c r="G1896" s="14" t="n">
        <v>0</v>
      </c>
      <c r="H1896" s="15" t="n">
        <v>0</v>
      </c>
    </row>
    <row r="1897">
      <c r="A1897" t="s">
        <v>30</v>
      </c>
      <c r="B1897" t="s">
        <v>489</v>
      </c>
      <c r="C1897" t="s">
        <v>490</v>
      </c>
      <c r="D1897" t="s">
        <v>1021</v>
      </c>
      <c r="E1897" s="13" t="n">
        <v>0.5</v>
      </c>
      <c r="F1897" s="16" t="n">
        <v>4</v>
      </c>
      <c r="G1897" s="14" t="n">
        <v>0.495134034370785</v>
      </c>
      <c r="H1897" s="15" t="n">
        <v>0.0695865504800327</v>
      </c>
    </row>
    <row r="1898">
      <c r="A1898" t="s">
        <v>30</v>
      </c>
      <c r="B1898" t="s">
        <v>489</v>
      </c>
      <c r="C1898" t="s">
        <v>491</v>
      </c>
      <c r="D1898" t="s">
        <v>1021</v>
      </c>
      <c r="E1898" s="13" t="n">
        <v>0.25</v>
      </c>
      <c r="F1898" s="16" t="n">
        <v>175</v>
      </c>
      <c r="G1898" s="14" t="n">
        <v>0.246201938253052</v>
      </c>
      <c r="H1898" s="15" t="n">
        <v>-0.0434120444167326</v>
      </c>
    </row>
    <row r="1899">
      <c r="A1899" t="s">
        <v>31</v>
      </c>
      <c r="B1899" t="s">
        <v>492</v>
      </c>
      <c r="C1899" t="s">
        <v>493</v>
      </c>
      <c r="D1899" t="s">
        <v>1021</v>
      </c>
      <c r="E1899" s="13" t="n">
        <v>0.25</v>
      </c>
      <c r="F1899" s="16" t="n">
        <v>163</v>
      </c>
      <c r="G1899" s="14" t="n">
        <v>0.20725939313876</v>
      </c>
      <c r="H1899" s="15" t="n">
        <v>-0.139798225867687</v>
      </c>
    </row>
    <row r="1900">
      <c r="A1900" t="s">
        <v>31</v>
      </c>
      <c r="B1900" t="s">
        <v>492</v>
      </c>
      <c r="C1900" t="s">
        <v>494</v>
      </c>
      <c r="D1900" t="s">
        <v>1021</v>
      </c>
      <c r="E1900" s="13" t="n">
        <v>0</v>
      </c>
      <c r="F1900" s="16" t="n">
        <v>37</v>
      </c>
      <c r="G1900" s="14" t="n">
        <v>0</v>
      </c>
      <c r="H1900" s="15" t="n">
        <v>0</v>
      </c>
    </row>
    <row r="1901">
      <c r="A1901" t="s">
        <v>30</v>
      </c>
      <c r="B1901" t="s">
        <v>495</v>
      </c>
      <c r="C1901" t="s">
        <v>496</v>
      </c>
      <c r="D1901" t="s">
        <v>1021</v>
      </c>
      <c r="E1901" s="13" t="n">
        <v>0.25</v>
      </c>
      <c r="F1901" s="16" t="n">
        <v>85</v>
      </c>
      <c r="G1901" s="14" t="n">
        <v>-0.246201938253052</v>
      </c>
      <c r="H1901" s="15" t="n">
        <v>0.0434120444167327</v>
      </c>
    </row>
    <row r="1902">
      <c r="A1902" t="s">
        <v>30</v>
      </c>
      <c r="B1902" t="s">
        <v>497</v>
      </c>
      <c r="C1902" t="s">
        <v>498</v>
      </c>
      <c r="D1902" t="s">
        <v>1021</v>
      </c>
      <c r="E1902" s="13" t="n">
        <v>0.25</v>
      </c>
      <c r="F1902" s="16" t="n">
        <v>120</v>
      </c>
      <c r="G1902" s="14" t="n">
        <v>-0.125</v>
      </c>
      <c r="H1902" s="15" t="n">
        <v>-0.21650635094611</v>
      </c>
    </row>
    <row r="1903">
      <c r="A1903" t="s">
        <v>30</v>
      </c>
      <c r="B1903" t="s">
        <v>497</v>
      </c>
      <c r="C1903" t="s">
        <v>499</v>
      </c>
      <c r="D1903" t="s">
        <v>1021</v>
      </c>
      <c r="E1903" s="13" t="n">
        <v>0.25</v>
      </c>
      <c r="F1903" s="16" t="n">
        <v>87</v>
      </c>
      <c r="G1903" s="14" t="n">
        <v>-0.248630473842068</v>
      </c>
      <c r="H1903" s="15" t="n">
        <v>0.0261321158169134</v>
      </c>
    </row>
    <row r="1904">
      <c r="A1904" t="s">
        <v>30</v>
      </c>
      <c r="B1904" t="s">
        <v>500</v>
      </c>
      <c r="C1904" t="s">
        <v>501</v>
      </c>
      <c r="D1904" t="s">
        <v>1021</v>
      </c>
      <c r="E1904" s="13" t="n">
        <v>0.25</v>
      </c>
      <c r="F1904" s="16" t="n">
        <v>178</v>
      </c>
      <c r="G1904" s="14" t="n">
        <v>0.249391012564956</v>
      </c>
      <c r="H1904" s="15" t="n">
        <v>-0.0174391184360313</v>
      </c>
    </row>
    <row r="1905">
      <c r="A1905" t="s">
        <v>30</v>
      </c>
      <c r="B1905" t="s">
        <v>500</v>
      </c>
      <c r="C1905" t="s">
        <v>502</v>
      </c>
      <c r="D1905" t="s">
        <v>1021</v>
      </c>
      <c r="E1905" s="13" t="n">
        <v>0.25</v>
      </c>
      <c r="F1905" s="16" t="n">
        <v>172</v>
      </c>
      <c r="G1905" s="14" t="n">
        <v>0.24031542398458</v>
      </c>
      <c r="H1905" s="15" t="n">
        <v>-0.0689093389542497</v>
      </c>
    </row>
    <row r="1906">
      <c r="A1906" t="s">
        <v>31</v>
      </c>
      <c r="B1906" t="s">
        <v>503</v>
      </c>
      <c r="C1906" t="s">
        <v>504</v>
      </c>
      <c r="D1906" t="s">
        <v>1021</v>
      </c>
      <c r="E1906" s="13" t="n">
        <v>0.25</v>
      </c>
      <c r="F1906" s="16" t="n">
        <v>103</v>
      </c>
      <c r="G1906" s="14" t="n">
        <v>-0.224698511574792</v>
      </c>
      <c r="H1906" s="15" t="n">
        <v>-0.109592786697269</v>
      </c>
    </row>
    <row r="1907">
      <c r="A1907" t="s">
        <v>31</v>
      </c>
      <c r="B1907" t="s">
        <v>503</v>
      </c>
      <c r="C1907" t="s">
        <v>505</v>
      </c>
      <c r="D1907" t="s">
        <v>1021</v>
      </c>
      <c r="E1907" s="13" t="n">
        <v>0.25</v>
      </c>
      <c r="F1907" s="16" t="n">
        <v>28</v>
      </c>
      <c r="G1907" s="14" t="n">
        <v>0.139798225867687</v>
      </c>
      <c r="H1907" s="15" t="n">
        <v>0.20725939313876</v>
      </c>
    </row>
    <row r="1908">
      <c r="A1908" t="s">
        <v>30</v>
      </c>
      <c r="B1908" t="s">
        <v>506</v>
      </c>
      <c r="C1908" t="s">
        <v>507</v>
      </c>
      <c r="D1908" t="s">
        <v>1021</v>
      </c>
      <c r="E1908" s="13" t="n">
        <v>0.25</v>
      </c>
      <c r="F1908" s="16" t="n">
        <v>133</v>
      </c>
      <c r="G1908" s="14" t="n">
        <v>-0.0174391184360314</v>
      </c>
      <c r="H1908" s="15" t="n">
        <v>-0.249391012564956</v>
      </c>
    </row>
    <row r="1909">
      <c r="A1909" t="s">
        <v>30</v>
      </c>
      <c r="B1909" t="s">
        <v>506</v>
      </c>
      <c r="C1909" t="s">
        <v>508</v>
      </c>
      <c r="D1909" t="s">
        <v>1021</v>
      </c>
      <c r="E1909" s="13" t="n">
        <v>0.5</v>
      </c>
      <c r="F1909" s="16" t="n">
        <v>24</v>
      </c>
      <c r="G1909" s="14" t="n">
        <v>0.334565303179429</v>
      </c>
      <c r="H1909" s="15" t="n">
        <v>0.371572412738697</v>
      </c>
    </row>
    <row r="1910">
      <c r="A1910" t="s">
        <v>31</v>
      </c>
      <c r="B1910" t="s">
        <v>509</v>
      </c>
      <c r="C1910" t="s">
        <v>510</v>
      </c>
      <c r="D1910" t="s">
        <v>1021</v>
      </c>
      <c r="E1910" s="13" t="n">
        <v>0.25</v>
      </c>
      <c r="F1910" s="16" t="n">
        <v>2</v>
      </c>
      <c r="G1910" s="14" t="n">
        <v>0.249391012564956</v>
      </c>
      <c r="H1910" s="15" t="n">
        <v>0.0174391184360313</v>
      </c>
    </row>
    <row r="1911">
      <c r="A1911" t="s">
        <v>31</v>
      </c>
      <c r="B1911" t="s">
        <v>509</v>
      </c>
      <c r="C1911" t="s">
        <v>511</v>
      </c>
      <c r="D1911" t="s">
        <v>1021</v>
      </c>
      <c r="E1911" s="13" t="n">
        <v>0.25</v>
      </c>
      <c r="F1911" s="16" t="n">
        <v>168</v>
      </c>
      <c r="G1911" s="14" t="n">
        <v>0.22838636441065</v>
      </c>
      <c r="H1911" s="15" t="n">
        <v>-0.10168416076895</v>
      </c>
    </row>
    <row r="1912">
      <c r="A1912" t="s">
        <v>30</v>
      </c>
      <c r="B1912" t="s">
        <v>512</v>
      </c>
      <c r="C1912" t="s">
        <v>513</v>
      </c>
      <c r="D1912" t="s">
        <v>1021</v>
      </c>
      <c r="E1912" s="13" t="n">
        <v>0.5</v>
      </c>
      <c r="F1912" s="16" t="n">
        <v>156</v>
      </c>
      <c r="G1912" s="14" t="n">
        <v>0.334565303179429</v>
      </c>
      <c r="H1912" s="15" t="n">
        <v>-0.371572412738697</v>
      </c>
    </row>
    <row r="1913">
      <c r="A1913" t="s">
        <v>30</v>
      </c>
      <c r="B1913" t="s">
        <v>512</v>
      </c>
      <c r="C1913" t="s">
        <v>514</v>
      </c>
      <c r="D1913" t="s">
        <v>1021</v>
      </c>
      <c r="E1913" s="13" t="n">
        <v>0.5</v>
      </c>
      <c r="F1913" s="16" t="n">
        <v>24</v>
      </c>
      <c r="G1913" s="14" t="n">
        <v>0.334565303179429</v>
      </c>
      <c r="H1913" s="15" t="n">
        <v>0.371572412738697</v>
      </c>
    </row>
    <row r="1914">
      <c r="A1914" t="s">
        <v>30</v>
      </c>
      <c r="B1914" t="s">
        <v>515</v>
      </c>
      <c r="C1914" t="s">
        <v>516</v>
      </c>
      <c r="D1914" t="s">
        <v>1021</v>
      </c>
      <c r="E1914" s="13" t="n">
        <v>0</v>
      </c>
      <c r="F1914" s="16" t="n">
        <v>141</v>
      </c>
      <c r="G1914" s="14" t="n">
        <v>0</v>
      </c>
      <c r="H1914" s="15" t="n">
        <v>0</v>
      </c>
    </row>
    <row r="1915">
      <c r="A1915" t="s">
        <v>30</v>
      </c>
      <c r="B1915" t="s">
        <v>515</v>
      </c>
      <c r="C1915" t="s">
        <v>517</v>
      </c>
      <c r="D1915" t="s">
        <v>1021</v>
      </c>
      <c r="E1915" s="13" t="n">
        <v>0</v>
      </c>
      <c r="F1915" s="16" t="n">
        <v>9</v>
      </c>
      <c r="G1915" s="14" t="n">
        <v>0</v>
      </c>
      <c r="H1915" s="15" t="n">
        <v>0</v>
      </c>
    </row>
    <row r="1916">
      <c r="A1916" t="s">
        <v>30</v>
      </c>
      <c r="B1916" t="s">
        <v>518</v>
      </c>
      <c r="C1916" t="s">
        <v>519</v>
      </c>
      <c r="D1916" t="s">
        <v>1021</v>
      </c>
      <c r="E1916" s="13" t="n">
        <v>0.25</v>
      </c>
      <c r="F1916" s="16" t="n">
        <v>37</v>
      </c>
      <c r="G1916" s="14" t="n">
        <v>0.0689093389542498</v>
      </c>
      <c r="H1916" s="15" t="n">
        <v>0.24031542398458</v>
      </c>
    </row>
    <row r="1917">
      <c r="A1917" t="s">
        <v>30</v>
      </c>
      <c r="B1917" t="s">
        <v>518</v>
      </c>
      <c r="C1917" t="s">
        <v>520</v>
      </c>
      <c r="D1917" t="s">
        <v>1021</v>
      </c>
      <c r="E1917" s="13" t="n">
        <v>0.25</v>
      </c>
      <c r="F1917" s="16" t="n">
        <v>2</v>
      </c>
      <c r="G1917" s="14" t="n">
        <v>0.249391012564956</v>
      </c>
      <c r="H1917" s="15" t="n">
        <v>0.0174391184360313</v>
      </c>
    </row>
    <row r="1918">
      <c r="A1918" t="s">
        <v>31</v>
      </c>
      <c r="B1918" t="s">
        <v>521</v>
      </c>
      <c r="C1918" t="s">
        <v>522</v>
      </c>
      <c r="D1918" t="s">
        <v>1021</v>
      </c>
      <c r="E1918" s="13" t="n">
        <v>0.25</v>
      </c>
      <c r="F1918" s="16" t="n">
        <v>45</v>
      </c>
      <c r="G1918" s="14" t="n">
        <v>0</v>
      </c>
      <c r="H1918" s="15" t="n">
        <v>0.25</v>
      </c>
    </row>
    <row r="1919">
      <c r="A1919" t="s">
        <v>31</v>
      </c>
      <c r="B1919" t="s">
        <v>521</v>
      </c>
      <c r="C1919" t="s">
        <v>523</v>
      </c>
      <c r="D1919" t="s">
        <v>1021</v>
      </c>
      <c r="E1919" s="13" t="n">
        <v>0.25</v>
      </c>
      <c r="F1919" s="16" t="n">
        <v>121</v>
      </c>
      <c r="G1919" s="14" t="n">
        <v>-0.117367890696473</v>
      </c>
      <c r="H1919" s="15" t="n">
        <v>-0.220736898214732</v>
      </c>
    </row>
    <row r="1920">
      <c r="A1920" t="s">
        <v>31</v>
      </c>
      <c r="B1920" t="s">
        <v>524</v>
      </c>
      <c r="C1920" t="s">
        <v>525</v>
      </c>
      <c r="D1920" t="s">
        <v>1021</v>
      </c>
      <c r="E1920" s="13" t="n">
        <v>0.25</v>
      </c>
      <c r="F1920" s="16" t="n">
        <v>20</v>
      </c>
      <c r="G1920" s="14" t="n">
        <v>0.191511110779745</v>
      </c>
      <c r="H1920" s="15" t="n">
        <v>0.160696902421635</v>
      </c>
    </row>
    <row r="1921">
      <c r="A1921" t="s">
        <v>31</v>
      </c>
      <c r="B1921" t="s">
        <v>524</v>
      </c>
      <c r="C1921" t="s">
        <v>526</v>
      </c>
      <c r="D1921" t="s">
        <v>1021</v>
      </c>
      <c r="E1921" s="13" t="n">
        <v>0.25</v>
      </c>
      <c r="F1921" s="16" t="n">
        <v>147</v>
      </c>
      <c r="G1921" s="14" t="n">
        <v>0.10168416076895</v>
      </c>
      <c r="H1921" s="15" t="n">
        <v>-0.22838636441065</v>
      </c>
    </row>
    <row r="1922">
      <c r="A1922" t="s">
        <v>31</v>
      </c>
      <c r="B1922" t="s">
        <v>527</v>
      </c>
      <c r="C1922" t="s">
        <v>528</v>
      </c>
      <c r="D1922" t="s">
        <v>1021</v>
      </c>
      <c r="E1922" s="13" t="n">
        <v>0.5</v>
      </c>
      <c r="F1922" s="16" t="n">
        <v>115</v>
      </c>
      <c r="G1922" s="14" t="n">
        <v>-0.32139380484327</v>
      </c>
      <c r="H1922" s="15" t="n">
        <v>-0.383022221559489</v>
      </c>
    </row>
    <row r="1923">
      <c r="A1923" t="s">
        <v>31</v>
      </c>
      <c r="B1923" t="s">
        <v>527</v>
      </c>
      <c r="C1923" t="s">
        <v>529</v>
      </c>
      <c r="D1923" t="s">
        <v>1021</v>
      </c>
      <c r="E1923" s="13" t="n">
        <v>0.25</v>
      </c>
      <c r="F1923" s="16" t="n">
        <v>130</v>
      </c>
      <c r="G1923" s="14" t="n">
        <v>-0.0434120444167326</v>
      </c>
      <c r="H1923" s="15" t="n">
        <v>-0.246201938253052</v>
      </c>
    </row>
    <row r="1924">
      <c r="A1924" t="s">
        <v>31</v>
      </c>
      <c r="B1924" t="s">
        <v>530</v>
      </c>
      <c r="C1924" t="s">
        <v>531</v>
      </c>
      <c r="D1924" t="s">
        <v>1021</v>
      </c>
      <c r="E1924" s="13" t="n">
        <v>0.25</v>
      </c>
      <c r="F1924" s="16" t="n">
        <v>161</v>
      </c>
      <c r="G1924" s="14" t="n">
        <v>0.197002688401681</v>
      </c>
      <c r="H1924" s="15" t="n">
        <v>-0.153915368831415</v>
      </c>
    </row>
    <row r="1925">
      <c r="A1925" t="s">
        <v>31</v>
      </c>
      <c r="B1925" t="s">
        <v>530</v>
      </c>
      <c r="C1925" t="s">
        <v>532</v>
      </c>
      <c r="D1925" t="s">
        <v>1021</v>
      </c>
      <c r="E1925" s="13" t="n">
        <v>0.25</v>
      </c>
      <c r="F1925" s="16" t="n">
        <v>32</v>
      </c>
      <c r="G1925" s="14" t="n">
        <v>0.109592786697269</v>
      </c>
      <c r="H1925" s="15" t="n">
        <v>0.224698511574792</v>
      </c>
    </row>
    <row r="1926">
      <c r="A1926" t="s">
        <v>31</v>
      </c>
      <c r="B1926" t="s">
        <v>533</v>
      </c>
      <c r="C1926" t="s">
        <v>534</v>
      </c>
      <c r="D1926" t="s">
        <v>1021</v>
      </c>
      <c r="E1926" s="13" t="n">
        <v>0</v>
      </c>
      <c r="F1926" s="16" t="n">
        <v>54</v>
      </c>
      <c r="G1926" s="14" t="n">
        <v>0</v>
      </c>
      <c r="H1926" s="15" t="n">
        <v>0</v>
      </c>
    </row>
    <row r="1927">
      <c r="A1927" t="s">
        <v>31</v>
      </c>
      <c r="B1927" t="s">
        <v>535</v>
      </c>
      <c r="C1927" t="s">
        <v>536</v>
      </c>
      <c r="D1927" t="s">
        <v>1021</v>
      </c>
      <c r="E1927" s="13" t="n">
        <v>0.25</v>
      </c>
      <c r="F1927" s="16" t="n">
        <v>39</v>
      </c>
      <c r="G1927" s="14" t="n">
        <v>0.0519779227044398</v>
      </c>
      <c r="H1927" s="15" t="n">
        <v>0.244536900183451</v>
      </c>
    </row>
    <row r="1928">
      <c r="A1928" t="s">
        <v>31</v>
      </c>
      <c r="B1928" t="s">
        <v>535</v>
      </c>
      <c r="C1928" t="s">
        <v>537</v>
      </c>
      <c r="D1928" t="s">
        <v>1021</v>
      </c>
      <c r="E1928" s="13" t="n">
        <v>0.25</v>
      </c>
      <c r="F1928" s="16" t="n">
        <v>162</v>
      </c>
      <c r="G1928" s="14" t="n">
        <v>0.202254248593737</v>
      </c>
      <c r="H1928" s="15" t="n">
        <v>-0.146946313073118</v>
      </c>
    </row>
    <row r="1929">
      <c r="A1929" t="s">
        <v>30</v>
      </c>
      <c r="B1929" t="s">
        <v>538</v>
      </c>
      <c r="C1929" t="s">
        <v>539</v>
      </c>
      <c r="D1929" t="s">
        <v>1021</v>
      </c>
      <c r="E1929" s="13" t="n">
        <v>0.5</v>
      </c>
      <c r="F1929" s="16" t="n">
        <v>126</v>
      </c>
      <c r="G1929" s="14" t="n">
        <v>-0.154508497187474</v>
      </c>
      <c r="H1929" s="15" t="n">
        <v>-0.475528258147577</v>
      </c>
    </row>
    <row r="1930">
      <c r="A1930" t="s">
        <v>30</v>
      </c>
      <c r="B1930" t="s">
        <v>538</v>
      </c>
      <c r="C1930" t="s">
        <v>540</v>
      </c>
      <c r="D1930" t="s">
        <v>1021</v>
      </c>
      <c r="E1930" s="13" t="n">
        <v>0.25</v>
      </c>
      <c r="F1930" s="16" t="n">
        <v>35</v>
      </c>
      <c r="G1930" s="14" t="n">
        <v>0.0855050358314172</v>
      </c>
      <c r="H1930" s="15" t="n">
        <v>0.234923155196477</v>
      </c>
    </row>
    <row r="1931">
      <c r="A1931" t="s">
        <v>30</v>
      </c>
      <c r="B1931" t="s">
        <v>541</v>
      </c>
      <c r="C1931" t="s">
        <v>542</v>
      </c>
      <c r="D1931" t="s">
        <v>1021</v>
      </c>
      <c r="E1931" s="13" t="n">
        <v>0.25</v>
      </c>
      <c r="F1931" s="16" t="n">
        <v>144</v>
      </c>
      <c r="G1931" s="14" t="n">
        <v>0.0772542485937368</v>
      </c>
      <c r="H1931" s="15" t="n">
        <v>-0.237764129073788</v>
      </c>
    </row>
    <row r="1932">
      <c r="A1932" t="s">
        <v>30</v>
      </c>
      <c r="B1932" t="s">
        <v>541</v>
      </c>
      <c r="C1932" t="s">
        <v>543</v>
      </c>
      <c r="D1932" t="s">
        <v>1021</v>
      </c>
      <c r="E1932" s="13" t="n">
        <v>0.25</v>
      </c>
      <c r="F1932" s="16" t="n">
        <v>19</v>
      </c>
      <c r="G1932" s="14" t="n">
        <v>0.19700268840168</v>
      </c>
      <c r="H1932" s="15" t="n">
        <v>0.153915368831415</v>
      </c>
    </row>
    <row r="1933">
      <c r="A1933" t="s">
        <v>31</v>
      </c>
      <c r="B1933" t="s">
        <v>544</v>
      </c>
      <c r="C1933" t="s">
        <v>545</v>
      </c>
      <c r="D1933" t="s">
        <v>1021</v>
      </c>
      <c r="E1933" s="13" t="n">
        <v>0.25</v>
      </c>
      <c r="F1933" s="16" t="n">
        <v>114</v>
      </c>
      <c r="G1933" s="14" t="n">
        <v>-0.167282651589715</v>
      </c>
      <c r="H1933" s="15" t="n">
        <v>-0.185786206369349</v>
      </c>
    </row>
    <row r="1934">
      <c r="A1934" t="s">
        <v>31</v>
      </c>
      <c r="B1934" t="s">
        <v>544</v>
      </c>
      <c r="C1934" t="s">
        <v>546</v>
      </c>
      <c r="D1934" t="s">
        <v>1021</v>
      </c>
      <c r="E1934" s="13" t="n">
        <v>0</v>
      </c>
      <c r="F1934" s="16" t="n">
        <v>0</v>
      </c>
      <c r="G1934" s="14" t="n">
        <v>0</v>
      </c>
      <c r="H1934" s="15" t="n">
        <v>0</v>
      </c>
    </row>
    <row r="1935">
      <c r="A1935" t="s">
        <v>30</v>
      </c>
      <c r="B1935" t="s">
        <v>547</v>
      </c>
      <c r="C1935" t="s">
        <v>548</v>
      </c>
      <c r="D1935" t="s">
        <v>1021</v>
      </c>
      <c r="E1935" s="13" t="n">
        <v>0.25</v>
      </c>
      <c r="F1935" s="16" t="n">
        <v>123</v>
      </c>
      <c r="G1935" s="14" t="n">
        <v>-0.10168416076895</v>
      </c>
      <c r="H1935" s="15" t="n">
        <v>-0.22838636441065</v>
      </c>
    </row>
    <row r="1936">
      <c r="A1936" t="s">
        <v>30</v>
      </c>
      <c r="B1936" t="s">
        <v>547</v>
      </c>
      <c r="C1936" t="s">
        <v>549</v>
      </c>
      <c r="D1936" t="s">
        <v>1021</v>
      </c>
      <c r="E1936" s="13" t="n">
        <v>0.25</v>
      </c>
      <c r="F1936" s="16" t="n">
        <v>61</v>
      </c>
      <c r="G1936" s="14" t="n">
        <v>-0.132479816058301</v>
      </c>
      <c r="H1936" s="15" t="n">
        <v>0.212012024039107</v>
      </c>
    </row>
    <row r="1937">
      <c r="A1937" t="s">
        <v>31</v>
      </c>
      <c r="B1937" t="s">
        <v>550</v>
      </c>
      <c r="C1937" t="s">
        <v>551</v>
      </c>
      <c r="D1937" t="s">
        <v>1021</v>
      </c>
      <c r="E1937" s="13" t="n">
        <v>0.25</v>
      </c>
      <c r="F1937" s="16" t="n">
        <v>36</v>
      </c>
      <c r="G1937" s="14" t="n">
        <v>0.0772542485937369</v>
      </c>
      <c r="H1937" s="15" t="n">
        <v>0.237764129073788</v>
      </c>
    </row>
    <row r="1938">
      <c r="A1938" t="s">
        <v>31</v>
      </c>
      <c r="B1938" t="s">
        <v>552</v>
      </c>
      <c r="C1938" t="s">
        <v>553</v>
      </c>
      <c r="D1938" t="s">
        <v>1021</v>
      </c>
      <c r="E1938" s="13" t="n">
        <v>0</v>
      </c>
      <c r="F1938" s="16" t="n">
        <v>98</v>
      </c>
      <c r="G1938" s="14" t="n">
        <v>0</v>
      </c>
      <c r="H1938" s="15" t="n">
        <v>0</v>
      </c>
    </row>
    <row r="1939">
      <c r="A1939" t="s">
        <v>30</v>
      </c>
      <c r="B1939" t="s">
        <v>554</v>
      </c>
      <c r="C1939" t="s">
        <v>555</v>
      </c>
      <c r="D1939" t="s">
        <v>1021</v>
      </c>
      <c r="E1939" s="13" t="n">
        <v>0.25</v>
      </c>
      <c r="F1939" s="16" t="n">
        <v>161</v>
      </c>
      <c r="G1939" s="14" t="n">
        <v>0.197002688401681</v>
      </c>
      <c r="H1939" s="15" t="n">
        <v>-0.153915368831415</v>
      </c>
    </row>
    <row r="1940">
      <c r="A1940" t="s">
        <v>30</v>
      </c>
      <c r="B1940" t="s">
        <v>554</v>
      </c>
      <c r="C1940" t="s">
        <v>556</v>
      </c>
      <c r="D1940" t="s">
        <v>1021</v>
      </c>
      <c r="E1940" s="13" t="n">
        <v>0</v>
      </c>
      <c r="F1940" s="16" t="n">
        <v>142</v>
      </c>
      <c r="G1940" s="14" t="n">
        <v>0</v>
      </c>
      <c r="H1940" s="15" t="n">
        <v>0</v>
      </c>
    </row>
    <row r="1941">
      <c r="A1941" t="s">
        <v>30</v>
      </c>
      <c r="B1941" t="s">
        <v>557</v>
      </c>
      <c r="C1941" t="s">
        <v>558</v>
      </c>
      <c r="D1941" t="s">
        <v>1021</v>
      </c>
      <c r="E1941" s="13" t="n">
        <v>0.5</v>
      </c>
      <c r="F1941" s="16" t="n">
        <v>122</v>
      </c>
      <c r="G1941" s="14" t="n">
        <v>-0.219185573394539</v>
      </c>
      <c r="H1941" s="15" t="n">
        <v>-0.449397023149584</v>
      </c>
    </row>
    <row r="1942">
      <c r="A1942" t="s">
        <v>30</v>
      </c>
      <c r="B1942" t="s">
        <v>557</v>
      </c>
      <c r="C1942" t="s">
        <v>559</v>
      </c>
      <c r="D1942" t="s">
        <v>1021</v>
      </c>
      <c r="E1942" s="13" t="n">
        <v>0.25</v>
      </c>
      <c r="F1942" s="16" t="n">
        <v>52</v>
      </c>
      <c r="G1942" s="14" t="n">
        <v>-0.0604804738999169</v>
      </c>
      <c r="H1942" s="15" t="n">
        <v>0.242573931568999</v>
      </c>
    </row>
    <row r="1943">
      <c r="A1943" t="s">
        <v>30</v>
      </c>
      <c r="B1943" t="s">
        <v>560</v>
      </c>
      <c r="C1943" t="s">
        <v>561</v>
      </c>
      <c r="D1943" t="s">
        <v>1021</v>
      </c>
      <c r="E1943" s="13" t="n">
        <v>0.25</v>
      </c>
      <c r="F1943" s="16" t="n">
        <v>16</v>
      </c>
      <c r="G1943" s="14" t="n">
        <v>0.212012024039106</v>
      </c>
      <c r="H1943" s="15" t="n">
        <v>0.132479816058301</v>
      </c>
    </row>
    <row r="1944">
      <c r="A1944" t="s">
        <v>31</v>
      </c>
      <c r="B1944" t="s">
        <v>562</v>
      </c>
      <c r="C1944" t="s">
        <v>563</v>
      </c>
      <c r="D1944" t="s">
        <v>1021</v>
      </c>
      <c r="E1944" s="13" t="n">
        <v>0.25</v>
      </c>
      <c r="F1944" s="16" t="n">
        <v>7</v>
      </c>
      <c r="G1944" s="14" t="n">
        <v>0.242573931568999</v>
      </c>
      <c r="H1944" s="15" t="n">
        <v>0.0604804738999169</v>
      </c>
    </row>
    <row r="1945">
      <c r="A1945" t="s">
        <v>30</v>
      </c>
      <c r="B1945" t="s">
        <v>564</v>
      </c>
      <c r="C1945" t="s">
        <v>565</v>
      </c>
      <c r="D1945" t="s">
        <v>1021</v>
      </c>
      <c r="E1945" s="13" t="n">
        <v>0.25</v>
      </c>
      <c r="F1945" s="16" t="n">
        <v>141</v>
      </c>
      <c r="G1945" s="14" t="n">
        <v>0.0519779227044399</v>
      </c>
      <c r="H1945" s="15" t="n">
        <v>-0.244536900183451</v>
      </c>
    </row>
    <row r="1946">
      <c r="A1946" t="s">
        <v>30</v>
      </c>
      <c r="B1946" t="s">
        <v>564</v>
      </c>
      <c r="C1946" t="s">
        <v>566</v>
      </c>
      <c r="D1946" t="s">
        <v>1021</v>
      </c>
      <c r="E1946" s="13" t="n">
        <v>0</v>
      </c>
      <c r="F1946" s="16" t="n">
        <v>135</v>
      </c>
      <c r="G1946" s="14" t="n">
        <v>0</v>
      </c>
      <c r="H1946" s="15" t="n">
        <v>0</v>
      </c>
    </row>
    <row r="1947">
      <c r="A1947" t="s">
        <v>31</v>
      </c>
      <c r="B1947" t="s">
        <v>567</v>
      </c>
      <c r="C1947" t="s">
        <v>568</v>
      </c>
      <c r="D1947" t="s">
        <v>1021</v>
      </c>
      <c r="E1947" s="13" t="n">
        <v>0</v>
      </c>
      <c r="F1947" s="16" t="n">
        <v>35</v>
      </c>
      <c r="G1947" s="14" t="n">
        <v>0</v>
      </c>
      <c r="H1947" s="15" t="n">
        <v>0</v>
      </c>
    </row>
    <row r="1948">
      <c r="A1948" t="s">
        <v>31</v>
      </c>
      <c r="B1948" t="s">
        <v>567</v>
      </c>
      <c r="C1948" t="s">
        <v>569</v>
      </c>
      <c r="D1948" t="s">
        <v>1021</v>
      </c>
      <c r="E1948" s="13" t="n">
        <v>0.25</v>
      </c>
      <c r="F1948" s="16" t="n">
        <v>170</v>
      </c>
      <c r="G1948" s="14" t="n">
        <v>0.234923155196477</v>
      </c>
      <c r="H1948" s="15" t="n">
        <v>-0.0855050358314172</v>
      </c>
    </row>
    <row r="1949">
      <c r="A1949" t="s">
        <v>31</v>
      </c>
      <c r="B1949" t="s">
        <v>570</v>
      </c>
      <c r="C1949" t="s">
        <v>571</v>
      </c>
      <c r="D1949" t="s">
        <v>1021</v>
      </c>
      <c r="E1949" s="13" t="n">
        <v>0.25</v>
      </c>
      <c r="F1949" s="16" t="n">
        <v>140</v>
      </c>
      <c r="G1949" s="14" t="n">
        <v>0.0434120444167325</v>
      </c>
      <c r="H1949" s="15" t="n">
        <v>-0.246201938253052</v>
      </c>
    </row>
    <row r="1950">
      <c r="A1950" t="s">
        <v>31</v>
      </c>
      <c r="B1950" t="s">
        <v>570</v>
      </c>
      <c r="C1950" t="s">
        <v>572</v>
      </c>
      <c r="D1950" t="s">
        <v>1021</v>
      </c>
      <c r="E1950" s="13" t="n">
        <v>0.25</v>
      </c>
      <c r="F1950" s="16" t="n">
        <v>58</v>
      </c>
      <c r="G1950" s="14" t="n">
        <v>-0.109592786697269</v>
      </c>
      <c r="H1950" s="15" t="n">
        <v>0.224698511574792</v>
      </c>
    </row>
    <row r="1951">
      <c r="A1951" t="s">
        <v>30</v>
      </c>
      <c r="B1951" t="s">
        <v>573</v>
      </c>
      <c r="C1951" t="s">
        <v>574</v>
      </c>
      <c r="D1951" t="s">
        <v>1021</v>
      </c>
      <c r="E1951" s="13" t="n">
        <v>0.5</v>
      </c>
      <c r="F1951" s="16" t="n">
        <v>127</v>
      </c>
      <c r="G1951" s="14" t="n">
        <v>-0.137818677908499</v>
      </c>
      <c r="H1951" s="15" t="n">
        <v>-0.48063084796916</v>
      </c>
    </row>
    <row r="1952">
      <c r="A1952" t="s">
        <v>30</v>
      </c>
      <c r="B1952" t="s">
        <v>573</v>
      </c>
      <c r="C1952" t="s">
        <v>575</v>
      </c>
      <c r="D1952" t="s">
        <v>1021</v>
      </c>
      <c r="E1952" s="13" t="n">
        <v>0.25</v>
      </c>
      <c r="F1952" s="16" t="n">
        <v>71</v>
      </c>
      <c r="G1952" s="14" t="n">
        <v>-0.19700268840168</v>
      </c>
      <c r="H1952" s="15" t="n">
        <v>0.153915368831415</v>
      </c>
    </row>
    <row r="1953">
      <c r="A1953" t="s">
        <v>30</v>
      </c>
      <c r="B1953" t="s">
        <v>576</v>
      </c>
      <c r="C1953" t="s">
        <v>577</v>
      </c>
      <c r="D1953" t="s">
        <v>1021</v>
      </c>
      <c r="E1953" s="13" t="n">
        <v>0.25</v>
      </c>
      <c r="F1953" s="16" t="n">
        <v>31</v>
      </c>
      <c r="G1953" s="14" t="n">
        <v>0.117367890696473</v>
      </c>
      <c r="H1953" s="15" t="n">
        <v>0.220736898214732</v>
      </c>
    </row>
    <row r="1954">
      <c r="A1954" t="s">
        <v>30</v>
      </c>
      <c r="B1954" t="s">
        <v>576</v>
      </c>
      <c r="C1954" t="s">
        <v>578</v>
      </c>
      <c r="D1954" t="s">
        <v>1021</v>
      </c>
      <c r="E1954" s="13" t="n">
        <v>0.25</v>
      </c>
      <c r="F1954" s="16" t="n">
        <v>127</v>
      </c>
      <c r="G1954" s="14" t="n">
        <v>-0.0689093389542497</v>
      </c>
      <c r="H1954" s="15" t="n">
        <v>-0.24031542398458</v>
      </c>
    </row>
    <row r="1955">
      <c r="A1955" t="s">
        <v>31</v>
      </c>
      <c r="B1955" t="s">
        <v>579</v>
      </c>
      <c r="C1955" t="s">
        <v>580</v>
      </c>
      <c r="D1955" t="s">
        <v>1021</v>
      </c>
      <c r="E1955" s="13" t="n">
        <v>0.25</v>
      </c>
      <c r="F1955" s="16" t="n">
        <v>151</v>
      </c>
      <c r="G1955" s="14" t="n">
        <v>0.132479816058301</v>
      </c>
      <c r="H1955" s="15" t="n">
        <v>-0.212012024039106</v>
      </c>
    </row>
    <row r="1956">
      <c r="A1956" t="s">
        <v>31</v>
      </c>
      <c r="B1956" t="s">
        <v>579</v>
      </c>
      <c r="C1956" t="s">
        <v>581</v>
      </c>
      <c r="D1956" t="s">
        <v>1021</v>
      </c>
      <c r="E1956" s="13" t="n">
        <v>0.25</v>
      </c>
      <c r="F1956" s="16" t="n">
        <v>31</v>
      </c>
      <c r="G1956" s="14" t="n">
        <v>0.117367890696473</v>
      </c>
      <c r="H1956" s="15" t="n">
        <v>0.220736898214732</v>
      </c>
    </row>
    <row r="1957">
      <c r="A1957" t="s">
        <v>30</v>
      </c>
      <c r="B1957" t="s">
        <v>582</v>
      </c>
      <c r="C1957" t="s">
        <v>583</v>
      </c>
      <c r="D1957" t="s">
        <v>1021</v>
      </c>
      <c r="E1957" s="13" t="n">
        <v>0.5</v>
      </c>
      <c r="F1957" s="16" t="n">
        <v>130</v>
      </c>
      <c r="G1957" s="14" t="n">
        <v>-0.0868240888334652</v>
      </c>
      <c r="H1957" s="15" t="n">
        <v>-0.492403876506104</v>
      </c>
    </row>
    <row r="1958">
      <c r="A1958" t="s">
        <v>31</v>
      </c>
      <c r="B1958" t="s">
        <v>584</v>
      </c>
      <c r="C1958" t="s">
        <v>585</v>
      </c>
      <c r="D1958" t="s">
        <v>1021</v>
      </c>
      <c r="E1958" s="13" t="n">
        <v>0</v>
      </c>
      <c r="F1958" s="16" t="n">
        <v>39</v>
      </c>
      <c r="G1958" s="14" t="n">
        <v>0</v>
      </c>
      <c r="H1958" s="15" t="n">
        <v>0</v>
      </c>
    </row>
    <row r="1959">
      <c r="A1959" t="s">
        <v>31</v>
      </c>
      <c r="B1959" t="s">
        <v>586</v>
      </c>
      <c r="C1959" t="s">
        <v>587</v>
      </c>
      <c r="D1959" t="s">
        <v>1021</v>
      </c>
      <c r="E1959" s="13" t="n">
        <v>0.25</v>
      </c>
      <c r="F1959" s="16" t="n">
        <v>54</v>
      </c>
      <c r="G1959" s="14" t="n">
        <v>-0.0772542485937368</v>
      </c>
      <c r="H1959" s="15" t="n">
        <v>0.237764129073788</v>
      </c>
    </row>
    <row r="1960">
      <c r="A1960" t="s">
        <v>31</v>
      </c>
      <c r="B1960" t="s">
        <v>586</v>
      </c>
      <c r="C1960" t="s">
        <v>588</v>
      </c>
      <c r="D1960" t="s">
        <v>1021</v>
      </c>
      <c r="E1960" s="13" t="n">
        <v>0.25</v>
      </c>
      <c r="F1960" s="16" t="n">
        <v>137</v>
      </c>
      <c r="G1960" s="14" t="n">
        <v>0.0174391184360313</v>
      </c>
      <c r="H1960" s="15" t="n">
        <v>-0.249391012564956</v>
      </c>
    </row>
    <row r="1961">
      <c r="A1961" t="s">
        <v>31</v>
      </c>
      <c r="B1961" t="s">
        <v>589</v>
      </c>
      <c r="C1961" t="s">
        <v>590</v>
      </c>
      <c r="D1961" t="s">
        <v>1021</v>
      </c>
      <c r="E1961" s="13" t="n">
        <v>0.25</v>
      </c>
      <c r="F1961" s="16" t="n">
        <v>16</v>
      </c>
      <c r="G1961" s="14" t="n">
        <v>0.212012024039106</v>
      </c>
      <c r="H1961" s="15" t="n">
        <v>0.132479816058301</v>
      </c>
    </row>
    <row r="1962">
      <c r="A1962" t="s">
        <v>31</v>
      </c>
      <c r="B1962" t="s">
        <v>589</v>
      </c>
      <c r="C1962" t="s">
        <v>591</v>
      </c>
      <c r="D1962" t="s">
        <v>1021</v>
      </c>
      <c r="E1962" s="13" t="n">
        <v>0</v>
      </c>
      <c r="F1962" s="16" t="n">
        <v>97</v>
      </c>
      <c r="G1962" s="14" t="n">
        <v>0</v>
      </c>
      <c r="H1962" s="15" t="n">
        <v>0</v>
      </c>
    </row>
    <row r="1963">
      <c r="A1963" t="s">
        <v>30</v>
      </c>
      <c r="B1963" t="s">
        <v>592</v>
      </c>
      <c r="C1963" t="s">
        <v>593</v>
      </c>
      <c r="D1963" t="s">
        <v>1021</v>
      </c>
      <c r="E1963" s="13" t="n">
        <v>0.25</v>
      </c>
      <c r="F1963" s="16" t="n">
        <v>77</v>
      </c>
      <c r="G1963" s="14" t="n">
        <v>-0.224698511574792</v>
      </c>
      <c r="H1963" s="15" t="n">
        <v>0.109592786697269</v>
      </c>
    </row>
    <row r="1964">
      <c r="A1964" t="s">
        <v>30</v>
      </c>
      <c r="B1964" t="s">
        <v>592</v>
      </c>
      <c r="C1964" t="s">
        <v>594</v>
      </c>
      <c r="D1964" t="s">
        <v>1021</v>
      </c>
      <c r="E1964" s="13" t="n">
        <v>0.25</v>
      </c>
      <c r="F1964" s="16" t="n">
        <v>84</v>
      </c>
      <c r="G1964" s="14" t="n">
        <v>-0.244536900183451</v>
      </c>
      <c r="H1964" s="15" t="n">
        <v>0.0519779227044398</v>
      </c>
    </row>
    <row r="1965">
      <c r="A1965" t="s">
        <v>30</v>
      </c>
      <c r="B1965" t="s">
        <v>595</v>
      </c>
      <c r="C1965" t="s">
        <v>596</v>
      </c>
      <c r="D1965" t="s">
        <v>1021</v>
      </c>
      <c r="E1965" s="13" t="n">
        <v>1</v>
      </c>
      <c r="F1965" s="16" t="n">
        <v>3</v>
      </c>
      <c r="G1965" s="14" t="n">
        <v>0.994521895368273</v>
      </c>
      <c r="H1965" s="15" t="n">
        <v>0.104528463267653</v>
      </c>
    </row>
    <row r="1966">
      <c r="A1966" t="s">
        <v>30</v>
      </c>
      <c r="B1966" t="s">
        <v>595</v>
      </c>
      <c r="C1966" t="s">
        <v>597</v>
      </c>
      <c r="D1966" t="s">
        <v>1021</v>
      </c>
      <c r="E1966" s="13" t="n">
        <v>0.75</v>
      </c>
      <c r="F1966" s="16" t="n">
        <v>166</v>
      </c>
      <c r="G1966" s="14" t="n">
        <v>0.662210694644195</v>
      </c>
      <c r="H1966" s="15" t="n">
        <v>-0.352103672089418</v>
      </c>
    </row>
    <row r="1967">
      <c r="A1967" t="s">
        <v>31</v>
      </c>
      <c r="B1967" t="s">
        <v>598</v>
      </c>
      <c r="C1967" t="s">
        <v>599</v>
      </c>
      <c r="D1967" t="s">
        <v>1021</v>
      </c>
      <c r="E1967" s="13" t="n">
        <v>0.25</v>
      </c>
      <c r="F1967" s="16" t="n">
        <v>155</v>
      </c>
      <c r="G1967" s="14" t="n">
        <v>0.160696902421635</v>
      </c>
      <c r="H1967" s="15" t="n">
        <v>-0.191511110779744</v>
      </c>
    </row>
    <row r="1968">
      <c r="A1968" t="s">
        <v>31</v>
      </c>
      <c r="B1968" t="s">
        <v>598</v>
      </c>
      <c r="C1968" t="s">
        <v>600</v>
      </c>
      <c r="D1968" t="s">
        <v>1021</v>
      </c>
      <c r="E1968" s="13" t="n">
        <v>0.25</v>
      </c>
      <c r="F1968" s="16" t="n">
        <v>30</v>
      </c>
      <c r="G1968" s="14" t="n">
        <v>0.125</v>
      </c>
      <c r="H1968" s="15" t="n">
        <v>0.21650635094611</v>
      </c>
    </row>
    <row r="1969">
      <c r="A1969" t="s">
        <v>30</v>
      </c>
      <c r="B1969" t="s">
        <v>601</v>
      </c>
      <c r="C1969" t="s">
        <v>602</v>
      </c>
      <c r="D1969" t="s">
        <v>1021</v>
      </c>
      <c r="E1969" s="13" t="n">
        <v>0.25</v>
      </c>
      <c r="F1969" s="16" t="n">
        <v>30</v>
      </c>
      <c r="G1969" s="14" t="n">
        <v>0.125</v>
      </c>
      <c r="H1969" s="15" t="n">
        <v>0.21650635094611</v>
      </c>
    </row>
    <row r="1970">
      <c r="A1970" t="s">
        <v>30</v>
      </c>
      <c r="B1970" t="s">
        <v>601</v>
      </c>
      <c r="C1970" t="s">
        <v>603</v>
      </c>
      <c r="D1970" t="s">
        <v>1021</v>
      </c>
      <c r="E1970" s="13" t="n">
        <v>0.25</v>
      </c>
      <c r="F1970" s="16" t="n">
        <v>143</v>
      </c>
      <c r="G1970" s="14" t="n">
        <v>0.0689093389542496</v>
      </c>
      <c r="H1970" s="15" t="n">
        <v>-0.24031542398458</v>
      </c>
    </row>
    <row r="1971">
      <c r="A1971" t="s">
        <v>31</v>
      </c>
      <c r="B1971" t="s">
        <v>604</v>
      </c>
      <c r="C1971" t="s">
        <v>605</v>
      </c>
      <c r="D1971" t="s">
        <v>1021</v>
      </c>
      <c r="E1971" s="13" t="n">
        <v>0.25</v>
      </c>
      <c r="F1971" s="16" t="n">
        <v>129</v>
      </c>
      <c r="G1971" s="14" t="n">
        <v>-0.0519779227044399</v>
      </c>
      <c r="H1971" s="15" t="n">
        <v>-0.244536900183451</v>
      </c>
    </row>
    <row r="1972">
      <c r="A1972" t="s">
        <v>31</v>
      </c>
      <c r="B1972" t="s">
        <v>604</v>
      </c>
      <c r="C1972" t="s">
        <v>606</v>
      </c>
      <c r="D1972" t="s">
        <v>1021</v>
      </c>
      <c r="E1972" s="13" t="n">
        <v>0</v>
      </c>
      <c r="F1972" s="16" t="n">
        <v>16</v>
      </c>
      <c r="G1972" s="14" t="n">
        <v>0</v>
      </c>
      <c r="H1972" s="15" t="n">
        <v>0</v>
      </c>
    </row>
    <row r="1973">
      <c r="A1973" t="s">
        <v>30</v>
      </c>
      <c r="B1973" t="s">
        <v>607</v>
      </c>
      <c r="C1973" t="s">
        <v>608</v>
      </c>
      <c r="D1973" t="s">
        <v>1021</v>
      </c>
      <c r="E1973" s="13" t="n">
        <v>0</v>
      </c>
      <c r="F1973" s="16" t="n">
        <v>172</v>
      </c>
      <c r="G1973" s="14" t="n">
        <v>0</v>
      </c>
      <c r="H1973" s="15" t="n">
        <v>0</v>
      </c>
    </row>
    <row r="1974">
      <c r="A1974" t="s">
        <v>30</v>
      </c>
      <c r="B1974" t="s">
        <v>609</v>
      </c>
      <c r="C1974" t="s">
        <v>610</v>
      </c>
      <c r="D1974" t="s">
        <v>1021</v>
      </c>
      <c r="E1974" s="13" t="n">
        <v>0</v>
      </c>
      <c r="F1974" s="16" t="n">
        <v>76</v>
      </c>
      <c r="G1974" s="14" t="n">
        <v>0</v>
      </c>
      <c r="H1974" s="15" t="n">
        <v>0</v>
      </c>
    </row>
    <row r="1975">
      <c r="A1975" t="s">
        <v>30</v>
      </c>
      <c r="B1975" t="s">
        <v>609</v>
      </c>
      <c r="C1975" t="s">
        <v>611</v>
      </c>
      <c r="D1975" t="s">
        <v>1021</v>
      </c>
      <c r="E1975" s="13" t="n">
        <v>0</v>
      </c>
      <c r="F1975" s="16" t="n">
        <v>96</v>
      </c>
      <c r="G1975" s="14" t="n">
        <v>0</v>
      </c>
      <c r="H1975" s="15" t="n">
        <v>0</v>
      </c>
    </row>
    <row r="1976">
      <c r="A1976" t="s">
        <v>30</v>
      </c>
      <c r="B1976" t="s">
        <v>612</v>
      </c>
      <c r="C1976" t="s">
        <v>613</v>
      </c>
      <c r="D1976" t="s">
        <v>1021</v>
      </c>
      <c r="E1976" s="13" t="n">
        <v>0</v>
      </c>
      <c r="F1976" s="16" t="n">
        <v>76</v>
      </c>
      <c r="G1976" s="14" t="n">
        <v>0</v>
      </c>
      <c r="H1976" s="15" t="n">
        <v>0</v>
      </c>
    </row>
    <row r="1977">
      <c r="A1977" t="s">
        <v>30</v>
      </c>
      <c r="B1977" t="s">
        <v>612</v>
      </c>
      <c r="C1977" t="s">
        <v>614</v>
      </c>
      <c r="D1977" t="s">
        <v>1021</v>
      </c>
      <c r="E1977" s="13" t="n">
        <v>0.25</v>
      </c>
      <c r="F1977" s="16" t="n">
        <v>0</v>
      </c>
      <c r="G1977" s="14" t="n">
        <v>0.25</v>
      </c>
      <c r="H1977" s="15" t="n">
        <v>0</v>
      </c>
    </row>
    <row r="1978">
      <c r="A1978" t="s">
        <v>30</v>
      </c>
      <c r="B1978" t="s">
        <v>615</v>
      </c>
      <c r="C1978" t="s">
        <v>616</v>
      </c>
      <c r="D1978" t="s">
        <v>1021</v>
      </c>
      <c r="E1978" s="13" t="n">
        <v>0.75</v>
      </c>
      <c r="F1978" s="16" t="n">
        <v>42</v>
      </c>
      <c r="G1978" s="14" t="n">
        <v>0.0783963474507401</v>
      </c>
      <c r="H1978" s="15" t="n">
        <v>0.745891421526205</v>
      </c>
    </row>
    <row r="1979">
      <c r="A1979" t="s">
        <v>30</v>
      </c>
      <c r="B1979" t="s">
        <v>617</v>
      </c>
      <c r="C1979" t="s">
        <v>618</v>
      </c>
      <c r="D1979" t="s">
        <v>1021</v>
      </c>
      <c r="E1979" s="13" t="n">
        <v>0.25</v>
      </c>
      <c r="F1979" s="16" t="n">
        <v>77</v>
      </c>
      <c r="G1979" s="14" t="n">
        <v>-0.224698511574792</v>
      </c>
      <c r="H1979" s="15" t="n">
        <v>0.109592786697269</v>
      </c>
    </row>
    <row r="1980">
      <c r="A1980" t="s">
        <v>30</v>
      </c>
      <c r="B1980" t="s">
        <v>617</v>
      </c>
      <c r="C1980" t="s">
        <v>619</v>
      </c>
      <c r="D1980" t="s">
        <v>1021</v>
      </c>
      <c r="E1980" s="13" t="n">
        <v>0.25</v>
      </c>
      <c r="F1980" s="16" t="n">
        <v>92</v>
      </c>
      <c r="G1980" s="14" t="n">
        <v>-0.249391012564956</v>
      </c>
      <c r="H1980" s="15" t="n">
        <v>-0.0174391184360313</v>
      </c>
    </row>
    <row r="1981">
      <c r="A1981" t="s">
        <v>30</v>
      </c>
      <c r="B1981" t="s">
        <v>620</v>
      </c>
      <c r="C1981" t="s">
        <v>621</v>
      </c>
      <c r="D1981" t="s">
        <v>1021</v>
      </c>
      <c r="E1981" s="13" t="n">
        <v>0</v>
      </c>
      <c r="F1981" s="16" t="n">
        <v>40</v>
      </c>
      <c r="G1981" s="14" t="n">
        <v>0</v>
      </c>
      <c r="H1981" s="15" t="n">
        <v>0</v>
      </c>
    </row>
    <row r="1982">
      <c r="A1982" t="s">
        <v>30</v>
      </c>
      <c r="B1982" t="s">
        <v>620</v>
      </c>
      <c r="C1982" t="s">
        <v>622</v>
      </c>
      <c r="D1982" t="s">
        <v>1021</v>
      </c>
      <c r="E1982" s="13" t="n">
        <v>0.5</v>
      </c>
      <c r="F1982" s="16" t="n">
        <v>37</v>
      </c>
      <c r="G1982" s="14" t="n">
        <v>0.1378186779085</v>
      </c>
      <c r="H1982" s="15" t="n">
        <v>0.480630847969159</v>
      </c>
    </row>
    <row r="1983">
      <c r="A1983" t="s">
        <v>30</v>
      </c>
      <c r="B1983" t="s">
        <v>623</v>
      </c>
      <c r="C1983" t="s">
        <v>624</v>
      </c>
      <c r="D1983" t="s">
        <v>1021</v>
      </c>
      <c r="E1983" s="13" t="n">
        <v>0</v>
      </c>
      <c r="F1983" s="16" t="n">
        <v>161</v>
      </c>
      <c r="G1983" s="14" t="n">
        <v>0</v>
      </c>
      <c r="H1983" s="15" t="n">
        <v>0</v>
      </c>
    </row>
    <row r="1984">
      <c r="A1984" t="s">
        <v>30</v>
      </c>
      <c r="B1984" t="s">
        <v>625</v>
      </c>
      <c r="C1984" t="s">
        <v>626</v>
      </c>
      <c r="D1984" t="s">
        <v>1021</v>
      </c>
      <c r="E1984" s="13" t="n">
        <v>0.25</v>
      </c>
      <c r="F1984" s="16" t="n">
        <v>24</v>
      </c>
      <c r="G1984" s="14" t="n">
        <v>0.167282651589715</v>
      </c>
      <c r="H1984" s="15" t="n">
        <v>0.185786206369349</v>
      </c>
    </row>
    <row r="1985">
      <c r="A1985" t="s">
        <v>30</v>
      </c>
      <c r="B1985" t="s">
        <v>625</v>
      </c>
      <c r="C1985" t="s">
        <v>627</v>
      </c>
      <c r="D1985" t="s">
        <v>1021</v>
      </c>
      <c r="E1985" s="13" t="n">
        <v>0.25</v>
      </c>
      <c r="F1985" s="16" t="n">
        <v>21</v>
      </c>
      <c r="G1985" s="14" t="n">
        <v>0.185786206369349</v>
      </c>
      <c r="H1985" s="15" t="n">
        <v>0.167282651589715</v>
      </c>
    </row>
    <row r="1986">
      <c r="A1986" t="s">
        <v>30</v>
      </c>
      <c r="B1986" t="s">
        <v>628</v>
      </c>
      <c r="C1986" t="s">
        <v>629</v>
      </c>
      <c r="D1986" t="s">
        <v>1021</v>
      </c>
      <c r="E1986" s="13" t="n">
        <v>0.25</v>
      </c>
      <c r="F1986" s="16" t="n">
        <v>92</v>
      </c>
      <c r="G1986" s="14" t="n">
        <v>-0.249391012564956</v>
      </c>
      <c r="H1986" s="15" t="n">
        <v>-0.0174391184360313</v>
      </c>
    </row>
    <row r="1987">
      <c r="A1987" t="s">
        <v>30</v>
      </c>
      <c r="B1987" t="s">
        <v>628</v>
      </c>
      <c r="C1987" t="s">
        <v>630</v>
      </c>
      <c r="D1987" t="s">
        <v>1021</v>
      </c>
      <c r="E1987" s="13" t="n">
        <v>0.25</v>
      </c>
      <c r="F1987" s="16" t="n">
        <v>80</v>
      </c>
      <c r="G1987" s="14" t="n">
        <v>-0.234923155196477</v>
      </c>
      <c r="H1987" s="15" t="n">
        <v>0.0855050358314172</v>
      </c>
    </row>
    <row r="1988">
      <c r="A1988" t="s">
        <v>31</v>
      </c>
      <c r="B1988" t="s">
        <v>631</v>
      </c>
      <c r="C1988" t="s">
        <v>632</v>
      </c>
      <c r="D1988" t="s">
        <v>1021</v>
      </c>
      <c r="E1988" s="13" t="n">
        <v>0.25</v>
      </c>
      <c r="F1988" s="16" t="n">
        <v>167</v>
      </c>
      <c r="G1988" s="14" t="n">
        <v>0.224698511574792</v>
      </c>
      <c r="H1988" s="15" t="n">
        <v>-0.109592786697269</v>
      </c>
    </row>
    <row r="1989">
      <c r="A1989" t="s">
        <v>31</v>
      </c>
      <c r="B1989" t="s">
        <v>633</v>
      </c>
      <c r="C1989" t="s">
        <v>634</v>
      </c>
      <c r="D1989" t="s">
        <v>1021</v>
      </c>
      <c r="E1989" s="13" t="n">
        <v>0.25</v>
      </c>
      <c r="F1989" s="16" t="n">
        <v>45</v>
      </c>
      <c r="G1989" s="14" t="n">
        <v>0</v>
      </c>
      <c r="H1989" s="15" t="n">
        <v>0.25</v>
      </c>
    </row>
    <row r="1990">
      <c r="A1990" t="s">
        <v>31</v>
      </c>
      <c r="B1990" t="s">
        <v>635</v>
      </c>
      <c r="C1990" t="s">
        <v>636</v>
      </c>
      <c r="D1990" t="s">
        <v>1021</v>
      </c>
      <c r="E1990" s="13" t="n">
        <v>0.75</v>
      </c>
      <c r="F1990" s="16" t="n">
        <v>50</v>
      </c>
      <c r="G1990" s="14" t="n">
        <v>-0.130236133250198</v>
      </c>
      <c r="H1990" s="15" t="n">
        <v>0.738605814759156</v>
      </c>
    </row>
    <row r="1991">
      <c r="A1991" t="s">
        <v>30</v>
      </c>
      <c r="B1991" t="s">
        <v>637</v>
      </c>
      <c r="C1991" t="s">
        <v>638</v>
      </c>
      <c r="D1991" t="s">
        <v>1021</v>
      </c>
      <c r="E1991" s="13" t="n">
        <v>0.25</v>
      </c>
      <c r="F1991" s="16" t="n">
        <v>7</v>
      </c>
      <c r="G1991" s="14" t="n">
        <v>0.242573931568999</v>
      </c>
      <c r="H1991" s="15" t="n">
        <v>0.0604804738999169</v>
      </c>
    </row>
    <row r="1992">
      <c r="A1992" t="s">
        <v>30</v>
      </c>
      <c r="B1992" t="s">
        <v>637</v>
      </c>
      <c r="C1992" t="s">
        <v>639</v>
      </c>
      <c r="D1992" t="s">
        <v>1021</v>
      </c>
      <c r="E1992" s="13" t="n">
        <v>0.25</v>
      </c>
      <c r="F1992" s="16" t="n">
        <v>33</v>
      </c>
      <c r="G1992" s="14" t="n">
        <v>0.10168416076895</v>
      </c>
      <c r="H1992" s="15" t="n">
        <v>0.22838636441065</v>
      </c>
    </row>
    <row r="1993">
      <c r="A1993" t="s">
        <v>30</v>
      </c>
      <c r="B1993" t="s">
        <v>640</v>
      </c>
      <c r="C1993" t="s">
        <v>641</v>
      </c>
      <c r="D1993" t="s">
        <v>1021</v>
      </c>
      <c r="E1993" s="13" t="n">
        <v>0.25</v>
      </c>
      <c r="F1993" s="16" t="n">
        <v>126</v>
      </c>
      <c r="G1993" s="14" t="n">
        <v>-0.0772542485937369</v>
      </c>
      <c r="H1993" s="15" t="n">
        <v>-0.237764129073788</v>
      </c>
    </row>
    <row r="1994">
      <c r="A1994" t="s">
        <v>31</v>
      </c>
      <c r="B1994" t="s">
        <v>642</v>
      </c>
      <c r="C1994" t="s">
        <v>643</v>
      </c>
      <c r="D1994" t="s">
        <v>1021</v>
      </c>
      <c r="E1994" s="13" t="n">
        <v>0.5</v>
      </c>
      <c r="F1994" s="16" t="n">
        <v>108</v>
      </c>
      <c r="G1994" s="14" t="n">
        <v>-0.404508497187474</v>
      </c>
      <c r="H1994" s="15" t="n">
        <v>-0.293892626146237</v>
      </c>
    </row>
    <row r="1995">
      <c r="A1995" t="s">
        <v>31</v>
      </c>
      <c r="B1995" t="s">
        <v>642</v>
      </c>
      <c r="C1995" t="s">
        <v>644</v>
      </c>
      <c r="D1995" t="s">
        <v>1021</v>
      </c>
      <c r="E1995" s="13" t="n">
        <v>0.25</v>
      </c>
      <c r="F1995" s="16" t="n">
        <v>66</v>
      </c>
      <c r="G1995" s="14" t="n">
        <v>-0.167282651589714</v>
      </c>
      <c r="H1995" s="15" t="n">
        <v>0.185786206369349</v>
      </c>
    </row>
    <row r="1996">
      <c r="A1996" t="s">
        <v>30</v>
      </c>
      <c r="B1996" t="s">
        <v>645</v>
      </c>
      <c r="C1996" t="s">
        <v>646</v>
      </c>
      <c r="D1996" t="s">
        <v>1021</v>
      </c>
      <c r="E1996" s="13" t="n">
        <v>0.5</v>
      </c>
      <c r="F1996" s="16" t="n">
        <v>40</v>
      </c>
      <c r="G1996" s="14" t="n">
        <v>0.0868240888334652</v>
      </c>
      <c r="H1996" s="15" t="n">
        <v>0.492403876506104</v>
      </c>
    </row>
    <row r="1997">
      <c r="A1997" t="s">
        <v>30</v>
      </c>
      <c r="B1997" t="s">
        <v>647</v>
      </c>
      <c r="C1997" t="s">
        <v>648</v>
      </c>
      <c r="D1997" t="s">
        <v>1021</v>
      </c>
      <c r="E1997" s="13" t="n">
        <v>0.25</v>
      </c>
      <c r="F1997" s="16" t="n">
        <v>130</v>
      </c>
      <c r="G1997" s="14" t="n">
        <v>-0.0434120444167326</v>
      </c>
      <c r="H1997" s="15" t="n">
        <v>-0.246201938253052</v>
      </c>
    </row>
    <row r="1998">
      <c r="A1998" t="s">
        <v>30</v>
      </c>
      <c r="B1998" t="s">
        <v>647</v>
      </c>
      <c r="C1998" t="s">
        <v>649</v>
      </c>
      <c r="D1998" t="s">
        <v>1021</v>
      </c>
      <c r="E1998" s="13" t="n">
        <v>0</v>
      </c>
      <c r="F1998" s="16" t="n">
        <v>12</v>
      </c>
      <c r="G1998" s="14" t="n">
        <v>0</v>
      </c>
      <c r="H1998" s="15" t="n">
        <v>0</v>
      </c>
    </row>
    <row r="1999">
      <c r="A1999" t="s">
        <v>31</v>
      </c>
      <c r="B1999" t="s">
        <v>650</v>
      </c>
      <c r="C1999" t="s">
        <v>651</v>
      </c>
      <c r="D1999" t="s">
        <v>1021</v>
      </c>
      <c r="E1999" s="13" t="n">
        <v>0</v>
      </c>
      <c r="F1999" s="16" t="n">
        <v>153</v>
      </c>
      <c r="G1999" s="14" t="n">
        <v>0</v>
      </c>
      <c r="H1999" s="15" t="n">
        <v>0</v>
      </c>
    </row>
    <row r="2000">
      <c r="A2000" t="s">
        <v>31</v>
      </c>
      <c r="B2000" t="s">
        <v>650</v>
      </c>
      <c r="C2000" t="s">
        <v>652</v>
      </c>
      <c r="D2000" t="s">
        <v>1021</v>
      </c>
      <c r="E2000" s="13" t="n">
        <v>0.25</v>
      </c>
      <c r="F2000" s="16" t="n">
        <v>47</v>
      </c>
      <c r="G2000" s="14" t="n">
        <v>-0.0174391184360313</v>
      </c>
      <c r="H2000" s="15" t="n">
        <v>0.249391012564956</v>
      </c>
    </row>
    <row r="2001">
      <c r="A2001" t="s">
        <v>31</v>
      </c>
      <c r="B2001" t="s">
        <v>653</v>
      </c>
      <c r="C2001" t="s">
        <v>654</v>
      </c>
      <c r="D2001" t="s">
        <v>1021</v>
      </c>
      <c r="E2001" s="13" t="n">
        <v>0.25</v>
      </c>
      <c r="F2001" s="16" t="n">
        <v>73</v>
      </c>
      <c r="G2001" s="14" t="n">
        <v>-0.20725939313876</v>
      </c>
      <c r="H2001" s="15" t="n">
        <v>0.139798225867687</v>
      </c>
    </row>
    <row r="2002">
      <c r="A2002" t="s">
        <v>31</v>
      </c>
      <c r="B2002" t="s">
        <v>653</v>
      </c>
      <c r="C2002" t="s">
        <v>655</v>
      </c>
      <c r="D2002" t="s">
        <v>1021</v>
      </c>
      <c r="E2002" s="13" t="n">
        <v>0.5</v>
      </c>
      <c r="F2002" s="16" t="n">
        <v>117</v>
      </c>
      <c r="G2002" s="14" t="n">
        <v>-0.293892626146237</v>
      </c>
      <c r="H2002" s="15" t="n">
        <v>-0.404508497187474</v>
      </c>
    </row>
    <row r="2003">
      <c r="A2003" t="s">
        <v>30</v>
      </c>
      <c r="B2003" t="s">
        <v>656</v>
      </c>
      <c r="C2003" t="s">
        <v>657</v>
      </c>
      <c r="D2003" t="s">
        <v>1021</v>
      </c>
      <c r="E2003" s="13" t="n">
        <v>0</v>
      </c>
      <c r="F2003" s="16" t="n">
        <v>148</v>
      </c>
      <c r="G2003" s="14" t="n">
        <v>0</v>
      </c>
      <c r="H2003" s="15" t="n">
        <v>0</v>
      </c>
    </row>
    <row r="2004">
      <c r="A2004" t="s">
        <v>30</v>
      </c>
      <c r="B2004" t="s">
        <v>656</v>
      </c>
      <c r="C2004" t="s">
        <v>658</v>
      </c>
      <c r="D2004" t="s">
        <v>1021</v>
      </c>
      <c r="E2004" s="13" t="n">
        <v>0.25</v>
      </c>
      <c r="F2004" s="16" t="n">
        <v>135</v>
      </c>
      <c r="G2004" s="14" t="n">
        <v>0</v>
      </c>
      <c r="H2004" s="15" t="n">
        <v>-0.25</v>
      </c>
    </row>
    <row r="2005">
      <c r="A2005" t="s">
        <v>30</v>
      </c>
      <c r="B2005" t="s">
        <v>659</v>
      </c>
      <c r="C2005" t="s">
        <v>660</v>
      </c>
      <c r="D2005" t="s">
        <v>1021</v>
      </c>
      <c r="E2005" s="13" t="n">
        <v>0.5</v>
      </c>
      <c r="F2005" s="16" t="n">
        <v>17</v>
      </c>
      <c r="G2005" s="14" t="n">
        <v>0.414518786277521</v>
      </c>
      <c r="H2005" s="15" t="n">
        <v>0.279596451735373</v>
      </c>
    </row>
    <row r="2006">
      <c r="A2006" t="s">
        <v>31</v>
      </c>
      <c r="B2006" t="s">
        <v>661</v>
      </c>
      <c r="C2006" t="s">
        <v>662</v>
      </c>
      <c r="D2006" t="s">
        <v>1021</v>
      </c>
      <c r="E2006" s="13" t="n">
        <v>0.5</v>
      </c>
      <c r="F2006" s="16" t="n">
        <v>96</v>
      </c>
      <c r="G2006" s="14" t="n">
        <v>-0.489073800366903</v>
      </c>
      <c r="H2006" s="15" t="n">
        <v>-0.10395584540888</v>
      </c>
    </row>
    <row r="2007">
      <c r="A2007" t="s">
        <v>31</v>
      </c>
      <c r="B2007" t="s">
        <v>661</v>
      </c>
      <c r="C2007" t="s">
        <v>663</v>
      </c>
      <c r="D2007" t="s">
        <v>1021</v>
      </c>
      <c r="E2007" s="13" t="n">
        <v>0</v>
      </c>
      <c r="F2007" s="16" t="n">
        <v>156</v>
      </c>
      <c r="G2007" s="14" t="n">
        <v>0</v>
      </c>
      <c r="H2007" s="15" t="n">
        <v>0</v>
      </c>
    </row>
    <row r="2008">
      <c r="A2008" t="s">
        <v>30</v>
      </c>
      <c r="B2008" t="s">
        <v>664</v>
      </c>
      <c r="C2008" t="s">
        <v>665</v>
      </c>
      <c r="D2008" t="s">
        <v>1021</v>
      </c>
      <c r="E2008" s="13" t="n">
        <v>0.25</v>
      </c>
      <c r="F2008" s="16" t="n">
        <v>8</v>
      </c>
      <c r="G2008" s="14" t="n">
        <v>0.24031542398458</v>
      </c>
      <c r="H2008" s="15" t="n">
        <v>0.0689093389542498</v>
      </c>
    </row>
    <row r="2009">
      <c r="A2009" t="s">
        <v>30</v>
      </c>
      <c r="B2009" t="s">
        <v>664</v>
      </c>
      <c r="C2009" t="s">
        <v>666</v>
      </c>
      <c r="D2009" t="s">
        <v>1021</v>
      </c>
      <c r="E2009" s="13" t="n">
        <v>0.5</v>
      </c>
      <c r="F2009" s="16" t="n">
        <v>7</v>
      </c>
      <c r="G2009" s="14" t="n">
        <v>0.485147863137998</v>
      </c>
      <c r="H2009" s="15" t="n">
        <v>0.120960947799834</v>
      </c>
    </row>
    <row r="2010">
      <c r="A2010" t="s">
        <v>30</v>
      </c>
      <c r="B2010" t="s">
        <v>667</v>
      </c>
      <c r="C2010" t="s">
        <v>668</v>
      </c>
      <c r="D2010" t="s">
        <v>1021</v>
      </c>
      <c r="E2010" s="13" t="n">
        <v>0.5</v>
      </c>
      <c r="F2010" s="16" t="n">
        <v>153</v>
      </c>
      <c r="G2010" s="14" t="n">
        <v>0.293892626146236</v>
      </c>
      <c r="H2010" s="15" t="n">
        <v>-0.404508497187474</v>
      </c>
    </row>
    <row r="2011">
      <c r="A2011" t="s">
        <v>30</v>
      </c>
      <c r="B2011" t="s">
        <v>669</v>
      </c>
      <c r="C2011" t="s">
        <v>670</v>
      </c>
      <c r="D2011" t="s">
        <v>1021</v>
      </c>
      <c r="E2011" s="13" t="n">
        <v>0.25</v>
      </c>
      <c r="F2011" s="16" t="n">
        <v>1</v>
      </c>
      <c r="G2011" s="14" t="n">
        <v>0.249847706754774</v>
      </c>
      <c r="H2011" s="15" t="n">
        <v>0.00872487417562524</v>
      </c>
    </row>
    <row r="2012">
      <c r="A2012" t="s">
        <v>30</v>
      </c>
      <c r="B2012" t="s">
        <v>669</v>
      </c>
      <c r="C2012" t="s">
        <v>671</v>
      </c>
      <c r="D2012" t="s">
        <v>1021</v>
      </c>
      <c r="E2012" s="13" t="n">
        <v>0.25</v>
      </c>
      <c r="F2012" s="16" t="n">
        <v>173</v>
      </c>
      <c r="G2012" s="14" t="n">
        <v>0.242573931568999</v>
      </c>
      <c r="H2012" s="15" t="n">
        <v>-0.0604804738999169</v>
      </c>
    </row>
    <row r="2013">
      <c r="A2013" t="s">
        <v>31</v>
      </c>
      <c r="B2013" t="s">
        <v>672</v>
      </c>
      <c r="C2013" t="s">
        <v>673</v>
      </c>
      <c r="D2013" t="s">
        <v>1021</v>
      </c>
      <c r="E2013" s="13" t="n">
        <v>0.25</v>
      </c>
      <c r="F2013" s="16" t="n">
        <v>112</v>
      </c>
      <c r="G2013" s="14" t="n">
        <v>-0.179834950084663</v>
      </c>
      <c r="H2013" s="15" t="n">
        <v>-0.173664592614749</v>
      </c>
    </row>
    <row r="2014">
      <c r="A2014" t="s">
        <v>31</v>
      </c>
      <c r="B2014" t="s">
        <v>672</v>
      </c>
      <c r="C2014" t="s">
        <v>674</v>
      </c>
      <c r="D2014" t="s">
        <v>1021</v>
      </c>
      <c r="E2014" s="13" t="n">
        <v>0.5</v>
      </c>
      <c r="F2014" s="16" t="n">
        <v>126</v>
      </c>
      <c r="G2014" s="14" t="n">
        <v>-0.154508497187474</v>
      </c>
      <c r="H2014" s="15" t="n">
        <v>-0.475528258147577</v>
      </c>
    </row>
    <row r="2015">
      <c r="A2015" t="s">
        <v>31</v>
      </c>
      <c r="B2015" t="s">
        <v>675</v>
      </c>
      <c r="C2015" t="s">
        <v>676</v>
      </c>
      <c r="D2015" t="s">
        <v>1021</v>
      </c>
      <c r="E2015" s="13" t="n">
        <v>0.25</v>
      </c>
      <c r="F2015" s="16" t="n">
        <v>22</v>
      </c>
      <c r="G2015" s="14" t="n">
        <v>0.179834950084663</v>
      </c>
      <c r="H2015" s="15" t="n">
        <v>0.173664592614749</v>
      </c>
    </row>
    <row r="2016">
      <c r="A2016" t="s">
        <v>31</v>
      </c>
      <c r="B2016" t="s">
        <v>677</v>
      </c>
      <c r="C2016" t="s">
        <v>678</v>
      </c>
      <c r="D2016" t="s">
        <v>1021</v>
      </c>
      <c r="E2016" s="13" t="n">
        <v>0.25</v>
      </c>
      <c r="F2016" s="16" t="n">
        <v>15</v>
      </c>
      <c r="G2016" s="14" t="n">
        <v>0.21650635094611</v>
      </c>
      <c r="H2016" s="15" t="n">
        <v>0.125</v>
      </c>
    </row>
    <row r="2017">
      <c r="A2017" t="s">
        <v>31</v>
      </c>
      <c r="B2017" t="s">
        <v>679</v>
      </c>
      <c r="C2017" t="s">
        <v>680</v>
      </c>
      <c r="D2017" t="s">
        <v>1021</v>
      </c>
      <c r="E2017" s="13" t="n">
        <v>0.5</v>
      </c>
      <c r="F2017" s="16" t="n">
        <v>83</v>
      </c>
      <c r="G2017" s="14" t="n">
        <v>-0.485147863137998</v>
      </c>
      <c r="H2017" s="15" t="n">
        <v>0.120960947799834</v>
      </c>
    </row>
    <row r="2018">
      <c r="A2018" t="s">
        <v>31</v>
      </c>
      <c r="B2018" t="s">
        <v>679</v>
      </c>
      <c r="C2018" t="s">
        <v>681</v>
      </c>
      <c r="D2018" t="s">
        <v>1021</v>
      </c>
      <c r="E2018" s="13" t="n">
        <v>0.25</v>
      </c>
      <c r="F2018" s="16" t="n">
        <v>102</v>
      </c>
      <c r="G2018" s="14" t="n">
        <v>-0.22838636441065</v>
      </c>
      <c r="H2018" s="15" t="n">
        <v>-0.10168416076895</v>
      </c>
    </row>
    <row r="2019">
      <c r="A2019" t="s">
        <v>31</v>
      </c>
      <c r="B2019" t="s">
        <v>682</v>
      </c>
      <c r="C2019" t="s">
        <v>683</v>
      </c>
      <c r="D2019" t="s">
        <v>1021</v>
      </c>
      <c r="E2019" s="13" t="n">
        <v>0.25</v>
      </c>
      <c r="F2019" s="16" t="n">
        <v>129</v>
      </c>
      <c r="G2019" s="14" t="n">
        <v>-0.0519779227044399</v>
      </c>
      <c r="H2019" s="15" t="n">
        <v>-0.244536900183451</v>
      </c>
    </row>
    <row r="2020">
      <c r="A2020" t="s">
        <v>31</v>
      </c>
      <c r="B2020" t="s">
        <v>682</v>
      </c>
      <c r="C2020" t="s">
        <v>684</v>
      </c>
      <c r="D2020" t="s">
        <v>1021</v>
      </c>
      <c r="E2020" s="13" t="n">
        <v>0.25</v>
      </c>
      <c r="F2020" s="16" t="n">
        <v>115</v>
      </c>
      <c r="G2020" s="14" t="n">
        <v>-0.160696902421635</v>
      </c>
      <c r="H2020" s="15" t="n">
        <v>-0.191511110779745</v>
      </c>
    </row>
    <row r="2021">
      <c r="A2021" t="s">
        <v>30</v>
      </c>
      <c r="B2021" t="s">
        <v>685</v>
      </c>
      <c r="C2021" t="s">
        <v>686</v>
      </c>
      <c r="D2021" t="s">
        <v>1021</v>
      </c>
      <c r="E2021" s="13" t="n">
        <v>0.25</v>
      </c>
      <c r="F2021" s="16" t="n">
        <v>21</v>
      </c>
      <c r="G2021" s="14" t="n">
        <v>0.185786206369349</v>
      </c>
      <c r="H2021" s="15" t="n">
        <v>0.167282651589715</v>
      </c>
    </row>
    <row r="2022">
      <c r="A2022" t="s">
        <v>30</v>
      </c>
      <c r="B2022" t="s">
        <v>685</v>
      </c>
      <c r="C2022" t="s">
        <v>687</v>
      </c>
      <c r="D2022" t="s">
        <v>1021</v>
      </c>
      <c r="E2022" s="13" t="n">
        <v>0.5</v>
      </c>
      <c r="F2022" s="16" t="n">
        <v>158</v>
      </c>
      <c r="G2022" s="14" t="n">
        <v>0.359669900169325</v>
      </c>
      <c r="H2022" s="15" t="n">
        <v>-0.347329185229499</v>
      </c>
    </row>
    <row r="2023">
      <c r="A2023" t="s">
        <v>31</v>
      </c>
      <c r="B2023" t="s">
        <v>688</v>
      </c>
      <c r="C2023" t="s">
        <v>689</v>
      </c>
      <c r="D2023" t="s">
        <v>1021</v>
      </c>
      <c r="E2023" s="13" t="n">
        <v>0</v>
      </c>
      <c r="F2023" s="16" t="n">
        <v>60</v>
      </c>
      <c r="G2023" s="14" t="n">
        <v>0</v>
      </c>
      <c r="H2023" s="15" t="n">
        <v>0</v>
      </c>
    </row>
    <row r="2024">
      <c r="A2024" t="s">
        <v>31</v>
      </c>
      <c r="B2024" t="s">
        <v>688</v>
      </c>
      <c r="C2024" t="s">
        <v>690</v>
      </c>
      <c r="D2024" t="s">
        <v>1021</v>
      </c>
      <c r="E2024" s="13" t="n">
        <v>0</v>
      </c>
      <c r="F2024" s="16" t="n">
        <v>50</v>
      </c>
      <c r="G2024" s="14" t="n">
        <v>0</v>
      </c>
      <c r="H2024" s="15" t="n">
        <v>0</v>
      </c>
    </row>
    <row r="2025">
      <c r="A2025" t="s">
        <v>31</v>
      </c>
      <c r="B2025" t="s">
        <v>691</v>
      </c>
      <c r="C2025" t="s">
        <v>692</v>
      </c>
      <c r="D2025" t="s">
        <v>1021</v>
      </c>
      <c r="E2025" s="13" t="n">
        <v>0.25</v>
      </c>
      <c r="F2025" s="16" t="n">
        <v>58</v>
      </c>
      <c r="G2025" s="14" t="n">
        <v>-0.109592786697269</v>
      </c>
      <c r="H2025" s="15" t="n">
        <v>0.224698511574792</v>
      </c>
    </row>
    <row r="2026">
      <c r="A2026" t="s">
        <v>31</v>
      </c>
      <c r="B2026" t="s">
        <v>691</v>
      </c>
      <c r="C2026" t="s">
        <v>693</v>
      </c>
      <c r="D2026" t="s">
        <v>1021</v>
      </c>
      <c r="E2026" s="13" t="n">
        <v>0.25</v>
      </c>
      <c r="F2026" s="16" t="n">
        <v>166</v>
      </c>
      <c r="G2026" s="14" t="n">
        <v>0.220736898214732</v>
      </c>
      <c r="H2026" s="15" t="n">
        <v>-0.117367890696473</v>
      </c>
    </row>
    <row r="2027">
      <c r="A2027" t="s">
        <v>31</v>
      </c>
      <c r="B2027" t="s">
        <v>694</v>
      </c>
      <c r="C2027" t="s">
        <v>695</v>
      </c>
      <c r="D2027" t="s">
        <v>1021</v>
      </c>
      <c r="E2027" s="13" t="n">
        <v>0.25</v>
      </c>
      <c r="F2027" s="16" t="n">
        <v>147</v>
      </c>
      <c r="G2027" s="14" t="n">
        <v>0.10168416076895</v>
      </c>
      <c r="H2027" s="15" t="n">
        <v>-0.22838636441065</v>
      </c>
    </row>
    <row r="2028">
      <c r="A2028" t="s">
        <v>31</v>
      </c>
      <c r="B2028" t="s">
        <v>696</v>
      </c>
      <c r="C2028" t="s">
        <v>697</v>
      </c>
      <c r="D2028" t="s">
        <v>1021</v>
      </c>
      <c r="E2028" s="13" t="n">
        <v>0.25</v>
      </c>
      <c r="F2028" s="16" t="n">
        <v>99</v>
      </c>
      <c r="G2028" s="14" t="n">
        <v>-0.237764129073788</v>
      </c>
      <c r="H2028" s="15" t="n">
        <v>-0.077254248593737</v>
      </c>
    </row>
    <row r="2029">
      <c r="A2029" t="s">
        <v>31</v>
      </c>
      <c r="B2029" t="s">
        <v>696</v>
      </c>
      <c r="C2029" t="s">
        <v>698</v>
      </c>
      <c r="D2029" t="s">
        <v>1021</v>
      </c>
      <c r="E2029" s="13" t="n">
        <v>0.5</v>
      </c>
      <c r="F2029" s="16" t="n">
        <v>36</v>
      </c>
      <c r="G2029" s="14" t="n">
        <v>0.154508497187474</v>
      </c>
      <c r="H2029" s="15" t="n">
        <v>0.475528258147577</v>
      </c>
    </row>
    <row r="2030">
      <c r="A2030" t="s">
        <v>30</v>
      </c>
      <c r="B2030" t="s">
        <v>699</v>
      </c>
      <c r="C2030" t="s">
        <v>700</v>
      </c>
      <c r="D2030" t="s">
        <v>1021</v>
      </c>
      <c r="E2030" s="13" t="n">
        <v>0.5</v>
      </c>
      <c r="F2030" s="16" t="n">
        <v>29</v>
      </c>
      <c r="G2030" s="14" t="n">
        <v>0.264959632116602</v>
      </c>
      <c r="H2030" s="15" t="n">
        <v>0.424024048078213</v>
      </c>
    </row>
    <row r="2031">
      <c r="A2031" t="s">
        <v>30</v>
      </c>
      <c r="B2031" t="s">
        <v>699</v>
      </c>
      <c r="C2031" t="s">
        <v>701</v>
      </c>
      <c r="D2031" t="s">
        <v>1021</v>
      </c>
      <c r="E2031" s="13" t="n">
        <v>0.5</v>
      </c>
      <c r="F2031" s="16" t="n">
        <v>162</v>
      </c>
      <c r="G2031" s="14" t="n">
        <v>0.404508497187474</v>
      </c>
      <c r="H2031" s="15" t="n">
        <v>-0.293892626146237</v>
      </c>
    </row>
    <row r="2032">
      <c r="A2032" t="s">
        <v>31</v>
      </c>
      <c r="B2032" t="s">
        <v>702</v>
      </c>
      <c r="C2032" t="s">
        <v>703</v>
      </c>
      <c r="D2032" t="s">
        <v>1021</v>
      </c>
      <c r="E2032" s="13" t="n">
        <v>0.25</v>
      </c>
      <c r="F2032" s="16" t="n">
        <v>155</v>
      </c>
      <c r="G2032" s="14" t="n">
        <v>0.160696902421635</v>
      </c>
      <c r="H2032" s="15" t="n">
        <v>-0.191511110779744</v>
      </c>
    </row>
    <row r="2033">
      <c r="A2033" t="s">
        <v>30</v>
      </c>
      <c r="B2033" t="s">
        <v>704</v>
      </c>
      <c r="C2033" t="s">
        <v>705</v>
      </c>
      <c r="D2033" t="s">
        <v>1021</v>
      </c>
      <c r="E2033" s="13" t="n">
        <v>0</v>
      </c>
      <c r="F2033" s="16" t="n">
        <v>49</v>
      </c>
      <c r="G2033" s="14" t="n">
        <v>0</v>
      </c>
      <c r="H2033" s="15" t="n">
        <v>0</v>
      </c>
    </row>
    <row r="2034">
      <c r="A2034" t="s">
        <v>30</v>
      </c>
      <c r="B2034" t="s">
        <v>706</v>
      </c>
      <c r="C2034" t="s">
        <v>707</v>
      </c>
      <c r="D2034" t="s">
        <v>1021</v>
      </c>
      <c r="E2034" s="13" t="n">
        <v>0.25</v>
      </c>
      <c r="F2034" s="16" t="n">
        <v>80</v>
      </c>
      <c r="G2034" s="14" t="n">
        <v>-0.234923155196477</v>
      </c>
      <c r="H2034" s="15" t="n">
        <v>0.0855050358314172</v>
      </c>
    </row>
    <row r="2035">
      <c r="A2035" t="s">
        <v>30</v>
      </c>
      <c r="B2035" t="s">
        <v>708</v>
      </c>
      <c r="C2035" t="s">
        <v>709</v>
      </c>
      <c r="D2035" t="s">
        <v>1021</v>
      </c>
      <c r="E2035" s="13" t="n">
        <v>0.25</v>
      </c>
      <c r="F2035" s="16" t="n">
        <v>170</v>
      </c>
      <c r="G2035" s="14" t="n">
        <v>0.234923155196477</v>
      </c>
      <c r="H2035" s="15" t="n">
        <v>-0.0855050358314172</v>
      </c>
    </row>
    <row r="2036">
      <c r="A2036" t="s">
        <v>30</v>
      </c>
      <c r="B2036" t="s">
        <v>708</v>
      </c>
      <c r="C2036" t="s">
        <v>710</v>
      </c>
      <c r="D2036" t="s">
        <v>1021</v>
      </c>
      <c r="E2036" s="13" t="n">
        <v>0.25</v>
      </c>
      <c r="F2036" s="16" t="n">
        <v>19</v>
      </c>
      <c r="G2036" s="14" t="n">
        <v>0.19700268840168</v>
      </c>
      <c r="H2036" s="15" t="n">
        <v>0.153915368831415</v>
      </c>
    </row>
    <row r="2037">
      <c r="A2037" t="s">
        <v>31</v>
      </c>
      <c r="B2037" t="s">
        <v>711</v>
      </c>
      <c r="C2037" t="s">
        <v>712</v>
      </c>
      <c r="D2037" t="s">
        <v>1021</v>
      </c>
      <c r="E2037" s="13" t="n">
        <v>0.25</v>
      </c>
      <c r="F2037" s="16" t="n">
        <v>135</v>
      </c>
      <c r="G2037" s="14" t="n">
        <v>0</v>
      </c>
      <c r="H2037" s="15" t="n">
        <v>-0.25</v>
      </c>
    </row>
    <row r="2038">
      <c r="A2038" t="s">
        <v>30</v>
      </c>
      <c r="B2038" t="s">
        <v>713</v>
      </c>
      <c r="C2038" t="s">
        <v>714</v>
      </c>
      <c r="D2038" t="s">
        <v>1021</v>
      </c>
      <c r="E2038" s="13" t="n">
        <v>0</v>
      </c>
      <c r="F2038" s="16" t="n">
        <v>110</v>
      </c>
      <c r="G2038" s="14" t="n">
        <v>0</v>
      </c>
      <c r="H2038" s="15" t="n">
        <v>0</v>
      </c>
    </row>
    <row r="2039">
      <c r="A2039" t="s">
        <v>30</v>
      </c>
      <c r="B2039" t="s">
        <v>715</v>
      </c>
      <c r="C2039" t="s">
        <v>716</v>
      </c>
      <c r="D2039" t="s">
        <v>1021</v>
      </c>
      <c r="E2039" s="13" t="n">
        <v>0</v>
      </c>
      <c r="F2039" s="16" t="n">
        <v>172</v>
      </c>
      <c r="G2039" s="14" t="n">
        <v>0</v>
      </c>
      <c r="H2039" s="15" t="n">
        <v>0</v>
      </c>
    </row>
    <row r="2040">
      <c r="A2040" t="s">
        <v>31</v>
      </c>
      <c r="B2040" t="s">
        <v>717</v>
      </c>
      <c r="C2040" t="s">
        <v>718</v>
      </c>
      <c r="D2040" t="s">
        <v>1021</v>
      </c>
      <c r="E2040" s="13" t="n">
        <v>0.25</v>
      </c>
      <c r="F2040" s="16" t="n">
        <v>144</v>
      </c>
      <c r="G2040" s="14" t="n">
        <v>0.0772542485937368</v>
      </c>
      <c r="H2040" s="15" t="n">
        <v>-0.237764129073788</v>
      </c>
    </row>
    <row r="2041">
      <c r="A2041" t="s">
        <v>30</v>
      </c>
      <c r="B2041" t="s">
        <v>719</v>
      </c>
      <c r="C2041" t="s">
        <v>720</v>
      </c>
      <c r="D2041" t="s">
        <v>1021</v>
      </c>
      <c r="E2041" s="13" t="n">
        <v>0.25</v>
      </c>
      <c r="F2041" s="16" t="n">
        <v>155</v>
      </c>
      <c r="G2041" s="14" t="n">
        <v>0.160696902421635</v>
      </c>
      <c r="H2041" s="15" t="n">
        <v>-0.191511110779744</v>
      </c>
    </row>
    <row r="2042">
      <c r="A2042" t="s">
        <v>30</v>
      </c>
      <c r="B2042" t="s">
        <v>719</v>
      </c>
      <c r="C2042" t="s">
        <v>721</v>
      </c>
      <c r="D2042" t="s">
        <v>1021</v>
      </c>
      <c r="E2042" s="13" t="n">
        <v>0.5</v>
      </c>
      <c r="F2042" s="16" t="n">
        <v>20</v>
      </c>
      <c r="G2042" s="14" t="n">
        <v>0.383022221559489</v>
      </c>
      <c r="H2042" s="15" t="n">
        <v>0.32139380484327</v>
      </c>
    </row>
    <row r="2043">
      <c r="A2043" t="s">
        <v>30</v>
      </c>
      <c r="B2043" t="s">
        <v>722</v>
      </c>
      <c r="C2043" t="s">
        <v>723</v>
      </c>
      <c r="D2043" t="s">
        <v>1021</v>
      </c>
      <c r="E2043" s="13" t="n">
        <v>0.25</v>
      </c>
      <c r="F2043" s="16" t="n">
        <v>149</v>
      </c>
      <c r="G2043" s="14" t="n">
        <v>0.117367890696473</v>
      </c>
      <c r="H2043" s="15" t="n">
        <v>-0.220736898214732</v>
      </c>
    </row>
    <row r="2044">
      <c r="A2044" t="s">
        <v>30</v>
      </c>
      <c r="B2044" t="s">
        <v>722</v>
      </c>
      <c r="C2044" t="s">
        <v>724</v>
      </c>
      <c r="D2044" t="s">
        <v>1021</v>
      </c>
      <c r="E2044" s="13" t="n">
        <v>0.25</v>
      </c>
      <c r="F2044" s="16" t="n">
        <v>28</v>
      </c>
      <c r="G2044" s="14" t="n">
        <v>0.139798225867687</v>
      </c>
      <c r="H2044" s="15" t="n">
        <v>0.20725939313876</v>
      </c>
    </row>
    <row r="2045">
      <c r="A2045" t="s">
        <v>30</v>
      </c>
      <c r="B2045" t="s">
        <v>725</v>
      </c>
      <c r="C2045" t="s">
        <v>726</v>
      </c>
      <c r="D2045" t="s">
        <v>1021</v>
      </c>
      <c r="E2045" s="13" t="n">
        <v>0</v>
      </c>
      <c r="F2045" s="16" t="n">
        <v>110</v>
      </c>
      <c r="G2045" s="14" t="n">
        <v>0</v>
      </c>
      <c r="H2045" s="15" t="n">
        <v>0</v>
      </c>
    </row>
    <row r="2046">
      <c r="A2046" t="s">
        <v>30</v>
      </c>
      <c r="B2046" t="s">
        <v>725</v>
      </c>
      <c r="C2046" t="s">
        <v>727</v>
      </c>
      <c r="D2046" t="s">
        <v>1021</v>
      </c>
      <c r="E2046" s="13" t="n">
        <v>0</v>
      </c>
      <c r="F2046" s="16" t="n">
        <v>119</v>
      </c>
      <c r="G2046" s="14" t="n">
        <v>0</v>
      </c>
      <c r="H2046" s="15" t="n">
        <v>0</v>
      </c>
    </row>
    <row r="2047">
      <c r="A2047" t="s">
        <v>31</v>
      </c>
      <c r="B2047" t="s">
        <v>728</v>
      </c>
      <c r="C2047" t="s">
        <v>729</v>
      </c>
      <c r="D2047" t="s">
        <v>1021</v>
      </c>
      <c r="E2047" s="13" t="n">
        <v>0.25</v>
      </c>
      <c r="F2047" s="16" t="n">
        <v>170</v>
      </c>
      <c r="G2047" s="14" t="n">
        <v>0.234923155196477</v>
      </c>
      <c r="H2047" s="15" t="n">
        <v>-0.0855050358314172</v>
      </c>
    </row>
    <row r="2048">
      <c r="A2048" t="s">
        <v>31</v>
      </c>
      <c r="B2048" t="s">
        <v>728</v>
      </c>
      <c r="C2048" t="s">
        <v>730</v>
      </c>
      <c r="D2048" t="s">
        <v>1021</v>
      </c>
      <c r="E2048" s="13" t="n">
        <v>0.25</v>
      </c>
      <c r="F2048" s="16" t="n">
        <v>177</v>
      </c>
      <c r="G2048" s="14" t="n">
        <v>0.248630473842068</v>
      </c>
      <c r="H2048" s="15" t="n">
        <v>-0.0261321158169134</v>
      </c>
    </row>
    <row r="2049">
      <c r="A2049" t="s">
        <v>30</v>
      </c>
      <c r="B2049" t="s">
        <v>731</v>
      </c>
      <c r="C2049" t="s">
        <v>732</v>
      </c>
      <c r="D2049" t="s">
        <v>1021</v>
      </c>
      <c r="E2049" s="13" t="n">
        <v>0</v>
      </c>
      <c r="F2049" s="16" t="n">
        <v>51</v>
      </c>
      <c r="G2049" s="14" t="n">
        <v>0</v>
      </c>
      <c r="H2049" s="15" t="n">
        <v>0</v>
      </c>
    </row>
    <row r="2050">
      <c r="A2050" t="s">
        <v>30</v>
      </c>
      <c r="B2050" t="s">
        <v>731</v>
      </c>
      <c r="C2050" t="s">
        <v>733</v>
      </c>
      <c r="D2050" t="s">
        <v>1021</v>
      </c>
      <c r="E2050" s="13" t="n">
        <v>0.25</v>
      </c>
      <c r="F2050" s="16" t="n">
        <v>155</v>
      </c>
      <c r="G2050" s="14" t="n">
        <v>0.160696902421635</v>
      </c>
      <c r="H2050" s="15" t="n">
        <v>-0.191511110779744</v>
      </c>
    </row>
    <row r="2051">
      <c r="A2051" t="s">
        <v>30</v>
      </c>
      <c r="B2051" t="s">
        <v>734</v>
      </c>
      <c r="C2051" t="s">
        <v>735</v>
      </c>
      <c r="D2051" t="s">
        <v>1021</v>
      </c>
      <c r="E2051" s="13" t="n">
        <v>0.25</v>
      </c>
      <c r="F2051" s="16" t="n">
        <v>110</v>
      </c>
      <c r="G2051" s="14" t="n">
        <v>-0.191511110779745</v>
      </c>
      <c r="H2051" s="15" t="n">
        <v>-0.160696902421635</v>
      </c>
    </row>
    <row r="2052">
      <c r="A2052" t="s">
        <v>30</v>
      </c>
      <c r="B2052" t="s">
        <v>734</v>
      </c>
      <c r="C2052" t="s">
        <v>736</v>
      </c>
      <c r="D2052" t="s">
        <v>1021</v>
      </c>
      <c r="E2052" s="13" t="n">
        <v>0.25</v>
      </c>
      <c r="F2052" s="16" t="n">
        <v>69</v>
      </c>
      <c r="G2052" s="14" t="n">
        <v>-0.185786206369349</v>
      </c>
      <c r="H2052" s="15" t="n">
        <v>0.167282651589715</v>
      </c>
    </row>
    <row r="2053">
      <c r="A2053" t="s">
        <v>30</v>
      </c>
      <c r="B2053" t="s">
        <v>737</v>
      </c>
      <c r="C2053" t="s">
        <v>738</v>
      </c>
      <c r="D2053" t="s">
        <v>1021</v>
      </c>
      <c r="E2053" s="13" t="n">
        <v>0.25</v>
      </c>
      <c r="F2053" s="16" t="n">
        <v>6</v>
      </c>
      <c r="G2053" s="14" t="n">
        <v>0.244536900183451</v>
      </c>
      <c r="H2053" s="15" t="n">
        <v>0.0519779227044398</v>
      </c>
    </row>
    <row r="2054">
      <c r="A2054" t="s">
        <v>30</v>
      </c>
      <c r="B2054" t="s">
        <v>737</v>
      </c>
      <c r="C2054" t="s">
        <v>739</v>
      </c>
      <c r="D2054" t="s">
        <v>1021</v>
      </c>
      <c r="E2054" s="13" t="n">
        <v>0.25</v>
      </c>
      <c r="F2054" s="16" t="n">
        <v>79</v>
      </c>
      <c r="G2054" s="14" t="n">
        <v>-0.231795963641697</v>
      </c>
      <c r="H2054" s="15" t="n">
        <v>0.0936516483539781</v>
      </c>
    </row>
    <row r="2055">
      <c r="A2055" t="s">
        <v>31</v>
      </c>
      <c r="B2055" t="s">
        <v>740</v>
      </c>
      <c r="C2055" t="s">
        <v>741</v>
      </c>
      <c r="D2055" t="s">
        <v>1021</v>
      </c>
      <c r="E2055" s="13" t="n">
        <v>0</v>
      </c>
      <c r="F2055" s="16" t="n">
        <v>90</v>
      </c>
      <c r="G2055" s="14" t="n">
        <v>0</v>
      </c>
      <c r="H2055" s="15" t="n">
        <v>0</v>
      </c>
    </row>
    <row r="2056">
      <c r="A2056" t="s">
        <v>31</v>
      </c>
      <c r="B2056" t="s">
        <v>740</v>
      </c>
      <c r="C2056" t="s">
        <v>742</v>
      </c>
      <c r="D2056" t="s">
        <v>1021</v>
      </c>
      <c r="E2056" s="13" t="n">
        <v>0.25</v>
      </c>
      <c r="F2056" s="16" t="n">
        <v>26</v>
      </c>
      <c r="G2056" s="14" t="n">
        <v>0.153915368831415</v>
      </c>
      <c r="H2056" s="15" t="n">
        <v>0.19700268840168</v>
      </c>
    </row>
    <row r="2057">
      <c r="A2057" t="s">
        <v>30</v>
      </c>
      <c r="B2057" t="s">
        <v>743</v>
      </c>
      <c r="C2057" t="s">
        <v>744</v>
      </c>
      <c r="D2057" t="s">
        <v>1021</v>
      </c>
      <c r="E2057" s="13" t="n">
        <v>0.5</v>
      </c>
      <c r="F2057" s="16" t="n">
        <v>8</v>
      </c>
      <c r="G2057" s="14" t="n">
        <v>0.480630847969159</v>
      </c>
      <c r="H2057" s="15" t="n">
        <v>0.1378186779085</v>
      </c>
    </row>
    <row r="2058">
      <c r="A2058" t="s">
        <v>30</v>
      </c>
      <c r="B2058" t="s">
        <v>743</v>
      </c>
      <c r="C2058" t="s">
        <v>745</v>
      </c>
      <c r="D2058" t="s">
        <v>1021</v>
      </c>
      <c r="E2058" s="13" t="n">
        <v>0.25</v>
      </c>
      <c r="F2058" s="16" t="n">
        <v>177</v>
      </c>
      <c r="G2058" s="14" t="n">
        <v>0.248630473842068</v>
      </c>
      <c r="H2058" s="15" t="n">
        <v>-0.0261321158169134</v>
      </c>
    </row>
    <row r="2059">
      <c r="A2059" t="s">
        <v>30</v>
      </c>
      <c r="B2059" t="s">
        <v>746</v>
      </c>
      <c r="C2059" t="s">
        <v>747</v>
      </c>
      <c r="D2059" t="s">
        <v>1021</v>
      </c>
      <c r="E2059" s="13" t="n">
        <v>1</v>
      </c>
      <c r="F2059" s="16" t="n">
        <v>122</v>
      </c>
      <c r="G2059" s="14" t="n">
        <v>-0.438371146789078</v>
      </c>
      <c r="H2059" s="15" t="n">
        <v>-0.898794046299167</v>
      </c>
    </row>
    <row r="2060">
      <c r="A2060" t="s">
        <v>31</v>
      </c>
      <c r="B2060" t="s">
        <v>748</v>
      </c>
      <c r="C2060" t="s">
        <v>749</v>
      </c>
      <c r="D2060" t="s">
        <v>1021</v>
      </c>
      <c r="E2060" s="13" t="n">
        <v>0.25</v>
      </c>
      <c r="F2060" s="16" t="n">
        <v>0</v>
      </c>
      <c r="G2060" s="14" t="n">
        <v>0.25</v>
      </c>
      <c r="H2060" s="15" t="n">
        <v>0</v>
      </c>
    </row>
    <row r="2061">
      <c r="A2061" t="s">
        <v>31</v>
      </c>
      <c r="B2061" t="s">
        <v>748</v>
      </c>
      <c r="C2061" t="s">
        <v>750</v>
      </c>
      <c r="D2061" t="s">
        <v>1021</v>
      </c>
      <c r="E2061" s="13" t="n">
        <v>0</v>
      </c>
      <c r="F2061" s="16" t="n">
        <v>72</v>
      </c>
      <c r="G2061" s="14" t="n">
        <v>0</v>
      </c>
      <c r="H2061" s="15" t="n">
        <v>0</v>
      </c>
    </row>
    <row r="2062">
      <c r="A2062" t="s">
        <v>30</v>
      </c>
      <c r="B2062" t="s">
        <v>751</v>
      </c>
      <c r="C2062" t="s">
        <v>752</v>
      </c>
      <c r="D2062" t="s">
        <v>1021</v>
      </c>
      <c r="E2062" s="13" t="n">
        <v>0</v>
      </c>
      <c r="F2062" s="16" t="n">
        <v>104</v>
      </c>
      <c r="G2062" s="14" t="n">
        <v>0</v>
      </c>
      <c r="H2062" s="15" t="n">
        <v>0</v>
      </c>
    </row>
    <row r="2063">
      <c r="A2063" t="s">
        <v>30</v>
      </c>
      <c r="B2063" t="s">
        <v>753</v>
      </c>
      <c r="C2063" t="s">
        <v>754</v>
      </c>
      <c r="D2063" t="s">
        <v>1021</v>
      </c>
      <c r="E2063" s="13" t="n">
        <v>0.5</v>
      </c>
      <c r="F2063" s="16" t="n">
        <v>174</v>
      </c>
      <c r="G2063" s="14" t="n">
        <v>0.489073800366903</v>
      </c>
      <c r="H2063" s="15" t="n">
        <v>-0.10395584540888</v>
      </c>
    </row>
    <row r="2064">
      <c r="A2064" t="s">
        <v>30</v>
      </c>
      <c r="B2064" t="s">
        <v>753</v>
      </c>
      <c r="C2064" t="s">
        <v>755</v>
      </c>
      <c r="D2064" t="s">
        <v>1021</v>
      </c>
      <c r="E2064" s="13" t="n">
        <v>0.75</v>
      </c>
      <c r="F2064" s="16" t="n">
        <v>1</v>
      </c>
      <c r="G2064" s="14" t="n">
        <v>0.749543120264322</v>
      </c>
      <c r="H2064" s="15" t="n">
        <v>0.0261746225268757</v>
      </c>
    </row>
    <row r="2065">
      <c r="A2065" t="s">
        <v>30</v>
      </c>
      <c r="B2065" t="s">
        <v>756</v>
      </c>
      <c r="C2065" t="s">
        <v>757</v>
      </c>
      <c r="D2065" t="s">
        <v>1021</v>
      </c>
      <c r="E2065" s="13" t="n">
        <v>0.5</v>
      </c>
      <c r="F2065" s="16" t="n">
        <v>161</v>
      </c>
      <c r="G2065" s="14" t="n">
        <v>0.394005376803361</v>
      </c>
      <c r="H2065" s="15" t="n">
        <v>-0.307830737662829</v>
      </c>
    </row>
    <row r="2066">
      <c r="A2066" t="s">
        <v>31</v>
      </c>
      <c r="B2066" t="s">
        <v>758</v>
      </c>
      <c r="C2066" t="s">
        <v>759</v>
      </c>
      <c r="D2066" t="s">
        <v>1021</v>
      </c>
      <c r="E2066" s="13" t="n">
        <v>0.25</v>
      </c>
      <c r="F2066" s="16" t="n">
        <v>29</v>
      </c>
      <c r="G2066" s="14" t="n">
        <v>0.132479816058301</v>
      </c>
      <c r="H2066" s="15" t="n">
        <v>0.212012024039106</v>
      </c>
    </row>
    <row r="2067">
      <c r="A2067" t="s">
        <v>30</v>
      </c>
      <c r="B2067" t="s">
        <v>760</v>
      </c>
      <c r="C2067" t="s">
        <v>761</v>
      </c>
      <c r="D2067" t="s">
        <v>1021</v>
      </c>
      <c r="E2067" s="13" t="n">
        <v>1.5</v>
      </c>
      <c r="F2067" s="16" t="n">
        <v>55</v>
      </c>
      <c r="G2067" s="14" t="n">
        <v>-0.513030214988503</v>
      </c>
      <c r="H2067" s="15" t="n">
        <v>1.40953893117886</v>
      </c>
    </row>
    <row r="2068">
      <c r="A2068" t="s">
        <v>30</v>
      </c>
      <c r="B2068" t="s">
        <v>760</v>
      </c>
      <c r="C2068" t="s">
        <v>762</v>
      </c>
      <c r="D2068" t="s">
        <v>1021</v>
      </c>
      <c r="E2068" s="13" t="n">
        <v>0.5</v>
      </c>
      <c r="F2068" s="16" t="n">
        <v>77</v>
      </c>
      <c r="G2068" s="14" t="n">
        <v>-0.449397023149583</v>
      </c>
      <c r="H2068" s="15" t="n">
        <v>0.219185573394539</v>
      </c>
    </row>
    <row r="2069">
      <c r="A2069" t="s">
        <v>31</v>
      </c>
      <c r="B2069" t="s">
        <v>763</v>
      </c>
      <c r="C2069" t="s">
        <v>764</v>
      </c>
      <c r="D2069" t="s">
        <v>1021</v>
      </c>
      <c r="E2069" s="13" t="n">
        <v>0.25</v>
      </c>
      <c r="F2069" s="16" t="n">
        <v>43</v>
      </c>
      <c r="G2069" s="14" t="n">
        <v>0.0174391184360313</v>
      </c>
      <c r="H2069" s="15" t="n">
        <v>0.249391012564956</v>
      </c>
    </row>
    <row r="2070">
      <c r="A2070" t="s">
        <v>31</v>
      </c>
      <c r="B2070" t="s">
        <v>765</v>
      </c>
      <c r="C2070" t="s">
        <v>766</v>
      </c>
      <c r="D2070" t="s">
        <v>1021</v>
      </c>
      <c r="E2070" s="13" t="n">
        <v>0.25</v>
      </c>
      <c r="F2070" s="16" t="n">
        <v>153</v>
      </c>
      <c r="G2070" s="14" t="n">
        <v>0.146946313073118</v>
      </c>
      <c r="H2070" s="15" t="n">
        <v>-0.202254248593737</v>
      </c>
    </row>
    <row r="2071">
      <c r="A2071" t="s">
        <v>31</v>
      </c>
      <c r="B2071" t="s">
        <v>765</v>
      </c>
      <c r="C2071" t="s">
        <v>767</v>
      </c>
      <c r="D2071" t="s">
        <v>1021</v>
      </c>
      <c r="E2071" s="13" t="n">
        <v>0.25</v>
      </c>
      <c r="F2071" s="16" t="n">
        <v>162</v>
      </c>
      <c r="G2071" s="14" t="n">
        <v>0.202254248593737</v>
      </c>
      <c r="H2071" s="15" t="n">
        <v>-0.146946313073118</v>
      </c>
    </row>
    <row r="2072">
      <c r="A2072" t="s">
        <v>31</v>
      </c>
      <c r="B2072" t="s">
        <v>768</v>
      </c>
      <c r="C2072" t="s">
        <v>769</v>
      </c>
      <c r="D2072" t="s">
        <v>1021</v>
      </c>
      <c r="E2072" s="13" t="n">
        <v>0.5</v>
      </c>
      <c r="F2072" s="16" t="n">
        <v>105</v>
      </c>
      <c r="G2072" s="14" t="n">
        <v>-0.433012701892219</v>
      </c>
      <c r="H2072" s="15" t="n">
        <v>-0.25</v>
      </c>
    </row>
    <row r="2073">
      <c r="A2073" t="s">
        <v>31</v>
      </c>
      <c r="B2073" t="s">
        <v>768</v>
      </c>
      <c r="C2073" t="s">
        <v>770</v>
      </c>
      <c r="D2073" t="s">
        <v>1021</v>
      </c>
      <c r="E2073" s="13" t="n">
        <v>0.25</v>
      </c>
      <c r="F2073" s="16" t="n">
        <v>58</v>
      </c>
      <c r="G2073" s="14" t="n">
        <v>-0.109592786697269</v>
      </c>
      <c r="H2073" s="15" t="n">
        <v>0.224698511574792</v>
      </c>
    </row>
    <row r="2074">
      <c r="A2074" t="s">
        <v>30</v>
      </c>
      <c r="B2074" t="s">
        <v>771</v>
      </c>
      <c r="C2074" t="s">
        <v>772</v>
      </c>
      <c r="D2074" t="s">
        <v>1021</v>
      </c>
      <c r="E2074" s="13" t="n">
        <v>0.75</v>
      </c>
      <c r="F2074" s="16" t="n">
        <v>60</v>
      </c>
      <c r="G2074" s="14" t="n">
        <v>-0.375</v>
      </c>
      <c r="H2074" s="15" t="n">
        <v>0.649519052838329</v>
      </c>
    </row>
    <row r="2075">
      <c r="A2075" t="s">
        <v>30</v>
      </c>
      <c r="B2075" t="s">
        <v>771</v>
      </c>
      <c r="C2075" t="s">
        <v>773</v>
      </c>
      <c r="D2075" t="s">
        <v>1021</v>
      </c>
      <c r="E2075" s="13" t="n">
        <v>0.25</v>
      </c>
      <c r="F2075" s="16" t="n">
        <v>78</v>
      </c>
      <c r="G2075" s="14" t="n">
        <v>-0.22838636441065</v>
      </c>
      <c r="H2075" s="15" t="n">
        <v>0.10168416076895</v>
      </c>
    </row>
    <row r="2076">
      <c r="A2076" t="s">
        <v>30</v>
      </c>
      <c r="B2076" t="s">
        <v>774</v>
      </c>
      <c r="C2076" t="s">
        <v>775</v>
      </c>
      <c r="D2076" t="s">
        <v>1021</v>
      </c>
      <c r="E2076" s="13" t="n">
        <v>0.25</v>
      </c>
      <c r="F2076" s="16" t="n">
        <v>76</v>
      </c>
      <c r="G2076" s="14" t="n">
        <v>-0.220736898214732</v>
      </c>
      <c r="H2076" s="15" t="n">
        <v>0.117367890696473</v>
      </c>
    </row>
    <row r="2077">
      <c r="A2077" t="s">
        <v>31</v>
      </c>
      <c r="B2077" t="s">
        <v>776</v>
      </c>
      <c r="C2077" t="s">
        <v>777</v>
      </c>
      <c r="D2077" t="s">
        <v>1021</v>
      </c>
      <c r="E2077" s="13" t="n">
        <v>0</v>
      </c>
      <c r="F2077" s="16" t="n">
        <v>64</v>
      </c>
      <c r="G2077" s="14" t="n">
        <v>0</v>
      </c>
      <c r="H2077" s="15" t="n">
        <v>0</v>
      </c>
    </row>
    <row r="2078">
      <c r="A2078" t="s">
        <v>30</v>
      </c>
      <c r="B2078" t="s">
        <v>778</v>
      </c>
      <c r="C2078" t="s">
        <v>779</v>
      </c>
      <c r="D2078" t="s">
        <v>1021</v>
      </c>
      <c r="E2078" s="13" t="n">
        <v>0</v>
      </c>
      <c r="F2078" s="16" t="n">
        <v>47</v>
      </c>
      <c r="G2078" s="14" t="n">
        <v>0</v>
      </c>
      <c r="H2078" s="15" t="n">
        <v>0</v>
      </c>
    </row>
    <row r="2079">
      <c r="A2079" t="s">
        <v>30</v>
      </c>
      <c r="B2079" t="s">
        <v>778</v>
      </c>
      <c r="C2079" t="s">
        <v>780</v>
      </c>
      <c r="D2079" t="s">
        <v>1021</v>
      </c>
      <c r="E2079" s="13" t="n">
        <v>0</v>
      </c>
      <c r="F2079" s="16" t="n">
        <v>121</v>
      </c>
      <c r="G2079" s="14" t="n">
        <v>0</v>
      </c>
      <c r="H2079" s="15" t="n">
        <v>0</v>
      </c>
    </row>
    <row r="2080">
      <c r="A2080" t="s">
        <v>31</v>
      </c>
      <c r="B2080" t="s">
        <v>781</v>
      </c>
      <c r="C2080" t="s">
        <v>782</v>
      </c>
      <c r="D2080" t="s">
        <v>1021</v>
      </c>
      <c r="E2080" s="13" t="n">
        <v>0.25</v>
      </c>
      <c r="F2080" s="16" t="n">
        <v>62</v>
      </c>
      <c r="G2080" s="14" t="n">
        <v>-0.139798225867687</v>
      </c>
      <c r="H2080" s="15" t="n">
        <v>0.20725939313876</v>
      </c>
    </row>
    <row r="2081">
      <c r="A2081" t="s">
        <v>31</v>
      </c>
      <c r="B2081" t="s">
        <v>781</v>
      </c>
      <c r="C2081" t="s">
        <v>783</v>
      </c>
      <c r="D2081" t="s">
        <v>1021</v>
      </c>
      <c r="E2081" s="13" t="n">
        <v>0</v>
      </c>
      <c r="F2081" s="16" t="n">
        <v>52</v>
      </c>
      <c r="G2081" s="14" t="n">
        <v>0</v>
      </c>
      <c r="H2081" s="15" t="n">
        <v>0</v>
      </c>
    </row>
    <row r="2082">
      <c r="A2082" t="s">
        <v>31</v>
      </c>
      <c r="B2082" t="s">
        <v>784</v>
      </c>
      <c r="C2082" t="s">
        <v>785</v>
      </c>
      <c r="D2082" t="s">
        <v>1021</v>
      </c>
      <c r="E2082" s="13" t="n">
        <v>0.25</v>
      </c>
      <c r="F2082" s="16" t="n">
        <v>99</v>
      </c>
      <c r="G2082" s="14" t="n">
        <v>-0.237764129073788</v>
      </c>
      <c r="H2082" s="15" t="n">
        <v>-0.077254248593737</v>
      </c>
    </row>
    <row r="2083">
      <c r="A2083" t="s">
        <v>31</v>
      </c>
      <c r="B2083" t="s">
        <v>784</v>
      </c>
      <c r="C2083" t="s">
        <v>786</v>
      </c>
      <c r="D2083" t="s">
        <v>1021</v>
      </c>
      <c r="E2083" s="13" t="n">
        <v>0.25</v>
      </c>
      <c r="F2083" s="16" t="n">
        <v>67</v>
      </c>
      <c r="G2083" s="14" t="n">
        <v>-0.173664592614749</v>
      </c>
      <c r="H2083" s="15" t="n">
        <v>0.179834950084663</v>
      </c>
    </row>
    <row r="2084">
      <c r="A2084" t="s">
        <v>31</v>
      </c>
      <c r="B2084" t="s">
        <v>787</v>
      </c>
      <c r="C2084" t="s">
        <v>788</v>
      </c>
      <c r="D2084" t="s">
        <v>1021</v>
      </c>
      <c r="E2084" s="13" t="n">
        <v>0</v>
      </c>
      <c r="F2084" s="16" t="n">
        <v>100</v>
      </c>
      <c r="G2084" s="14" t="n">
        <v>0</v>
      </c>
      <c r="H2084" s="15" t="n">
        <v>0</v>
      </c>
    </row>
    <row r="2085">
      <c r="A2085" t="s">
        <v>31</v>
      </c>
      <c r="B2085" t="s">
        <v>787</v>
      </c>
      <c r="C2085" t="s">
        <v>789</v>
      </c>
      <c r="D2085" t="s">
        <v>1021</v>
      </c>
      <c r="E2085" s="13" t="n">
        <v>0.25</v>
      </c>
      <c r="F2085" s="16" t="n">
        <v>2</v>
      </c>
      <c r="G2085" s="14" t="n">
        <v>0.249391012564956</v>
      </c>
      <c r="H2085" s="15" t="n">
        <v>0.0174391184360313</v>
      </c>
    </row>
    <row r="2086">
      <c r="A2086" t="s">
        <v>31</v>
      </c>
      <c r="B2086" t="s">
        <v>790</v>
      </c>
      <c r="C2086" t="s">
        <v>791</v>
      </c>
      <c r="D2086" t="s">
        <v>1021</v>
      </c>
      <c r="E2086" s="13" t="n">
        <v>0</v>
      </c>
      <c r="F2086" s="16" t="n">
        <v>76</v>
      </c>
      <c r="G2086" s="14" t="n">
        <v>0</v>
      </c>
      <c r="H2086" s="15" t="n">
        <v>0</v>
      </c>
    </row>
    <row r="2087">
      <c r="A2087" t="s">
        <v>31</v>
      </c>
      <c r="B2087" t="s">
        <v>790</v>
      </c>
      <c r="C2087" t="s">
        <v>792</v>
      </c>
      <c r="D2087" t="s">
        <v>1021</v>
      </c>
      <c r="E2087" s="13" t="n">
        <v>0.25</v>
      </c>
      <c r="F2087" s="16" t="n">
        <v>51</v>
      </c>
      <c r="G2087" s="14" t="n">
        <v>-0.0519779227044398</v>
      </c>
      <c r="H2087" s="15" t="n">
        <v>0.244536900183451</v>
      </c>
    </row>
    <row r="2088">
      <c r="A2088" t="s">
        <v>31</v>
      </c>
      <c r="B2088" t="s">
        <v>793</v>
      </c>
      <c r="C2088" t="s">
        <v>794</v>
      </c>
      <c r="D2088" t="s">
        <v>1021</v>
      </c>
      <c r="E2088" s="13" t="n">
        <v>0.25</v>
      </c>
      <c r="F2088" s="16" t="n">
        <v>2</v>
      </c>
      <c r="G2088" s="14" t="n">
        <v>0.249391012564956</v>
      </c>
      <c r="H2088" s="15" t="n">
        <v>0.0174391184360313</v>
      </c>
    </row>
    <row r="2089">
      <c r="A2089" t="s">
        <v>31</v>
      </c>
      <c r="B2089" t="s">
        <v>793</v>
      </c>
      <c r="C2089" t="s">
        <v>795</v>
      </c>
      <c r="D2089" t="s">
        <v>1021</v>
      </c>
      <c r="E2089" s="13" t="n">
        <v>0.25</v>
      </c>
      <c r="F2089" s="16" t="n">
        <v>64</v>
      </c>
      <c r="G2089" s="14" t="n">
        <v>-0.153915368831415</v>
      </c>
      <c r="H2089" s="15" t="n">
        <v>0.197002688401681</v>
      </c>
    </row>
    <row r="2090">
      <c r="A2090" t="s">
        <v>30</v>
      </c>
      <c r="B2090" t="s">
        <v>796</v>
      </c>
      <c r="C2090" t="s">
        <v>797</v>
      </c>
      <c r="D2090" t="s">
        <v>1021</v>
      </c>
      <c r="E2090" s="13" t="n">
        <v>0.5</v>
      </c>
      <c r="F2090" s="16" t="n">
        <v>159</v>
      </c>
      <c r="G2090" s="14" t="n">
        <v>0.371572412738697</v>
      </c>
      <c r="H2090" s="15" t="n">
        <v>-0.334565303179429</v>
      </c>
    </row>
    <row r="2091">
      <c r="A2091" t="s">
        <v>30</v>
      </c>
      <c r="B2091" t="s">
        <v>796</v>
      </c>
      <c r="C2091" t="s">
        <v>798</v>
      </c>
      <c r="D2091" t="s">
        <v>1021</v>
      </c>
      <c r="E2091" s="13" t="n">
        <v>0.25</v>
      </c>
      <c r="F2091" s="16" t="n">
        <v>160</v>
      </c>
      <c r="G2091" s="14" t="n">
        <v>0.191511110779744</v>
      </c>
      <c r="H2091" s="15" t="n">
        <v>-0.160696902421635</v>
      </c>
    </row>
    <row r="2092">
      <c r="A2092" t="s">
        <v>31</v>
      </c>
      <c r="B2092" t="s">
        <v>799</v>
      </c>
      <c r="C2092" t="s">
        <v>800</v>
      </c>
      <c r="D2092" t="s">
        <v>1021</v>
      </c>
      <c r="E2092" s="13" t="n">
        <v>0</v>
      </c>
      <c r="F2092" s="16" t="n">
        <v>152</v>
      </c>
      <c r="G2092" s="14" t="n">
        <v>0</v>
      </c>
      <c r="H2092" s="15" t="n">
        <v>0</v>
      </c>
    </row>
    <row r="2093">
      <c r="A2093" t="s">
        <v>30</v>
      </c>
      <c r="B2093" t="s">
        <v>801</v>
      </c>
      <c r="C2093" t="s">
        <v>802</v>
      </c>
      <c r="D2093" t="s">
        <v>1021</v>
      </c>
      <c r="E2093" s="13" t="n">
        <v>0.25</v>
      </c>
      <c r="F2093" s="16" t="n">
        <v>122</v>
      </c>
      <c r="G2093" s="14" t="n">
        <v>-0.109592786697269</v>
      </c>
      <c r="H2093" s="15" t="n">
        <v>-0.224698511574792</v>
      </c>
    </row>
    <row r="2094">
      <c r="A2094" t="s">
        <v>30</v>
      </c>
      <c r="B2094" t="s">
        <v>801</v>
      </c>
      <c r="C2094" t="s">
        <v>803</v>
      </c>
      <c r="D2094" t="s">
        <v>1021</v>
      </c>
      <c r="E2094" s="13" t="n">
        <v>0.25</v>
      </c>
      <c r="F2094" s="16" t="n">
        <v>78</v>
      </c>
      <c r="G2094" s="14" t="n">
        <v>-0.22838636441065</v>
      </c>
      <c r="H2094" s="15" t="n">
        <v>0.10168416076895</v>
      </c>
    </row>
    <row r="2095">
      <c r="A2095" t="s">
        <v>30</v>
      </c>
      <c r="B2095" t="s">
        <v>804</v>
      </c>
      <c r="C2095" t="s">
        <v>805</v>
      </c>
      <c r="D2095" t="s">
        <v>1021</v>
      </c>
      <c r="E2095" s="13" t="n">
        <v>0.5</v>
      </c>
      <c r="F2095" s="16" t="n">
        <v>39</v>
      </c>
      <c r="G2095" s="14" t="n">
        <v>0.10395584540888</v>
      </c>
      <c r="H2095" s="15" t="n">
        <v>0.489073800366903</v>
      </c>
    </row>
    <row r="2096">
      <c r="A2096" t="s">
        <v>31</v>
      </c>
      <c r="B2096" t="s">
        <v>806</v>
      </c>
      <c r="C2096" t="s">
        <v>807</v>
      </c>
      <c r="D2096" t="s">
        <v>1021</v>
      </c>
      <c r="E2096" s="13" t="n">
        <v>0.25</v>
      </c>
      <c r="F2096" s="16" t="n">
        <v>75</v>
      </c>
      <c r="G2096" s="14" t="n">
        <v>-0.21650635094611</v>
      </c>
      <c r="H2096" s="15" t="n">
        <v>0.125</v>
      </c>
    </row>
    <row r="2097">
      <c r="A2097" t="s">
        <v>31</v>
      </c>
      <c r="B2097" t="s">
        <v>806</v>
      </c>
      <c r="C2097" t="s">
        <v>808</v>
      </c>
      <c r="D2097" t="s">
        <v>1021</v>
      </c>
      <c r="E2097" s="13" t="n">
        <v>0.25</v>
      </c>
      <c r="F2097" s="16" t="n">
        <v>120</v>
      </c>
      <c r="G2097" s="14" t="n">
        <v>-0.125</v>
      </c>
      <c r="H2097" s="15" t="n">
        <v>-0.21650635094611</v>
      </c>
    </row>
    <row r="2098">
      <c r="A2098" t="s">
        <v>30</v>
      </c>
      <c r="B2098" t="s">
        <v>809</v>
      </c>
      <c r="C2098" t="s">
        <v>810</v>
      </c>
      <c r="D2098" t="s">
        <v>1021</v>
      </c>
      <c r="E2098" s="13" t="n">
        <v>0.25</v>
      </c>
      <c r="F2098" s="16" t="n">
        <v>34</v>
      </c>
      <c r="G2098" s="14" t="n">
        <v>0.093651648353978</v>
      </c>
      <c r="H2098" s="15" t="n">
        <v>0.231795963641697</v>
      </c>
    </row>
    <row r="2099">
      <c r="A2099" t="s">
        <v>31</v>
      </c>
      <c r="B2099" t="s">
        <v>811</v>
      </c>
      <c r="C2099" t="s">
        <v>812</v>
      </c>
      <c r="D2099" t="s">
        <v>1021</v>
      </c>
      <c r="E2099" s="13" t="n">
        <v>0.25</v>
      </c>
      <c r="F2099" s="16" t="n">
        <v>107</v>
      </c>
      <c r="G2099" s="14" t="n">
        <v>-0.20725939313876</v>
      </c>
      <c r="H2099" s="15" t="n">
        <v>-0.139798225867687</v>
      </c>
    </row>
    <row r="2100">
      <c r="A2100" t="s">
        <v>30</v>
      </c>
      <c r="B2100" t="s">
        <v>813</v>
      </c>
      <c r="C2100" t="s">
        <v>814</v>
      </c>
      <c r="D2100" t="s">
        <v>1021</v>
      </c>
      <c r="E2100" s="13" t="n">
        <v>0</v>
      </c>
      <c r="F2100" s="16" t="n">
        <v>48</v>
      </c>
      <c r="G2100" s="14" t="n">
        <v>0</v>
      </c>
      <c r="H2100" s="15" t="n">
        <v>0</v>
      </c>
    </row>
    <row r="2101">
      <c r="A2101" t="s">
        <v>30</v>
      </c>
      <c r="B2101" t="s">
        <v>813</v>
      </c>
      <c r="C2101" t="s">
        <v>815</v>
      </c>
      <c r="D2101" t="s">
        <v>1021</v>
      </c>
      <c r="E2101" s="13" t="n">
        <v>0.25</v>
      </c>
      <c r="F2101" s="16" t="n">
        <v>31</v>
      </c>
      <c r="G2101" s="14" t="n">
        <v>0.117367890696473</v>
      </c>
      <c r="H2101" s="15" t="n">
        <v>0.220736898214732</v>
      </c>
    </row>
    <row r="2102">
      <c r="A2102" t="s">
        <v>31</v>
      </c>
      <c r="B2102" t="s">
        <v>816</v>
      </c>
      <c r="C2102" t="s">
        <v>817</v>
      </c>
      <c r="D2102" t="s">
        <v>1021</v>
      </c>
      <c r="E2102" s="13" t="n">
        <v>0.25</v>
      </c>
      <c r="F2102" s="16" t="n">
        <v>7</v>
      </c>
      <c r="G2102" s="14" t="n">
        <v>0.242573931568999</v>
      </c>
      <c r="H2102" s="15" t="n">
        <v>0.0604804738999169</v>
      </c>
    </row>
    <row r="2103">
      <c r="A2103" t="s">
        <v>31</v>
      </c>
      <c r="B2103" t="s">
        <v>816</v>
      </c>
      <c r="C2103" t="s">
        <v>818</v>
      </c>
      <c r="D2103" t="s">
        <v>1021</v>
      </c>
      <c r="E2103" s="13" t="n">
        <v>0.25</v>
      </c>
      <c r="F2103" s="16" t="n">
        <v>176</v>
      </c>
      <c r="G2103" s="14" t="n">
        <v>0.247567017185393</v>
      </c>
      <c r="H2103" s="15" t="n">
        <v>-0.0347932752400164</v>
      </c>
    </row>
    <row r="2104">
      <c r="A2104" t="s">
        <v>31</v>
      </c>
      <c r="B2104" t="s">
        <v>819</v>
      </c>
      <c r="C2104" t="s">
        <v>820</v>
      </c>
      <c r="D2104" t="s">
        <v>1021</v>
      </c>
      <c r="E2104" s="13" t="n">
        <v>0.25</v>
      </c>
      <c r="F2104" s="16" t="n">
        <v>132</v>
      </c>
      <c r="G2104" s="14" t="n">
        <v>-0.0261321158169136</v>
      </c>
      <c r="H2104" s="15" t="n">
        <v>-0.248630473842068</v>
      </c>
    </row>
    <row r="2105">
      <c r="A2105" t="s">
        <v>31</v>
      </c>
      <c r="B2105" t="s">
        <v>819</v>
      </c>
      <c r="C2105" t="s">
        <v>821</v>
      </c>
      <c r="D2105" t="s">
        <v>1021</v>
      </c>
      <c r="E2105" s="13" t="n">
        <v>0.25</v>
      </c>
      <c r="F2105" s="16" t="n">
        <v>31</v>
      </c>
      <c r="G2105" s="14" t="n">
        <v>0.117367890696473</v>
      </c>
      <c r="H2105" s="15" t="n">
        <v>0.220736898214732</v>
      </c>
    </row>
    <row r="2106">
      <c r="A2106" t="s">
        <v>31</v>
      </c>
      <c r="B2106" t="s">
        <v>822</v>
      </c>
      <c r="C2106" t="s">
        <v>823</v>
      </c>
      <c r="D2106" t="s">
        <v>1021</v>
      </c>
      <c r="E2106" s="13" t="n">
        <v>0.25</v>
      </c>
      <c r="F2106" s="16" t="n">
        <v>111</v>
      </c>
      <c r="G2106" s="14" t="n">
        <v>-0.185786206369349</v>
      </c>
      <c r="H2106" s="15" t="n">
        <v>-0.167282651589715</v>
      </c>
    </row>
    <row r="2107">
      <c r="A2107" t="s">
        <v>31</v>
      </c>
      <c r="B2107" t="s">
        <v>822</v>
      </c>
      <c r="C2107" t="s">
        <v>824</v>
      </c>
      <c r="D2107" t="s">
        <v>1021</v>
      </c>
      <c r="E2107" s="13" t="n">
        <v>0.25</v>
      </c>
      <c r="F2107" s="16" t="n">
        <v>83</v>
      </c>
      <c r="G2107" s="14" t="n">
        <v>-0.242573931568999</v>
      </c>
      <c r="H2107" s="15" t="n">
        <v>0.0604804738999169</v>
      </c>
    </row>
    <row r="2108">
      <c r="A2108" t="s">
        <v>31</v>
      </c>
      <c r="B2108" t="s">
        <v>825</v>
      </c>
      <c r="C2108" t="s">
        <v>826</v>
      </c>
      <c r="D2108" t="s">
        <v>1021</v>
      </c>
      <c r="E2108" s="13" t="n">
        <v>0.75</v>
      </c>
      <c r="F2108" s="16" t="n">
        <v>148</v>
      </c>
      <c r="G2108" s="14" t="n">
        <v>0.328778360091808</v>
      </c>
      <c r="H2108" s="15" t="n">
        <v>-0.674095534724375</v>
      </c>
    </row>
    <row r="2109">
      <c r="A2109" t="s">
        <v>31</v>
      </c>
      <c r="B2109" t="s">
        <v>825</v>
      </c>
      <c r="C2109" t="s">
        <v>827</v>
      </c>
      <c r="D2109" t="s">
        <v>1021</v>
      </c>
      <c r="E2109" s="13" t="n">
        <v>0.25</v>
      </c>
      <c r="F2109" s="16" t="n">
        <v>32</v>
      </c>
      <c r="G2109" s="14" t="n">
        <v>0.109592786697269</v>
      </c>
      <c r="H2109" s="15" t="n">
        <v>0.224698511574792</v>
      </c>
    </row>
    <row r="2110">
      <c r="A2110" t="s">
        <v>30</v>
      </c>
      <c r="B2110" t="s">
        <v>828</v>
      </c>
      <c r="C2110" t="s">
        <v>829</v>
      </c>
      <c r="D2110" t="s">
        <v>1021</v>
      </c>
      <c r="E2110" s="13" t="n">
        <v>0.25</v>
      </c>
      <c r="F2110" s="16" t="n">
        <v>138</v>
      </c>
      <c r="G2110" s="14" t="n">
        <v>0.0261321158169135</v>
      </c>
      <c r="H2110" s="15" t="n">
        <v>-0.248630473842068</v>
      </c>
    </row>
    <row r="2111">
      <c r="A2111" t="s">
        <v>30</v>
      </c>
      <c r="B2111" t="s">
        <v>830</v>
      </c>
      <c r="C2111" t="s">
        <v>831</v>
      </c>
      <c r="D2111" t="s">
        <v>1021</v>
      </c>
      <c r="E2111" s="13" t="n">
        <v>0.25</v>
      </c>
      <c r="F2111" s="16" t="n">
        <v>123</v>
      </c>
      <c r="G2111" s="14" t="n">
        <v>-0.10168416076895</v>
      </c>
      <c r="H2111" s="15" t="n">
        <v>-0.22838636441065</v>
      </c>
    </row>
    <row r="2112">
      <c r="A2112" t="s">
        <v>30</v>
      </c>
      <c r="B2112" t="s">
        <v>830</v>
      </c>
      <c r="C2112" t="s">
        <v>832</v>
      </c>
      <c r="D2112" t="s">
        <v>1021</v>
      </c>
      <c r="E2112" s="13" t="n">
        <v>0</v>
      </c>
      <c r="F2112" s="16" t="n">
        <v>161</v>
      </c>
      <c r="G2112" s="14" t="n">
        <v>0</v>
      </c>
      <c r="H2112" s="15" t="n">
        <v>0</v>
      </c>
    </row>
    <row r="2113">
      <c r="A2113" t="s">
        <v>30</v>
      </c>
      <c r="B2113" t="s">
        <v>833</v>
      </c>
      <c r="C2113" t="s">
        <v>834</v>
      </c>
      <c r="D2113" t="s">
        <v>1021</v>
      </c>
      <c r="E2113" s="13" t="n">
        <v>0.25</v>
      </c>
      <c r="F2113" s="16" t="n">
        <v>13</v>
      </c>
      <c r="G2113" s="14" t="n">
        <v>0.224698511574792</v>
      </c>
      <c r="H2113" s="15" t="n">
        <v>0.109592786697269</v>
      </c>
    </row>
    <row r="2114">
      <c r="A2114" t="s">
        <v>30</v>
      </c>
      <c r="B2114" t="s">
        <v>833</v>
      </c>
      <c r="C2114" t="s">
        <v>835</v>
      </c>
      <c r="D2114" t="s">
        <v>1021</v>
      </c>
      <c r="E2114" s="13" t="n">
        <v>0.25</v>
      </c>
      <c r="F2114" s="16" t="n">
        <v>47</v>
      </c>
      <c r="G2114" s="14" t="n">
        <v>-0.0174391184360313</v>
      </c>
      <c r="H2114" s="15" t="n">
        <v>0.249391012564956</v>
      </c>
    </row>
    <row r="2115">
      <c r="A2115" t="s">
        <v>31</v>
      </c>
      <c r="B2115" t="s">
        <v>836</v>
      </c>
      <c r="C2115" t="s">
        <v>837</v>
      </c>
      <c r="D2115" t="s">
        <v>1021</v>
      </c>
      <c r="E2115" s="13" t="n">
        <v>0.25</v>
      </c>
      <c r="F2115" s="16" t="n">
        <v>176</v>
      </c>
      <c r="G2115" s="14" t="n">
        <v>0.247567017185393</v>
      </c>
      <c r="H2115" s="15" t="n">
        <v>-0.0347932752400164</v>
      </c>
    </row>
    <row r="2116">
      <c r="A2116" t="s">
        <v>31</v>
      </c>
      <c r="B2116" t="s">
        <v>836</v>
      </c>
      <c r="C2116" t="s">
        <v>838</v>
      </c>
      <c r="D2116" t="s">
        <v>1021</v>
      </c>
      <c r="E2116" s="13" t="n">
        <v>0.25</v>
      </c>
      <c r="F2116" s="16" t="n">
        <v>40</v>
      </c>
      <c r="G2116" s="14" t="n">
        <v>0.0434120444167326</v>
      </c>
      <c r="H2116" s="15" t="n">
        <v>0.246201938253052</v>
      </c>
    </row>
    <row r="2117">
      <c r="A2117" t="s">
        <v>31</v>
      </c>
      <c r="B2117" t="s">
        <v>839</v>
      </c>
      <c r="C2117" t="s">
        <v>840</v>
      </c>
      <c r="D2117" t="s">
        <v>1021</v>
      </c>
      <c r="E2117" s="13" t="n">
        <v>0.25</v>
      </c>
      <c r="F2117" s="16" t="n">
        <v>125</v>
      </c>
      <c r="G2117" s="14" t="n">
        <v>-0.0855050358314173</v>
      </c>
      <c r="H2117" s="15" t="n">
        <v>-0.234923155196477</v>
      </c>
    </row>
    <row r="2118">
      <c r="A2118" t="s">
        <v>30</v>
      </c>
      <c r="B2118" t="s">
        <v>841</v>
      </c>
      <c r="C2118" t="s">
        <v>842</v>
      </c>
      <c r="D2118" t="s">
        <v>1021</v>
      </c>
      <c r="E2118" s="13" t="n">
        <v>0</v>
      </c>
      <c r="F2118" s="16" t="n">
        <v>42</v>
      </c>
      <c r="G2118" s="14" t="n">
        <v>0</v>
      </c>
      <c r="H2118" s="15" t="n">
        <v>0</v>
      </c>
    </row>
    <row r="2119">
      <c r="A2119" t="s">
        <v>30</v>
      </c>
      <c r="B2119" t="s">
        <v>841</v>
      </c>
      <c r="C2119" t="s">
        <v>843</v>
      </c>
      <c r="D2119" t="s">
        <v>1021</v>
      </c>
      <c r="E2119" s="13" t="n">
        <v>0</v>
      </c>
      <c r="F2119" s="16" t="n">
        <v>91</v>
      </c>
      <c r="G2119" s="14" t="n">
        <v>0</v>
      </c>
      <c r="H2119" s="15" t="n">
        <v>0</v>
      </c>
    </row>
    <row r="2120">
      <c r="A2120" t="s">
        <v>30</v>
      </c>
      <c r="B2120" t="s">
        <v>844</v>
      </c>
      <c r="C2120" t="s">
        <v>845</v>
      </c>
      <c r="D2120" t="s">
        <v>1021</v>
      </c>
      <c r="E2120" s="13" t="n">
        <v>0.25</v>
      </c>
      <c r="F2120" s="16" t="n">
        <v>145</v>
      </c>
      <c r="G2120" s="14" t="n">
        <v>0.0855050358314172</v>
      </c>
      <c r="H2120" s="15" t="n">
        <v>-0.234923155196477</v>
      </c>
    </row>
    <row r="2121">
      <c r="A2121" t="s">
        <v>30</v>
      </c>
      <c r="B2121" t="s">
        <v>846</v>
      </c>
      <c r="C2121" t="s">
        <v>847</v>
      </c>
      <c r="D2121" t="s">
        <v>1021</v>
      </c>
      <c r="E2121" s="13" t="n">
        <v>0.25</v>
      </c>
      <c r="F2121" s="16" t="n">
        <v>132</v>
      </c>
      <c r="G2121" s="14" t="n">
        <v>-0.0261321158169136</v>
      </c>
      <c r="H2121" s="15" t="n">
        <v>-0.248630473842068</v>
      </c>
    </row>
    <row r="2122">
      <c r="A2122" t="s">
        <v>31</v>
      </c>
      <c r="B2122" t="s">
        <v>848</v>
      </c>
      <c r="C2122" t="s">
        <v>849</v>
      </c>
      <c r="D2122" t="s">
        <v>1021</v>
      </c>
      <c r="E2122" s="13" t="n">
        <v>0.5</v>
      </c>
      <c r="F2122" s="16" t="n">
        <v>22</v>
      </c>
      <c r="G2122" s="14" t="n">
        <v>0.359669900169326</v>
      </c>
      <c r="H2122" s="15" t="n">
        <v>0.347329185229499</v>
      </c>
    </row>
    <row r="2123">
      <c r="A2123" t="s">
        <v>31</v>
      </c>
      <c r="B2123" t="s">
        <v>848</v>
      </c>
      <c r="C2123" t="s">
        <v>850</v>
      </c>
      <c r="D2123" t="s">
        <v>1021</v>
      </c>
      <c r="E2123" s="13" t="n">
        <v>0.25</v>
      </c>
      <c r="F2123" s="16" t="n">
        <v>165</v>
      </c>
      <c r="G2123" s="14" t="n">
        <v>0.21650635094611</v>
      </c>
      <c r="H2123" s="15" t="n">
        <v>-0.125</v>
      </c>
    </row>
    <row r="2124">
      <c r="A2124" t="s">
        <v>31</v>
      </c>
      <c r="B2124" t="s">
        <v>851</v>
      </c>
      <c r="C2124" t="s">
        <v>852</v>
      </c>
      <c r="D2124" t="s">
        <v>1021</v>
      </c>
      <c r="E2124" s="13" t="n">
        <v>0.25</v>
      </c>
      <c r="F2124" s="16" t="n">
        <v>31</v>
      </c>
      <c r="G2124" s="14" t="n">
        <v>0.117367890696473</v>
      </c>
      <c r="H2124" s="15" t="n">
        <v>0.220736898214732</v>
      </c>
    </row>
    <row r="2125">
      <c r="A2125" t="s">
        <v>31</v>
      </c>
      <c r="B2125" t="s">
        <v>851</v>
      </c>
      <c r="C2125" t="s">
        <v>853</v>
      </c>
      <c r="D2125" t="s">
        <v>1021</v>
      </c>
      <c r="E2125" s="13" t="n">
        <v>0.5</v>
      </c>
      <c r="F2125" s="16" t="n">
        <v>150</v>
      </c>
      <c r="G2125" s="14" t="n">
        <v>0.25</v>
      </c>
      <c r="H2125" s="15" t="n">
        <v>-0.433012701892219</v>
      </c>
    </row>
    <row r="2126">
      <c r="A2126" t="s">
        <v>30</v>
      </c>
      <c r="B2126" t="s">
        <v>854</v>
      </c>
      <c r="C2126" t="s">
        <v>855</v>
      </c>
      <c r="D2126" t="s">
        <v>1021</v>
      </c>
      <c r="E2126" s="13" t="n">
        <v>0.75</v>
      </c>
      <c r="F2126" s="16" t="n">
        <v>131</v>
      </c>
      <c r="G2126" s="14" t="n">
        <v>-0.104379825720049</v>
      </c>
      <c r="H2126" s="15" t="n">
        <v>-0.742701051556178</v>
      </c>
    </row>
    <row r="2127">
      <c r="A2127" t="s">
        <v>31</v>
      </c>
      <c r="B2127" t="s">
        <v>856</v>
      </c>
      <c r="C2127" t="s">
        <v>857</v>
      </c>
      <c r="D2127" t="s">
        <v>1021</v>
      </c>
      <c r="E2127" s="13" t="n">
        <v>0.25</v>
      </c>
      <c r="F2127" s="16" t="n">
        <v>2</v>
      </c>
      <c r="G2127" s="14" t="n">
        <v>0.249391012564956</v>
      </c>
      <c r="H2127" s="15" t="n">
        <v>0.0174391184360313</v>
      </c>
    </row>
    <row r="2128">
      <c r="A2128" t="s">
        <v>31</v>
      </c>
      <c r="B2128" t="s">
        <v>856</v>
      </c>
      <c r="C2128" t="s">
        <v>858</v>
      </c>
      <c r="D2128" t="s">
        <v>1021</v>
      </c>
      <c r="E2128" s="13" t="n">
        <v>0.25</v>
      </c>
      <c r="F2128" s="16" t="n">
        <v>147</v>
      </c>
      <c r="G2128" s="14" t="n">
        <v>0.10168416076895</v>
      </c>
      <c r="H2128" s="15" t="n">
        <v>-0.22838636441065</v>
      </c>
    </row>
    <row r="2129">
      <c r="A2129" t="s">
        <v>31</v>
      </c>
      <c r="B2129" t="s">
        <v>859</v>
      </c>
      <c r="C2129" t="s">
        <v>860</v>
      </c>
      <c r="D2129" t="s">
        <v>1021</v>
      </c>
      <c r="E2129" s="13" t="n">
        <v>0.25</v>
      </c>
      <c r="F2129" s="16" t="n">
        <v>135</v>
      </c>
      <c r="G2129" s="14" t="n">
        <v>0</v>
      </c>
      <c r="H2129" s="15" t="n">
        <v>-0.25</v>
      </c>
    </row>
    <row r="2130">
      <c r="A2130" t="s">
        <v>31</v>
      </c>
      <c r="B2130" t="s">
        <v>859</v>
      </c>
      <c r="C2130" t="s">
        <v>861</v>
      </c>
      <c r="D2130" t="s">
        <v>1021</v>
      </c>
      <c r="E2130" s="13" t="n">
        <v>0.25</v>
      </c>
      <c r="F2130" s="16" t="n">
        <v>32</v>
      </c>
      <c r="G2130" s="14" t="n">
        <v>0.109592786697269</v>
      </c>
      <c r="H2130" s="15" t="n">
        <v>0.224698511574792</v>
      </c>
    </row>
    <row r="2131">
      <c r="A2131" t="s">
        <v>30</v>
      </c>
      <c r="B2131" t="s">
        <v>862</v>
      </c>
      <c r="C2131" t="s">
        <v>863</v>
      </c>
      <c r="D2131" t="s">
        <v>1021</v>
      </c>
      <c r="E2131" s="13" t="n">
        <v>0.5</v>
      </c>
      <c r="F2131" s="16" t="n">
        <v>127</v>
      </c>
      <c r="G2131" s="14" t="n">
        <v>-0.137818677908499</v>
      </c>
      <c r="H2131" s="15" t="n">
        <v>-0.48063084796916</v>
      </c>
    </row>
    <row r="2132">
      <c r="A2132" t="s">
        <v>30</v>
      </c>
      <c r="B2132" t="s">
        <v>864</v>
      </c>
      <c r="C2132" t="s">
        <v>865</v>
      </c>
      <c r="D2132" t="s">
        <v>1021</v>
      </c>
      <c r="E2132" s="13" t="n">
        <v>0</v>
      </c>
      <c r="F2132" s="16" t="n">
        <v>156</v>
      </c>
      <c r="G2132" s="14" t="n">
        <v>0</v>
      </c>
      <c r="H2132" s="15" t="n">
        <v>0</v>
      </c>
    </row>
    <row r="2133">
      <c r="A2133" t="s">
        <v>30</v>
      </c>
      <c r="B2133" t="s">
        <v>864</v>
      </c>
      <c r="C2133" t="s">
        <v>866</v>
      </c>
      <c r="D2133" t="s">
        <v>1021</v>
      </c>
      <c r="E2133" s="13" t="n">
        <v>0.25</v>
      </c>
      <c r="F2133" s="16" t="n">
        <v>112</v>
      </c>
      <c r="G2133" s="14" t="n">
        <v>-0.179834950084663</v>
      </c>
      <c r="H2133" s="15" t="n">
        <v>-0.173664592614749</v>
      </c>
    </row>
    <row r="2134">
      <c r="A2134" t="s">
        <v>30</v>
      </c>
      <c r="B2134" t="s">
        <v>867</v>
      </c>
      <c r="C2134" t="s">
        <v>868</v>
      </c>
      <c r="D2134" t="s">
        <v>1021</v>
      </c>
      <c r="E2134" s="13" t="n">
        <v>0.25</v>
      </c>
      <c r="F2134" s="16" t="n">
        <v>156</v>
      </c>
      <c r="G2134" s="14" t="n">
        <v>0.167282651589715</v>
      </c>
      <c r="H2134" s="15" t="n">
        <v>-0.185786206369349</v>
      </c>
    </row>
    <row r="2135">
      <c r="A2135" t="s">
        <v>30</v>
      </c>
      <c r="B2135" t="s">
        <v>869</v>
      </c>
      <c r="C2135" t="s">
        <v>870</v>
      </c>
      <c r="D2135" t="s">
        <v>1021</v>
      </c>
      <c r="E2135" s="13" t="n">
        <v>0</v>
      </c>
      <c r="F2135" s="16" t="n">
        <v>76</v>
      </c>
      <c r="G2135" s="14" t="n">
        <v>0</v>
      </c>
      <c r="H2135" s="15" t="n">
        <v>0</v>
      </c>
    </row>
    <row r="2136">
      <c r="A2136" t="s">
        <v>30</v>
      </c>
      <c r="B2136" t="s">
        <v>871</v>
      </c>
      <c r="C2136" t="s">
        <v>872</v>
      </c>
      <c r="D2136" t="s">
        <v>1021</v>
      </c>
      <c r="E2136" s="13" t="n">
        <v>0.5</v>
      </c>
      <c r="F2136" s="16" t="n">
        <v>168</v>
      </c>
      <c r="G2136" s="14" t="n">
        <v>0.4567727288213</v>
      </c>
      <c r="H2136" s="15" t="n">
        <v>-0.2033683215379</v>
      </c>
    </row>
    <row r="2137">
      <c r="A2137" t="s">
        <v>30</v>
      </c>
      <c r="B2137" t="s">
        <v>871</v>
      </c>
      <c r="C2137" t="s">
        <v>873</v>
      </c>
      <c r="D2137" t="s">
        <v>1021</v>
      </c>
      <c r="E2137" s="13" t="n">
        <v>0.5</v>
      </c>
      <c r="F2137" s="16" t="n">
        <v>40</v>
      </c>
      <c r="G2137" s="14" t="n">
        <v>0.0868240888334652</v>
      </c>
      <c r="H2137" s="15" t="n">
        <v>0.492403876506104</v>
      </c>
    </row>
    <row r="2138">
      <c r="A2138" t="s">
        <v>31</v>
      </c>
      <c r="B2138" t="s">
        <v>874</v>
      </c>
      <c r="C2138" t="s">
        <v>875</v>
      </c>
      <c r="D2138" t="s">
        <v>1021</v>
      </c>
      <c r="E2138" s="13" t="n">
        <v>0</v>
      </c>
      <c r="F2138" s="16" t="n">
        <v>81</v>
      </c>
      <c r="G2138" s="14" t="n">
        <v>0</v>
      </c>
      <c r="H2138" s="15" t="n">
        <v>0</v>
      </c>
    </row>
    <row r="2139">
      <c r="A2139" t="s">
        <v>31</v>
      </c>
      <c r="B2139" t="s">
        <v>876</v>
      </c>
      <c r="C2139" t="s">
        <v>877</v>
      </c>
      <c r="D2139" t="s">
        <v>1021</v>
      </c>
      <c r="E2139" s="13" t="n">
        <v>0.25</v>
      </c>
      <c r="F2139" s="16" t="n">
        <v>49</v>
      </c>
      <c r="G2139" s="14" t="n">
        <v>-0.0347932752400163</v>
      </c>
      <c r="H2139" s="15" t="n">
        <v>0.247567017185393</v>
      </c>
    </row>
    <row r="2140">
      <c r="A2140" t="s">
        <v>30</v>
      </c>
      <c r="B2140" t="s">
        <v>878</v>
      </c>
      <c r="C2140" t="s">
        <v>879</v>
      </c>
      <c r="D2140" t="s">
        <v>1021</v>
      </c>
      <c r="E2140" s="13" t="n">
        <v>0.5</v>
      </c>
      <c r="F2140" s="16" t="n">
        <v>91</v>
      </c>
      <c r="G2140" s="14" t="n">
        <v>-0.499695413509548</v>
      </c>
      <c r="H2140" s="15" t="n">
        <v>-0.0174497483512506</v>
      </c>
    </row>
    <row r="2141">
      <c r="A2141" t="s">
        <v>30</v>
      </c>
      <c r="B2141" t="s">
        <v>878</v>
      </c>
      <c r="C2141" t="s">
        <v>880</v>
      </c>
      <c r="D2141" t="s">
        <v>1021</v>
      </c>
      <c r="E2141" s="13" t="n">
        <v>0.25</v>
      </c>
      <c r="F2141" s="16" t="n">
        <v>87</v>
      </c>
      <c r="G2141" s="14" t="n">
        <v>-0.248630473842068</v>
      </c>
      <c r="H2141" s="15" t="n">
        <v>0.0261321158169134</v>
      </c>
    </row>
    <row r="2142">
      <c r="A2142" t="s">
        <v>31</v>
      </c>
      <c r="B2142" t="s">
        <v>881</v>
      </c>
      <c r="C2142" t="s">
        <v>882</v>
      </c>
      <c r="D2142" t="s">
        <v>1021</v>
      </c>
      <c r="E2142" s="13" t="n">
        <v>0</v>
      </c>
      <c r="F2142" s="16" t="n">
        <v>24</v>
      </c>
      <c r="G2142" s="14" t="n">
        <v>0</v>
      </c>
      <c r="H2142" s="15" t="n">
        <v>0</v>
      </c>
    </row>
    <row r="2143">
      <c r="A2143" t="s">
        <v>31</v>
      </c>
      <c r="B2143" t="s">
        <v>881</v>
      </c>
      <c r="C2143" t="s">
        <v>883</v>
      </c>
      <c r="D2143" t="s">
        <v>1021</v>
      </c>
      <c r="E2143" s="13" t="n">
        <v>0.25</v>
      </c>
      <c r="F2143" s="16" t="n">
        <v>48</v>
      </c>
      <c r="G2143" s="14" t="n">
        <v>-0.0261321158169133</v>
      </c>
      <c r="H2143" s="15" t="n">
        <v>0.248630473842068</v>
      </c>
    </row>
    <row r="2144">
      <c r="A2144" t="s">
        <v>30</v>
      </c>
      <c r="B2144" t="s">
        <v>884</v>
      </c>
      <c r="C2144" t="s">
        <v>885</v>
      </c>
      <c r="D2144" t="s">
        <v>1021</v>
      </c>
      <c r="E2144" s="13" t="n">
        <v>0.75</v>
      </c>
      <c r="F2144" s="16" t="n">
        <v>152</v>
      </c>
      <c r="G2144" s="14" t="n">
        <v>0.41939467760306</v>
      </c>
      <c r="H2144" s="15" t="n">
        <v>-0.621778179416281</v>
      </c>
    </row>
    <row r="2145">
      <c r="A2145" t="s">
        <v>30</v>
      </c>
      <c r="B2145" t="s">
        <v>884</v>
      </c>
      <c r="C2145" t="s">
        <v>886</v>
      </c>
      <c r="D2145" t="s">
        <v>1021</v>
      </c>
      <c r="E2145" s="13" t="n">
        <v>0.75</v>
      </c>
      <c r="F2145" s="16" t="n">
        <v>26</v>
      </c>
      <c r="G2145" s="14" t="n">
        <v>0.461746106494244</v>
      </c>
      <c r="H2145" s="15" t="n">
        <v>0.591008065205041</v>
      </c>
    </row>
    <row r="2146">
      <c r="A2146" t="s">
        <v>30</v>
      </c>
      <c r="B2146" t="s">
        <v>887</v>
      </c>
      <c r="C2146" t="s">
        <v>888</v>
      </c>
      <c r="D2146" t="s">
        <v>1021</v>
      </c>
      <c r="E2146" s="13" t="n">
        <v>0.25</v>
      </c>
      <c r="F2146" s="16" t="n">
        <v>48</v>
      </c>
      <c r="G2146" s="14" t="n">
        <v>-0.0261321158169133</v>
      </c>
      <c r="H2146" s="15" t="n">
        <v>0.248630473842068</v>
      </c>
    </row>
    <row r="2147">
      <c r="A2147" t="s">
        <v>30</v>
      </c>
      <c r="B2147" t="s">
        <v>887</v>
      </c>
      <c r="C2147" t="s">
        <v>889</v>
      </c>
      <c r="D2147" t="s">
        <v>1021</v>
      </c>
      <c r="E2147" s="13" t="n">
        <v>0.5</v>
      </c>
      <c r="F2147" s="16" t="n">
        <v>177</v>
      </c>
      <c r="G2147" s="14" t="n">
        <v>0.497260947684137</v>
      </c>
      <c r="H2147" s="15" t="n">
        <v>-0.0522642316338269</v>
      </c>
    </row>
    <row r="2148">
      <c r="A2148" t="s">
        <v>30</v>
      </c>
      <c r="B2148" t="s">
        <v>890</v>
      </c>
      <c r="C2148" t="s">
        <v>891</v>
      </c>
      <c r="D2148" t="s">
        <v>1021</v>
      </c>
      <c r="E2148" s="13" t="n">
        <v>0.25</v>
      </c>
      <c r="F2148" s="16" t="n">
        <v>157</v>
      </c>
      <c r="G2148" s="14" t="n">
        <v>0.173664592614749</v>
      </c>
      <c r="H2148" s="15" t="n">
        <v>-0.179834950084663</v>
      </c>
    </row>
    <row r="2149">
      <c r="A2149" t="s">
        <v>30</v>
      </c>
      <c r="B2149" t="s">
        <v>890</v>
      </c>
      <c r="C2149" t="s">
        <v>892</v>
      </c>
      <c r="D2149" t="s">
        <v>1021</v>
      </c>
      <c r="E2149" s="13" t="n">
        <v>0</v>
      </c>
      <c r="F2149" s="16" t="n">
        <v>20</v>
      </c>
      <c r="G2149" s="14" t="n">
        <v>0</v>
      </c>
      <c r="H2149" s="15" t="n">
        <v>0</v>
      </c>
    </row>
    <row r="2150">
      <c r="A2150" t="s">
        <v>30</v>
      </c>
      <c r="B2150" t="s">
        <v>893</v>
      </c>
      <c r="C2150" t="s">
        <v>894</v>
      </c>
      <c r="D2150" t="s">
        <v>1021</v>
      </c>
      <c r="E2150" s="13" t="n">
        <v>0.25</v>
      </c>
      <c r="F2150" s="16" t="n">
        <v>54</v>
      </c>
      <c r="G2150" s="14" t="n">
        <v>-0.0772542485937368</v>
      </c>
      <c r="H2150" s="15" t="n">
        <v>0.237764129073788</v>
      </c>
    </row>
    <row r="2151">
      <c r="A2151" t="s">
        <v>30</v>
      </c>
      <c r="B2151" t="s">
        <v>893</v>
      </c>
      <c r="C2151" t="s">
        <v>895</v>
      </c>
      <c r="D2151" t="s">
        <v>1021</v>
      </c>
      <c r="E2151" s="13" t="n">
        <v>0.25</v>
      </c>
      <c r="F2151" s="16" t="n">
        <v>154</v>
      </c>
      <c r="G2151" s="14" t="n">
        <v>0.153915368831414</v>
      </c>
      <c r="H2151" s="15" t="n">
        <v>-0.197002688401681</v>
      </c>
    </row>
    <row r="2152">
      <c r="A2152" t="s">
        <v>31</v>
      </c>
      <c r="B2152" t="s">
        <v>896</v>
      </c>
      <c r="C2152" t="s">
        <v>897</v>
      </c>
      <c r="D2152" t="s">
        <v>1021</v>
      </c>
      <c r="E2152" s="13" t="n">
        <v>0.25</v>
      </c>
      <c r="F2152" s="16" t="n">
        <v>108</v>
      </c>
      <c r="G2152" s="14" t="n">
        <v>-0.202254248593737</v>
      </c>
      <c r="H2152" s="15" t="n">
        <v>-0.146946313073118</v>
      </c>
    </row>
    <row r="2153">
      <c r="A2153" t="s">
        <v>31</v>
      </c>
      <c r="B2153" t="s">
        <v>896</v>
      </c>
      <c r="C2153" t="s">
        <v>898</v>
      </c>
      <c r="D2153" t="s">
        <v>1021</v>
      </c>
      <c r="E2153" s="13" t="n">
        <v>0.25</v>
      </c>
      <c r="F2153" s="16" t="n">
        <v>75</v>
      </c>
      <c r="G2153" s="14" t="n">
        <v>-0.21650635094611</v>
      </c>
      <c r="H2153" s="15" t="n">
        <v>0.125</v>
      </c>
    </row>
    <row r="2154">
      <c r="A2154" t="s">
        <v>30</v>
      </c>
      <c r="B2154" t="s">
        <v>899</v>
      </c>
      <c r="C2154" t="s">
        <v>900</v>
      </c>
      <c r="D2154" t="s">
        <v>1021</v>
      </c>
      <c r="E2154" s="13" t="n">
        <v>0.25</v>
      </c>
      <c r="F2154" s="16" t="n">
        <v>68</v>
      </c>
      <c r="G2154" s="14" t="n">
        <v>-0.179834950084663</v>
      </c>
      <c r="H2154" s="15" t="n">
        <v>0.173664592614749</v>
      </c>
    </row>
    <row r="2155">
      <c r="A2155" t="s">
        <v>30</v>
      </c>
      <c r="B2155" t="s">
        <v>899</v>
      </c>
      <c r="C2155" t="s">
        <v>901</v>
      </c>
      <c r="D2155" t="s">
        <v>1021</v>
      </c>
      <c r="E2155" s="13" t="n">
        <v>0.25</v>
      </c>
      <c r="F2155" s="16" t="n">
        <v>41</v>
      </c>
      <c r="G2155" s="14" t="n">
        <v>0.0347932752400164</v>
      </c>
      <c r="H2155" s="15" t="n">
        <v>0.247567017185393</v>
      </c>
    </row>
    <row r="2156">
      <c r="A2156" t="s">
        <v>30</v>
      </c>
      <c r="B2156" t="s">
        <v>902</v>
      </c>
      <c r="C2156" t="s">
        <v>903</v>
      </c>
      <c r="D2156" t="s">
        <v>1021</v>
      </c>
      <c r="E2156" s="13" t="n">
        <v>0.25</v>
      </c>
      <c r="F2156" s="16" t="n">
        <v>117</v>
      </c>
      <c r="G2156" s="14" t="n">
        <v>-0.146946313073118</v>
      </c>
      <c r="H2156" s="15" t="n">
        <v>-0.202254248593737</v>
      </c>
    </row>
    <row r="2157">
      <c r="A2157" t="s">
        <v>31</v>
      </c>
      <c r="B2157" t="s">
        <v>904</v>
      </c>
      <c r="C2157" t="s">
        <v>905</v>
      </c>
      <c r="D2157" t="s">
        <v>1021</v>
      </c>
      <c r="E2157" s="13" t="n">
        <v>0</v>
      </c>
      <c r="F2157" s="16" t="n">
        <v>113</v>
      </c>
      <c r="G2157" s="14" t="n">
        <v>0</v>
      </c>
      <c r="H2157" s="15" t="n">
        <v>0</v>
      </c>
    </row>
    <row r="2158">
      <c r="A2158" t="s">
        <v>31</v>
      </c>
      <c r="B2158" t="s">
        <v>904</v>
      </c>
      <c r="C2158" t="s">
        <v>906</v>
      </c>
      <c r="D2158" t="s">
        <v>1021</v>
      </c>
      <c r="E2158" s="13" t="n">
        <v>0.25</v>
      </c>
      <c r="F2158" s="16" t="n">
        <v>51</v>
      </c>
      <c r="G2158" s="14" t="n">
        <v>-0.0519779227044398</v>
      </c>
      <c r="H2158" s="15" t="n">
        <v>0.244536900183451</v>
      </c>
    </row>
    <row r="2159">
      <c r="A2159" t="s">
        <v>30</v>
      </c>
      <c r="B2159" t="s">
        <v>907</v>
      </c>
      <c r="C2159" t="s">
        <v>908</v>
      </c>
      <c r="D2159" t="s">
        <v>1021</v>
      </c>
      <c r="E2159" s="13" t="n">
        <v>0</v>
      </c>
      <c r="F2159" s="16" t="n">
        <v>18</v>
      </c>
      <c r="G2159" s="14" t="n">
        <v>0</v>
      </c>
      <c r="H2159" s="15" t="n">
        <v>0</v>
      </c>
    </row>
    <row r="2160">
      <c r="A2160" t="s">
        <v>30</v>
      </c>
      <c r="B2160" t="s">
        <v>907</v>
      </c>
      <c r="C2160" t="s">
        <v>909</v>
      </c>
      <c r="D2160" t="s">
        <v>1021</v>
      </c>
      <c r="E2160" s="13" t="n">
        <v>0</v>
      </c>
      <c r="F2160" s="16" t="n">
        <v>7</v>
      </c>
      <c r="G2160" s="14" t="n">
        <v>0</v>
      </c>
      <c r="H2160" s="15" t="n">
        <v>0</v>
      </c>
    </row>
    <row r="2161">
      <c r="A2161" t="s">
        <v>31</v>
      </c>
      <c r="B2161" t="s">
        <v>910</v>
      </c>
      <c r="C2161" t="s">
        <v>911</v>
      </c>
      <c r="D2161" t="s">
        <v>1021</v>
      </c>
      <c r="E2161" s="13" t="n">
        <v>0</v>
      </c>
      <c r="F2161" s="16" t="n">
        <v>77</v>
      </c>
      <c r="G2161" s="14" t="n">
        <v>0</v>
      </c>
      <c r="H2161" s="15" t="n">
        <v>0</v>
      </c>
    </row>
    <row r="2162">
      <c r="A2162" t="s">
        <v>31</v>
      </c>
      <c r="B2162" t="s">
        <v>910</v>
      </c>
      <c r="C2162" t="s">
        <v>912</v>
      </c>
      <c r="D2162" t="s">
        <v>1021</v>
      </c>
      <c r="E2162" s="13" t="n">
        <v>0</v>
      </c>
      <c r="F2162" s="16" t="n">
        <v>73</v>
      </c>
      <c r="G2162" s="14" t="n">
        <v>0</v>
      </c>
      <c r="H2162" s="15" t="n">
        <v>0</v>
      </c>
    </row>
    <row r="2163">
      <c r="A2163" t="s">
        <v>30</v>
      </c>
      <c r="B2163" t="s">
        <v>913</v>
      </c>
      <c r="C2163" t="s">
        <v>914</v>
      </c>
      <c r="D2163" t="s">
        <v>1021</v>
      </c>
      <c r="E2163" s="13" t="n">
        <v>0.25</v>
      </c>
      <c r="F2163" s="16" t="n">
        <v>72</v>
      </c>
      <c r="G2163" s="14" t="n">
        <v>-0.202254248593737</v>
      </c>
      <c r="H2163" s="15" t="n">
        <v>0.146946313073118</v>
      </c>
    </row>
    <row r="2164">
      <c r="A2164" t="s">
        <v>30</v>
      </c>
      <c r="B2164" t="s">
        <v>913</v>
      </c>
      <c r="C2164" t="s">
        <v>915</v>
      </c>
      <c r="D2164" t="s">
        <v>1021</v>
      </c>
      <c r="E2164" s="13" t="n">
        <v>0</v>
      </c>
      <c r="F2164" s="16" t="n">
        <v>42</v>
      </c>
      <c r="G2164" s="14" t="n">
        <v>0</v>
      </c>
      <c r="H2164" s="15" t="n">
        <v>0</v>
      </c>
    </row>
    <row r="2165">
      <c r="A2165" t="s">
        <v>31</v>
      </c>
      <c r="B2165" t="s">
        <v>916</v>
      </c>
      <c r="C2165" t="s">
        <v>917</v>
      </c>
      <c r="D2165" t="s">
        <v>1021</v>
      </c>
      <c r="E2165" s="13" t="n">
        <v>0.25</v>
      </c>
      <c r="F2165" s="16" t="n">
        <v>110</v>
      </c>
      <c r="G2165" s="14" t="n">
        <v>-0.191511110779745</v>
      </c>
      <c r="H2165" s="15" t="n">
        <v>-0.160696902421635</v>
      </c>
    </row>
    <row r="2166">
      <c r="A2166" t="s">
        <v>30</v>
      </c>
      <c r="B2166" t="s">
        <v>918</v>
      </c>
      <c r="C2166" t="s">
        <v>919</v>
      </c>
      <c r="D2166" t="s">
        <v>1021</v>
      </c>
      <c r="E2166" s="13" t="n">
        <v>0</v>
      </c>
      <c r="F2166" s="16" t="n">
        <v>52</v>
      </c>
      <c r="G2166" s="14" t="n">
        <v>0</v>
      </c>
      <c r="H2166" s="15" t="n">
        <v>0</v>
      </c>
    </row>
    <row r="2167">
      <c r="A2167" t="s">
        <v>30</v>
      </c>
      <c r="B2167" t="s">
        <v>918</v>
      </c>
      <c r="C2167" t="s">
        <v>920</v>
      </c>
      <c r="D2167" t="s">
        <v>1021</v>
      </c>
      <c r="E2167" s="13" t="n">
        <v>0.25</v>
      </c>
      <c r="F2167" s="16" t="n">
        <v>138</v>
      </c>
      <c r="G2167" s="14" t="n">
        <v>0.0261321158169135</v>
      </c>
      <c r="H2167" s="15" t="n">
        <v>-0.248630473842068</v>
      </c>
    </row>
    <row r="2168">
      <c r="A2168" t="s">
        <v>30</v>
      </c>
      <c r="B2168" t="s">
        <v>921</v>
      </c>
      <c r="C2168" t="s">
        <v>922</v>
      </c>
      <c r="D2168" t="s">
        <v>1021</v>
      </c>
      <c r="E2168" s="13" t="n">
        <v>0.25</v>
      </c>
      <c r="F2168" s="16" t="n">
        <v>141</v>
      </c>
      <c r="G2168" s="14" t="n">
        <v>0.0519779227044399</v>
      </c>
      <c r="H2168" s="15" t="n">
        <v>-0.244536900183451</v>
      </c>
    </row>
    <row r="2169">
      <c r="A2169" t="s">
        <v>30</v>
      </c>
      <c r="B2169" t="s">
        <v>923</v>
      </c>
      <c r="C2169" t="s">
        <v>924</v>
      </c>
      <c r="D2169" t="s">
        <v>1021</v>
      </c>
      <c r="E2169" s="13" t="n">
        <v>0.25</v>
      </c>
      <c r="F2169" s="16" t="n">
        <v>66</v>
      </c>
      <c r="G2169" s="14" t="n">
        <v>-0.167282651589714</v>
      </c>
      <c r="H2169" s="15" t="n">
        <v>0.185786206369349</v>
      </c>
    </row>
    <row r="2170">
      <c r="A2170" t="s">
        <v>30</v>
      </c>
      <c r="B2170" t="s">
        <v>923</v>
      </c>
      <c r="C2170" t="s">
        <v>925</v>
      </c>
      <c r="D2170" t="s">
        <v>1021</v>
      </c>
      <c r="E2170" s="13" t="n">
        <v>0</v>
      </c>
      <c r="F2170" s="16" t="n">
        <v>121</v>
      </c>
      <c r="G2170" s="14" t="n">
        <v>0</v>
      </c>
      <c r="H2170" s="15" t="n">
        <v>0</v>
      </c>
    </row>
    <row r="2171">
      <c r="A2171" t="s">
        <v>30</v>
      </c>
      <c r="B2171" t="s">
        <v>926</v>
      </c>
      <c r="C2171" t="s">
        <v>927</v>
      </c>
      <c r="D2171" t="s">
        <v>1021</v>
      </c>
      <c r="E2171" s="13" t="n">
        <v>0.25</v>
      </c>
      <c r="F2171" s="16" t="n">
        <v>96</v>
      </c>
      <c r="G2171" s="14" t="n">
        <v>-0.244536900183451</v>
      </c>
      <c r="H2171" s="15" t="n">
        <v>-0.0519779227044398</v>
      </c>
    </row>
    <row r="2172">
      <c r="A2172" t="s">
        <v>30</v>
      </c>
      <c r="B2172" t="s">
        <v>928</v>
      </c>
      <c r="C2172" t="s">
        <v>929</v>
      </c>
      <c r="D2172" t="s">
        <v>1021</v>
      </c>
      <c r="E2172" s="13" t="n">
        <v>0</v>
      </c>
      <c r="F2172" s="16" t="n">
        <v>99</v>
      </c>
      <c r="G2172" s="14" t="n">
        <v>0</v>
      </c>
      <c r="H2172" s="15" t="n">
        <v>0</v>
      </c>
    </row>
    <row r="2173">
      <c r="A2173" t="s">
        <v>30</v>
      </c>
      <c r="B2173" t="s">
        <v>928</v>
      </c>
      <c r="C2173" t="s">
        <v>930</v>
      </c>
      <c r="D2173" t="s">
        <v>1021</v>
      </c>
      <c r="E2173" s="13" t="n">
        <v>0.25</v>
      </c>
      <c r="F2173" s="16" t="n">
        <v>145</v>
      </c>
      <c r="G2173" s="14" t="n">
        <v>0.0855050358314172</v>
      </c>
      <c r="H2173" s="15" t="n">
        <v>-0.234923155196477</v>
      </c>
    </row>
    <row r="2174">
      <c r="A2174" t="s">
        <v>30</v>
      </c>
      <c r="B2174" t="s">
        <v>931</v>
      </c>
      <c r="C2174" t="s">
        <v>932</v>
      </c>
      <c r="D2174" t="s">
        <v>1021</v>
      </c>
      <c r="E2174" s="13" t="n">
        <v>0.25</v>
      </c>
      <c r="F2174" s="16" t="n">
        <v>70</v>
      </c>
      <c r="G2174" s="14" t="n">
        <v>-0.191511110779744</v>
      </c>
      <c r="H2174" s="15" t="n">
        <v>0.160696902421635</v>
      </c>
    </row>
    <row r="2175">
      <c r="A2175" t="s">
        <v>30</v>
      </c>
      <c r="B2175" t="s">
        <v>931</v>
      </c>
      <c r="C2175" t="s">
        <v>933</v>
      </c>
      <c r="D2175" t="s">
        <v>1021</v>
      </c>
      <c r="E2175" s="13" t="n">
        <v>0.25</v>
      </c>
      <c r="F2175" s="16" t="n">
        <v>110</v>
      </c>
      <c r="G2175" s="14" t="n">
        <v>-0.191511110779745</v>
      </c>
      <c r="H2175" s="15" t="n">
        <v>-0.160696902421635</v>
      </c>
    </row>
    <row r="2176">
      <c r="A2176" t="s">
        <v>31</v>
      </c>
      <c r="B2176" t="s">
        <v>934</v>
      </c>
      <c r="C2176" t="s">
        <v>935</v>
      </c>
      <c r="D2176" t="s">
        <v>1021</v>
      </c>
      <c r="E2176" s="13" t="n">
        <v>0</v>
      </c>
      <c r="F2176" s="16" t="n">
        <v>122</v>
      </c>
      <c r="G2176" s="14" t="n">
        <v>0</v>
      </c>
      <c r="H2176" s="15" t="n">
        <v>0</v>
      </c>
    </row>
    <row r="2177">
      <c r="A2177" t="s">
        <v>30</v>
      </c>
      <c r="B2177" t="s">
        <v>936</v>
      </c>
      <c r="C2177" t="s">
        <v>937</v>
      </c>
      <c r="D2177" t="s">
        <v>1021</v>
      </c>
      <c r="E2177" s="13" t="n">
        <v>0.25</v>
      </c>
      <c r="F2177" s="16" t="n">
        <v>157</v>
      </c>
      <c r="G2177" s="14" t="n">
        <v>0.173664592614749</v>
      </c>
      <c r="H2177" s="15" t="n">
        <v>-0.179834950084663</v>
      </c>
    </row>
    <row r="2178">
      <c r="A2178" t="s">
        <v>30</v>
      </c>
      <c r="B2178" t="s">
        <v>936</v>
      </c>
      <c r="C2178" t="s">
        <v>938</v>
      </c>
      <c r="D2178" t="s">
        <v>1021</v>
      </c>
      <c r="E2178" s="13" t="n">
        <v>0.25</v>
      </c>
      <c r="F2178" s="16" t="n">
        <v>42</v>
      </c>
      <c r="G2178" s="14" t="n">
        <v>0.0261321158169134</v>
      </c>
      <c r="H2178" s="15" t="n">
        <v>0.248630473842068</v>
      </c>
    </row>
    <row r="2179">
      <c r="A2179" t="s">
        <v>31</v>
      </c>
      <c r="B2179" t="s">
        <v>939</v>
      </c>
      <c r="C2179" t="s">
        <v>940</v>
      </c>
      <c r="D2179" t="s">
        <v>1021</v>
      </c>
      <c r="E2179" s="13" t="n">
        <v>0.25</v>
      </c>
      <c r="F2179" s="16" t="n">
        <v>84</v>
      </c>
      <c r="G2179" s="14" t="n">
        <v>-0.244536900183451</v>
      </c>
      <c r="H2179" s="15" t="n">
        <v>0.0519779227044398</v>
      </c>
    </row>
    <row r="2180">
      <c r="A2180" t="s">
        <v>31</v>
      </c>
      <c r="B2180" t="s">
        <v>939</v>
      </c>
      <c r="C2180" t="s">
        <v>941</v>
      </c>
      <c r="D2180" t="s">
        <v>1021</v>
      </c>
      <c r="E2180" s="13" t="n">
        <v>0.25</v>
      </c>
      <c r="F2180" s="16" t="n">
        <v>48</v>
      </c>
      <c r="G2180" s="14" t="n">
        <v>-0.0261321158169133</v>
      </c>
      <c r="H2180" s="15" t="n">
        <v>0.248630473842068</v>
      </c>
    </row>
    <row r="2181">
      <c r="A2181" t="s">
        <v>31</v>
      </c>
      <c r="B2181" t="s">
        <v>942</v>
      </c>
      <c r="C2181" t="s">
        <v>943</v>
      </c>
      <c r="D2181" t="s">
        <v>1021</v>
      </c>
      <c r="E2181" s="13" t="n">
        <v>0.25</v>
      </c>
      <c r="F2181" s="16" t="n">
        <v>9</v>
      </c>
      <c r="G2181" s="14" t="n">
        <v>0.237764129073788</v>
      </c>
      <c r="H2181" s="15" t="n">
        <v>0.0772542485937368</v>
      </c>
    </row>
    <row r="2182">
      <c r="A2182" t="s">
        <v>31</v>
      </c>
      <c r="B2182" t="s">
        <v>942</v>
      </c>
      <c r="C2182" t="s">
        <v>944</v>
      </c>
      <c r="D2182" t="s">
        <v>1021</v>
      </c>
      <c r="E2182" s="13" t="n">
        <v>0.25</v>
      </c>
      <c r="F2182" s="16" t="n">
        <v>134</v>
      </c>
      <c r="G2182" s="14" t="n">
        <v>-0.00872487417562519</v>
      </c>
      <c r="H2182" s="15" t="n">
        <v>-0.249847706754774</v>
      </c>
    </row>
    <row r="2183">
      <c r="A2183" t="s">
        <v>30</v>
      </c>
      <c r="B2183" t="s">
        <v>945</v>
      </c>
      <c r="C2183" t="s">
        <v>946</v>
      </c>
      <c r="D2183" t="s">
        <v>1021</v>
      </c>
      <c r="E2183" s="13" t="n">
        <v>0.25</v>
      </c>
      <c r="F2183" s="16" t="n">
        <v>71</v>
      </c>
      <c r="G2183" s="14" t="n">
        <v>-0.19700268840168</v>
      </c>
      <c r="H2183" s="15" t="n">
        <v>0.153915368831415</v>
      </c>
    </row>
    <row r="2184">
      <c r="A2184" t="s">
        <v>30</v>
      </c>
      <c r="B2184" t="s">
        <v>945</v>
      </c>
      <c r="C2184" t="s">
        <v>947</v>
      </c>
      <c r="D2184" t="s">
        <v>1021</v>
      </c>
      <c r="E2184" s="13" t="n">
        <v>0.25</v>
      </c>
      <c r="F2184" s="16" t="n">
        <v>136</v>
      </c>
      <c r="G2184" s="14" t="n">
        <v>0.0087248741756251</v>
      </c>
      <c r="H2184" s="15" t="n">
        <v>-0.249847706754774</v>
      </c>
    </row>
    <row r="2185">
      <c r="A2185" t="s">
        <v>30</v>
      </c>
      <c r="B2185" t="s">
        <v>948</v>
      </c>
      <c r="C2185" t="s">
        <v>949</v>
      </c>
      <c r="D2185" t="s">
        <v>1021</v>
      </c>
      <c r="E2185" s="13" t="n">
        <v>0</v>
      </c>
      <c r="F2185" s="16" t="n">
        <v>170</v>
      </c>
      <c r="G2185" s="14" t="n">
        <v>0</v>
      </c>
      <c r="H2185" s="15" t="n">
        <v>0</v>
      </c>
    </row>
    <row r="2186">
      <c r="A2186" t="s">
        <v>30</v>
      </c>
      <c r="B2186" t="s">
        <v>948</v>
      </c>
      <c r="C2186" t="s">
        <v>950</v>
      </c>
      <c r="D2186" t="s">
        <v>1021</v>
      </c>
      <c r="E2186" s="13" t="n">
        <v>0.25</v>
      </c>
      <c r="F2186" s="16" t="n">
        <v>165</v>
      </c>
      <c r="G2186" s="14" t="n">
        <v>0.21650635094611</v>
      </c>
      <c r="H2186" s="15" t="n">
        <v>-0.125</v>
      </c>
    </row>
    <row r="2187">
      <c r="A2187" t="s">
        <v>30</v>
      </c>
      <c r="B2187" t="s">
        <v>951</v>
      </c>
      <c r="C2187" t="s">
        <v>952</v>
      </c>
      <c r="D2187" t="s">
        <v>1021</v>
      </c>
      <c r="E2187" s="13" t="n">
        <v>0.25</v>
      </c>
      <c r="F2187" s="16" t="n">
        <v>1</v>
      </c>
      <c r="G2187" s="14" t="n">
        <v>0.249847706754774</v>
      </c>
      <c r="H2187" s="15" t="n">
        <v>0.00872487417562524</v>
      </c>
    </row>
    <row r="2188">
      <c r="A2188" t="s">
        <v>31</v>
      </c>
      <c r="B2188" t="s">
        <v>953</v>
      </c>
      <c r="C2188" t="s">
        <v>954</v>
      </c>
      <c r="D2188" t="s">
        <v>1021</v>
      </c>
      <c r="E2188" s="13" t="n">
        <v>0.25</v>
      </c>
      <c r="F2188" s="16" t="n">
        <v>156</v>
      </c>
      <c r="G2188" s="14" t="n">
        <v>0.167282651589715</v>
      </c>
      <c r="H2188" s="15" t="n">
        <v>-0.185786206369349</v>
      </c>
    </row>
    <row r="2189">
      <c r="A2189" t="s">
        <v>31</v>
      </c>
      <c r="B2189" t="s">
        <v>953</v>
      </c>
      <c r="C2189" t="s">
        <v>955</v>
      </c>
      <c r="D2189" t="s">
        <v>1021</v>
      </c>
      <c r="E2189" s="13" t="n">
        <v>0.25</v>
      </c>
      <c r="F2189" s="16" t="n">
        <v>137</v>
      </c>
      <c r="G2189" s="14" t="n">
        <v>0.0174391184360313</v>
      </c>
      <c r="H2189" s="15" t="n">
        <v>-0.249391012564956</v>
      </c>
    </row>
    <row r="2190">
      <c r="A2190" t="s">
        <v>30</v>
      </c>
      <c r="B2190" t="s">
        <v>956</v>
      </c>
      <c r="C2190" t="s">
        <v>957</v>
      </c>
      <c r="D2190" t="s">
        <v>1021</v>
      </c>
      <c r="E2190" s="13" t="n">
        <v>0.5</v>
      </c>
      <c r="F2190" s="16" t="n">
        <v>64</v>
      </c>
      <c r="G2190" s="14" t="n">
        <v>-0.307830737662829</v>
      </c>
      <c r="H2190" s="15" t="n">
        <v>0.394005376803361</v>
      </c>
    </row>
    <row r="2191">
      <c r="A2191" t="s">
        <v>30</v>
      </c>
      <c r="B2191" t="s">
        <v>958</v>
      </c>
      <c r="C2191" t="s">
        <v>959</v>
      </c>
      <c r="D2191" t="s">
        <v>1021</v>
      </c>
      <c r="E2191" s="13" t="n">
        <v>0.25</v>
      </c>
      <c r="F2191" s="16" t="n">
        <v>5</v>
      </c>
      <c r="G2191" s="14" t="n">
        <v>0.246201938253052</v>
      </c>
      <c r="H2191" s="15" t="n">
        <v>0.0434120444167326</v>
      </c>
    </row>
  </sheetData>
  <pageMargins left="0.7" right="0.7" top="0.75" bottom="0.75" header="0.3" footer="0.3"/>
  <pageSetup paperSize="9" orientation="portrait" horizontalDpi="300" verticalDpi="300" r:id="rId2"/>
  <tableParts count="1">
    <tablePart r:id="rId5"/>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0.71" hidden="0" customWidth="1"/>
    <col min="2" max="2" width="80.71" hidden="0" customWidth="1"/>
  </cols>
  <sheetData>
    <row r="1">
      <c r="A1" t="s">
        <v>1022</v>
      </c>
      <c r="B1" t="s">
        <v>5</v>
      </c>
    </row>
    <row r="2">
      <c r="A2" t="s">
        <v>1023</v>
      </c>
      <c r="B2" t="s">
        <v>1024</v>
      </c>
    </row>
    <row r="3">
      <c r="A3" t="s">
        <v>1025</v>
      </c>
      <c r="B3" t="s">
        <v>1026</v>
      </c>
    </row>
    <row r="4">
      <c r="A4" t="s">
        <v>1027</v>
      </c>
      <c r="B4" t="s">
        <v>1028</v>
      </c>
    </row>
    <row r="5">
      <c r="A5" t="s">
        <v>1029</v>
      </c>
      <c r="B5" t="s">
        <v>1030</v>
      </c>
    </row>
    <row r="6">
      <c r="A6" t="s">
        <v>1031</v>
      </c>
      <c r="B6" t="s">
        <v>1032</v>
      </c>
    </row>
    <row r="7">
      <c r="A7" t="s">
        <v>1033</v>
      </c>
      <c r="B7" t="s">
        <v>1034</v>
      </c>
    </row>
    <row r="8">
      <c r="A8" t="s">
        <v>1035</v>
      </c>
      <c r="B8" t="s">
        <v>1036</v>
      </c>
    </row>
    <row r="9">
      <c r="A9" t="s">
        <v>1037</v>
      </c>
      <c r="B9" t="s">
        <v>1038</v>
      </c>
    </row>
    <row r="10">
      <c r="A10" t="s">
        <v>1039</v>
      </c>
      <c r="B10" t="s">
        <v>1040</v>
      </c>
    </row>
    <row r="11">
      <c r="A11" t="s">
        <v>1041</v>
      </c>
      <c r="B11" t="s">
        <v>1042</v>
      </c>
    </row>
    <row r="12">
      <c r="A12" t="s">
        <v>1043</v>
      </c>
      <c r="B12" t="s">
        <v>1044</v>
      </c>
    </row>
    <row r="13">
      <c r="A13" t="s">
        <v>1045</v>
      </c>
      <c r="B13" t="s">
        <v>1046</v>
      </c>
    </row>
    <row r="14">
      <c r="A14" t="s">
        <v>1047</v>
      </c>
      <c r="B14" t="s">
        <v>1048</v>
      </c>
    </row>
    <row r="15">
      <c r="A15" t="s">
        <v>1049</v>
      </c>
      <c r="B15" t="s">
        <v>1050</v>
      </c>
    </row>
    <row r="16">
      <c r="A16" t="s">
        <v>1051</v>
      </c>
      <c r="B16" t="s">
        <v>9</v>
      </c>
    </row>
    <row r="17">
      <c r="A17" t="s">
        <v>390</v>
      </c>
      <c r="B17" t="s">
        <v>1052</v>
      </c>
    </row>
    <row r="18">
      <c r="A18" t="s">
        <v>28</v>
      </c>
      <c r="B18" t="s">
        <v>1053</v>
      </c>
    </row>
    <row r="19">
      <c r="A19" t="s">
        <v>1054</v>
      </c>
      <c r="B19" t="s">
        <v>30</v>
      </c>
    </row>
    <row r="20">
      <c r="A20" t="s">
        <v>1055</v>
      </c>
      <c r="B20" t="s">
        <v>1056</v>
      </c>
    </row>
    <row r="21">
      <c r="A21" t="s">
        <v>1057</v>
      </c>
      <c r="B21" t="s">
        <v>1058</v>
      </c>
    </row>
    <row r="22">
      <c r="A22" t="s">
        <v>1059</v>
      </c>
      <c r="B22" t="s">
        <v>1060</v>
      </c>
    </row>
    <row r="23">
      <c r="A23" t="s">
        <v>1061</v>
      </c>
      <c r="B23" t="s">
        <v>1062</v>
      </c>
    </row>
    <row r="24">
      <c r="A24" t="s">
        <v>1063</v>
      </c>
      <c r="B24" t="s">
        <v>1064</v>
      </c>
    </row>
    <row r="25">
      <c r="A25" t="s">
        <v>1065</v>
      </c>
      <c r="B25" t="s">
        <v>1066</v>
      </c>
    </row>
    <row r="26">
      <c r="A26" t="s">
        <v>1067</v>
      </c>
      <c r="B26" t="s">
        <v>1068</v>
      </c>
    </row>
    <row r="27">
      <c r="A27" t="s">
        <v>1069</v>
      </c>
      <c r="B27" t="s">
        <v>1070</v>
      </c>
    </row>
    <row r="28">
      <c r="A28" t="s">
        <v>1071</v>
      </c>
      <c r="B28" t="s">
        <v>1072</v>
      </c>
    </row>
    <row r="29">
      <c r="A29" t="s">
        <v>1073</v>
      </c>
      <c r="B29" t="s">
        <v>1074</v>
      </c>
    </row>
    <row r="30">
      <c r="A30" t="s">
        <v>1075</v>
      </c>
      <c r="B30" t="s">
        <v>1064</v>
      </c>
    </row>
    <row r="31">
      <c r="A31" t="s">
        <v>1076</v>
      </c>
      <c r="B31" t="s">
        <v>1064</v>
      </c>
    </row>
    <row r="32">
      <c r="A32" t="s">
        <v>1077</v>
      </c>
      <c r="B32" t="s">
        <v>1064</v>
      </c>
    </row>
    <row r="33">
      <c r="A33" t="s">
        <v>1078</v>
      </c>
      <c r="B33" t="s">
        <v>1079</v>
      </c>
    </row>
    <row r="34">
      <c r="A34" t="s">
        <v>1080</v>
      </c>
      <c r="B34" t="s">
        <v>1081</v>
      </c>
    </row>
    <row r="35">
      <c r="A35" t="s">
        <v>1082</v>
      </c>
      <c r="B35" t="s">
        <v>1083</v>
      </c>
    </row>
    <row r="36">
      <c r="A36" t="s">
        <v>1084</v>
      </c>
      <c r="B36" t="s">
        <v>1085</v>
      </c>
    </row>
    <row r="37">
      <c r="A37" t="s">
        <v>1086</v>
      </c>
      <c r="B37" t="s">
        <v>1087</v>
      </c>
    </row>
    <row r="38">
      <c r="A38" t="s">
        <v>1088</v>
      </c>
      <c r="B38" t="s">
        <v>1089</v>
      </c>
    </row>
    <row r="39">
      <c r="A39" t="s">
        <v>1090</v>
      </c>
      <c r="B39" t="s">
        <v>1091</v>
      </c>
    </row>
    <row r="40">
      <c r="A40" t="s">
        <v>1092</v>
      </c>
      <c r="B40" t="s">
        <v>1093</v>
      </c>
    </row>
    <row r="41">
      <c r="A41" t="s">
        <v>1094</v>
      </c>
      <c r="B41" t="s">
        <v>1095</v>
      </c>
    </row>
    <row r="42">
      <c r="A42" t="s">
        <v>1096</v>
      </c>
      <c r="B42" t="s">
        <v>1097</v>
      </c>
    </row>
    <row r="43">
      <c r="A43" t="s">
        <v>1098</v>
      </c>
      <c r="B43" t="s">
        <v>1099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4.71" hidden="0" customWidth="1"/>
    <col min="2" max="2" width="44.71" hidden="0" customWidth="1"/>
    <col min="3" max="3" width="90.71" hidden="0" customWidth="1"/>
  </cols>
  <sheetData>
    <row r="1">
      <c r="A1" t="s">
        <v>1045</v>
      </c>
      <c r="B1" t="s">
        <v>1100</v>
      </c>
      <c r="C1" t="s">
        <v>4</v>
      </c>
    </row>
    <row r="2">
      <c r="A2" s="17" t="str">
        <f>HYPERLINK("#'Manifest'!A1", "Manifest")</f>
      </c>
      <c r="B2" t="s">
        <v>1101</v>
      </c>
      <c r="C2" t="s">
        <v>1102</v>
      </c>
    </row>
    <row r="3">
      <c r="A3" s="17" t="str">
        <f>HYPERLINK("#'Overview'!A1", "Overview")</f>
      </c>
      <c r="B3" t="s">
        <v>1103</v>
      </c>
      <c r="C3" t="s">
        <v>1104</v>
      </c>
    </row>
    <row r="4">
      <c r="A4" s="17" t="str">
        <f>HYPERLINK("#'Baseline &amp; Preop Summary'!A1", "Baseline &amp; Preop Summary")</f>
      </c>
      <c r="B4" t="s">
        <v>1105</v>
      </c>
      <c r="C4" t="s">
        <v>1106</v>
      </c>
    </row>
    <row r="5">
      <c r="A5" s="17" t="str">
        <f>HYPERLINK("#'Outcome Summary'!A1", "Outcome Summary")</f>
      </c>
      <c r="B5" t="s">
        <v>1107</v>
      </c>
      <c r="C5" t="s">
        <v>1108</v>
      </c>
    </row>
    <row r="6">
      <c r="A6" s="17" t="str">
        <f>HYPERLINK("#'Publication Table'!A1", "Publication Table")</f>
      </c>
      <c r="B6" t="s">
        <v>1109</v>
      </c>
      <c r="C6" t="s">
        <v>1110</v>
      </c>
    </row>
    <row r="7">
      <c r="A7" s="17" t="str">
        <f>HYPERLINK("#'mEYEstro_Reference'!A1", "mEYEstro_Reference")</f>
      </c>
      <c r="B7" t="s">
        <v>1111</v>
      </c>
      <c r="C7" t="s">
        <v>1112</v>
      </c>
    </row>
    <row r="8">
      <c r="A8" s="17" t="str">
        <f>HYPERLINK("#'mEYEstro_Cohort A'!A1", "mEYEstro_Cohort A")</f>
      </c>
      <c r="B8" t="s">
        <v>1113</v>
      </c>
      <c r="C8" t="s">
        <v>1112</v>
      </c>
    </row>
    <row r="9">
      <c r="A9" s="17" t="str">
        <f>HYPERLINK("#'AstigMATIC_Reference'!A1", "AstigMATIC_Reference")</f>
      </c>
      <c r="B9" t="s">
        <v>1114</v>
      </c>
      <c r="C9" t="s">
        <v>1115</v>
      </c>
    </row>
    <row r="10">
      <c r="A10" s="17" t="str">
        <f>HYPERLINK("#'AstigMATIC_Cohort A'!A1", "AstigMATIC_Cohort A")</f>
      </c>
      <c r="B10" t="s">
        <v>1116</v>
      </c>
      <c r="C10" t="s">
        <v>1115</v>
      </c>
    </row>
    <row r="11">
      <c r="A11" s="17" t="str">
        <f>HYPERLINK("#'Astigmatism (JCRS 2025)'!A1", "Astigmatism (JCRS 2025)")</f>
      </c>
      <c r="B11" t="s">
        <v>1117</v>
      </c>
      <c r="C11" t="s">
        <v>1118</v>
      </c>
    </row>
    <row r="12">
      <c r="A12" s="17" t="str">
        <f>HYPERLINK("#'Astigmatism vectors'!A1", "Astigmatism vectors")</f>
      </c>
      <c r="B12" t="s">
        <v>1080</v>
      </c>
      <c r="C12" t="s">
        <v>1119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StandardEyes 1.1.0</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StandardEyes</dc:creator>
  <cp:lastModifiedBy>StandardEyes</cp:lastModifiedBy>
  <dcterms:created xsi:type="dcterms:W3CDTF">2026-10-13T23:53:10Z</dcterms:created>
</coreProperties>
</file>